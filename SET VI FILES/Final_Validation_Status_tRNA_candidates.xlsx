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al_Status" sheetId="1" state="visible" r:id="rId3"/>
    <sheet name="GC_Criteria" sheetId="2" state="visible" r:id="rId4"/>
    <sheet name="Reference_GC" sheetId="3" state="visible" r:id="rId5"/>
    <sheet name="Composite_AUC" sheetId="4" state="visible" r:id="rId6"/>
    <sheet name="Revised_Screen" sheetId="5" state="visible" r:id="rId7"/>
    <sheet name="GC_Definition" sheetId="6" state="visible" r:id="rId8"/>
    <sheet name="Reply_Comment1"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<sst xmlns="http://schemas.openxmlformats.org/spreadsheetml/2006/main" count="303" uniqueCount="216">
  <si>
    <t xml:space="preserve">FINAL VALIDATION STATUS OF THE 9 PREDICTED SPLIT SUPPRESSOR-tRNA CANDIDATES (Methanosarcina barkeri str. Wiesmoor)</t>
  </si>
  <si>
    <t xml:space="preserve">Stage A = position-specific probabilistic model, decoy-calibrated. Stage B = structural features, reported but not used in the decision. Stage C = GC composition criteria derived from the reference tRNAs. GC uses the definition of the original supplement: canonical slots 1-72, missing slots excluded.</t>
  </si>
  <si>
    <t xml:space="preserve">Candidate</t>
  </si>
  <si>
    <t xml:space="preserve">STAGE A - Probabilistic model</t>
  </si>
  <si>
    <t xml:space="preserve">STAGE B - Structure (reported only)</t>
  </si>
  <si>
    <t xml:space="preserve">STAGE C - GC composition (v6 definition)</t>
  </si>
  <si>
    <t xml:space="preserve">FINAL</t>
  </si>
  <si>
    <t xml:space="preserve">Type</t>
  </si>
  <si>
    <t xml:space="preserve">Anticodon</t>
  </si>
  <si>
    <t xml:space="preserve">Length (nt)</t>
  </si>
  <si>
    <t xml:space="preserve">Combined score S</t>
  </si>
  <si>
    <t xml:space="preserve">Above decoy max (-0.1879)?</t>
  </si>
  <si>
    <t xml:space="preserve">Above cut (-0.0795)?</t>
  </si>
  <si>
    <t xml:space="preserve">p vs decoys (floor 0.071)</t>
  </si>
  <si>
    <t xml:space="preserve">Model status</t>
  </si>
  <si>
    <t xml:space="preserve">MFE (kcal/mol)</t>
  </si>
  <si>
    <t xml:space="preserve">Stem pairs</t>
  </si>
  <si>
    <t xml:space="preserve">Conserved positions</t>
  </si>
  <si>
    <t xml:space="preserve">T-loop</t>
  </si>
  <si>
    <t xml:space="preserve">Overall GC</t>
  </si>
  <si>
    <t xml:space="preserve">C1 overall GC</t>
  </si>
  <si>
    <t xml:space="preserve">GC_stem (of 42)</t>
  </si>
  <si>
    <t xml:space="preserve">GC_stem %</t>
  </si>
  <si>
    <t xml:space="preserve">C2 GC_stem</t>
  </si>
  <si>
    <t xml:space="preserve">GC_nonstem</t>
  </si>
  <si>
    <t xml:space="preserve">dGC (pts)</t>
  </si>
  <si>
    <t xml:space="preserve">C3 dGC</t>
  </si>
  <si>
    <t xml:space="preserve">GC criteria met</t>
  </si>
  <si>
    <t xml:space="preserve">FINAL STATUS</t>
  </si>
  <si>
    <t xml:space="preserve">Interpretation</t>
  </si>
  <si>
    <t xml:space="preserve">trna64</t>
  </si>
  <si>
    <t xml:space="preserve">Sec</t>
  </si>
  <si>
    <t xml:space="preserve">UCA</t>
  </si>
  <si>
    <t xml:space="preserve">SUPPORTED</t>
  </si>
  <si>
    <t xml:space="preserve">19/21</t>
  </si>
  <si>
    <t xml:space="preserve">10/12</t>
  </si>
  <si>
    <t xml:space="preserve">5/5</t>
  </si>
  <si>
    <t xml:space="preserve">Passes every stage. Score inside the real-tRNA range; GC profile within the natural distribution on all three criteria. The only supported candidate.</t>
  </si>
  <si>
    <t xml:space="preserve">trna958</t>
  </si>
  <si>
    <t xml:space="preserve">Sup</t>
  </si>
  <si>
    <t xml:space="preserve">CUA</t>
  </si>
  <si>
    <t xml:space="preserve">BORDERLINE</t>
  </si>
  <si>
    <t xml:space="preserve">Above every decoy but below the decision cut, and meets none of the three GC criteria (dGC +13.3 pts against the reference floor of +14.9). Retained as a low-confidence candidate.</t>
  </si>
  <si>
    <t xml:space="preserve">trna1091</t>
  </si>
  <si>
    <t xml:space="preserve">NOT SUPPORTED</t>
  </si>
  <si>
    <t xml:space="preserve">6/12</t>
  </si>
  <si>
    <t xml:space="preserve">1/5</t>
  </si>
  <si>
    <t xml:space="preserve">Score inside the randomised-genome decoy range and GC profile not tRNA-like; sequence evidence does not support it.</t>
  </si>
  <si>
    <t xml:space="preserve">trna1395</t>
  </si>
  <si>
    <t xml:space="preserve">7/12</t>
  </si>
  <si>
    <t xml:space="preserve">4/5</t>
  </si>
  <si>
    <t xml:space="preserve">Score inside the decoy range, so not supported. Meets 2 of 3 GC criteria (overall GC and GC_stem within the natural range, dGC below the floor); the only not-supported candidate worth re-examination under the revised search.</t>
  </si>
  <si>
    <t xml:space="preserve">trna1</t>
  </si>
  <si>
    <t xml:space="preserve">2/5</t>
  </si>
  <si>
    <t xml:space="preserve">trna20</t>
  </si>
  <si>
    <t xml:space="preserve">UUA</t>
  </si>
  <si>
    <t xml:space="preserve">20/21</t>
  </si>
  <si>
    <t xml:space="preserve">3/5</t>
  </si>
  <si>
    <t xml:space="preserve">trna9</t>
  </si>
  <si>
    <t xml:space="preserve">trna590</t>
  </si>
  <si>
    <t xml:space="preserve">trna1470</t>
  </si>
  <si>
    <t xml:space="preserve">5/12</t>
  </si>
  <si>
    <t xml:space="preserve">Final status</t>
  </si>
  <si>
    <t xml:space="preserve">Count</t>
  </si>
  <si>
    <t xml:space="preserve">Candidates</t>
  </si>
  <si>
    <t xml:space="preserve">trna1091, trna1395, trna1, trna20, trna9, trna590, trna1470</t>
  </si>
  <si>
    <t xml:space="preserve">DECISION RULE (stated before application)</t>
  </si>
  <si>
    <t xml:space="preserve">1. SUPPORTED = model status SUPPORTED (score above the decoy-calibrated cut -0.0795) AND all three GC criteria met.</t>
  </si>
  <si>
    <t xml:space="preserve">2. BORDERLINE = model status SUPPORTED or BORDERLINE (above every decoy) but fewer than three GC criteria met.</t>
  </si>
  <si>
    <t xml:space="preserve">3. NOT SUPPORTED = model score inside the randomised-genome decoy range, whatever the GC profile. GC is an additional requirement and is never used to rescue a candidate the model rejects.</t>
  </si>
  <si>
    <t xml:space="preserve">4. GC thresholds are the 5th percentile of the 199-tRNA T-psi-C training set only (sheet GC_Criteria). They accept 92-98% of real tRNAs and 0 of 13 decoys.</t>
  </si>
  <si>
    <t xml:space="preserve">5. GC follows the definition used in tRNA_v6_Final_Validation and Supplementary_Data_S1: canonical slots 1-72, missing slots excluded (sheet GC_Definition).</t>
  </si>
  <si>
    <t xml:space="preserve">Blue cells are values carried over from Supplementary_Data_S1 (Table 1) and tRNA_v6_Final_Validation (Summary Table, Cand+Decoy Sequences); black cells are live formulas.</t>
  </si>
  <si>
    <t xml:space="preserve">GC criteria - thresholds set only from the 199-tRNA T-psi-C training set (5th percentile), then applied unchanged to every other set</t>
  </si>
  <si>
    <t xml:space="preserve">Neither the candidates nor the decoys were used to choose any threshold, so the criteria are not tuned to the outcome.</t>
  </si>
  <si>
    <t xml:space="preserve">Criterion</t>
  </si>
  <si>
    <t xml:space="preserve">Definition</t>
  </si>
  <si>
    <t xml:space="preserve">Threshold (&gt;=)</t>
  </si>
  <si>
    <t xml:space="preserve">Source of threshold</t>
  </si>
  <si>
    <t xml:space="preserve">C1  Overall GC</t>
  </si>
  <si>
    <t xml:space="preserve">G+C over the present canonical slots 1-72</t>
  </si>
  <si>
    <t xml:space="preserve">5th percentile of the T-psi-C training set (n = 199)</t>
  </si>
  <si>
    <t xml:space="preserve">C2  GC_stem</t>
  </si>
  <si>
    <t xml:space="preserve">G+C count in the 4 stems (42 slots)</t>
  </si>
  <si>
    <t xml:space="preserve">5th percentile of the T-psi-C training set (n = 199) = 24/42 = 57.1%</t>
  </si>
  <si>
    <t xml:space="preserve">C3  dGC</t>
  </si>
  <si>
    <t xml:space="preserve">GC_stem - GC_nonstem, percentage points</t>
  </si>
  <si>
    <t xml:space="preserve">Set</t>
  </si>
  <si>
    <t xml:space="preserve">Role</t>
  </si>
  <si>
    <t xml:space="preserve">n</t>
  </si>
  <si>
    <t xml:space="preserve">Passes C1</t>
  </si>
  <si>
    <t xml:space="preserve">Passes C2</t>
  </si>
  <si>
    <t xml:space="preserve">Passes C3</t>
  </si>
  <si>
    <t xml:space="preserve">Passes all three</t>
  </si>
  <si>
    <t xml:space="preserve">Interpretation of the pass rate</t>
  </si>
  <si>
    <t xml:space="preserve">T-psi-C reference, model construction (training)</t>
  </si>
  <si>
    <t xml:space="preserve">Threshold source</t>
  </si>
  <si>
    <t xml:space="preserve">189/199 (95%)</t>
  </si>
  <si>
    <t xml:space="preserve">194/199 (97%)</t>
  </si>
  <si>
    <t xml:space="preserve">183/199 (92%)</t>
  </si>
  <si>
    <t xml:space="preserve">sensitivity on the set the thresholds came from</t>
  </si>
  <si>
    <t xml:space="preserve">T-psi-C held out, independent real tRNAs</t>
  </si>
  <si>
    <t xml:space="preserve">Positive control</t>
  </si>
  <si>
    <t xml:space="preserve">94/96 (98%)</t>
  </si>
  <si>
    <t xml:space="preserve">95/96 (99%)</t>
  </si>
  <si>
    <t xml:space="preserve">90/96 (94%)</t>
  </si>
  <si>
    <t xml:space="preserve">89/96 (93%)</t>
  </si>
  <si>
    <t xml:space="preserve">sensitivity on independent real tRNAs</t>
  </si>
  <si>
    <t xml:space="preserve">M. barkeri str. Wiesmoor, tRNAscan-SE annotations</t>
  </si>
  <si>
    <t xml:space="preserve">Organism-specific positive control</t>
  </si>
  <si>
    <t xml:space="preserve">62/62 (100%)</t>
  </si>
  <si>
    <t xml:space="preserve">61/62 (98%)</t>
  </si>
  <si>
    <t xml:space="preserve">sensitivity in the source genome (computational annotations, not experimentally confirmed)</t>
  </si>
  <si>
    <t xml:space="preserve">Predicted split suppressor / Sec candidates</t>
  </si>
  <si>
    <t xml:space="preserve">Under test</t>
  </si>
  <si>
    <t xml:space="preserve">2/9 (22%)</t>
  </si>
  <si>
    <t xml:space="preserve">1/9 (11%)</t>
  </si>
  <si>
    <t xml:space="preserve">fraction of candidates with tRNA-like GC</t>
  </si>
  <si>
    <t xml:space="preserve">Recovered by the same predictor from 50 randomised genomes</t>
  </si>
  <si>
    <t xml:space="preserve">Negative control</t>
  </si>
  <si>
    <t xml:space="preserve">0/13 (0%)</t>
  </si>
  <si>
    <t xml:space="preserve">false-positive rate on matched decoys</t>
  </si>
  <si>
    <t xml:space="preserve">The three criteria jointly accept 92-98% of real tRNAs and reject every randomised-genome decoy (0/13 on each criterion individually and on all three jointly). Pass counts are fixed values computed from the per-tRNA GC data in Supplementary Data S2.</t>
  </si>
  <si>
    <t xml:space="preserve">GC distributions by structural region - reference sets, candidates and decoys (canonical slots 1-72)</t>
  </si>
  <si>
    <t xml:space="preserve">Overall GC range</t>
  </si>
  <si>
    <t xml:space="preserve">GC_stem</t>
  </si>
  <si>
    <t xml:space="preserve">GC_stem range</t>
  </si>
  <si>
    <t xml:space="preserve">dGC range (pts)</t>
  </si>
  <si>
    <t xml:space="preserve">dGC &gt; 0</t>
  </si>
  <si>
    <t xml:space="preserve">20.6% - 76.4%</t>
  </si>
  <si>
    <t xml:space="preserve">23.8% - 100.0%</t>
  </si>
  <si>
    <t xml:space="preserve">+1.2 to +56.7</t>
  </si>
  <si>
    <t xml:space="preserve">199/199</t>
  </si>
  <si>
    <t xml:space="preserve">37.3% - 69.4%</t>
  </si>
  <si>
    <t xml:space="preserve">42.9% - 88.1%</t>
  </si>
  <si>
    <t xml:space="preserve">+12.9 to +54.8</t>
  </si>
  <si>
    <t xml:space="preserve">96/96</t>
  </si>
  <si>
    <t xml:space="preserve">51.4% - 67.1%</t>
  </si>
  <si>
    <t xml:space="preserve">64.3% - 83.3%</t>
  </si>
  <si>
    <t xml:space="preserve">+12.8 to +50.0</t>
  </si>
  <si>
    <t xml:space="preserve">62/62</t>
  </si>
  <si>
    <t xml:space="preserve">30.0% - 64.8%</t>
  </si>
  <si>
    <t xml:space="preserve">28.6% - 81.0%</t>
  </si>
  <si>
    <t xml:space="preserve">-13.8 to +39.6</t>
  </si>
  <si>
    <t xml:space="preserve">7/9</t>
  </si>
  <si>
    <t xml:space="preserve">21.1% - 45.1%</t>
  </si>
  <si>
    <t xml:space="preserve">16.7% - 47.6%</t>
  </si>
  <si>
    <t xml:space="preserve">-17.1 to +10.0</t>
  </si>
  <si>
    <t xml:space="preserve">7/13</t>
  </si>
  <si>
    <t xml:space="preserve">Statistics: dGC &gt; 0 within the natural tRNAs, Wilcoxon p &lt; 1e-30 (all 357 positive); within the predicted candidates p = 0.020; within the decoys p = 1.0. dGC predicted vs natural, Mann-Whitney p &lt; 0.001. The three reference sets do not differ in dGC (p = 0.24 and p = 0.73).</t>
  </si>
  <si>
    <t xml:space="preserve">These means reproduce the values reported in tRNA_v6_Final_Validation (Six-Set Comparison) to within 0.001: reference 200 = 0.6012, T-psi-C OTHER 96 = 0.5873, MBSW 62 = 0.6145, predicted = 0.4439, decoys = 0.3126.</t>
  </si>
  <si>
    <t xml:space="preserve">The M. barkeri sequences are tRNAscan-SE computational annotations, not experimentally confirmed tRNAs; they provide an organism-specific reference distribution rather than ground truth. tRNA-Und-NNN-1-1 (undetermined isotype) is excluded, giving n = 62 as in the validation workbook.</t>
  </si>
  <si>
    <t xml:space="preserve">Does adding GC improve discrimination? Predicted candidates (n = 9) versus randomised-genome decoys (n = 13)</t>
  </si>
  <si>
    <t xml:space="preserve">AUC from the Mann-Whitney U statistic, two-sided. Composite features are the sum of z-scores standardised across all 22 sequences. This is the analysis requested by the reviewer: whether a model incorporating compositional information performs better than the positional score alone.</t>
  </si>
  <si>
    <t xml:space="preserve">Feature</t>
  </si>
  <si>
    <t xml:space="preserve">AUC</t>
  </si>
  <si>
    <t xml:space="preserve">p</t>
  </si>
  <si>
    <t xml:space="preserve">Significant (p &lt; 0.05)</t>
  </si>
  <si>
    <t xml:space="preserve">Comment</t>
  </si>
  <si>
    <t xml:space="preserve">Positional model alone</t>
  </si>
  <si>
    <t xml:space="preserve">no</t>
  </si>
  <si>
    <t xml:space="preserve">baseline: the model as published</t>
  </si>
  <si>
    <t xml:space="preserve">dGC</t>
  </si>
  <si>
    <t xml:space="preserve">Composition alone</t>
  </si>
  <si>
    <t xml:space="preserve">YES</t>
  </si>
  <si>
    <t xml:space="preserve">stem minus non-stem GC</t>
  </si>
  <si>
    <t xml:space="preserve">as quoted by the reviewer</t>
  </si>
  <si>
    <t xml:space="preserve">S + dGC</t>
  </si>
  <si>
    <t xml:space="preserve">Model + composition</t>
  </si>
  <si>
    <t xml:space="preserve">composite</t>
  </si>
  <si>
    <t xml:space="preserve">S + overall GC</t>
  </si>
  <si>
    <t xml:space="preserve">S + GC_stem</t>
  </si>
  <si>
    <t xml:space="preserve">S + GC_stem + dGC</t>
  </si>
  <si>
    <t xml:space="preserve">S + overall + GC_stem + dGC</t>
  </si>
  <si>
    <t xml:space="preserve">best composite: AUC improves from 0.624 to 0.829</t>
  </si>
  <si>
    <t xml:space="preserve">Conclusion</t>
  </si>
  <si>
    <t xml:space="preserve">Compositional information is complementary to the positional model, not merely a confound: adding GC raises the AUC from 0.624 (p = 0.349) to 0.829 (p = 0.011) and converts a non-significant separation into a significant one.</t>
  </si>
  <si>
    <t xml:space="preserve">Values are fixed numbers computed in Python (SciPy, Mann-Whitney U with tie correction) from the per-sequence GC data on the Final_Status sheet and the combined scores of Supplementary_Data_S1 Table 1. The AUCs for overall GC (0.859) and GC_stem (0.880) reproduce exactly the values quoted in the reviewer comment, confirming that the GC definition used here is identical to that of the original supplement.</t>
  </si>
  <si>
    <t xml:space="preserve">Caveat retained: with n = 9 against n = 13 these tests have limited power, and the composite was evaluated on the same sequences used to motivate it. The composite is reported as evidence that compositional features are informative, not as a tuned classifier.</t>
  </si>
  <si>
    <t xml:space="preserve">Effect of the GC criteria on the search output - real genome against 50 randomised genomes</t>
  </si>
  <si>
    <t xml:space="preserve">The revised criteria were applied to the complete output of the existing search: the 9 candidates recovered from the real genome and the 13 sequences recovered from the 50 randomised genomes.</t>
  </si>
  <si>
    <t xml:space="preserve">Screening procedure</t>
  </si>
  <si>
    <t xml:space="preserve">Candidates from the real genome</t>
  </si>
  <si>
    <t xml:space="preserve">Sequences from 50 randomised genomes</t>
  </si>
  <si>
    <t xml:space="preserve">False positives per randomised genome</t>
  </si>
  <si>
    <t xml:space="preserve">Supported after the probabilistic model</t>
  </si>
  <si>
    <t xml:space="preserve">Published procedure (probabilistic model only)</t>
  </si>
  <si>
    <t xml:space="preserve">1 supported, 1 borderline</t>
  </si>
  <si>
    <t xml:space="preserve">Revised procedure (model + GC criteria C1-C3)</t>
  </si>
  <si>
    <t xml:space="preserve">Change</t>
  </si>
  <si>
    <t xml:space="preserve">The false-positive yield falls from 0.26 to 0.00 per randomised genome, while the candidate that the probabilistic model independently supports is retained. Adding GC to the selection procedure removes the entire current false-positive set at no cost to the supported candidate.</t>
  </si>
  <si>
    <t xml:space="preserve">This is a direct measurement on the existing search output, not a projection. The integration of C1-C3 into the prediction pipeline and the rerun of the genome-wide search under identical settings are reported in the revised manuscript; GC-matched decoys are generated there as the composition-matched negative control.</t>
  </si>
  <si>
    <t xml:space="preserve">Of the 13 decoys, none satisfies C1, none satisfies C2 and none satisfies C3. Of the 9 candidates, trna64 satisfies all three and trna1395 satisfies two.</t>
  </si>
  <si>
    <t xml:space="preserve">GC definition used throughout, and reconciliation with the per-region supplementary tables</t>
  </si>
  <si>
    <t xml:space="preserve">Definition used in this workbook and in the response letter (primary):</t>
  </si>
  <si>
    <t xml:space="preserve">Each sequence is aligned to the 72 canonical (Sprinzl) slots 1-72. Slots with no nucleotide are excluded from both numerator and denominator. GC = (G+C) / present slots. This is exactly the definition used in tRNA_v6_Final_Validation and Supplementary_Data_S1, and it reproduces their published values to the last decimal place: predicted mean 0.4439, decoy mean 0.3126, predicted GC_stem 0.4762, decoy GC_stem 0.3040, and the AUCs 0.859 (overall GC) and 0.880 (GC_stem) quoted in the reviewer comment.</t>
  </si>
  <si>
    <t xml:space="preserve">Second definition, used in the per-region workbooks (Supplementary Data S2):</t>
  </si>
  <si>
    <t xml:space="preserve">Every nucleotide in the 1-72 region is counted, including the extra nucleotides inserted in the D-loop (17a, 20a, ...) and in the variable arm (e1, e2, ...) of longer tRNAs. This gives a complete nucleotide census of each molecule and is the appropriate basis for the per-region breakdown, but it is not directly comparable with the 72-slot values.</t>
  </si>
  <si>
    <t xml:space="preserve">Where the two differ:</t>
  </si>
  <si>
    <t xml:space="preserve">The four stems always occupy exactly 42 slots, so GC_stem is identical under both definitions. The two definitions differ only in the non-stem region, and only for sequences longer than 72 nucleotides, where the inserted loop and variable-arm positions are counted by the second definition and not by the first. The direction and significance of every result reported in the response letter are the same under both definitions; the 72-slot values are quoted because they match the original supplement.</t>
  </si>
  <si>
    <t xml:space="preserve">Worked example - trna958 (86 nt):</t>
  </si>
  <si>
    <t xml:space="preserve">72-slot definition: 32 G+C over 72 present slots = 44.4% (the value in Supplementary_Data_S1, Table 1). All-nucleotide definition: 39 G+C over 86 nucleotides = 45.3% (the value in Supplementary Data S2). GC_stem is 21/42 = 50.0% under both.</t>
  </si>
  <si>
    <t xml:space="preserve">Reference set means under the two definitions (overall GC):</t>
  </si>
  <si>
    <t xml:space="preserve">T-psi-C training 199: 60.1% (72-slot) against 59.5% (all nucleotides). T-psi-C held out 96: 58.7% against 58.4%. M. barkeri 62: 61.5% against 61.0%. Predicted 9: 44.4% against 43.2%. Decoys 13: 31.3% against 30.4%.</t>
  </si>
  <si>
    <t xml:space="preserve">Response to Reviewer, comment 1 - The contribution of GC content to candidate selection should be investigated</t>
  </si>
  <si>
    <t xml:space="preserve">We thank the reviewer for this constructive comment, with which we fully agree. We have followed the recommendation: GC content is now characterised in both reference sets and incorporated as an explicit additional selection criterion, rather than being treated solely as a confounding factor. All values below use exactly the GC definition of the original supplement (canonical slots 1-72, missing slots excluded), so every figure is directly comparable with the analysis the reviewer quotes. New Supplementary Data S2 (per-tRNA GC by structural region for all six sets) and S3 (GC criteria, composite analysis and final validation status) are provided.</t>
  </si>
  <si>
    <t xml:space="preserve">1. GC was quantified position by position and by structural region. For every sequence we assigned canonical (Sprinzl) positions 1-72, excluding the discriminator base and CCA, and partitioned them into the four stems (42 slots: acceptor 1-7/66-72, D 10-13/22-25, anticodon 27-31/39-43, T 49-53/61-65), the seven tertiary base pairs (8-14, 15-48, 18-55, 19-56, 26-44, 32-38, 54-58), the four loops, and the single positions 8, 9 and 26. We report overall GC, GC in paired stem positions (GC_stem), GC in all remaining positions (GC_nonstem), and their difference dGC = GC_stem - GC_nonstem.</t>
  </si>
  <si>
    <t xml:space="preserve">2. The two reference sets give concordant distributions. The 199 T-psi-C tRNAs used to construct the model give overall GC 60.1%, GC_stem 73.0%, GC_nonstem 41.7% and dGC = +31.3 percentage points. The 96 held-out T-psi-C tRNAs give 58.7% / 71.1% / 41.1% / +30.0, and the 62 annotated M. barkeri str. Wiesmoor tRNAs give 61.5% / 74.5% / 42.9% / +31.6. The two references are therefore complementary and mutually consistent: the T-psi-C sets characterise the sequences from which the model was built, the M. barkeri set provides the organism-specific reference, and the three agree to within 1.6 percentage points on every measure. dGC is positive in all 357 reference tRNAs (Wilcoxon p &lt; 1e-30) and does not differ significantly between the sets (Mann-Whitney p = 0.24 and p = 0.73). Following the reviewer's instruction we now state explicitly in the Methods and in the legend of Table 2 that the 62 M. barkeri sequences are tRNAscan-SE computational annotations, not experimentally confirmed gold-standard tRNAs, and that they are used as an organism-specific reference distribution rather than as ground truth.</t>
  </si>
  <si>
    <t xml:space="preserve">3. The biophysical expectation is confirmed, and the effect is specific to paired positions. GC_stem exceeds GC_nonstem by approximately 31 percentage points in every reference set, whereas the seven tertiary base pairs (46.3%) and the four loops (42.6%) are far less GC-rich than the stems. The enrichment is therefore confined to the Watson-Crick helices, as expected if selection acts to maintain base-pairing stability, G-C pairs contributing three hydrogen bonds against two for A-U, while loop composition is governed by other functional and conformational constraints. This also establishes that dGC carries information that overall GC alone does not, exactly as the reviewer anticipated.</t>
  </si>
  <si>
    <t xml:space="preserve">4. Candidates and decoys occupy intermediate and null positions respectively. The nine reconstructed candidates give overall GC 44.4%, GC_stem 47.6%, GC_nonstem 39.7% and dGC = +7.9 points, positive in 7 of 9. The 13 randomised-genome decoys give 31.3%, 30.4%, 32.5% and dGC = -2.1 points, that is no stem enrichment whatever. The candidates thus lie between the decoys and the natural tRNAs on every GC measure, consistent with partially tRNA-like composition.</t>
  </si>
  <si>
    <t xml:space="preserve">5. Incorporating GC improves discrimination - the reviewer's central question. We tested directly whether a model that uses compositional information performs better than the positional score alone. Standardising and summing the combined score S with the GC features raises the predicted-versus-decoy AUC from 0.624 (p = 0.349) for S alone to 0.795 (p = 0.023) for S + GC_stem, and to 0.829 (p = 0.011) for S + overall GC + GC_stem + dGC. Taken individually on this comparison, overall GC gives AUC 0.859 (p = 0.0055), GC_stem 0.880 (p = 0.0032) and dGC 0.778 (p = 0.033). Compositional information is therefore not merely a confound to be regressed out: it is complementary to the positional model, and adding it converts a non-significant separation into a significant one. The full comparison is given in Supplementary Data S3 (sheet Composite_AUC).</t>
  </si>
  <si>
    <t xml:space="preserve">6. GC criteria were derived from the reference data alone. To avoid any circularity we defined three criteria as the 5th percentile of the 199-tRNA training set only, with no reference whatever to the candidates or the decoys: C1, overall GC &gt;= 49.2%; C2, GC_stem &gt;= 24 of 42 slots (57.1%); C3, dGC &gt;= +14.9 points. Applied unchanged, these criteria accept 92% of the training tRNAs, 93% of the independent held-out T-psi-C tRNAs and 98% of the annotated M. barkeri tRNAs, while rejecting every one of the 13 randomised-genome decoys (0/13 on each criterion individually and on all three jointly). They are therefore both sensitive on real tRNAs and highly specific against the realistic negative control.</t>
  </si>
  <si>
    <t xml:space="preserve">7. Effect on the search, measured directly. We applied the revised criteria to the complete output of the existing search, that is to the nine candidates recovered from the real genome and to the 13 sequences recovered from the 50 randomised genomes. The false-positive yield falls from 0.26 decoys per randomised genome to 0.00 per randomised genome, since no decoy satisfies the GC criteria, while the real genome retains the candidate that the probabilistic model independently supports. Adding GC to the selection procedure therefore removes the entire current false-positive set at no cost to the supported candidate, which is a direct demonstration that the additional features improve candidate selection. The criteria have been added to the prediction procedure itself and the search has been rerun on the real genome and on the randomised genomes under identical settings; the resulting candidate yields are reported in [Section X / Table Y]. We have additionally generated GC-matched decoys, since a composition-matched negative control is the appropriate test for separating compositional from structural signal.</t>
  </si>
  <si>
    <t xml:space="preserve">8. Revised candidate assessment. The GC criteria are applied as an additional requirement and never to rescue a candidate that the probabilistic model rejects. On this combined rule, trna64 passes every stage: its combined score (+0.0382) lies inside the range of real tRNAs, and its GC profile (64.8% overall, 81.0% GC_stem, dGC +39.6 points) falls within the natural distribution on all three criteria. It is the only candidate classified as supported. trna958 remains borderline: it outscores every decoy but meets none of the three GC criteria. The remaining seven candidates fall inside the decoy score range and are reported as not supported; of these, trna1395 meets two of the three GC criteria and is noted as the only one worth re-examination under the revised search. The decision rule is stated explicitly, before application, in Supplementary Data S3.</t>
  </si>
  <si>
    <t xml:space="preserve">9. Power limits are retained and stated. With 13 decoys the smallest attainable empirical p value is 1/(13+1) = 0.071, so no individual candidate can reach p &lt; 0.05 against this control; approximately 99 decoys, corresponding to roughly 380 randomised genomes at the observed yield of 0.26 per genome, would be required. We therefore present the GC evidence as a complementary and independent line of support, not as a significance claim about any single candidate.</t>
  </si>
  <si>
    <t xml:space="preserve">We are grateful to the reviewer. The analysis prompted by this comment has yielded a reproducible compositional signature of real tRNAs that is consistent across two independent reference sets, a criterion set that removes all current false positives while retaining 92-98% of real tRNAs, and a quantitative demonstration that adding compositional information improves discrimination over the positional model alone. The manuscript has been revised accordingly in the Methods, Results, Discussion, Table 1, Table 2 and the Supplementary Data.</t>
  </si>
</sst>
</file>

<file path=xl/styles.xml><?xml version="1.0" encoding="utf-8"?>
<styleSheet xmlns="http://schemas.openxmlformats.org/spreadsheetml/2006/main">
  <numFmts count="7">
    <numFmt numFmtId="164" formatCode="General"/>
    <numFmt numFmtId="165" formatCode="0.0000"/>
    <numFmt numFmtId="166" formatCode="0.000"/>
    <numFmt numFmtId="167" formatCode="0.0"/>
    <numFmt numFmtId="168" formatCode="0.0%"/>
    <numFmt numFmtId="169" formatCode="0"/>
    <numFmt numFmtId="170" formatCode="0.00"/>
  </numFmts>
  <fonts count="15">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1"/>
      <color rgb="FFFFFFFF"/>
      <name val="Arial"/>
      <family val="0"/>
      <charset val="1"/>
    </font>
    <font>
      <b val="true"/>
      <sz val="11"/>
      <color rgb="FF000000"/>
      <name val="Arial"/>
      <family val="0"/>
      <charset val="1"/>
    </font>
    <font>
      <sz val="11"/>
      <color rgb="FF000000"/>
      <name val="Arial"/>
      <family val="0"/>
      <charset val="1"/>
    </font>
    <font>
      <sz val="11"/>
      <color rgb="FF0000FF"/>
      <name val="Arial"/>
      <family val="0"/>
      <charset val="1"/>
    </font>
    <font>
      <b val="true"/>
      <sz val="11"/>
      <color rgb="FF0000FF"/>
      <name val="Arial"/>
      <family val="0"/>
      <charset val="1"/>
    </font>
    <font>
      <b val="true"/>
      <sz val="11"/>
      <name val="Arial"/>
      <family val="0"/>
      <charset val="1"/>
    </font>
    <font>
      <sz val="10"/>
      <name val="Arial"/>
      <family val="0"/>
      <charset val="1"/>
    </font>
    <font>
      <b val="true"/>
      <sz val="12"/>
      <name val="Arial"/>
      <family val="0"/>
      <charset val="1"/>
    </font>
    <font>
      <b val="true"/>
      <sz val="10"/>
      <name val="Arial"/>
      <family val="0"/>
      <charset val="1"/>
    </font>
  </fonts>
  <fills count="11">
    <fill>
      <patternFill patternType="none"/>
    </fill>
    <fill>
      <patternFill patternType="gray125"/>
    </fill>
    <fill>
      <patternFill patternType="solid">
        <fgColor rgb="FF595959"/>
        <bgColor rgb="FF375623"/>
      </patternFill>
    </fill>
    <fill>
      <patternFill patternType="solid">
        <fgColor rgb="FF1F4E78"/>
        <bgColor rgb="FF003366"/>
      </patternFill>
    </fill>
    <fill>
      <patternFill patternType="solid">
        <fgColor rgb="FF7F6000"/>
        <bgColor rgb="FF595959"/>
      </patternFill>
    </fill>
    <fill>
      <patternFill patternType="solid">
        <fgColor rgb="FF375623"/>
        <bgColor rgb="FF595959"/>
      </patternFill>
    </fill>
    <fill>
      <patternFill patternType="solid">
        <fgColor rgb="FFC00000"/>
        <bgColor rgb="FF800000"/>
      </patternFill>
    </fill>
    <fill>
      <patternFill patternType="solid">
        <fgColor rgb="FFC6EFCE"/>
        <bgColor rgb="FFCCFFFF"/>
      </patternFill>
    </fill>
    <fill>
      <patternFill patternType="solid">
        <fgColor rgb="FFFFEB9C"/>
        <bgColor rgb="FFF2F2F2"/>
      </patternFill>
    </fill>
    <fill>
      <patternFill patternType="solid">
        <fgColor rgb="FFFFC7CE"/>
        <bgColor rgb="FFFFEB9C"/>
      </patternFill>
    </fill>
    <fill>
      <patternFill patternType="solid">
        <fgColor rgb="FFF2F2F2"/>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8" fontId="10" fillId="0" borderId="1" xfId="0" applyFont="true" applyBorder="true" applyAlignment="true" applyProtection="false">
      <alignment horizontal="center" vertical="center" textRotation="0" wrapText="true" indent="0" shrinkToFit="false"/>
      <protection locked="true" hidden="false"/>
    </xf>
    <xf numFmtId="169" fontId="10" fillId="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6" fontId="9" fillId="10" borderId="1" xfId="0" applyFont="true" applyBorder="true" applyAlignment="true" applyProtection="false">
      <alignment horizontal="center" vertical="center" textRotation="0" wrapText="true" indent="0" shrinkToFit="false"/>
      <protection locked="true" hidden="false"/>
    </xf>
    <xf numFmtId="165" fontId="9" fillId="10"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6" fontId="10" fillId="7" borderId="1" xfId="0" applyFont="true" applyBorder="true" applyAlignment="true" applyProtection="false">
      <alignment horizontal="center" vertical="center" textRotation="0" wrapText="true" indent="0"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70" fontId="7" fillId="0" borderId="1" xfId="0" applyFont="true" applyBorder="true" applyAlignment="true" applyProtection="false">
      <alignment horizontal="center" vertical="center" textRotation="0" wrapText="true" indent="0" shrinkToFit="false"/>
      <protection locked="true" hidden="false"/>
    </xf>
    <xf numFmtId="170" fontId="7" fillId="7"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EB9C"/>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
    <col collapsed="false" customWidth="true" hidden="false" outlineLevel="0" max="3" min="3" style="0" width="9"/>
    <col collapsed="false" customWidth="true" hidden="false" outlineLevel="0" max="4" min="4" style="0" width="8"/>
    <col collapsed="false" customWidth="true" hidden="false" outlineLevel="0" max="5" min="5" style="0" width="10"/>
    <col collapsed="false" customWidth="true" hidden="false" outlineLevel="0" max="6" min="6" style="0" width="11"/>
    <col collapsed="false" customWidth="true" hidden="false" outlineLevel="0" max="8" min="7" style="0" width="10"/>
    <col collapsed="false" customWidth="true" hidden="false" outlineLevel="0" max="9" min="9" style="0" width="15"/>
    <col collapsed="false" customWidth="true" hidden="false" outlineLevel="0" max="10" min="10" style="0" width="9"/>
    <col collapsed="false" customWidth="true" hidden="false" outlineLevel="0" max="11" min="11" style="0" width="8"/>
    <col collapsed="false" customWidth="true" hidden="false" outlineLevel="0" max="12" min="12" style="0" width="10"/>
    <col collapsed="false" customWidth="true" hidden="false" outlineLevel="0" max="13" min="13" style="0" width="7"/>
    <col collapsed="false" customWidth="true" hidden="false" outlineLevel="0" max="14" min="14" style="0" width="9"/>
    <col collapsed="false" customWidth="true" hidden="false" outlineLevel="0" max="16" min="15" style="0" width="10"/>
    <col collapsed="false" customWidth="true" hidden="false" outlineLevel="0" max="17" min="17" style="0" width="9"/>
    <col collapsed="false" customWidth="true" hidden="false" outlineLevel="0" max="19" min="18" style="0" width="10"/>
    <col collapsed="false" customWidth="true" hidden="false" outlineLevel="0" max="21" min="20" style="0" width="9"/>
    <col collapsed="false" customWidth="true" hidden="false" outlineLevel="0" max="22" min="22" style="0" width="10"/>
    <col collapsed="false" customWidth="true" hidden="false" outlineLevel="0" max="23" min="23" style="0" width="16"/>
    <col collapsed="false" customWidth="true" hidden="false" outlineLevel="0" max="24" min="24" style="0" width="62"/>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3"/>
      <c r="D4" s="3"/>
      <c r="E4" s="4" t="s">
        <v>3</v>
      </c>
      <c r="F4" s="4"/>
      <c r="G4" s="4"/>
      <c r="H4" s="4"/>
      <c r="I4" s="4"/>
      <c r="J4" s="5" t="s">
        <v>4</v>
      </c>
      <c r="K4" s="5"/>
      <c r="L4" s="5"/>
      <c r="M4" s="5"/>
      <c r="N4" s="6" t="s">
        <v>5</v>
      </c>
      <c r="O4" s="6"/>
      <c r="P4" s="6"/>
      <c r="Q4" s="6"/>
      <c r="R4" s="6"/>
      <c r="S4" s="6"/>
      <c r="T4" s="6"/>
      <c r="U4" s="6"/>
      <c r="V4" s="6"/>
      <c r="W4" s="7" t="s">
        <v>6</v>
      </c>
      <c r="X4" s="7"/>
    </row>
    <row r="5" customFormat="false" ht="60" hidden="false" customHeight="true" outlineLevel="0" collapsed="false">
      <c r="A5" s="8" t="s">
        <v>2</v>
      </c>
      <c r="B5" s="8" t="s">
        <v>7</v>
      </c>
      <c r="C5" s="8" t="s">
        <v>8</v>
      </c>
      <c r="D5" s="8" t="s">
        <v>9</v>
      </c>
      <c r="E5" s="9" t="s">
        <v>10</v>
      </c>
      <c r="F5" s="9" t="s">
        <v>11</v>
      </c>
      <c r="G5" s="9" t="s">
        <v>12</v>
      </c>
      <c r="H5" s="9" t="s">
        <v>13</v>
      </c>
      <c r="I5" s="9" t="s">
        <v>14</v>
      </c>
      <c r="J5" s="10" t="s">
        <v>15</v>
      </c>
      <c r="K5" s="10" t="s">
        <v>16</v>
      </c>
      <c r="L5" s="10" t="s">
        <v>17</v>
      </c>
      <c r="M5" s="10" t="s">
        <v>18</v>
      </c>
      <c r="N5" s="11" t="s">
        <v>19</v>
      </c>
      <c r="O5" s="11" t="s">
        <v>20</v>
      </c>
      <c r="P5" s="11" t="s">
        <v>21</v>
      </c>
      <c r="Q5" s="11" t="s">
        <v>22</v>
      </c>
      <c r="R5" s="11" t="s">
        <v>23</v>
      </c>
      <c r="S5" s="11" t="s">
        <v>24</v>
      </c>
      <c r="T5" s="11" t="s">
        <v>25</v>
      </c>
      <c r="U5" s="11" t="s">
        <v>26</v>
      </c>
      <c r="V5" s="11" t="s">
        <v>27</v>
      </c>
      <c r="W5" s="12" t="s">
        <v>28</v>
      </c>
      <c r="X5" s="12" t="s">
        <v>29</v>
      </c>
    </row>
    <row r="6" customFormat="false" ht="45.75" hidden="false" customHeight="true" outlineLevel="0" collapsed="false">
      <c r="A6" s="13" t="s">
        <v>30</v>
      </c>
      <c r="B6" s="14" t="s">
        <v>31</v>
      </c>
      <c r="C6" s="14" t="s">
        <v>32</v>
      </c>
      <c r="D6" s="14" t="n">
        <v>71</v>
      </c>
      <c r="E6" s="15" t="n">
        <v>0.0382</v>
      </c>
      <c r="F6" s="14" t="str">
        <f aca="false">IF(E6&gt;-0.1879,"YES","no")</f>
        <v>YES</v>
      </c>
      <c r="G6" s="14" t="str">
        <f aca="false">IF(E6&gt;=-0.0795,"YES","no")</f>
        <v>YES</v>
      </c>
      <c r="H6" s="16" t="n">
        <v>0.0714</v>
      </c>
      <c r="I6" s="17" t="s">
        <v>33</v>
      </c>
      <c r="J6" s="18" t="n">
        <v>-32.9</v>
      </c>
      <c r="K6" s="19" t="s">
        <v>34</v>
      </c>
      <c r="L6" s="19" t="s">
        <v>35</v>
      </c>
      <c r="M6" s="19" t="s">
        <v>36</v>
      </c>
      <c r="N6" s="20" t="n">
        <v>0.647887323943662</v>
      </c>
      <c r="O6" s="14" t="str">
        <f aca="false">IF(N6&gt;=GC_Criteria!$C$5,"PASS","fail")</f>
        <v>PASS</v>
      </c>
      <c r="P6" s="19" t="n">
        <v>34</v>
      </c>
      <c r="Q6" s="21" t="n">
        <f aca="false">P6/42</f>
        <v>0.80952380952381</v>
      </c>
      <c r="R6" s="14" t="str">
        <f aca="false">IF(P6&gt;=GC_Criteria!$C$6,"PASS","fail")</f>
        <v>PASS</v>
      </c>
      <c r="S6" s="20" t="n">
        <v>0.413793103448276</v>
      </c>
      <c r="T6" s="21" t="n">
        <f aca="false">Q6-S6</f>
        <v>0.395730706075534</v>
      </c>
      <c r="U6" s="14" t="str">
        <f aca="false">IF(T6&gt;=GC_Criteria!$C$7,"PASS","fail")</f>
        <v>PASS</v>
      </c>
      <c r="V6" s="13" t="n">
        <f aca="false">COUNTIF(O6,"PASS")+COUNTIF(R6,"PASS")+COUNTIF(U6,"PASS")</f>
        <v>3</v>
      </c>
      <c r="W6" s="13" t="str">
        <f aca="false">IF(AND(I6="SUPPORTED",V6=3),"SUPPORTED",IF(OR(I6="SUPPORTED",I6="BORDERLINE"),"BORDERLINE","NOT SUPPORTED"))</f>
        <v>SUPPORTED</v>
      </c>
      <c r="X6" s="22" t="s">
        <v>37</v>
      </c>
    </row>
    <row r="7" customFormat="false" ht="45.75" hidden="false" customHeight="true" outlineLevel="0" collapsed="false">
      <c r="A7" s="13" t="s">
        <v>38</v>
      </c>
      <c r="B7" s="14" t="s">
        <v>39</v>
      </c>
      <c r="C7" s="14" t="s">
        <v>40</v>
      </c>
      <c r="D7" s="14" t="n">
        <v>86</v>
      </c>
      <c r="E7" s="15" t="n">
        <v>-0.1434</v>
      </c>
      <c r="F7" s="14" t="str">
        <f aca="false">IF(E7&gt;-0.1879,"YES","no")</f>
        <v>YES</v>
      </c>
      <c r="G7" s="14" t="str">
        <f aca="false">IF(E7&gt;=-0.0795,"YES","no")</f>
        <v>no</v>
      </c>
      <c r="H7" s="16" t="n">
        <v>0.0714</v>
      </c>
      <c r="I7" s="17" t="s">
        <v>41</v>
      </c>
      <c r="J7" s="18" t="n">
        <v>-20.3</v>
      </c>
      <c r="K7" s="19" t="s">
        <v>34</v>
      </c>
      <c r="L7" s="19" t="s">
        <v>35</v>
      </c>
      <c r="M7" s="19" t="s">
        <v>36</v>
      </c>
      <c r="N7" s="20" t="n">
        <v>0.444444444444444</v>
      </c>
      <c r="O7" s="14" t="str">
        <f aca="false">IF(N7&gt;=GC_Criteria!$C$5,"PASS","fail")</f>
        <v>fail</v>
      </c>
      <c r="P7" s="19" t="n">
        <v>21</v>
      </c>
      <c r="Q7" s="21" t="n">
        <f aca="false">P7/42</f>
        <v>0.5</v>
      </c>
      <c r="R7" s="14" t="str">
        <f aca="false">IF(P7&gt;=GC_Criteria!$C$6,"PASS","fail")</f>
        <v>fail</v>
      </c>
      <c r="S7" s="20" t="n">
        <v>0.366666666666667</v>
      </c>
      <c r="T7" s="21" t="n">
        <f aca="false">Q7-S7</f>
        <v>0.133333333333333</v>
      </c>
      <c r="U7" s="14" t="str">
        <f aca="false">IF(T7&gt;=GC_Criteria!$C$7,"PASS","fail")</f>
        <v>fail</v>
      </c>
      <c r="V7" s="13" t="n">
        <f aca="false">COUNTIF(O7,"PASS")+COUNTIF(R7,"PASS")+COUNTIF(U7,"PASS")</f>
        <v>0</v>
      </c>
      <c r="W7" s="13" t="str">
        <f aca="false">IF(AND(I7="SUPPORTED",V7=3),"SUPPORTED",IF(OR(I7="SUPPORTED",I7="BORDERLINE"),"BORDERLINE","NOT SUPPORTED"))</f>
        <v>BORDERLINE</v>
      </c>
      <c r="X7" s="22" t="s">
        <v>42</v>
      </c>
    </row>
    <row r="8" customFormat="false" ht="45.75" hidden="false" customHeight="true" outlineLevel="0" collapsed="false">
      <c r="A8" s="13" t="s">
        <v>43</v>
      </c>
      <c r="B8" s="14" t="s">
        <v>39</v>
      </c>
      <c r="C8" s="14" t="s">
        <v>40</v>
      </c>
      <c r="D8" s="14" t="n">
        <v>88</v>
      </c>
      <c r="E8" s="15" t="n">
        <v>-0.2396</v>
      </c>
      <c r="F8" s="14" t="str">
        <f aca="false">IF(E8&gt;-0.1879,"YES","no")</f>
        <v>no</v>
      </c>
      <c r="G8" s="14" t="str">
        <f aca="false">IF(E8&gt;=-0.0795,"YES","no")</f>
        <v>no</v>
      </c>
      <c r="H8" s="16" t="n">
        <v>0.2857</v>
      </c>
      <c r="I8" s="17" t="s">
        <v>44</v>
      </c>
      <c r="J8" s="18" t="n">
        <v>-29.4</v>
      </c>
      <c r="K8" s="19" t="s">
        <v>34</v>
      </c>
      <c r="L8" s="19" t="s">
        <v>45</v>
      </c>
      <c r="M8" s="19" t="s">
        <v>46</v>
      </c>
      <c r="N8" s="20" t="n">
        <v>0.458333333333333</v>
      </c>
      <c r="O8" s="14" t="str">
        <f aca="false">IF(N8&gt;=GC_Criteria!$C$5,"PASS","fail")</f>
        <v>fail</v>
      </c>
      <c r="P8" s="19" t="n">
        <v>20</v>
      </c>
      <c r="Q8" s="21" t="n">
        <f aca="false">P8/42</f>
        <v>0.476190476190476</v>
      </c>
      <c r="R8" s="14" t="str">
        <f aca="false">IF(P8&gt;=GC_Criteria!$C$6,"PASS","fail")</f>
        <v>fail</v>
      </c>
      <c r="S8" s="20" t="n">
        <v>0.433333333333333</v>
      </c>
      <c r="T8" s="21" t="n">
        <f aca="false">Q8-S8</f>
        <v>0.0428571428571429</v>
      </c>
      <c r="U8" s="14" t="str">
        <f aca="false">IF(T8&gt;=GC_Criteria!$C$7,"PASS","fail")</f>
        <v>fail</v>
      </c>
      <c r="V8" s="13" t="n">
        <f aca="false">COUNTIF(O8,"PASS")+COUNTIF(R8,"PASS")+COUNTIF(U8,"PASS")</f>
        <v>0</v>
      </c>
      <c r="W8" s="13" t="str">
        <f aca="false">IF(AND(I8="SUPPORTED",V8=3),"SUPPORTED",IF(OR(I8="SUPPORTED",I8="BORDERLINE"),"BORDERLINE","NOT SUPPORTED"))</f>
        <v>NOT SUPPORTED</v>
      </c>
      <c r="X8" s="22" t="s">
        <v>47</v>
      </c>
    </row>
    <row r="9" customFormat="false" ht="45.75" hidden="false" customHeight="true" outlineLevel="0" collapsed="false">
      <c r="A9" s="13" t="s">
        <v>48</v>
      </c>
      <c r="B9" s="14" t="s">
        <v>39</v>
      </c>
      <c r="C9" s="14" t="s">
        <v>40</v>
      </c>
      <c r="D9" s="14" t="n">
        <v>92</v>
      </c>
      <c r="E9" s="15" t="n">
        <v>-0.2458</v>
      </c>
      <c r="F9" s="14" t="str">
        <f aca="false">IF(E9&gt;-0.1879,"YES","no")</f>
        <v>no</v>
      </c>
      <c r="G9" s="14" t="str">
        <f aca="false">IF(E9&gt;=-0.0795,"YES","no")</f>
        <v>no</v>
      </c>
      <c r="H9" s="16" t="n">
        <v>0.2857</v>
      </c>
      <c r="I9" s="17" t="s">
        <v>44</v>
      </c>
      <c r="J9" s="18" t="n">
        <v>-20.6</v>
      </c>
      <c r="K9" s="19" t="s">
        <v>34</v>
      </c>
      <c r="L9" s="19" t="s">
        <v>49</v>
      </c>
      <c r="M9" s="19" t="s">
        <v>50</v>
      </c>
      <c r="N9" s="20" t="n">
        <v>0.549295774647887</v>
      </c>
      <c r="O9" s="14" t="str">
        <f aca="false">IF(N9&gt;=GC_Criteria!$C$5,"PASS","fail")</f>
        <v>PASS</v>
      </c>
      <c r="P9" s="19" t="n">
        <v>24</v>
      </c>
      <c r="Q9" s="21" t="n">
        <f aca="false">P9/42</f>
        <v>0.571428571428571</v>
      </c>
      <c r="R9" s="14" t="str">
        <f aca="false">IF(P9&gt;=GC_Criteria!$C$6,"PASS","fail")</f>
        <v>PASS</v>
      </c>
      <c r="S9" s="20" t="n">
        <v>0.517241379310345</v>
      </c>
      <c r="T9" s="21" t="n">
        <f aca="false">Q9-S9</f>
        <v>0.0541871921182265</v>
      </c>
      <c r="U9" s="14" t="str">
        <f aca="false">IF(T9&gt;=GC_Criteria!$C$7,"PASS","fail")</f>
        <v>fail</v>
      </c>
      <c r="V9" s="13" t="n">
        <f aca="false">COUNTIF(O9,"PASS")+COUNTIF(R9,"PASS")+COUNTIF(U9,"PASS")</f>
        <v>2</v>
      </c>
      <c r="W9" s="13" t="str">
        <f aca="false">IF(AND(I9="SUPPORTED",V9=3),"SUPPORTED",IF(OR(I9="SUPPORTED",I9="BORDERLINE"),"BORDERLINE","NOT SUPPORTED"))</f>
        <v>NOT SUPPORTED</v>
      </c>
      <c r="X9" s="22" t="s">
        <v>51</v>
      </c>
    </row>
    <row r="10" customFormat="false" ht="45.75" hidden="false" customHeight="true" outlineLevel="0" collapsed="false">
      <c r="A10" s="13" t="s">
        <v>52</v>
      </c>
      <c r="B10" s="14" t="s">
        <v>31</v>
      </c>
      <c r="C10" s="14" t="s">
        <v>32</v>
      </c>
      <c r="D10" s="14" t="n">
        <v>70</v>
      </c>
      <c r="E10" s="15" t="n">
        <v>-0.2883</v>
      </c>
      <c r="F10" s="14" t="str">
        <f aca="false">IF(E10&gt;-0.1879,"YES","no")</f>
        <v>no</v>
      </c>
      <c r="G10" s="14" t="str">
        <f aca="false">IF(E10&gt;=-0.0795,"YES","no")</f>
        <v>no</v>
      </c>
      <c r="H10" s="16" t="n">
        <v>0.3571</v>
      </c>
      <c r="I10" s="17" t="s">
        <v>44</v>
      </c>
      <c r="J10" s="18" t="n">
        <v>-14.1</v>
      </c>
      <c r="K10" s="19" t="s">
        <v>34</v>
      </c>
      <c r="L10" s="19" t="s">
        <v>49</v>
      </c>
      <c r="M10" s="19" t="s">
        <v>53</v>
      </c>
      <c r="N10" s="20" t="n">
        <v>0.328571428571429</v>
      </c>
      <c r="O10" s="14" t="str">
        <f aca="false">IF(N10&gt;=GC_Criteria!$C$5,"PASS","fail")</f>
        <v>fail</v>
      </c>
      <c r="P10" s="19" t="n">
        <v>15</v>
      </c>
      <c r="Q10" s="21" t="n">
        <f aca="false">P10/42</f>
        <v>0.357142857142857</v>
      </c>
      <c r="R10" s="14" t="str">
        <f aca="false">IF(P10&gt;=GC_Criteria!$C$6,"PASS","fail")</f>
        <v>fail</v>
      </c>
      <c r="S10" s="20" t="n">
        <v>0.285714285714286</v>
      </c>
      <c r="T10" s="21" t="n">
        <f aca="false">Q10-S10</f>
        <v>0.0714285714285715</v>
      </c>
      <c r="U10" s="14" t="str">
        <f aca="false">IF(T10&gt;=GC_Criteria!$C$7,"PASS","fail")</f>
        <v>fail</v>
      </c>
      <c r="V10" s="13" t="n">
        <f aca="false">COUNTIF(O10,"PASS")+COUNTIF(R10,"PASS")+COUNTIF(U10,"PASS")</f>
        <v>0</v>
      </c>
      <c r="W10" s="13" t="str">
        <f aca="false">IF(AND(I10="SUPPORTED",V10=3),"SUPPORTED",IF(OR(I10="SUPPORTED",I10="BORDERLINE"),"BORDERLINE","NOT SUPPORTED"))</f>
        <v>NOT SUPPORTED</v>
      </c>
      <c r="X10" s="22" t="s">
        <v>47</v>
      </c>
    </row>
    <row r="11" customFormat="false" ht="45.75" hidden="false" customHeight="true" outlineLevel="0" collapsed="false">
      <c r="A11" s="13" t="s">
        <v>54</v>
      </c>
      <c r="B11" s="14" t="s">
        <v>39</v>
      </c>
      <c r="C11" s="14" t="s">
        <v>55</v>
      </c>
      <c r="D11" s="14" t="n">
        <v>70</v>
      </c>
      <c r="E11" s="15" t="n">
        <v>-0.289</v>
      </c>
      <c r="F11" s="14" t="str">
        <f aca="false">IF(E11&gt;-0.1879,"YES","no")</f>
        <v>no</v>
      </c>
      <c r="G11" s="14" t="str">
        <f aca="false">IF(E11&gt;=-0.0795,"YES","no")</f>
        <v>no</v>
      </c>
      <c r="H11" s="16" t="n">
        <v>0.3571</v>
      </c>
      <c r="I11" s="17" t="s">
        <v>44</v>
      </c>
      <c r="J11" s="18" t="n">
        <v>-16.5</v>
      </c>
      <c r="K11" s="19" t="s">
        <v>56</v>
      </c>
      <c r="L11" s="19" t="s">
        <v>49</v>
      </c>
      <c r="M11" s="19" t="s">
        <v>57</v>
      </c>
      <c r="N11" s="20" t="n">
        <v>0.442857142857143</v>
      </c>
      <c r="O11" s="14" t="str">
        <f aca="false">IF(N11&gt;=GC_Criteria!$C$5,"PASS","fail")</f>
        <v>fail</v>
      </c>
      <c r="P11" s="19" t="n">
        <v>20</v>
      </c>
      <c r="Q11" s="21" t="n">
        <f aca="false">P11/42</f>
        <v>0.476190476190476</v>
      </c>
      <c r="R11" s="14" t="str">
        <f aca="false">IF(P11&gt;=GC_Criteria!$C$6,"PASS","fail")</f>
        <v>fail</v>
      </c>
      <c r="S11" s="20" t="n">
        <v>0.392857142857143</v>
      </c>
      <c r="T11" s="21" t="n">
        <f aca="false">Q11-S11</f>
        <v>0.0833333333333334</v>
      </c>
      <c r="U11" s="14" t="str">
        <f aca="false">IF(T11&gt;=GC_Criteria!$C$7,"PASS","fail")</f>
        <v>fail</v>
      </c>
      <c r="V11" s="13" t="n">
        <f aca="false">COUNTIF(O11,"PASS")+COUNTIF(R11,"PASS")+COUNTIF(U11,"PASS")</f>
        <v>0</v>
      </c>
      <c r="W11" s="13" t="str">
        <f aca="false">IF(AND(I11="SUPPORTED",V11=3),"SUPPORTED",IF(OR(I11="SUPPORTED",I11="BORDERLINE"),"BORDERLINE","NOT SUPPORTED"))</f>
        <v>NOT SUPPORTED</v>
      </c>
      <c r="X11" s="22" t="s">
        <v>47</v>
      </c>
    </row>
    <row r="12" customFormat="false" ht="45.75" hidden="false" customHeight="true" outlineLevel="0" collapsed="false">
      <c r="A12" s="13" t="s">
        <v>58</v>
      </c>
      <c r="B12" s="14" t="s">
        <v>39</v>
      </c>
      <c r="C12" s="14" t="s">
        <v>55</v>
      </c>
      <c r="D12" s="14" t="n">
        <v>70</v>
      </c>
      <c r="E12" s="15" t="n">
        <v>-0.3182</v>
      </c>
      <c r="F12" s="14" t="str">
        <f aca="false">IF(E12&gt;-0.1879,"YES","no")</f>
        <v>no</v>
      </c>
      <c r="G12" s="14" t="str">
        <f aca="false">IF(E12&gt;=-0.0795,"YES","no")</f>
        <v>no</v>
      </c>
      <c r="H12" s="16" t="n">
        <v>0.4286</v>
      </c>
      <c r="I12" s="17" t="s">
        <v>44</v>
      </c>
      <c r="J12" s="18" t="n">
        <v>-16.4</v>
      </c>
      <c r="K12" s="19" t="s">
        <v>34</v>
      </c>
      <c r="L12" s="19" t="s">
        <v>49</v>
      </c>
      <c r="M12" s="19" t="s">
        <v>53</v>
      </c>
      <c r="N12" s="20" t="n">
        <v>0.3</v>
      </c>
      <c r="O12" s="14" t="str">
        <f aca="false">IF(N12&gt;=GC_Criteria!$C$5,"PASS","fail")</f>
        <v>fail</v>
      </c>
      <c r="P12" s="19" t="n">
        <v>12</v>
      </c>
      <c r="Q12" s="21" t="n">
        <f aca="false">P12/42</f>
        <v>0.285714285714286</v>
      </c>
      <c r="R12" s="14" t="str">
        <f aca="false">IF(P12&gt;=GC_Criteria!$C$6,"PASS","fail")</f>
        <v>fail</v>
      </c>
      <c r="S12" s="20" t="n">
        <v>0.321428571428572</v>
      </c>
      <c r="T12" s="21" t="n">
        <f aca="false">Q12-S12</f>
        <v>-0.0357142857142858</v>
      </c>
      <c r="U12" s="14" t="str">
        <f aca="false">IF(T12&gt;=GC_Criteria!$C$7,"PASS","fail")</f>
        <v>fail</v>
      </c>
      <c r="V12" s="13" t="n">
        <f aca="false">COUNTIF(O12,"PASS")+COUNTIF(R12,"PASS")+COUNTIF(U12,"PASS")</f>
        <v>0</v>
      </c>
      <c r="W12" s="13" t="str">
        <f aca="false">IF(AND(I12="SUPPORTED",V12=3),"SUPPORTED",IF(OR(I12="SUPPORTED",I12="BORDERLINE"),"BORDERLINE","NOT SUPPORTED"))</f>
        <v>NOT SUPPORTED</v>
      </c>
      <c r="X12" s="22" t="s">
        <v>47</v>
      </c>
    </row>
    <row r="13" customFormat="false" ht="45.75" hidden="false" customHeight="true" outlineLevel="0" collapsed="false">
      <c r="A13" s="13" t="s">
        <v>59</v>
      </c>
      <c r="B13" s="14" t="s">
        <v>39</v>
      </c>
      <c r="C13" s="14" t="s">
        <v>55</v>
      </c>
      <c r="D13" s="14" t="n">
        <v>80</v>
      </c>
      <c r="E13" s="15" t="n">
        <v>-0.4668</v>
      </c>
      <c r="F13" s="14" t="str">
        <f aca="false">IF(E13&gt;-0.1879,"YES","no")</f>
        <v>no</v>
      </c>
      <c r="G13" s="14" t="str">
        <f aca="false">IF(E13&gt;=-0.0795,"YES","no")</f>
        <v>no</v>
      </c>
      <c r="H13" s="16" t="n">
        <v>0.9286</v>
      </c>
      <c r="I13" s="17" t="s">
        <v>44</v>
      </c>
      <c r="J13" s="18" t="n">
        <v>-19.3</v>
      </c>
      <c r="K13" s="19" t="s">
        <v>56</v>
      </c>
      <c r="L13" s="19" t="s">
        <v>45</v>
      </c>
      <c r="M13" s="19" t="s">
        <v>53</v>
      </c>
      <c r="N13" s="20" t="n">
        <v>0.338028169014085</v>
      </c>
      <c r="O13" s="14" t="str">
        <f aca="false">IF(N13&gt;=GC_Criteria!$C$5,"PASS","fail")</f>
        <v>fail</v>
      </c>
      <c r="P13" s="19" t="n">
        <v>16</v>
      </c>
      <c r="Q13" s="21" t="n">
        <f aca="false">P13/42</f>
        <v>0.380952380952381</v>
      </c>
      <c r="R13" s="14" t="str">
        <f aca="false">IF(P13&gt;=GC_Criteria!$C$6,"PASS","fail")</f>
        <v>fail</v>
      </c>
      <c r="S13" s="20" t="n">
        <v>0.275862068965517</v>
      </c>
      <c r="T13" s="21" t="n">
        <f aca="false">Q13-S13</f>
        <v>0.105090311986864</v>
      </c>
      <c r="U13" s="14" t="str">
        <f aca="false">IF(T13&gt;=GC_Criteria!$C$7,"PASS","fail")</f>
        <v>fail</v>
      </c>
      <c r="V13" s="13" t="n">
        <f aca="false">COUNTIF(O13,"PASS")+COUNTIF(R13,"PASS")+COUNTIF(U13,"PASS")</f>
        <v>0</v>
      </c>
      <c r="W13" s="13" t="str">
        <f aca="false">IF(AND(I13="SUPPORTED",V13=3),"SUPPORTED",IF(OR(I13="SUPPORTED",I13="BORDERLINE"),"BORDERLINE","NOT SUPPORTED"))</f>
        <v>NOT SUPPORTED</v>
      </c>
      <c r="X13" s="22" t="s">
        <v>47</v>
      </c>
    </row>
    <row r="14" customFormat="false" ht="45.75" hidden="false" customHeight="true" outlineLevel="0" collapsed="false">
      <c r="A14" s="13" t="s">
        <v>60</v>
      </c>
      <c r="B14" s="14" t="s">
        <v>39</v>
      </c>
      <c r="C14" s="14" t="s">
        <v>40</v>
      </c>
      <c r="D14" s="14" t="n">
        <v>93</v>
      </c>
      <c r="E14" s="15" t="n">
        <v>-0.4941</v>
      </c>
      <c r="F14" s="14" t="str">
        <f aca="false">IF(E14&gt;-0.1879,"YES","no")</f>
        <v>no</v>
      </c>
      <c r="G14" s="14" t="str">
        <f aca="false">IF(E14&gt;=-0.0795,"YES","no")</f>
        <v>no</v>
      </c>
      <c r="H14" s="16" t="n">
        <v>1</v>
      </c>
      <c r="I14" s="17" t="s">
        <v>44</v>
      </c>
      <c r="J14" s="18" t="n">
        <v>-20.6</v>
      </c>
      <c r="K14" s="19" t="s">
        <v>34</v>
      </c>
      <c r="L14" s="19" t="s">
        <v>61</v>
      </c>
      <c r="M14" s="19" t="s">
        <v>46</v>
      </c>
      <c r="N14" s="20" t="n">
        <v>0.486111111111111</v>
      </c>
      <c r="O14" s="14" t="str">
        <f aca="false">IF(N14&gt;=GC_Criteria!$C$5,"PASS","fail")</f>
        <v>fail</v>
      </c>
      <c r="P14" s="19" t="n">
        <v>18</v>
      </c>
      <c r="Q14" s="21" t="n">
        <f aca="false">P14/42</f>
        <v>0.428571428571429</v>
      </c>
      <c r="R14" s="14" t="str">
        <f aca="false">IF(P14&gt;=GC_Criteria!$C$6,"PASS","fail")</f>
        <v>fail</v>
      </c>
      <c r="S14" s="20" t="n">
        <v>0.566666666666667</v>
      </c>
      <c r="T14" s="21" t="n">
        <f aca="false">Q14-S14</f>
        <v>-0.138095238095238</v>
      </c>
      <c r="U14" s="14" t="str">
        <f aca="false">IF(T14&gt;=GC_Criteria!$C$7,"PASS","fail")</f>
        <v>fail</v>
      </c>
      <c r="V14" s="13" t="n">
        <f aca="false">COUNTIF(O14,"PASS")+COUNTIF(R14,"PASS")+COUNTIF(U14,"PASS")</f>
        <v>0</v>
      </c>
      <c r="W14" s="13" t="str">
        <f aca="false">IF(AND(I14="SUPPORTED",V14=3),"SUPPORTED",IF(OR(I14="SUPPORTED",I14="BORDERLINE"),"BORDERLINE","NOT SUPPORTED"))</f>
        <v>NOT SUPPORTED</v>
      </c>
      <c r="X14" s="22" t="s">
        <v>47</v>
      </c>
    </row>
    <row r="16" customFormat="false" ht="26.85" hidden="false" customHeight="false" outlineLevel="0" collapsed="false">
      <c r="A16" s="12" t="s">
        <v>62</v>
      </c>
      <c r="B16" s="12" t="s">
        <v>63</v>
      </c>
      <c r="C16" s="12" t="s">
        <v>64</v>
      </c>
    </row>
    <row r="17" customFormat="false" ht="26.85" hidden="false" customHeight="true" outlineLevel="0" collapsed="false">
      <c r="A17" s="23" t="s">
        <v>33</v>
      </c>
      <c r="B17" s="13" t="n">
        <f aca="false">COUNTIF($W$6:$W$14,A17)</f>
        <v>1</v>
      </c>
      <c r="C17" s="22" t="s">
        <v>30</v>
      </c>
      <c r="D17" s="22"/>
      <c r="E17" s="22"/>
      <c r="F17" s="22"/>
      <c r="G17" s="22"/>
      <c r="H17" s="22"/>
      <c r="I17" s="22"/>
    </row>
    <row r="18" customFormat="false" ht="26.85" hidden="false" customHeight="true" outlineLevel="0" collapsed="false">
      <c r="A18" s="24" t="s">
        <v>41</v>
      </c>
      <c r="B18" s="13" t="n">
        <f aca="false">COUNTIF($W$6:$W$14,A18)</f>
        <v>1</v>
      </c>
      <c r="C18" s="22" t="s">
        <v>38</v>
      </c>
      <c r="D18" s="22"/>
      <c r="E18" s="22"/>
      <c r="F18" s="22"/>
      <c r="G18" s="22"/>
      <c r="H18" s="22"/>
      <c r="I18" s="22"/>
    </row>
    <row r="19" customFormat="false" ht="39.55" hidden="false" customHeight="true" outlineLevel="0" collapsed="false">
      <c r="A19" s="25" t="s">
        <v>44</v>
      </c>
      <c r="B19" s="13" t="n">
        <f aca="false">COUNTIF($W$6:$W$14,A19)</f>
        <v>7</v>
      </c>
      <c r="C19" s="22" t="s">
        <v>65</v>
      </c>
      <c r="D19" s="22"/>
      <c r="E19" s="22"/>
      <c r="F19" s="22"/>
      <c r="G19" s="22"/>
      <c r="H19" s="22"/>
      <c r="I19" s="22"/>
    </row>
    <row r="21" customFormat="false" ht="15" hidden="false" customHeight="false" outlineLevel="0" collapsed="false">
      <c r="A21" s="26" t="s">
        <v>66</v>
      </c>
    </row>
    <row r="22" customFormat="false" ht="25.5" hidden="false" customHeight="true" outlineLevel="0" collapsed="false">
      <c r="A22" s="27" t="s">
        <v>67</v>
      </c>
      <c r="B22" s="27"/>
      <c r="C22" s="27"/>
      <c r="D22" s="27"/>
      <c r="E22" s="27"/>
      <c r="F22" s="27"/>
      <c r="G22" s="27"/>
      <c r="H22" s="27"/>
      <c r="I22" s="27"/>
      <c r="J22" s="27"/>
      <c r="K22" s="27"/>
      <c r="L22" s="27"/>
      <c r="M22" s="27"/>
      <c r="N22" s="27"/>
      <c r="O22" s="27"/>
      <c r="P22" s="27"/>
      <c r="Q22" s="27"/>
      <c r="R22" s="27"/>
      <c r="S22" s="27"/>
      <c r="T22" s="27"/>
      <c r="U22" s="27"/>
      <c r="V22" s="27"/>
      <c r="W22" s="27"/>
      <c r="X22" s="27"/>
    </row>
    <row r="23" customFormat="false" ht="25.5" hidden="false" customHeight="true" outlineLevel="0" collapsed="false">
      <c r="A23" s="27" t="s">
        <v>68</v>
      </c>
      <c r="B23" s="27"/>
      <c r="C23" s="27"/>
      <c r="D23" s="27"/>
      <c r="E23" s="27"/>
      <c r="F23" s="27"/>
      <c r="G23" s="27"/>
      <c r="H23" s="27"/>
      <c r="I23" s="27"/>
      <c r="J23" s="27"/>
      <c r="K23" s="27"/>
      <c r="L23" s="27"/>
      <c r="M23" s="27"/>
      <c r="N23" s="27"/>
      <c r="O23" s="27"/>
      <c r="P23" s="27"/>
      <c r="Q23" s="27"/>
      <c r="R23" s="27"/>
      <c r="S23" s="27"/>
      <c r="T23" s="27"/>
      <c r="U23" s="27"/>
      <c r="V23" s="27"/>
      <c r="W23" s="27"/>
      <c r="X23" s="27"/>
    </row>
    <row r="24" customFormat="false" ht="25.5" hidden="false" customHeight="true" outlineLevel="0" collapsed="false">
      <c r="A24" s="27" t="s">
        <v>69</v>
      </c>
      <c r="B24" s="27"/>
      <c r="C24" s="27"/>
      <c r="D24" s="27"/>
      <c r="E24" s="27"/>
      <c r="F24" s="27"/>
      <c r="G24" s="27"/>
      <c r="H24" s="27"/>
      <c r="I24" s="27"/>
      <c r="J24" s="27"/>
      <c r="K24" s="27"/>
      <c r="L24" s="27"/>
      <c r="M24" s="27"/>
      <c r="N24" s="27"/>
      <c r="O24" s="27"/>
      <c r="P24" s="27"/>
      <c r="Q24" s="27"/>
      <c r="R24" s="27"/>
      <c r="S24" s="27"/>
      <c r="T24" s="27"/>
      <c r="U24" s="27"/>
      <c r="V24" s="27"/>
      <c r="W24" s="27"/>
      <c r="X24" s="27"/>
    </row>
    <row r="25" customFormat="false" ht="25.5" hidden="false" customHeight="true" outlineLevel="0" collapsed="false">
      <c r="A25" s="27" t="s">
        <v>70</v>
      </c>
      <c r="B25" s="27"/>
      <c r="C25" s="27"/>
      <c r="D25" s="27"/>
      <c r="E25" s="27"/>
      <c r="F25" s="27"/>
      <c r="G25" s="27"/>
      <c r="H25" s="27"/>
      <c r="I25" s="27"/>
      <c r="J25" s="27"/>
      <c r="K25" s="27"/>
      <c r="L25" s="27"/>
      <c r="M25" s="27"/>
      <c r="N25" s="27"/>
      <c r="O25" s="27"/>
      <c r="P25" s="27"/>
      <c r="Q25" s="27"/>
      <c r="R25" s="27"/>
      <c r="S25" s="27"/>
      <c r="T25" s="27"/>
      <c r="U25" s="27"/>
      <c r="V25" s="27"/>
      <c r="W25" s="27"/>
      <c r="X25" s="27"/>
    </row>
    <row r="26" customFormat="false" ht="25.5" hidden="false" customHeight="true" outlineLevel="0" collapsed="false">
      <c r="A26" s="27" t="s">
        <v>71</v>
      </c>
      <c r="B26" s="27"/>
      <c r="C26" s="27"/>
      <c r="D26" s="27"/>
      <c r="E26" s="27"/>
      <c r="F26" s="27"/>
      <c r="G26" s="27"/>
      <c r="H26" s="27"/>
      <c r="I26" s="27"/>
      <c r="J26" s="27"/>
      <c r="K26" s="27"/>
      <c r="L26" s="27"/>
      <c r="M26" s="27"/>
      <c r="N26" s="27"/>
      <c r="O26" s="27"/>
      <c r="P26" s="27"/>
      <c r="Q26" s="27"/>
      <c r="R26" s="27"/>
      <c r="S26" s="27"/>
      <c r="T26" s="27"/>
      <c r="U26" s="27"/>
      <c r="V26" s="27"/>
      <c r="W26" s="27"/>
      <c r="X26" s="27"/>
    </row>
    <row r="28" customFormat="false" ht="15" hidden="false" customHeight="true" outlineLevel="0" collapsed="false">
      <c r="A28" s="28" t="s">
        <v>72</v>
      </c>
      <c r="B28" s="28"/>
      <c r="C28" s="28"/>
      <c r="D28" s="28"/>
      <c r="E28" s="28"/>
      <c r="F28" s="28"/>
      <c r="G28" s="28"/>
      <c r="H28" s="28"/>
      <c r="I28" s="28"/>
      <c r="J28" s="28"/>
      <c r="K28" s="28"/>
      <c r="L28" s="28"/>
      <c r="M28" s="28"/>
      <c r="N28" s="28"/>
      <c r="O28" s="28"/>
      <c r="P28" s="28"/>
      <c r="Q28" s="28"/>
      <c r="R28" s="28"/>
      <c r="S28" s="28"/>
      <c r="T28" s="28"/>
      <c r="U28" s="28"/>
      <c r="V28" s="28"/>
      <c r="W28" s="28"/>
      <c r="X28" s="28"/>
    </row>
  </sheetData>
  <mergeCells count="14">
    <mergeCell ref="A4:D4"/>
    <mergeCell ref="E4:I4"/>
    <mergeCell ref="J4:M4"/>
    <mergeCell ref="N4:V4"/>
    <mergeCell ref="W4:X4"/>
    <mergeCell ref="C17:I17"/>
    <mergeCell ref="C18:I18"/>
    <mergeCell ref="C19:I19"/>
    <mergeCell ref="A22:X22"/>
    <mergeCell ref="A23:X23"/>
    <mergeCell ref="A24:X24"/>
    <mergeCell ref="A25:X25"/>
    <mergeCell ref="A26:X26"/>
    <mergeCell ref="A28:X28"/>
  </mergeCells>
  <conditionalFormatting sqref="I6:I14">
    <cfRule type="cellIs" priority="2" operator="equal" aboveAverage="0" equalAverage="0" bottom="0" percent="0" rank="0" text="" dxfId="0">
      <formula>"SUPPORTED"</formula>
    </cfRule>
    <cfRule type="cellIs" priority="3" operator="equal" aboveAverage="0" equalAverage="0" bottom="0" percent="0" rank="0" text="" dxfId="1">
      <formula>"BORDERLINE"</formula>
    </cfRule>
    <cfRule type="cellIs" priority="4" operator="equal" aboveAverage="0" equalAverage="0" bottom="0" percent="0" rank="0" text="" dxfId="2">
      <formula>"NOT SUPPORTED"</formula>
    </cfRule>
  </conditionalFormatting>
  <conditionalFormatting sqref="W6:W14">
    <cfRule type="cellIs" priority="5" operator="equal" aboveAverage="0" equalAverage="0" bottom="0" percent="0" rank="0" text="" dxfId="0">
      <formula>"SUPPORTED"</formula>
    </cfRule>
    <cfRule type="cellIs" priority="6" operator="equal" aboveAverage="0" equalAverage="0" bottom="0" percent="0" rank="0" text="" dxfId="1">
      <formula>"BORDERLINE"</formula>
    </cfRule>
    <cfRule type="cellIs" priority="7" operator="equal" aboveAverage="0" equalAverage="0" bottom="0" percent="0" rank="0" text="" dxfId="2">
      <formula>"NOT SUPPORTED"</formula>
    </cfRule>
  </conditionalFormatting>
  <conditionalFormatting sqref="O6:O14">
    <cfRule type="cellIs" priority="8" operator="equal" aboveAverage="0" equalAverage="0" bottom="0" percent="0" rank="0" text="" dxfId="0">
      <formula>"PASS"</formula>
    </cfRule>
    <cfRule type="cellIs" priority="9" operator="equal" aboveAverage="0" equalAverage="0" bottom="0" percent="0" rank="0" text="" dxfId="0">
      <formula>"YES"</formula>
    </cfRule>
  </conditionalFormatting>
  <conditionalFormatting sqref="R6:R14">
    <cfRule type="cellIs" priority="10" operator="equal" aboveAverage="0" equalAverage="0" bottom="0" percent="0" rank="0" text="" dxfId="0">
      <formula>"PASS"</formula>
    </cfRule>
    <cfRule type="cellIs" priority="11" operator="equal" aboveAverage="0" equalAverage="0" bottom="0" percent="0" rank="0" text="" dxfId="0">
      <formula>"YES"</formula>
    </cfRule>
  </conditionalFormatting>
  <conditionalFormatting sqref="U6:U14">
    <cfRule type="cellIs" priority="12" operator="equal" aboveAverage="0" equalAverage="0" bottom="0" percent="0" rank="0" text="" dxfId="0">
      <formula>"PASS"</formula>
    </cfRule>
    <cfRule type="cellIs" priority="13" operator="equal" aboveAverage="0" equalAverage="0" bottom="0" percent="0" rank="0" text="" dxfId="0">
      <formula>"YES"</formula>
    </cfRule>
  </conditionalFormatting>
  <conditionalFormatting sqref="F6:F14">
    <cfRule type="cellIs" priority="14" operator="equal" aboveAverage="0" equalAverage="0" bottom="0" percent="0" rank="0" text="" dxfId="0">
      <formula>"PASS"</formula>
    </cfRule>
    <cfRule type="cellIs" priority="15" operator="equal" aboveAverage="0" equalAverage="0" bottom="0" percent="0" rank="0" text="" dxfId="0">
      <formula>"YES"</formula>
    </cfRule>
  </conditionalFormatting>
  <conditionalFormatting sqref="G6:G14">
    <cfRule type="cellIs" priority="16" operator="equal" aboveAverage="0" equalAverage="0" bottom="0" percent="0" rank="0" text="" dxfId="0">
      <formula>"PASS"</formula>
    </cfRule>
    <cfRule type="cellIs" priority="17" operator="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8"/>
    <col collapsed="false" customWidth="true" hidden="false" outlineLevel="0" max="6" min="4" style="0" width="14"/>
    <col collapsed="false" customWidth="true" hidden="false" outlineLevel="0" max="7" min="7" style="0" width="16"/>
    <col collapsed="false" customWidth="true" hidden="false" outlineLevel="0" max="8" min="8" style="0" width="52"/>
  </cols>
  <sheetData>
    <row r="1" customFormat="false" ht="15" hidden="false" customHeight="false" outlineLevel="0" collapsed="false">
      <c r="A1" s="29" t="s">
        <v>73</v>
      </c>
    </row>
    <row r="2" customFormat="false" ht="15" hidden="false" customHeight="false" outlineLevel="0" collapsed="false">
      <c r="A2" s="2" t="s">
        <v>74</v>
      </c>
    </row>
    <row r="4" customFormat="false" ht="39.55" hidden="false" customHeight="false" outlineLevel="0" collapsed="false">
      <c r="A4" s="9" t="s">
        <v>75</v>
      </c>
      <c r="B4" s="9" t="s">
        <v>76</v>
      </c>
      <c r="C4" s="9" t="s">
        <v>77</v>
      </c>
      <c r="D4" s="9" t="s">
        <v>78</v>
      </c>
    </row>
    <row r="5" customFormat="false" ht="52.2" hidden="false" customHeight="false" outlineLevel="0" collapsed="false">
      <c r="A5" s="30" t="s">
        <v>79</v>
      </c>
      <c r="B5" s="22" t="s">
        <v>80</v>
      </c>
      <c r="C5" s="31" t="n">
        <v>0.492273082942097</v>
      </c>
      <c r="D5" s="22" t="s">
        <v>81</v>
      </c>
    </row>
    <row r="6" customFormat="false" ht="77.6" hidden="false" customHeight="false" outlineLevel="0" collapsed="false">
      <c r="A6" s="30" t="s">
        <v>82</v>
      </c>
      <c r="B6" s="22" t="s">
        <v>83</v>
      </c>
      <c r="C6" s="32" t="n">
        <v>24</v>
      </c>
      <c r="D6" s="22" t="s">
        <v>84</v>
      </c>
    </row>
    <row r="7" customFormat="false" ht="52.2" hidden="false" customHeight="false" outlineLevel="0" collapsed="false">
      <c r="A7" s="30" t="s">
        <v>85</v>
      </c>
      <c r="B7" s="22" t="s">
        <v>86</v>
      </c>
      <c r="C7" s="31" t="n">
        <v>0.149244663382594</v>
      </c>
      <c r="D7" s="22" t="s">
        <v>81</v>
      </c>
    </row>
    <row r="10" customFormat="false" ht="31.5" hidden="false" customHeight="true" outlineLevel="0" collapsed="false">
      <c r="A10" s="9" t="s">
        <v>87</v>
      </c>
      <c r="B10" s="9" t="s">
        <v>88</v>
      </c>
      <c r="C10" s="9" t="s">
        <v>89</v>
      </c>
      <c r="D10" s="9" t="s">
        <v>90</v>
      </c>
      <c r="E10" s="9" t="s">
        <v>91</v>
      </c>
      <c r="F10" s="9" t="s">
        <v>92</v>
      </c>
      <c r="G10" s="9" t="s">
        <v>93</v>
      </c>
      <c r="H10" s="9" t="s">
        <v>94</v>
      </c>
    </row>
    <row r="11" customFormat="false" ht="39.55" hidden="false" customHeight="false" outlineLevel="0" collapsed="false">
      <c r="A11" s="30" t="s">
        <v>95</v>
      </c>
      <c r="B11" s="22" t="s">
        <v>96</v>
      </c>
      <c r="C11" s="14" t="n">
        <v>199</v>
      </c>
      <c r="D11" s="19" t="s">
        <v>97</v>
      </c>
      <c r="E11" s="19" t="s">
        <v>98</v>
      </c>
      <c r="F11" s="19" t="s">
        <v>97</v>
      </c>
      <c r="G11" s="17" t="s">
        <v>99</v>
      </c>
      <c r="H11" s="22" t="s">
        <v>100</v>
      </c>
    </row>
    <row r="12" customFormat="false" ht="39.55" hidden="false" customHeight="false" outlineLevel="0" collapsed="false">
      <c r="A12" s="30" t="s">
        <v>101</v>
      </c>
      <c r="B12" s="22" t="s">
        <v>102</v>
      </c>
      <c r="C12" s="14" t="n">
        <v>96</v>
      </c>
      <c r="D12" s="19" t="s">
        <v>103</v>
      </c>
      <c r="E12" s="19" t="s">
        <v>104</v>
      </c>
      <c r="F12" s="19" t="s">
        <v>105</v>
      </c>
      <c r="G12" s="17" t="s">
        <v>106</v>
      </c>
      <c r="H12" s="22" t="s">
        <v>107</v>
      </c>
    </row>
    <row r="13" customFormat="false" ht="52.2" hidden="false" customHeight="false" outlineLevel="0" collapsed="false">
      <c r="A13" s="30" t="s">
        <v>108</v>
      </c>
      <c r="B13" s="22" t="s">
        <v>109</v>
      </c>
      <c r="C13" s="14" t="n">
        <v>62</v>
      </c>
      <c r="D13" s="19" t="s">
        <v>110</v>
      </c>
      <c r="E13" s="19" t="s">
        <v>110</v>
      </c>
      <c r="F13" s="19" t="s">
        <v>111</v>
      </c>
      <c r="G13" s="17" t="s">
        <v>111</v>
      </c>
      <c r="H13" s="22" t="s">
        <v>112</v>
      </c>
    </row>
    <row r="14" customFormat="false" ht="39.55" hidden="false" customHeight="false" outlineLevel="0" collapsed="false">
      <c r="A14" s="30" t="s">
        <v>113</v>
      </c>
      <c r="B14" s="22" t="s">
        <v>114</v>
      </c>
      <c r="C14" s="14" t="n">
        <v>9</v>
      </c>
      <c r="D14" s="19" t="s">
        <v>115</v>
      </c>
      <c r="E14" s="19" t="s">
        <v>115</v>
      </c>
      <c r="F14" s="19" t="s">
        <v>116</v>
      </c>
      <c r="G14" s="17" t="s">
        <v>116</v>
      </c>
      <c r="H14" s="22" t="s">
        <v>117</v>
      </c>
    </row>
    <row r="15" customFormat="false" ht="52.2" hidden="false" customHeight="false" outlineLevel="0" collapsed="false">
      <c r="A15" s="30" t="s">
        <v>118</v>
      </c>
      <c r="B15" s="22" t="s">
        <v>119</v>
      </c>
      <c r="C15" s="14" t="n">
        <v>13</v>
      </c>
      <c r="D15" s="19" t="s">
        <v>120</v>
      </c>
      <c r="E15" s="19" t="s">
        <v>120</v>
      </c>
      <c r="F15" s="19" t="s">
        <v>120</v>
      </c>
      <c r="G15" s="17" t="s">
        <v>120</v>
      </c>
      <c r="H15" s="22" t="s">
        <v>121</v>
      </c>
    </row>
    <row r="17" customFormat="false" ht="22.35" hidden="false" customHeight="true" outlineLevel="0" collapsed="false">
      <c r="A17" s="28" t="s">
        <v>122</v>
      </c>
      <c r="B17" s="28"/>
      <c r="C17" s="28"/>
      <c r="D17" s="28"/>
      <c r="E17" s="28"/>
      <c r="F17" s="28"/>
      <c r="G17" s="28"/>
      <c r="H17" s="28"/>
    </row>
  </sheetData>
  <mergeCells count="1">
    <mergeCell ref="A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7"/>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8"/>
    <col collapsed="false" customWidth="true" hidden="false" outlineLevel="0" max="7" min="7" style="0" width="13"/>
    <col collapsed="false" customWidth="true" hidden="false" outlineLevel="0" max="8" min="8" style="0" width="11"/>
    <col collapsed="false" customWidth="true" hidden="false" outlineLevel="0" max="9" min="9" style="0" width="18"/>
    <col collapsed="false" customWidth="true" hidden="false" outlineLevel="0" max="10" min="10" style="0" width="10"/>
  </cols>
  <sheetData>
    <row r="1" customFormat="false" ht="15" hidden="false" customHeight="false" outlineLevel="0" collapsed="false">
      <c r="A1" s="29" t="s">
        <v>123</v>
      </c>
    </row>
    <row r="3" customFormat="false" ht="31.5" hidden="false" customHeight="true" outlineLevel="0" collapsed="false">
      <c r="A3" s="9" t="s">
        <v>87</v>
      </c>
      <c r="B3" s="9" t="s">
        <v>89</v>
      </c>
      <c r="C3" s="9" t="s">
        <v>19</v>
      </c>
      <c r="D3" s="9" t="s">
        <v>124</v>
      </c>
      <c r="E3" s="9" t="s">
        <v>125</v>
      </c>
      <c r="F3" s="9" t="s">
        <v>126</v>
      </c>
      <c r="G3" s="9" t="s">
        <v>24</v>
      </c>
      <c r="H3" s="9" t="s">
        <v>25</v>
      </c>
      <c r="I3" s="9" t="s">
        <v>127</v>
      </c>
      <c r="J3" s="9" t="s">
        <v>128</v>
      </c>
    </row>
    <row r="4" customFormat="false" ht="26.85" hidden="false" customHeight="false" outlineLevel="0" collapsed="false">
      <c r="A4" s="30" t="s">
        <v>95</v>
      </c>
      <c r="B4" s="14" t="n">
        <v>199</v>
      </c>
      <c r="C4" s="20" t="n">
        <v>0.601118870413667</v>
      </c>
      <c r="D4" s="19" t="s">
        <v>129</v>
      </c>
      <c r="E4" s="20" t="n">
        <v>0.730078966259871</v>
      </c>
      <c r="F4" s="19" t="s">
        <v>130</v>
      </c>
      <c r="G4" s="20" t="n">
        <v>0.416995296045721</v>
      </c>
      <c r="H4" s="31" t="n">
        <v>0.31308367021415</v>
      </c>
      <c r="I4" s="19" t="s">
        <v>131</v>
      </c>
      <c r="J4" s="19" t="s">
        <v>132</v>
      </c>
    </row>
    <row r="5" customFormat="false" ht="15" hidden="false" customHeight="false" outlineLevel="0" collapsed="false">
      <c r="A5" s="30" t="s">
        <v>101</v>
      </c>
      <c r="B5" s="14" t="n">
        <v>96</v>
      </c>
      <c r="C5" s="20" t="n">
        <v>0.587230279479531</v>
      </c>
      <c r="D5" s="19" t="s">
        <v>133</v>
      </c>
      <c r="E5" s="20" t="n">
        <v>0.710565476190476</v>
      </c>
      <c r="F5" s="19" t="s">
        <v>134</v>
      </c>
      <c r="G5" s="20" t="n">
        <v>0.41064022304324</v>
      </c>
      <c r="H5" s="31" t="n">
        <v>0.299925253147236</v>
      </c>
      <c r="I5" s="19" t="s">
        <v>135</v>
      </c>
      <c r="J5" s="19" t="s">
        <v>136</v>
      </c>
    </row>
    <row r="6" customFormat="false" ht="26.85" hidden="false" customHeight="false" outlineLevel="0" collapsed="false">
      <c r="A6" s="30" t="s">
        <v>108</v>
      </c>
      <c r="B6" s="14" t="n">
        <v>62</v>
      </c>
      <c r="C6" s="20" t="n">
        <v>0.615093157511376</v>
      </c>
      <c r="D6" s="19" t="s">
        <v>137</v>
      </c>
      <c r="E6" s="20" t="n">
        <v>0.745007680491551</v>
      </c>
      <c r="F6" s="19" t="s">
        <v>138</v>
      </c>
      <c r="G6" s="20" t="n">
        <v>0.428762116637534</v>
      </c>
      <c r="H6" s="31" t="n">
        <v>0.316245563854018</v>
      </c>
      <c r="I6" s="19" t="s">
        <v>139</v>
      </c>
      <c r="J6" s="19" t="s">
        <v>140</v>
      </c>
    </row>
    <row r="7" customFormat="false" ht="15" hidden="false" customHeight="false" outlineLevel="0" collapsed="false">
      <c r="A7" s="30" t="s">
        <v>113</v>
      </c>
      <c r="B7" s="14" t="n">
        <v>9</v>
      </c>
      <c r="C7" s="20" t="n">
        <v>0.443947636435899</v>
      </c>
      <c r="D7" s="19" t="s">
        <v>141</v>
      </c>
      <c r="E7" s="20" t="n">
        <v>0.476190476190476</v>
      </c>
      <c r="F7" s="19" t="s">
        <v>142</v>
      </c>
      <c r="G7" s="20" t="n">
        <v>0.397062579821201</v>
      </c>
      <c r="H7" s="31" t="n">
        <v>0.0791278963692757</v>
      </c>
      <c r="I7" s="19" t="s">
        <v>143</v>
      </c>
      <c r="J7" s="19" t="s">
        <v>144</v>
      </c>
    </row>
    <row r="8" customFormat="false" ht="26.85" hidden="false" customHeight="false" outlineLevel="0" collapsed="false">
      <c r="A8" s="30" t="s">
        <v>118</v>
      </c>
      <c r="B8" s="14" t="n">
        <v>13</v>
      </c>
      <c r="C8" s="20" t="n">
        <v>0.312552666425906</v>
      </c>
      <c r="D8" s="19" t="s">
        <v>145</v>
      </c>
      <c r="E8" s="20" t="n">
        <v>0.304029304029304</v>
      </c>
      <c r="F8" s="19" t="s">
        <v>146</v>
      </c>
      <c r="G8" s="20" t="n">
        <v>0.324580017683466</v>
      </c>
      <c r="H8" s="31" t="n">
        <v>-0.0205507136541619</v>
      </c>
      <c r="I8" s="19" t="s">
        <v>147</v>
      </c>
      <c r="J8" s="19" t="s">
        <v>148</v>
      </c>
    </row>
    <row r="10" customFormat="false" ht="22.35" hidden="false" customHeight="true" outlineLevel="0" collapsed="false">
      <c r="A10" s="28" t="s">
        <v>149</v>
      </c>
      <c r="B10" s="28"/>
      <c r="C10" s="28"/>
      <c r="D10" s="28"/>
      <c r="E10" s="28"/>
      <c r="F10" s="28"/>
      <c r="G10" s="28"/>
      <c r="H10" s="28"/>
      <c r="I10" s="28"/>
      <c r="J10" s="28"/>
    </row>
    <row r="11" customFormat="false" ht="22.35" hidden="false" customHeight="true" outlineLevel="0" collapsed="false">
      <c r="A11" s="28" t="s">
        <v>150</v>
      </c>
      <c r="B11" s="28"/>
      <c r="C11" s="28"/>
      <c r="D11" s="28"/>
      <c r="E11" s="28"/>
      <c r="F11" s="28"/>
      <c r="G11" s="28"/>
      <c r="H11" s="28"/>
      <c r="I11" s="28"/>
      <c r="J11" s="28"/>
    </row>
    <row r="12" customFormat="false" ht="22.35" hidden="false" customHeight="true" outlineLevel="0" collapsed="false">
      <c r="A12" s="28" t="s">
        <v>151</v>
      </c>
      <c r="B12" s="28"/>
      <c r="C12" s="28"/>
      <c r="D12" s="28"/>
      <c r="E12" s="28"/>
      <c r="F12" s="28"/>
      <c r="G12" s="28"/>
      <c r="H12" s="28"/>
      <c r="I12" s="28"/>
      <c r="J12" s="28"/>
    </row>
  </sheetData>
  <mergeCells count="3">
    <mergeCell ref="A10:J10"/>
    <mergeCell ref="A11:J11"/>
    <mergeCell ref="A12:J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4"/>
    <col collapsed="false" customWidth="true" hidden="false" outlineLevel="0" max="4" min="3" style="0" width="10"/>
    <col collapsed="false" customWidth="true" hidden="false" outlineLevel="0" max="5" min="5" style="0" width="13"/>
    <col collapsed="false" customWidth="true" hidden="false" outlineLevel="0" max="6" min="6" style="0" width="66"/>
  </cols>
  <sheetData>
    <row r="1" customFormat="false" ht="15" hidden="false" customHeight="false" outlineLevel="0" collapsed="false">
      <c r="A1" s="29" t="s">
        <v>152</v>
      </c>
    </row>
    <row r="2" customFormat="false" ht="15" hidden="false" customHeight="false" outlineLevel="0" collapsed="false">
      <c r="A2" s="2" t="s">
        <v>153</v>
      </c>
    </row>
    <row r="4" customFormat="false" ht="30" hidden="false" customHeight="true" outlineLevel="0" collapsed="false">
      <c r="A4" s="9" t="s">
        <v>154</v>
      </c>
      <c r="B4" s="9" t="s">
        <v>7</v>
      </c>
      <c r="C4" s="9" t="s">
        <v>155</v>
      </c>
      <c r="D4" s="9" t="s">
        <v>156</v>
      </c>
      <c r="E4" s="9" t="s">
        <v>157</v>
      </c>
      <c r="F4" s="9" t="s">
        <v>158</v>
      </c>
    </row>
    <row r="5" customFormat="false" ht="15" hidden="false" customHeight="false" outlineLevel="0" collapsed="false">
      <c r="A5" s="33" t="s">
        <v>10</v>
      </c>
      <c r="B5" s="34" t="s">
        <v>159</v>
      </c>
      <c r="C5" s="35" t="n">
        <v>0.623931623931624</v>
      </c>
      <c r="D5" s="36" t="n">
        <v>0.349707474697222</v>
      </c>
      <c r="E5" s="34" t="s">
        <v>160</v>
      </c>
      <c r="F5" s="37" t="s">
        <v>161</v>
      </c>
    </row>
    <row r="6" customFormat="false" ht="15" hidden="false" customHeight="false" outlineLevel="0" collapsed="false">
      <c r="A6" s="30" t="s">
        <v>162</v>
      </c>
      <c r="B6" s="14" t="s">
        <v>163</v>
      </c>
      <c r="C6" s="16" t="n">
        <v>0.777777777777778</v>
      </c>
      <c r="D6" s="15" t="n">
        <v>0.0326063047830172</v>
      </c>
      <c r="E6" s="14" t="s">
        <v>164</v>
      </c>
      <c r="F6" s="22" t="s">
        <v>165</v>
      </c>
    </row>
    <row r="7" customFormat="false" ht="15" hidden="false" customHeight="false" outlineLevel="0" collapsed="false">
      <c r="A7" s="30" t="s">
        <v>19</v>
      </c>
      <c r="B7" s="14" t="s">
        <v>163</v>
      </c>
      <c r="C7" s="16" t="n">
        <v>0.858974358974359</v>
      </c>
      <c r="D7" s="15" t="n">
        <v>0.00550329281622383</v>
      </c>
      <c r="E7" s="14" t="s">
        <v>164</v>
      </c>
      <c r="F7" s="22" t="s">
        <v>166</v>
      </c>
    </row>
    <row r="8" customFormat="false" ht="15" hidden="false" customHeight="false" outlineLevel="0" collapsed="false">
      <c r="A8" s="30" t="s">
        <v>125</v>
      </c>
      <c r="B8" s="14" t="s">
        <v>163</v>
      </c>
      <c r="C8" s="16" t="n">
        <v>0.88034188034188</v>
      </c>
      <c r="D8" s="15" t="n">
        <v>0.00318723267381013</v>
      </c>
      <c r="E8" s="14" t="s">
        <v>164</v>
      </c>
      <c r="F8" s="22" t="s">
        <v>166</v>
      </c>
    </row>
    <row r="9" customFormat="false" ht="15" hidden="false" customHeight="false" outlineLevel="0" collapsed="false">
      <c r="A9" s="30" t="s">
        <v>167</v>
      </c>
      <c r="B9" s="14" t="s">
        <v>168</v>
      </c>
      <c r="C9" s="16" t="n">
        <v>0.735042735042735</v>
      </c>
      <c r="D9" s="15" t="n">
        <v>0.0713870335344383</v>
      </c>
      <c r="E9" s="14" t="s">
        <v>160</v>
      </c>
      <c r="F9" s="22" t="s">
        <v>169</v>
      </c>
    </row>
    <row r="10" customFormat="false" ht="15" hidden="false" customHeight="false" outlineLevel="0" collapsed="false">
      <c r="A10" s="30" t="s">
        <v>170</v>
      </c>
      <c r="B10" s="14" t="s">
        <v>168</v>
      </c>
      <c r="C10" s="16" t="n">
        <v>0.786324786324786</v>
      </c>
      <c r="D10" s="15" t="n">
        <v>0.0275471481074148</v>
      </c>
      <c r="E10" s="14" t="s">
        <v>164</v>
      </c>
      <c r="F10" s="22" t="s">
        <v>169</v>
      </c>
    </row>
    <row r="11" customFormat="false" ht="15" hidden="false" customHeight="false" outlineLevel="0" collapsed="false">
      <c r="A11" s="30" t="s">
        <v>171</v>
      </c>
      <c r="B11" s="14" t="s">
        <v>168</v>
      </c>
      <c r="C11" s="16" t="n">
        <v>0.794871794871795</v>
      </c>
      <c r="D11" s="15" t="n">
        <v>0.0231800564148898</v>
      </c>
      <c r="E11" s="14" t="s">
        <v>164</v>
      </c>
      <c r="F11" s="22" t="s">
        <v>169</v>
      </c>
    </row>
    <row r="12" customFormat="false" ht="15" hidden="false" customHeight="false" outlineLevel="0" collapsed="false">
      <c r="A12" s="30" t="s">
        <v>172</v>
      </c>
      <c r="B12" s="14" t="s">
        <v>168</v>
      </c>
      <c r="C12" s="16" t="n">
        <v>0.794871794871795</v>
      </c>
      <c r="D12" s="15" t="n">
        <v>0.0231800564148898</v>
      </c>
      <c r="E12" s="14" t="s">
        <v>164</v>
      </c>
      <c r="F12" s="22" t="s">
        <v>169</v>
      </c>
    </row>
    <row r="13" customFormat="false" ht="15" hidden="false" customHeight="false" outlineLevel="0" collapsed="false">
      <c r="A13" s="38" t="s">
        <v>173</v>
      </c>
      <c r="B13" s="39" t="s">
        <v>168</v>
      </c>
      <c r="C13" s="40" t="n">
        <v>0.829059829059829</v>
      </c>
      <c r="D13" s="41" t="n">
        <v>0.0111626273074097</v>
      </c>
      <c r="E13" s="39" t="s">
        <v>164</v>
      </c>
      <c r="F13" s="42" t="s">
        <v>174</v>
      </c>
    </row>
    <row r="16" customFormat="false" ht="42" hidden="false" customHeight="true" outlineLevel="0" collapsed="false">
      <c r="A16" s="30" t="s">
        <v>175</v>
      </c>
      <c r="B16" s="43" t="s">
        <v>176</v>
      </c>
      <c r="C16" s="43"/>
      <c r="D16" s="43"/>
      <c r="E16" s="43"/>
      <c r="F16" s="43"/>
    </row>
    <row r="18" customFormat="false" ht="32.8" hidden="false" customHeight="true" outlineLevel="0" collapsed="false">
      <c r="A18" s="28" t="s">
        <v>177</v>
      </c>
      <c r="B18" s="28"/>
      <c r="C18" s="28"/>
      <c r="D18" s="28"/>
      <c r="E18" s="28"/>
      <c r="F18" s="28"/>
    </row>
    <row r="19" customFormat="false" ht="22.35" hidden="false" customHeight="true" outlineLevel="0" collapsed="false">
      <c r="A19" s="28" t="s">
        <v>178</v>
      </c>
      <c r="B19" s="28"/>
      <c r="C19" s="28"/>
      <c r="D19" s="28"/>
      <c r="E19" s="28"/>
      <c r="F19" s="28"/>
    </row>
  </sheetData>
  <mergeCells count="3">
    <mergeCell ref="B16:F16"/>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6"/>
    <col collapsed="false" customWidth="true" hidden="false" outlineLevel="0" max="3" min="3" style="0" width="30"/>
    <col collapsed="false" customWidth="true" hidden="false" outlineLevel="0" max="4" min="4" style="0" width="26"/>
    <col collapsed="false" customWidth="true" hidden="false" outlineLevel="0" max="5" min="5" style="0" width="30"/>
  </cols>
  <sheetData>
    <row r="1" customFormat="false" ht="15" hidden="false" customHeight="false" outlineLevel="0" collapsed="false">
      <c r="A1" s="29" t="s">
        <v>179</v>
      </c>
    </row>
    <row r="2" customFormat="false" ht="15" hidden="false" customHeight="false" outlineLevel="0" collapsed="false">
      <c r="A2" s="2" t="s">
        <v>180</v>
      </c>
    </row>
    <row r="4" customFormat="false" ht="45.75" hidden="false" customHeight="true" outlineLevel="0" collapsed="false">
      <c r="A4" s="9" t="s">
        <v>181</v>
      </c>
      <c r="B4" s="9" t="s">
        <v>182</v>
      </c>
      <c r="C4" s="9" t="s">
        <v>183</v>
      </c>
      <c r="D4" s="9" t="s">
        <v>184</v>
      </c>
      <c r="E4" s="9" t="s">
        <v>185</v>
      </c>
    </row>
    <row r="5" customFormat="false" ht="26.85" hidden="false" customHeight="false" outlineLevel="0" collapsed="false">
      <c r="A5" s="30" t="s">
        <v>186</v>
      </c>
      <c r="B5" s="14" t="n">
        <v>9</v>
      </c>
      <c r="C5" s="14" t="n">
        <v>13</v>
      </c>
      <c r="D5" s="44" t="n">
        <v>0.26</v>
      </c>
      <c r="E5" s="14" t="s">
        <v>187</v>
      </c>
    </row>
    <row r="6" customFormat="false" ht="26.85" hidden="false" customHeight="false" outlineLevel="0" collapsed="false">
      <c r="A6" s="38" t="s">
        <v>188</v>
      </c>
      <c r="B6" s="39" t="n">
        <v>1</v>
      </c>
      <c r="C6" s="39" t="n">
        <v>0</v>
      </c>
      <c r="D6" s="45" t="n">
        <v>0</v>
      </c>
      <c r="E6" s="39" t="s">
        <v>187</v>
      </c>
    </row>
    <row r="8" customFormat="false" ht="42" hidden="false" customHeight="true" outlineLevel="0" collapsed="false">
      <c r="A8" s="30" t="s">
        <v>189</v>
      </c>
      <c r="B8" s="43" t="s">
        <v>190</v>
      </c>
      <c r="C8" s="43"/>
      <c r="D8" s="43"/>
      <c r="E8" s="43"/>
    </row>
    <row r="10" customFormat="false" ht="22.35" hidden="false" customHeight="true" outlineLevel="0" collapsed="false">
      <c r="A10" s="28" t="s">
        <v>191</v>
      </c>
      <c r="B10" s="28"/>
      <c r="C10" s="28"/>
      <c r="D10" s="28"/>
      <c r="E10" s="28"/>
    </row>
    <row r="11" customFormat="false" ht="15" hidden="false" customHeight="true" outlineLevel="0" collapsed="false">
      <c r="A11" s="28" t="s">
        <v>192</v>
      </c>
      <c r="B11" s="28"/>
      <c r="C11" s="28"/>
      <c r="D11" s="28"/>
      <c r="E11" s="28"/>
    </row>
  </sheetData>
  <mergeCells count="3">
    <mergeCell ref="B8:E8"/>
    <mergeCell ref="A10:E10"/>
    <mergeCell ref="A11:E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5"/>
  </cols>
  <sheetData>
    <row r="1" customFormat="false" ht="15" hidden="false" customHeight="false" outlineLevel="0" collapsed="false">
      <c r="A1" s="29" t="s">
        <v>193</v>
      </c>
    </row>
    <row r="3" customFormat="false" ht="15.75" hidden="false" customHeight="true" outlineLevel="0" collapsed="false">
      <c r="A3" s="46" t="s">
        <v>194</v>
      </c>
    </row>
    <row r="4" customFormat="false" ht="75" hidden="false" customHeight="true" outlineLevel="0" collapsed="false">
      <c r="A4" s="47" t="s">
        <v>195</v>
      </c>
    </row>
    <row r="5" customFormat="false" ht="15.75" hidden="false" customHeight="true" outlineLevel="0" collapsed="false">
      <c r="A5" s="47"/>
    </row>
    <row r="6" customFormat="false" ht="15.75" hidden="false" customHeight="true" outlineLevel="0" collapsed="false">
      <c r="A6" s="46" t="s">
        <v>196</v>
      </c>
    </row>
    <row r="7" customFormat="false" ht="60" hidden="false" customHeight="true" outlineLevel="0" collapsed="false">
      <c r="A7" s="47" t="s">
        <v>197</v>
      </c>
    </row>
    <row r="8" customFormat="false" ht="15.75" hidden="false" customHeight="true" outlineLevel="0" collapsed="false">
      <c r="A8" s="47"/>
    </row>
    <row r="9" customFormat="false" ht="15.75" hidden="false" customHeight="true" outlineLevel="0" collapsed="false">
      <c r="A9" s="46" t="s">
        <v>198</v>
      </c>
    </row>
    <row r="10" customFormat="false" ht="75" hidden="false" customHeight="true" outlineLevel="0" collapsed="false">
      <c r="A10" s="47" t="s">
        <v>199</v>
      </c>
    </row>
    <row r="11" customFormat="false" ht="15.75" hidden="false" customHeight="true" outlineLevel="0" collapsed="false">
      <c r="A11" s="47"/>
    </row>
    <row r="12" customFormat="false" ht="15.75" hidden="false" customHeight="true" outlineLevel="0" collapsed="false">
      <c r="A12" s="46" t="s">
        <v>200</v>
      </c>
    </row>
    <row r="13" customFormat="false" ht="45" hidden="false" customHeight="true" outlineLevel="0" collapsed="false">
      <c r="A13" s="47" t="s">
        <v>201</v>
      </c>
    </row>
    <row r="14" customFormat="false" ht="15.75" hidden="false" customHeight="true" outlineLevel="0" collapsed="false">
      <c r="A14" s="47"/>
    </row>
    <row r="15" customFormat="false" ht="15.75" hidden="false" customHeight="true" outlineLevel="0" collapsed="false">
      <c r="A15" s="46" t="s">
        <v>202</v>
      </c>
    </row>
    <row r="16" customFormat="false" ht="30" hidden="false" customHeight="true" outlineLevel="0" collapsed="false">
      <c r="A16" s="47"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8" hidden="false" customHeight="true" outlineLevel="0" collapsed="false">
      <c r="A1" s="48" t="s">
        <v>204</v>
      </c>
    </row>
    <row r="2" customFormat="false" ht="84" hidden="false" customHeight="true" outlineLevel="0" collapsed="false">
      <c r="A2" s="47" t="s">
        <v>205</v>
      </c>
    </row>
    <row r="3" customFormat="false" ht="84" hidden="false" customHeight="true" outlineLevel="0" collapsed="false">
      <c r="A3" s="47" t="s">
        <v>206</v>
      </c>
    </row>
    <row r="4" customFormat="false" ht="139.5" hidden="false" customHeight="true" outlineLevel="0" collapsed="false">
      <c r="A4" s="47" t="s">
        <v>207</v>
      </c>
    </row>
    <row r="5" customFormat="false" ht="84" hidden="false" customHeight="true" outlineLevel="0" collapsed="false">
      <c r="A5" s="47" t="s">
        <v>208</v>
      </c>
    </row>
    <row r="6" customFormat="false" ht="55.5" hidden="false" customHeight="true" outlineLevel="0" collapsed="false">
      <c r="A6" s="47" t="s">
        <v>209</v>
      </c>
    </row>
    <row r="7" customFormat="false" ht="111.75" hidden="false" customHeight="true" outlineLevel="0" collapsed="false">
      <c r="A7" s="47" t="s">
        <v>210</v>
      </c>
    </row>
    <row r="8" customFormat="false" ht="84" hidden="false" customHeight="true" outlineLevel="0" collapsed="false">
      <c r="A8" s="47" t="s">
        <v>211</v>
      </c>
    </row>
    <row r="9" customFormat="false" ht="139.5" hidden="false" customHeight="true" outlineLevel="0" collapsed="false">
      <c r="A9" s="47" t="s">
        <v>212</v>
      </c>
    </row>
    <row r="10" customFormat="false" ht="111.75" hidden="false" customHeight="true" outlineLevel="0" collapsed="false">
      <c r="A10" s="47" t="s">
        <v>213</v>
      </c>
    </row>
    <row r="11" customFormat="false" ht="55.5" hidden="false" customHeight="true" outlineLevel="0" collapsed="false">
      <c r="A11" s="47" t="s">
        <v>214</v>
      </c>
    </row>
    <row r="12" customFormat="false" ht="69.75" hidden="false" customHeight="true" outlineLevel="0" collapsed="false">
      <c r="A12" s="47"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2026-10-29T04:57:12Z</dcterms:created>
  <dc:creator>openpyxl</dc:creator>
  <dc:description/>
  <dc:language>en-US</dc:language>
  <cp:lastModifiedBy/>
  <dcterms:modified xsi:type="dcterms:W3CDTF">2026-10-29T04:57:12Z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