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able 1 (manuscript)" sheetId="1" state="visible" r:id="rId3"/>
    <sheet name="Table 2 (manuscript)" sheetId="2" state="visible" r:id="rId4"/>
    <sheet name="Read Me" sheetId="3" state="visible" r:id="rId5"/>
    <sheet name="Database + Frequency" sheetId="4" state="visible" r:id="rId6"/>
    <sheet name="Frequency 1-72" sheetId="5" state="visible" r:id="rId7"/>
    <sheet name="Background" sheetId="6" state="visible" r:id="rId8"/>
    <sheet name="Formulas" sheetId="7" state="visible" r:id="rId9"/>
    <sheet name="Emission Stepwise" sheetId="8" state="visible" r:id="rId10"/>
    <sheet name="Emission Matrix" sheetId="9" state="visible" r:id="rId11"/>
    <sheet name="Transition Stepwise" sheetId="10" state="visible" r:id="rId12"/>
    <sheet name="Transition Count Matrices" sheetId="11" state="visible" r:id="rId13"/>
    <sheet name="Transition Prob Matrices" sheetId="12" state="visible" r:id="rId14"/>
    <sheet name="Cand+Decoy Sequences" sheetId="13" state="visible" r:id="rId15"/>
    <sheet name="Cand+Decoy Per-Position" sheetId="14" state="visible" r:id="rId16"/>
    <sheet name="Cand+Decoy Per-Transition" sheetId="15" state="visible" r:id="rId17"/>
    <sheet name="Cand+Decoy Scores" sheetId="16" state="visible" r:id="rId18"/>
    <sheet name="TPsiC OTHER 96 Scores" sheetId="17" state="visible" r:id="rId19"/>
    <sheet name="MBSW 62 Scores" sheetId="18" state="visible" r:id="rId20"/>
    <sheet name="Reference 199 Scores" sheetId="19" state="visible" r:id="rId21"/>
    <sheet name="Permutation Null" sheetId="20" state="visible" r:id="rId22"/>
    <sheet name="Six-Set Comparison" sheetId="21" state="visible" r:id="rId23"/>
    <sheet name="Decoy Discrimination" sheetId="22" state="visible" r:id="rId24"/>
    <sheet name="Threshold Analysis" sheetId="23" state="visible" r:id="rId25"/>
    <sheet name="Feature Discrimination" sheetId="24" state="visible" r:id="rId26"/>
    <sheet name="Invariant Comparison" sheetId="25" state="visible" r:id="rId27"/>
    <sheet name="Position Deficit" sheetId="26" state="visible" r:id="rId28"/>
    <sheet name="Summary Table" sheetId="27" state="visible" r:id="rId29"/>
    <sheet name="Correlations" sheetId="28" state="visible" r:id="rId30"/>
    <sheet name="Verification"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<sst xmlns="http://schemas.openxmlformats.org/spreadsheetml/2006/main" count="37923" uniqueCount="1330">
  <si>
    <t xml:space="preserve">Table 1. Structural and probabilistic assessment of the nine predicted split-tRNA candidates.</t>
  </si>
  <si>
    <t xml:space="preserve">Candidates are ordered by combined score. p values are empirical, against the 13 randomised-genome sequences; the smallest attainable value with that control is 0.071. The decision threshold was -0.0801. Stem pairing is reported but was not used in the decision.</t>
  </si>
  <si>
    <t xml:space="preserve">Candidate</t>
  </si>
  <si>
    <t xml:space="preserve">Type</t>
  </si>
  <si>
    <t xml:space="preserve">Anti-
codon</t>
  </si>
  <si>
    <t xml:space="preserve">Length
(nt)</t>
  </si>
  <si>
    <t xml:space="preserve">GC
(%)</t>
  </si>
  <si>
    <t xml:space="preserve">MFE
(kcal/mol)</t>
  </si>
  <si>
    <t xml:space="preserve">Emission
log-odds</t>
  </si>
  <si>
    <t xml:space="preserve">Transition
log-odds</t>
  </si>
  <si>
    <t xml:space="preserve">Combined
score S</t>
  </si>
  <si>
    <t xml:space="preserve">p vs
decoys</t>
  </si>
  <si>
    <t xml:space="preserve">Stem
pairs</t>
  </si>
  <si>
    <t xml:space="preserve">Conserved
positions</t>
  </si>
  <si>
    <t xml:space="preserve">T-loop</t>
  </si>
  <si>
    <t xml:space="preserve">Status</t>
  </si>
  <si>
    <t xml:space="preserve">trna64</t>
  </si>
  <si>
    <t xml:space="preserve">Sec</t>
  </si>
  <si>
    <t xml:space="preserve">UCA</t>
  </si>
  <si>
    <t xml:space="preserve">19/21</t>
  </si>
  <si>
    <t xml:space="preserve">10/12</t>
  </si>
  <si>
    <t xml:space="preserve">5/5</t>
  </si>
  <si>
    <t xml:space="preserve">Supported</t>
  </si>
  <si>
    <t xml:space="preserve">trna958</t>
  </si>
  <si>
    <t xml:space="preserve">Sup</t>
  </si>
  <si>
    <t xml:space="preserve">CUA</t>
  </si>
  <si>
    <t xml:space="preserve">Borderline</t>
  </si>
  <si>
    <t xml:space="preserve">trna1091</t>
  </si>
  <si>
    <t xml:space="preserve">6/12</t>
  </si>
  <si>
    <t xml:space="preserve">1/5</t>
  </si>
  <si>
    <t xml:space="preserve">Not supported</t>
  </si>
  <si>
    <t xml:space="preserve">trna1395</t>
  </si>
  <si>
    <t xml:space="preserve">7/12</t>
  </si>
  <si>
    <t xml:space="preserve">4/5</t>
  </si>
  <si>
    <t xml:space="preserve">trna1</t>
  </si>
  <si>
    <t xml:space="preserve">2/5</t>
  </si>
  <si>
    <t xml:space="preserve">trna20</t>
  </si>
  <si>
    <t xml:space="preserve">UUA</t>
  </si>
  <si>
    <t xml:space="preserve">20/21</t>
  </si>
  <si>
    <t xml:space="preserve">3/5</t>
  </si>
  <si>
    <t xml:space="preserve">trna9</t>
  </si>
  <si>
    <t xml:space="preserve">trna590</t>
  </si>
  <si>
    <t xml:space="preserve">trna1470</t>
  </si>
  <si>
    <t xml:space="preserve">5/12</t>
  </si>
  <si>
    <t xml:space="preserve">Supported: combined score above the threshold, with conserved positions and T-loop within the range of known tRNAs. Borderline: above every randomised-genome sequence but below the threshold. Not supported: within the randomised-genome range.</t>
  </si>
  <si>
    <t xml:space="preserve">Note: the GC content of trna64 lies above the range of the randomised-genome sequences (21.1-45.1%), so a compositional contribution to its score cannot be excluded.</t>
  </si>
  <si>
    <t xml:space="preserve">Table 2. Probabilistic scores of the predicted candidates compared with known tRNAs and with both negative controls.</t>
  </si>
  <si>
    <t xml:space="preserve">All sequences were scored with the same position-specific model estimated from the 199 reference tRNAs. Values are means with standard deviations. The reference set was scored leave-one-out.</t>
  </si>
  <si>
    <t xml:space="preserve">Sequence set</t>
  </si>
  <si>
    <t xml:space="preserve">Role</t>
  </si>
  <si>
    <t xml:space="preserve">n</t>
  </si>
  <si>
    <t xml:space="preserve">Range of S</t>
  </si>
  <si>
    <t xml:space="preserve">Stem
pairing</t>
  </si>
  <si>
    <t xml:space="preserve">T-psi-C reference</t>
  </si>
  <si>
    <t xml:space="preserve">Model construction</t>
  </si>
  <si>
    <t xml:space="preserve">+0.502 ± 0.143</t>
  </si>
  <si>
    <t xml:space="preserve">+0.511 ± 0.133</t>
  </si>
  <si>
    <t xml:space="preserve">+0.506 ± 0.135</t>
  </si>
  <si>
    <t xml:space="preserve">-0.207 to +0.759</t>
  </si>
  <si>
    <t xml:space="preserve">0.978</t>
  </si>
  <si>
    <t xml:space="preserve">0.936</t>
  </si>
  <si>
    <t xml:space="preserve">T-psi-C held out</t>
  </si>
  <si>
    <t xml:space="preserve">Positive control</t>
  </si>
  <si>
    <t xml:space="preserve">+0.489 ± 0.120</t>
  </si>
  <si>
    <t xml:space="preserve">+0.499 ± 0.117</t>
  </si>
  <si>
    <t xml:space="preserve">+0.494 ± 0.117</t>
  </si>
  <si>
    <t xml:space="preserve">+0.029 to +0.687</t>
  </si>
  <si>
    <t xml:space="preserve">0.983</t>
  </si>
  <si>
    <t xml:space="preserve">0.941</t>
  </si>
  <si>
    <t xml:space="preserve">M. barkeri annotated</t>
  </si>
  <si>
    <t xml:space="preserve">+0.421 ± 0.118</t>
  </si>
  <si>
    <t xml:space="preserve">+0.424 ± 0.108</t>
  </si>
  <si>
    <t xml:space="preserve">+0.422 ± 0.111</t>
  </si>
  <si>
    <t xml:space="preserve">+0.241 to +0.698</t>
  </si>
  <si>
    <t xml:space="preserve">0.959</t>
  </si>
  <si>
    <t xml:space="preserve">0.952</t>
  </si>
  <si>
    <t xml:space="preserve">Predicted candidates</t>
  </si>
  <si>
    <t xml:space="preserve">Under test</t>
  </si>
  <si>
    <t xml:space="preserve">-0.311 ± 0.158</t>
  </si>
  <si>
    <t xml:space="preserve">-0.231 ± 0.148</t>
  </si>
  <si>
    <t xml:space="preserve">-0.271 ± 0.151</t>
  </si>
  <si>
    <t xml:space="preserve">-0.493 to +0.039</t>
  </si>
  <si>
    <t xml:space="preserve">0.915</t>
  </si>
  <si>
    <t xml:space="preserve">0.602</t>
  </si>
  <si>
    <t xml:space="preserve">Randomised genome</t>
  </si>
  <si>
    <t xml:space="preserve">Negative control</t>
  </si>
  <si>
    <t xml:space="preserve">-0.364 ± 0.116</t>
  </si>
  <si>
    <t xml:space="preserve">-0.312 ± 0.088</t>
  </si>
  <si>
    <t xml:space="preserve">-0.338 ± 0.094</t>
  </si>
  <si>
    <t xml:space="preserve">-0.476 to -0.189</t>
  </si>
  <si>
    <t xml:space="preserve">0.919</t>
  </si>
  <si>
    <t xml:space="preserve">0.667</t>
  </si>
  <si>
    <t xml:space="preserve">Base-shuffled tRNAs</t>
  </si>
  <si>
    <t xml:space="preserve">-0.778 ± 0.155</t>
  </si>
  <si>
    <t xml:space="preserve">-0.427 ± 0.103</t>
  </si>
  <si>
    <t xml:space="preserve">-0.603 ± 0.113</t>
  </si>
  <si>
    <t xml:space="preserve">-0.915 to -0.208</t>
  </si>
  <si>
    <t xml:space="preserve">0.400</t>
  </si>
  <si>
    <t xml:space="preserve">0.241</t>
  </si>
  <si>
    <t xml:space="preserve">Separation between known tRNAs and both negative controls was complete (AUC = 1.000 in each case). The decision threshold, set midway between the highest randomised-genome score and the lowest known-tRNA score, was -0.0801.</t>
  </si>
  <si>
    <t xml:space="preserve">tRNA MODEL v5 — VALIDATION OF 9 PREDICTED CANDIDATES AGAINST A REALISTIC NEGATIVE CONTROL</t>
  </si>
  <si>
    <t xml:space="preserve">CHECKS ON THIS BATCH</t>
  </si>
  <si>
    <t xml:space="preserve">1. Reference corrected to 199</t>
  </si>
  <si>
    <t xml:space="preserve">The reference database now holds 199 records. The earlier version listed tdbR00000504 (Mycoplasma mycoides, Ile, CAU) twice; one of the two entries was removed. Frequencies, emission and transition matrices, background frequencies, the leave-one-out reference scores and every score and statistic that depends on the model were re-derived from the 199 records.</t>
  </si>
  <si>
    <t xml:space="preserve">2. T-Psi-C OTHER 100 unchanged</t>
  </si>
  <si>
    <t xml:space="preserve">Byte-identical to the previous round. 101 rows, 96 unique records, 5 exact duplicate rows removed (4 Lys, 1 Tyr). Zero overlap with the reference 199.</t>
  </si>
  <si>
    <t xml:space="preserve">3. MBSW 62 unchanged</t>
  </si>
  <si>
    <t xml:space="preserve">Byte-identical to the previous round. 62 mature archaeal tRNAs from tRNAscan-SE.</t>
  </si>
  <si>
    <t xml:space="preserve">4. The 13 random-genome file is a true legacy .xls</t>
  </si>
  <si>
    <t xml:space="preserve">tRNA_randomgenome_13_positions_1-72.xls is a BIFF Composite Document, not a renamed .xlsx. It was converted to .xlsx before reading. It holds the same 13 sequences as the previous round: same names, same anticodons, same lengths, same gap counts.</t>
  </si>
  <si>
    <t xml:space="preserve">5. The 9 pasted candidates were verified</t>
  </si>
  <si>
    <t xml:space="preserve">The 9 predicted candidates supplied in the message body were transcribed and compared cell by cell against the candidate file used previously: 0 differing cells across all 9 x 72. The T to U change and the anticodon spelling (UUA / CUA / UCA rather than tta / cta / tca) are notation only.</t>
  </si>
  <si>
    <t xml:space="preserve">6. Every figure reproduced</t>
  </si>
  <si>
    <t xml:space="preserve">Before the correction, the Python pipeline reproduced every statistic of the 200-record version exactly, to the last decimal place. The same pipeline was then rerun on the 199-record reference.</t>
  </si>
  <si>
    <t xml:space="preserve">7. Roles of the sets</t>
  </si>
  <si>
    <t xml:space="preserve">The 13 random-genome sequences are the NEGATIVE control, not candidates. The 9 predicted candidates are what is being tested. Your message refers in one place to 'our 13 candidate tRNA'; that has been read as the random-genome decoy set, consistent with how it was described when first supplied.</t>
  </si>
  <si>
    <t xml:space="preserve">8. Sets 2, 3 and the permutation null</t>
  </si>
  <si>
    <t xml:space="preserve">PROVISIONAL. The workbook holds only the scores, not the sequences, of the 96 T-Psi-C OTHER tRNAs, the 62 MBSW tRNAs and the 960 permutations, so their emission, transition and combined scores (and the statistics built on them: weakest real tRNA, AUCs against real tRNAs, z and p vs the permutation null, the real-tRNA column of Position Deficit) are still those of the 200-record model. Everything else has been re-derived from the 199 records.</t>
  </si>
  <si>
    <t xml:space="preserve">WHY THE DECOY SET MATTERS</t>
  </si>
  <si>
    <t xml:space="preserve">The gap it closes</t>
  </si>
  <si>
    <t xml:space="preserve">Up to v4 the only negative control was a positional permutation of a real tRNA. That is an easy negative: a scrambled tRNA has no reason to fold at all. The realistic false positive for a split-tRNA search is genomic sequence that already folds like a tRNA, which is exactly what your predictor returns when run on randomized genome.</t>
  </si>
  <si>
    <t xml:space="preserve">How well matched it is</t>
  </si>
  <si>
    <t xml:space="preserve">The 13 decoys carry the same anticodons as the real candidates (UUA and CUA), the same declared type (Sup), and overlapping lengths (71-95 against 70-93). They are therefore a properly matched hard negative.</t>
  </si>
  <si>
    <t xml:space="preserve">Predictor false-positive yield</t>
  </si>
  <si>
    <t xml:space="preserve">13 candidates from 50 randomized genomes = 0.26 per genome.</t>
  </si>
  <si>
    <t xml:space="preserve">HEADLINE RESULT</t>
  </si>
  <si>
    <t xml:space="preserve">Against real tRNAs</t>
  </si>
  <si>
    <t xml:space="preserve">Separation stays perfect: AUC = 1.000. Every one of the 158 real tRNAs outscores every decoy and every permutation.</t>
  </si>
  <si>
    <t xml:space="preserve">Against the decoys</t>
  </si>
  <si>
    <t xml:space="preserve">The combined score separates the 9 predicted from the 13 decoys only weakly: predicted -0.2711 against decoy -0.3381, Mann-Whitney p = 0.367, AUC = 0.615. Seven of the nine fall inside the decoy range.</t>
  </si>
  <si>
    <t xml:space="preserve">The GC confound</t>
  </si>
  <si>
    <t xml:space="preserve">GC content separates predicted from decoy far better than the model does (AUC 0.859, p = 0.005). After the linear GC effect is removed the difference disappears completely (p = 0.973, AUC = 0.504). On this evidence the positional model adds nothing beyond base composition when the task is telling a real candidate from a randomized-genome decoy.</t>
  </si>
  <si>
    <t xml:space="preserve">Identity features run the wrong way</t>
  </si>
  <si>
    <t xml:space="preserve">The decoys score HIGHER than the predicted candidates on invariant match (0.667 against 0.602) and on the T-loop (0.631 against 0.556). These features cannot be used to argue for the candidates.</t>
  </si>
  <si>
    <t xml:space="preserve">Stem pairing is uninformative here</t>
  </si>
  <si>
    <t xml:space="preserve">Predicted 0.915 against decoy 0.919. The predictor selects for foldability, so both sets fold. Stem pairing was used as a supporting criterion in v4; against this null it has no discriminating power and that v4 criterion is withdrawn.</t>
  </si>
  <si>
    <t xml:space="preserve">REVISED THRESHOLD</t>
  </si>
  <si>
    <t xml:space="preserve">Against the decoy null</t>
  </si>
  <si>
    <t xml:space="preserve">Decoy maximum -0.1890; weakest of the 158 real tRNAs +0.0288; recommended cut = midpoint -0.0801.</t>
  </si>
  <si>
    <t xml:space="preserve">Against the permutation null</t>
  </si>
  <si>
    <t xml:space="preserve">Cut against the permutation null = -0.0896. The decoy-calibrated cut is slightly stricter.</t>
  </si>
  <si>
    <t xml:space="preserve">Candidates clearing it</t>
  </si>
  <si>
    <t xml:space="preserve">1 of 9.</t>
  </si>
  <si>
    <t xml:space="preserve">Candidates above the decoy maximum</t>
  </si>
  <si>
    <t xml:space="preserve">2 of 9.</t>
  </si>
  <si>
    <t xml:space="preserve">STATISTICAL POWER — READ THIS BEFORE QUOTING ANY p VALUE</t>
  </si>
  <si>
    <t xml:space="preserve">The floor</t>
  </si>
  <si>
    <t xml:space="preserve">With 13 decoys the smallest empirical p any candidate can receive is 1/(13+1) = 0.0714. No candidate can reach p &lt; 0.05 against this null, however good it is. The two best candidates both sit at this floor.</t>
  </si>
  <si>
    <t xml:space="preserve">What it would take</t>
  </si>
  <si>
    <t xml:space="preserve">About 99 decoys are needed before p &lt; 0.01 is even reachable. At the observed yield of 0.26 decoys per randomized genome that means roughly 380 randomized genomes.</t>
  </si>
  <si>
    <t xml:space="preserve">The better experiment</t>
  </si>
  <si>
    <t xml:space="preserve">Generate the decoys GC-matched to the candidates, or draw them from GC-matched genomic windows. Because GC is doing all the discriminating work, a GC-matched decoy set is the test that would actually settle the question.</t>
  </si>
  <si>
    <t xml:space="preserve">WHAT THIS DOES AND DOES NOT SHOW</t>
  </si>
  <si>
    <t xml:space="preserve">Shown</t>
  </si>
  <si>
    <t xml:space="preserve">All 9 candidates are clearly distinguishable from real mature tRNAs, and clearly better than scrambled sequence. One candidate, trna64, also sits above every decoy and clears the decoy-calibrated threshold.</t>
  </si>
  <si>
    <t xml:space="preserve">Not shown</t>
  </si>
  <si>
    <t xml:space="preserve">That the 9 candidates as a group are distinguishable from what the predictor finds in randomized genome. On the present evidence they are not, once GC is accounted for.</t>
  </si>
  <si>
    <t xml:space="preserve">COMPUTED INPUTS</t>
  </si>
  <si>
    <t xml:space="preserve">Note</t>
  </si>
  <si>
    <t xml:space="preserve">Reference leave-one-out scores, the 96 T-Psi-C OTHER scores, the 62 MBSW scores, the 960 permutation scores and all ROC and Mann-Whitney statistics are computed in Python and entered as values, shown in blue. The 22 candidates and decoys are scored by live spreadsheet formula from the emission and transition tables so the chain can be audited end to end.</t>
  </si>
  <si>
    <t xml:space="preserve">T-PSI-C REFERENCE DATABASE (199 records, positions 1-72) WITH NUCLEOTIDE FREQUENCY BENEATH, HORIZONTAL</t>
  </si>
  <si>
    <t xml:space="preserve">Organism</t>
  </si>
  <si>
    <t xml:space="preserve">Trna No</t>
  </si>
  <si>
    <t xml:space="preserve">tRNA</t>
  </si>
  <si>
    <t xml:space="preserve">Anti codon</t>
  </si>
  <si>
    <t xml:space="preserve">Aeropyrum pernix(A)</t>
  </si>
  <si>
    <t xml:space="preserve">tdbR00000589</t>
  </si>
  <si>
    <t xml:space="preserve">ARG</t>
  </si>
  <si>
    <t xml:space="preserve">UCU</t>
  </si>
  <si>
    <t xml:space="preserve">G</t>
  </si>
  <si>
    <t xml:space="preserve">C</t>
  </si>
  <si>
    <t xml:space="preserve">U</t>
  </si>
  <si>
    <t xml:space="preserve">A</t>
  </si>
  <si>
    <t xml:space="preserve">tdbR00000588</t>
  </si>
  <si>
    <t xml:space="preserve">ASC</t>
  </si>
  <si>
    <t xml:space="preserve">GUC</t>
  </si>
  <si>
    <t xml:space="preserve">-</t>
  </si>
  <si>
    <t xml:space="preserve">tdbR00000583</t>
  </si>
  <si>
    <t xml:space="preserve">CYS</t>
  </si>
  <si>
    <t xml:space="preserve">GCA</t>
  </si>
  <si>
    <t xml:space="preserve">tdbR00000581</t>
  </si>
  <si>
    <t xml:space="preserve">LYS</t>
  </si>
  <si>
    <t xml:space="preserve">CUU</t>
  </si>
  <si>
    <t xml:space="preserve">tdbR00000580</t>
  </si>
  <si>
    <t xml:space="preserve">UUU</t>
  </si>
  <si>
    <t xml:space="preserve">tdbR00000586</t>
  </si>
  <si>
    <t xml:space="preserve">MET</t>
  </si>
  <si>
    <t xml:space="preserve">CAU</t>
  </si>
  <si>
    <t xml:space="preserve">tdbR00000587</t>
  </si>
  <si>
    <t xml:space="preserve">tdbR00000579</t>
  </si>
  <si>
    <t xml:space="preserve">PRO</t>
  </si>
  <si>
    <t xml:space="preserve">CGG</t>
  </si>
  <si>
    <t xml:space="preserve">tdbR00000584</t>
  </si>
  <si>
    <t xml:space="preserve">GGG</t>
  </si>
  <si>
    <t xml:space="preserve">tdbR00000585</t>
  </si>
  <si>
    <t xml:space="preserve">THR</t>
  </si>
  <si>
    <t xml:space="preserve">CGU</t>
  </si>
  <si>
    <t xml:space="preserve">tdbR00000582</t>
  </si>
  <si>
    <t xml:space="preserve">TYR</t>
  </si>
  <si>
    <t xml:space="preserve">GUA</t>
  </si>
  <si>
    <t xml:space="preserve">Escherichia coli(B)</t>
  </si>
  <si>
    <t xml:space="preserve">tdbR00000008</t>
  </si>
  <si>
    <t xml:space="preserve">Ala</t>
  </si>
  <si>
    <t xml:space="preserve">GGC</t>
  </si>
  <si>
    <t xml:space="preserve">tdbR00000359</t>
  </si>
  <si>
    <t xml:space="preserve">Arg</t>
  </si>
  <si>
    <t xml:space="preserve">CCG</t>
  </si>
  <si>
    <t xml:space="preserve">tdbR00000332</t>
  </si>
  <si>
    <t xml:space="preserve">Gln</t>
  </si>
  <si>
    <t xml:space="preserve">CUG</t>
  </si>
  <si>
    <t xml:space="preserve">tdbR00000117</t>
  </si>
  <si>
    <t xml:space="preserve">Gly</t>
  </si>
  <si>
    <t xml:space="preserve">CCC</t>
  </si>
  <si>
    <t xml:space="preserve">tdbR00000118</t>
  </si>
  <si>
    <t xml:space="preserve">GCC</t>
  </si>
  <si>
    <t xml:space="preserve">tdbR00000159</t>
  </si>
  <si>
    <t xml:space="preserve">Ile</t>
  </si>
  <si>
    <t xml:space="preserve">GAU</t>
  </si>
  <si>
    <t xml:space="preserve">tdbR00000623</t>
  </si>
  <si>
    <t xml:space="preserve">Pro</t>
  </si>
  <si>
    <t xml:space="preserve">tdbR00000390</t>
  </si>
  <si>
    <t xml:space="preserve">Ser</t>
  </si>
  <si>
    <t xml:space="preserve">CGA</t>
  </si>
  <si>
    <t xml:space="preserve">tdbR00000437</t>
  </si>
  <si>
    <t xml:space="preserve">Thr</t>
  </si>
  <si>
    <t xml:space="preserve">GGU</t>
  </si>
  <si>
    <t xml:space="preserve">tdbR00000438</t>
  </si>
  <si>
    <t xml:space="preserve">tdbR00000454</t>
  </si>
  <si>
    <t xml:space="preserve">Val</t>
  </si>
  <si>
    <t xml:space="preserve">GAC</t>
  </si>
  <si>
    <t xml:space="preserve">Haloferax volcanii(A)</t>
  </si>
  <si>
    <t xml:space="preserve">tdbR00000002</t>
  </si>
  <si>
    <t xml:space="preserve">CGC</t>
  </si>
  <si>
    <t xml:space="preserve">tdbR00000003</t>
  </si>
  <si>
    <t xml:space="preserve">tdbR00000004</t>
  </si>
  <si>
    <t xml:space="preserve">UGC</t>
  </si>
  <si>
    <t xml:space="preserve">tdbR00000349</t>
  </si>
  <si>
    <t xml:space="preserve">tdbR00000106</t>
  </si>
  <si>
    <t xml:space="preserve">tdbR00000151</t>
  </si>
  <si>
    <t xml:space="preserve">tdbR00000063</t>
  </si>
  <si>
    <t xml:space="preserve">Phe</t>
  </si>
  <si>
    <t xml:space="preserve">GAA</t>
  </si>
  <si>
    <t xml:space="preserve">tdbR00000313</t>
  </si>
  <si>
    <t xml:space="preserve">UGG</t>
  </si>
  <si>
    <t xml:space="preserve">tdbR00000431</t>
  </si>
  <si>
    <t xml:space="preserve">tdbR00000432</t>
  </si>
  <si>
    <t xml:space="preserve">tdbR00000449</t>
  </si>
  <si>
    <t xml:space="preserve">CAC</t>
  </si>
  <si>
    <t xml:space="preserve">tdbR00000450</t>
  </si>
  <si>
    <t xml:space="preserve">Saccharomyces cerevisiae (Y)</t>
  </si>
  <si>
    <t xml:space="preserve">tdbR00001162</t>
  </si>
  <si>
    <t xml:space="preserve">Asn</t>
  </si>
  <si>
    <t xml:space="preserve">GUU</t>
  </si>
  <si>
    <t xml:space="preserve">tdbR00001163</t>
  </si>
  <si>
    <t xml:space="preserve">tdbR00000035</t>
  </si>
  <si>
    <t xml:space="preserve">Asp</t>
  </si>
  <si>
    <t xml:space="preserve">tdbR00001167</t>
  </si>
  <si>
    <t xml:space="preserve">Glu</t>
  </si>
  <si>
    <t xml:space="preserve">UUC</t>
  </si>
  <si>
    <t xml:space="preserve">tdbR00001170</t>
  </si>
  <si>
    <t xml:space="preserve">His</t>
  </si>
  <si>
    <t xml:space="preserve">GUG</t>
  </si>
  <si>
    <t xml:space="preserve">tdbR00001171</t>
  </si>
  <si>
    <t xml:space="preserve">AAU</t>
  </si>
  <si>
    <t xml:space="preserve">tdbR00001172</t>
  </si>
  <si>
    <t xml:space="preserve">UAU</t>
  </si>
  <si>
    <t xml:space="preserve">tdbR00001176</t>
  </si>
  <si>
    <t xml:space="preserve">Lys</t>
  </si>
  <si>
    <t xml:space="preserve">tdbR00001178</t>
  </si>
  <si>
    <t xml:space="preserve">Met </t>
  </si>
  <si>
    <t xml:space="preserve">tdbR00001179</t>
  </si>
  <si>
    <t xml:space="preserve">tdbR00001185</t>
  </si>
  <si>
    <t xml:space="preserve">AGU</t>
  </si>
  <si>
    <t xml:space="preserve">tdbR00001187</t>
  </si>
  <si>
    <t xml:space="preserve">Tyr</t>
  </si>
  <si>
    <t xml:space="preserve">tdbR00001188</t>
  </si>
  <si>
    <t xml:space="preserve">UAC</t>
  </si>
  <si>
    <t xml:space="preserve">tdbR00001189</t>
  </si>
  <si>
    <t xml:space="preserve">Val </t>
  </si>
  <si>
    <t xml:space="preserve">tdbR00001190</t>
  </si>
  <si>
    <t xml:space="preserve">AAC</t>
  </si>
  <si>
    <t xml:space="preserve">Vibrio cholerae C6706(B)</t>
  </si>
  <si>
    <t xml:space="preserve">tdbR00001017</t>
  </si>
  <si>
    <t xml:space="preserve">tdbR00001022</t>
  </si>
  <si>
    <t xml:space="preserve">tdbR00001023</t>
  </si>
  <si>
    <t xml:space="preserve">tdbR00001024</t>
  </si>
  <si>
    <t xml:space="preserve">tdbR00001027</t>
  </si>
  <si>
    <t xml:space="preserve">tdbR00001030</t>
  </si>
  <si>
    <t xml:space="preserve">tdbR00001031</t>
  </si>
  <si>
    <t xml:space="preserve">tdbR00001032</t>
  </si>
  <si>
    <t xml:space="preserve">Cys</t>
  </si>
  <si>
    <t xml:space="preserve">tdbR00001033</t>
  </si>
  <si>
    <t xml:space="preserve">tdbR00001036</t>
  </si>
  <si>
    <t xml:space="preserve">UCC</t>
  </si>
  <si>
    <t xml:space="preserve">tdbR00001038</t>
  </si>
  <si>
    <t xml:space="preserve">tdbR00001045</t>
  </si>
  <si>
    <t xml:space="preserve">Leu</t>
  </si>
  <si>
    <t xml:space="preserve">GAG</t>
  </si>
  <si>
    <t xml:space="preserve">tdbR00001050</t>
  </si>
  <si>
    <t xml:space="preserve">Met</t>
  </si>
  <si>
    <t xml:space="preserve">tdbR00001052</t>
  </si>
  <si>
    <t xml:space="preserve">tdbR00001053</t>
  </si>
  <si>
    <t xml:space="preserve">tdbR00001054</t>
  </si>
  <si>
    <t xml:space="preserve">tdbR00001058</t>
  </si>
  <si>
    <t xml:space="preserve">UGA</t>
  </si>
  <si>
    <t xml:space="preserve">tdbR00001059</t>
  </si>
  <si>
    <t xml:space="preserve">tdbR00001060</t>
  </si>
  <si>
    <t xml:space="preserve">UGU</t>
  </si>
  <si>
    <t xml:space="preserve">tdbR00001061</t>
  </si>
  <si>
    <t xml:space="preserve">tdbR00001062</t>
  </si>
  <si>
    <t xml:space="preserve">Trp</t>
  </si>
  <si>
    <t xml:space="preserve">CCA</t>
  </si>
  <si>
    <t xml:space="preserve">tdbR00001063</t>
  </si>
  <si>
    <t xml:space="preserve">tdbR00001064</t>
  </si>
  <si>
    <t xml:space="preserve">tdbR00001065</t>
  </si>
  <si>
    <t xml:space="preserve">Streptomyces griseus (B)</t>
  </si>
  <si>
    <t xml:space="preserve">tdbR00000923</t>
  </si>
  <si>
    <t xml:space="preserve">tdbR00000924</t>
  </si>
  <si>
    <t xml:space="preserve">tdbR00000925</t>
  </si>
  <si>
    <t xml:space="preserve">tdbR00000928</t>
  </si>
  <si>
    <t xml:space="preserve">CCU</t>
  </si>
  <si>
    <t xml:space="preserve">tdbR00000929</t>
  </si>
  <si>
    <t xml:space="preserve">tdbR00000930</t>
  </si>
  <si>
    <t xml:space="preserve">tdbR00000931</t>
  </si>
  <si>
    <t xml:space="preserve">tdbR00000932</t>
  </si>
  <si>
    <t xml:space="preserve">tdbR00000933</t>
  </si>
  <si>
    <t xml:space="preserve">tdbR00000934</t>
  </si>
  <si>
    <t xml:space="preserve">tdbR00000935</t>
  </si>
  <si>
    <t xml:space="preserve">tdbR00000936</t>
  </si>
  <si>
    <t xml:space="preserve">UUG</t>
  </si>
  <si>
    <t xml:space="preserve">tdbR00000938</t>
  </si>
  <si>
    <t xml:space="preserve">tdbR00000939</t>
  </si>
  <si>
    <t xml:space="preserve">tdbR00000940</t>
  </si>
  <si>
    <t xml:space="preserve">tdbR00000941</t>
  </si>
  <si>
    <t xml:space="preserve">tdbR00000946</t>
  </si>
  <si>
    <t xml:space="preserve">tdbR00000948</t>
  </si>
  <si>
    <t xml:space="preserve">tdbR00000949</t>
  </si>
  <si>
    <t xml:space="preserve">tdbR00000950</t>
  </si>
  <si>
    <t xml:space="preserve">tdbR00000951</t>
  </si>
  <si>
    <t xml:space="preserve">tdbR00000953</t>
  </si>
  <si>
    <t xml:space="preserve">tdbR00000954</t>
  </si>
  <si>
    <t xml:space="preserve">tdbR00000955</t>
  </si>
  <si>
    <t xml:space="preserve">tdbR00000964</t>
  </si>
  <si>
    <t xml:space="preserve">tdbR00000966</t>
  </si>
  <si>
    <t xml:space="preserve">tdbR00000967</t>
  </si>
  <si>
    <t xml:space="preserve">tdbR00000968</t>
  </si>
  <si>
    <t xml:space="preserve">tdbR00000969</t>
  </si>
  <si>
    <t xml:space="preserve">tdbR00000970</t>
  </si>
  <si>
    <t xml:space="preserve">tdbR00000971</t>
  </si>
  <si>
    <t xml:space="preserve">tdbR00000972</t>
  </si>
  <si>
    <t xml:space="preserve">tdbR00000974</t>
  </si>
  <si>
    <t xml:space="preserve">tdbR00000975</t>
  </si>
  <si>
    <t xml:space="preserve">tdbR00000976</t>
  </si>
  <si>
    <t xml:space="preserve">tdbR00000977</t>
  </si>
  <si>
    <t xml:space="preserve">Bacillus subtilis(B)</t>
  </si>
  <si>
    <t xml:space="preserve">tdbR00000007</t>
  </si>
  <si>
    <t xml:space="preserve">tdbR00000065</t>
  </si>
  <si>
    <t xml:space="preserve">tdbR00000116</t>
  </si>
  <si>
    <t xml:space="preserve">tdbR00000156</t>
  </si>
  <si>
    <t xml:space="preserve">tdbR00000179</t>
  </si>
  <si>
    <t xml:space="preserve">tdbR00000219</t>
  </si>
  <si>
    <t xml:space="preserve">CAG</t>
  </si>
  <si>
    <t xml:space="preserve">tdbR00000274</t>
  </si>
  <si>
    <t xml:space="preserve">tdbR00000316</t>
  </si>
  <si>
    <t xml:space="preserve">tdbR00000354</t>
  </si>
  <si>
    <t xml:space="preserve">ACG</t>
  </si>
  <si>
    <t xml:space="preserve">tdbR00000387</t>
  </si>
  <si>
    <t xml:space="preserve">tdbR00000436</t>
  </si>
  <si>
    <t xml:space="preserve">tdbR00000453</t>
  </si>
  <si>
    <t xml:space="preserve">tdbR00000483</t>
  </si>
  <si>
    <t xml:space="preserve">tdbR00000507</t>
  </si>
  <si>
    <t xml:space="preserve">Bos taurus (E)</t>
  </si>
  <si>
    <t xml:space="preserve">tdbR00000102</t>
  </si>
  <si>
    <t xml:space="preserve">tdbR00000247</t>
  </si>
  <si>
    <t xml:space="preserve">UAG</t>
  </si>
  <si>
    <t xml:space="preserve">tdbR00000266</t>
  </si>
  <si>
    <t xml:space="preserve">AAG</t>
  </si>
  <si>
    <t xml:space="preserve">tdbR00000342</t>
  </si>
  <si>
    <t xml:space="preserve">tdbR00000367</t>
  </si>
  <si>
    <t xml:space="preserve">UCG</t>
  </si>
  <si>
    <t xml:space="preserve">tdbR00000374</t>
  </si>
  <si>
    <t xml:space="preserve">tdbR00000375</t>
  </si>
  <si>
    <t xml:space="preserve">tdbR00000376</t>
  </si>
  <si>
    <t xml:space="preserve">tdbR00000445</t>
  </si>
  <si>
    <t xml:space="preserve">tdbR00000497</t>
  </si>
  <si>
    <t xml:space="preserve">tdbR00000565</t>
  </si>
  <si>
    <t xml:space="preserve">Mycoplasma mycoides(B) &amp; Mycoplasma mycoides (B)</t>
  </si>
  <si>
    <t xml:space="preserve">tdbR00000005</t>
  </si>
  <si>
    <t xml:space="preserve">tdbR00000024</t>
  </si>
  <si>
    <t xml:space="preserve">tdbR00000044</t>
  </si>
  <si>
    <t xml:space="preserve">tdbR00000064</t>
  </si>
  <si>
    <t xml:space="preserve">tdbR00000111</t>
  </si>
  <si>
    <t xml:space="preserve">tdbR00000139</t>
  </si>
  <si>
    <t xml:space="preserve">tdbR00000153</t>
  </si>
  <si>
    <t xml:space="preserve">tdbR00000177</t>
  </si>
  <si>
    <t xml:space="preserve">tdbR00000178</t>
  </si>
  <si>
    <t xml:space="preserve">tdbR00000216</t>
  </si>
  <si>
    <t xml:space="preserve">CAA</t>
  </si>
  <si>
    <t xml:space="preserve">tdbR00000217</t>
  </si>
  <si>
    <t xml:space="preserve">UAA</t>
  </si>
  <si>
    <t xml:space="preserve">tdbR00000218</t>
  </si>
  <si>
    <t xml:space="preserve">tdbR00000273</t>
  </si>
  <si>
    <t xml:space="preserve">tdbR00000314</t>
  </si>
  <si>
    <t xml:space="preserve">tdbR00000331</t>
  </si>
  <si>
    <t xml:space="preserve">tdbR00000353</t>
  </si>
  <si>
    <t xml:space="preserve">tdbR00000385</t>
  </si>
  <si>
    <t xml:space="preserve">tdbR00000433</t>
  </si>
  <si>
    <t xml:space="preserve">tdbR00000434</t>
  </si>
  <si>
    <t xml:space="preserve">tdbR00000451</t>
  </si>
  <si>
    <t xml:space="preserve">tdbR00000452</t>
  </si>
  <si>
    <t xml:space="preserve">tdbR00000479</t>
  </si>
  <si>
    <t xml:space="preserve">tdbR00000480</t>
  </si>
  <si>
    <t xml:space="preserve">tdbR00000504</t>
  </si>
  <si>
    <t xml:space="preserve">tdbR00000505</t>
  </si>
  <si>
    <t xml:space="preserve">tdbR00000006</t>
  </si>
  <si>
    <t xml:space="preserve">tdbR00000112</t>
  </si>
  <si>
    <t xml:space="preserve">tdbR00000154</t>
  </si>
  <si>
    <t xml:space="preserve">tdbR00000155</t>
  </si>
  <si>
    <t xml:space="preserve">tdbR00000315</t>
  </si>
  <si>
    <t xml:space="preserve">Archaeoglobus fulgidus</t>
  </si>
  <si>
    <t xml:space="preserve">tdbPDB000006</t>
  </si>
  <si>
    <t xml:space="preserve">Methanocaldococcus jannaschii</t>
  </si>
  <si>
    <t xml:space="preserve">tdbPDB000026</t>
  </si>
  <si>
    <t xml:space="preserve">tdbPDB000031</t>
  </si>
  <si>
    <t xml:space="preserve">tdbPDB000033</t>
  </si>
  <si>
    <t xml:space="preserve">tdbPDB000045</t>
  </si>
  <si>
    <t xml:space="preserve">tdbPDB000046</t>
  </si>
  <si>
    <t xml:space="preserve">Haloferax volcanii</t>
  </si>
  <si>
    <t xml:space="preserve">tdbR00000018</t>
  </si>
  <si>
    <t xml:space="preserve">Methanobacterium thermaggregans</t>
  </si>
  <si>
    <t xml:space="preserve">tdbR00000110</t>
  </si>
  <si>
    <t xml:space="preserve">Halococcus morrhuae</t>
  </si>
  <si>
    <t xml:space="preserve">tdbR00000501</t>
  </si>
  <si>
    <t xml:space="preserve">Sulfolobus acidocaldarius</t>
  </si>
  <si>
    <t xml:space="preserve">tdbR00000502</t>
  </si>
  <si>
    <t xml:space="preserve">Methanosarcina barkeri</t>
  </si>
  <si>
    <t xml:space="preserve">tdbR00000601</t>
  </si>
  <si>
    <t xml:space="preserve">Pyr</t>
  </si>
  <si>
    <t xml:space="preserve">Nanoarchaeum equitans</t>
  </si>
  <si>
    <t xml:space="preserve">tdbR00000613</t>
  </si>
  <si>
    <t xml:space="preserve">CUC</t>
  </si>
  <si>
    <t xml:space="preserve">tdbR00000614</t>
  </si>
  <si>
    <t xml:space="preserve">tdbR00000615</t>
  </si>
  <si>
    <t xml:space="preserve">tdbR00000616</t>
  </si>
  <si>
    <t xml:space="preserve">tdbR00000617</t>
  </si>
  <si>
    <t xml:space="preserve">Haloarcula marismortui</t>
  </si>
  <si>
    <t xml:space="preserve">tdbR00000886</t>
  </si>
  <si>
    <t xml:space="preserve">Sulfurisphaera tokodaii</t>
  </si>
  <si>
    <t xml:space="preserve">tdbR00001095</t>
  </si>
  <si>
    <t xml:space="preserve">tdbR00001096</t>
  </si>
  <si>
    <t xml:space="preserve">Thermococcus kodakarensis</t>
  </si>
  <si>
    <t xml:space="preserve">tdbR00001192</t>
  </si>
  <si>
    <t xml:space="preserve">Homo sapiens</t>
  </si>
  <si>
    <t xml:space="preserve">tdbR00000624</t>
  </si>
  <si>
    <t xml:space="preserve">tdbR00000625</t>
  </si>
  <si>
    <t xml:space="preserve">tdbR00000643</t>
  </si>
  <si>
    <t xml:space="preserve">tdbR00000662</t>
  </si>
  <si>
    <t xml:space="preserve">tdbR00000666</t>
  </si>
  <si>
    <t xml:space="preserve">tdbR00000670</t>
  </si>
  <si>
    <t xml:space="preserve">tdbR00000685</t>
  </si>
  <si>
    <t xml:space="preserve">tdbR00000687</t>
  </si>
  <si>
    <t xml:space="preserve">tdbR00000690</t>
  </si>
  <si>
    <t xml:space="preserve">tdbR00000694</t>
  </si>
  <si>
    <t xml:space="preserve">tdbR00000705</t>
  </si>
  <si>
    <t xml:space="preserve">tdbR00000727</t>
  </si>
  <si>
    <t xml:space="preserve">tdbR00000785</t>
  </si>
  <si>
    <t xml:space="preserve">ACU</t>
  </si>
  <si>
    <t xml:space="preserve">tdbR00000801</t>
  </si>
  <si>
    <t xml:space="preserve">tdbR00000868</t>
  </si>
  <si>
    <t xml:space="preserve">NUCLEOTIDE FREQUENCY — HORIZONTAL</t>
  </si>
  <si>
    <t xml:space="preserve">Counted over the 199 records above. Missing cells excluded from the valid total.</t>
  </si>
  <si>
    <t xml:space="preserve">Position</t>
  </si>
  <si>
    <t xml:space="preserve">Missing</t>
  </si>
  <si>
    <t xml:space="preserve">Valid total</t>
  </si>
  <si>
    <t xml:space="preserve">Check = 199</t>
  </si>
  <si>
    <t xml:space="preserve">Most frequent</t>
  </si>
  <si>
    <t xml:space="preserve">C/G</t>
  </si>
  <si>
    <t xml:space="preserve">Its share</t>
  </si>
  <si>
    <t xml:space="preserve">Check total = 199</t>
  </si>
  <si>
    <t xml:space="preserve">BACKGROUND FREQUENCIES (reference set, pooled over all 72 positions)</t>
  </si>
  <si>
    <t xml:space="preserve">Base</t>
  </si>
  <si>
    <t xml:space="preserve">Total count</t>
  </si>
  <si>
    <t xml:space="preserve">Background p</t>
  </si>
  <si>
    <t xml:space="preserve">Total</t>
  </si>
  <si>
    <t xml:space="preserve">GC content</t>
  </si>
  <si>
    <t xml:space="preserve">From</t>
  </si>
  <si>
    <t xml:space="preserve">To</t>
  </si>
  <si>
    <t xml:space="preserve">Dinucleotide count</t>
  </si>
  <si>
    <t xml:space="preserve">Background p(Y|X)</t>
  </si>
  <si>
    <t xml:space="preserve">Key (From&amp;To)</t>
  </si>
  <si>
    <t xml:space="preserve">Column E is a plain concatenation key. It lets the dinucleotide background be looked up with an ordinary MATCH, which Excel 2007 evaluates without array entry (Ctrl+Shift+Enter).</t>
  </si>
  <si>
    <t xml:space="preserve">EVERY FORMULA USED, STEP BY STEP</t>
  </si>
  <si>
    <t xml:space="preserve">All functions listed are available in Excel 2007.</t>
  </si>
  <si>
    <t xml:space="preserve">Step</t>
  </si>
  <si>
    <t xml:space="preserve">Quantity</t>
  </si>
  <si>
    <t xml:space="preserve">Algebra</t>
  </si>
  <si>
    <t xml:space="preserve">Spreadsheet implementation (without the leading = sign)</t>
  </si>
  <si>
    <t xml:space="preserve">Where</t>
  </si>
  <si>
    <t xml:space="preserve">Frequency</t>
  </si>
  <si>
    <t xml:space="preserve">n(b,i) = records with base b at position i</t>
  </si>
  <si>
    <t xml:space="preserve">counted from the database block</t>
  </si>
  <si>
    <t xml:space="preserve">Database + Frequency</t>
  </si>
  <si>
    <t xml:space="preserve">N(i) = n(A,i)+n(C,i)+n(G,i)+n(U,i)</t>
  </si>
  <si>
    <t xml:space="preserve">SUM over the four base rows</t>
  </si>
  <si>
    <t xml:space="preserve">Frequency 1-72 col G</t>
  </si>
  <si>
    <t xml:space="preserve">Emission raw</t>
  </si>
  <si>
    <t xml:space="preserve">e_raw(b,i) = n(b,i) / N(i)</t>
  </si>
  <si>
    <t xml:space="preserve">D/E</t>
  </si>
  <si>
    <t xml:space="preserve">Emission Stepwise col G</t>
  </si>
  <si>
    <t xml:space="preserve">Emission smoothed</t>
  </si>
  <si>
    <t xml:space="preserve">e(b,i) = ( n(b,i) + a ) / ( N(i) + 4a )</t>
  </si>
  <si>
    <t xml:space="preserve">I/J</t>
  </si>
  <si>
    <t xml:space="preserve">Emission Stepwise col H</t>
  </si>
  <si>
    <t xml:space="preserve">Emission check</t>
  </si>
  <si>
    <t xml:space="preserve">sum over b of e(b,i) = 1</t>
  </si>
  <si>
    <t xml:space="preserve">ROUND(SUMIF(position,i,smoothed),9)</t>
  </si>
  <si>
    <t xml:space="preserve">Emission Stepwise col L</t>
  </si>
  <si>
    <t xml:space="preserve">Background base</t>
  </si>
  <si>
    <t xml:space="preserve">q(b) = sum over i n(b,i) / grand total</t>
  </si>
  <si>
    <t xml:space="preserve">SUM(col)/total</t>
  </si>
  <si>
    <t xml:space="preserve">Background C4:C7</t>
  </si>
  <si>
    <t xml:space="preserve">Transition count</t>
  </si>
  <si>
    <t xml:space="preserve">c(X-&gt;Y,i) = records with X at i and Y at i+1</t>
  </si>
  <si>
    <t xml:space="preserve">Transition Stepwise col F</t>
  </si>
  <si>
    <t xml:space="preserve">FROM total</t>
  </si>
  <si>
    <t xml:space="preserve">Cx(X,i) = sum over Y of c(X-&gt;Y,i)</t>
  </si>
  <si>
    <t xml:space="preserve">SUMIFS(count, step, i, from, X)</t>
  </si>
  <si>
    <t xml:space="preserve">Transition Stepwise col G</t>
  </si>
  <si>
    <t xml:space="preserve">Transition raw</t>
  </si>
  <si>
    <t xml:space="preserve">t_raw(Y|X,i) = c(X-&gt;Y,i) / Cx(X,i)</t>
  </si>
  <si>
    <t xml:space="preserve">F/G</t>
  </si>
  <si>
    <t xml:space="preserve">Transition Stepwise col I</t>
  </si>
  <si>
    <t xml:space="preserve">Transition smoothed</t>
  </si>
  <si>
    <t xml:space="preserve">t(Y|X,i) = ( c(X-&gt;Y,i) + a ) / ( Cx(X,i) + 4a )</t>
  </si>
  <si>
    <t xml:space="preserve">K/L</t>
  </si>
  <si>
    <t xml:space="preserve">Transition Stepwise col J</t>
  </si>
  <si>
    <t xml:space="preserve">Transition check</t>
  </si>
  <si>
    <t xml:space="preserve">sum over Y of t(Y|X,i) = 1</t>
  </si>
  <si>
    <t xml:space="preserve">ROUND(SUMIFS(smoothed, step, i, from, X),9)</t>
  </si>
  <si>
    <t xml:space="preserve">Transition Stepwise col N</t>
  </si>
  <si>
    <t xml:space="preserve">Background dinucleotide</t>
  </si>
  <si>
    <t xml:space="preserve">qd(Y|X) = ( sum over i c(X-&gt;Y,i) + a ) / ( sum over i,Y c(X-&gt;Y,i) + 4a )</t>
  </si>
  <si>
    <t xml:space="preserve">(C+1)/(SUMIF+4)</t>
  </si>
  <si>
    <t xml:space="preserve">Background D12:D27</t>
  </si>
  <si>
    <t xml:space="preserve">Per-position log-odds</t>
  </si>
  <si>
    <t xml:space="preserve">Le(b,i) = ln( e(b,i) / q(b) )</t>
  </si>
  <si>
    <t xml:space="preserve">LN(F/G)</t>
  </si>
  <si>
    <t xml:space="preserve">Cand+Decoy Per-Position col H</t>
  </si>
  <si>
    <t xml:space="preserve">Per-step log-odds</t>
  </si>
  <si>
    <t xml:space="preserve">Lt(X,Y,i) = ln( t(Y|X,i) / qd(Y|X) )</t>
  </si>
  <si>
    <t xml:space="preserve">LN(G/H)</t>
  </si>
  <si>
    <t xml:space="preserve">Cand+Decoy Per-Transition col I</t>
  </si>
  <si>
    <t xml:space="preserve">Emission score</t>
  </si>
  <si>
    <t xml:space="preserve">E = mean of Le over scored positions</t>
  </si>
  <si>
    <t xml:space="preserve">AVERAGEIFS(logodds, id, this)</t>
  </si>
  <si>
    <t xml:space="preserve">Cand+Decoy Scores</t>
  </si>
  <si>
    <t xml:space="preserve">Transition score</t>
  </si>
  <si>
    <t xml:space="preserve">Tr = mean of Lt over scored transitions</t>
  </si>
  <si>
    <t xml:space="preserve">AVERAGEIFS(logodds, id, this, scored, "yes")</t>
  </si>
  <si>
    <t xml:space="preserve">Combined score</t>
  </si>
  <si>
    <t xml:space="preserve">S = ( E + Tr ) / 2</t>
  </si>
  <si>
    <t xml:space="preserve">AVERAGE(E,Tr)</t>
  </si>
  <si>
    <t xml:space="preserve">z against real tRNAs</t>
  </si>
  <si>
    <t xml:space="preserve">z = ( S - mean(S_real) ) / sd(S_real)</t>
  </si>
  <si>
    <t xml:space="preserve">(S-mean)/STDEVP</t>
  </si>
  <si>
    <t xml:space="preserve">Summary Table</t>
  </si>
  <si>
    <t xml:space="preserve">Empirical p vs a null</t>
  </si>
  <si>
    <t xml:space="preserve">p = ( #{null &gt;= S} + 1 ) / ( #null + 1 )</t>
  </si>
  <si>
    <t xml:space="preserve">computed in Python</t>
  </si>
  <si>
    <t xml:space="preserve">Threshold band</t>
  </si>
  <si>
    <t xml:space="preserve">band = ( max(S_null) , min(S_real) )</t>
  </si>
  <si>
    <t xml:space="preserve">MAX(null) and MIN(real)</t>
  </si>
  <si>
    <t xml:space="preserve">Threshold Analysis</t>
  </si>
  <si>
    <t xml:space="preserve">Recommended cut</t>
  </si>
  <si>
    <t xml:space="preserve">S* = ( max(S_null) + min(S_real) ) / 2</t>
  </si>
  <si>
    <t xml:space="preserve">AVERAGE of the two</t>
  </si>
  <si>
    <t xml:space="preserve">Stem pairing</t>
  </si>
  <si>
    <t xml:space="preserve">P = paired / scored over the 21 canonical pairs</t>
  </si>
  <si>
    <t xml:space="preserve">counted; definition validated at 99.1% against dot-bracket in v4</t>
  </si>
  <si>
    <t xml:space="preserve">Feature Discrimination</t>
  </si>
  <si>
    <t xml:space="preserve">Invariant match</t>
  </si>
  <si>
    <t xml:space="preserve">I = matches / scored over 12 conserved positions</t>
  </si>
  <si>
    <t xml:space="preserve">counted</t>
  </si>
  <si>
    <t xml:space="preserve">Invariant Comparison</t>
  </si>
  <si>
    <t xml:space="preserve">T-loop match</t>
  </si>
  <si>
    <t xml:space="preserve">Tl = matches over positions 54,55,56,57,58</t>
  </si>
  <si>
    <t xml:space="preserve">Anticodon check</t>
  </si>
  <si>
    <t xml:space="preserve">declared anticodon equals the bases at positions 34,35,36</t>
  </si>
  <si>
    <t xml:space="preserve">string compare</t>
  </si>
  <si>
    <t xml:space="preserve">GC-adjusted residual</t>
  </si>
  <si>
    <t xml:space="preserve">r = S - ( mean(S) + b*( GC - mean(GC) ) )</t>
  </si>
  <si>
    <t xml:space="preserve">GC Confound</t>
  </si>
  <si>
    <t xml:space="preserve">a = alpha = 1 (Laplace smoothing).</t>
  </si>
  <si>
    <t xml:space="preserve">Key</t>
  </si>
  <si>
    <t xml:space="preserve">Count n</t>
  </si>
  <si>
    <t xml:space="preserve">Valid N</t>
  </si>
  <si>
    <t xml:space="preserve">Alpha</t>
  </si>
  <si>
    <t xml:space="preserve">Raw e_raw</t>
  </si>
  <si>
    <t xml:space="preserve">Smoothed e</t>
  </si>
  <si>
    <t xml:space="preserve">n+a</t>
  </si>
  <si>
    <t xml:space="preserve">N+4a</t>
  </si>
  <si>
    <t xml:space="preserve">Formula</t>
  </si>
  <si>
    <t xml:space="preserve">Check sum</t>
  </si>
  <si>
    <t xml:space="preserve">e = (n + a) / (N + 4a)</t>
  </si>
  <si>
    <t xml:space="preserve">EMISSION PROBABILITY MATRIX (smoothed) — rows = base, columns = position</t>
  </si>
  <si>
    <t xml:space="preserve">Base / position</t>
  </si>
  <si>
    <t xml:space="preserve">Column sum check</t>
  </si>
  <si>
    <t xml:space="preserve">RAW (UNSMOOTHED) EMISSION MATRIX</t>
  </si>
  <si>
    <t xml:space="preserve">Step i</t>
  </si>
  <si>
    <t xml:space="preserve">From X</t>
  </si>
  <si>
    <t xml:space="preserve">To Y</t>
  </si>
  <si>
    <t xml:space="preserve">Count c</t>
  </si>
  <si>
    <t xml:space="preserve">FROM total Cx</t>
  </si>
  <si>
    <t xml:space="preserve">Raw t_raw</t>
  </si>
  <si>
    <t xml:space="preserve">Smoothed t</t>
  </si>
  <si>
    <t xml:space="preserve">c+a</t>
  </si>
  <si>
    <t xml:space="preserve">Cx+4a</t>
  </si>
  <si>
    <t xml:space="preserve">Row sum check</t>
  </si>
  <si>
    <t xml:space="preserve">1-&gt;2</t>
  </si>
  <si>
    <t xml:space="preserve">t = (c + a) / (Cx + 4a)</t>
  </si>
  <si>
    <t xml:space="preserve">2-&gt;3</t>
  </si>
  <si>
    <t xml:space="preserve">3-&gt;4</t>
  </si>
  <si>
    <t xml:space="preserve">4-&gt;5</t>
  </si>
  <si>
    <t xml:space="preserve">5-&gt;6</t>
  </si>
  <si>
    <t xml:space="preserve">6-&gt;7</t>
  </si>
  <si>
    <t xml:space="preserve">7-&gt;8</t>
  </si>
  <si>
    <t xml:space="preserve">8-&gt;9</t>
  </si>
  <si>
    <t xml:space="preserve">9-&gt;10</t>
  </si>
  <si>
    <t xml:space="preserve">10-&gt;11</t>
  </si>
  <si>
    <t xml:space="preserve">11-&gt;12</t>
  </si>
  <si>
    <t xml:space="preserve">12-&gt;13</t>
  </si>
  <si>
    <t xml:space="preserve">13-&gt;14</t>
  </si>
  <si>
    <t xml:space="preserve">14-&gt;15</t>
  </si>
  <si>
    <t xml:space="preserve">15-&gt;16</t>
  </si>
  <si>
    <t xml:space="preserve">16-&gt;17</t>
  </si>
  <si>
    <t xml:space="preserve">17-&gt;18</t>
  </si>
  <si>
    <t xml:space="preserve">18-&gt;19</t>
  </si>
  <si>
    <t xml:space="preserve">19-&gt;20</t>
  </si>
  <si>
    <t xml:space="preserve">20-&gt;21</t>
  </si>
  <si>
    <t xml:space="preserve">21-&gt;22</t>
  </si>
  <si>
    <t xml:space="preserve">22-&gt;23</t>
  </si>
  <si>
    <t xml:space="preserve">23-&gt;24</t>
  </si>
  <si>
    <t xml:space="preserve">24-&gt;25</t>
  </si>
  <si>
    <t xml:space="preserve">25-&gt;26</t>
  </si>
  <si>
    <t xml:space="preserve">26-&gt;27</t>
  </si>
  <si>
    <t xml:space="preserve">27-&gt;28</t>
  </si>
  <si>
    <t xml:space="preserve">28-&gt;29</t>
  </si>
  <si>
    <t xml:space="preserve">29-&gt;30</t>
  </si>
  <si>
    <t xml:space="preserve">30-&gt;31</t>
  </si>
  <si>
    <t xml:space="preserve">31-&gt;32</t>
  </si>
  <si>
    <t xml:space="preserve">32-&gt;33</t>
  </si>
  <si>
    <t xml:space="preserve">33-&gt;34</t>
  </si>
  <si>
    <t xml:space="preserve">34-&gt;35</t>
  </si>
  <si>
    <t xml:space="preserve">35-&gt;36</t>
  </si>
  <si>
    <t xml:space="preserve">36-&gt;37</t>
  </si>
  <si>
    <t xml:space="preserve">37-&gt;38</t>
  </si>
  <si>
    <t xml:space="preserve">38-&gt;39</t>
  </si>
  <si>
    <t xml:space="preserve">39-&gt;40</t>
  </si>
  <si>
    <t xml:space="preserve">40-&gt;41</t>
  </si>
  <si>
    <t xml:space="preserve">41-&gt;42</t>
  </si>
  <si>
    <t xml:space="preserve">42-&gt;43</t>
  </si>
  <si>
    <t xml:space="preserve">43-&gt;44</t>
  </si>
  <si>
    <t xml:space="preserve">44-&gt;45</t>
  </si>
  <si>
    <t xml:space="preserve">45-&gt;46</t>
  </si>
  <si>
    <t xml:space="preserve">46-&gt;47</t>
  </si>
  <si>
    <t xml:space="preserve">47-&gt;48</t>
  </si>
  <si>
    <t xml:space="preserve">48-&gt;49</t>
  </si>
  <si>
    <t xml:space="preserve">49-&gt;50</t>
  </si>
  <si>
    <t xml:space="preserve">50-&gt;51</t>
  </si>
  <si>
    <t xml:space="preserve">51-&gt;52</t>
  </si>
  <si>
    <t xml:space="preserve">52-&gt;53</t>
  </si>
  <si>
    <t xml:space="preserve">53-&gt;54</t>
  </si>
  <si>
    <t xml:space="preserve">54-&gt;55</t>
  </si>
  <si>
    <t xml:space="preserve">55-&gt;56</t>
  </si>
  <si>
    <t xml:space="preserve">56-&gt;57</t>
  </si>
  <si>
    <t xml:space="preserve">57-&gt;58</t>
  </si>
  <si>
    <t xml:space="preserve">58-&gt;59</t>
  </si>
  <si>
    <t xml:space="preserve">59-&gt;60</t>
  </si>
  <si>
    <t xml:space="preserve">60-&gt;61</t>
  </si>
  <si>
    <t xml:space="preserve">61-&gt;62</t>
  </si>
  <si>
    <t xml:space="preserve">62-&gt;63</t>
  </si>
  <si>
    <t xml:space="preserve">63-&gt;64</t>
  </si>
  <si>
    <t xml:space="preserve">64-&gt;65</t>
  </si>
  <si>
    <t xml:space="preserve">65-&gt;66</t>
  </si>
  <si>
    <t xml:space="preserve">66-&gt;67</t>
  </si>
  <si>
    <t xml:space="preserve">67-&gt;68</t>
  </si>
  <si>
    <t xml:space="preserve">68-&gt;69</t>
  </si>
  <si>
    <t xml:space="preserve">69-&gt;70</t>
  </si>
  <si>
    <t xml:space="preserve">70-&gt;71</t>
  </si>
  <si>
    <t xml:space="preserve">71-&gt;72</t>
  </si>
  <si>
    <t xml:space="preserve">71 POSITION-SPECIFIC TRANSITION COUNT MATRICES</t>
  </si>
  <si>
    <t xml:space="preserve">Rows = FROM base X; columns = TO base Y</t>
  </si>
  <si>
    <t xml:space="preserve">Transition 1 -&gt; 2</t>
  </si>
  <si>
    <t xml:space="preserve">FROM \ TO</t>
  </si>
  <si>
    <t xml:space="preserve">Row total</t>
  </si>
  <si>
    <t xml:space="preserve">Transition 2 -&gt; 3</t>
  </si>
  <si>
    <t xml:space="preserve">Transition 3 -&gt; 4</t>
  </si>
  <si>
    <t xml:space="preserve">Transition 4 -&gt; 5</t>
  </si>
  <si>
    <t xml:space="preserve">Transition 5 -&gt; 6</t>
  </si>
  <si>
    <t xml:space="preserve">Transition 6 -&gt; 7</t>
  </si>
  <si>
    <t xml:space="preserve">Transition 7 -&gt; 8</t>
  </si>
  <si>
    <t xml:space="preserve">Transition 8 -&gt; 9</t>
  </si>
  <si>
    <t xml:space="preserve">Transition 9 -&gt; 10</t>
  </si>
  <si>
    <t xml:space="preserve">Transition 10 -&gt; 11</t>
  </si>
  <si>
    <t xml:space="preserve">Transition 11 -&gt; 12</t>
  </si>
  <si>
    <t xml:space="preserve">Transition 12 -&gt; 13</t>
  </si>
  <si>
    <t xml:space="preserve">Transition 13 -&gt; 14</t>
  </si>
  <si>
    <t xml:space="preserve">Transition 14 -&gt; 15</t>
  </si>
  <si>
    <t xml:space="preserve">Transition 15 -&gt; 16</t>
  </si>
  <si>
    <t xml:space="preserve">Transition 16 -&gt; 17</t>
  </si>
  <si>
    <t xml:space="preserve">Transition 17 -&gt; 18</t>
  </si>
  <si>
    <t xml:space="preserve">Transition 18 -&gt; 19</t>
  </si>
  <si>
    <t xml:space="preserve">Transition 19 -&gt; 20</t>
  </si>
  <si>
    <t xml:space="preserve">Transition 20 -&gt; 21</t>
  </si>
  <si>
    <t xml:space="preserve">Transition 21 -&gt; 22</t>
  </si>
  <si>
    <t xml:space="preserve">Transition 22 -&gt; 23</t>
  </si>
  <si>
    <t xml:space="preserve">Transition 23 -&gt; 24</t>
  </si>
  <si>
    <t xml:space="preserve">Transition 24 -&gt; 25</t>
  </si>
  <si>
    <t xml:space="preserve">Transition 25 -&gt; 26</t>
  </si>
  <si>
    <t xml:space="preserve">Transition 26 -&gt; 27</t>
  </si>
  <si>
    <t xml:space="preserve">Transition 27 -&gt; 28</t>
  </si>
  <si>
    <t xml:space="preserve">Transition 28 -&gt; 29</t>
  </si>
  <si>
    <t xml:space="preserve">Transition 29 -&gt; 30</t>
  </si>
  <si>
    <t xml:space="preserve">Transition 30 -&gt; 31</t>
  </si>
  <si>
    <t xml:space="preserve">Transition 31 -&gt; 32</t>
  </si>
  <si>
    <t xml:space="preserve">Transition 32 -&gt; 33</t>
  </si>
  <si>
    <t xml:space="preserve">Transition 33 -&gt; 34</t>
  </si>
  <si>
    <t xml:space="preserve">Transition 34 -&gt; 35</t>
  </si>
  <si>
    <t xml:space="preserve">Transition 35 -&gt; 36</t>
  </si>
  <si>
    <t xml:space="preserve">Transition 36 -&gt; 37</t>
  </si>
  <si>
    <t xml:space="preserve">Transition 37 -&gt; 38</t>
  </si>
  <si>
    <t xml:space="preserve">Transition 38 -&gt; 39</t>
  </si>
  <si>
    <t xml:space="preserve">Transition 39 -&gt; 40</t>
  </si>
  <si>
    <t xml:space="preserve">Transition 40 -&gt; 41</t>
  </si>
  <si>
    <t xml:space="preserve">Transition 41 -&gt; 42</t>
  </si>
  <si>
    <t xml:space="preserve">Transition 42 -&gt; 43</t>
  </si>
  <si>
    <t xml:space="preserve">Transition 43 -&gt; 44</t>
  </si>
  <si>
    <t xml:space="preserve">Transition 44 -&gt; 45</t>
  </si>
  <si>
    <t xml:space="preserve">Transition 45 -&gt; 46</t>
  </si>
  <si>
    <t xml:space="preserve">Transition 46 -&gt; 47</t>
  </si>
  <si>
    <t xml:space="preserve">Transition 47 -&gt; 48</t>
  </si>
  <si>
    <t xml:space="preserve">Transition 48 -&gt; 49</t>
  </si>
  <si>
    <t xml:space="preserve">Transition 49 -&gt; 50</t>
  </si>
  <si>
    <t xml:space="preserve">Transition 50 -&gt; 51</t>
  </si>
  <si>
    <t xml:space="preserve">Transition 51 -&gt; 52</t>
  </si>
  <si>
    <t xml:space="preserve">Transition 52 -&gt; 53</t>
  </si>
  <si>
    <t xml:space="preserve">Transition 53 -&gt; 54</t>
  </si>
  <si>
    <t xml:space="preserve">Transition 54 -&gt; 55</t>
  </si>
  <si>
    <t xml:space="preserve">Transition 55 -&gt; 56</t>
  </si>
  <si>
    <t xml:space="preserve">Transition 56 -&gt; 57</t>
  </si>
  <si>
    <t xml:space="preserve">Transition 57 -&gt; 58</t>
  </si>
  <si>
    <t xml:space="preserve">Transition 58 -&gt; 59</t>
  </si>
  <si>
    <t xml:space="preserve">Transition 59 -&gt; 60</t>
  </si>
  <si>
    <t xml:space="preserve">Transition 60 -&gt; 61</t>
  </si>
  <si>
    <t xml:space="preserve">Transition 61 -&gt; 62</t>
  </si>
  <si>
    <t xml:space="preserve">Transition 62 -&gt; 63</t>
  </si>
  <si>
    <t xml:space="preserve">Transition 63 -&gt; 64</t>
  </si>
  <si>
    <t xml:space="preserve">Transition 64 -&gt; 65</t>
  </si>
  <si>
    <t xml:space="preserve">Transition 65 -&gt; 66</t>
  </si>
  <si>
    <t xml:space="preserve">Transition 66 -&gt; 67</t>
  </si>
  <si>
    <t xml:space="preserve">Transition 67 -&gt; 68</t>
  </si>
  <si>
    <t xml:space="preserve">Transition 68 -&gt; 69</t>
  </si>
  <si>
    <t xml:space="preserve">Transition 69 -&gt; 70</t>
  </si>
  <si>
    <t xml:space="preserve">Transition 70 -&gt; 71</t>
  </si>
  <si>
    <t xml:space="preserve">Transition 71 -&gt; 72</t>
  </si>
  <si>
    <t xml:space="preserve">71 POSITION-SPECIFIC TRANSITION PROBABILITY MATRICES (smoothed)</t>
  </si>
  <si>
    <t xml:space="preserve">Row sum</t>
  </si>
  <si>
    <t xml:space="preserve">9 PREDICTED CANDIDATES AND 13 RANDOMIZED-GENOME DECOYS — normalised to RNA. Missing shown as "-" and excluded.</t>
  </si>
  <si>
    <t xml:space="preserve">Decoy rows are shaded. Decoys were recovered by the same predictor from 50 randomized genome sequences and carry the same anticodons and types.</t>
  </si>
  <si>
    <t xml:space="preserve">ID</t>
  </si>
  <si>
    <t xml:space="preserve">Class</t>
  </si>
  <si>
    <t xml:space="preserve">Reported length</t>
  </si>
  <si>
    <t xml:space="preserve">Scored positions</t>
  </si>
  <si>
    <t xml:space="preserve">Gaps</t>
  </si>
  <si>
    <t xml:space="preserve">1</t>
  </si>
  <si>
    <t xml:space="preserve">2</t>
  </si>
  <si>
    <t xml:space="preserve">3</t>
  </si>
  <si>
    <t xml:space="preserve">4</t>
  </si>
  <si>
    <t xml:space="preserve">5</t>
  </si>
  <si>
    <t xml:space="preserve">6</t>
  </si>
  <si>
    <t xml:space="preserve">7</t>
  </si>
  <si>
    <t xml:space="preserve">8</t>
  </si>
  <si>
    <t xml:space="preserve">9</t>
  </si>
  <si>
    <t xml:space="preserve">10</t>
  </si>
  <si>
    <t xml:space="preserve">11</t>
  </si>
  <si>
    <t xml:space="preserve">12</t>
  </si>
  <si>
    <t xml:space="preserve">13</t>
  </si>
  <si>
    <t xml:space="preserve">14</t>
  </si>
  <si>
    <t xml:space="preserve">15</t>
  </si>
  <si>
    <t xml:space="preserve">16</t>
  </si>
  <si>
    <t xml:space="preserve">17</t>
  </si>
  <si>
    <t xml:space="preserve">18</t>
  </si>
  <si>
    <t xml:space="preserve">19</t>
  </si>
  <si>
    <t xml:space="preserve">20</t>
  </si>
  <si>
    <t xml:space="preserve">21</t>
  </si>
  <si>
    <t xml:space="preserve">22</t>
  </si>
  <si>
    <t xml:space="preserve">23</t>
  </si>
  <si>
    <t xml:space="preserve">24</t>
  </si>
  <si>
    <t xml:space="preserve">25</t>
  </si>
  <si>
    <t xml:space="preserve">26</t>
  </si>
  <si>
    <t xml:space="preserve">27</t>
  </si>
  <si>
    <t xml:space="preserve">28</t>
  </si>
  <si>
    <t xml:space="preserve">29</t>
  </si>
  <si>
    <t xml:space="preserve">30</t>
  </si>
  <si>
    <t xml:space="preserve">31</t>
  </si>
  <si>
    <t xml:space="preserve">32</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</si>
  <si>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</si>
  <si>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</si>
  <si>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</si>
  <si>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</si>
  <si>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</si>
  <si>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</si>
  <si>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</si>
  <si>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</si>
  <si>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</si>
  <si>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</si>
  <si>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</si>
  <si>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</si>
  <si>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45</t>
  </si>
  <si>
    <t xml:space="preserve">46</t>
  </si>
  <si>
    <t xml:space="preserve">47</t>
  </si>
  <si>
    <t xml:space="preserve">48</t>
  </si>
  <si>
    <t xml:space="preserve">49</t>
  </si>
  <si>
    <t xml:space="preserve">50</t>
  </si>
  <si>
    <t xml:space="preserve">51</t>
  </si>
  <si>
    <t xml:space="preserve">52</t>
  </si>
  <si>
    <t xml:space="preserve">53</t>
  </si>
  <si>
    <t xml:space="preserve">54</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</si>
  <si>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</si>
  <si>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</si>
  <si>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</si>
  <si>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</si>
  <si>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</si>
  <si>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</si>
  <si>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</si>
  <si>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</si>
  <si>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</si>
  <si>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</si>
  <si>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</si>
  <si>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</si>
  <si>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</si>
  <si>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</si>
  <si>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</si>
  <si>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</si>
  <si>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</si>
  <si>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</si>
  <si>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PREDICTED</t>
  </si>
  <si>
    <t xml:space="preserve">R_5_18</t>
  </si>
  <si>
    <t xml:space="preserve">DECOY</t>
  </si>
  <si>
    <t xml:space="preserve">R_5_71</t>
  </si>
  <si>
    <t xml:space="preserve">R_7_43</t>
  </si>
  <si>
    <t xml:space="preserve">R_10_33</t>
  </si>
  <si>
    <t xml:space="preserve">R_18_105</t>
  </si>
  <si>
    <t xml:space="preserve">R_20_255</t>
  </si>
  <si>
    <t xml:space="preserve">R_26_624</t>
  </si>
  <si>
    <t xml:space="preserve">R_27_667</t>
  </si>
  <si>
    <t xml:space="preserve">R_28_773</t>
  </si>
  <si>
    <t xml:space="preserve">R_43_1746</t>
  </si>
  <si>
    <t xml:space="preserve">R_43_1753</t>
  </si>
  <si>
    <t xml:space="preserve">R_44_1837</t>
  </si>
  <si>
    <t xml:space="preserve">R_49_2131</t>
  </si>
  <si>
    <t xml:space="preserve">Domain</t>
  </si>
  <si>
    <t xml:space="preserve">Smoothed emission</t>
  </si>
  <si>
    <t xml:space="preserve">Background q</t>
  </si>
  <si>
    <t xml:space="preserve">ln(e/q)</t>
  </si>
  <si>
    <t xml:space="preserve">acceptor_stem_5p</t>
  </si>
  <si>
    <t xml:space="preserve">other</t>
  </si>
  <si>
    <t xml:space="preserve">D_arm</t>
  </si>
  <si>
    <t xml:space="preserve">anticodon_arm</t>
  </si>
  <si>
    <t xml:space="preserve">variable</t>
  </si>
  <si>
    <t xml:space="preserve">T_arm</t>
  </si>
  <si>
    <t xml:space="preserve">acceptor_stem_3p</t>
  </si>
  <si>
    <t xml:space="preserve">Scored?</t>
  </si>
  <si>
    <t xml:space="preserve">Background qd</t>
  </si>
  <si>
    <t xml:space="preserve">ln(t/qd)</t>
  </si>
  <si>
    <t xml:space="preserve">yes</t>
  </si>
  <si>
    <t xml:space="preserve">dropped (gap)</t>
  </si>
  <si>
    <t xml:space="preserve">SCORES FOR THE 9 PREDICTED CANDIDATES AND THE 13 DECOYS — computed by live formula</t>
  </si>
  <si>
    <t xml:space="preserve">Sorted by combined score, best first, both classes interleaved so the overlap is visible.</t>
  </si>
  <si>
    <t xml:space="preserve">Scored transitions</t>
  </si>
  <si>
    <t xml:space="preserve">Emission log-odds/pos</t>
  </si>
  <si>
    <t xml:space="preserve">Transition log-odds/step</t>
  </si>
  <si>
    <t xml:space="preserve">Anticodon at 34-36</t>
  </si>
  <si>
    <t xml:space="preserve">Anticodon OK?</t>
  </si>
  <si>
    <t xml:space="preserve">9/12</t>
  </si>
  <si>
    <t xml:space="preserve">8/12</t>
  </si>
  <si>
    <t xml:space="preserve">NO</t>
  </si>
  <si>
    <t xml:space="preserve">PREDICTED mean combined</t>
  </si>
  <si>
    <t xml:space="preserve">DECOY mean combined</t>
  </si>
  <si>
    <t xml:space="preserve">PREDICTED mean emission</t>
  </si>
  <si>
    <t xml:space="preserve">DECOY mean emission</t>
  </si>
  <si>
    <t xml:space="preserve">PREDICTED mean transition</t>
  </si>
  <si>
    <t xml:space="preserve">DECOY mean transition</t>
  </si>
  <si>
    <t xml:space="preserve">DECOY max combined</t>
  </si>
  <si>
    <t xml:space="preserve">entered as a value: a conditional MAX needs an array formula, which Excel 2007 handles differently</t>
  </si>
  <si>
    <t xml:space="preserve">PREDICTED max combined</t>
  </si>
  <si>
    <t xml:space="preserve">PREDICTED mean GC</t>
  </si>
  <si>
    <t xml:space="preserve">DECOY mean GC</t>
  </si>
  <si>
    <t xml:space="preserve">PREDICTED mean stem pairing</t>
  </si>
  <si>
    <t xml:space="preserve">DECOY mean stem pairing</t>
  </si>
  <si>
    <t xml:space="preserve">Corr(combined, GC) over all 22</t>
  </si>
  <si>
    <t xml:space="preserve">SET 2 — T-PSI-C OTHER (n=96): real tRNAs held out of the reference 199</t>
  </si>
  <si>
    <t xml:space="preserve">Positive control. Zero overlap with the reference. Scores computed in Python (blue).</t>
  </si>
  <si>
    <t xml:space="preserve">tRNA No</t>
  </si>
  <si>
    <t xml:space="preserve">Amino acid</t>
  </si>
  <si>
    <t xml:space="preserve">Anticodon</t>
  </si>
  <si>
    <t xml:space="preserve">tdbR00000271</t>
  </si>
  <si>
    <t xml:space="preserve">tdbR00000311</t>
  </si>
  <si>
    <t xml:space="preserve">tdbR00000500</t>
  </si>
  <si>
    <t xml:space="preserve">Ini</t>
  </si>
  <si>
    <t xml:space="preserve">tdbR00000001</t>
  </si>
  <si>
    <t xml:space="preserve">tdbR00000499</t>
  </si>
  <si>
    <t xml:space="preserve">tdbR00000380</t>
  </si>
  <si>
    <t xml:space="preserve">tdbR00000430</t>
  </si>
  <si>
    <t xml:space="preserve">tdbR00000446</t>
  </si>
  <si>
    <t xml:space="preserve">tdbR00000447</t>
  </si>
  <si>
    <t xml:space="preserve">tdbR00000448</t>
  </si>
  <si>
    <t xml:space="preserve">tdbR00000060</t>
  </si>
  <si>
    <t xml:space="preserve">tdbR00000147</t>
  </si>
  <si>
    <t xml:space="preserve">tdbR00000533</t>
  </si>
  <si>
    <t xml:space="preserve">tdbR00000202</t>
  </si>
  <si>
    <t xml:space="preserve">tdbR00000201</t>
  </si>
  <si>
    <t xml:space="preserve">tdbR00000095</t>
  </si>
  <si>
    <t xml:space="preserve">tdbR00000564</t>
  </si>
  <si>
    <t xml:space="preserve">tdbR00000473</t>
  </si>
  <si>
    <t xml:space="preserve">tdbR00000472</t>
  </si>
  <si>
    <t xml:space="preserve">tdbR00000474</t>
  </si>
  <si>
    <t xml:space="preserve">tdbR00000014</t>
  </si>
  <si>
    <t xml:space="preserve">AGC</t>
  </si>
  <si>
    <t xml:space="preserve">tdbR00000015</t>
  </si>
  <si>
    <t xml:space="preserve">tdbR00000173</t>
  </si>
  <si>
    <t xml:space="preserve">tdbR00000093</t>
  </si>
  <si>
    <t xml:space="preserve">tdbR00000094</t>
  </si>
  <si>
    <t xml:space="preserve">tdbR00000576</t>
  </si>
  <si>
    <t xml:space="preserve">tdbR00000573</t>
  </si>
  <si>
    <t xml:space="preserve">tdbR00000578</t>
  </si>
  <si>
    <t xml:space="preserve">tdbR00000577</t>
  </si>
  <si>
    <t xml:space="preserve">tdbR00000572</t>
  </si>
  <si>
    <t xml:space="preserve">tdbR00000575</t>
  </si>
  <si>
    <t xml:space="preserve">tdbR00000574</t>
  </si>
  <si>
    <t xml:space="preserve">tdbR00000204</t>
  </si>
  <si>
    <t xml:space="preserve">tdbR00000203</t>
  </si>
  <si>
    <t xml:space="preserve">tdbR00000205</t>
  </si>
  <si>
    <t xml:space="preserve">tdbR00000206</t>
  </si>
  <si>
    <t xml:space="preserve">tdbR00000563</t>
  </si>
  <si>
    <t xml:space="preserve">tdbR00000061</t>
  </si>
  <si>
    <t xml:space="preserve">tdbR00000174</t>
  </si>
  <si>
    <t xml:space="preserve">tdbR00000208</t>
  </si>
  <si>
    <t xml:space="preserve">tdbR00000100</t>
  </si>
  <si>
    <t xml:space="preserve">tdbR00000377</t>
  </si>
  <si>
    <t xml:space="preserve">tdbR00000378</t>
  </si>
  <si>
    <t xml:space="preserve">tdbR00000343</t>
  </si>
  <si>
    <t xml:space="preserve">tdbR00000344</t>
  </si>
  <si>
    <t xml:space="preserve">tdbR00000101</t>
  </si>
  <si>
    <t xml:space="preserve">tdbR00000537</t>
  </si>
  <si>
    <t xml:space="preserve">tdbR00000039</t>
  </si>
  <si>
    <t xml:space="preserve">tdbR00000532</t>
  </si>
  <si>
    <t xml:space="preserve">tdbR00000200</t>
  </si>
  <si>
    <t xml:space="preserve">tdbR00000198</t>
  </si>
  <si>
    <t xml:space="preserve">tdbR00000199</t>
  </si>
  <si>
    <t xml:space="preserve">tdbR00000287</t>
  </si>
  <si>
    <t xml:space="preserve">tdbR00000092</t>
  </si>
  <si>
    <t xml:space="preserve">tdbR00000471</t>
  </si>
  <si>
    <t xml:space="preserve">tdbR00000037</t>
  </si>
  <si>
    <t xml:space="preserve">tdbR00000469</t>
  </si>
  <si>
    <t xml:space="preserve">tdbR00000038</t>
  </si>
  <si>
    <t xml:space="preserve">tdbR00000341</t>
  </si>
  <si>
    <t xml:space="preserve">tdbR00000059</t>
  </si>
  <si>
    <t xml:space="preserve">tdbR00000197</t>
  </si>
  <si>
    <t xml:space="preserve">tdbR00000195</t>
  </si>
  <si>
    <t xml:space="preserve">tdbR00000196</t>
  </si>
  <si>
    <t xml:space="preserve">tdbR00000462</t>
  </si>
  <si>
    <t xml:space="preserve">tdbR00000120</t>
  </si>
  <si>
    <t xml:space="preserve">tdbR00000121</t>
  </si>
  <si>
    <t xml:space="preserve">tdbR00000141</t>
  </si>
  <si>
    <t xml:space="preserve">tdbR00000317</t>
  </si>
  <si>
    <t xml:space="preserve">tdbR00000318</t>
  </si>
  <si>
    <t xml:space="preserve">tdbR00000319</t>
  </si>
  <si>
    <t xml:space="preserve">tdbR00000337</t>
  </si>
  <si>
    <t xml:space="preserve">tdbR00000338</t>
  </si>
  <si>
    <t xml:space="preserve">tdbR00000339</t>
  </si>
  <si>
    <t xml:space="preserve">tdbR00000523</t>
  </si>
  <si>
    <t xml:space="preserve">tdbR00000503</t>
  </si>
  <si>
    <t xml:space="preserve">tdbR00000272</t>
  </si>
  <si>
    <t xml:space="preserve">tdbR00000025</t>
  </si>
  <si>
    <t xml:space="preserve">tdbR00000157</t>
  </si>
  <si>
    <t xml:space="preserve">tdbR00000508</t>
  </si>
  <si>
    <t xml:space="preserve">tdbR00000509</t>
  </si>
  <si>
    <t xml:space="preserve">tdbR00000275</t>
  </si>
  <si>
    <t xml:space="preserve">tdbR00000066</t>
  </si>
  <si>
    <t xml:space="preserve">tdbR00000016</t>
  </si>
  <si>
    <t xml:space="preserve">tdbR00000017</t>
  </si>
  <si>
    <t xml:space="preserve">tdbR00000345</t>
  </si>
  <si>
    <t xml:space="preserve">tdbR00000346</t>
  </si>
  <si>
    <t xml:space="preserve">tdbR00000062</t>
  </si>
  <si>
    <t xml:space="preserve">tdbR00000149</t>
  </si>
  <si>
    <t xml:space="preserve">tdbR00000289</t>
  </si>
  <si>
    <t xml:space="preserve">tdbR00000540</t>
  </si>
  <si>
    <t xml:space="preserve">tdbR00000103</t>
  </si>
  <si>
    <t xml:space="preserve">tdbR00000566</t>
  </si>
  <si>
    <t xml:space="preserve">tdbR00000567</t>
  </si>
  <si>
    <t xml:space="preserve">tdbR00001067</t>
  </si>
  <si>
    <t xml:space="preserve">tdbR00001091</t>
  </si>
  <si>
    <t xml:space="preserve">tdbR00001092</t>
  </si>
  <si>
    <t xml:space="preserve">Mean emission</t>
  </si>
  <si>
    <t xml:space="preserve">SD emission</t>
  </si>
  <si>
    <t xml:space="preserve">Mean transition</t>
  </si>
  <si>
    <t xml:space="preserve">SD transition</t>
  </si>
  <si>
    <t xml:space="preserve">Mean combined</t>
  </si>
  <si>
    <t xml:space="preserve">SD combined</t>
  </si>
  <si>
    <t xml:space="preserve">MIN combined</t>
  </si>
  <si>
    <t xml:space="preserve">MAX combined</t>
  </si>
  <si>
    <t xml:space="preserve">Mean stem pairing</t>
  </si>
  <si>
    <t xml:space="preserve">Mean invariant match</t>
  </si>
  <si>
    <t xml:space="preserve">Corr(emission, transition)</t>
  </si>
  <si>
    <t xml:space="preserve">SET 3 — MBSW ARCHAEAL MATURE tRNAs (n=62), tRNAscan-SE</t>
  </si>
  <si>
    <t xml:space="preserve">Second positive control, from the same archaeal species the candidates were predicted from.</t>
  </si>
  <si>
    <t xml:space="preserve">Urna No</t>
  </si>
  <si>
    <t xml:space="preserve">(no anticodon given)</t>
  </si>
  <si>
    <t xml:space="preserve">ALA</t>
  </si>
  <si>
    <t xml:space="preserve">ASN</t>
  </si>
  <si>
    <t xml:space="preserve">ASP</t>
  </si>
  <si>
    <t xml:space="preserve">GLU</t>
  </si>
  <si>
    <t xml:space="preserve">GLN</t>
  </si>
  <si>
    <t xml:space="preserve">GLY</t>
  </si>
  <si>
    <t xml:space="preserve">HIS</t>
  </si>
  <si>
    <t xml:space="preserve">ILE</t>
  </si>
  <si>
    <t xml:space="preserve">LEU</t>
  </si>
  <si>
    <t xml:space="preserve">MEU</t>
  </si>
  <si>
    <t xml:space="preserve">PHE</t>
  </si>
  <si>
    <t xml:space="preserve">SER</t>
  </si>
  <si>
    <t xml:space="preserve">UHR</t>
  </si>
  <si>
    <t xml:space="preserve">URP</t>
  </si>
  <si>
    <t xml:space="preserve">UYR</t>
  </si>
  <si>
    <t xml:space="preserve">VAL</t>
  </si>
  <si>
    <t xml:space="preserve">SET 1 — T-PSI-C REFERENCE (n=199), leave-one-out</t>
  </si>
  <si>
    <t xml:space="preserve">The model is built from these records; each is scored with its own counts removed.</t>
  </si>
  <si>
    <t xml:space="preserve">#</t>
  </si>
  <si>
    <t xml:space="preserve">tRNA id</t>
  </si>
  <si>
    <t xml:space="preserve">NULL A — COMPOSITION-MATCHED PERMUTATIONS OF SET 2 (n=960)</t>
  </si>
  <si>
    <t xml:space="preserve">Each set-2 tRNA's own bases randomly permuted across its own occupied positions, 10 replicates, seed 2026. The easy negative.</t>
  </si>
  <si>
    <t xml:space="preserve">Source tRNA</t>
  </si>
  <si>
    <t xml:space="preserve">Replicate</t>
  </si>
  <si>
    <t xml:space="preserve">MAX emission</t>
  </si>
  <si>
    <t xml:space="preserve">MAX transition</t>
  </si>
  <si>
    <t xml:space="preserve">Mean T-loop match</t>
  </si>
  <si>
    <t xml:space="preserve">COMPARISON OF ALL SIX SETS AGAINST THE SAME REFERENCE MODEL</t>
  </si>
  <si>
    <t xml:space="preserve">Set</t>
  </si>
  <si>
    <t xml:space="preserve">What it is</t>
  </si>
  <si>
    <t xml:space="preserve">Emission</t>
  </si>
  <si>
    <t xml:space="preserve">Transition</t>
  </si>
  <si>
    <t xml:space="preserve">Combined</t>
  </si>
  <si>
    <t xml:space="preserve">Min</t>
  </si>
  <si>
    <t xml:space="preserve">Max</t>
  </si>
  <si>
    <t xml:space="preserve">GC</t>
  </si>
  <si>
    <t xml:space="preserve">1. Reference 199</t>
  </si>
  <si>
    <t xml:space="preserve">T-Psi-C records the model is built from (leave-one-out)</t>
  </si>
  <si>
    <t xml:space="preserve">2. T-Psi-C OTHER 96</t>
  </si>
  <si>
    <t xml:space="preserve">Real tRNAs held out of the reference; positive control</t>
  </si>
  <si>
    <t xml:space="preserve">3. MBSW archaeal mature 62</t>
  </si>
  <si>
    <t xml:space="preserve">Mature archaeal tRNAs from the source species; positive control</t>
  </si>
  <si>
    <t xml:space="preserve">4. PREDICTED candidates</t>
  </si>
  <si>
    <t xml:space="preserve">Your 9 predicted split suppressor / selenocysteine tRNAs</t>
  </si>
  <si>
    <t xml:space="preserve">5. DECOY (randomized genome)</t>
  </si>
  <si>
    <t xml:space="preserve">Same predictor run on 50 randomized genomes; the HARD negative</t>
  </si>
  <si>
    <t xml:space="preserve">6. PERMUTATION null</t>
  </si>
  <si>
    <t xml:space="preserve">Scrambled set-2 tRNAs; the EASY negative</t>
  </si>
  <si>
    <t xml:space="preserve">matched to set 2</t>
  </si>
  <si>
    <t xml:space="preserve">READING</t>
  </si>
  <si>
    <t xml:space="preserve">All three real sets agree</t>
  </si>
  <si>
    <t xml:space="preserve">Reference +0.506, OTHER +0.494, MBSW archaeal +0.422. The model generalises across taxa and across independent prediction methods.</t>
  </si>
  <si>
    <t xml:space="preserve">Predicted and decoy nearly coincide</t>
  </si>
  <si>
    <t xml:space="preserve">Predicted -0.271 against decoy -0.338. The two distributions overlap heavily: 7 of the 9 predicted candidates fall inside the decoy range. This is the central negative finding.</t>
  </si>
  <si>
    <t xml:space="preserve">The easy null is far lower</t>
  </si>
  <si>
    <t xml:space="preserve">The permutation null sits at -0.603. Judged against that null the candidates looked clearly better than chance; judged against the decoys they do not.</t>
  </si>
  <si>
    <t xml:space="preserve">Identity features favour the decoys</t>
  </si>
  <si>
    <t xml:space="preserve">Decoy invariant match 0.667 against predicted 0.602, decoy T-loop 0.631 against predicted 0.556. These features cannot support the candidates.</t>
  </si>
  <si>
    <t xml:space="preserve">Stem pairing is saturated</t>
  </si>
  <si>
    <t xml:space="preserve">Predicted 0.915, decoy 0.919, real 0.96-0.98, null 0.400. The predictor selects for folding, so both candidate sets fold and pairing cannot discriminate between them.</t>
  </si>
  <si>
    <t xml:space="preserve">THE DECISIVE TEST — DO THE 9 PREDICTED SEPARATE FROM THE 13 RANDOMIZED-GENOME DECOYS?</t>
  </si>
  <si>
    <t xml:space="preserve">Mann-Whitney U, two-sided, normal approximation with tie correction. AUC is the probability that a randomly chosen predicted candidate outranks a randomly chosen decoy; 0.5 means no discrimination.</t>
  </si>
  <si>
    <t xml:space="preserve">Measure</t>
  </si>
  <si>
    <t xml:space="preserve">Predicted mean</t>
  </si>
  <si>
    <t xml:space="preserve">Decoy mean</t>
  </si>
  <si>
    <t xml:space="preserve">z</t>
  </si>
  <si>
    <t xml:space="preserve">p</t>
  </si>
  <si>
    <t xml:space="preserve">AUC</t>
  </si>
  <si>
    <t xml:space="preserve">Verdict</t>
  </si>
  <si>
    <t xml:space="preserve">Emission log-odds / position</t>
  </si>
  <si>
    <t xml:space="preserve">no discrimination</t>
  </si>
  <si>
    <t xml:space="preserve">Transition log-odds / step</t>
  </si>
  <si>
    <t xml:space="preserve">weak / not significant</t>
  </si>
  <si>
    <t xml:space="preserve">Stem pairing fraction</t>
  </si>
  <si>
    <t xml:space="preserve">runs the WRONG way (decoys score higher)</t>
  </si>
  <si>
    <t xml:space="preserve">Invariant match fraction</t>
  </si>
  <si>
    <t xml:space="preserve">T-loop match fraction</t>
  </si>
  <si>
    <t xml:space="preserve">Acceptor stem paired fraction</t>
  </si>
  <si>
    <t xml:space="preserve">GC content (72 slots)</t>
  </si>
  <si>
    <t xml:space="preserve">separates (p&lt;0.05)</t>
  </si>
  <si>
    <t xml:space="preserve">GC content in stems</t>
  </si>
  <si>
    <t xml:space="preserve">GC-ADJUSTED TEST — is the gap anything more than base composition?</t>
  </si>
  <si>
    <t xml:space="preserve">Correlation combined score with GC, across all 22</t>
  </si>
  <si>
    <t xml:space="preserve">Correlation GC with class label (predicted=1, decoy=0)</t>
  </si>
  <si>
    <t xml:space="preserve">Correlation combined score with class label</t>
  </si>
  <si>
    <t xml:space="preserve">Regression slope of combined score on GC</t>
  </si>
  <si>
    <t xml:space="preserve">Mean GC-adjusted residual, PREDICTED</t>
  </si>
  <si>
    <t xml:space="preserve">Mean GC-adjusted residual, DECOY</t>
  </si>
  <si>
    <t xml:space="preserve">Mann-Whitney U on residuals</t>
  </si>
  <si>
    <t xml:space="preserve">z on residuals</t>
  </si>
  <si>
    <t xml:space="preserve">p on residuals</t>
  </si>
  <si>
    <t xml:space="preserve">AUC on residuals</t>
  </si>
  <si>
    <t xml:space="preserve">CONCLUSION</t>
  </si>
  <si>
    <t xml:space="preserve">GC content alone separates predicted from decoy with AUC 0.859 (p = 0.005), better than the combined score does (AUC 0.615, p = 0.367). Once the linear GC effect is removed from the combined score the difference between the two classes vanishes entirely: residual means -0.0035 against +0.0025, p = 0.973, AUC = 0.504. The positional emission and transition model therefore adds nothing beyond base composition for the task of telling a predicted candidate from a randomized-genome decoy. Note that the decoy GC range is 0.211 to 0.451 while real tRNAs average 0.598, so GC is itself a biologically meaningful signal (stable stems need GC) and not merely a nuisance. The honest statement is that GC, not the positional model, is doing the discriminating work.</t>
  </si>
  <si>
    <t xml:space="preserve">POWER LIMIT</t>
  </si>
  <si>
    <t xml:space="preserve">With 13 decoys the smallest empirical p obtainable is 1/(13+1) = 0.0714. No candidate can reach p &lt; 0.05 against this null however strong it is, and the two best candidates both sit exactly at that floor. Reaching p &lt; 0.01 needs at least 99 decoys; at the observed yield of 0.26 decoys per randomized genome that is roughly 380 randomized genomes. The more informative experiment is a GC-matched decoy set, because GC is where the separation currently comes from.</t>
  </si>
  <si>
    <t xml:space="preserve">THRESHOLD — RECALIBRATED AGAINST BOTH NULLS</t>
  </si>
  <si>
    <t xml:space="preserve">Positives = 158 real tRNAs (set 2 + set 3). Two negative classes are used: the easy permutation null (n=960) and the realistic randomized-genome decoys (n=13).</t>
  </si>
  <si>
    <t xml:space="preserve">Score</t>
  </si>
  <si>
    <t xml:space="preserve">Negative class</t>
  </si>
  <si>
    <t xml:space="preserve">n neg</t>
  </si>
  <si>
    <t xml:space="preserve">Highest negative</t>
  </si>
  <si>
    <t xml:space="preserve">Lowest positive</t>
  </si>
  <si>
    <t xml:space="preserve">Band width</t>
  </si>
  <si>
    <t xml:space="preserve">RECOMMENDED cut</t>
  </si>
  <si>
    <t xml:space="preserve">Predicted above</t>
  </si>
  <si>
    <t xml:space="preserve">Predicted below</t>
  </si>
  <si>
    <t xml:space="preserve">Permutation null (easy)</t>
  </si>
  <si>
    <t xml:space="preserve">Randomized-genome decoys (hard)</t>
  </si>
  <si>
    <t xml:space="preserve">HEADLINE — combined score against the realistic decoy null</t>
  </si>
  <si>
    <t xml:space="preserve">Decoy maximum</t>
  </si>
  <si>
    <t xml:space="preserve">no decoy scored above this</t>
  </si>
  <si>
    <t xml:space="preserve">Weakest of the 158 real tRNAs</t>
  </si>
  <si>
    <t xml:space="preserve">lower edge of the real range</t>
  </si>
  <si>
    <t xml:space="preserve">RECOMMENDED CUT (midpoint)</t>
  </si>
  <si>
    <t xml:space="preserve">ABOVE = tRNA-like beyond what the predictor finds in randomized genome; BELOW = not distinguishable from a decoy</t>
  </si>
  <si>
    <t xml:space="preserve">Candidates above the cut</t>
  </si>
  <si>
    <t xml:space="preserve">of 9</t>
  </si>
  <si>
    <t xml:space="preserve">Candidates inside the decoy range</t>
  </si>
  <si>
    <t xml:space="preserve">v4 cut against the easy null</t>
  </si>
  <si>
    <t xml:space="preserve">superseded: the decoy-calibrated cut is stricter and more realistic</t>
  </si>
  <si>
    <t xml:space="preserve">FEATURE-BY-FEATURE DISCRIMINATION POWER</t>
  </si>
  <si>
    <t xml:space="preserve">Two AUCs per feature: real-vs-decoy shows whether the feature identifies a real tRNA at all; predicted-vs-decoy shows whether it supports YOUR candidates specifically. A feature can be excellent at the first and useless at the second.</t>
  </si>
  <si>
    <t xml:space="preserve">Feature</t>
  </si>
  <si>
    <t xml:space="preserve">Real 158</t>
  </si>
  <si>
    <t xml:space="preserve">Predicted 9</t>
  </si>
  <si>
    <t xml:space="preserve">Decoy 13</t>
  </si>
  <si>
    <t xml:space="preserve">Permutation null</t>
  </si>
  <si>
    <t xml:space="preserve">AUC real vs decoy</t>
  </si>
  <si>
    <t xml:space="preserve">AUC predicted vs decoy</t>
  </si>
  <si>
    <t xml:space="preserve">p predicted vs decoy</t>
  </si>
  <si>
    <t xml:space="preserve">Usable to support the candidates?</t>
  </si>
  <si>
    <t xml:space="preserve">no — not significant</t>
  </si>
  <si>
    <t xml:space="preserve">Emission log-odds</t>
  </si>
  <si>
    <t xml:space="preserve">Transition log-odds</t>
  </si>
  <si>
    <t xml:space="preserve">NO — favours the decoys</t>
  </si>
  <si>
    <t xml:space="preserve">n/a</t>
  </si>
  <si>
    <t xml:space="preserve">YES</t>
  </si>
  <si>
    <t xml:space="preserve">Levitt pair G15:C48</t>
  </si>
  <si>
    <t xml:space="preserve">Purine at position 37</t>
  </si>
  <si>
    <t xml:space="preserve">ANTICODON PRESENCE CHECK (positions 34-36 against the declared anticodon)</t>
  </si>
  <si>
    <t xml:space="preserve">Anticodon present at 34-36</t>
  </si>
  <si>
    <t xml:space="preserve">Fraction</t>
  </si>
  <si>
    <t xml:space="preserve">T-Psi-C OTHER 96 (real)</t>
  </si>
  <si>
    <t xml:space="preserve">validates the check on real data</t>
  </si>
  <si>
    <t xml:space="preserve">PREDICTED 9</t>
  </si>
  <si>
    <t xml:space="preserve">all present</t>
  </si>
  <si>
    <t xml:space="preserve">DECOY 13</t>
  </si>
  <si>
    <t xml:space="preserve">nearly all present</t>
  </si>
  <si>
    <t xml:space="preserve">The anticodon check passes on 96/96 real tRNAs, so it is a correct test. It passes on 9/9 predicted and 12/13 decoys, so it cannot discriminate between them: the predictor places the anticodon by construction.</t>
  </si>
  <si>
    <t xml:space="preserve">CONSERVED / SEMI-INVARIANT POSITIONS ACROSS ALL SETS</t>
  </si>
  <si>
    <t xml:space="preserve">Expected</t>
  </si>
  <si>
    <t xml:space="preserve">Reference share</t>
  </si>
  <si>
    <t xml:space="preserve">Set2 OTHER</t>
  </si>
  <si>
    <t xml:space="preserve">Set3 MBSW</t>
  </si>
  <si>
    <t xml:space="preserve">Null expectation</t>
  </si>
  <si>
    <t xml:space="preserve">Decoy beats predicted?</t>
  </si>
  <si>
    <t xml:space="preserve">96/96</t>
  </si>
  <si>
    <t xml:space="preserve">62/62</t>
  </si>
  <si>
    <t xml:space="preserve">9/9</t>
  </si>
  <si>
    <t xml:space="preserve">13/13</t>
  </si>
  <si>
    <t xml:space="preserve">equal</t>
  </si>
  <si>
    <t xml:space="preserve">6/9</t>
  </si>
  <si>
    <t xml:space="preserve">7/13</t>
  </si>
  <si>
    <t xml:space="preserve">predicted higher</t>
  </si>
  <si>
    <t xml:space="preserve">95/96</t>
  </si>
  <si>
    <t xml:space="preserve">55/62</t>
  </si>
  <si>
    <t xml:space="preserve">0/9</t>
  </si>
  <si>
    <t xml:space="preserve">6/13</t>
  </si>
  <si>
    <t xml:space="preserve">DECOY higher</t>
  </si>
  <si>
    <t xml:space="preserve">89/96</t>
  </si>
  <si>
    <t xml:space="preserve">61/62</t>
  </si>
  <si>
    <t xml:space="preserve">10/13</t>
  </si>
  <si>
    <t xml:space="preserve">82/96</t>
  </si>
  <si>
    <t xml:space="preserve">57/62</t>
  </si>
  <si>
    <t xml:space="preserve">1/9</t>
  </si>
  <si>
    <t xml:space="preserve">1/13</t>
  </si>
  <si>
    <t xml:space="preserve">94/95</t>
  </si>
  <si>
    <t xml:space="preserve">60/62</t>
  </si>
  <si>
    <t xml:space="preserve">87/96</t>
  </si>
  <si>
    <t xml:space="preserve">4/9</t>
  </si>
  <si>
    <t xml:space="preserve">8/13</t>
  </si>
  <si>
    <t xml:space="preserve">7/9</t>
  </si>
  <si>
    <t xml:space="preserve">94/96</t>
  </si>
  <si>
    <t xml:space="preserve">67/96</t>
  </si>
  <si>
    <t xml:space="preserve">44/62</t>
  </si>
  <si>
    <t xml:space="preserve">2/9</t>
  </si>
  <si>
    <t xml:space="preserve">4/13</t>
  </si>
  <si>
    <t xml:space="preserve">3/9</t>
  </si>
  <si>
    <t xml:space="preserve">Totals</t>
  </si>
  <si>
    <t xml:space="preserve">1083/1150 = 94.2%</t>
  </si>
  <si>
    <t xml:space="preserve">708/744 = 95.2%</t>
  </si>
  <si>
    <t xml:space="preserve">65/108 = 60.2%</t>
  </si>
  <si>
    <t xml:space="preserve">104/156 = 66.7%</t>
  </si>
  <si>
    <t xml:space="preserve">The decoys match the conserved positions as often as or more often than the predicted candidates at most positions. The identity set therefore provides no support for the candidates over randomized-genome hits.</t>
  </si>
  <si>
    <t xml:space="preserve">PER-POSITION LOG-ODDS: REAL vs PREDICTED vs DECOY</t>
  </si>
  <si>
    <t xml:space="preserve">Sorted by the real-minus-predicted deficit. The decoy column shows whether the candidates are also short of the decoys at that position.</t>
  </si>
  <si>
    <t xml:space="preserve">Consensus</t>
  </si>
  <si>
    <t xml:space="preserve">Consensus share</t>
  </si>
  <si>
    <t xml:space="preserve">Real log-odds</t>
  </si>
  <si>
    <t xml:space="preserve">Predicted log-odds</t>
  </si>
  <si>
    <t xml:space="preserve">Decoy log-odds</t>
  </si>
  <si>
    <t xml:space="preserve">Real - Predicted</t>
  </si>
  <si>
    <t xml:space="preserve">Predicted - Decoy</t>
  </si>
  <si>
    <t xml:space="preserve">SUMMARY TABLE — STATUS OF THE 9 PREDICTED CANDIDATES AGAINST THE REALISTIC NEGATIVE CONTROL</t>
  </si>
  <si>
    <t xml:space="preserve">Decoy-calibrated cut = -0.0801. Decoy maximum = -0.1890. Weakest real tRNA = +0.0288. Smallest attainable p against 13 decoys = 0.0714, so no candidate can reach p&lt;0.05 against this null.</t>
  </si>
  <si>
    <t xml:space="preserve">Length</t>
  </si>
  <si>
    <t xml:space="preserve">COMBINED SCORE</t>
  </si>
  <si>
    <t xml:space="preserve">z vs real tRNAs</t>
  </si>
  <si>
    <t xml:space="preserve">p vs permutation null</t>
  </si>
  <si>
    <t xml:space="preserve">p vs decoy null</t>
  </si>
  <si>
    <t xml:space="preserve">Above decoy maximum?</t>
  </si>
  <si>
    <t xml:space="preserve">Clears decoy-calibrated cut?</t>
  </si>
  <si>
    <t xml:space="preserve">Levitt G15:C48</t>
  </si>
  <si>
    <t xml:space="preserve">GC above decoy range?</t>
  </si>
  <si>
    <t xml:space="preserve">GC% as supplied</t>
  </si>
  <si>
    <t xml:space="preserve">MFE kcal/mol</t>
  </si>
  <si>
    <t xml:space="preserve">Ensemble dG</t>
  </si>
  <si>
    <t xml:space="preserve">STATUS</t>
  </si>
  <si>
    <t xml:space="preserve">SUPPORTED</t>
  </si>
  <si>
    <t xml:space="preserve">no</t>
  </si>
  <si>
    <t xml:space="preserve">BORDERLINE</t>
  </si>
  <si>
    <t xml:space="preserve">NOT SUPPORTED</t>
  </si>
  <si>
    <t xml:space="preserve">BENCHMARKS</t>
  </si>
  <si>
    <t xml:space="preserve">Benchmark</t>
  </si>
  <si>
    <t xml:space="preserve">Real tRNAs, 158 (sets 2+3) mean</t>
  </si>
  <si>
    <t xml:space="preserve">Weakest real tRNA</t>
  </si>
  <si>
    <t xml:space="preserve">DECOY-CALIBRATED CUT</t>
  </si>
  <si>
    <t xml:space="preserve">Decoy 13 mean</t>
  </si>
  <si>
    <t xml:space="preserve">Permutation null 960 mean</t>
  </si>
  <si>
    <t xml:space="preserve">matched</t>
  </si>
  <si>
    <t xml:space="preserve">STATUS KEY</t>
  </si>
  <si>
    <t xml:space="preserve">Above every decoy AND above the decoy-calibrated cut. The only status that survives the hard negative control.</t>
  </si>
  <si>
    <t xml:space="preserve">Above every decoy but below the cut. Better than anything the predictor found in randomized genome, yet still outside the real-tRNA range.</t>
  </si>
  <si>
    <t xml:space="preserve">Inside the decoy range. Indistinguishable from what the same predictor returns from randomized genome, so sequence evidence cannot support it.</t>
  </si>
  <si>
    <t xml:space="preserve">OUTCOME</t>
  </si>
  <si>
    <t xml:space="preserve">trna1091, trna1395, trna1, trna20, trna9, trna590, trna1470</t>
  </si>
  <si>
    <t xml:space="preserve">CAVEAT ON trna64</t>
  </si>
  <si>
    <t xml:space="preserve">trna64 is the one candidate that clears every test, but its GC content (0.648) lies above the entire decoy GC range (0.211 to 0.451). Because GC is the feature that separates predicted from decoy, and because the positional model adds nothing once GC is controlled for, part of trna64's advantage may be compositional rather than structural. A GC-matched decoy set is needed to settle this. Its supporting evidence is nonetheless the strongest in the set: 10/12 invariants, 5/5 T-loop, 19/21 stem pairs, and a combined score inside the real-tRNA range.</t>
  </si>
  <si>
    <t xml:space="preserve">CORRELATION AMONG THE VALUE SETS, ACROSS EVERY DATA SET</t>
  </si>
  <si>
    <t xml:space="preserve">The value sets are: emission log-odds, transition log-odds, and the structural measures (stem pairing, invariant match).</t>
  </si>
  <si>
    <t xml:space="preserve">Data set</t>
  </si>
  <si>
    <t xml:space="preserve">emission ~ transition</t>
  </si>
  <si>
    <t xml:space="preserve">emission ~ stem pairing</t>
  </si>
  <si>
    <t xml:space="preserve">emission ~ invariants</t>
  </si>
  <si>
    <t xml:space="preserve">stem pairing ~ invariants</t>
  </si>
  <si>
    <t xml:space="preserve">Reading</t>
  </si>
  <si>
    <t xml:space="preserve">Emission and transition are near-redundant: they read the same positional model. Report one as primary; treating both as independent evidence double-counts.</t>
  </si>
  <si>
    <t xml:space="preserve">Pairing correlation collapses to near zero: in real tRNAs pairing is uniformly high and carries almost no discriminating variance.</t>
  </si>
  <si>
    <t xml:space="preserve">3. MBSW archaeal 62</t>
  </si>
  <si>
    <t xml:space="preserve">Same pattern in an independently predicted mature-tRNA set.</t>
  </si>
  <si>
    <t xml:space="preserve">4. PREDICTED 9</t>
  </si>
  <si>
    <t xml:space="preserve">Within the candidates the score tracks the invariant match strongly and pairing negatively: what score they have comes from surviving identity nucleotides, not from foldability.</t>
  </si>
  <si>
    <t xml:space="preserve">5. DECOY 13</t>
  </si>
  <si>
    <t xml:space="preserve">The decoys show the same internal structure as the candidates, which is why no single feature separates the two groups.</t>
  </si>
  <si>
    <t xml:space="preserve">6. PERMUTATION null 960</t>
  </si>
  <si>
    <t xml:space="preserve">emission~transition falls to about +0.51 once positional order is destroyed, showing the high correlation in real tRNAs comes from shared positional signal rather than from the scoring arithmetic.</t>
  </si>
  <si>
    <t xml:space="preserve">CANDIDATE-ONLY CORRELATIONS WITH THE SUPPLIED ANNOTATIONS</t>
  </si>
  <si>
    <t xml:space="preserve">Comparison</t>
  </si>
  <si>
    <t xml:space="preserve">Pearson r</t>
  </si>
  <si>
    <t xml:space="preserve">combined score ~ supplied GC%</t>
  </si>
  <si>
    <t xml:space="preserve">Much of the spread among the candidates is base composition.</t>
  </si>
  <si>
    <t xml:space="preserve">combined score ~ supplied MFE</t>
  </si>
  <si>
    <t xml:space="preserve">Negative: more stable folds score higher.</t>
  </si>
  <si>
    <t xml:space="preserve">supplied GC% ~ supplied MFE</t>
  </si>
  <si>
    <t xml:space="preserve">Strong. The free energy is largely tracking GC, so MFE is not independent evidence of foldability and should not be quoted as a separate line of support.</t>
  </si>
  <si>
    <t xml:space="preserve">RECALCULATION AND DATA INTEGRITY</t>
  </si>
  <si>
    <t xml:space="preserve">Checks marked "formula vs independent" compare a live spreadsheet result against the same quantity computed independently in Python. These are the checks that catch a mis-pointed reference.</t>
  </si>
  <si>
    <t xml:space="preserve">Check</t>
  </si>
  <si>
    <t xml:space="preserve">Computed</t>
  </si>
  <si>
    <t xml:space="preserve">Pass?</t>
  </si>
  <si>
    <t xml:space="preserve">Reference records</t>
  </si>
  <si>
    <t xml:space="preserve">Positions in model</t>
  </si>
  <si>
    <t xml:space="preserve">Transitions in model</t>
  </si>
  <si>
    <t xml:space="preserve">Emission probability rows</t>
  </si>
  <si>
    <t xml:space="preserve">Transition probability rows</t>
  </si>
  <si>
    <t xml:space="preserve">Positions with zero valid bases</t>
  </si>
  <si>
    <t xml:space="preserve">Horizontal frequency check = 199 everywhere</t>
  </si>
  <si>
    <t xml:space="preserve">Vertical frequency check = 199 everywhere</t>
  </si>
  <si>
    <t xml:space="preserve">Min smoothed emission column sum</t>
  </si>
  <si>
    <t xml:space="preserve">Max smoothed emission column sum</t>
  </si>
  <si>
    <t xml:space="preserve">Min raw emission column sum</t>
  </si>
  <si>
    <t xml:space="preserve">Max raw emission column sum</t>
  </si>
  <si>
    <t xml:space="preserve">Min transition row sum</t>
  </si>
  <si>
    <t xml:space="preserve">Max transition row sum</t>
  </si>
  <si>
    <t xml:space="preserve">Background base p sums to 1</t>
  </si>
  <si>
    <t xml:space="preserve">Background dinucleotide rows sum to 4</t>
  </si>
  <si>
    <t xml:space="preserve">Background dinucleotide total = transition count total</t>
  </si>
  <si>
    <t xml:space="preserve">Set 2 sequences</t>
  </si>
  <si>
    <t xml:space="preserve">Set 3 sequences</t>
  </si>
  <si>
    <t xml:space="preserve">Candidates + decoys scored</t>
  </si>
  <si>
    <t xml:space="preserve">Of which PREDICTED</t>
  </si>
  <si>
    <t xml:space="preserve">Of which DECOY</t>
  </si>
  <si>
    <t xml:space="preserve">Cand+decoy emission cells scored</t>
  </si>
  <si>
    <t xml:space="preserve">Cand+decoy transitions scored</t>
  </si>
  <si>
    <t xml:space="preserve">Cand+decoy transitions dropped at gaps</t>
  </si>
  <si>
    <t xml:space="preserve">Permutation null size</t>
  </si>
  <si>
    <t xml:space="preserve">Total real tRNAs used as positives</t>
  </si>
  <si>
    <t xml:space="preserve">formula vs independent: PREDICTED mean emission</t>
  </si>
  <si>
    <t xml:space="preserve">formula vs independent: PREDICTED mean transition</t>
  </si>
  <si>
    <t xml:space="preserve">formula vs independent: PREDICTED mean combined</t>
  </si>
  <si>
    <t xml:space="preserve">formula vs independent: DECOY mean emission</t>
  </si>
  <si>
    <t xml:space="preserve">formula vs independent: DECOY mean transition</t>
  </si>
  <si>
    <t xml:space="preserve">formula vs independent: DECOY mean combined</t>
  </si>
  <si>
    <t xml:space="preserve">formula vs independent: PREDICTED mean GC</t>
  </si>
  <si>
    <t xml:space="preserve">formula vs independent: DECOY mean GC</t>
  </si>
  <si>
    <t xml:space="preserve">formula vs independent: corr(combined,GC) over 22</t>
  </si>
  <si>
    <t xml:space="preserve">Decoy max below weakest real tRNA</t>
  </si>
  <si>
    <t xml:space="preserve">Summary table rows</t>
  </si>
  <si>
    <t xml:space="preserve">Final status</t>
  </si>
  <si>
    <t xml:space="preserve">Excel 2007 compatibility: every function used here (SUM, AVERAGE, MIN, MAX, ROUND, ABS, IF, ISNUMBER, LN, INDEX, MATCH, CORREL, STDEVP, SUMIF, SUMIFS, COUNTA, COUNTIF, COUNTIFS, AVERAGEIFS) exists in Excel 2007. No array formula, no structured table and no post-2007 function is present.</t>
  </si>
</sst>
</file>

<file path=xl/styles.xml><?xml version="1.0" encoding="utf-8"?>
<styleSheet xmlns="http://schemas.openxmlformats.org/spreadsheetml/2006/main">
  <numFmts count="7">
    <numFmt numFmtId="164" formatCode="General"/>
    <numFmt numFmtId="165" formatCode="0.00"/>
    <numFmt numFmtId="166" formatCode="0.0000"/>
    <numFmt numFmtId="167" formatCode="0.000"/>
    <numFmt numFmtId="168" formatCode="0%"/>
    <numFmt numFmtId="169" formatCode="0.000000"/>
    <numFmt numFmtId="170" formatCode="General"/>
  </numFmts>
  <fonts count="21">
    <font>
      <sz val="11"/>
      <color theme="1"/>
      <name val="Calibri"/>
      <family val="2"/>
      <charset val="1"/>
    </font>
    <font>
      <sz val="10"/>
      <name val="Arial"/>
      <family val="0"/>
    </font>
    <font>
      <sz val="10"/>
      <name val="Arial"/>
      <family val="0"/>
    </font>
    <font>
      <sz val="10"/>
      <name val="Arial"/>
      <family val="0"/>
    </font>
    <font>
      <sz val="11"/>
      <color theme="1"/>
      <name val="Times New Roman"/>
      <family val="1"/>
      <charset val="1"/>
    </font>
    <font>
      <b val="true"/>
      <sz val="12"/>
      <name val="Times New Roman"/>
      <family val="1"/>
      <charset val="1"/>
    </font>
    <font>
      <i val="true"/>
      <sz val="8"/>
      <name val="Times New Roman"/>
      <family val="1"/>
      <charset val="1"/>
    </font>
    <font>
      <i val="true"/>
      <sz val="9"/>
      <name val="Times New Roman"/>
      <family val="1"/>
      <charset val="1"/>
    </font>
    <font>
      <b val="true"/>
      <sz val="8"/>
      <color rgb="FFFFFFFF"/>
      <name val="Times New Roman"/>
      <family val="1"/>
      <charset val="1"/>
    </font>
    <font>
      <sz val="8"/>
      <color theme="1"/>
      <name val="Times New Roman"/>
      <family val="1"/>
      <charset val="1"/>
    </font>
    <font>
      <b val="true"/>
      <sz val="9.5"/>
      <name val="Times New Roman"/>
      <family val="1"/>
      <charset val="1"/>
    </font>
    <font>
      <sz val="9.5"/>
      <name val="Times New Roman"/>
      <family val="1"/>
      <charset val="1"/>
    </font>
    <font>
      <i val="true"/>
      <sz val="8.5"/>
      <name val="Times New Roman"/>
      <family val="1"/>
      <charset val="1"/>
    </font>
    <font>
      <sz val="10"/>
      <color theme="1"/>
      <name val="Times New Roman"/>
      <family val="1"/>
      <charset val="1"/>
    </font>
    <font>
      <b val="true"/>
      <sz val="10"/>
      <name val="Times New Roman"/>
      <family val="1"/>
      <charset val="1"/>
    </font>
    <font>
      <sz val="10"/>
      <name val="Times New Roman"/>
      <family val="1"/>
      <charset val="1"/>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FFFFFF"/>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D9EAD3"/>
        <bgColor rgb="FFDDE6F0"/>
      </patternFill>
    </fill>
    <fill>
      <patternFill patternType="solid">
        <fgColor rgb="FFFCE3C8"/>
        <bgColor rgb="FFFCE5CD"/>
      </patternFill>
    </fill>
    <fill>
      <patternFill patternType="solid">
        <fgColor rgb="FFF6D4D2"/>
        <bgColor rgb="FFF4CCCC"/>
      </patternFill>
    </fill>
    <fill>
      <patternFill patternType="solid">
        <fgColor rgb="FFFFF2CC"/>
        <bgColor rgb="FFFCE5CD"/>
      </patternFill>
    </fill>
    <fill>
      <patternFill patternType="solid">
        <fgColor rgb="FFF4CCCC"/>
        <bgColor rgb="FFF6D4D2"/>
      </patternFill>
    </fill>
    <fill>
      <patternFill patternType="solid">
        <fgColor rgb="FFDDE6F0"/>
        <bgColor rgb="FFD9EAD3"/>
      </patternFill>
    </fill>
    <fill>
      <patternFill patternType="solid">
        <fgColor rgb="FFEFEFEF"/>
        <bgColor rgb="FFDDE6F0"/>
      </patternFill>
    </fill>
    <fill>
      <patternFill patternType="solid">
        <fgColor rgb="FFFCE5CD"/>
        <bgColor rgb="FFFCE3C8"/>
      </patternFill>
    </fill>
    <fill>
      <patternFill patternType="solid">
        <fgColor rgb="FF38761D"/>
        <bgColor rgb="FF339966"/>
      </patternFill>
    </fill>
    <fill>
      <patternFill patternType="solid">
        <fgColor rgb="FF990000"/>
        <bgColor rgb="FF8000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7" fontId="11" fillId="0" borderId="1"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bottom" textRotation="0" wrapText="false" indent="0" shrinkToFit="false"/>
      <protection locked="true" hidden="false"/>
    </xf>
    <xf numFmtId="164" fontId="10" fillId="4" borderId="1" xfId="0" applyFont="true" applyBorder="true" applyAlignment="true" applyProtection="false">
      <alignment horizontal="left" vertical="bottom" textRotation="0" wrapText="false" indent="0" shrinkToFit="false"/>
      <protection locked="true" hidden="false"/>
    </xf>
    <xf numFmtId="164" fontId="11" fillId="4" borderId="1" xfId="0" applyFont="true" applyBorder="true" applyAlignment="true" applyProtection="false">
      <alignment horizontal="left"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0" fillId="5" borderId="1" xfId="0" applyFont="true" applyBorder="true" applyAlignment="true" applyProtection="false">
      <alignment horizontal="left" vertical="bottom" textRotation="0" wrapText="false" indent="0" shrinkToFit="false"/>
      <protection locked="true" hidden="false"/>
    </xf>
    <xf numFmtId="164" fontId="11" fillId="5" borderId="1" xfId="0" applyFont="true" applyBorder="true" applyAlignment="true" applyProtection="false">
      <alignment horizontal="left" vertical="bottom" textRotation="0" wrapText="false" indent="0" shrinkToFit="false"/>
      <protection locked="true" hidden="false"/>
    </xf>
    <xf numFmtId="164" fontId="11" fillId="5" borderId="1"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8" borderId="2" xfId="0" applyFont="true" applyBorder="true" applyAlignment="true" applyProtection="false">
      <alignment horizontal="center" vertical="bottom" textRotation="0" wrapText="true" indent="0" shrinkToFit="false"/>
      <protection locked="true" hidden="false"/>
    </xf>
    <xf numFmtId="164" fontId="17" fillId="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8"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9"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7" fontId="19" fillId="0" borderId="0" xfId="0" applyFont="true" applyBorder="false" applyAlignment="false" applyProtection="false">
      <alignment horizontal="general" vertical="bottom" textRotation="0" wrapText="false" indent="0" shrinkToFit="false"/>
      <protection locked="true" hidden="false"/>
    </xf>
    <xf numFmtId="167" fontId="19" fillId="9" borderId="0" xfId="0" applyFont="true" applyBorder="false" applyAlignment="false" applyProtection="false">
      <alignment horizontal="general" vertical="bottom" textRotation="0" wrapText="false" indent="0" shrinkToFit="false"/>
      <protection locked="true" hidden="false"/>
    </xf>
    <xf numFmtId="166" fontId="17" fillId="9" borderId="0" xfId="0" applyFont="true" applyBorder="false" applyAlignment="false" applyProtection="false">
      <alignment horizontal="general" vertical="bottom" textRotation="0" wrapText="false" indent="0" shrinkToFit="false"/>
      <protection locked="true" hidden="false"/>
    </xf>
    <xf numFmtId="166" fontId="19" fillId="0" borderId="0" xfId="0" applyFont="true" applyBorder="false" applyAlignment="false" applyProtection="false">
      <alignment horizontal="general" vertical="bottom" textRotation="0" wrapText="false" indent="0" shrinkToFit="false"/>
      <protection locked="true" hidden="false"/>
    </xf>
    <xf numFmtId="164" fontId="18" fillId="10" borderId="0" xfId="0" applyFont="true" applyBorder="false" applyAlignment="false" applyProtection="false">
      <alignment horizontal="general" vertical="bottom" textRotation="0" wrapText="false" indent="0" shrinkToFit="false"/>
      <protection locked="true" hidden="false"/>
    </xf>
    <xf numFmtId="164" fontId="17" fillId="10" borderId="0" xfId="0" applyFont="true" applyBorder="false" applyAlignment="true" applyProtection="false">
      <alignment horizontal="general" vertical="top" textRotation="0" wrapText="true" indent="0" shrinkToFit="false"/>
      <protection locked="true" hidden="false"/>
    </xf>
    <xf numFmtId="164" fontId="17" fillId="10" borderId="0" xfId="0" applyFont="true" applyBorder="false" applyAlignment="false" applyProtection="false">
      <alignment horizontal="general" vertical="bottom" textRotation="0" wrapText="false" indent="0" shrinkToFit="false"/>
      <protection locked="true" hidden="false"/>
    </xf>
    <xf numFmtId="166" fontId="17" fillId="10" borderId="0" xfId="0" applyFont="true" applyBorder="false" applyAlignment="false" applyProtection="false">
      <alignment horizontal="general" vertical="bottom" textRotation="0" wrapText="false" indent="0" shrinkToFit="false"/>
      <protection locked="true" hidden="false"/>
    </xf>
    <xf numFmtId="166" fontId="19" fillId="10"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64" fontId="17" fillId="7" borderId="0" xfId="0" applyFont="true" applyBorder="false" applyAlignment="true" applyProtection="false">
      <alignment horizontal="general" vertical="top" textRotation="0" wrapText="true" indent="0" shrinkToFit="false"/>
      <protection locked="true" hidden="false"/>
    </xf>
    <xf numFmtId="164" fontId="17" fillId="7" borderId="0" xfId="0" applyFont="true" applyBorder="false" applyAlignment="false" applyProtection="false">
      <alignment horizontal="general" vertical="bottom" textRotation="0" wrapText="false" indent="0" shrinkToFit="false"/>
      <protection locked="true" hidden="false"/>
    </xf>
    <xf numFmtId="166" fontId="17" fillId="7" borderId="0" xfId="0" applyFont="true" applyBorder="false" applyAlignment="false" applyProtection="false">
      <alignment horizontal="general" vertical="bottom" textRotation="0" wrapText="false" indent="0" shrinkToFit="false"/>
      <protection locked="true" hidden="false"/>
    </xf>
    <xf numFmtId="166" fontId="19" fillId="7"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7" fontId="19" fillId="7"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8" fillId="3" borderId="0" xfId="0" applyFont="true" applyBorder="false" applyAlignment="false" applyProtection="false">
      <alignment horizontal="general" vertical="bottom" textRotation="0" wrapText="false" indent="0" shrinkToFit="false"/>
      <protection locked="true" hidden="false"/>
    </xf>
    <xf numFmtId="166" fontId="19" fillId="3"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8" fontId="19" fillId="6" borderId="0" xfId="0" applyFont="true" applyBorder="false" applyAlignment="false" applyProtection="false">
      <alignment horizontal="general" vertical="bottom" textRotation="0" wrapText="false" indent="0" shrinkToFit="false"/>
      <protection locked="true" hidden="false"/>
    </xf>
    <xf numFmtId="167" fontId="19" fillId="6" borderId="0" xfId="0" applyFont="tru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center" vertical="bottom" textRotation="0" wrapText="false" indent="0" shrinkToFit="false"/>
      <protection locked="true" hidden="false"/>
    </xf>
    <xf numFmtId="165" fontId="20" fillId="11" borderId="0" xfId="0" applyFont="true" applyBorder="false" applyAlignment="true" applyProtection="false">
      <alignment horizontal="center" vertical="bottom" textRotation="0" wrapText="false" indent="0" shrinkToFit="false"/>
      <protection locked="true" hidden="false"/>
    </xf>
    <xf numFmtId="164" fontId="17" fillId="7" borderId="0" xfId="0" applyFont="true" applyBorder="false" applyAlignment="true" applyProtection="false">
      <alignment horizontal="center" vertical="bottom" textRotation="0" wrapText="false" indent="0" shrinkToFit="false"/>
      <protection locked="true" hidden="false"/>
    </xf>
    <xf numFmtId="165" fontId="18" fillId="10" borderId="0" xfId="0" applyFont="true" applyBorder="false" applyAlignment="true" applyProtection="false">
      <alignment horizontal="center" vertical="bottom" textRotation="0" wrapText="false" indent="0" shrinkToFit="false"/>
      <protection locked="true" hidden="false"/>
    </xf>
    <xf numFmtId="165" fontId="20" fillId="12" borderId="0" xfId="0" applyFont="true" applyBorder="false" applyAlignment="true" applyProtection="false">
      <alignment horizontal="center" vertical="bottom" textRotation="0" wrapText="false" indent="0" shrinkToFit="false"/>
      <protection locked="true" hidden="false"/>
    </xf>
    <xf numFmtId="164" fontId="20" fillId="11" borderId="0" xfId="0" applyFont="true" applyBorder="false" applyAlignment="true" applyProtection="false">
      <alignment horizontal="center" vertical="bottom" textRotation="0" wrapText="false" indent="0" shrinkToFit="false"/>
      <protection locked="true" hidden="false"/>
    </xf>
    <xf numFmtId="164" fontId="18" fillId="10" borderId="0" xfId="0" applyFont="true" applyBorder="false" applyAlignment="true" applyProtection="false">
      <alignment horizontal="center" vertical="bottom" textRotation="0" wrapText="false" indent="0" shrinkToFit="false"/>
      <protection locked="true" hidden="false"/>
    </xf>
    <xf numFmtId="164" fontId="20" fillId="12" borderId="0" xfId="0" applyFont="true" applyBorder="false" applyAlignment="true" applyProtection="false">
      <alignment horizontal="center" vertical="bottom" textRotation="0" wrapText="fals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90000"/>
      <rgbColor rgb="FF38761D"/>
      <rgbColor rgb="FF000080"/>
      <rgbColor rgb="FF808000"/>
      <rgbColor rgb="FF800080"/>
      <rgbColor rgb="FF008080"/>
      <rgbColor rgb="FFBFBFBF"/>
      <rgbColor rgb="FF808080"/>
      <rgbColor rgb="FF9999FF"/>
      <rgbColor rgb="FF993366"/>
      <rgbColor rgb="FFFFF2CC"/>
      <rgbColor rgb="FFDDE6F0"/>
      <rgbColor rgb="FF660066"/>
      <rgbColor rgb="FFFF8080"/>
      <rgbColor rgb="FF0066CC"/>
      <rgbColor rgb="FFF6D4D2"/>
      <rgbColor rgb="FF000080"/>
      <rgbColor rgb="FFFF00FF"/>
      <rgbColor rgb="FFFFFF00"/>
      <rgbColor rgb="FF00FFFF"/>
      <rgbColor rgb="FF800080"/>
      <rgbColor rgb="FF800000"/>
      <rgbColor rgb="FF008080"/>
      <rgbColor rgb="FF0000FF"/>
      <rgbColor rgb="FF00CCFF"/>
      <rgbColor rgb="FFEFEFEF"/>
      <rgbColor rgb="FFD9EAD3"/>
      <rgbColor rgb="FFFCE5CD"/>
      <rgbColor rgb="FF99CCFF"/>
      <rgbColor rgb="FFFCE3C8"/>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5" activeCellId="0" sqref="Q5"/>
    </sheetView>
  </sheetViews>
  <sheetFormatPr defaultColWidth="8.71484375" defaultRowHeight="15" zeroHeight="false" outlineLevelRow="0" outlineLevelCol="0"/>
  <cols>
    <col collapsed="false" customWidth="false" hidden="false" outlineLevel="0" max="1" min="1" style="1" width="8.71"/>
    <col collapsed="false" customWidth="true" hidden="false" outlineLevel="0" max="2" min="2" style="1" width="6.14"/>
    <col collapsed="false" customWidth="true" hidden="false" outlineLevel="0" max="3" min="3" style="1" width="7.15"/>
    <col collapsed="false" customWidth="true" hidden="false" outlineLevel="0" max="4" min="4" style="1" width="6.57"/>
    <col collapsed="false" customWidth="true" hidden="false" outlineLevel="0" max="5" min="5" style="1" width="7.15"/>
    <col collapsed="false" customWidth="true" hidden="false" outlineLevel="0" max="6" min="6" style="1" width="9.57"/>
    <col collapsed="false" customWidth="true" hidden="false" outlineLevel="0" max="9" min="7" style="1" width="11"/>
    <col collapsed="false" customWidth="true" hidden="false" outlineLevel="0" max="11" min="10" style="1" width="8"/>
    <col collapsed="false" customWidth="true" hidden="false" outlineLevel="0" max="12" min="12" style="1" width="11"/>
    <col collapsed="false" customWidth="true" hidden="false" outlineLevel="0" max="13" min="13" style="1" width="8"/>
    <col collapsed="false" customWidth="true" hidden="false" outlineLevel="0" max="14" min="14" style="1" width="15"/>
    <col collapsed="false" customWidth="false" hidden="false" outlineLevel="0" max="16384" min="15" style="1" width="8.71"/>
  </cols>
  <sheetData>
    <row r="1" customFormat="false" ht="23.25" hidden="false" customHeight="true" outlineLevel="0" collapsed="false">
      <c r="A1" s="2" t="s">
        <v>0</v>
      </c>
      <c r="B1" s="2"/>
      <c r="C1" s="2"/>
      <c r="D1" s="2"/>
      <c r="E1" s="2"/>
      <c r="F1" s="2"/>
      <c r="G1" s="2"/>
      <c r="H1" s="2"/>
      <c r="I1" s="2"/>
      <c r="J1" s="2"/>
      <c r="K1" s="2"/>
      <c r="L1" s="2"/>
      <c r="M1" s="2"/>
      <c r="N1" s="3"/>
    </row>
    <row r="2" customFormat="false" ht="37.5" hidden="false" customHeight="true" outlineLevel="0" collapsed="false">
      <c r="A2" s="4" t="s">
        <v>1</v>
      </c>
      <c r="B2" s="4"/>
      <c r="C2" s="4"/>
      <c r="D2" s="4"/>
      <c r="E2" s="4"/>
      <c r="F2" s="4"/>
      <c r="G2" s="4"/>
      <c r="H2" s="4"/>
      <c r="I2" s="4"/>
      <c r="J2" s="4"/>
      <c r="K2" s="4"/>
      <c r="L2" s="4"/>
      <c r="M2" s="4"/>
      <c r="N2" s="5"/>
    </row>
    <row r="3" customFormat="false" ht="15" hidden="false" customHeight="false" outlineLevel="0" collapsed="false">
      <c r="A3" s="6"/>
      <c r="B3" s="6"/>
      <c r="C3" s="6"/>
      <c r="D3" s="6"/>
      <c r="E3" s="6"/>
      <c r="F3" s="6"/>
      <c r="G3" s="6"/>
      <c r="H3" s="6"/>
      <c r="I3" s="6"/>
      <c r="J3" s="6"/>
      <c r="K3" s="6"/>
      <c r="L3" s="6"/>
      <c r="M3" s="6"/>
      <c r="N3" s="6"/>
    </row>
    <row r="4" s="8" customFormat="true" ht="42" hidden="false" customHeight="true" outlineLevel="0" collapsed="false">
      <c r="A4" s="7" t="s">
        <v>2</v>
      </c>
      <c r="B4" s="7" t="s">
        <v>3</v>
      </c>
      <c r="C4" s="7" t="s">
        <v>4</v>
      </c>
      <c r="D4" s="7" t="s">
        <v>5</v>
      </c>
      <c r="E4" s="7" t="s">
        <v>6</v>
      </c>
      <c r="F4" s="7" t="s">
        <v>7</v>
      </c>
      <c r="G4" s="7" t="s">
        <v>8</v>
      </c>
      <c r="H4" s="7" t="s">
        <v>9</v>
      </c>
      <c r="I4" s="7" t="s">
        <v>10</v>
      </c>
      <c r="J4" s="7" t="s">
        <v>11</v>
      </c>
      <c r="K4" s="7" t="s">
        <v>12</v>
      </c>
      <c r="L4" s="7" t="s">
        <v>13</v>
      </c>
      <c r="M4" s="7" t="s">
        <v>14</v>
      </c>
      <c r="N4" s="7" t="s">
        <v>15</v>
      </c>
    </row>
    <row r="5" customFormat="false" ht="15" hidden="false" customHeight="false" outlineLevel="0" collapsed="false">
      <c r="A5" s="9" t="s">
        <v>16</v>
      </c>
      <c r="B5" s="10" t="s">
        <v>17</v>
      </c>
      <c r="C5" s="10" t="s">
        <v>18</v>
      </c>
      <c r="D5" s="10" t="n">
        <v>71</v>
      </c>
      <c r="E5" s="11" t="n">
        <v>64.79</v>
      </c>
      <c r="F5" s="11" t="n">
        <v>-32.9</v>
      </c>
      <c r="G5" s="12" t="n">
        <v>0.0381</v>
      </c>
      <c r="H5" s="12" t="n">
        <v>0.0406</v>
      </c>
      <c r="I5" s="12" t="n">
        <v>0.0394</v>
      </c>
      <c r="J5" s="13" t="n">
        <v>0.071</v>
      </c>
      <c r="K5" s="10" t="s">
        <v>19</v>
      </c>
      <c r="L5" s="10" t="s">
        <v>20</v>
      </c>
      <c r="M5" s="10" t="s">
        <v>21</v>
      </c>
      <c r="N5" s="14" t="s">
        <v>22</v>
      </c>
    </row>
    <row r="6" customFormat="false" ht="15" hidden="false" customHeight="false" outlineLevel="0" collapsed="false">
      <c r="A6" s="9" t="s">
        <v>23</v>
      </c>
      <c r="B6" s="10" t="s">
        <v>24</v>
      </c>
      <c r="C6" s="10" t="s">
        <v>25</v>
      </c>
      <c r="D6" s="10" t="n">
        <v>86</v>
      </c>
      <c r="E6" s="11" t="n">
        <v>45.35</v>
      </c>
      <c r="F6" s="11" t="n">
        <v>-20.3</v>
      </c>
      <c r="G6" s="12" t="n">
        <v>-0.1879</v>
      </c>
      <c r="H6" s="12" t="n">
        <v>-0.0968</v>
      </c>
      <c r="I6" s="12" t="n">
        <v>-0.1423</v>
      </c>
      <c r="J6" s="13" t="n">
        <v>0.071</v>
      </c>
      <c r="K6" s="10" t="s">
        <v>19</v>
      </c>
      <c r="L6" s="10" t="s">
        <v>20</v>
      </c>
      <c r="M6" s="10" t="s">
        <v>21</v>
      </c>
      <c r="N6" s="15" t="s">
        <v>26</v>
      </c>
    </row>
    <row r="7" customFormat="false" ht="15" hidden="false" customHeight="false" outlineLevel="0" collapsed="false">
      <c r="A7" s="9" t="s">
        <v>27</v>
      </c>
      <c r="B7" s="10" t="s">
        <v>24</v>
      </c>
      <c r="C7" s="10" t="s">
        <v>25</v>
      </c>
      <c r="D7" s="10" t="n">
        <v>88</v>
      </c>
      <c r="E7" s="11" t="n">
        <v>43.18</v>
      </c>
      <c r="F7" s="11" t="n">
        <v>-29.4</v>
      </c>
      <c r="G7" s="12" t="n">
        <v>-0.3172</v>
      </c>
      <c r="H7" s="12" t="n">
        <v>-0.1605</v>
      </c>
      <c r="I7" s="12" t="n">
        <v>-0.2388</v>
      </c>
      <c r="J7" s="13" t="n">
        <v>0.286</v>
      </c>
      <c r="K7" s="10" t="s">
        <v>19</v>
      </c>
      <c r="L7" s="10" t="s">
        <v>28</v>
      </c>
      <c r="M7" s="10" t="s">
        <v>29</v>
      </c>
      <c r="N7" s="16" t="s">
        <v>30</v>
      </c>
    </row>
    <row r="8" customFormat="false" ht="15" hidden="false" customHeight="false" outlineLevel="0" collapsed="false">
      <c r="A8" s="9" t="s">
        <v>31</v>
      </c>
      <c r="B8" s="10" t="s">
        <v>24</v>
      </c>
      <c r="C8" s="10" t="s">
        <v>25</v>
      </c>
      <c r="D8" s="10" t="n">
        <v>92</v>
      </c>
      <c r="E8" s="11" t="n">
        <v>47.83</v>
      </c>
      <c r="F8" s="11" t="n">
        <v>-20.6</v>
      </c>
      <c r="G8" s="12" t="n">
        <v>-0.3044</v>
      </c>
      <c r="H8" s="12" t="n">
        <v>-0.1894</v>
      </c>
      <c r="I8" s="12" t="n">
        <v>-0.2469</v>
      </c>
      <c r="J8" s="13" t="n">
        <v>0.286</v>
      </c>
      <c r="K8" s="10" t="s">
        <v>19</v>
      </c>
      <c r="L8" s="10" t="s">
        <v>32</v>
      </c>
      <c r="M8" s="10" t="s">
        <v>33</v>
      </c>
      <c r="N8" s="16" t="s">
        <v>30</v>
      </c>
    </row>
    <row r="9" customFormat="false" ht="15" hidden="false" customHeight="false" outlineLevel="0" collapsed="false">
      <c r="A9" s="9" t="s">
        <v>34</v>
      </c>
      <c r="B9" s="10" t="s">
        <v>17</v>
      </c>
      <c r="C9" s="10" t="s">
        <v>18</v>
      </c>
      <c r="D9" s="10" t="n">
        <v>70</v>
      </c>
      <c r="E9" s="11" t="n">
        <v>32.86</v>
      </c>
      <c r="F9" s="11" t="n">
        <v>-14.1</v>
      </c>
      <c r="G9" s="12" t="n">
        <v>-0.3449</v>
      </c>
      <c r="H9" s="12" t="n">
        <v>-0.2284</v>
      </c>
      <c r="I9" s="12" t="n">
        <v>-0.2866</v>
      </c>
      <c r="J9" s="13" t="n">
        <v>0.357</v>
      </c>
      <c r="K9" s="10" t="s">
        <v>19</v>
      </c>
      <c r="L9" s="10" t="s">
        <v>32</v>
      </c>
      <c r="M9" s="10" t="s">
        <v>35</v>
      </c>
      <c r="N9" s="16" t="s">
        <v>30</v>
      </c>
    </row>
    <row r="10" customFormat="false" ht="15" hidden="false" customHeight="false" outlineLevel="0" collapsed="false">
      <c r="A10" s="9" t="s">
        <v>36</v>
      </c>
      <c r="B10" s="10" t="s">
        <v>24</v>
      </c>
      <c r="C10" s="10" t="s">
        <v>37</v>
      </c>
      <c r="D10" s="10" t="n">
        <v>70</v>
      </c>
      <c r="E10" s="11" t="n">
        <v>44.29</v>
      </c>
      <c r="F10" s="11" t="n">
        <v>-16.5</v>
      </c>
      <c r="G10" s="12" t="n">
        <v>-0.2854</v>
      </c>
      <c r="H10" s="12" t="n">
        <v>-0.2955</v>
      </c>
      <c r="I10" s="12" t="n">
        <v>-0.2905</v>
      </c>
      <c r="J10" s="13" t="n">
        <v>0.429</v>
      </c>
      <c r="K10" s="10" t="s">
        <v>38</v>
      </c>
      <c r="L10" s="10" t="s">
        <v>32</v>
      </c>
      <c r="M10" s="10" t="s">
        <v>39</v>
      </c>
      <c r="N10" s="16" t="s">
        <v>30</v>
      </c>
    </row>
    <row r="11" customFormat="false" ht="15" hidden="false" customHeight="false" outlineLevel="0" collapsed="false">
      <c r="A11" s="9" t="s">
        <v>40</v>
      </c>
      <c r="B11" s="10" t="s">
        <v>24</v>
      </c>
      <c r="C11" s="10" t="s">
        <v>37</v>
      </c>
      <c r="D11" s="10" t="n">
        <v>70</v>
      </c>
      <c r="E11" s="11" t="n">
        <v>30</v>
      </c>
      <c r="F11" s="11" t="n">
        <v>-16.4</v>
      </c>
      <c r="G11" s="12" t="n">
        <v>-0.3702</v>
      </c>
      <c r="H11" s="12" t="n">
        <v>-0.2624</v>
      </c>
      <c r="I11" s="12" t="n">
        <v>-0.3163</v>
      </c>
      <c r="J11" s="13" t="n">
        <v>0.429</v>
      </c>
      <c r="K11" s="10" t="s">
        <v>19</v>
      </c>
      <c r="L11" s="10" t="s">
        <v>32</v>
      </c>
      <c r="M11" s="10" t="s">
        <v>35</v>
      </c>
      <c r="N11" s="16" t="s">
        <v>30</v>
      </c>
    </row>
    <row r="12" customFormat="false" ht="15" hidden="false" customHeight="false" outlineLevel="0" collapsed="false">
      <c r="A12" s="9" t="s">
        <v>41</v>
      </c>
      <c r="B12" s="10" t="s">
        <v>24</v>
      </c>
      <c r="C12" s="10" t="s">
        <v>37</v>
      </c>
      <c r="D12" s="10" t="n">
        <v>80</v>
      </c>
      <c r="E12" s="11" t="n">
        <v>35</v>
      </c>
      <c r="F12" s="11" t="n">
        <v>-19.3</v>
      </c>
      <c r="G12" s="12" t="n">
        <v>-0.5245</v>
      </c>
      <c r="H12" s="12" t="n">
        <v>-0.4042</v>
      </c>
      <c r="I12" s="12" t="n">
        <v>-0.4643</v>
      </c>
      <c r="J12" s="13" t="n">
        <v>0.929</v>
      </c>
      <c r="K12" s="10" t="s">
        <v>38</v>
      </c>
      <c r="L12" s="10" t="s">
        <v>28</v>
      </c>
      <c r="M12" s="10" t="s">
        <v>35</v>
      </c>
      <c r="N12" s="16" t="s">
        <v>30</v>
      </c>
    </row>
    <row r="13" customFormat="false" ht="15" hidden="false" customHeight="false" outlineLevel="0" collapsed="false">
      <c r="A13" s="9" t="s">
        <v>42</v>
      </c>
      <c r="B13" s="10" t="s">
        <v>24</v>
      </c>
      <c r="C13" s="10" t="s">
        <v>25</v>
      </c>
      <c r="D13" s="10" t="n">
        <v>93</v>
      </c>
      <c r="E13" s="11" t="n">
        <v>47.83</v>
      </c>
      <c r="F13" s="11" t="n">
        <v>-20.6</v>
      </c>
      <c r="G13" s="12" t="n">
        <v>-0.5057</v>
      </c>
      <c r="H13" s="12" t="n">
        <v>-0.4807</v>
      </c>
      <c r="I13" s="12" t="n">
        <v>-0.4932</v>
      </c>
      <c r="J13" s="13" t="n">
        <v>1</v>
      </c>
      <c r="K13" s="10" t="s">
        <v>19</v>
      </c>
      <c r="L13" s="10" t="s">
        <v>43</v>
      </c>
      <c r="M13" s="10" t="s">
        <v>29</v>
      </c>
      <c r="N13" s="16" t="s">
        <v>30</v>
      </c>
    </row>
    <row r="14" customFormat="false" ht="15" hidden="false" customHeight="false" outlineLevel="0" collapsed="false">
      <c r="A14" s="6"/>
      <c r="B14" s="6"/>
      <c r="C14" s="6"/>
      <c r="D14" s="6"/>
      <c r="E14" s="6"/>
      <c r="F14" s="6"/>
      <c r="G14" s="6"/>
      <c r="H14" s="6"/>
      <c r="I14" s="6"/>
      <c r="J14" s="6"/>
      <c r="K14" s="6"/>
      <c r="L14" s="6"/>
      <c r="M14" s="6"/>
      <c r="N14" s="6"/>
    </row>
    <row r="15" customFormat="false" ht="15" hidden="false" customHeight="true" outlineLevel="0" collapsed="false">
      <c r="A15" s="17" t="s">
        <v>44</v>
      </c>
      <c r="B15" s="17"/>
      <c r="C15" s="17"/>
      <c r="D15" s="17"/>
      <c r="E15" s="17"/>
      <c r="F15" s="17"/>
      <c r="G15" s="17"/>
      <c r="H15" s="17"/>
      <c r="I15" s="17"/>
      <c r="J15" s="17"/>
      <c r="K15" s="17"/>
      <c r="L15" s="17"/>
      <c r="M15" s="17"/>
      <c r="N15" s="17"/>
    </row>
    <row r="16" customFormat="false" ht="15" hidden="false" customHeight="false" outlineLevel="0" collapsed="false">
      <c r="A16" s="17"/>
      <c r="B16" s="17"/>
      <c r="C16" s="17"/>
      <c r="D16" s="17"/>
      <c r="E16" s="17"/>
      <c r="F16" s="17"/>
      <c r="G16" s="17"/>
      <c r="H16" s="17"/>
      <c r="I16" s="17"/>
      <c r="J16" s="17"/>
      <c r="K16" s="17"/>
      <c r="L16" s="17"/>
      <c r="M16" s="17"/>
      <c r="N16" s="17"/>
    </row>
    <row r="17" customFormat="false" ht="15" hidden="false" customHeight="false" outlineLevel="0" collapsed="false">
      <c r="A17" s="6"/>
      <c r="B17" s="6"/>
      <c r="C17" s="6"/>
      <c r="D17" s="6"/>
      <c r="E17" s="6"/>
      <c r="F17" s="6"/>
      <c r="G17" s="6"/>
      <c r="H17" s="6"/>
      <c r="I17" s="6"/>
      <c r="J17" s="6"/>
      <c r="K17" s="6"/>
      <c r="L17" s="6"/>
      <c r="M17" s="6"/>
      <c r="N17" s="6"/>
    </row>
    <row r="18" customFormat="false" ht="15" hidden="false" customHeight="true" outlineLevel="0" collapsed="false">
      <c r="A18" s="17" t="s">
        <v>45</v>
      </c>
      <c r="B18" s="17"/>
      <c r="C18" s="17"/>
      <c r="D18" s="17"/>
      <c r="E18" s="17"/>
      <c r="F18" s="17"/>
      <c r="G18" s="17"/>
      <c r="H18" s="17"/>
      <c r="I18" s="17"/>
      <c r="J18" s="17"/>
      <c r="K18" s="17"/>
      <c r="L18" s="17"/>
      <c r="M18" s="17"/>
      <c r="N18" s="17"/>
    </row>
    <row r="19" customFormat="false" ht="15" hidden="false" customHeight="false" outlineLevel="0" collapsed="false">
      <c r="A19" s="17"/>
      <c r="B19" s="17"/>
      <c r="C19" s="17"/>
      <c r="D19" s="17"/>
      <c r="E19" s="17"/>
      <c r="F19" s="17"/>
      <c r="G19" s="17"/>
      <c r="H19" s="17"/>
      <c r="I19" s="17"/>
      <c r="J19" s="17"/>
      <c r="K19" s="17"/>
      <c r="L19" s="17"/>
      <c r="M19" s="17"/>
      <c r="N19" s="17"/>
    </row>
  </sheetData>
  <mergeCells count="4">
    <mergeCell ref="A1:M1"/>
    <mergeCell ref="A2:M2"/>
    <mergeCell ref="A15:N16"/>
    <mergeCell ref="A18:N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8.71484375" defaultRowHeight="15" zeroHeight="false" outlineLevelRow="0" outlineLevelCol="0"/>
  <cols>
    <col collapsed="false" customWidth="true" hidden="false" outlineLevel="0" max="1" min="1" style="1" width="19.29"/>
    <col collapsed="false" customWidth="true" hidden="false" outlineLevel="0" max="2" min="2" style="1" width="18"/>
    <col collapsed="false" customWidth="true" hidden="false" outlineLevel="0" max="3" min="3" style="1" width="7"/>
    <col collapsed="false" customWidth="true" hidden="false" outlineLevel="0" max="6" min="4" style="1" width="15"/>
    <col collapsed="false" customWidth="true" hidden="false" outlineLevel="0" max="7" min="7" style="1" width="18"/>
    <col collapsed="false" customWidth="true" hidden="false" outlineLevel="0" max="8" min="8" style="1" width="10"/>
    <col collapsed="false" customWidth="true" hidden="false" outlineLevel="0" max="9" min="9" style="1" width="12"/>
    <col collapsed="false" customWidth="false" hidden="false" outlineLevel="0" max="16384" min="10" style="1" width="8.71"/>
  </cols>
  <sheetData>
    <row r="1" customFormat="false" ht="23.25" hidden="false" customHeight="true" outlineLevel="0" collapsed="false">
      <c r="A1" s="2" t="s">
        <v>46</v>
      </c>
      <c r="B1" s="2"/>
      <c r="C1" s="2"/>
      <c r="D1" s="2"/>
      <c r="E1" s="2"/>
      <c r="F1" s="2"/>
      <c r="G1" s="2"/>
      <c r="H1" s="2"/>
      <c r="I1" s="2"/>
    </row>
    <row r="2" customFormat="false" ht="25.5" hidden="false" customHeight="true" outlineLevel="0" collapsed="false">
      <c r="A2" s="18" t="s">
        <v>47</v>
      </c>
      <c r="B2" s="18"/>
      <c r="C2" s="18"/>
      <c r="D2" s="18"/>
      <c r="E2" s="18"/>
      <c r="F2" s="18"/>
      <c r="G2" s="18"/>
      <c r="H2" s="18"/>
      <c r="I2" s="18"/>
    </row>
    <row r="3" customFormat="false" ht="15" hidden="false" customHeight="false" outlineLevel="0" collapsed="false">
      <c r="A3" s="6"/>
      <c r="B3" s="6"/>
      <c r="C3" s="6"/>
      <c r="D3" s="6"/>
      <c r="E3" s="6"/>
      <c r="F3" s="6"/>
      <c r="G3" s="6"/>
      <c r="H3" s="6"/>
      <c r="I3" s="6"/>
    </row>
    <row r="4" s="8" customFormat="true" ht="39.75" hidden="false" customHeight="true" outlineLevel="0" collapsed="false">
      <c r="A4" s="7" t="s">
        <v>48</v>
      </c>
      <c r="B4" s="7" t="s">
        <v>49</v>
      </c>
      <c r="C4" s="7" t="s">
        <v>50</v>
      </c>
      <c r="D4" s="7" t="s">
        <v>8</v>
      </c>
      <c r="E4" s="7" t="s">
        <v>9</v>
      </c>
      <c r="F4" s="7" t="s">
        <v>10</v>
      </c>
      <c r="G4" s="7" t="s">
        <v>51</v>
      </c>
      <c r="H4" s="7" t="s">
        <v>52</v>
      </c>
      <c r="I4" s="7" t="s">
        <v>13</v>
      </c>
    </row>
    <row r="5" customFormat="false" ht="20.25" hidden="false" customHeight="true" outlineLevel="0" collapsed="false">
      <c r="A5" s="9" t="s">
        <v>53</v>
      </c>
      <c r="B5" s="19" t="s">
        <v>54</v>
      </c>
      <c r="C5" s="10" t="n">
        <v>199</v>
      </c>
      <c r="D5" s="10" t="s">
        <v>55</v>
      </c>
      <c r="E5" s="10" t="s">
        <v>56</v>
      </c>
      <c r="F5" s="10" t="s">
        <v>57</v>
      </c>
      <c r="G5" s="10" t="s">
        <v>58</v>
      </c>
      <c r="H5" s="10" t="s">
        <v>59</v>
      </c>
      <c r="I5" s="10" t="s">
        <v>60</v>
      </c>
    </row>
    <row r="6" customFormat="false" ht="20.25" hidden="false" customHeight="true" outlineLevel="0" collapsed="false">
      <c r="A6" s="9" t="s">
        <v>61</v>
      </c>
      <c r="B6" s="19" t="s">
        <v>62</v>
      </c>
      <c r="C6" s="10" t="n">
        <v>96</v>
      </c>
      <c r="D6" s="10" t="s">
        <v>63</v>
      </c>
      <c r="E6" s="10" t="s">
        <v>64</v>
      </c>
      <c r="F6" s="10" t="s">
        <v>65</v>
      </c>
      <c r="G6" s="10" t="s">
        <v>66</v>
      </c>
      <c r="H6" s="10" t="s">
        <v>67</v>
      </c>
      <c r="I6" s="10" t="s">
        <v>68</v>
      </c>
    </row>
    <row r="7" customFormat="false" ht="18" hidden="false" customHeight="true" outlineLevel="0" collapsed="false">
      <c r="A7" s="9" t="s">
        <v>69</v>
      </c>
      <c r="B7" s="19" t="s">
        <v>62</v>
      </c>
      <c r="C7" s="10" t="n">
        <v>62</v>
      </c>
      <c r="D7" s="10" t="s">
        <v>70</v>
      </c>
      <c r="E7" s="10" t="s">
        <v>71</v>
      </c>
      <c r="F7" s="10" t="s">
        <v>72</v>
      </c>
      <c r="G7" s="10" t="s">
        <v>73</v>
      </c>
      <c r="H7" s="10" t="s">
        <v>74</v>
      </c>
      <c r="I7" s="10" t="s">
        <v>75</v>
      </c>
    </row>
    <row r="8" customFormat="false" ht="17.25" hidden="false" customHeight="true" outlineLevel="0" collapsed="false">
      <c r="A8" s="20" t="s">
        <v>76</v>
      </c>
      <c r="B8" s="21" t="s">
        <v>77</v>
      </c>
      <c r="C8" s="22" t="n">
        <v>9</v>
      </c>
      <c r="D8" s="22" t="s">
        <v>78</v>
      </c>
      <c r="E8" s="22" t="s">
        <v>79</v>
      </c>
      <c r="F8" s="22" t="s">
        <v>80</v>
      </c>
      <c r="G8" s="22" t="s">
        <v>81</v>
      </c>
      <c r="H8" s="22" t="s">
        <v>82</v>
      </c>
      <c r="I8" s="22" t="s">
        <v>83</v>
      </c>
    </row>
    <row r="9" customFormat="false" ht="19.5" hidden="false" customHeight="true" outlineLevel="0" collapsed="false">
      <c r="A9" s="23" t="s">
        <v>84</v>
      </c>
      <c r="B9" s="24" t="s">
        <v>85</v>
      </c>
      <c r="C9" s="25" t="n">
        <v>13</v>
      </c>
      <c r="D9" s="25" t="s">
        <v>86</v>
      </c>
      <c r="E9" s="25" t="s">
        <v>87</v>
      </c>
      <c r="F9" s="25" t="s">
        <v>88</v>
      </c>
      <c r="G9" s="25" t="s">
        <v>89</v>
      </c>
      <c r="H9" s="25" t="s">
        <v>90</v>
      </c>
      <c r="I9" s="25" t="s">
        <v>91</v>
      </c>
    </row>
    <row r="10" customFormat="false" ht="24" hidden="false" customHeight="true" outlineLevel="0" collapsed="false">
      <c r="A10" s="23" t="s">
        <v>92</v>
      </c>
      <c r="B10" s="24" t="s">
        <v>85</v>
      </c>
      <c r="C10" s="25" t="n">
        <v>960</v>
      </c>
      <c r="D10" s="25" t="s">
        <v>93</v>
      </c>
      <c r="E10" s="25" t="s">
        <v>94</v>
      </c>
      <c r="F10" s="25" t="s">
        <v>95</v>
      </c>
      <c r="G10" s="25" t="s">
        <v>96</v>
      </c>
      <c r="H10" s="25" t="s">
        <v>97</v>
      </c>
      <c r="I10" s="25" t="s">
        <v>98</v>
      </c>
    </row>
    <row r="11" customFormat="false" ht="15" hidden="false" customHeight="false" outlineLevel="0" collapsed="false">
      <c r="A11" s="6"/>
      <c r="B11" s="6"/>
      <c r="C11" s="6"/>
      <c r="D11" s="6"/>
      <c r="E11" s="6"/>
      <c r="F11" s="6"/>
      <c r="G11" s="6"/>
      <c r="H11" s="6"/>
      <c r="I11" s="6"/>
    </row>
    <row r="12" customFormat="false" ht="15" hidden="false" customHeight="true" outlineLevel="0" collapsed="false">
      <c r="A12" s="17" t="s">
        <v>99</v>
      </c>
      <c r="B12" s="17"/>
      <c r="C12" s="17"/>
      <c r="D12" s="17"/>
      <c r="E12" s="17"/>
      <c r="F12" s="17"/>
      <c r="G12" s="17"/>
      <c r="H12" s="17"/>
      <c r="I12" s="17"/>
    </row>
    <row r="13" customFormat="false" ht="15" hidden="false" customHeight="false" outlineLevel="0" collapsed="false">
      <c r="A13" s="17"/>
      <c r="B13" s="17"/>
      <c r="C13" s="17"/>
      <c r="D13" s="17"/>
      <c r="E13" s="17"/>
      <c r="F13" s="17"/>
      <c r="G13" s="17"/>
      <c r="H13" s="17"/>
      <c r="I13" s="17"/>
    </row>
  </sheetData>
  <mergeCells count="3">
    <mergeCell ref="A1:I1"/>
    <mergeCell ref="A2:I2"/>
    <mergeCell ref="A12:I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6" activeCellId="0" sqref="E6"/>
    </sheetView>
  </sheetViews>
  <sheetFormatPr defaultColWidth="8.71484375" defaultRowHeight="12.75" zeroHeight="false" outlineLevelRow="0" outlineLevelCol="0"/>
  <cols>
    <col collapsed="false" customWidth="true" hidden="false" outlineLevel="0" max="1" min="1" style="26" width="26.42"/>
    <col collapsed="false" customWidth="true" hidden="false" outlineLevel="0" max="2" min="2" style="27" width="120"/>
    <col collapsed="false" customWidth="false" hidden="false" outlineLevel="0" max="16384" min="3" style="27" width="8.71"/>
  </cols>
  <sheetData>
    <row r="1" customFormat="false" ht="15" hidden="false" customHeight="true" outlineLevel="0" collapsed="false">
      <c r="A1" s="28" t="s">
        <v>100</v>
      </c>
      <c r="B1" s="28"/>
    </row>
    <row r="2" customFormat="false" ht="15" hidden="false" customHeight="true" outlineLevel="0" collapsed="false">
      <c r="A2" s="29"/>
      <c r="B2" s="29"/>
    </row>
    <row r="3" customFormat="false" ht="15" hidden="false" customHeight="true" outlineLevel="0" collapsed="false">
      <c r="A3" s="30" t="s">
        <v>101</v>
      </c>
      <c r="B3" s="30"/>
    </row>
    <row r="4" customFormat="false" ht="36" hidden="false" customHeight="true" outlineLevel="0" collapsed="false">
      <c r="A4" s="31" t="s">
        <v>102</v>
      </c>
      <c r="B4" s="32" t="s">
        <v>103</v>
      </c>
    </row>
    <row r="5" customFormat="false" ht="35.25" hidden="false" customHeight="true" outlineLevel="0" collapsed="false">
      <c r="A5" s="31" t="s">
        <v>104</v>
      </c>
      <c r="B5" s="32" t="s">
        <v>105</v>
      </c>
    </row>
    <row r="6" customFormat="false" ht="31.5" hidden="false" customHeight="true" outlineLevel="0" collapsed="false">
      <c r="A6" s="31" t="s">
        <v>106</v>
      </c>
      <c r="B6" s="32" t="s">
        <v>107</v>
      </c>
    </row>
    <row r="7" customFormat="false" ht="66.75" hidden="false" customHeight="true" outlineLevel="0" collapsed="false">
      <c r="A7" s="31" t="s">
        <v>108</v>
      </c>
      <c r="B7" s="32" t="s">
        <v>109</v>
      </c>
    </row>
    <row r="8" customFormat="false" ht="41.25" hidden="false" customHeight="true" outlineLevel="0" collapsed="false">
      <c r="A8" s="31" t="s">
        <v>110</v>
      </c>
      <c r="B8" s="31" t="s">
        <v>111</v>
      </c>
    </row>
    <row r="9" customFormat="false" ht="42" hidden="false" customHeight="true" outlineLevel="0" collapsed="false">
      <c r="A9" s="31" t="s">
        <v>112</v>
      </c>
      <c r="B9" s="31" t="s">
        <v>113</v>
      </c>
    </row>
    <row r="10" customFormat="false" ht="44.25" hidden="false" customHeight="true" outlineLevel="0" collapsed="false">
      <c r="A10" s="31" t="s">
        <v>114</v>
      </c>
      <c r="B10" s="31" t="s">
        <v>115</v>
      </c>
    </row>
    <row r="11" customFormat="false" ht="15" hidden="false" customHeight="true" outlineLevel="0" collapsed="false">
      <c r="A11" s="31" t="s">
        <v>116</v>
      </c>
      <c r="B11" s="31" t="s">
        <v>117</v>
      </c>
    </row>
    <row r="12" customFormat="false" ht="15" hidden="false" customHeight="true" outlineLevel="0" collapsed="false">
      <c r="A12" s="30" t="s">
        <v>118</v>
      </c>
      <c r="B12" s="31"/>
    </row>
    <row r="13" customFormat="false" ht="53.25" hidden="false" customHeight="true" outlineLevel="0" collapsed="false">
      <c r="A13" s="31" t="s">
        <v>119</v>
      </c>
      <c r="B13" s="31" t="s">
        <v>120</v>
      </c>
    </row>
    <row r="14" customFormat="false" ht="39" hidden="false" customHeight="true" outlineLevel="0" collapsed="false">
      <c r="A14" s="31" t="s">
        <v>121</v>
      </c>
      <c r="B14" s="31" t="s">
        <v>122</v>
      </c>
    </row>
    <row r="15" customFormat="false" ht="30.75" hidden="false" customHeight="true" outlineLevel="0" collapsed="false">
      <c r="A15" s="31" t="s">
        <v>123</v>
      </c>
      <c r="B15" s="31" t="s">
        <v>124</v>
      </c>
    </row>
    <row r="16" customFormat="false" ht="15" hidden="false" customHeight="true" outlineLevel="0" collapsed="false">
      <c r="A16" s="31"/>
      <c r="B16" s="33"/>
    </row>
    <row r="17" customFormat="false" ht="15" hidden="false" customHeight="true" outlineLevel="0" collapsed="false">
      <c r="A17" s="30" t="s">
        <v>125</v>
      </c>
      <c r="B17" s="33"/>
    </row>
    <row r="18" customFormat="false" ht="29.25" hidden="false" customHeight="true" outlineLevel="0" collapsed="false">
      <c r="A18" s="31" t="s">
        <v>126</v>
      </c>
      <c r="B18" s="33" t="s">
        <v>127</v>
      </c>
    </row>
    <row r="19" customFormat="false" ht="33" hidden="false" customHeight="true" outlineLevel="0" collapsed="false">
      <c r="A19" s="31" t="s">
        <v>128</v>
      </c>
      <c r="B19" s="33" t="s">
        <v>129</v>
      </c>
    </row>
    <row r="20" customFormat="false" ht="41.25" hidden="false" customHeight="true" outlineLevel="0" collapsed="false">
      <c r="A20" s="31" t="s">
        <v>130</v>
      </c>
      <c r="B20" s="33" t="s">
        <v>131</v>
      </c>
    </row>
    <row r="21" customFormat="false" ht="36.75" hidden="false" customHeight="true" outlineLevel="0" collapsed="false">
      <c r="A21" s="31" t="s">
        <v>132</v>
      </c>
      <c r="B21" s="31" t="s">
        <v>133</v>
      </c>
    </row>
    <row r="22" customFormat="false" ht="40.5" hidden="false" customHeight="true" outlineLevel="0" collapsed="false">
      <c r="A22" s="31" t="s">
        <v>134</v>
      </c>
      <c r="B22" s="31" t="s">
        <v>135</v>
      </c>
    </row>
    <row r="23" customFormat="false" ht="15" hidden="false" customHeight="true" outlineLevel="0" collapsed="false">
      <c r="A23" s="31"/>
      <c r="B23" s="34"/>
    </row>
    <row r="24" customFormat="false" ht="15" hidden="false" customHeight="true" outlineLevel="0" collapsed="false">
      <c r="A24" s="30" t="s">
        <v>136</v>
      </c>
      <c r="B24" s="34"/>
    </row>
    <row r="25" customFormat="false" ht="24.75" hidden="false" customHeight="true" outlineLevel="0" collapsed="false">
      <c r="A25" s="31" t="s">
        <v>137</v>
      </c>
      <c r="B25" s="34" t="s">
        <v>138</v>
      </c>
    </row>
    <row r="26" customFormat="false" ht="26.25" hidden="false" customHeight="true" outlineLevel="0" collapsed="false">
      <c r="A26" s="31" t="s">
        <v>139</v>
      </c>
      <c r="B26" s="34" t="s">
        <v>140</v>
      </c>
    </row>
    <row r="27" customFormat="false" ht="22.5" hidden="false" customHeight="true" outlineLevel="0" collapsed="false">
      <c r="A27" s="31" t="s">
        <v>141</v>
      </c>
      <c r="B27" s="31" t="s">
        <v>142</v>
      </c>
    </row>
    <row r="28" customFormat="false" ht="24" hidden="false" customHeight="true" outlineLevel="0" collapsed="false">
      <c r="A28" s="31" t="s">
        <v>143</v>
      </c>
      <c r="B28" s="31" t="s">
        <v>144</v>
      </c>
    </row>
    <row r="29" customFormat="false" ht="15" hidden="false" customHeight="true" outlineLevel="0" collapsed="false">
      <c r="A29" s="31"/>
      <c r="B29" s="32"/>
    </row>
    <row r="30" customFormat="false" ht="15" hidden="false" customHeight="true" outlineLevel="0" collapsed="false">
      <c r="A30" s="30" t="s">
        <v>145</v>
      </c>
      <c r="B30" s="32"/>
    </row>
    <row r="31" customFormat="false" ht="36" hidden="false" customHeight="true" outlineLevel="0" collapsed="false">
      <c r="A31" s="31" t="s">
        <v>146</v>
      </c>
      <c r="B31" s="32" t="s">
        <v>147</v>
      </c>
    </row>
    <row r="32" customFormat="false" ht="38.25" hidden="false" customHeight="true" outlineLevel="0" collapsed="false">
      <c r="A32" s="31" t="s">
        <v>148</v>
      </c>
      <c r="B32" s="31" t="s">
        <v>149</v>
      </c>
    </row>
    <row r="33" customFormat="false" ht="30.75" hidden="false" customHeight="true" outlineLevel="0" collapsed="false">
      <c r="A33" s="31" t="s">
        <v>150</v>
      </c>
      <c r="B33" s="31" t="s">
        <v>151</v>
      </c>
    </row>
    <row r="34" customFormat="false" ht="22.5" hidden="false" customHeight="true" outlineLevel="0" collapsed="false">
      <c r="A34" s="31"/>
      <c r="B34" s="31"/>
    </row>
    <row r="35" customFormat="false" ht="15" hidden="false" customHeight="true" outlineLevel="0" collapsed="false">
      <c r="A35" s="30" t="s">
        <v>152</v>
      </c>
      <c r="B35" s="31"/>
    </row>
    <row r="36" customFormat="false" ht="43.5" hidden="false" customHeight="true" outlineLevel="0" collapsed="false">
      <c r="A36" s="31" t="s">
        <v>153</v>
      </c>
      <c r="B36" s="31" t="s">
        <v>154</v>
      </c>
    </row>
    <row r="37" customFormat="false" ht="40.5" hidden="false" customHeight="true" outlineLevel="0" collapsed="false">
      <c r="A37" s="31" t="s">
        <v>155</v>
      </c>
      <c r="B37" s="31" t="s">
        <v>156</v>
      </c>
    </row>
    <row r="38" customFormat="false" ht="15" hidden="false" customHeight="true" outlineLevel="0" collapsed="false">
      <c r="A38" s="31"/>
      <c r="B38" s="31"/>
    </row>
    <row r="39" customFormat="false" ht="15" hidden="false" customHeight="true" outlineLevel="0" collapsed="false">
      <c r="A39" s="30" t="s">
        <v>157</v>
      </c>
      <c r="B39" s="31"/>
    </row>
    <row r="40" customFormat="false" ht="51.75" hidden="false" customHeight="true" outlineLevel="0" collapsed="false">
      <c r="A40" s="31" t="s">
        <v>158</v>
      </c>
      <c r="B40" s="31" t="s">
        <v>159</v>
      </c>
    </row>
    <row r="42" customFormat="false" ht="15" hidden="false" customHeight="true" outlineLevel="0" collapsed="false">
      <c r="A42" s="35"/>
    </row>
    <row r="43" customFormat="false" ht="34.5" hidden="false" customHeight="true" outlineLevel="0" collapsed="false">
      <c r="A43" s="35"/>
      <c r="B43" s="36"/>
    </row>
    <row r="44" customFormat="false" ht="23.25" hidden="false" customHeight="true" outlineLevel="0" collapsed="false">
      <c r="A44" s="35"/>
      <c r="B44" s="36"/>
    </row>
    <row r="45" customFormat="false" ht="23.25" hidden="false" customHeight="true" outlineLevel="0" collapsed="false">
      <c r="A45" s="35"/>
      <c r="B45" s="36"/>
    </row>
  </sheetData>
  <mergeCells count="3">
    <mergeCell ref="A1:B1"/>
    <mergeCell ref="A2:B2"/>
    <mergeCell ref="A3:B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215"/>
  <sheetViews>
    <sheetView showFormulas="false" showGridLines="true" showRowColHeaders="true" showZeros="true" rightToLeft="false" tabSelected="true" showOutlineSymbols="true" defaultGridColor="true" view="normal" topLeftCell="A184" colorId="64" zoomScale="100" zoomScaleNormal="100" zoomScalePageLayoutView="100" workbookViewId="0">
      <selection pane="topLeft" activeCell="E150" activeCellId="0" sqref="E150"/>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0"/>
    <col collapsed="false" customWidth="true" hidden="false" outlineLevel="0" max="4" min="4" style="0" width="12"/>
  </cols>
  <sheetData>
    <row r="1" customFormat="false" ht="15" hidden="false" customHeight="true" outlineLevel="0" collapsed="false">
      <c r="A1" s="37" t="s">
        <v>160</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row>
    <row r="2" customFormat="false" ht="15" hidden="false" customHeight="true" outlineLevel="0" collapsed="false">
      <c r="A2" s="39" t="s">
        <v>161</v>
      </c>
      <c r="B2" s="39" t="s">
        <v>162</v>
      </c>
      <c r="C2" s="39" t="s">
        <v>163</v>
      </c>
      <c r="D2" s="39" t="s">
        <v>164</v>
      </c>
      <c r="E2" s="39" t="n">
        <v>1</v>
      </c>
      <c r="F2" s="39" t="n">
        <v>2</v>
      </c>
      <c r="G2" s="39" t="n">
        <v>3</v>
      </c>
      <c r="H2" s="39" t="n">
        <v>4</v>
      </c>
      <c r="I2" s="39" t="n">
        <v>5</v>
      </c>
      <c r="J2" s="39" t="n">
        <v>6</v>
      </c>
      <c r="K2" s="39" t="n">
        <v>7</v>
      </c>
      <c r="L2" s="39" t="n">
        <v>8</v>
      </c>
      <c r="M2" s="39" t="n">
        <v>9</v>
      </c>
      <c r="N2" s="39" t="n">
        <v>10</v>
      </c>
      <c r="O2" s="39" t="n">
        <v>11</v>
      </c>
      <c r="P2" s="39" t="n">
        <v>12</v>
      </c>
      <c r="Q2" s="39" t="n">
        <v>13</v>
      </c>
      <c r="R2" s="39" t="n">
        <v>14</v>
      </c>
      <c r="S2" s="39" t="n">
        <v>15</v>
      </c>
      <c r="T2" s="39" t="n">
        <v>16</v>
      </c>
      <c r="U2" s="39" t="n">
        <v>17</v>
      </c>
      <c r="V2" s="39" t="n">
        <v>18</v>
      </c>
      <c r="W2" s="39" t="n">
        <v>19</v>
      </c>
      <c r="X2" s="39" t="n">
        <v>20</v>
      </c>
      <c r="Y2" s="39" t="n">
        <v>21</v>
      </c>
      <c r="Z2" s="39" t="n">
        <v>22</v>
      </c>
      <c r="AA2" s="39" t="n">
        <v>23</v>
      </c>
      <c r="AB2" s="39" t="n">
        <v>24</v>
      </c>
      <c r="AC2" s="39" t="n">
        <v>25</v>
      </c>
      <c r="AD2" s="39" t="n">
        <v>26</v>
      </c>
      <c r="AE2" s="39" t="n">
        <v>27</v>
      </c>
      <c r="AF2" s="39" t="n">
        <v>28</v>
      </c>
      <c r="AG2" s="39" t="n">
        <v>29</v>
      </c>
      <c r="AH2" s="39" t="n">
        <v>30</v>
      </c>
      <c r="AI2" s="39" t="n">
        <v>31</v>
      </c>
      <c r="AJ2" s="39" t="n">
        <v>32</v>
      </c>
      <c r="AK2" s="39" t="n">
        <v>33</v>
      </c>
      <c r="AL2" s="39" t="n">
        <v>34</v>
      </c>
      <c r="AM2" s="39" t="n">
        <v>35</v>
      </c>
      <c r="AN2" s="39" t="n">
        <v>36</v>
      </c>
      <c r="AO2" s="39" t="n">
        <v>37</v>
      </c>
      <c r="AP2" s="39" t="n">
        <v>38</v>
      </c>
      <c r="AQ2" s="39" t="n">
        <v>39</v>
      </c>
      <c r="AR2" s="39" t="n">
        <v>40</v>
      </c>
      <c r="AS2" s="39" t="n">
        <v>41</v>
      </c>
      <c r="AT2" s="39" t="n">
        <v>42</v>
      </c>
      <c r="AU2" s="39" t="n">
        <v>43</v>
      </c>
      <c r="AV2" s="39" t="n">
        <v>44</v>
      </c>
      <c r="AW2" s="39" t="n">
        <v>45</v>
      </c>
      <c r="AX2" s="39" t="n">
        <v>46</v>
      </c>
      <c r="AY2" s="39" t="n">
        <v>47</v>
      </c>
      <c r="AZ2" s="39" t="n">
        <v>48</v>
      </c>
      <c r="BA2" s="39" t="n">
        <v>49</v>
      </c>
      <c r="BB2" s="39" t="n">
        <v>50</v>
      </c>
      <c r="BC2" s="39" t="n">
        <v>51</v>
      </c>
      <c r="BD2" s="39" t="n">
        <v>52</v>
      </c>
      <c r="BE2" s="39" t="n">
        <v>53</v>
      </c>
      <c r="BF2" s="39" t="n">
        <v>54</v>
      </c>
      <c r="BG2" s="39" t="n">
        <v>55</v>
      </c>
      <c r="BH2" s="39" t="n">
        <v>56</v>
      </c>
      <c r="BI2" s="39" t="n">
        <v>57</v>
      </c>
      <c r="BJ2" s="39" t="n">
        <v>58</v>
      </c>
      <c r="BK2" s="39" t="n">
        <v>59</v>
      </c>
      <c r="BL2" s="39" t="n">
        <v>60</v>
      </c>
      <c r="BM2" s="39" t="n">
        <v>61</v>
      </c>
      <c r="BN2" s="39" t="n">
        <v>62</v>
      </c>
      <c r="BO2" s="39" t="n">
        <v>63</v>
      </c>
      <c r="BP2" s="39" t="n">
        <v>64</v>
      </c>
      <c r="BQ2" s="39" t="n">
        <v>65</v>
      </c>
      <c r="BR2" s="39" t="n">
        <v>66</v>
      </c>
      <c r="BS2" s="39" t="n">
        <v>67</v>
      </c>
      <c r="BT2" s="39" t="n">
        <v>68</v>
      </c>
      <c r="BU2" s="39" t="n">
        <v>69</v>
      </c>
      <c r="BV2" s="39" t="n">
        <v>70</v>
      </c>
      <c r="BW2" s="39" t="n">
        <v>71</v>
      </c>
      <c r="BX2" s="39" t="n">
        <v>72</v>
      </c>
    </row>
    <row r="3" customFormat="false" ht="15" hidden="false" customHeight="true" outlineLevel="0" collapsed="false">
      <c r="A3" s="38" t="s">
        <v>165</v>
      </c>
      <c r="B3" s="38" t="s">
        <v>166</v>
      </c>
      <c r="C3" s="38" t="s">
        <v>167</v>
      </c>
      <c r="D3" s="38" t="s">
        <v>168</v>
      </c>
      <c r="E3" s="38" t="s">
        <v>169</v>
      </c>
      <c r="F3" s="38" t="s">
        <v>169</v>
      </c>
      <c r="G3" s="38" t="s">
        <v>169</v>
      </c>
      <c r="H3" s="38" t="s">
        <v>170</v>
      </c>
      <c r="I3" s="38" t="s">
        <v>170</v>
      </c>
      <c r="J3" s="38" t="s">
        <v>170</v>
      </c>
      <c r="K3" s="38" t="s">
        <v>169</v>
      </c>
      <c r="L3" s="38" t="s">
        <v>171</v>
      </c>
      <c r="M3" s="38" t="s">
        <v>172</v>
      </c>
      <c r="N3" s="38" t="s">
        <v>169</v>
      </c>
      <c r="O3" s="38" t="s">
        <v>170</v>
      </c>
      <c r="P3" s="38" t="s">
        <v>171</v>
      </c>
      <c r="Q3" s="38" t="s">
        <v>170</v>
      </c>
      <c r="R3" s="38" t="s">
        <v>172</v>
      </c>
      <c r="S3" s="38" t="s">
        <v>169</v>
      </c>
      <c r="T3" s="38" t="s">
        <v>170</v>
      </c>
      <c r="U3" s="38" t="s">
        <v>170</v>
      </c>
      <c r="V3" s="38" t="s">
        <v>169</v>
      </c>
      <c r="W3" s="38" t="s">
        <v>169</v>
      </c>
      <c r="X3" s="38" t="s">
        <v>172</v>
      </c>
      <c r="Y3" s="38" t="s">
        <v>172</v>
      </c>
      <c r="Z3" s="38" t="s">
        <v>169</v>
      </c>
      <c r="AA3" s="38" t="s">
        <v>172</v>
      </c>
      <c r="AB3" s="38" t="s">
        <v>169</v>
      </c>
      <c r="AC3" s="38" t="s">
        <v>170</v>
      </c>
      <c r="AD3" s="38" t="s">
        <v>169</v>
      </c>
      <c r="AE3" s="38" t="s">
        <v>170</v>
      </c>
      <c r="AF3" s="38" t="s">
        <v>170</v>
      </c>
      <c r="AG3" s="38" t="s">
        <v>169</v>
      </c>
      <c r="AH3" s="38" t="s">
        <v>169</v>
      </c>
      <c r="AI3" s="38" t="s">
        <v>170</v>
      </c>
      <c r="AJ3" s="38" t="s">
        <v>170</v>
      </c>
      <c r="AK3" s="38" t="s">
        <v>171</v>
      </c>
      <c r="AL3" s="38" t="s">
        <v>171</v>
      </c>
      <c r="AM3" s="38" t="s">
        <v>170</v>
      </c>
      <c r="AN3" s="38" t="s">
        <v>171</v>
      </c>
      <c r="AO3" s="38" t="s">
        <v>172</v>
      </c>
      <c r="AP3" s="38" t="s">
        <v>172</v>
      </c>
      <c r="AQ3" s="38" t="s">
        <v>169</v>
      </c>
      <c r="AR3" s="38" t="s">
        <v>170</v>
      </c>
      <c r="AS3" s="38" t="s">
        <v>170</v>
      </c>
      <c r="AT3" s="38" t="s">
        <v>169</v>
      </c>
      <c r="AU3" s="38" t="s">
        <v>169</v>
      </c>
      <c r="AV3" s="38" t="s">
        <v>171</v>
      </c>
      <c r="AW3" s="38" t="s">
        <v>169</v>
      </c>
      <c r="AX3" s="38" t="s">
        <v>170</v>
      </c>
      <c r="AY3" s="38" t="s">
        <v>171</v>
      </c>
      <c r="AZ3" s="38" t="s">
        <v>169</v>
      </c>
      <c r="BA3" s="38" t="s">
        <v>170</v>
      </c>
      <c r="BB3" s="38" t="s">
        <v>170</v>
      </c>
      <c r="BC3" s="38" t="s">
        <v>169</v>
      </c>
      <c r="BD3" s="38" t="s">
        <v>169</v>
      </c>
      <c r="BE3" s="38" t="s">
        <v>169</v>
      </c>
      <c r="BF3" s="38" t="s">
        <v>171</v>
      </c>
      <c r="BG3" s="38" t="s">
        <v>171</v>
      </c>
      <c r="BH3" s="38" t="s">
        <v>170</v>
      </c>
      <c r="BI3" s="38" t="s">
        <v>172</v>
      </c>
      <c r="BJ3" s="38" t="s">
        <v>172</v>
      </c>
      <c r="BK3" s="38" t="s">
        <v>172</v>
      </c>
      <c r="BL3" s="38" t="s">
        <v>171</v>
      </c>
      <c r="BM3" s="38" t="s">
        <v>170</v>
      </c>
      <c r="BN3" s="38" t="s">
        <v>170</v>
      </c>
      <c r="BO3" s="38" t="s">
        <v>170</v>
      </c>
      <c r="BP3" s="38" t="s">
        <v>169</v>
      </c>
      <c r="BQ3" s="38" t="s">
        <v>169</v>
      </c>
      <c r="BR3" s="38" t="s">
        <v>170</v>
      </c>
      <c r="BS3" s="38" t="s">
        <v>169</v>
      </c>
      <c r="BT3" s="38" t="s">
        <v>169</v>
      </c>
      <c r="BU3" s="38" t="s">
        <v>169</v>
      </c>
      <c r="BV3" s="38" t="s">
        <v>170</v>
      </c>
      <c r="BW3" s="38" t="s">
        <v>170</v>
      </c>
      <c r="BX3" s="38" t="s">
        <v>170</v>
      </c>
    </row>
    <row r="4" customFormat="false" ht="15" hidden="false" customHeight="true" outlineLevel="0" collapsed="false">
      <c r="A4" s="38" t="s">
        <v>165</v>
      </c>
      <c r="B4" s="38" t="s">
        <v>173</v>
      </c>
      <c r="C4" s="38" t="s">
        <v>174</v>
      </c>
      <c r="D4" s="38" t="s">
        <v>175</v>
      </c>
      <c r="E4" s="38" t="s">
        <v>169</v>
      </c>
      <c r="F4" s="38" t="s">
        <v>170</v>
      </c>
      <c r="G4" s="38" t="s">
        <v>170</v>
      </c>
      <c r="H4" s="38" t="s">
        <v>169</v>
      </c>
      <c r="I4" s="38" t="s">
        <v>170</v>
      </c>
      <c r="J4" s="38" t="s">
        <v>169</v>
      </c>
      <c r="K4" s="38" t="s">
        <v>169</v>
      </c>
      <c r="L4" s="38" t="s">
        <v>171</v>
      </c>
      <c r="M4" s="38" t="s">
        <v>172</v>
      </c>
      <c r="N4" s="38" t="s">
        <v>169</v>
      </c>
      <c r="O4" s="38" t="s">
        <v>171</v>
      </c>
      <c r="P4" s="38" t="s">
        <v>172</v>
      </c>
      <c r="Q4" s="38" t="s">
        <v>171</v>
      </c>
      <c r="R4" s="38" t="s">
        <v>172</v>
      </c>
      <c r="S4" s="38" t="s">
        <v>169</v>
      </c>
      <c r="T4" s="38" t="s">
        <v>170</v>
      </c>
      <c r="U4" s="38" t="s">
        <v>170</v>
      </c>
      <c r="V4" s="38" t="s">
        <v>169</v>
      </c>
      <c r="W4" s="38" t="s">
        <v>169</v>
      </c>
      <c r="X4" s="38" t="s">
        <v>172</v>
      </c>
      <c r="Y4" s="38" t="s">
        <v>172</v>
      </c>
      <c r="Z4" s="38" t="s">
        <v>169</v>
      </c>
      <c r="AA4" s="38" t="s">
        <v>171</v>
      </c>
      <c r="AB4" s="38" t="s">
        <v>172</v>
      </c>
      <c r="AC4" s="38" t="s">
        <v>171</v>
      </c>
      <c r="AD4" s="38" t="s">
        <v>169</v>
      </c>
      <c r="AE4" s="38" t="s">
        <v>170</v>
      </c>
      <c r="AF4" s="38" t="s">
        <v>169</v>
      </c>
      <c r="AG4" s="38" t="s">
        <v>169</v>
      </c>
      <c r="AH4" s="38" t="s">
        <v>169</v>
      </c>
      <c r="AI4" s="38" t="s">
        <v>170</v>
      </c>
      <c r="AJ4" s="38" t="s">
        <v>170</v>
      </c>
      <c r="AK4" s="38" t="s">
        <v>171</v>
      </c>
      <c r="AL4" s="38" t="s">
        <v>169</v>
      </c>
      <c r="AM4" s="38" t="s">
        <v>171</v>
      </c>
      <c r="AN4" s="38" t="s">
        <v>170</v>
      </c>
      <c r="AO4" s="38" t="s">
        <v>172</v>
      </c>
      <c r="AP4" s="38" t="s">
        <v>172</v>
      </c>
      <c r="AQ4" s="38" t="s">
        <v>169</v>
      </c>
      <c r="AR4" s="38" t="s">
        <v>170</v>
      </c>
      <c r="AS4" s="38" t="s">
        <v>170</v>
      </c>
      <c r="AT4" s="38" t="s">
        <v>170</v>
      </c>
      <c r="AU4" s="38" t="s">
        <v>169</v>
      </c>
      <c r="AV4" s="38" t="s">
        <v>171</v>
      </c>
      <c r="AW4" s="38" t="s">
        <v>169</v>
      </c>
      <c r="AX4" s="40" t="s">
        <v>176</v>
      </c>
      <c r="AY4" s="38" t="s">
        <v>172</v>
      </c>
      <c r="AZ4" s="38" t="s">
        <v>170</v>
      </c>
      <c r="BA4" s="38" t="s">
        <v>170</v>
      </c>
      <c r="BB4" s="38" t="s">
        <v>170</v>
      </c>
      <c r="BC4" s="38" t="s">
        <v>169</v>
      </c>
      <c r="BD4" s="38" t="s">
        <v>169</v>
      </c>
      <c r="BE4" s="38" t="s">
        <v>169</v>
      </c>
      <c r="BF4" s="38" t="s">
        <v>171</v>
      </c>
      <c r="BG4" s="38" t="s">
        <v>171</v>
      </c>
      <c r="BH4" s="38" t="s">
        <v>170</v>
      </c>
      <c r="BI4" s="38" t="s">
        <v>172</v>
      </c>
      <c r="BJ4" s="38" t="s">
        <v>172</v>
      </c>
      <c r="BK4" s="38" t="s">
        <v>172</v>
      </c>
      <c r="BL4" s="38" t="s">
        <v>171</v>
      </c>
      <c r="BM4" s="38" t="s">
        <v>170</v>
      </c>
      <c r="BN4" s="38" t="s">
        <v>170</v>
      </c>
      <c r="BO4" s="38" t="s">
        <v>170</v>
      </c>
      <c r="BP4" s="38" t="s">
        <v>169</v>
      </c>
      <c r="BQ4" s="38" t="s">
        <v>169</v>
      </c>
      <c r="BR4" s="38" t="s">
        <v>170</v>
      </c>
      <c r="BS4" s="38" t="s">
        <v>170</v>
      </c>
      <c r="BT4" s="38" t="s">
        <v>169</v>
      </c>
      <c r="BU4" s="38" t="s">
        <v>170</v>
      </c>
      <c r="BV4" s="38" t="s">
        <v>169</v>
      </c>
      <c r="BW4" s="38" t="s">
        <v>169</v>
      </c>
      <c r="BX4" s="38" t="s">
        <v>170</v>
      </c>
    </row>
    <row r="5" customFormat="false" ht="15" hidden="false" customHeight="true" outlineLevel="0" collapsed="false">
      <c r="A5" s="38" t="s">
        <v>165</v>
      </c>
      <c r="B5" s="38" t="s">
        <v>177</v>
      </c>
      <c r="C5" s="38" t="s">
        <v>178</v>
      </c>
      <c r="D5" s="38" t="s">
        <v>179</v>
      </c>
      <c r="E5" s="38" t="s">
        <v>169</v>
      </c>
      <c r="F5" s="38" t="s">
        <v>170</v>
      </c>
      <c r="G5" s="38" t="s">
        <v>170</v>
      </c>
      <c r="H5" s="38" t="s">
        <v>169</v>
      </c>
      <c r="I5" s="38" t="s">
        <v>169</v>
      </c>
      <c r="J5" s="38" t="s">
        <v>169</v>
      </c>
      <c r="K5" s="38" t="s">
        <v>169</v>
      </c>
      <c r="L5" s="38" t="s">
        <v>171</v>
      </c>
      <c r="M5" s="38" t="s">
        <v>169</v>
      </c>
      <c r="N5" s="38" t="s">
        <v>169</v>
      </c>
      <c r="O5" s="38" t="s">
        <v>170</v>
      </c>
      <c r="P5" s="38" t="s">
        <v>170</v>
      </c>
      <c r="Q5" s="38" t="s">
        <v>169</v>
      </c>
      <c r="R5" s="38" t="s">
        <v>172</v>
      </c>
      <c r="S5" s="38" t="s">
        <v>169</v>
      </c>
      <c r="T5" s="40" t="s">
        <v>176</v>
      </c>
      <c r="U5" s="38" t="s">
        <v>170</v>
      </c>
      <c r="V5" s="38" t="s">
        <v>169</v>
      </c>
      <c r="W5" s="38" t="s">
        <v>169</v>
      </c>
      <c r="X5" s="38" t="s">
        <v>171</v>
      </c>
      <c r="Y5" s="38" t="s">
        <v>172</v>
      </c>
      <c r="Z5" s="38" t="s">
        <v>172</v>
      </c>
      <c r="AA5" s="38" t="s">
        <v>169</v>
      </c>
      <c r="AB5" s="38" t="s">
        <v>169</v>
      </c>
      <c r="AC5" s="38" t="s">
        <v>170</v>
      </c>
      <c r="AD5" s="38" t="s">
        <v>169</v>
      </c>
      <c r="AE5" s="38" t="s">
        <v>169</v>
      </c>
      <c r="AF5" s="38" t="s">
        <v>170</v>
      </c>
      <c r="AG5" s="38" t="s">
        <v>169</v>
      </c>
      <c r="AH5" s="38" t="s">
        <v>169</v>
      </c>
      <c r="AI5" s="38" t="s">
        <v>169</v>
      </c>
      <c r="AJ5" s="38" t="s">
        <v>170</v>
      </c>
      <c r="AK5" s="38" t="s">
        <v>171</v>
      </c>
      <c r="AL5" s="38" t="s">
        <v>169</v>
      </c>
      <c r="AM5" s="38" t="s">
        <v>170</v>
      </c>
      <c r="AN5" s="38" t="s">
        <v>172</v>
      </c>
      <c r="AO5" s="38" t="s">
        <v>169</v>
      </c>
      <c r="AP5" s="38" t="s">
        <v>172</v>
      </c>
      <c r="AQ5" s="38" t="s">
        <v>170</v>
      </c>
      <c r="AR5" s="38" t="s">
        <v>170</v>
      </c>
      <c r="AS5" s="38" t="s">
        <v>170</v>
      </c>
      <c r="AT5" s="38" t="s">
        <v>169</v>
      </c>
      <c r="AU5" s="38" t="s">
        <v>171</v>
      </c>
      <c r="AV5" s="38" t="s">
        <v>171</v>
      </c>
      <c r="AW5" s="38" t="s">
        <v>172</v>
      </c>
      <c r="AX5" s="38" t="s">
        <v>169</v>
      </c>
      <c r="AY5" s="38" t="s">
        <v>171</v>
      </c>
      <c r="AZ5" s="38" t="s">
        <v>170</v>
      </c>
      <c r="BA5" s="38" t="s">
        <v>170</v>
      </c>
      <c r="BB5" s="38" t="s">
        <v>170</v>
      </c>
      <c r="BC5" s="38" t="s">
        <v>169</v>
      </c>
      <c r="BD5" s="38" t="s">
        <v>169</v>
      </c>
      <c r="BE5" s="38" t="s">
        <v>169</v>
      </c>
      <c r="BF5" s="38" t="s">
        <v>171</v>
      </c>
      <c r="BG5" s="38" t="s">
        <v>171</v>
      </c>
      <c r="BH5" s="38" t="s">
        <v>170</v>
      </c>
      <c r="BI5" s="38" t="s">
        <v>169</v>
      </c>
      <c r="BJ5" s="38" t="s">
        <v>172</v>
      </c>
      <c r="BK5" s="38" t="s">
        <v>172</v>
      </c>
      <c r="BL5" s="38" t="s">
        <v>171</v>
      </c>
      <c r="BM5" s="38" t="s">
        <v>170</v>
      </c>
      <c r="BN5" s="38" t="s">
        <v>170</v>
      </c>
      <c r="BO5" s="38" t="s">
        <v>170</v>
      </c>
      <c r="BP5" s="38" t="s">
        <v>169</v>
      </c>
      <c r="BQ5" s="38" t="s">
        <v>169</v>
      </c>
      <c r="BR5" s="38" t="s">
        <v>170</v>
      </c>
      <c r="BS5" s="38" t="s">
        <v>170</v>
      </c>
      <c r="BT5" s="38" t="s">
        <v>170</v>
      </c>
      <c r="BU5" s="38" t="s">
        <v>170</v>
      </c>
      <c r="BV5" s="38" t="s">
        <v>169</v>
      </c>
      <c r="BW5" s="38" t="s">
        <v>169</v>
      </c>
      <c r="BX5" s="38" t="s">
        <v>170</v>
      </c>
    </row>
    <row r="6" customFormat="false" ht="15" hidden="false" customHeight="true" outlineLevel="0" collapsed="false">
      <c r="A6" s="38" t="s">
        <v>165</v>
      </c>
      <c r="B6" s="38" t="s">
        <v>180</v>
      </c>
      <c r="C6" s="38" t="s">
        <v>181</v>
      </c>
      <c r="D6" s="38" t="s">
        <v>182</v>
      </c>
      <c r="E6" s="38" t="s">
        <v>169</v>
      </c>
      <c r="F6" s="38" t="s">
        <v>169</v>
      </c>
      <c r="G6" s="38" t="s">
        <v>169</v>
      </c>
      <c r="H6" s="38" t="s">
        <v>170</v>
      </c>
      <c r="I6" s="38" t="s">
        <v>170</v>
      </c>
      <c r="J6" s="38" t="s">
        <v>170</v>
      </c>
      <c r="K6" s="38" t="s">
        <v>169</v>
      </c>
      <c r="L6" s="38" t="s">
        <v>171</v>
      </c>
      <c r="M6" s="38" t="s">
        <v>172</v>
      </c>
      <c r="N6" s="38" t="s">
        <v>169</v>
      </c>
      <c r="O6" s="38" t="s">
        <v>170</v>
      </c>
      <c r="P6" s="38" t="s">
        <v>171</v>
      </c>
      <c r="Q6" s="38" t="s">
        <v>170</v>
      </c>
      <c r="R6" s="38" t="s">
        <v>172</v>
      </c>
      <c r="S6" s="38" t="s">
        <v>169</v>
      </c>
      <c r="T6" s="38" t="s">
        <v>170</v>
      </c>
      <c r="U6" s="38" t="s">
        <v>170</v>
      </c>
      <c r="V6" s="38" t="s">
        <v>169</v>
      </c>
      <c r="W6" s="38" t="s">
        <v>169</v>
      </c>
      <c r="X6" s="38" t="s">
        <v>171</v>
      </c>
      <c r="Y6" s="38" t="s">
        <v>172</v>
      </c>
      <c r="Z6" s="38" t="s">
        <v>169</v>
      </c>
      <c r="AA6" s="38" t="s">
        <v>172</v>
      </c>
      <c r="AB6" s="38" t="s">
        <v>169</v>
      </c>
      <c r="AC6" s="38" t="s">
        <v>170</v>
      </c>
      <c r="AD6" s="38" t="s">
        <v>169</v>
      </c>
      <c r="AE6" s="38" t="s">
        <v>169</v>
      </c>
      <c r="AF6" s="38" t="s">
        <v>170</v>
      </c>
      <c r="AG6" s="38" t="s">
        <v>169</v>
      </c>
      <c r="AH6" s="38" t="s">
        <v>169</v>
      </c>
      <c r="AI6" s="38" t="s">
        <v>169</v>
      </c>
      <c r="AJ6" s="38" t="s">
        <v>170</v>
      </c>
      <c r="AK6" s="38" t="s">
        <v>171</v>
      </c>
      <c r="AL6" s="38" t="s">
        <v>170</v>
      </c>
      <c r="AM6" s="38" t="s">
        <v>171</v>
      </c>
      <c r="AN6" s="38" t="s">
        <v>171</v>
      </c>
      <c r="AO6" s="38" t="s">
        <v>172</v>
      </c>
      <c r="AP6" s="38" t="s">
        <v>172</v>
      </c>
      <c r="AQ6" s="38" t="s">
        <v>170</v>
      </c>
      <c r="AR6" s="38" t="s">
        <v>170</v>
      </c>
      <c r="AS6" s="38" t="s">
        <v>170</v>
      </c>
      <c r="AT6" s="38" t="s">
        <v>169</v>
      </c>
      <c r="AU6" s="38" t="s">
        <v>170</v>
      </c>
      <c r="AV6" s="38" t="s">
        <v>169</v>
      </c>
      <c r="AW6" s="38" t="s">
        <v>172</v>
      </c>
      <c r="AX6" s="38" t="s">
        <v>169</v>
      </c>
      <c r="AY6" s="38" t="s">
        <v>171</v>
      </c>
      <c r="AZ6" s="38" t="s">
        <v>170</v>
      </c>
      <c r="BA6" s="38" t="s">
        <v>170</v>
      </c>
      <c r="BB6" s="38" t="s">
        <v>170</v>
      </c>
      <c r="BC6" s="38" t="s">
        <v>169</v>
      </c>
      <c r="BD6" s="38" t="s">
        <v>169</v>
      </c>
      <c r="BE6" s="38" t="s">
        <v>169</v>
      </c>
      <c r="BF6" s="38" t="s">
        <v>171</v>
      </c>
      <c r="BG6" s="38" t="s">
        <v>171</v>
      </c>
      <c r="BH6" s="38" t="s">
        <v>170</v>
      </c>
      <c r="BI6" s="38" t="s">
        <v>172</v>
      </c>
      <c r="BJ6" s="38" t="s">
        <v>172</v>
      </c>
      <c r="BK6" s="38" t="s">
        <v>172</v>
      </c>
      <c r="BL6" s="38" t="s">
        <v>171</v>
      </c>
      <c r="BM6" s="38" t="s">
        <v>170</v>
      </c>
      <c r="BN6" s="38" t="s">
        <v>170</v>
      </c>
      <c r="BO6" s="38" t="s">
        <v>170</v>
      </c>
      <c r="BP6" s="38" t="s">
        <v>169</v>
      </c>
      <c r="BQ6" s="38" t="s">
        <v>169</v>
      </c>
      <c r="BR6" s="38" t="s">
        <v>170</v>
      </c>
      <c r="BS6" s="38" t="s">
        <v>169</v>
      </c>
      <c r="BT6" s="38" t="s">
        <v>169</v>
      </c>
      <c r="BU6" s="38" t="s">
        <v>169</v>
      </c>
      <c r="BV6" s="38" t="s">
        <v>170</v>
      </c>
      <c r="BW6" s="38" t="s">
        <v>170</v>
      </c>
      <c r="BX6" s="38" t="s">
        <v>170</v>
      </c>
    </row>
    <row r="7" customFormat="false" ht="15" hidden="false" customHeight="true" outlineLevel="0" collapsed="false">
      <c r="A7" s="38" t="s">
        <v>165</v>
      </c>
      <c r="B7" s="38" t="s">
        <v>183</v>
      </c>
      <c r="C7" s="38" t="s">
        <v>181</v>
      </c>
      <c r="D7" s="38" t="s">
        <v>184</v>
      </c>
      <c r="E7" s="38" t="s">
        <v>169</v>
      </c>
      <c r="F7" s="38" t="s">
        <v>169</v>
      </c>
      <c r="G7" s="38" t="s">
        <v>169</v>
      </c>
      <c r="H7" s="38" t="s">
        <v>170</v>
      </c>
      <c r="I7" s="38" t="s">
        <v>170</v>
      </c>
      <c r="J7" s="38" t="s">
        <v>170</v>
      </c>
      <c r="K7" s="38" t="s">
        <v>169</v>
      </c>
      <c r="L7" s="38" t="s">
        <v>171</v>
      </c>
      <c r="M7" s="38" t="s">
        <v>172</v>
      </c>
      <c r="N7" s="38" t="s">
        <v>169</v>
      </c>
      <c r="O7" s="38" t="s">
        <v>170</v>
      </c>
      <c r="P7" s="38" t="s">
        <v>171</v>
      </c>
      <c r="Q7" s="38" t="s">
        <v>170</v>
      </c>
      <c r="R7" s="38" t="s">
        <v>172</v>
      </c>
      <c r="S7" s="38" t="s">
        <v>169</v>
      </c>
      <c r="T7" s="38" t="s">
        <v>170</v>
      </c>
      <c r="U7" s="38" t="s">
        <v>170</v>
      </c>
      <c r="V7" s="38" t="s">
        <v>169</v>
      </c>
      <c r="W7" s="38" t="s">
        <v>169</v>
      </c>
      <c r="X7" s="38" t="s">
        <v>170</v>
      </c>
      <c r="Y7" s="38" t="s">
        <v>172</v>
      </c>
      <c r="Z7" s="38" t="s">
        <v>169</v>
      </c>
      <c r="AA7" s="38" t="s">
        <v>172</v>
      </c>
      <c r="AB7" s="38" t="s">
        <v>169</v>
      </c>
      <c r="AC7" s="38" t="s">
        <v>170</v>
      </c>
      <c r="AD7" s="38" t="s">
        <v>169</v>
      </c>
      <c r="AE7" s="38" t="s">
        <v>169</v>
      </c>
      <c r="AF7" s="38" t="s">
        <v>170</v>
      </c>
      <c r="AG7" s="38" t="s">
        <v>169</v>
      </c>
      <c r="AH7" s="38" t="s">
        <v>169</v>
      </c>
      <c r="AI7" s="38" t="s">
        <v>169</v>
      </c>
      <c r="AJ7" s="38" t="s">
        <v>170</v>
      </c>
      <c r="AK7" s="38" t="s">
        <v>171</v>
      </c>
      <c r="AL7" s="38" t="s">
        <v>171</v>
      </c>
      <c r="AM7" s="38" t="s">
        <v>171</v>
      </c>
      <c r="AN7" s="38" t="s">
        <v>171</v>
      </c>
      <c r="AO7" s="38" t="s">
        <v>172</v>
      </c>
      <c r="AP7" s="38" t="s">
        <v>170</v>
      </c>
      <c r="AQ7" s="38" t="s">
        <v>170</v>
      </c>
      <c r="AR7" s="38" t="s">
        <v>170</v>
      </c>
      <c r="AS7" s="38" t="s">
        <v>170</v>
      </c>
      <c r="AT7" s="38" t="s">
        <v>169</v>
      </c>
      <c r="AU7" s="38" t="s">
        <v>170</v>
      </c>
      <c r="AV7" s="38" t="s">
        <v>169</v>
      </c>
      <c r="AW7" s="38" t="s">
        <v>169</v>
      </c>
      <c r="AX7" s="38" t="s">
        <v>172</v>
      </c>
      <c r="AY7" s="38" t="s">
        <v>171</v>
      </c>
      <c r="AZ7" s="38" t="s">
        <v>170</v>
      </c>
      <c r="BA7" s="38" t="s">
        <v>170</v>
      </c>
      <c r="BB7" s="38" t="s">
        <v>170</v>
      </c>
      <c r="BC7" s="38" t="s">
        <v>169</v>
      </c>
      <c r="BD7" s="38" t="s">
        <v>169</v>
      </c>
      <c r="BE7" s="38" t="s">
        <v>169</v>
      </c>
      <c r="BF7" s="38" t="s">
        <v>171</v>
      </c>
      <c r="BG7" s="38" t="s">
        <v>171</v>
      </c>
      <c r="BH7" s="38" t="s">
        <v>170</v>
      </c>
      <c r="BI7" s="38" t="s">
        <v>172</v>
      </c>
      <c r="BJ7" s="38" t="s">
        <v>172</v>
      </c>
      <c r="BK7" s="38" t="s">
        <v>172</v>
      </c>
      <c r="BL7" s="38" t="s">
        <v>171</v>
      </c>
      <c r="BM7" s="38" t="s">
        <v>170</v>
      </c>
      <c r="BN7" s="38" t="s">
        <v>170</v>
      </c>
      <c r="BO7" s="38" t="s">
        <v>170</v>
      </c>
      <c r="BP7" s="38" t="s">
        <v>169</v>
      </c>
      <c r="BQ7" s="38" t="s">
        <v>169</v>
      </c>
      <c r="BR7" s="38" t="s">
        <v>170</v>
      </c>
      <c r="BS7" s="38" t="s">
        <v>169</v>
      </c>
      <c r="BT7" s="38" t="s">
        <v>169</v>
      </c>
      <c r="BU7" s="38" t="s">
        <v>169</v>
      </c>
      <c r="BV7" s="38" t="s">
        <v>170</v>
      </c>
      <c r="BW7" s="38" t="s">
        <v>170</v>
      </c>
      <c r="BX7" s="38" t="s">
        <v>170</v>
      </c>
    </row>
    <row r="8" customFormat="false" ht="15" hidden="false" customHeight="true" outlineLevel="0" collapsed="false">
      <c r="A8" s="38" t="s">
        <v>165</v>
      </c>
      <c r="B8" s="38" t="s">
        <v>185</v>
      </c>
      <c r="C8" s="38" t="s">
        <v>186</v>
      </c>
      <c r="D8" s="38" t="s">
        <v>187</v>
      </c>
      <c r="E8" s="38" t="s">
        <v>169</v>
      </c>
      <c r="F8" s="38" t="s">
        <v>169</v>
      </c>
      <c r="G8" s="38" t="s">
        <v>169</v>
      </c>
      <c r="H8" s="38" t="s">
        <v>170</v>
      </c>
      <c r="I8" s="38" t="s">
        <v>170</v>
      </c>
      <c r="J8" s="38" t="s">
        <v>170</v>
      </c>
      <c r="K8" s="38" t="s">
        <v>169</v>
      </c>
      <c r="L8" s="38" t="s">
        <v>171</v>
      </c>
      <c r="M8" s="38" t="s">
        <v>172</v>
      </c>
      <c r="N8" s="38" t="s">
        <v>169</v>
      </c>
      <c r="O8" s="38" t="s">
        <v>170</v>
      </c>
      <c r="P8" s="38" t="s">
        <v>171</v>
      </c>
      <c r="Q8" s="38" t="s">
        <v>170</v>
      </c>
      <c r="R8" s="38" t="s">
        <v>172</v>
      </c>
      <c r="S8" s="38" t="s">
        <v>169</v>
      </c>
      <c r="T8" s="38" t="s">
        <v>170</v>
      </c>
      <c r="U8" s="38" t="s">
        <v>170</v>
      </c>
      <c r="V8" s="38" t="s">
        <v>169</v>
      </c>
      <c r="W8" s="38" t="s">
        <v>169</v>
      </c>
      <c r="X8" s="38" t="s">
        <v>171</v>
      </c>
      <c r="Y8" s="38" t="s">
        <v>172</v>
      </c>
      <c r="Z8" s="38" t="s">
        <v>169</v>
      </c>
      <c r="AA8" s="38" t="s">
        <v>172</v>
      </c>
      <c r="AB8" s="38" t="s">
        <v>169</v>
      </c>
      <c r="AC8" s="38" t="s">
        <v>170</v>
      </c>
      <c r="AD8" s="38" t="s">
        <v>169</v>
      </c>
      <c r="AE8" s="38" t="s">
        <v>170</v>
      </c>
      <c r="AF8" s="38" t="s">
        <v>170</v>
      </c>
      <c r="AG8" s="38" t="s">
        <v>170</v>
      </c>
      <c r="AH8" s="38" t="s">
        <v>169</v>
      </c>
      <c r="AI8" s="38" t="s">
        <v>169</v>
      </c>
      <c r="AJ8" s="38" t="s">
        <v>170</v>
      </c>
      <c r="AK8" s="38" t="s">
        <v>171</v>
      </c>
      <c r="AL8" s="38" t="s">
        <v>170</v>
      </c>
      <c r="AM8" s="38" t="s">
        <v>172</v>
      </c>
      <c r="AN8" s="38" t="s">
        <v>171</v>
      </c>
      <c r="AO8" s="38" t="s">
        <v>172</v>
      </c>
      <c r="AP8" s="38" t="s">
        <v>172</v>
      </c>
      <c r="AQ8" s="38" t="s">
        <v>170</v>
      </c>
      <c r="AR8" s="38" t="s">
        <v>170</v>
      </c>
      <c r="AS8" s="38" t="s">
        <v>169</v>
      </c>
      <c r="AT8" s="38" t="s">
        <v>169</v>
      </c>
      <c r="AU8" s="38" t="s">
        <v>169</v>
      </c>
      <c r="AV8" s="38" t="s">
        <v>171</v>
      </c>
      <c r="AW8" s="38" t="s">
        <v>169</v>
      </c>
      <c r="AX8" s="38" t="s">
        <v>169</v>
      </c>
      <c r="AY8" s="38" t="s">
        <v>171</v>
      </c>
      <c r="AZ8" s="38" t="s">
        <v>170</v>
      </c>
      <c r="BA8" s="38" t="s">
        <v>169</v>
      </c>
      <c r="BB8" s="38" t="s">
        <v>169</v>
      </c>
      <c r="BC8" s="38" t="s">
        <v>169</v>
      </c>
      <c r="BD8" s="38" t="s">
        <v>169</v>
      </c>
      <c r="BE8" s="38" t="s">
        <v>169</v>
      </c>
      <c r="BF8" s="38" t="s">
        <v>171</v>
      </c>
      <c r="BG8" s="38" t="s">
        <v>171</v>
      </c>
      <c r="BH8" s="38" t="s">
        <v>170</v>
      </c>
      <c r="BI8" s="38" t="s">
        <v>172</v>
      </c>
      <c r="BJ8" s="38" t="s">
        <v>172</v>
      </c>
      <c r="BK8" s="38" t="s">
        <v>172</v>
      </c>
      <c r="BL8" s="38" t="s">
        <v>171</v>
      </c>
      <c r="BM8" s="38" t="s">
        <v>170</v>
      </c>
      <c r="BN8" s="38" t="s">
        <v>170</v>
      </c>
      <c r="BO8" s="38" t="s">
        <v>170</v>
      </c>
      <c r="BP8" s="38" t="s">
        <v>170</v>
      </c>
      <c r="BQ8" s="38" t="s">
        <v>170</v>
      </c>
      <c r="BR8" s="38" t="s">
        <v>170</v>
      </c>
      <c r="BS8" s="38" t="s">
        <v>169</v>
      </c>
      <c r="BT8" s="38" t="s">
        <v>169</v>
      </c>
      <c r="BU8" s="38" t="s">
        <v>169</v>
      </c>
      <c r="BV8" s="38" t="s">
        <v>170</v>
      </c>
      <c r="BW8" s="38" t="s">
        <v>170</v>
      </c>
      <c r="BX8" s="38" t="s">
        <v>170</v>
      </c>
    </row>
    <row r="9" customFormat="false" ht="15" hidden="false" customHeight="true" outlineLevel="0" collapsed="false">
      <c r="A9" s="38" t="s">
        <v>165</v>
      </c>
      <c r="B9" s="38" t="s">
        <v>188</v>
      </c>
      <c r="C9" s="38" t="s">
        <v>186</v>
      </c>
      <c r="D9" s="38" t="s">
        <v>187</v>
      </c>
      <c r="E9" s="38" t="s">
        <v>169</v>
      </c>
      <c r="F9" s="38" t="s">
        <v>170</v>
      </c>
      <c r="G9" s="38" t="s">
        <v>170</v>
      </c>
      <c r="H9" s="38" t="s">
        <v>169</v>
      </c>
      <c r="I9" s="38" t="s">
        <v>170</v>
      </c>
      <c r="J9" s="38" t="s">
        <v>170</v>
      </c>
      <c r="K9" s="38" t="s">
        <v>169</v>
      </c>
      <c r="L9" s="38" t="s">
        <v>171</v>
      </c>
      <c r="M9" s="38" t="s">
        <v>172</v>
      </c>
      <c r="N9" s="38" t="s">
        <v>169</v>
      </c>
      <c r="O9" s="38" t="s">
        <v>170</v>
      </c>
      <c r="P9" s="38" t="s">
        <v>171</v>
      </c>
      <c r="Q9" s="38" t="s">
        <v>170</v>
      </c>
      <c r="R9" s="38" t="s">
        <v>172</v>
      </c>
      <c r="S9" s="38" t="s">
        <v>169</v>
      </c>
      <c r="T9" s="38" t="s">
        <v>170</v>
      </c>
      <c r="U9" s="38" t="s">
        <v>170</v>
      </c>
      <c r="V9" s="38" t="s">
        <v>169</v>
      </c>
      <c r="W9" s="38" t="s">
        <v>169</v>
      </c>
      <c r="X9" s="38" t="s">
        <v>170</v>
      </c>
      <c r="Y9" s="38" t="s">
        <v>172</v>
      </c>
      <c r="Z9" s="38" t="s">
        <v>169</v>
      </c>
      <c r="AA9" s="38" t="s">
        <v>172</v>
      </c>
      <c r="AB9" s="38" t="s">
        <v>169</v>
      </c>
      <c r="AC9" s="38" t="s">
        <v>170</v>
      </c>
      <c r="AD9" s="38" t="s">
        <v>169</v>
      </c>
      <c r="AE9" s="38" t="s">
        <v>170</v>
      </c>
      <c r="AF9" s="38" t="s">
        <v>170</v>
      </c>
      <c r="AG9" s="38" t="s">
        <v>169</v>
      </c>
      <c r="AH9" s="38" t="s">
        <v>169</v>
      </c>
      <c r="AI9" s="38" t="s">
        <v>172</v>
      </c>
      <c r="AJ9" s="38" t="s">
        <v>170</v>
      </c>
      <c r="AK9" s="38" t="s">
        <v>171</v>
      </c>
      <c r="AL9" s="38" t="s">
        <v>170</v>
      </c>
      <c r="AM9" s="38" t="s">
        <v>172</v>
      </c>
      <c r="AN9" s="38" t="s">
        <v>171</v>
      </c>
      <c r="AO9" s="38" t="s">
        <v>172</v>
      </c>
      <c r="AP9" s="38" t="s">
        <v>172</v>
      </c>
      <c r="AQ9" s="38" t="s">
        <v>171</v>
      </c>
      <c r="AR9" s="38" t="s">
        <v>170</v>
      </c>
      <c r="AS9" s="38" t="s">
        <v>170</v>
      </c>
      <c r="AT9" s="38" t="s">
        <v>169</v>
      </c>
      <c r="AU9" s="38" t="s">
        <v>169</v>
      </c>
      <c r="AV9" s="38" t="s">
        <v>172</v>
      </c>
      <c r="AW9" s="38" t="s">
        <v>169</v>
      </c>
      <c r="AX9" s="38" t="s">
        <v>169</v>
      </c>
      <c r="AY9" s="38" t="s">
        <v>171</v>
      </c>
      <c r="AZ9" s="38" t="s">
        <v>170</v>
      </c>
      <c r="BA9" s="38" t="s">
        <v>170</v>
      </c>
      <c r="BB9" s="38" t="s">
        <v>170</v>
      </c>
      <c r="BC9" s="38" t="s">
        <v>169</v>
      </c>
      <c r="BD9" s="38" t="s">
        <v>169</v>
      </c>
      <c r="BE9" s="38" t="s">
        <v>169</v>
      </c>
      <c r="BF9" s="38" t="s">
        <v>171</v>
      </c>
      <c r="BG9" s="38" t="s">
        <v>171</v>
      </c>
      <c r="BH9" s="38" t="s">
        <v>170</v>
      </c>
      <c r="BI9" s="38" t="s">
        <v>169</v>
      </c>
      <c r="BJ9" s="38" t="s">
        <v>172</v>
      </c>
      <c r="BK9" s="38" t="s">
        <v>172</v>
      </c>
      <c r="BL9" s="38" t="s">
        <v>171</v>
      </c>
      <c r="BM9" s="38" t="s">
        <v>170</v>
      </c>
      <c r="BN9" s="38" t="s">
        <v>170</v>
      </c>
      <c r="BO9" s="38" t="s">
        <v>170</v>
      </c>
      <c r="BP9" s="38" t="s">
        <v>169</v>
      </c>
      <c r="BQ9" s="38" t="s">
        <v>169</v>
      </c>
      <c r="BR9" s="38" t="s">
        <v>170</v>
      </c>
      <c r="BS9" s="38" t="s">
        <v>169</v>
      </c>
      <c r="BT9" s="38" t="s">
        <v>169</v>
      </c>
      <c r="BU9" s="38" t="s">
        <v>170</v>
      </c>
      <c r="BV9" s="38" t="s">
        <v>169</v>
      </c>
      <c r="BW9" s="38" t="s">
        <v>169</v>
      </c>
      <c r="BX9" s="38" t="s">
        <v>170</v>
      </c>
    </row>
    <row r="10" customFormat="false" ht="15" hidden="false" customHeight="true" outlineLevel="0" collapsed="false">
      <c r="A10" s="38" t="s">
        <v>165</v>
      </c>
      <c r="B10" s="38" t="s">
        <v>189</v>
      </c>
      <c r="C10" s="38" t="s">
        <v>190</v>
      </c>
      <c r="D10" s="38" t="s">
        <v>191</v>
      </c>
      <c r="E10" s="38" t="s">
        <v>169</v>
      </c>
      <c r="F10" s="38" t="s">
        <v>169</v>
      </c>
      <c r="G10" s="38" t="s">
        <v>169</v>
      </c>
      <c r="H10" s="38" t="s">
        <v>170</v>
      </c>
      <c r="I10" s="38" t="s">
        <v>170</v>
      </c>
      <c r="J10" s="38" t="s">
        <v>170</v>
      </c>
      <c r="K10" s="38" t="s">
        <v>169</v>
      </c>
      <c r="L10" s="38" t="s">
        <v>169</v>
      </c>
      <c r="M10" s="38" t="s">
        <v>170</v>
      </c>
      <c r="N10" s="38" t="s">
        <v>169</v>
      </c>
      <c r="O10" s="38" t="s">
        <v>171</v>
      </c>
      <c r="P10" s="38" t="s">
        <v>170</v>
      </c>
      <c r="Q10" s="38" t="s">
        <v>171</v>
      </c>
      <c r="R10" s="38" t="s">
        <v>172</v>
      </c>
      <c r="S10" s="38" t="s">
        <v>169</v>
      </c>
      <c r="T10" s="38" t="s">
        <v>170</v>
      </c>
      <c r="U10" s="38" t="s">
        <v>170</v>
      </c>
      <c r="V10" s="38" t="s">
        <v>169</v>
      </c>
      <c r="W10" s="38" t="s">
        <v>169</v>
      </c>
      <c r="X10" s="38" t="s">
        <v>170</v>
      </c>
      <c r="Y10" s="38" t="s">
        <v>172</v>
      </c>
      <c r="Z10" s="38" t="s">
        <v>172</v>
      </c>
      <c r="AA10" s="38" t="s">
        <v>169</v>
      </c>
      <c r="AB10" s="38" t="s">
        <v>172</v>
      </c>
      <c r="AC10" s="38" t="s">
        <v>171</v>
      </c>
      <c r="AD10" s="38" t="s">
        <v>169</v>
      </c>
      <c r="AE10" s="38" t="s">
        <v>170</v>
      </c>
      <c r="AF10" s="38" t="s">
        <v>169</v>
      </c>
      <c r="AG10" s="38" t="s">
        <v>169</v>
      </c>
      <c r="AH10" s="38" t="s">
        <v>169</v>
      </c>
      <c r="AI10" s="38" t="s">
        <v>169</v>
      </c>
      <c r="AJ10" s="38" t="s">
        <v>171</v>
      </c>
      <c r="AK10" s="38" t="s">
        <v>172</v>
      </c>
      <c r="AL10" s="38" t="s">
        <v>170</v>
      </c>
      <c r="AM10" s="38" t="s">
        <v>169</v>
      </c>
      <c r="AN10" s="38" t="s">
        <v>169</v>
      </c>
      <c r="AO10" s="38" t="s">
        <v>169</v>
      </c>
      <c r="AP10" s="38" t="s">
        <v>172</v>
      </c>
      <c r="AQ10" s="38" t="s">
        <v>170</v>
      </c>
      <c r="AR10" s="38" t="s">
        <v>170</v>
      </c>
      <c r="AS10" s="38" t="s">
        <v>170</v>
      </c>
      <c r="AT10" s="38" t="s">
        <v>170</v>
      </c>
      <c r="AU10" s="38" t="s">
        <v>169</v>
      </c>
      <c r="AV10" s="38" t="s">
        <v>171</v>
      </c>
      <c r="AW10" s="38" t="s">
        <v>169</v>
      </c>
      <c r="AX10" s="38" t="s">
        <v>169</v>
      </c>
      <c r="AY10" s="38" t="s">
        <v>171</v>
      </c>
      <c r="AZ10" s="38" t="s">
        <v>170</v>
      </c>
      <c r="BA10" s="38" t="s">
        <v>170</v>
      </c>
      <c r="BB10" s="38" t="s">
        <v>169</v>
      </c>
      <c r="BC10" s="38" t="s">
        <v>169</v>
      </c>
      <c r="BD10" s="38" t="s">
        <v>169</v>
      </c>
      <c r="BE10" s="38" t="s">
        <v>169</v>
      </c>
      <c r="BF10" s="38" t="s">
        <v>171</v>
      </c>
      <c r="BG10" s="38" t="s">
        <v>171</v>
      </c>
      <c r="BH10" s="38" t="s">
        <v>170</v>
      </c>
      <c r="BI10" s="38" t="s">
        <v>172</v>
      </c>
      <c r="BJ10" s="38" t="s">
        <v>172</v>
      </c>
      <c r="BK10" s="38" t="s">
        <v>172</v>
      </c>
      <c r="BL10" s="38" t="s">
        <v>171</v>
      </c>
      <c r="BM10" s="38" t="s">
        <v>170</v>
      </c>
      <c r="BN10" s="38" t="s">
        <v>170</v>
      </c>
      <c r="BO10" s="38" t="s">
        <v>170</v>
      </c>
      <c r="BP10" s="38" t="s">
        <v>170</v>
      </c>
      <c r="BQ10" s="38" t="s">
        <v>169</v>
      </c>
      <c r="BR10" s="38" t="s">
        <v>170</v>
      </c>
      <c r="BS10" s="38" t="s">
        <v>169</v>
      </c>
      <c r="BT10" s="38" t="s">
        <v>169</v>
      </c>
      <c r="BU10" s="38" t="s">
        <v>169</v>
      </c>
      <c r="BV10" s="38" t="s">
        <v>170</v>
      </c>
      <c r="BW10" s="38" t="s">
        <v>170</v>
      </c>
      <c r="BX10" s="38" t="s">
        <v>170</v>
      </c>
    </row>
    <row r="11" customFormat="false" ht="15" hidden="false" customHeight="true" outlineLevel="0" collapsed="false">
      <c r="A11" s="38" t="s">
        <v>165</v>
      </c>
      <c r="B11" s="38" t="s">
        <v>192</v>
      </c>
      <c r="C11" s="38" t="s">
        <v>190</v>
      </c>
      <c r="D11" s="38" t="s">
        <v>193</v>
      </c>
      <c r="E11" s="38" t="s">
        <v>169</v>
      </c>
      <c r="F11" s="38" t="s">
        <v>169</v>
      </c>
      <c r="G11" s="38" t="s">
        <v>169</v>
      </c>
      <c r="H11" s="38" t="s">
        <v>169</v>
      </c>
      <c r="I11" s="38" t="s">
        <v>170</v>
      </c>
      <c r="J11" s="38" t="s">
        <v>170</v>
      </c>
      <c r="K11" s="38" t="s">
        <v>169</v>
      </c>
      <c r="L11" s="38" t="s">
        <v>171</v>
      </c>
      <c r="M11" s="38" t="s">
        <v>170</v>
      </c>
      <c r="N11" s="38" t="s">
        <v>169</v>
      </c>
      <c r="O11" s="38" t="s">
        <v>171</v>
      </c>
      <c r="P11" s="38" t="s">
        <v>170</v>
      </c>
      <c r="Q11" s="38" t="s">
        <v>171</v>
      </c>
      <c r="R11" s="38" t="s">
        <v>172</v>
      </c>
      <c r="S11" s="38" t="s">
        <v>169</v>
      </c>
      <c r="T11" s="38" t="s">
        <v>170</v>
      </c>
      <c r="U11" s="38" t="s">
        <v>170</v>
      </c>
      <c r="V11" s="38" t="s">
        <v>169</v>
      </c>
      <c r="W11" s="38" t="s">
        <v>169</v>
      </c>
      <c r="X11" s="38" t="s">
        <v>170</v>
      </c>
      <c r="Y11" s="38" t="s">
        <v>172</v>
      </c>
      <c r="Z11" s="38" t="s">
        <v>169</v>
      </c>
      <c r="AA11" s="38" t="s">
        <v>169</v>
      </c>
      <c r="AB11" s="38" t="s">
        <v>172</v>
      </c>
      <c r="AC11" s="38" t="s">
        <v>171</v>
      </c>
      <c r="AD11" s="38" t="s">
        <v>169</v>
      </c>
      <c r="AE11" s="38" t="s">
        <v>170</v>
      </c>
      <c r="AF11" s="38" t="s">
        <v>170</v>
      </c>
      <c r="AG11" s="38" t="s">
        <v>172</v>
      </c>
      <c r="AH11" s="38" t="s">
        <v>169</v>
      </c>
      <c r="AI11" s="38" t="s">
        <v>170</v>
      </c>
      <c r="AJ11" s="38" t="s">
        <v>170</v>
      </c>
      <c r="AK11" s="38" t="s">
        <v>171</v>
      </c>
      <c r="AL11" s="38" t="s">
        <v>169</v>
      </c>
      <c r="AM11" s="38" t="s">
        <v>169</v>
      </c>
      <c r="AN11" s="38" t="s">
        <v>169</v>
      </c>
      <c r="AO11" s="38" t="s">
        <v>169</v>
      </c>
      <c r="AP11" s="38" t="s">
        <v>170</v>
      </c>
      <c r="AQ11" s="38" t="s">
        <v>169</v>
      </c>
      <c r="AR11" s="38" t="s">
        <v>170</v>
      </c>
      <c r="AS11" s="38" t="s">
        <v>171</v>
      </c>
      <c r="AT11" s="38" t="s">
        <v>169</v>
      </c>
      <c r="AU11" s="38" t="s">
        <v>169</v>
      </c>
      <c r="AV11" s="38" t="s">
        <v>171</v>
      </c>
      <c r="AW11" s="38" t="s">
        <v>169</v>
      </c>
      <c r="AX11" s="38" t="s">
        <v>169</v>
      </c>
      <c r="AY11" s="38" t="s">
        <v>171</v>
      </c>
      <c r="AZ11" s="38" t="s">
        <v>170</v>
      </c>
      <c r="BA11" s="38" t="s">
        <v>170</v>
      </c>
      <c r="BB11" s="38" t="s">
        <v>170</v>
      </c>
      <c r="BC11" s="38" t="s">
        <v>169</v>
      </c>
      <c r="BD11" s="38" t="s">
        <v>169</v>
      </c>
      <c r="BE11" s="38" t="s">
        <v>169</v>
      </c>
      <c r="BF11" s="38" t="s">
        <v>171</v>
      </c>
      <c r="BG11" s="38" t="s">
        <v>171</v>
      </c>
      <c r="BH11" s="38" t="s">
        <v>170</v>
      </c>
      <c r="BI11" s="38" t="s">
        <v>172</v>
      </c>
      <c r="BJ11" s="38" t="s">
        <v>172</v>
      </c>
      <c r="BK11" s="38" t="s">
        <v>172</v>
      </c>
      <c r="BL11" s="38" t="s">
        <v>171</v>
      </c>
      <c r="BM11" s="38" t="s">
        <v>170</v>
      </c>
      <c r="BN11" s="38" t="s">
        <v>170</v>
      </c>
      <c r="BO11" s="38" t="s">
        <v>170</v>
      </c>
      <c r="BP11" s="38" t="s">
        <v>169</v>
      </c>
      <c r="BQ11" s="38" t="s">
        <v>169</v>
      </c>
      <c r="BR11" s="38" t="s">
        <v>170</v>
      </c>
      <c r="BS11" s="38" t="s">
        <v>169</v>
      </c>
      <c r="BT11" s="38" t="s">
        <v>169</v>
      </c>
      <c r="BU11" s="38" t="s">
        <v>170</v>
      </c>
      <c r="BV11" s="38" t="s">
        <v>170</v>
      </c>
      <c r="BW11" s="38" t="s">
        <v>170</v>
      </c>
      <c r="BX11" s="38" t="s">
        <v>170</v>
      </c>
    </row>
    <row r="12" customFormat="false" ht="15" hidden="false" customHeight="true" outlineLevel="0" collapsed="false">
      <c r="A12" s="38" t="s">
        <v>165</v>
      </c>
      <c r="B12" s="38" t="s">
        <v>194</v>
      </c>
      <c r="C12" s="38" t="s">
        <v>195</v>
      </c>
      <c r="D12" s="38" t="s">
        <v>196</v>
      </c>
      <c r="E12" s="38" t="s">
        <v>169</v>
      </c>
      <c r="F12" s="38" t="s">
        <v>170</v>
      </c>
      <c r="G12" s="38" t="s">
        <v>170</v>
      </c>
      <c r="H12" s="38" t="s">
        <v>169</v>
      </c>
      <c r="I12" s="38" t="s">
        <v>170</v>
      </c>
      <c r="J12" s="38" t="s">
        <v>170</v>
      </c>
      <c r="K12" s="38" t="s">
        <v>169</v>
      </c>
      <c r="L12" s="38" t="s">
        <v>171</v>
      </c>
      <c r="M12" s="38" t="s">
        <v>172</v>
      </c>
      <c r="N12" s="38" t="s">
        <v>169</v>
      </c>
      <c r="O12" s="38" t="s">
        <v>170</v>
      </c>
      <c r="P12" s="38" t="s">
        <v>171</v>
      </c>
      <c r="Q12" s="38" t="s">
        <v>170</v>
      </c>
      <c r="R12" s="38" t="s">
        <v>172</v>
      </c>
      <c r="S12" s="38" t="s">
        <v>169</v>
      </c>
      <c r="T12" s="40" t="s">
        <v>176</v>
      </c>
      <c r="U12" s="38" t="s">
        <v>170</v>
      </c>
      <c r="V12" s="38" t="s">
        <v>169</v>
      </c>
      <c r="W12" s="38" t="s">
        <v>169</v>
      </c>
      <c r="X12" s="38" t="s">
        <v>171</v>
      </c>
      <c r="Y12" s="38" t="s">
        <v>172</v>
      </c>
      <c r="Z12" s="38" t="s">
        <v>169</v>
      </c>
      <c r="AA12" s="38" t="s">
        <v>172</v>
      </c>
      <c r="AB12" s="38" t="s">
        <v>169</v>
      </c>
      <c r="AC12" s="38" t="s">
        <v>170</v>
      </c>
      <c r="AD12" s="38" t="s">
        <v>169</v>
      </c>
      <c r="AE12" s="38" t="s">
        <v>170</v>
      </c>
      <c r="AF12" s="38" t="s">
        <v>170</v>
      </c>
      <c r="AG12" s="38" t="s">
        <v>169</v>
      </c>
      <c r="AH12" s="38" t="s">
        <v>169</v>
      </c>
      <c r="AI12" s="38" t="s">
        <v>170</v>
      </c>
      <c r="AJ12" s="38" t="s">
        <v>170</v>
      </c>
      <c r="AK12" s="38" t="s">
        <v>171</v>
      </c>
      <c r="AL12" s="38" t="s">
        <v>170</v>
      </c>
      <c r="AM12" s="38" t="s">
        <v>169</v>
      </c>
      <c r="AN12" s="38" t="s">
        <v>171</v>
      </c>
      <c r="AO12" s="38" t="s">
        <v>172</v>
      </c>
      <c r="AP12" s="38" t="s">
        <v>172</v>
      </c>
      <c r="AQ12" s="38" t="s">
        <v>169</v>
      </c>
      <c r="AR12" s="38" t="s">
        <v>170</v>
      </c>
      <c r="AS12" s="38" t="s">
        <v>170</v>
      </c>
      <c r="AT12" s="38" t="s">
        <v>169</v>
      </c>
      <c r="AU12" s="38" t="s">
        <v>169</v>
      </c>
      <c r="AV12" s="38" t="s">
        <v>171</v>
      </c>
      <c r="AW12" s="38" t="s">
        <v>169</v>
      </c>
      <c r="AX12" s="38" t="s">
        <v>169</v>
      </c>
      <c r="AY12" s="38" t="s">
        <v>171</v>
      </c>
      <c r="AZ12" s="38" t="s">
        <v>170</v>
      </c>
      <c r="BA12" s="38" t="s">
        <v>169</v>
      </c>
      <c r="BB12" s="38" t="s">
        <v>170</v>
      </c>
      <c r="BC12" s="38" t="s">
        <v>169</v>
      </c>
      <c r="BD12" s="38" t="s">
        <v>169</v>
      </c>
      <c r="BE12" s="38" t="s">
        <v>169</v>
      </c>
      <c r="BF12" s="38" t="s">
        <v>171</v>
      </c>
      <c r="BG12" s="38" t="s">
        <v>171</v>
      </c>
      <c r="BH12" s="38" t="s">
        <v>170</v>
      </c>
      <c r="BI12" s="38" t="s">
        <v>169</v>
      </c>
      <c r="BJ12" s="38" t="s">
        <v>172</v>
      </c>
      <c r="BK12" s="38" t="s">
        <v>172</v>
      </c>
      <c r="BL12" s="38" t="s">
        <v>171</v>
      </c>
      <c r="BM12" s="38" t="s">
        <v>170</v>
      </c>
      <c r="BN12" s="38" t="s">
        <v>170</v>
      </c>
      <c r="BO12" s="38" t="s">
        <v>170</v>
      </c>
      <c r="BP12" s="38" t="s">
        <v>169</v>
      </c>
      <c r="BQ12" s="38" t="s">
        <v>170</v>
      </c>
      <c r="BR12" s="38" t="s">
        <v>170</v>
      </c>
      <c r="BS12" s="38" t="s">
        <v>169</v>
      </c>
      <c r="BT12" s="38" t="s">
        <v>169</v>
      </c>
      <c r="BU12" s="38" t="s">
        <v>170</v>
      </c>
      <c r="BV12" s="38" t="s">
        <v>169</v>
      </c>
      <c r="BW12" s="38" t="s">
        <v>169</v>
      </c>
      <c r="BX12" s="38" t="s">
        <v>170</v>
      </c>
    </row>
    <row r="13" customFormat="false" ht="15" hidden="false" customHeight="true" outlineLevel="0" collapsed="false">
      <c r="A13" s="38" t="s">
        <v>165</v>
      </c>
      <c r="B13" s="38" t="s">
        <v>197</v>
      </c>
      <c r="C13" s="38" t="s">
        <v>198</v>
      </c>
      <c r="D13" s="38" t="s">
        <v>199</v>
      </c>
      <c r="E13" s="38" t="s">
        <v>170</v>
      </c>
      <c r="F13" s="38" t="s">
        <v>170</v>
      </c>
      <c r="G13" s="38" t="s">
        <v>170</v>
      </c>
      <c r="H13" s="38" t="s">
        <v>169</v>
      </c>
      <c r="I13" s="38" t="s">
        <v>170</v>
      </c>
      <c r="J13" s="38" t="s">
        <v>170</v>
      </c>
      <c r="K13" s="38" t="s">
        <v>169</v>
      </c>
      <c r="L13" s="38" t="s">
        <v>171</v>
      </c>
      <c r="M13" s="38" t="s">
        <v>172</v>
      </c>
      <c r="N13" s="38" t="s">
        <v>169</v>
      </c>
      <c r="O13" s="38" t="s">
        <v>170</v>
      </c>
      <c r="P13" s="38" t="s">
        <v>171</v>
      </c>
      <c r="Q13" s="38" t="s">
        <v>170</v>
      </c>
      <c r="R13" s="38" t="s">
        <v>172</v>
      </c>
      <c r="S13" s="38" t="s">
        <v>169</v>
      </c>
      <c r="T13" s="40" t="s">
        <v>176</v>
      </c>
      <c r="U13" s="38" t="s">
        <v>170</v>
      </c>
      <c r="V13" s="38" t="s">
        <v>169</v>
      </c>
      <c r="W13" s="38" t="s">
        <v>169</v>
      </c>
      <c r="X13" s="38" t="s">
        <v>170</v>
      </c>
      <c r="Y13" s="38" t="s">
        <v>172</v>
      </c>
      <c r="Z13" s="38" t="s">
        <v>169</v>
      </c>
      <c r="AA13" s="38" t="s">
        <v>172</v>
      </c>
      <c r="AB13" s="38" t="s">
        <v>169</v>
      </c>
      <c r="AC13" s="38" t="s">
        <v>170</v>
      </c>
      <c r="AD13" s="38" t="s">
        <v>169</v>
      </c>
      <c r="AE13" s="38" t="s">
        <v>170</v>
      </c>
      <c r="AF13" s="38" t="s">
        <v>170</v>
      </c>
      <c r="AG13" s="38" t="s">
        <v>170</v>
      </c>
      <c r="AH13" s="38" t="s">
        <v>169</v>
      </c>
      <c r="AI13" s="38" t="s">
        <v>169</v>
      </c>
      <c r="AJ13" s="38" t="s">
        <v>170</v>
      </c>
      <c r="AK13" s="38" t="s">
        <v>171</v>
      </c>
      <c r="AL13" s="38" t="s">
        <v>169</v>
      </c>
      <c r="AM13" s="38" t="s">
        <v>171</v>
      </c>
      <c r="AN13" s="38" t="s">
        <v>172</v>
      </c>
      <c r="AO13" s="38" t="s">
        <v>170</v>
      </c>
      <c r="AP13" s="38" t="s">
        <v>172</v>
      </c>
      <c r="AQ13" s="38" t="s">
        <v>170</v>
      </c>
      <c r="AR13" s="38" t="s">
        <v>170</v>
      </c>
      <c r="AS13" s="38" t="s">
        <v>169</v>
      </c>
      <c r="AT13" s="38" t="s">
        <v>169</v>
      </c>
      <c r="AU13" s="38" t="s">
        <v>169</v>
      </c>
      <c r="AV13" s="38" t="s">
        <v>171</v>
      </c>
      <c r="AW13" s="38" t="s">
        <v>169</v>
      </c>
      <c r="AX13" s="38" t="s">
        <v>169</v>
      </c>
      <c r="AY13" s="38" t="s">
        <v>171</v>
      </c>
      <c r="AZ13" s="38" t="s">
        <v>170</v>
      </c>
      <c r="BA13" s="38" t="s">
        <v>170</v>
      </c>
      <c r="BB13" s="38" t="s">
        <v>169</v>
      </c>
      <c r="BC13" s="38" t="s">
        <v>169</v>
      </c>
      <c r="BD13" s="38" t="s">
        <v>169</v>
      </c>
      <c r="BE13" s="38" t="s">
        <v>169</v>
      </c>
      <c r="BF13" s="38" t="s">
        <v>171</v>
      </c>
      <c r="BG13" s="38" t="s">
        <v>171</v>
      </c>
      <c r="BH13" s="38" t="s">
        <v>170</v>
      </c>
      <c r="BI13" s="38" t="s">
        <v>169</v>
      </c>
      <c r="BJ13" s="38" t="s">
        <v>172</v>
      </c>
      <c r="BK13" s="38" t="s">
        <v>172</v>
      </c>
      <c r="BL13" s="38" t="s">
        <v>171</v>
      </c>
      <c r="BM13" s="38" t="s">
        <v>170</v>
      </c>
      <c r="BN13" s="38" t="s">
        <v>170</v>
      </c>
      <c r="BO13" s="38" t="s">
        <v>170</v>
      </c>
      <c r="BP13" s="38" t="s">
        <v>170</v>
      </c>
      <c r="BQ13" s="38" t="s">
        <v>169</v>
      </c>
      <c r="BR13" s="38" t="s">
        <v>170</v>
      </c>
      <c r="BS13" s="38" t="s">
        <v>169</v>
      </c>
      <c r="BT13" s="38" t="s">
        <v>169</v>
      </c>
      <c r="BU13" s="38" t="s">
        <v>170</v>
      </c>
      <c r="BV13" s="38" t="s">
        <v>169</v>
      </c>
      <c r="BW13" s="38" t="s">
        <v>169</v>
      </c>
      <c r="BX13" s="38" t="s">
        <v>169</v>
      </c>
    </row>
    <row r="14" customFormat="false" ht="15" hidden="false" customHeight="true" outlineLevel="0" collapsed="false">
      <c r="A14" s="38" t="s">
        <v>200</v>
      </c>
      <c r="B14" s="38" t="s">
        <v>201</v>
      </c>
      <c r="C14" s="38" t="s">
        <v>202</v>
      </c>
      <c r="D14" s="38" t="s">
        <v>203</v>
      </c>
      <c r="E14" s="38" t="s">
        <v>169</v>
      </c>
      <c r="F14" s="38" t="s">
        <v>169</v>
      </c>
      <c r="G14" s="38" t="s">
        <v>169</v>
      </c>
      <c r="H14" s="38" t="s">
        <v>169</v>
      </c>
      <c r="I14" s="38" t="s">
        <v>170</v>
      </c>
      <c r="J14" s="38" t="s">
        <v>171</v>
      </c>
      <c r="K14" s="38" t="s">
        <v>172</v>
      </c>
      <c r="L14" s="38" t="s">
        <v>171</v>
      </c>
      <c r="M14" s="38" t="s">
        <v>172</v>
      </c>
      <c r="N14" s="38" t="s">
        <v>169</v>
      </c>
      <c r="O14" s="38" t="s">
        <v>170</v>
      </c>
      <c r="P14" s="38" t="s">
        <v>171</v>
      </c>
      <c r="Q14" s="38" t="s">
        <v>170</v>
      </c>
      <c r="R14" s="38" t="s">
        <v>172</v>
      </c>
      <c r="S14" s="38" t="s">
        <v>169</v>
      </c>
      <c r="T14" s="38" t="s">
        <v>170</v>
      </c>
      <c r="U14" s="38" t="s">
        <v>171</v>
      </c>
      <c r="V14" s="38" t="s">
        <v>169</v>
      </c>
      <c r="W14" s="38" t="s">
        <v>169</v>
      </c>
      <c r="X14" s="38" t="s">
        <v>169</v>
      </c>
      <c r="Y14" s="38" t="s">
        <v>172</v>
      </c>
      <c r="Z14" s="38" t="s">
        <v>169</v>
      </c>
      <c r="AA14" s="38" t="s">
        <v>172</v>
      </c>
      <c r="AB14" s="38" t="s">
        <v>169</v>
      </c>
      <c r="AC14" s="38" t="s">
        <v>170</v>
      </c>
      <c r="AD14" s="38" t="s">
        <v>169</v>
      </c>
      <c r="AE14" s="38" t="s">
        <v>170</v>
      </c>
      <c r="AF14" s="38" t="s">
        <v>171</v>
      </c>
      <c r="AG14" s="38" t="s">
        <v>171</v>
      </c>
      <c r="AH14" s="38" t="s">
        <v>169</v>
      </c>
      <c r="AI14" s="38" t="s">
        <v>170</v>
      </c>
      <c r="AJ14" s="38" t="s">
        <v>172</v>
      </c>
      <c r="AK14" s="38" t="s">
        <v>171</v>
      </c>
      <c r="AL14" s="38" t="s">
        <v>169</v>
      </c>
      <c r="AM14" s="38" t="s">
        <v>169</v>
      </c>
      <c r="AN14" s="38" t="s">
        <v>170</v>
      </c>
      <c r="AO14" s="38" t="s">
        <v>172</v>
      </c>
      <c r="AP14" s="38" t="s">
        <v>171</v>
      </c>
      <c r="AQ14" s="38" t="s">
        <v>169</v>
      </c>
      <c r="AR14" s="38" t="s">
        <v>170</v>
      </c>
      <c r="AS14" s="38" t="s">
        <v>172</v>
      </c>
      <c r="AT14" s="38" t="s">
        <v>172</v>
      </c>
      <c r="AU14" s="38" t="s">
        <v>169</v>
      </c>
      <c r="AV14" s="38" t="s">
        <v>172</v>
      </c>
      <c r="AW14" s="38" t="s">
        <v>169</v>
      </c>
      <c r="AX14" s="38" t="s">
        <v>169</v>
      </c>
      <c r="AY14" s="38" t="s">
        <v>171</v>
      </c>
      <c r="AZ14" s="38" t="s">
        <v>170</v>
      </c>
      <c r="BA14" s="38" t="s">
        <v>172</v>
      </c>
      <c r="BB14" s="38" t="s">
        <v>169</v>
      </c>
      <c r="BC14" s="38" t="s">
        <v>170</v>
      </c>
      <c r="BD14" s="38" t="s">
        <v>169</v>
      </c>
      <c r="BE14" s="38" t="s">
        <v>169</v>
      </c>
      <c r="BF14" s="38" t="s">
        <v>171</v>
      </c>
      <c r="BG14" s="38" t="s">
        <v>171</v>
      </c>
      <c r="BH14" s="38" t="s">
        <v>170</v>
      </c>
      <c r="BI14" s="38" t="s">
        <v>169</v>
      </c>
      <c r="BJ14" s="38" t="s">
        <v>172</v>
      </c>
      <c r="BK14" s="38" t="s">
        <v>171</v>
      </c>
      <c r="BL14" s="38" t="s">
        <v>170</v>
      </c>
      <c r="BM14" s="38" t="s">
        <v>170</v>
      </c>
      <c r="BN14" s="38" t="s">
        <v>170</v>
      </c>
      <c r="BO14" s="38" t="s">
        <v>169</v>
      </c>
      <c r="BP14" s="38" t="s">
        <v>170</v>
      </c>
      <c r="BQ14" s="38" t="s">
        <v>171</v>
      </c>
      <c r="BR14" s="38" t="s">
        <v>171</v>
      </c>
      <c r="BS14" s="38" t="s">
        <v>172</v>
      </c>
      <c r="BT14" s="38" t="s">
        <v>169</v>
      </c>
      <c r="BU14" s="38" t="s">
        <v>170</v>
      </c>
      <c r="BV14" s="38" t="s">
        <v>171</v>
      </c>
      <c r="BW14" s="38" t="s">
        <v>170</v>
      </c>
      <c r="BX14" s="38" t="s">
        <v>170</v>
      </c>
    </row>
    <row r="15" customFormat="false" ht="15" hidden="false" customHeight="true" outlineLevel="0" collapsed="false">
      <c r="A15" s="38" t="s">
        <v>200</v>
      </c>
      <c r="B15" s="38" t="s">
        <v>204</v>
      </c>
      <c r="C15" s="38" t="s">
        <v>205</v>
      </c>
      <c r="D15" s="38" t="s">
        <v>206</v>
      </c>
      <c r="E15" s="38" t="s">
        <v>169</v>
      </c>
      <c r="F15" s="38" t="s">
        <v>170</v>
      </c>
      <c r="G15" s="38" t="s">
        <v>169</v>
      </c>
      <c r="H15" s="38" t="s">
        <v>170</v>
      </c>
      <c r="I15" s="38" t="s">
        <v>170</v>
      </c>
      <c r="J15" s="38" t="s">
        <v>170</v>
      </c>
      <c r="K15" s="38" t="s">
        <v>169</v>
      </c>
      <c r="L15" s="38" t="s">
        <v>171</v>
      </c>
      <c r="M15" s="38" t="s">
        <v>172</v>
      </c>
      <c r="N15" s="38" t="s">
        <v>169</v>
      </c>
      <c r="O15" s="38" t="s">
        <v>170</v>
      </c>
      <c r="P15" s="38" t="s">
        <v>171</v>
      </c>
      <c r="Q15" s="38" t="s">
        <v>170</v>
      </c>
      <c r="R15" s="38" t="s">
        <v>172</v>
      </c>
      <c r="S15" s="38" t="s">
        <v>169</v>
      </c>
      <c r="T15" s="38" t="s">
        <v>170</v>
      </c>
      <c r="U15" s="38" t="s">
        <v>171</v>
      </c>
      <c r="V15" s="38" t="s">
        <v>169</v>
      </c>
      <c r="W15" s="38" t="s">
        <v>169</v>
      </c>
      <c r="X15" s="38" t="s">
        <v>172</v>
      </c>
      <c r="Y15" s="38" t="s">
        <v>172</v>
      </c>
      <c r="Z15" s="38" t="s">
        <v>169</v>
      </c>
      <c r="AA15" s="38" t="s">
        <v>172</v>
      </c>
      <c r="AB15" s="38" t="s">
        <v>169</v>
      </c>
      <c r="AC15" s="38" t="s">
        <v>170</v>
      </c>
      <c r="AD15" s="38" t="s">
        <v>169</v>
      </c>
      <c r="AE15" s="38" t="s">
        <v>170</v>
      </c>
      <c r="AF15" s="38" t="s">
        <v>171</v>
      </c>
      <c r="AG15" s="38" t="s">
        <v>169</v>
      </c>
      <c r="AH15" s="38" t="s">
        <v>170</v>
      </c>
      <c r="AI15" s="38" t="s">
        <v>170</v>
      </c>
      <c r="AJ15" s="38" t="s">
        <v>170</v>
      </c>
      <c r="AK15" s="38" t="s">
        <v>171</v>
      </c>
      <c r="AL15" s="38" t="s">
        <v>170</v>
      </c>
      <c r="AM15" s="38" t="s">
        <v>170</v>
      </c>
      <c r="AN15" s="38" t="s">
        <v>169</v>
      </c>
      <c r="AO15" s="38" t="s">
        <v>169</v>
      </c>
      <c r="AP15" s="38" t="s">
        <v>172</v>
      </c>
      <c r="AQ15" s="38" t="s">
        <v>169</v>
      </c>
      <c r="AR15" s="38" t="s">
        <v>169</v>
      </c>
      <c r="AS15" s="38" t="s">
        <v>170</v>
      </c>
      <c r="AT15" s="38" t="s">
        <v>172</v>
      </c>
      <c r="AU15" s="38" t="s">
        <v>169</v>
      </c>
      <c r="AV15" s="38" t="s">
        <v>172</v>
      </c>
      <c r="AW15" s="38" t="s">
        <v>169</v>
      </c>
      <c r="AX15" s="38" t="s">
        <v>169</v>
      </c>
      <c r="AY15" s="38" t="s">
        <v>171</v>
      </c>
      <c r="AZ15" s="38" t="s">
        <v>170</v>
      </c>
      <c r="BA15" s="38" t="s">
        <v>171</v>
      </c>
      <c r="BB15" s="38" t="s">
        <v>170</v>
      </c>
      <c r="BC15" s="38" t="s">
        <v>172</v>
      </c>
      <c r="BD15" s="38" t="s">
        <v>169</v>
      </c>
      <c r="BE15" s="38" t="s">
        <v>169</v>
      </c>
      <c r="BF15" s="38" t="s">
        <v>171</v>
      </c>
      <c r="BG15" s="38" t="s">
        <v>171</v>
      </c>
      <c r="BH15" s="38" t="s">
        <v>170</v>
      </c>
      <c r="BI15" s="38" t="s">
        <v>169</v>
      </c>
      <c r="BJ15" s="38" t="s">
        <v>172</v>
      </c>
      <c r="BK15" s="38" t="s">
        <v>172</v>
      </c>
      <c r="BL15" s="38" t="s">
        <v>171</v>
      </c>
      <c r="BM15" s="38" t="s">
        <v>170</v>
      </c>
      <c r="BN15" s="38" t="s">
        <v>170</v>
      </c>
      <c r="BO15" s="38" t="s">
        <v>171</v>
      </c>
      <c r="BP15" s="38" t="s">
        <v>169</v>
      </c>
      <c r="BQ15" s="38" t="s">
        <v>171</v>
      </c>
      <c r="BR15" s="38" t="s">
        <v>170</v>
      </c>
      <c r="BS15" s="38" t="s">
        <v>169</v>
      </c>
      <c r="BT15" s="38" t="s">
        <v>169</v>
      </c>
      <c r="BU15" s="38" t="s">
        <v>169</v>
      </c>
      <c r="BV15" s="38" t="s">
        <v>170</v>
      </c>
      <c r="BW15" s="38" t="s">
        <v>169</v>
      </c>
      <c r="BX15" s="38" t="s">
        <v>170</v>
      </c>
    </row>
    <row r="16" customFormat="false" ht="15" hidden="false" customHeight="true" outlineLevel="0" collapsed="false">
      <c r="A16" s="38" t="s">
        <v>200</v>
      </c>
      <c r="B16" s="38" t="s">
        <v>207</v>
      </c>
      <c r="C16" s="38" t="s">
        <v>208</v>
      </c>
      <c r="D16" s="38" t="s">
        <v>209</v>
      </c>
      <c r="E16" s="38" t="s">
        <v>171</v>
      </c>
      <c r="F16" s="38" t="s">
        <v>169</v>
      </c>
      <c r="G16" s="38" t="s">
        <v>169</v>
      </c>
      <c r="H16" s="38" t="s">
        <v>169</v>
      </c>
      <c r="I16" s="38" t="s">
        <v>169</v>
      </c>
      <c r="J16" s="38" t="s">
        <v>171</v>
      </c>
      <c r="K16" s="38" t="s">
        <v>172</v>
      </c>
      <c r="L16" s="38" t="s">
        <v>171</v>
      </c>
      <c r="M16" s="38" t="s">
        <v>170</v>
      </c>
      <c r="N16" s="38" t="s">
        <v>169</v>
      </c>
      <c r="O16" s="38" t="s">
        <v>170</v>
      </c>
      <c r="P16" s="38" t="s">
        <v>170</v>
      </c>
      <c r="Q16" s="38" t="s">
        <v>172</v>
      </c>
      <c r="R16" s="38" t="s">
        <v>172</v>
      </c>
      <c r="S16" s="38" t="s">
        <v>169</v>
      </c>
      <c r="T16" s="40" t="s">
        <v>176</v>
      </c>
      <c r="U16" s="38" t="s">
        <v>170</v>
      </c>
      <c r="V16" s="38" t="s">
        <v>169</v>
      </c>
      <c r="W16" s="38" t="s">
        <v>169</v>
      </c>
      <c r="X16" s="38" t="s">
        <v>171</v>
      </c>
      <c r="Y16" s="38" t="s">
        <v>172</v>
      </c>
      <c r="Z16" s="38" t="s">
        <v>172</v>
      </c>
      <c r="AA16" s="38" t="s">
        <v>169</v>
      </c>
      <c r="AB16" s="38" t="s">
        <v>169</v>
      </c>
      <c r="AC16" s="38" t="s">
        <v>170</v>
      </c>
      <c r="AD16" s="38" t="s">
        <v>172</v>
      </c>
      <c r="AE16" s="38" t="s">
        <v>170</v>
      </c>
      <c r="AF16" s="38" t="s">
        <v>170</v>
      </c>
      <c r="AG16" s="38" t="s">
        <v>169</v>
      </c>
      <c r="AH16" s="38" t="s">
        <v>169</v>
      </c>
      <c r="AI16" s="38" t="s">
        <v>172</v>
      </c>
      <c r="AJ16" s="38" t="s">
        <v>171</v>
      </c>
      <c r="AK16" s="38" t="s">
        <v>171</v>
      </c>
      <c r="AL16" s="38" t="s">
        <v>170</v>
      </c>
      <c r="AM16" s="38" t="s">
        <v>171</v>
      </c>
      <c r="AN16" s="38" t="s">
        <v>169</v>
      </c>
      <c r="AO16" s="38" t="s">
        <v>172</v>
      </c>
      <c r="AP16" s="38" t="s">
        <v>171</v>
      </c>
      <c r="AQ16" s="38" t="s">
        <v>171</v>
      </c>
      <c r="AR16" s="38" t="s">
        <v>170</v>
      </c>
      <c r="AS16" s="38" t="s">
        <v>170</v>
      </c>
      <c r="AT16" s="38" t="s">
        <v>169</v>
      </c>
      <c r="AU16" s="38" t="s">
        <v>169</v>
      </c>
      <c r="AV16" s="38" t="s">
        <v>170</v>
      </c>
      <c r="AW16" s="38" t="s">
        <v>172</v>
      </c>
      <c r="AX16" s="38" t="s">
        <v>171</v>
      </c>
      <c r="AY16" s="38" t="s">
        <v>171</v>
      </c>
      <c r="AZ16" s="38" t="s">
        <v>170</v>
      </c>
      <c r="BA16" s="38" t="s">
        <v>170</v>
      </c>
      <c r="BB16" s="38" t="s">
        <v>169</v>
      </c>
      <c r="BC16" s="38" t="s">
        <v>172</v>
      </c>
      <c r="BD16" s="38" t="s">
        <v>169</v>
      </c>
      <c r="BE16" s="38" t="s">
        <v>169</v>
      </c>
      <c r="BF16" s="38" t="s">
        <v>171</v>
      </c>
      <c r="BG16" s="38" t="s">
        <v>171</v>
      </c>
      <c r="BH16" s="38" t="s">
        <v>170</v>
      </c>
      <c r="BI16" s="38" t="s">
        <v>169</v>
      </c>
      <c r="BJ16" s="38" t="s">
        <v>172</v>
      </c>
      <c r="BK16" s="38" t="s">
        <v>172</v>
      </c>
      <c r="BL16" s="38" t="s">
        <v>171</v>
      </c>
      <c r="BM16" s="38" t="s">
        <v>170</v>
      </c>
      <c r="BN16" s="38" t="s">
        <v>170</v>
      </c>
      <c r="BO16" s="38" t="s">
        <v>171</v>
      </c>
      <c r="BP16" s="38" t="s">
        <v>170</v>
      </c>
      <c r="BQ16" s="38" t="s">
        <v>169</v>
      </c>
      <c r="BR16" s="38" t="s">
        <v>171</v>
      </c>
      <c r="BS16" s="38" t="s">
        <v>172</v>
      </c>
      <c r="BT16" s="38" t="s">
        <v>170</v>
      </c>
      <c r="BU16" s="38" t="s">
        <v>170</v>
      </c>
      <c r="BV16" s="38" t="s">
        <v>170</v>
      </c>
      <c r="BW16" s="38" t="s">
        <v>170</v>
      </c>
      <c r="BX16" s="38" t="s">
        <v>172</v>
      </c>
    </row>
    <row r="17" customFormat="false" ht="15" hidden="false" customHeight="true" outlineLevel="0" collapsed="false">
      <c r="A17" s="38" t="s">
        <v>200</v>
      </c>
      <c r="B17" s="38" t="s">
        <v>210</v>
      </c>
      <c r="C17" s="38" t="s">
        <v>211</v>
      </c>
      <c r="D17" s="38" t="s">
        <v>212</v>
      </c>
      <c r="E17" s="38" t="s">
        <v>169</v>
      </c>
      <c r="F17" s="38" t="s">
        <v>170</v>
      </c>
      <c r="G17" s="38" t="s">
        <v>169</v>
      </c>
      <c r="H17" s="38" t="s">
        <v>169</v>
      </c>
      <c r="I17" s="38" t="s">
        <v>169</v>
      </c>
      <c r="J17" s="38" t="s">
        <v>170</v>
      </c>
      <c r="K17" s="38" t="s">
        <v>169</v>
      </c>
      <c r="L17" s="38" t="s">
        <v>171</v>
      </c>
      <c r="M17" s="38" t="s">
        <v>172</v>
      </c>
      <c r="N17" s="38" t="s">
        <v>169</v>
      </c>
      <c r="O17" s="38" t="s">
        <v>171</v>
      </c>
      <c r="P17" s="38" t="s">
        <v>171</v>
      </c>
      <c r="Q17" s="38" t="s">
        <v>170</v>
      </c>
      <c r="R17" s="38" t="s">
        <v>172</v>
      </c>
      <c r="S17" s="38" t="s">
        <v>172</v>
      </c>
      <c r="T17" s="40" t="s">
        <v>176</v>
      </c>
      <c r="U17" s="38" t="s">
        <v>171</v>
      </c>
      <c r="V17" s="38" t="s">
        <v>169</v>
      </c>
      <c r="W17" s="38" t="s">
        <v>169</v>
      </c>
      <c r="X17" s="38" t="s">
        <v>171</v>
      </c>
      <c r="Y17" s="38" t="s">
        <v>172</v>
      </c>
      <c r="Z17" s="38" t="s">
        <v>169</v>
      </c>
      <c r="AA17" s="38" t="s">
        <v>172</v>
      </c>
      <c r="AB17" s="38" t="s">
        <v>172</v>
      </c>
      <c r="AC17" s="38" t="s">
        <v>170</v>
      </c>
      <c r="AD17" s="38" t="s">
        <v>169</v>
      </c>
      <c r="AE17" s="38" t="s">
        <v>172</v>
      </c>
      <c r="AF17" s="38" t="s">
        <v>169</v>
      </c>
      <c r="AG17" s="38" t="s">
        <v>172</v>
      </c>
      <c r="AH17" s="38" t="s">
        <v>169</v>
      </c>
      <c r="AI17" s="38" t="s">
        <v>170</v>
      </c>
      <c r="AJ17" s="38" t="s">
        <v>171</v>
      </c>
      <c r="AK17" s="38" t="s">
        <v>171</v>
      </c>
      <c r="AL17" s="38" t="s">
        <v>170</v>
      </c>
      <c r="AM17" s="38" t="s">
        <v>170</v>
      </c>
      <c r="AN17" s="38" t="s">
        <v>170</v>
      </c>
      <c r="AO17" s="38" t="s">
        <v>172</v>
      </c>
      <c r="AP17" s="38" t="s">
        <v>172</v>
      </c>
      <c r="AQ17" s="38" t="s">
        <v>169</v>
      </c>
      <c r="AR17" s="38" t="s">
        <v>170</v>
      </c>
      <c r="AS17" s="38" t="s">
        <v>171</v>
      </c>
      <c r="AT17" s="38" t="s">
        <v>170</v>
      </c>
      <c r="AU17" s="38" t="s">
        <v>171</v>
      </c>
      <c r="AV17" s="38" t="s">
        <v>172</v>
      </c>
      <c r="AW17" s="38" t="s">
        <v>171</v>
      </c>
      <c r="AX17" s="40" t="s">
        <v>176</v>
      </c>
      <c r="AY17" s="38" t="s">
        <v>172</v>
      </c>
      <c r="AZ17" s="38" t="s">
        <v>170</v>
      </c>
      <c r="BA17" s="38" t="s">
        <v>169</v>
      </c>
      <c r="BB17" s="38" t="s">
        <v>172</v>
      </c>
      <c r="BC17" s="38" t="s">
        <v>169</v>
      </c>
      <c r="BD17" s="38" t="s">
        <v>169</v>
      </c>
      <c r="BE17" s="38" t="s">
        <v>169</v>
      </c>
      <c r="BF17" s="38" t="s">
        <v>171</v>
      </c>
      <c r="BG17" s="38" t="s">
        <v>171</v>
      </c>
      <c r="BH17" s="38" t="s">
        <v>170</v>
      </c>
      <c r="BI17" s="38" t="s">
        <v>169</v>
      </c>
      <c r="BJ17" s="38" t="s">
        <v>172</v>
      </c>
      <c r="BK17" s="38" t="s">
        <v>171</v>
      </c>
      <c r="BL17" s="38" t="s">
        <v>171</v>
      </c>
      <c r="BM17" s="38" t="s">
        <v>170</v>
      </c>
      <c r="BN17" s="38" t="s">
        <v>170</v>
      </c>
      <c r="BO17" s="38" t="s">
        <v>170</v>
      </c>
      <c r="BP17" s="38" t="s">
        <v>171</v>
      </c>
      <c r="BQ17" s="38" t="s">
        <v>171</v>
      </c>
      <c r="BR17" s="38" t="s">
        <v>170</v>
      </c>
      <c r="BS17" s="38" t="s">
        <v>169</v>
      </c>
      <c r="BT17" s="38" t="s">
        <v>170</v>
      </c>
      <c r="BU17" s="38" t="s">
        <v>170</v>
      </c>
      <c r="BV17" s="38" t="s">
        <v>170</v>
      </c>
      <c r="BW17" s="38" t="s">
        <v>169</v>
      </c>
      <c r="BX17" s="38" t="s">
        <v>170</v>
      </c>
    </row>
    <row r="18" customFormat="false" ht="15" hidden="false" customHeight="true" outlineLevel="0" collapsed="false">
      <c r="A18" s="38" t="s">
        <v>200</v>
      </c>
      <c r="B18" s="38" t="s">
        <v>213</v>
      </c>
      <c r="C18" s="38" t="s">
        <v>211</v>
      </c>
      <c r="D18" s="38" t="s">
        <v>214</v>
      </c>
      <c r="E18" s="38" t="s">
        <v>169</v>
      </c>
      <c r="F18" s="38" t="s">
        <v>170</v>
      </c>
      <c r="G18" s="38" t="s">
        <v>169</v>
      </c>
      <c r="H18" s="38" t="s">
        <v>169</v>
      </c>
      <c r="I18" s="38" t="s">
        <v>169</v>
      </c>
      <c r="J18" s="38" t="s">
        <v>172</v>
      </c>
      <c r="K18" s="38" t="s">
        <v>172</v>
      </c>
      <c r="L18" s="38" t="s">
        <v>171</v>
      </c>
      <c r="M18" s="38" t="s">
        <v>172</v>
      </c>
      <c r="N18" s="38" t="s">
        <v>169</v>
      </c>
      <c r="O18" s="38" t="s">
        <v>170</v>
      </c>
      <c r="P18" s="38" t="s">
        <v>171</v>
      </c>
      <c r="Q18" s="38" t="s">
        <v>170</v>
      </c>
      <c r="R18" s="38" t="s">
        <v>172</v>
      </c>
      <c r="S18" s="38" t="s">
        <v>169</v>
      </c>
      <c r="T18" s="38" t="s">
        <v>171</v>
      </c>
      <c r="U18" s="38" t="s">
        <v>171</v>
      </c>
      <c r="V18" s="38" t="s">
        <v>169</v>
      </c>
      <c r="W18" s="38" t="s">
        <v>169</v>
      </c>
      <c r="X18" s="38" t="s">
        <v>171</v>
      </c>
      <c r="Y18" s="38" t="s">
        <v>172</v>
      </c>
      <c r="Z18" s="38" t="s">
        <v>169</v>
      </c>
      <c r="AA18" s="38" t="s">
        <v>172</v>
      </c>
      <c r="AB18" s="38" t="s">
        <v>169</v>
      </c>
      <c r="AC18" s="38" t="s">
        <v>170</v>
      </c>
      <c r="AD18" s="38" t="s">
        <v>172</v>
      </c>
      <c r="AE18" s="38" t="s">
        <v>170</v>
      </c>
      <c r="AF18" s="38" t="s">
        <v>169</v>
      </c>
      <c r="AG18" s="38" t="s">
        <v>172</v>
      </c>
      <c r="AH18" s="38" t="s">
        <v>170</v>
      </c>
      <c r="AI18" s="38" t="s">
        <v>170</v>
      </c>
      <c r="AJ18" s="38" t="s">
        <v>171</v>
      </c>
      <c r="AK18" s="38" t="s">
        <v>171</v>
      </c>
      <c r="AL18" s="38" t="s">
        <v>169</v>
      </c>
      <c r="AM18" s="38" t="s">
        <v>170</v>
      </c>
      <c r="AN18" s="38" t="s">
        <v>170</v>
      </c>
      <c r="AO18" s="38" t="s">
        <v>172</v>
      </c>
      <c r="AP18" s="38" t="s">
        <v>172</v>
      </c>
      <c r="AQ18" s="38" t="s">
        <v>169</v>
      </c>
      <c r="AR18" s="38" t="s">
        <v>169</v>
      </c>
      <c r="AS18" s="38" t="s">
        <v>171</v>
      </c>
      <c r="AT18" s="38" t="s">
        <v>170</v>
      </c>
      <c r="AU18" s="38" t="s">
        <v>169</v>
      </c>
      <c r="AV18" s="38" t="s">
        <v>169</v>
      </c>
      <c r="AW18" s="38" t="s">
        <v>169</v>
      </c>
      <c r="AX18" s="38" t="s">
        <v>169</v>
      </c>
      <c r="AY18" s="38" t="s">
        <v>171</v>
      </c>
      <c r="AZ18" s="38" t="s">
        <v>170</v>
      </c>
      <c r="BA18" s="38" t="s">
        <v>169</v>
      </c>
      <c r="BB18" s="38" t="s">
        <v>170</v>
      </c>
      <c r="BC18" s="38" t="s">
        <v>169</v>
      </c>
      <c r="BD18" s="38" t="s">
        <v>172</v>
      </c>
      <c r="BE18" s="38" t="s">
        <v>169</v>
      </c>
      <c r="BF18" s="38" t="s">
        <v>171</v>
      </c>
      <c r="BG18" s="38" t="s">
        <v>171</v>
      </c>
      <c r="BH18" s="38" t="s">
        <v>170</v>
      </c>
      <c r="BI18" s="38" t="s">
        <v>169</v>
      </c>
      <c r="BJ18" s="38" t="s">
        <v>172</v>
      </c>
      <c r="BK18" s="38" t="s">
        <v>169</v>
      </c>
      <c r="BL18" s="38" t="s">
        <v>171</v>
      </c>
      <c r="BM18" s="38" t="s">
        <v>170</v>
      </c>
      <c r="BN18" s="38" t="s">
        <v>171</v>
      </c>
      <c r="BO18" s="38" t="s">
        <v>170</v>
      </c>
      <c r="BP18" s="38" t="s">
        <v>169</v>
      </c>
      <c r="BQ18" s="38" t="s">
        <v>171</v>
      </c>
      <c r="BR18" s="38" t="s">
        <v>171</v>
      </c>
      <c r="BS18" s="38" t="s">
        <v>171</v>
      </c>
      <c r="BT18" s="38" t="s">
        <v>170</v>
      </c>
      <c r="BU18" s="38" t="s">
        <v>170</v>
      </c>
      <c r="BV18" s="38" t="s">
        <v>170</v>
      </c>
      <c r="BW18" s="38" t="s">
        <v>169</v>
      </c>
      <c r="BX18" s="38" t="s">
        <v>170</v>
      </c>
    </row>
    <row r="19" customFormat="false" ht="15" hidden="false" customHeight="true" outlineLevel="0" collapsed="false">
      <c r="A19" s="38" t="s">
        <v>200</v>
      </c>
      <c r="B19" s="38" t="s">
        <v>215</v>
      </c>
      <c r="C19" s="38" t="s">
        <v>216</v>
      </c>
      <c r="D19" s="38" t="s">
        <v>217</v>
      </c>
      <c r="E19" s="38" t="s">
        <v>172</v>
      </c>
      <c r="F19" s="38" t="s">
        <v>169</v>
      </c>
      <c r="G19" s="38" t="s">
        <v>169</v>
      </c>
      <c r="H19" s="38" t="s">
        <v>170</v>
      </c>
      <c r="I19" s="38" t="s">
        <v>171</v>
      </c>
      <c r="J19" s="38" t="s">
        <v>171</v>
      </c>
      <c r="K19" s="38" t="s">
        <v>169</v>
      </c>
      <c r="L19" s="38" t="s">
        <v>171</v>
      </c>
      <c r="M19" s="38" t="s">
        <v>172</v>
      </c>
      <c r="N19" s="38" t="s">
        <v>169</v>
      </c>
      <c r="O19" s="38" t="s">
        <v>170</v>
      </c>
      <c r="P19" s="38" t="s">
        <v>171</v>
      </c>
      <c r="Q19" s="38" t="s">
        <v>170</v>
      </c>
      <c r="R19" s="38" t="s">
        <v>172</v>
      </c>
      <c r="S19" s="38" t="s">
        <v>169</v>
      </c>
      <c r="T19" s="38" t="s">
        <v>169</v>
      </c>
      <c r="U19" s="38" t="s">
        <v>171</v>
      </c>
      <c r="V19" s="38" t="s">
        <v>169</v>
      </c>
      <c r="W19" s="38" t="s">
        <v>169</v>
      </c>
      <c r="X19" s="38" t="s">
        <v>171</v>
      </c>
      <c r="Y19" s="38" t="s">
        <v>172</v>
      </c>
      <c r="Z19" s="38" t="s">
        <v>169</v>
      </c>
      <c r="AA19" s="38" t="s">
        <v>172</v>
      </c>
      <c r="AB19" s="38" t="s">
        <v>169</v>
      </c>
      <c r="AC19" s="38" t="s">
        <v>170</v>
      </c>
      <c r="AD19" s="38" t="s">
        <v>169</v>
      </c>
      <c r="AE19" s="38" t="s">
        <v>170</v>
      </c>
      <c r="AF19" s="38" t="s">
        <v>172</v>
      </c>
      <c r="AG19" s="38" t="s">
        <v>170</v>
      </c>
      <c r="AH19" s="38" t="s">
        <v>170</v>
      </c>
      <c r="AI19" s="38" t="s">
        <v>170</v>
      </c>
      <c r="AJ19" s="38" t="s">
        <v>170</v>
      </c>
      <c r="AK19" s="38" t="s">
        <v>171</v>
      </c>
      <c r="AL19" s="38" t="s">
        <v>169</v>
      </c>
      <c r="AM19" s="38" t="s">
        <v>172</v>
      </c>
      <c r="AN19" s="38" t="s">
        <v>171</v>
      </c>
      <c r="AO19" s="38" t="s">
        <v>172</v>
      </c>
      <c r="AP19" s="38" t="s">
        <v>172</v>
      </c>
      <c r="AQ19" s="38" t="s">
        <v>169</v>
      </c>
      <c r="AR19" s="38" t="s">
        <v>169</v>
      </c>
      <c r="AS19" s="38" t="s">
        <v>169</v>
      </c>
      <c r="AT19" s="38" t="s">
        <v>171</v>
      </c>
      <c r="AU19" s="38" t="s">
        <v>169</v>
      </c>
      <c r="AV19" s="38" t="s">
        <v>172</v>
      </c>
      <c r="AW19" s="38" t="s">
        <v>169</v>
      </c>
      <c r="AX19" s="38" t="s">
        <v>169</v>
      </c>
      <c r="AY19" s="38" t="s">
        <v>171</v>
      </c>
      <c r="AZ19" s="38" t="s">
        <v>170</v>
      </c>
      <c r="BA19" s="38" t="s">
        <v>169</v>
      </c>
      <c r="BB19" s="38" t="s">
        <v>169</v>
      </c>
      <c r="BC19" s="38" t="s">
        <v>171</v>
      </c>
      <c r="BD19" s="38" t="s">
        <v>169</v>
      </c>
      <c r="BE19" s="38" t="s">
        <v>169</v>
      </c>
      <c r="BF19" s="38" t="s">
        <v>171</v>
      </c>
      <c r="BG19" s="38" t="s">
        <v>171</v>
      </c>
      <c r="BH19" s="38" t="s">
        <v>170</v>
      </c>
      <c r="BI19" s="38" t="s">
        <v>172</v>
      </c>
      <c r="BJ19" s="38" t="s">
        <v>172</v>
      </c>
      <c r="BK19" s="38" t="s">
        <v>169</v>
      </c>
      <c r="BL19" s="38" t="s">
        <v>171</v>
      </c>
      <c r="BM19" s="38" t="s">
        <v>170</v>
      </c>
      <c r="BN19" s="38" t="s">
        <v>170</v>
      </c>
      <c r="BO19" s="38" t="s">
        <v>172</v>
      </c>
      <c r="BP19" s="38" t="s">
        <v>170</v>
      </c>
      <c r="BQ19" s="38" t="s">
        <v>171</v>
      </c>
      <c r="BR19" s="38" t="s">
        <v>170</v>
      </c>
      <c r="BS19" s="38" t="s">
        <v>172</v>
      </c>
      <c r="BT19" s="38" t="s">
        <v>169</v>
      </c>
      <c r="BU19" s="38" t="s">
        <v>169</v>
      </c>
      <c r="BV19" s="38" t="s">
        <v>170</v>
      </c>
      <c r="BW19" s="38" t="s">
        <v>170</v>
      </c>
      <c r="BX19" s="38" t="s">
        <v>171</v>
      </c>
    </row>
    <row r="20" customFormat="false" ht="15" hidden="false" customHeight="true" outlineLevel="0" collapsed="false">
      <c r="A20" s="38" t="s">
        <v>200</v>
      </c>
      <c r="B20" s="38" t="s">
        <v>218</v>
      </c>
      <c r="C20" s="38" t="s">
        <v>219</v>
      </c>
      <c r="D20" s="38" t="s">
        <v>191</v>
      </c>
      <c r="E20" s="38" t="s">
        <v>170</v>
      </c>
      <c r="F20" s="38" t="s">
        <v>169</v>
      </c>
      <c r="G20" s="38" t="s">
        <v>169</v>
      </c>
      <c r="H20" s="38" t="s">
        <v>171</v>
      </c>
      <c r="I20" s="38" t="s">
        <v>169</v>
      </c>
      <c r="J20" s="38" t="s">
        <v>172</v>
      </c>
      <c r="K20" s="38" t="s">
        <v>171</v>
      </c>
      <c r="L20" s="38" t="s">
        <v>171</v>
      </c>
      <c r="M20" s="38" t="s">
        <v>169</v>
      </c>
      <c r="N20" s="38" t="s">
        <v>169</v>
      </c>
      <c r="O20" s="38" t="s">
        <v>170</v>
      </c>
      <c r="P20" s="38" t="s">
        <v>169</v>
      </c>
      <c r="Q20" s="38" t="s">
        <v>170</v>
      </c>
      <c r="R20" s="38" t="s">
        <v>172</v>
      </c>
      <c r="S20" s="38" t="s">
        <v>169</v>
      </c>
      <c r="T20" s="38" t="s">
        <v>170</v>
      </c>
      <c r="U20" s="38" t="s">
        <v>171</v>
      </c>
      <c r="V20" s="38" t="s">
        <v>169</v>
      </c>
      <c r="W20" s="38" t="s">
        <v>169</v>
      </c>
      <c r="X20" s="38" t="s">
        <v>171</v>
      </c>
      <c r="Y20" s="38" t="s">
        <v>172</v>
      </c>
      <c r="Z20" s="38" t="s">
        <v>169</v>
      </c>
      <c r="AA20" s="38" t="s">
        <v>170</v>
      </c>
      <c r="AB20" s="38" t="s">
        <v>169</v>
      </c>
      <c r="AC20" s="38" t="s">
        <v>170</v>
      </c>
      <c r="AD20" s="38" t="s">
        <v>172</v>
      </c>
      <c r="AE20" s="38" t="s">
        <v>170</v>
      </c>
      <c r="AF20" s="38" t="s">
        <v>171</v>
      </c>
      <c r="AG20" s="38" t="s">
        <v>171</v>
      </c>
      <c r="AH20" s="38" t="s">
        <v>170</v>
      </c>
      <c r="AI20" s="38" t="s">
        <v>169</v>
      </c>
      <c r="AJ20" s="38" t="s">
        <v>171</v>
      </c>
      <c r="AK20" s="38" t="s">
        <v>171</v>
      </c>
      <c r="AL20" s="38" t="s">
        <v>170</v>
      </c>
      <c r="AM20" s="38" t="s">
        <v>169</v>
      </c>
      <c r="AN20" s="38" t="s">
        <v>169</v>
      </c>
      <c r="AO20" s="38" t="s">
        <v>169</v>
      </c>
      <c r="AP20" s="38" t="s">
        <v>172</v>
      </c>
      <c r="AQ20" s="38" t="s">
        <v>170</v>
      </c>
      <c r="AR20" s="38" t="s">
        <v>169</v>
      </c>
      <c r="AS20" s="38" t="s">
        <v>172</v>
      </c>
      <c r="AT20" s="38" t="s">
        <v>172</v>
      </c>
      <c r="AU20" s="38" t="s">
        <v>169</v>
      </c>
      <c r="AV20" s="38" t="s">
        <v>169</v>
      </c>
      <c r="AW20" s="38" t="s">
        <v>169</v>
      </c>
      <c r="AX20" s="38" t="s">
        <v>169</v>
      </c>
      <c r="AY20" s="38" t="s">
        <v>171</v>
      </c>
      <c r="AZ20" s="38" t="s">
        <v>170</v>
      </c>
      <c r="BA20" s="38" t="s">
        <v>169</v>
      </c>
      <c r="BB20" s="38" t="s">
        <v>169</v>
      </c>
      <c r="BC20" s="38" t="s">
        <v>172</v>
      </c>
      <c r="BD20" s="38" t="s">
        <v>169</v>
      </c>
      <c r="BE20" s="38" t="s">
        <v>169</v>
      </c>
      <c r="BF20" s="38" t="s">
        <v>171</v>
      </c>
      <c r="BG20" s="38" t="s">
        <v>171</v>
      </c>
      <c r="BH20" s="38" t="s">
        <v>170</v>
      </c>
      <c r="BI20" s="38" t="s">
        <v>169</v>
      </c>
      <c r="BJ20" s="38" t="s">
        <v>172</v>
      </c>
      <c r="BK20" s="38" t="s">
        <v>172</v>
      </c>
      <c r="BL20" s="38" t="s">
        <v>171</v>
      </c>
      <c r="BM20" s="38" t="s">
        <v>170</v>
      </c>
      <c r="BN20" s="38" t="s">
        <v>170</v>
      </c>
      <c r="BO20" s="38" t="s">
        <v>171</v>
      </c>
      <c r="BP20" s="38" t="s">
        <v>170</v>
      </c>
      <c r="BQ20" s="38" t="s">
        <v>171</v>
      </c>
      <c r="BR20" s="38" t="s">
        <v>172</v>
      </c>
      <c r="BS20" s="38" t="s">
        <v>171</v>
      </c>
      <c r="BT20" s="38" t="s">
        <v>170</v>
      </c>
      <c r="BU20" s="38" t="s">
        <v>172</v>
      </c>
      <c r="BV20" s="38" t="s">
        <v>170</v>
      </c>
      <c r="BW20" s="38" t="s">
        <v>170</v>
      </c>
      <c r="BX20" s="38" t="s">
        <v>169</v>
      </c>
    </row>
    <row r="21" customFormat="false" ht="15" hidden="false" customHeight="true" outlineLevel="0" collapsed="false">
      <c r="A21" s="38" t="s">
        <v>200</v>
      </c>
      <c r="B21" s="38" t="s">
        <v>220</v>
      </c>
      <c r="C21" s="38" t="s">
        <v>221</v>
      </c>
      <c r="D21" s="38" t="s">
        <v>222</v>
      </c>
      <c r="E21" s="38" t="s">
        <v>169</v>
      </c>
      <c r="F21" s="38" t="s">
        <v>169</v>
      </c>
      <c r="G21" s="38" t="s">
        <v>172</v>
      </c>
      <c r="H21" s="38" t="s">
        <v>169</v>
      </c>
      <c r="I21" s="38" t="s">
        <v>172</v>
      </c>
      <c r="J21" s="38" t="s">
        <v>169</v>
      </c>
      <c r="K21" s="38" t="s">
        <v>172</v>
      </c>
      <c r="L21" s="38" t="s">
        <v>171</v>
      </c>
      <c r="M21" s="38" t="s">
        <v>169</v>
      </c>
      <c r="N21" s="38" t="s">
        <v>170</v>
      </c>
      <c r="O21" s="38" t="s">
        <v>170</v>
      </c>
      <c r="P21" s="38" t="s">
        <v>169</v>
      </c>
      <c r="Q21" s="38" t="s">
        <v>169</v>
      </c>
      <c r="R21" s="38" t="s">
        <v>172</v>
      </c>
      <c r="S21" s="38" t="s">
        <v>169</v>
      </c>
      <c r="T21" s="40" t="s">
        <v>176</v>
      </c>
      <c r="U21" s="38" t="s">
        <v>170</v>
      </c>
      <c r="V21" s="38" t="s">
        <v>169</v>
      </c>
      <c r="W21" s="38" t="s">
        <v>169</v>
      </c>
      <c r="X21" s="38" t="s">
        <v>170</v>
      </c>
      <c r="Y21" s="38" t="s">
        <v>172</v>
      </c>
      <c r="Z21" s="38" t="s">
        <v>172</v>
      </c>
      <c r="AA21" s="38" t="s">
        <v>170</v>
      </c>
      <c r="AB21" s="38" t="s">
        <v>169</v>
      </c>
      <c r="AC21" s="38" t="s">
        <v>169</v>
      </c>
      <c r="AD21" s="38" t="s">
        <v>172</v>
      </c>
      <c r="AE21" s="38" t="s">
        <v>170</v>
      </c>
      <c r="AF21" s="38" t="s">
        <v>170</v>
      </c>
      <c r="AG21" s="38" t="s">
        <v>169</v>
      </c>
      <c r="AH21" s="38" t="s">
        <v>169</v>
      </c>
      <c r="AI21" s="38" t="s">
        <v>171</v>
      </c>
      <c r="AJ21" s="38" t="s">
        <v>170</v>
      </c>
      <c r="AK21" s="38" t="s">
        <v>171</v>
      </c>
      <c r="AL21" s="38" t="s">
        <v>170</v>
      </c>
      <c r="AM21" s="38" t="s">
        <v>169</v>
      </c>
      <c r="AN21" s="38" t="s">
        <v>172</v>
      </c>
      <c r="AO21" s="38" t="s">
        <v>172</v>
      </c>
      <c r="AP21" s="38" t="s">
        <v>172</v>
      </c>
      <c r="AQ21" s="38" t="s">
        <v>172</v>
      </c>
      <c r="AR21" s="38" t="s">
        <v>170</v>
      </c>
      <c r="AS21" s="38" t="s">
        <v>170</v>
      </c>
      <c r="AT21" s="38" t="s">
        <v>169</v>
      </c>
      <c r="AU21" s="38" t="s">
        <v>169</v>
      </c>
      <c r="AV21" s="38" t="s">
        <v>172</v>
      </c>
      <c r="AW21" s="38" t="s">
        <v>169</v>
      </c>
      <c r="AX21" s="38" t="s">
        <v>171</v>
      </c>
      <c r="AY21" s="38" t="s">
        <v>170</v>
      </c>
      <c r="AZ21" s="38" t="s">
        <v>170</v>
      </c>
      <c r="BA21" s="38" t="s">
        <v>169</v>
      </c>
      <c r="BB21" s="38" t="s">
        <v>169</v>
      </c>
      <c r="BC21" s="38" t="s">
        <v>169</v>
      </c>
      <c r="BD21" s="38" t="s">
        <v>169</v>
      </c>
      <c r="BE21" s="38" t="s">
        <v>169</v>
      </c>
      <c r="BF21" s="38" t="s">
        <v>171</v>
      </c>
      <c r="BG21" s="38" t="s">
        <v>171</v>
      </c>
      <c r="BH21" s="38" t="s">
        <v>170</v>
      </c>
      <c r="BI21" s="38" t="s">
        <v>172</v>
      </c>
      <c r="BJ21" s="38" t="s">
        <v>172</v>
      </c>
      <c r="BK21" s="38" t="s">
        <v>172</v>
      </c>
      <c r="BL21" s="38" t="s">
        <v>171</v>
      </c>
      <c r="BM21" s="38" t="s">
        <v>170</v>
      </c>
      <c r="BN21" s="38" t="s">
        <v>170</v>
      </c>
      <c r="BO21" s="38" t="s">
        <v>170</v>
      </c>
      <c r="BP21" s="38" t="s">
        <v>170</v>
      </c>
      <c r="BQ21" s="38" t="s">
        <v>170</v>
      </c>
      <c r="BR21" s="38" t="s">
        <v>171</v>
      </c>
      <c r="BS21" s="38" t="s">
        <v>170</v>
      </c>
      <c r="BT21" s="38" t="s">
        <v>171</v>
      </c>
      <c r="BU21" s="38" t="s">
        <v>170</v>
      </c>
      <c r="BV21" s="38" t="s">
        <v>171</v>
      </c>
      <c r="BW21" s="38" t="s">
        <v>170</v>
      </c>
      <c r="BX21" s="38" t="s">
        <v>170</v>
      </c>
    </row>
    <row r="22" customFormat="false" ht="15" hidden="false" customHeight="true" outlineLevel="0" collapsed="false">
      <c r="A22" s="38" t="s">
        <v>200</v>
      </c>
      <c r="B22" s="38" t="s">
        <v>223</v>
      </c>
      <c r="C22" s="38" t="s">
        <v>224</v>
      </c>
      <c r="D22" s="38" t="s">
        <v>225</v>
      </c>
      <c r="E22" s="38" t="s">
        <v>169</v>
      </c>
      <c r="F22" s="38" t="s">
        <v>170</v>
      </c>
      <c r="G22" s="38" t="s">
        <v>171</v>
      </c>
      <c r="H22" s="38" t="s">
        <v>169</v>
      </c>
      <c r="I22" s="38" t="s">
        <v>172</v>
      </c>
      <c r="J22" s="38" t="s">
        <v>171</v>
      </c>
      <c r="K22" s="38" t="s">
        <v>172</v>
      </c>
      <c r="L22" s="38" t="s">
        <v>171</v>
      </c>
      <c r="M22" s="38" t="s">
        <v>172</v>
      </c>
      <c r="N22" s="38" t="s">
        <v>169</v>
      </c>
      <c r="O22" s="38" t="s">
        <v>170</v>
      </c>
      <c r="P22" s="38" t="s">
        <v>171</v>
      </c>
      <c r="Q22" s="38" t="s">
        <v>170</v>
      </c>
      <c r="R22" s="38" t="s">
        <v>172</v>
      </c>
      <c r="S22" s="38" t="s">
        <v>169</v>
      </c>
      <c r="T22" s="38" t="s">
        <v>171</v>
      </c>
      <c r="U22" s="38" t="s">
        <v>171</v>
      </c>
      <c r="V22" s="38" t="s">
        <v>169</v>
      </c>
      <c r="W22" s="38" t="s">
        <v>169</v>
      </c>
      <c r="X22" s="38" t="s">
        <v>171</v>
      </c>
      <c r="Y22" s="38" t="s">
        <v>172</v>
      </c>
      <c r="Z22" s="38" t="s">
        <v>169</v>
      </c>
      <c r="AA22" s="38" t="s">
        <v>172</v>
      </c>
      <c r="AB22" s="38" t="s">
        <v>169</v>
      </c>
      <c r="AC22" s="38" t="s">
        <v>170</v>
      </c>
      <c r="AD22" s="38" t="s">
        <v>169</v>
      </c>
      <c r="AE22" s="38" t="s">
        <v>170</v>
      </c>
      <c r="AF22" s="38" t="s">
        <v>172</v>
      </c>
      <c r="AG22" s="38" t="s">
        <v>170</v>
      </c>
      <c r="AH22" s="38" t="s">
        <v>170</v>
      </c>
      <c r="AI22" s="38" t="s">
        <v>170</v>
      </c>
      <c r="AJ22" s="38" t="s">
        <v>171</v>
      </c>
      <c r="AK22" s="38" t="s">
        <v>171</v>
      </c>
      <c r="AL22" s="38" t="s">
        <v>169</v>
      </c>
      <c r="AM22" s="38" t="s">
        <v>169</v>
      </c>
      <c r="AN22" s="38" t="s">
        <v>171</v>
      </c>
      <c r="AO22" s="38" t="s">
        <v>172</v>
      </c>
      <c r="AP22" s="38" t="s">
        <v>172</v>
      </c>
      <c r="AQ22" s="38" t="s">
        <v>169</v>
      </c>
      <c r="AR22" s="38" t="s">
        <v>169</v>
      </c>
      <c r="AS22" s="38" t="s">
        <v>169</v>
      </c>
      <c r="AT22" s="38" t="s">
        <v>171</v>
      </c>
      <c r="AU22" s="38" t="s">
        <v>169</v>
      </c>
      <c r="AV22" s="38" t="s">
        <v>172</v>
      </c>
      <c r="AW22" s="38" t="s">
        <v>169</v>
      </c>
      <c r="AX22" s="38" t="s">
        <v>169</v>
      </c>
      <c r="AY22" s="38" t="s">
        <v>171</v>
      </c>
      <c r="AZ22" s="38" t="s">
        <v>170</v>
      </c>
      <c r="BA22" s="38" t="s">
        <v>169</v>
      </c>
      <c r="BB22" s="38" t="s">
        <v>169</v>
      </c>
      <c r="BC22" s="38" t="s">
        <v>170</v>
      </c>
      <c r="BD22" s="38" t="s">
        <v>172</v>
      </c>
      <c r="BE22" s="38" t="s">
        <v>169</v>
      </c>
      <c r="BF22" s="38" t="s">
        <v>171</v>
      </c>
      <c r="BG22" s="38" t="s">
        <v>171</v>
      </c>
      <c r="BH22" s="38" t="s">
        <v>170</v>
      </c>
      <c r="BI22" s="38" t="s">
        <v>169</v>
      </c>
      <c r="BJ22" s="38" t="s">
        <v>172</v>
      </c>
      <c r="BK22" s="38" t="s">
        <v>172</v>
      </c>
      <c r="BL22" s="38" t="s">
        <v>171</v>
      </c>
      <c r="BM22" s="38" t="s">
        <v>170</v>
      </c>
      <c r="BN22" s="38" t="s">
        <v>171</v>
      </c>
      <c r="BO22" s="38" t="s">
        <v>169</v>
      </c>
      <c r="BP22" s="38" t="s">
        <v>170</v>
      </c>
      <c r="BQ22" s="38" t="s">
        <v>170</v>
      </c>
      <c r="BR22" s="38" t="s">
        <v>171</v>
      </c>
      <c r="BS22" s="38" t="s">
        <v>172</v>
      </c>
      <c r="BT22" s="38" t="s">
        <v>171</v>
      </c>
      <c r="BU22" s="38" t="s">
        <v>170</v>
      </c>
      <c r="BV22" s="38" t="s">
        <v>172</v>
      </c>
      <c r="BW22" s="38" t="s">
        <v>169</v>
      </c>
      <c r="BX22" s="38" t="s">
        <v>170</v>
      </c>
    </row>
    <row r="23" customFormat="false" ht="15" hidden="false" customHeight="true" outlineLevel="0" collapsed="false">
      <c r="A23" s="38" t="s">
        <v>200</v>
      </c>
      <c r="B23" s="38" t="s">
        <v>226</v>
      </c>
      <c r="C23" s="38" t="s">
        <v>224</v>
      </c>
      <c r="D23" s="38" t="s">
        <v>225</v>
      </c>
      <c r="E23" s="38" t="s">
        <v>169</v>
      </c>
      <c r="F23" s="38" t="s">
        <v>170</v>
      </c>
      <c r="G23" s="38" t="s">
        <v>171</v>
      </c>
      <c r="H23" s="38" t="s">
        <v>169</v>
      </c>
      <c r="I23" s="38" t="s">
        <v>172</v>
      </c>
      <c r="J23" s="38" t="s">
        <v>171</v>
      </c>
      <c r="K23" s="38" t="s">
        <v>172</v>
      </c>
      <c r="L23" s="38" t="s">
        <v>171</v>
      </c>
      <c r="M23" s="38" t="s">
        <v>169</v>
      </c>
      <c r="N23" s="38" t="s">
        <v>169</v>
      </c>
      <c r="O23" s="38" t="s">
        <v>170</v>
      </c>
      <c r="P23" s="38" t="s">
        <v>171</v>
      </c>
      <c r="Q23" s="38" t="s">
        <v>170</v>
      </c>
      <c r="R23" s="38" t="s">
        <v>172</v>
      </c>
      <c r="S23" s="38" t="s">
        <v>169</v>
      </c>
      <c r="T23" s="38" t="s">
        <v>171</v>
      </c>
      <c r="U23" s="38" t="s">
        <v>171</v>
      </c>
      <c r="V23" s="38" t="s">
        <v>169</v>
      </c>
      <c r="W23" s="38" t="s">
        <v>169</v>
      </c>
      <c r="X23" s="38" t="s">
        <v>171</v>
      </c>
      <c r="Y23" s="38" t="s">
        <v>172</v>
      </c>
      <c r="Z23" s="38" t="s">
        <v>169</v>
      </c>
      <c r="AA23" s="38" t="s">
        <v>172</v>
      </c>
      <c r="AB23" s="38" t="s">
        <v>169</v>
      </c>
      <c r="AC23" s="38" t="s">
        <v>170</v>
      </c>
      <c r="AD23" s="38" t="s">
        <v>169</v>
      </c>
      <c r="AE23" s="38" t="s">
        <v>170</v>
      </c>
      <c r="AF23" s="38" t="s">
        <v>172</v>
      </c>
      <c r="AG23" s="38" t="s">
        <v>170</v>
      </c>
      <c r="AH23" s="38" t="s">
        <v>170</v>
      </c>
      <c r="AI23" s="38" t="s">
        <v>170</v>
      </c>
      <c r="AJ23" s="38" t="s">
        <v>171</v>
      </c>
      <c r="AK23" s="38" t="s">
        <v>171</v>
      </c>
      <c r="AL23" s="38" t="s">
        <v>169</v>
      </c>
      <c r="AM23" s="38" t="s">
        <v>169</v>
      </c>
      <c r="AN23" s="38" t="s">
        <v>171</v>
      </c>
      <c r="AO23" s="38" t="s">
        <v>172</v>
      </c>
      <c r="AP23" s="38" t="s">
        <v>172</v>
      </c>
      <c r="AQ23" s="38" t="s">
        <v>169</v>
      </c>
      <c r="AR23" s="38" t="s">
        <v>169</v>
      </c>
      <c r="AS23" s="38" t="s">
        <v>169</v>
      </c>
      <c r="AT23" s="38" t="s">
        <v>171</v>
      </c>
      <c r="AU23" s="38" t="s">
        <v>169</v>
      </c>
      <c r="AV23" s="38" t="s">
        <v>172</v>
      </c>
      <c r="AW23" s="38" t="s">
        <v>169</v>
      </c>
      <c r="AX23" s="38" t="s">
        <v>169</v>
      </c>
      <c r="AY23" s="38" t="s">
        <v>171</v>
      </c>
      <c r="AZ23" s="38" t="s">
        <v>170</v>
      </c>
      <c r="BA23" s="38" t="s">
        <v>170</v>
      </c>
      <c r="BB23" s="38" t="s">
        <v>170</v>
      </c>
      <c r="BC23" s="38" t="s">
        <v>170</v>
      </c>
      <c r="BD23" s="38" t="s">
        <v>172</v>
      </c>
      <c r="BE23" s="38" t="s">
        <v>169</v>
      </c>
      <c r="BF23" s="38" t="s">
        <v>171</v>
      </c>
      <c r="BG23" s="38" t="s">
        <v>171</v>
      </c>
      <c r="BH23" s="38" t="s">
        <v>170</v>
      </c>
      <c r="BI23" s="38" t="s">
        <v>169</v>
      </c>
      <c r="BJ23" s="38" t="s">
        <v>172</v>
      </c>
      <c r="BK23" s="38" t="s">
        <v>170</v>
      </c>
      <c r="BL23" s="38" t="s">
        <v>171</v>
      </c>
      <c r="BM23" s="38" t="s">
        <v>170</v>
      </c>
      <c r="BN23" s="38" t="s">
        <v>171</v>
      </c>
      <c r="BO23" s="38" t="s">
        <v>169</v>
      </c>
      <c r="BP23" s="38" t="s">
        <v>169</v>
      </c>
      <c r="BQ23" s="38" t="s">
        <v>169</v>
      </c>
      <c r="BR23" s="38" t="s">
        <v>171</v>
      </c>
      <c r="BS23" s="38" t="s">
        <v>172</v>
      </c>
      <c r="BT23" s="38" t="s">
        <v>171</v>
      </c>
      <c r="BU23" s="38" t="s">
        <v>170</v>
      </c>
      <c r="BV23" s="38" t="s">
        <v>172</v>
      </c>
      <c r="BW23" s="38" t="s">
        <v>169</v>
      </c>
      <c r="BX23" s="38" t="s">
        <v>170</v>
      </c>
    </row>
    <row r="24" customFormat="false" ht="15" hidden="false" customHeight="true" outlineLevel="0" collapsed="false">
      <c r="A24" s="38" t="s">
        <v>200</v>
      </c>
      <c r="B24" s="38" t="s">
        <v>227</v>
      </c>
      <c r="C24" s="38" t="s">
        <v>228</v>
      </c>
      <c r="D24" s="38" t="s">
        <v>229</v>
      </c>
      <c r="E24" s="38" t="s">
        <v>169</v>
      </c>
      <c r="F24" s="38" t="s">
        <v>170</v>
      </c>
      <c r="G24" s="38" t="s">
        <v>169</v>
      </c>
      <c r="H24" s="38" t="s">
        <v>171</v>
      </c>
      <c r="I24" s="38" t="s">
        <v>170</v>
      </c>
      <c r="J24" s="38" t="s">
        <v>170</v>
      </c>
      <c r="K24" s="38" t="s">
        <v>169</v>
      </c>
      <c r="L24" s="38" t="s">
        <v>171</v>
      </c>
      <c r="M24" s="38" t="s">
        <v>172</v>
      </c>
      <c r="N24" s="38" t="s">
        <v>169</v>
      </c>
      <c r="O24" s="38" t="s">
        <v>170</v>
      </c>
      <c r="P24" s="38" t="s">
        <v>171</v>
      </c>
      <c r="Q24" s="38" t="s">
        <v>170</v>
      </c>
      <c r="R24" s="38" t="s">
        <v>172</v>
      </c>
      <c r="S24" s="38" t="s">
        <v>169</v>
      </c>
      <c r="T24" s="38" t="s">
        <v>171</v>
      </c>
      <c r="U24" s="38" t="s">
        <v>171</v>
      </c>
      <c r="V24" s="38" t="s">
        <v>169</v>
      </c>
      <c r="W24" s="38" t="s">
        <v>169</v>
      </c>
      <c r="X24" s="38" t="s">
        <v>171</v>
      </c>
      <c r="Y24" s="38" t="s">
        <v>172</v>
      </c>
      <c r="Z24" s="38" t="s">
        <v>169</v>
      </c>
      <c r="AA24" s="38" t="s">
        <v>172</v>
      </c>
      <c r="AB24" s="38" t="s">
        <v>169</v>
      </c>
      <c r="AC24" s="38" t="s">
        <v>170</v>
      </c>
      <c r="AD24" s="38" t="s">
        <v>172</v>
      </c>
      <c r="AE24" s="38" t="s">
        <v>170</v>
      </c>
      <c r="AF24" s="38" t="s">
        <v>170</v>
      </c>
      <c r="AG24" s="38" t="s">
        <v>172</v>
      </c>
      <c r="AH24" s="38" t="s">
        <v>170</v>
      </c>
      <c r="AI24" s="38" t="s">
        <v>170</v>
      </c>
      <c r="AJ24" s="38" t="s">
        <v>171</v>
      </c>
      <c r="AK24" s="38" t="s">
        <v>171</v>
      </c>
      <c r="AL24" s="38" t="s">
        <v>169</v>
      </c>
      <c r="AM24" s="38" t="s">
        <v>172</v>
      </c>
      <c r="AN24" s="38" t="s">
        <v>170</v>
      </c>
      <c r="AO24" s="38" t="s">
        <v>172</v>
      </c>
      <c r="AP24" s="38" t="s">
        <v>171</v>
      </c>
      <c r="AQ24" s="38" t="s">
        <v>169</v>
      </c>
      <c r="AR24" s="38" t="s">
        <v>169</v>
      </c>
      <c r="AS24" s="38" t="s">
        <v>171</v>
      </c>
      <c r="AT24" s="38" t="s">
        <v>169</v>
      </c>
      <c r="AU24" s="38" t="s">
        <v>169</v>
      </c>
      <c r="AV24" s="38" t="s">
        <v>169</v>
      </c>
      <c r="AW24" s="38" t="s">
        <v>169</v>
      </c>
      <c r="AX24" s="38" t="s">
        <v>169</v>
      </c>
      <c r="AY24" s="38" t="s">
        <v>171</v>
      </c>
      <c r="AZ24" s="38" t="s">
        <v>170</v>
      </c>
      <c r="BA24" s="38" t="s">
        <v>169</v>
      </c>
      <c r="BB24" s="38" t="s">
        <v>169</v>
      </c>
      <c r="BC24" s="38" t="s">
        <v>171</v>
      </c>
      <c r="BD24" s="38" t="s">
        <v>169</v>
      </c>
      <c r="BE24" s="38" t="s">
        <v>169</v>
      </c>
      <c r="BF24" s="38" t="s">
        <v>171</v>
      </c>
      <c r="BG24" s="38" t="s">
        <v>171</v>
      </c>
      <c r="BH24" s="38" t="s">
        <v>170</v>
      </c>
      <c r="BI24" s="38" t="s">
        <v>169</v>
      </c>
      <c r="BJ24" s="38" t="s">
        <v>172</v>
      </c>
      <c r="BK24" s="38" t="s">
        <v>169</v>
      </c>
      <c r="BL24" s="38" t="s">
        <v>171</v>
      </c>
      <c r="BM24" s="38" t="s">
        <v>170</v>
      </c>
      <c r="BN24" s="38" t="s">
        <v>170</v>
      </c>
      <c r="BO24" s="38" t="s">
        <v>172</v>
      </c>
      <c r="BP24" s="38" t="s">
        <v>170</v>
      </c>
      <c r="BQ24" s="38" t="s">
        <v>171</v>
      </c>
      <c r="BR24" s="38" t="s">
        <v>170</v>
      </c>
      <c r="BS24" s="38" t="s">
        <v>169</v>
      </c>
      <c r="BT24" s="38" t="s">
        <v>169</v>
      </c>
      <c r="BU24" s="38" t="s">
        <v>172</v>
      </c>
      <c r="BV24" s="38" t="s">
        <v>170</v>
      </c>
      <c r="BW24" s="38" t="s">
        <v>169</v>
      </c>
      <c r="BX24" s="38" t="s">
        <v>170</v>
      </c>
    </row>
    <row r="25" customFormat="false" ht="15" hidden="false" customHeight="true" outlineLevel="0" collapsed="false">
      <c r="A25" s="38" t="s">
        <v>230</v>
      </c>
      <c r="B25" s="38" t="s">
        <v>231</v>
      </c>
      <c r="C25" s="38" t="s">
        <v>202</v>
      </c>
      <c r="D25" s="38" t="s">
        <v>232</v>
      </c>
      <c r="E25" s="38" t="s">
        <v>169</v>
      </c>
      <c r="F25" s="38" t="s">
        <v>169</v>
      </c>
      <c r="G25" s="38" t="s">
        <v>169</v>
      </c>
      <c r="H25" s="38" t="s">
        <v>170</v>
      </c>
      <c r="I25" s="38" t="s">
        <v>171</v>
      </c>
      <c r="J25" s="38" t="s">
        <v>170</v>
      </c>
      <c r="K25" s="38" t="s">
        <v>169</v>
      </c>
      <c r="L25" s="38" t="s">
        <v>171</v>
      </c>
      <c r="M25" s="38" t="s">
        <v>172</v>
      </c>
      <c r="N25" s="38" t="s">
        <v>169</v>
      </c>
      <c r="O25" s="38" t="s">
        <v>172</v>
      </c>
      <c r="P25" s="38" t="s">
        <v>171</v>
      </c>
      <c r="Q25" s="38" t="s">
        <v>170</v>
      </c>
      <c r="R25" s="38" t="s">
        <v>172</v>
      </c>
      <c r="S25" s="38" t="s">
        <v>169</v>
      </c>
      <c r="T25" s="40" t="s">
        <v>176</v>
      </c>
      <c r="U25" s="38" t="s">
        <v>171</v>
      </c>
      <c r="V25" s="38" t="s">
        <v>169</v>
      </c>
      <c r="W25" s="38" t="s">
        <v>169</v>
      </c>
      <c r="X25" s="38" t="s">
        <v>170</v>
      </c>
      <c r="Y25" s="38" t="s">
        <v>172</v>
      </c>
      <c r="Z25" s="38" t="s">
        <v>169</v>
      </c>
      <c r="AA25" s="38" t="s">
        <v>172</v>
      </c>
      <c r="AB25" s="38" t="s">
        <v>171</v>
      </c>
      <c r="AC25" s="38" t="s">
        <v>170</v>
      </c>
      <c r="AD25" s="38" t="s">
        <v>169</v>
      </c>
      <c r="AE25" s="38" t="s">
        <v>170</v>
      </c>
      <c r="AF25" s="38" t="s">
        <v>171</v>
      </c>
      <c r="AG25" s="38" t="s">
        <v>171</v>
      </c>
      <c r="AH25" s="38" t="s">
        <v>170</v>
      </c>
      <c r="AI25" s="38" t="s">
        <v>170</v>
      </c>
      <c r="AJ25" s="38" t="s">
        <v>171</v>
      </c>
      <c r="AK25" s="38" t="s">
        <v>171</v>
      </c>
      <c r="AL25" s="38" t="s">
        <v>170</v>
      </c>
      <c r="AM25" s="38" t="s">
        <v>169</v>
      </c>
      <c r="AN25" s="38" t="s">
        <v>170</v>
      </c>
      <c r="AO25" s="38" t="s">
        <v>172</v>
      </c>
      <c r="AP25" s="38" t="s">
        <v>172</v>
      </c>
      <c r="AQ25" s="38" t="s">
        <v>169</v>
      </c>
      <c r="AR25" s="38" t="s">
        <v>169</v>
      </c>
      <c r="AS25" s="38" t="s">
        <v>172</v>
      </c>
      <c r="AT25" s="38" t="s">
        <v>172</v>
      </c>
      <c r="AU25" s="38" t="s">
        <v>169</v>
      </c>
      <c r="AV25" s="38" t="s">
        <v>172</v>
      </c>
      <c r="AW25" s="38" t="s">
        <v>169</v>
      </c>
      <c r="AX25" s="38" t="s">
        <v>169</v>
      </c>
      <c r="AY25" s="38" t="s">
        <v>170</v>
      </c>
      <c r="AZ25" s="38" t="s">
        <v>170</v>
      </c>
      <c r="BA25" s="38" t="s">
        <v>170</v>
      </c>
      <c r="BB25" s="38" t="s">
        <v>169</v>
      </c>
      <c r="BC25" s="38" t="s">
        <v>169</v>
      </c>
      <c r="BD25" s="38" t="s">
        <v>169</v>
      </c>
      <c r="BE25" s="38" t="s">
        <v>169</v>
      </c>
      <c r="BF25" s="38" t="s">
        <v>171</v>
      </c>
      <c r="BG25" s="38" t="s">
        <v>171</v>
      </c>
      <c r="BH25" s="38" t="s">
        <v>170</v>
      </c>
      <c r="BI25" s="38" t="s">
        <v>172</v>
      </c>
      <c r="BJ25" s="38" t="s">
        <v>172</v>
      </c>
      <c r="BK25" s="38" t="s">
        <v>172</v>
      </c>
      <c r="BL25" s="38" t="s">
        <v>171</v>
      </c>
      <c r="BM25" s="38" t="s">
        <v>170</v>
      </c>
      <c r="BN25" s="38" t="s">
        <v>170</v>
      </c>
      <c r="BO25" s="38" t="s">
        <v>170</v>
      </c>
      <c r="BP25" s="38" t="s">
        <v>170</v>
      </c>
      <c r="BQ25" s="38" t="s">
        <v>169</v>
      </c>
      <c r="BR25" s="38" t="s">
        <v>170</v>
      </c>
      <c r="BS25" s="38" t="s">
        <v>169</v>
      </c>
      <c r="BT25" s="38" t="s">
        <v>172</v>
      </c>
      <c r="BU25" s="38" t="s">
        <v>169</v>
      </c>
      <c r="BV25" s="38" t="s">
        <v>171</v>
      </c>
      <c r="BW25" s="38" t="s">
        <v>170</v>
      </c>
      <c r="BX25" s="38" t="s">
        <v>170</v>
      </c>
    </row>
    <row r="26" customFormat="false" ht="15" hidden="false" customHeight="true" outlineLevel="0" collapsed="false">
      <c r="A26" s="38" t="s">
        <v>230</v>
      </c>
      <c r="B26" s="38" t="s">
        <v>233</v>
      </c>
      <c r="C26" s="38" t="s">
        <v>202</v>
      </c>
      <c r="D26" s="38" t="s">
        <v>203</v>
      </c>
      <c r="E26" s="38" t="s">
        <v>169</v>
      </c>
      <c r="F26" s="38" t="s">
        <v>169</v>
      </c>
      <c r="G26" s="38" t="s">
        <v>169</v>
      </c>
      <c r="H26" s="38" t="s">
        <v>170</v>
      </c>
      <c r="I26" s="38" t="s">
        <v>171</v>
      </c>
      <c r="J26" s="38" t="s">
        <v>170</v>
      </c>
      <c r="K26" s="38" t="s">
        <v>169</v>
      </c>
      <c r="L26" s="38" t="s">
        <v>171</v>
      </c>
      <c r="M26" s="38" t="s">
        <v>172</v>
      </c>
      <c r="N26" s="38" t="s">
        <v>169</v>
      </c>
      <c r="O26" s="38" t="s">
        <v>172</v>
      </c>
      <c r="P26" s="38" t="s">
        <v>171</v>
      </c>
      <c r="Q26" s="38" t="s">
        <v>170</v>
      </c>
      <c r="R26" s="38" t="s">
        <v>172</v>
      </c>
      <c r="S26" s="38" t="s">
        <v>169</v>
      </c>
      <c r="T26" s="40" t="s">
        <v>176</v>
      </c>
      <c r="U26" s="38" t="s">
        <v>169</v>
      </c>
      <c r="V26" s="38" t="s">
        <v>169</v>
      </c>
      <c r="W26" s="38" t="s">
        <v>169</v>
      </c>
      <c r="X26" s="38" t="s">
        <v>171</v>
      </c>
      <c r="Y26" s="38" t="s">
        <v>172</v>
      </c>
      <c r="Z26" s="38" t="s">
        <v>169</v>
      </c>
      <c r="AA26" s="38" t="s">
        <v>172</v>
      </c>
      <c r="AB26" s="38" t="s">
        <v>171</v>
      </c>
      <c r="AC26" s="38" t="s">
        <v>170</v>
      </c>
      <c r="AD26" s="38" t="s">
        <v>172</v>
      </c>
      <c r="AE26" s="38" t="s">
        <v>170</v>
      </c>
      <c r="AF26" s="38" t="s">
        <v>171</v>
      </c>
      <c r="AG26" s="38" t="s">
        <v>170</v>
      </c>
      <c r="AH26" s="38" t="s">
        <v>170</v>
      </c>
      <c r="AI26" s="38" t="s">
        <v>170</v>
      </c>
      <c r="AJ26" s="38" t="s">
        <v>171</v>
      </c>
      <c r="AK26" s="38" t="s">
        <v>171</v>
      </c>
      <c r="AL26" s="38" t="s">
        <v>169</v>
      </c>
      <c r="AM26" s="38" t="s">
        <v>169</v>
      </c>
      <c r="AN26" s="38" t="s">
        <v>170</v>
      </c>
      <c r="AO26" s="38" t="s">
        <v>172</v>
      </c>
      <c r="AP26" s="38" t="s">
        <v>171</v>
      </c>
      <c r="AQ26" s="38" t="s">
        <v>169</v>
      </c>
      <c r="AR26" s="38" t="s">
        <v>169</v>
      </c>
      <c r="AS26" s="38" t="s">
        <v>169</v>
      </c>
      <c r="AT26" s="38" t="s">
        <v>172</v>
      </c>
      <c r="AU26" s="38" t="s">
        <v>169</v>
      </c>
      <c r="AV26" s="38" t="s">
        <v>172</v>
      </c>
      <c r="AW26" s="38" t="s">
        <v>169</v>
      </c>
      <c r="AX26" s="38" t="s">
        <v>169</v>
      </c>
      <c r="AY26" s="38" t="s">
        <v>170</v>
      </c>
      <c r="AZ26" s="38" t="s">
        <v>170</v>
      </c>
      <c r="BA26" s="38" t="s">
        <v>170</v>
      </c>
      <c r="BB26" s="38" t="s">
        <v>170</v>
      </c>
      <c r="BC26" s="38" t="s">
        <v>169</v>
      </c>
      <c r="BD26" s="38" t="s">
        <v>169</v>
      </c>
      <c r="BE26" s="38" t="s">
        <v>169</v>
      </c>
      <c r="BF26" s="38" t="s">
        <v>171</v>
      </c>
      <c r="BG26" s="38" t="s">
        <v>171</v>
      </c>
      <c r="BH26" s="38" t="s">
        <v>170</v>
      </c>
      <c r="BI26" s="38" t="s">
        <v>172</v>
      </c>
      <c r="BJ26" s="38" t="s">
        <v>172</v>
      </c>
      <c r="BK26" s="38" t="s">
        <v>172</v>
      </c>
      <c r="BL26" s="38" t="s">
        <v>171</v>
      </c>
      <c r="BM26" s="38" t="s">
        <v>170</v>
      </c>
      <c r="BN26" s="38" t="s">
        <v>170</v>
      </c>
      <c r="BO26" s="38" t="s">
        <v>170</v>
      </c>
      <c r="BP26" s="38" t="s">
        <v>169</v>
      </c>
      <c r="BQ26" s="38" t="s">
        <v>169</v>
      </c>
      <c r="BR26" s="38" t="s">
        <v>170</v>
      </c>
      <c r="BS26" s="38" t="s">
        <v>169</v>
      </c>
      <c r="BT26" s="38" t="s">
        <v>172</v>
      </c>
      <c r="BU26" s="38" t="s">
        <v>169</v>
      </c>
      <c r="BV26" s="38" t="s">
        <v>171</v>
      </c>
      <c r="BW26" s="38" t="s">
        <v>170</v>
      </c>
      <c r="BX26" s="38" t="s">
        <v>170</v>
      </c>
    </row>
    <row r="27" customFormat="false" ht="15" hidden="false" customHeight="true" outlineLevel="0" collapsed="false">
      <c r="A27" s="38" t="s">
        <v>230</v>
      </c>
      <c r="B27" s="38" t="s">
        <v>234</v>
      </c>
      <c r="C27" s="38" t="s">
        <v>202</v>
      </c>
      <c r="D27" s="38" t="s">
        <v>235</v>
      </c>
      <c r="E27" s="38" t="s">
        <v>169</v>
      </c>
      <c r="F27" s="38" t="s">
        <v>169</v>
      </c>
      <c r="G27" s="38" t="s">
        <v>169</v>
      </c>
      <c r="H27" s="38" t="s">
        <v>170</v>
      </c>
      <c r="I27" s="38" t="s">
        <v>170</v>
      </c>
      <c r="J27" s="38" t="s">
        <v>170</v>
      </c>
      <c r="K27" s="38" t="s">
        <v>172</v>
      </c>
      <c r="L27" s="38" t="s">
        <v>171</v>
      </c>
      <c r="M27" s="38" t="s">
        <v>172</v>
      </c>
      <c r="N27" s="38" t="s">
        <v>169</v>
      </c>
      <c r="O27" s="38" t="s">
        <v>170</v>
      </c>
      <c r="P27" s="38" t="s">
        <v>171</v>
      </c>
      <c r="Q27" s="38" t="s">
        <v>170</v>
      </c>
      <c r="R27" s="38" t="s">
        <v>172</v>
      </c>
      <c r="S27" s="38" t="s">
        <v>169</v>
      </c>
      <c r="T27" s="40" t="s">
        <v>176</v>
      </c>
      <c r="U27" s="38" t="s">
        <v>171</v>
      </c>
      <c r="V27" s="38" t="s">
        <v>169</v>
      </c>
      <c r="W27" s="38" t="s">
        <v>169</v>
      </c>
      <c r="X27" s="38" t="s">
        <v>171</v>
      </c>
      <c r="Y27" s="38" t="s">
        <v>172</v>
      </c>
      <c r="Z27" s="38" t="s">
        <v>169</v>
      </c>
      <c r="AA27" s="38" t="s">
        <v>172</v>
      </c>
      <c r="AB27" s="38" t="s">
        <v>169</v>
      </c>
      <c r="AC27" s="38" t="s">
        <v>171</v>
      </c>
      <c r="AD27" s="38" t="s">
        <v>169</v>
      </c>
      <c r="AE27" s="38" t="s">
        <v>170</v>
      </c>
      <c r="AF27" s="38" t="s">
        <v>170</v>
      </c>
      <c r="AG27" s="38" t="s">
        <v>171</v>
      </c>
      <c r="AH27" s="38" t="s">
        <v>170</v>
      </c>
      <c r="AI27" s="38" t="s">
        <v>170</v>
      </c>
      <c r="AJ27" s="38" t="s">
        <v>171</v>
      </c>
      <c r="AK27" s="38" t="s">
        <v>171</v>
      </c>
      <c r="AL27" s="38" t="s">
        <v>171</v>
      </c>
      <c r="AM27" s="38" t="s">
        <v>169</v>
      </c>
      <c r="AN27" s="38" t="s">
        <v>170</v>
      </c>
      <c r="AO27" s="38" t="s">
        <v>172</v>
      </c>
      <c r="AP27" s="38" t="s">
        <v>172</v>
      </c>
      <c r="AQ27" s="38" t="s">
        <v>169</v>
      </c>
      <c r="AR27" s="38" t="s">
        <v>169</v>
      </c>
      <c r="AS27" s="38" t="s">
        <v>172</v>
      </c>
      <c r="AT27" s="38" t="s">
        <v>169</v>
      </c>
      <c r="AU27" s="38" t="s">
        <v>169</v>
      </c>
      <c r="AV27" s="38" t="s">
        <v>172</v>
      </c>
      <c r="AW27" s="38" t="s">
        <v>171</v>
      </c>
      <c r="AX27" s="38" t="s">
        <v>169</v>
      </c>
      <c r="AY27" s="38" t="s">
        <v>170</v>
      </c>
      <c r="AZ27" s="38" t="s">
        <v>170</v>
      </c>
      <c r="BA27" s="38" t="s">
        <v>170</v>
      </c>
      <c r="BB27" s="38" t="s">
        <v>172</v>
      </c>
      <c r="BC27" s="38" t="s">
        <v>169</v>
      </c>
      <c r="BD27" s="38" t="s">
        <v>169</v>
      </c>
      <c r="BE27" s="38" t="s">
        <v>169</v>
      </c>
      <c r="BF27" s="38" t="s">
        <v>171</v>
      </c>
      <c r="BG27" s="38" t="s">
        <v>171</v>
      </c>
      <c r="BH27" s="38" t="s">
        <v>170</v>
      </c>
      <c r="BI27" s="38" t="s">
        <v>169</v>
      </c>
      <c r="BJ27" s="38" t="s">
        <v>172</v>
      </c>
      <c r="BK27" s="38" t="s">
        <v>172</v>
      </c>
      <c r="BL27" s="38" t="s">
        <v>171</v>
      </c>
      <c r="BM27" s="38" t="s">
        <v>170</v>
      </c>
      <c r="BN27" s="38" t="s">
        <v>170</v>
      </c>
      <c r="BO27" s="38" t="s">
        <v>170</v>
      </c>
      <c r="BP27" s="38" t="s">
        <v>171</v>
      </c>
      <c r="BQ27" s="38" t="s">
        <v>169</v>
      </c>
      <c r="BR27" s="38" t="s">
        <v>171</v>
      </c>
      <c r="BS27" s="38" t="s">
        <v>169</v>
      </c>
      <c r="BT27" s="38" t="s">
        <v>169</v>
      </c>
      <c r="BU27" s="38" t="s">
        <v>169</v>
      </c>
      <c r="BV27" s="38" t="s">
        <v>171</v>
      </c>
      <c r="BW27" s="38" t="s">
        <v>170</v>
      </c>
      <c r="BX27" s="38" t="s">
        <v>170</v>
      </c>
    </row>
    <row r="28" customFormat="false" ht="15" hidden="false" customHeight="true" outlineLevel="0" collapsed="false">
      <c r="A28" s="38" t="s">
        <v>230</v>
      </c>
      <c r="B28" s="38" t="s">
        <v>236</v>
      </c>
      <c r="C28" s="38" t="s">
        <v>205</v>
      </c>
      <c r="D28" s="38" t="s">
        <v>206</v>
      </c>
      <c r="E28" s="38" t="s">
        <v>169</v>
      </c>
      <c r="F28" s="38" t="s">
        <v>169</v>
      </c>
      <c r="G28" s="38" t="s">
        <v>169</v>
      </c>
      <c r="H28" s="38" t="s">
        <v>170</v>
      </c>
      <c r="I28" s="38" t="s">
        <v>170</v>
      </c>
      <c r="J28" s="38" t="s">
        <v>170</v>
      </c>
      <c r="K28" s="38" t="s">
        <v>169</v>
      </c>
      <c r="L28" s="38" t="s">
        <v>171</v>
      </c>
      <c r="M28" s="38" t="s">
        <v>172</v>
      </c>
      <c r="N28" s="38" t="s">
        <v>169</v>
      </c>
      <c r="O28" s="38" t="s">
        <v>170</v>
      </c>
      <c r="P28" s="38" t="s">
        <v>171</v>
      </c>
      <c r="Q28" s="38" t="s">
        <v>170</v>
      </c>
      <c r="R28" s="38" t="s">
        <v>172</v>
      </c>
      <c r="S28" s="38" t="s">
        <v>169</v>
      </c>
      <c r="T28" s="40" t="s">
        <v>176</v>
      </c>
      <c r="U28" s="38" t="s">
        <v>171</v>
      </c>
      <c r="V28" s="38" t="s">
        <v>169</v>
      </c>
      <c r="W28" s="38" t="s">
        <v>169</v>
      </c>
      <c r="X28" s="38" t="s">
        <v>172</v>
      </c>
      <c r="Y28" s="38" t="s">
        <v>172</v>
      </c>
      <c r="Z28" s="38" t="s">
        <v>169</v>
      </c>
      <c r="AA28" s="38" t="s">
        <v>172</v>
      </c>
      <c r="AB28" s="38" t="s">
        <v>169</v>
      </c>
      <c r="AC28" s="38" t="s">
        <v>171</v>
      </c>
      <c r="AD28" s="38" t="s">
        <v>169</v>
      </c>
      <c r="AE28" s="38" t="s">
        <v>170</v>
      </c>
      <c r="AF28" s="38" t="s">
        <v>171</v>
      </c>
      <c r="AG28" s="38" t="s">
        <v>171</v>
      </c>
      <c r="AH28" s="38" t="s">
        <v>169</v>
      </c>
      <c r="AI28" s="38" t="s">
        <v>169</v>
      </c>
      <c r="AJ28" s="38" t="s">
        <v>171</v>
      </c>
      <c r="AK28" s="38" t="s">
        <v>171</v>
      </c>
      <c r="AL28" s="38" t="s">
        <v>170</v>
      </c>
      <c r="AM28" s="38" t="s">
        <v>170</v>
      </c>
      <c r="AN28" s="38" t="s">
        <v>169</v>
      </c>
      <c r="AO28" s="38" t="s">
        <v>169</v>
      </c>
      <c r="AP28" s="38" t="s">
        <v>172</v>
      </c>
      <c r="AQ28" s="38" t="s">
        <v>170</v>
      </c>
      <c r="AR28" s="38" t="s">
        <v>170</v>
      </c>
      <c r="AS28" s="38" t="s">
        <v>172</v>
      </c>
      <c r="AT28" s="38" t="s">
        <v>172</v>
      </c>
      <c r="AU28" s="38" t="s">
        <v>169</v>
      </c>
      <c r="AV28" s="38" t="s">
        <v>172</v>
      </c>
      <c r="AW28" s="38" t="s">
        <v>171</v>
      </c>
      <c r="AX28" s="38" t="s">
        <v>169</v>
      </c>
      <c r="AY28" s="38" t="s">
        <v>170</v>
      </c>
      <c r="AZ28" s="38" t="s">
        <v>170</v>
      </c>
      <c r="BA28" s="38" t="s">
        <v>169</v>
      </c>
      <c r="BB28" s="38" t="s">
        <v>170</v>
      </c>
      <c r="BC28" s="38" t="s">
        <v>169</v>
      </c>
      <c r="BD28" s="38" t="s">
        <v>169</v>
      </c>
      <c r="BE28" s="38" t="s">
        <v>169</v>
      </c>
      <c r="BF28" s="38" t="s">
        <v>171</v>
      </c>
      <c r="BG28" s="38" t="s">
        <v>171</v>
      </c>
      <c r="BH28" s="38" t="s">
        <v>170</v>
      </c>
      <c r="BI28" s="38" t="s">
        <v>172</v>
      </c>
      <c r="BJ28" s="38" t="s">
        <v>172</v>
      </c>
      <c r="BK28" s="38" t="s">
        <v>172</v>
      </c>
      <c r="BL28" s="38" t="s">
        <v>171</v>
      </c>
      <c r="BM28" s="38" t="s">
        <v>170</v>
      </c>
      <c r="BN28" s="38" t="s">
        <v>170</v>
      </c>
      <c r="BO28" s="38" t="s">
        <v>170</v>
      </c>
      <c r="BP28" s="38" t="s">
        <v>169</v>
      </c>
      <c r="BQ28" s="38" t="s">
        <v>171</v>
      </c>
      <c r="BR28" s="38" t="s">
        <v>170</v>
      </c>
      <c r="BS28" s="38" t="s">
        <v>169</v>
      </c>
      <c r="BT28" s="38" t="s">
        <v>169</v>
      </c>
      <c r="BU28" s="38" t="s">
        <v>169</v>
      </c>
      <c r="BV28" s="38" t="s">
        <v>171</v>
      </c>
      <c r="BW28" s="38" t="s">
        <v>170</v>
      </c>
      <c r="BX28" s="38" t="s">
        <v>170</v>
      </c>
    </row>
    <row r="29" customFormat="false" ht="15" hidden="false" customHeight="true" outlineLevel="0" collapsed="false">
      <c r="A29" s="38" t="s">
        <v>230</v>
      </c>
      <c r="B29" s="38" t="s">
        <v>237</v>
      </c>
      <c r="C29" s="38" t="s">
        <v>211</v>
      </c>
      <c r="D29" s="38" t="s">
        <v>212</v>
      </c>
      <c r="E29" s="38" t="s">
        <v>169</v>
      </c>
      <c r="F29" s="38" t="s">
        <v>170</v>
      </c>
      <c r="G29" s="38" t="s">
        <v>169</v>
      </c>
      <c r="H29" s="38" t="s">
        <v>170</v>
      </c>
      <c r="I29" s="38" t="s">
        <v>170</v>
      </c>
      <c r="J29" s="38" t="s">
        <v>169</v>
      </c>
      <c r="K29" s="38" t="s">
        <v>172</v>
      </c>
      <c r="L29" s="38" t="s">
        <v>171</v>
      </c>
      <c r="M29" s="38" t="s">
        <v>169</v>
      </c>
      <c r="N29" s="38" t="s">
        <v>169</v>
      </c>
      <c r="O29" s="38" t="s">
        <v>171</v>
      </c>
      <c r="P29" s="38" t="s">
        <v>170</v>
      </c>
      <c r="Q29" s="38" t="s">
        <v>170</v>
      </c>
      <c r="R29" s="38" t="s">
        <v>172</v>
      </c>
      <c r="S29" s="38" t="s">
        <v>169</v>
      </c>
      <c r="T29" s="40" t="s">
        <v>176</v>
      </c>
      <c r="U29" s="38" t="s">
        <v>171</v>
      </c>
      <c r="V29" s="38" t="s">
        <v>169</v>
      </c>
      <c r="W29" s="38" t="s">
        <v>169</v>
      </c>
      <c r="X29" s="38" t="s">
        <v>171</v>
      </c>
      <c r="Y29" s="38" t="s">
        <v>172</v>
      </c>
      <c r="Z29" s="38" t="s">
        <v>169</v>
      </c>
      <c r="AA29" s="38" t="s">
        <v>169</v>
      </c>
      <c r="AB29" s="38" t="s">
        <v>172</v>
      </c>
      <c r="AC29" s="38" t="s">
        <v>170</v>
      </c>
      <c r="AD29" s="38" t="s">
        <v>172</v>
      </c>
      <c r="AE29" s="38" t="s">
        <v>170</v>
      </c>
      <c r="AF29" s="38" t="s">
        <v>169</v>
      </c>
      <c r="AG29" s="38" t="s">
        <v>172</v>
      </c>
      <c r="AH29" s="38" t="s">
        <v>169</v>
      </c>
      <c r="AI29" s="38" t="s">
        <v>170</v>
      </c>
      <c r="AJ29" s="38" t="s">
        <v>171</v>
      </c>
      <c r="AK29" s="38" t="s">
        <v>171</v>
      </c>
      <c r="AL29" s="38" t="s">
        <v>170</v>
      </c>
      <c r="AM29" s="38" t="s">
        <v>170</v>
      </c>
      <c r="AN29" s="38" t="s">
        <v>170</v>
      </c>
      <c r="AO29" s="38" t="s">
        <v>172</v>
      </c>
      <c r="AP29" s="38" t="s">
        <v>172</v>
      </c>
      <c r="AQ29" s="38" t="s">
        <v>169</v>
      </c>
      <c r="AR29" s="38" t="s">
        <v>170</v>
      </c>
      <c r="AS29" s="38" t="s">
        <v>171</v>
      </c>
      <c r="AT29" s="38" t="s">
        <v>170</v>
      </c>
      <c r="AU29" s="38" t="s">
        <v>169</v>
      </c>
      <c r="AV29" s="38" t="s">
        <v>169</v>
      </c>
      <c r="AW29" s="38" t="s">
        <v>172</v>
      </c>
      <c r="AX29" s="40" t="s">
        <v>176</v>
      </c>
      <c r="AY29" s="38" t="s">
        <v>169</v>
      </c>
      <c r="AZ29" s="38" t="s">
        <v>170</v>
      </c>
      <c r="BA29" s="38" t="s">
        <v>170</v>
      </c>
      <c r="BB29" s="38" t="s">
        <v>170</v>
      </c>
      <c r="BC29" s="38" t="s">
        <v>169</v>
      </c>
      <c r="BD29" s="38" t="s">
        <v>169</v>
      </c>
      <c r="BE29" s="38" t="s">
        <v>169</v>
      </c>
      <c r="BF29" s="38" t="s">
        <v>171</v>
      </c>
      <c r="BG29" s="38" t="s">
        <v>171</v>
      </c>
      <c r="BH29" s="38" t="s">
        <v>170</v>
      </c>
      <c r="BI29" s="38" t="s">
        <v>172</v>
      </c>
      <c r="BJ29" s="38" t="s">
        <v>172</v>
      </c>
      <c r="BK29" s="38" t="s">
        <v>171</v>
      </c>
      <c r="BL29" s="38" t="s">
        <v>171</v>
      </c>
      <c r="BM29" s="38" t="s">
        <v>170</v>
      </c>
      <c r="BN29" s="38" t="s">
        <v>170</v>
      </c>
      <c r="BO29" s="38" t="s">
        <v>170</v>
      </c>
      <c r="BP29" s="38" t="s">
        <v>169</v>
      </c>
      <c r="BQ29" s="38" t="s">
        <v>169</v>
      </c>
      <c r="BR29" s="38" t="s">
        <v>171</v>
      </c>
      <c r="BS29" s="38" t="s">
        <v>170</v>
      </c>
      <c r="BT29" s="38" t="s">
        <v>169</v>
      </c>
      <c r="BU29" s="38" t="s">
        <v>169</v>
      </c>
      <c r="BV29" s="38" t="s">
        <v>170</v>
      </c>
      <c r="BW29" s="38" t="s">
        <v>169</v>
      </c>
      <c r="BX29" s="38" t="s">
        <v>170</v>
      </c>
    </row>
    <row r="30" customFormat="false" ht="15" hidden="false" customHeight="true" outlineLevel="0" collapsed="false">
      <c r="A30" s="38" t="s">
        <v>230</v>
      </c>
      <c r="B30" s="38" t="s">
        <v>238</v>
      </c>
      <c r="C30" s="38" t="s">
        <v>216</v>
      </c>
      <c r="D30" s="38" t="s">
        <v>217</v>
      </c>
      <c r="E30" s="38" t="s">
        <v>169</v>
      </c>
      <c r="F30" s="38" t="s">
        <v>169</v>
      </c>
      <c r="G30" s="38" t="s">
        <v>169</v>
      </c>
      <c r="H30" s="38" t="s">
        <v>170</v>
      </c>
      <c r="I30" s="38" t="s">
        <v>170</v>
      </c>
      <c r="J30" s="38" t="s">
        <v>172</v>
      </c>
      <c r="K30" s="38" t="s">
        <v>172</v>
      </c>
      <c r="L30" s="38" t="s">
        <v>171</v>
      </c>
      <c r="M30" s="38" t="s">
        <v>172</v>
      </c>
      <c r="N30" s="38" t="s">
        <v>169</v>
      </c>
      <c r="O30" s="38" t="s">
        <v>170</v>
      </c>
      <c r="P30" s="38" t="s">
        <v>171</v>
      </c>
      <c r="Q30" s="38" t="s">
        <v>170</v>
      </c>
      <c r="R30" s="38" t="s">
        <v>172</v>
      </c>
      <c r="S30" s="38" t="s">
        <v>169</v>
      </c>
      <c r="T30" s="38" t="s">
        <v>171</v>
      </c>
      <c r="U30" s="38" t="s">
        <v>170</v>
      </c>
      <c r="V30" s="38" t="s">
        <v>169</v>
      </c>
      <c r="W30" s="38" t="s">
        <v>169</v>
      </c>
      <c r="X30" s="38" t="s">
        <v>171</v>
      </c>
      <c r="Y30" s="38" t="s">
        <v>171</v>
      </c>
      <c r="Z30" s="38" t="s">
        <v>169</v>
      </c>
      <c r="AA30" s="38" t="s">
        <v>172</v>
      </c>
      <c r="AB30" s="38" t="s">
        <v>169</v>
      </c>
      <c r="AC30" s="38" t="s">
        <v>170</v>
      </c>
      <c r="AD30" s="38" t="s">
        <v>169</v>
      </c>
      <c r="AE30" s="38" t="s">
        <v>170</v>
      </c>
      <c r="AF30" s="38" t="s">
        <v>171</v>
      </c>
      <c r="AG30" s="38" t="s">
        <v>170</v>
      </c>
      <c r="AH30" s="38" t="s">
        <v>169</v>
      </c>
      <c r="AI30" s="38" t="s">
        <v>169</v>
      </c>
      <c r="AJ30" s="38" t="s">
        <v>170</v>
      </c>
      <c r="AK30" s="38" t="s">
        <v>171</v>
      </c>
      <c r="AL30" s="38" t="s">
        <v>169</v>
      </c>
      <c r="AM30" s="38" t="s">
        <v>172</v>
      </c>
      <c r="AN30" s="38" t="s">
        <v>171</v>
      </c>
      <c r="AO30" s="38" t="s">
        <v>172</v>
      </c>
      <c r="AP30" s="38" t="s">
        <v>172</v>
      </c>
      <c r="AQ30" s="38" t="s">
        <v>170</v>
      </c>
      <c r="AR30" s="38" t="s">
        <v>170</v>
      </c>
      <c r="AS30" s="38" t="s">
        <v>169</v>
      </c>
      <c r="AT30" s="38" t="s">
        <v>169</v>
      </c>
      <c r="AU30" s="38" t="s">
        <v>169</v>
      </c>
      <c r="AV30" s="38" t="s">
        <v>172</v>
      </c>
      <c r="AW30" s="38" t="s">
        <v>169</v>
      </c>
      <c r="AX30" s="38" t="s">
        <v>169</v>
      </c>
      <c r="AY30" s="38" t="s">
        <v>170</v>
      </c>
      <c r="AZ30" s="38" t="s">
        <v>170</v>
      </c>
      <c r="BA30" s="38" t="s">
        <v>170</v>
      </c>
      <c r="BB30" s="38" t="s">
        <v>169</v>
      </c>
      <c r="BC30" s="38" t="s">
        <v>170</v>
      </c>
      <c r="BD30" s="38" t="s">
        <v>169</v>
      </c>
      <c r="BE30" s="38" t="s">
        <v>169</v>
      </c>
      <c r="BF30" s="38" t="s">
        <v>171</v>
      </c>
      <c r="BG30" s="38" t="s">
        <v>171</v>
      </c>
      <c r="BH30" s="38" t="s">
        <v>170</v>
      </c>
      <c r="BI30" s="38" t="s">
        <v>172</v>
      </c>
      <c r="BJ30" s="38" t="s">
        <v>172</v>
      </c>
      <c r="BK30" s="38" t="s">
        <v>172</v>
      </c>
      <c r="BL30" s="38" t="s">
        <v>171</v>
      </c>
      <c r="BM30" s="38" t="s">
        <v>170</v>
      </c>
      <c r="BN30" s="38" t="s">
        <v>170</v>
      </c>
      <c r="BO30" s="38" t="s">
        <v>169</v>
      </c>
      <c r="BP30" s="38" t="s">
        <v>170</v>
      </c>
      <c r="BQ30" s="38" t="s">
        <v>169</v>
      </c>
      <c r="BR30" s="38" t="s">
        <v>171</v>
      </c>
      <c r="BS30" s="38" t="s">
        <v>171</v>
      </c>
      <c r="BT30" s="38" t="s">
        <v>169</v>
      </c>
      <c r="BU30" s="38" t="s">
        <v>169</v>
      </c>
      <c r="BV30" s="38" t="s">
        <v>170</v>
      </c>
      <c r="BW30" s="38" t="s">
        <v>170</v>
      </c>
      <c r="BX30" s="38" t="s">
        <v>170</v>
      </c>
    </row>
    <row r="31" customFormat="false" ht="15" hidden="false" customHeight="true" outlineLevel="0" collapsed="false">
      <c r="A31" s="38" t="s">
        <v>230</v>
      </c>
      <c r="B31" s="38" t="s">
        <v>239</v>
      </c>
      <c r="C31" s="38" t="s">
        <v>240</v>
      </c>
      <c r="D31" s="38" t="s">
        <v>241</v>
      </c>
      <c r="E31" s="38" t="s">
        <v>169</v>
      </c>
      <c r="F31" s="38" t="s">
        <v>170</v>
      </c>
      <c r="G31" s="38" t="s">
        <v>170</v>
      </c>
      <c r="H31" s="38" t="s">
        <v>169</v>
      </c>
      <c r="I31" s="38" t="s">
        <v>170</v>
      </c>
      <c r="J31" s="38" t="s">
        <v>170</v>
      </c>
      <c r="K31" s="38" t="s">
        <v>171</v>
      </c>
      <c r="L31" s="38" t="s">
        <v>171</v>
      </c>
      <c r="M31" s="38" t="s">
        <v>172</v>
      </c>
      <c r="N31" s="38" t="s">
        <v>169</v>
      </c>
      <c r="O31" s="38" t="s">
        <v>170</v>
      </c>
      <c r="P31" s="38" t="s">
        <v>171</v>
      </c>
      <c r="Q31" s="38" t="s">
        <v>170</v>
      </c>
      <c r="R31" s="38" t="s">
        <v>172</v>
      </c>
      <c r="S31" s="38" t="s">
        <v>169</v>
      </c>
      <c r="T31" s="38" t="s">
        <v>172</v>
      </c>
      <c r="U31" s="38" t="s">
        <v>170</v>
      </c>
      <c r="V31" s="38" t="s">
        <v>169</v>
      </c>
      <c r="W31" s="38" t="s">
        <v>169</v>
      </c>
      <c r="X31" s="38" t="s">
        <v>169</v>
      </c>
      <c r="Y31" s="38" t="s">
        <v>172</v>
      </c>
      <c r="Z31" s="38" t="s">
        <v>169</v>
      </c>
      <c r="AA31" s="38" t="s">
        <v>172</v>
      </c>
      <c r="AB31" s="38" t="s">
        <v>169</v>
      </c>
      <c r="AC31" s="38" t="s">
        <v>170</v>
      </c>
      <c r="AD31" s="38" t="s">
        <v>172</v>
      </c>
      <c r="AE31" s="38" t="s">
        <v>170</v>
      </c>
      <c r="AF31" s="38" t="s">
        <v>171</v>
      </c>
      <c r="AG31" s="38" t="s">
        <v>170</v>
      </c>
      <c r="AH31" s="38" t="s">
        <v>169</v>
      </c>
      <c r="AI31" s="38" t="s">
        <v>172</v>
      </c>
      <c r="AJ31" s="38" t="s">
        <v>170</v>
      </c>
      <c r="AK31" s="38" t="s">
        <v>171</v>
      </c>
      <c r="AL31" s="38" t="s">
        <v>169</v>
      </c>
      <c r="AM31" s="38" t="s">
        <v>172</v>
      </c>
      <c r="AN31" s="38" t="s">
        <v>172</v>
      </c>
      <c r="AO31" s="38" t="s">
        <v>169</v>
      </c>
      <c r="AP31" s="38" t="s">
        <v>172</v>
      </c>
      <c r="AQ31" s="38" t="s">
        <v>171</v>
      </c>
      <c r="AR31" s="38" t="s">
        <v>170</v>
      </c>
      <c r="AS31" s="38" t="s">
        <v>169</v>
      </c>
      <c r="AT31" s="38" t="s">
        <v>172</v>
      </c>
      <c r="AU31" s="38" t="s">
        <v>169</v>
      </c>
      <c r="AV31" s="38" t="s">
        <v>170</v>
      </c>
      <c r="AW31" s="38" t="s">
        <v>171</v>
      </c>
      <c r="AX31" s="38" t="s">
        <v>169</v>
      </c>
      <c r="AY31" s="38" t="s">
        <v>171</v>
      </c>
      <c r="AZ31" s="38" t="s">
        <v>170</v>
      </c>
      <c r="BA31" s="38" t="s">
        <v>170</v>
      </c>
      <c r="BB31" s="38" t="s">
        <v>170</v>
      </c>
      <c r="BC31" s="38" t="s">
        <v>170</v>
      </c>
      <c r="BD31" s="38" t="s">
        <v>169</v>
      </c>
      <c r="BE31" s="38" t="s">
        <v>169</v>
      </c>
      <c r="BF31" s="38" t="s">
        <v>171</v>
      </c>
      <c r="BG31" s="38" t="s">
        <v>171</v>
      </c>
      <c r="BH31" s="38" t="s">
        <v>170</v>
      </c>
      <c r="BI31" s="38" t="s">
        <v>172</v>
      </c>
      <c r="BJ31" s="38" t="s">
        <v>172</v>
      </c>
      <c r="BK31" s="38" t="s">
        <v>172</v>
      </c>
      <c r="BL31" s="38" t="s">
        <v>171</v>
      </c>
      <c r="BM31" s="38" t="s">
        <v>170</v>
      </c>
      <c r="BN31" s="38" t="s">
        <v>170</v>
      </c>
      <c r="BO31" s="38" t="s">
        <v>169</v>
      </c>
      <c r="BP31" s="38" t="s">
        <v>169</v>
      </c>
      <c r="BQ31" s="38" t="s">
        <v>169</v>
      </c>
      <c r="BR31" s="38" t="s">
        <v>172</v>
      </c>
      <c r="BS31" s="38" t="s">
        <v>169</v>
      </c>
      <c r="BT31" s="38" t="s">
        <v>169</v>
      </c>
      <c r="BU31" s="38" t="s">
        <v>170</v>
      </c>
      <c r="BV31" s="38" t="s">
        <v>169</v>
      </c>
      <c r="BW31" s="38" t="s">
        <v>169</v>
      </c>
      <c r="BX31" s="38" t="s">
        <v>170</v>
      </c>
    </row>
    <row r="32" customFormat="false" ht="15" hidden="false" customHeight="true" outlineLevel="0" collapsed="false">
      <c r="A32" s="38" t="s">
        <v>230</v>
      </c>
      <c r="B32" s="38" t="s">
        <v>242</v>
      </c>
      <c r="C32" s="38" t="s">
        <v>219</v>
      </c>
      <c r="D32" s="38" t="s">
        <v>243</v>
      </c>
      <c r="E32" s="38" t="s">
        <v>169</v>
      </c>
      <c r="F32" s="38" t="s">
        <v>169</v>
      </c>
      <c r="G32" s="38" t="s">
        <v>169</v>
      </c>
      <c r="H32" s="38" t="s">
        <v>172</v>
      </c>
      <c r="I32" s="38" t="s">
        <v>170</v>
      </c>
      <c r="J32" s="38" t="s">
        <v>170</v>
      </c>
      <c r="K32" s="38" t="s">
        <v>169</v>
      </c>
      <c r="L32" s="38" t="s">
        <v>171</v>
      </c>
      <c r="M32" s="38" t="s">
        <v>169</v>
      </c>
      <c r="N32" s="38" t="s">
        <v>169</v>
      </c>
      <c r="O32" s="38" t="s">
        <v>169</v>
      </c>
      <c r="P32" s="38" t="s">
        <v>171</v>
      </c>
      <c r="Q32" s="38" t="s">
        <v>171</v>
      </c>
      <c r="R32" s="38" t="s">
        <v>172</v>
      </c>
      <c r="S32" s="38" t="s">
        <v>169</v>
      </c>
      <c r="T32" s="38" t="s">
        <v>170</v>
      </c>
      <c r="U32" s="38" t="s">
        <v>170</v>
      </c>
      <c r="V32" s="38" t="s">
        <v>169</v>
      </c>
      <c r="W32" s="38" t="s">
        <v>169</v>
      </c>
      <c r="X32" s="38" t="s">
        <v>171</v>
      </c>
      <c r="Y32" s="38" t="s">
        <v>172</v>
      </c>
      <c r="Z32" s="38" t="s">
        <v>171</v>
      </c>
      <c r="AA32" s="38" t="s">
        <v>172</v>
      </c>
      <c r="AB32" s="38" t="s">
        <v>170</v>
      </c>
      <c r="AC32" s="38" t="s">
        <v>171</v>
      </c>
      <c r="AD32" s="38" t="s">
        <v>171</v>
      </c>
      <c r="AE32" s="38" t="s">
        <v>170</v>
      </c>
      <c r="AF32" s="38" t="s">
        <v>169</v>
      </c>
      <c r="AG32" s="38" t="s">
        <v>169</v>
      </c>
      <c r="AH32" s="38" t="s">
        <v>169</v>
      </c>
      <c r="AI32" s="38" t="s">
        <v>170</v>
      </c>
      <c r="AJ32" s="38" t="s">
        <v>170</v>
      </c>
      <c r="AK32" s="38" t="s">
        <v>171</v>
      </c>
      <c r="AL32" s="38" t="s">
        <v>171</v>
      </c>
      <c r="AM32" s="38" t="s">
        <v>169</v>
      </c>
      <c r="AN32" s="38" t="s">
        <v>169</v>
      </c>
      <c r="AO32" s="38" t="s">
        <v>169</v>
      </c>
      <c r="AP32" s="38" t="s">
        <v>171</v>
      </c>
      <c r="AQ32" s="38" t="s">
        <v>169</v>
      </c>
      <c r="AR32" s="38" t="s">
        <v>170</v>
      </c>
      <c r="AS32" s="38" t="s">
        <v>170</v>
      </c>
      <c r="AT32" s="38" t="s">
        <v>170</v>
      </c>
      <c r="AU32" s="38" t="s">
        <v>169</v>
      </c>
      <c r="AV32" s="38" t="s">
        <v>171</v>
      </c>
      <c r="AW32" s="38" t="s">
        <v>169</v>
      </c>
      <c r="AX32" s="40" t="s">
        <v>176</v>
      </c>
      <c r="AY32" s="38" t="s">
        <v>172</v>
      </c>
      <c r="AZ32" s="38" t="s">
        <v>170</v>
      </c>
      <c r="BA32" s="38" t="s">
        <v>170</v>
      </c>
      <c r="BB32" s="38" t="s">
        <v>170</v>
      </c>
      <c r="BC32" s="38" t="s">
        <v>170</v>
      </c>
      <c r="BD32" s="38" t="s">
        <v>169</v>
      </c>
      <c r="BE32" s="38" t="s">
        <v>169</v>
      </c>
      <c r="BF32" s="38" t="s">
        <v>171</v>
      </c>
      <c r="BG32" s="38" t="s">
        <v>171</v>
      </c>
      <c r="BH32" s="38" t="s">
        <v>170</v>
      </c>
      <c r="BI32" s="38" t="s">
        <v>172</v>
      </c>
      <c r="BJ32" s="38" t="s">
        <v>172</v>
      </c>
      <c r="BK32" s="38" t="s">
        <v>172</v>
      </c>
      <c r="BL32" s="38" t="s">
        <v>171</v>
      </c>
      <c r="BM32" s="38" t="s">
        <v>170</v>
      </c>
      <c r="BN32" s="38" t="s">
        <v>170</v>
      </c>
      <c r="BO32" s="38" t="s">
        <v>169</v>
      </c>
      <c r="BP32" s="38" t="s">
        <v>169</v>
      </c>
      <c r="BQ32" s="38" t="s">
        <v>169</v>
      </c>
      <c r="BR32" s="38" t="s">
        <v>170</v>
      </c>
      <c r="BS32" s="38" t="s">
        <v>169</v>
      </c>
      <c r="BT32" s="38" t="s">
        <v>169</v>
      </c>
      <c r="BU32" s="38" t="s">
        <v>171</v>
      </c>
      <c r="BV32" s="38" t="s">
        <v>170</v>
      </c>
      <c r="BW32" s="38" t="s">
        <v>170</v>
      </c>
      <c r="BX32" s="38" t="s">
        <v>170</v>
      </c>
    </row>
    <row r="33" customFormat="false" ht="15" hidden="false" customHeight="true" outlineLevel="0" collapsed="false">
      <c r="A33" s="38" t="s">
        <v>230</v>
      </c>
      <c r="B33" s="38" t="s">
        <v>244</v>
      </c>
      <c r="C33" s="38" t="s">
        <v>224</v>
      </c>
      <c r="D33" s="38" t="s">
        <v>196</v>
      </c>
      <c r="E33" s="38" t="s">
        <v>169</v>
      </c>
      <c r="F33" s="38" t="s">
        <v>170</v>
      </c>
      <c r="G33" s="38" t="s">
        <v>170</v>
      </c>
      <c r="H33" s="38" t="s">
        <v>169</v>
      </c>
      <c r="I33" s="38" t="s">
        <v>169</v>
      </c>
      <c r="J33" s="38" t="s">
        <v>171</v>
      </c>
      <c r="K33" s="38" t="s">
        <v>169</v>
      </c>
      <c r="L33" s="38" t="s">
        <v>171</v>
      </c>
      <c r="M33" s="38" t="s">
        <v>172</v>
      </c>
      <c r="N33" s="38" t="s">
        <v>169</v>
      </c>
      <c r="O33" s="38" t="s">
        <v>170</v>
      </c>
      <c r="P33" s="38" t="s">
        <v>171</v>
      </c>
      <c r="Q33" s="38" t="s">
        <v>170</v>
      </c>
      <c r="R33" s="38" t="s">
        <v>172</v>
      </c>
      <c r="S33" s="38" t="s">
        <v>169</v>
      </c>
      <c r="T33" s="38" t="s">
        <v>171</v>
      </c>
      <c r="U33" s="38" t="s">
        <v>171</v>
      </c>
      <c r="V33" s="38" t="s">
        <v>169</v>
      </c>
      <c r="W33" s="38" t="s">
        <v>169</v>
      </c>
      <c r="X33" s="38" t="s">
        <v>170</v>
      </c>
      <c r="Y33" s="38" t="s">
        <v>172</v>
      </c>
      <c r="Z33" s="38" t="s">
        <v>169</v>
      </c>
      <c r="AA33" s="38" t="s">
        <v>172</v>
      </c>
      <c r="AB33" s="38" t="s">
        <v>169</v>
      </c>
      <c r="AC33" s="38" t="s">
        <v>170</v>
      </c>
      <c r="AD33" s="38" t="s">
        <v>169</v>
      </c>
      <c r="AE33" s="38" t="s">
        <v>172</v>
      </c>
      <c r="AF33" s="38" t="s">
        <v>171</v>
      </c>
      <c r="AG33" s="38" t="s">
        <v>171</v>
      </c>
      <c r="AH33" s="38" t="s">
        <v>170</v>
      </c>
      <c r="AI33" s="38" t="s">
        <v>170</v>
      </c>
      <c r="AJ33" s="38" t="s">
        <v>171</v>
      </c>
      <c r="AK33" s="38" t="s">
        <v>171</v>
      </c>
      <c r="AL33" s="38" t="s">
        <v>170</v>
      </c>
      <c r="AM33" s="38" t="s">
        <v>169</v>
      </c>
      <c r="AN33" s="38" t="s">
        <v>171</v>
      </c>
      <c r="AO33" s="38" t="s">
        <v>172</v>
      </c>
      <c r="AP33" s="38" t="s">
        <v>172</v>
      </c>
      <c r="AQ33" s="38" t="s">
        <v>169</v>
      </c>
      <c r="AR33" s="38" t="s">
        <v>169</v>
      </c>
      <c r="AS33" s="38" t="s">
        <v>172</v>
      </c>
      <c r="AT33" s="38" t="s">
        <v>172</v>
      </c>
      <c r="AU33" s="38" t="s">
        <v>171</v>
      </c>
      <c r="AV33" s="38" t="s">
        <v>172</v>
      </c>
      <c r="AW33" s="38" t="s">
        <v>169</v>
      </c>
      <c r="AX33" s="38" t="s">
        <v>169</v>
      </c>
      <c r="AY33" s="38" t="s">
        <v>170</v>
      </c>
      <c r="AZ33" s="38" t="s">
        <v>170</v>
      </c>
      <c r="BA33" s="38" t="s">
        <v>169</v>
      </c>
      <c r="BB33" s="38" t="s">
        <v>172</v>
      </c>
      <c r="BC33" s="38" t="s">
        <v>169</v>
      </c>
      <c r="BD33" s="38" t="s">
        <v>169</v>
      </c>
      <c r="BE33" s="38" t="s">
        <v>169</v>
      </c>
      <c r="BF33" s="38" t="s">
        <v>171</v>
      </c>
      <c r="BG33" s="38" t="s">
        <v>171</v>
      </c>
      <c r="BH33" s="38" t="s">
        <v>170</v>
      </c>
      <c r="BI33" s="38" t="s">
        <v>172</v>
      </c>
      <c r="BJ33" s="38" t="s">
        <v>172</v>
      </c>
      <c r="BK33" s="38" t="s">
        <v>172</v>
      </c>
      <c r="BL33" s="38" t="s">
        <v>171</v>
      </c>
      <c r="BM33" s="38" t="s">
        <v>170</v>
      </c>
      <c r="BN33" s="38" t="s">
        <v>170</v>
      </c>
      <c r="BO33" s="38" t="s">
        <v>170</v>
      </c>
      <c r="BP33" s="38" t="s">
        <v>171</v>
      </c>
      <c r="BQ33" s="38" t="s">
        <v>170</v>
      </c>
      <c r="BR33" s="38" t="s">
        <v>170</v>
      </c>
      <c r="BS33" s="38" t="s">
        <v>172</v>
      </c>
      <c r="BT33" s="38" t="s">
        <v>170</v>
      </c>
      <c r="BU33" s="38" t="s">
        <v>170</v>
      </c>
      <c r="BV33" s="38" t="s">
        <v>169</v>
      </c>
      <c r="BW33" s="38" t="s">
        <v>169</v>
      </c>
      <c r="BX33" s="38" t="s">
        <v>170</v>
      </c>
    </row>
    <row r="34" customFormat="false" ht="15" hidden="false" customHeight="true" outlineLevel="0" collapsed="false">
      <c r="A34" s="38" t="s">
        <v>230</v>
      </c>
      <c r="B34" s="38" t="s">
        <v>245</v>
      </c>
      <c r="C34" s="38" t="s">
        <v>224</v>
      </c>
      <c r="D34" s="38" t="s">
        <v>225</v>
      </c>
      <c r="E34" s="38" t="s">
        <v>169</v>
      </c>
      <c r="F34" s="38" t="s">
        <v>170</v>
      </c>
      <c r="G34" s="38" t="s">
        <v>170</v>
      </c>
      <c r="H34" s="38" t="s">
        <v>171</v>
      </c>
      <c r="I34" s="38" t="s">
        <v>169</v>
      </c>
      <c r="J34" s="38" t="s">
        <v>169</v>
      </c>
      <c r="K34" s="38" t="s">
        <v>169</v>
      </c>
      <c r="L34" s="38" t="s">
        <v>171</v>
      </c>
      <c r="M34" s="38" t="s">
        <v>172</v>
      </c>
      <c r="N34" s="38" t="s">
        <v>169</v>
      </c>
      <c r="O34" s="38" t="s">
        <v>170</v>
      </c>
      <c r="P34" s="38" t="s">
        <v>171</v>
      </c>
      <c r="Q34" s="38" t="s">
        <v>171</v>
      </c>
      <c r="R34" s="38" t="s">
        <v>172</v>
      </c>
      <c r="S34" s="38" t="s">
        <v>169</v>
      </c>
      <c r="T34" s="40" t="s">
        <v>176</v>
      </c>
      <c r="U34" s="38" t="s">
        <v>170</v>
      </c>
      <c r="V34" s="38" t="s">
        <v>169</v>
      </c>
      <c r="W34" s="38" t="s">
        <v>169</v>
      </c>
      <c r="X34" s="38" t="s">
        <v>171</v>
      </c>
      <c r="Y34" s="38" t="s">
        <v>172</v>
      </c>
      <c r="Z34" s="38" t="s">
        <v>172</v>
      </c>
      <c r="AA34" s="38" t="s">
        <v>172</v>
      </c>
      <c r="AB34" s="38" t="s">
        <v>169</v>
      </c>
      <c r="AC34" s="38" t="s">
        <v>170</v>
      </c>
      <c r="AD34" s="38" t="s">
        <v>169</v>
      </c>
      <c r="AE34" s="38" t="s">
        <v>170</v>
      </c>
      <c r="AF34" s="38" t="s">
        <v>169</v>
      </c>
      <c r="AG34" s="38" t="s">
        <v>171</v>
      </c>
      <c r="AH34" s="38" t="s">
        <v>170</v>
      </c>
      <c r="AI34" s="38" t="s">
        <v>170</v>
      </c>
      <c r="AJ34" s="38" t="s">
        <v>171</v>
      </c>
      <c r="AK34" s="38" t="s">
        <v>171</v>
      </c>
      <c r="AL34" s="38" t="s">
        <v>169</v>
      </c>
      <c r="AM34" s="38" t="s">
        <v>169</v>
      </c>
      <c r="AN34" s="38" t="s">
        <v>171</v>
      </c>
      <c r="AO34" s="38" t="s">
        <v>172</v>
      </c>
      <c r="AP34" s="38" t="s">
        <v>172</v>
      </c>
      <c r="AQ34" s="38" t="s">
        <v>169</v>
      </c>
      <c r="AR34" s="38" t="s">
        <v>169</v>
      </c>
      <c r="AS34" s="38" t="s">
        <v>172</v>
      </c>
      <c r="AT34" s="38" t="s">
        <v>170</v>
      </c>
      <c r="AU34" s="38" t="s">
        <v>169</v>
      </c>
      <c r="AV34" s="38" t="s">
        <v>172</v>
      </c>
      <c r="AW34" s="38" t="s">
        <v>169</v>
      </c>
      <c r="AX34" s="38" t="s">
        <v>172</v>
      </c>
      <c r="AY34" s="38" t="s">
        <v>170</v>
      </c>
      <c r="AZ34" s="38" t="s">
        <v>170</v>
      </c>
      <c r="BA34" s="38" t="s">
        <v>170</v>
      </c>
      <c r="BB34" s="38" t="s">
        <v>170</v>
      </c>
      <c r="BC34" s="38" t="s">
        <v>169</v>
      </c>
      <c r="BD34" s="38" t="s">
        <v>169</v>
      </c>
      <c r="BE34" s="38" t="s">
        <v>169</v>
      </c>
      <c r="BF34" s="38" t="s">
        <v>171</v>
      </c>
      <c r="BG34" s="38" t="s">
        <v>171</v>
      </c>
      <c r="BH34" s="38" t="s">
        <v>170</v>
      </c>
      <c r="BI34" s="38" t="s">
        <v>172</v>
      </c>
      <c r="BJ34" s="38" t="s">
        <v>172</v>
      </c>
      <c r="BK34" s="38" t="s">
        <v>172</v>
      </c>
      <c r="BL34" s="38" t="s">
        <v>171</v>
      </c>
      <c r="BM34" s="38" t="s">
        <v>170</v>
      </c>
      <c r="BN34" s="38" t="s">
        <v>170</v>
      </c>
      <c r="BO34" s="38" t="s">
        <v>170</v>
      </c>
      <c r="BP34" s="38" t="s">
        <v>169</v>
      </c>
      <c r="BQ34" s="38" t="s">
        <v>169</v>
      </c>
      <c r="BR34" s="38" t="s">
        <v>170</v>
      </c>
      <c r="BS34" s="38" t="s">
        <v>170</v>
      </c>
      <c r="BT34" s="38" t="s">
        <v>171</v>
      </c>
      <c r="BU34" s="38" t="s">
        <v>172</v>
      </c>
      <c r="BV34" s="38" t="s">
        <v>169</v>
      </c>
      <c r="BW34" s="38" t="s">
        <v>169</v>
      </c>
      <c r="BX34" s="38" t="s">
        <v>170</v>
      </c>
    </row>
    <row r="35" customFormat="false" ht="15" hidden="false" customHeight="true" outlineLevel="0" collapsed="false">
      <c r="A35" s="38" t="s">
        <v>230</v>
      </c>
      <c r="B35" s="38" t="s">
        <v>246</v>
      </c>
      <c r="C35" s="38" t="s">
        <v>228</v>
      </c>
      <c r="D35" s="38" t="s">
        <v>247</v>
      </c>
      <c r="E35" s="38" t="s">
        <v>169</v>
      </c>
      <c r="F35" s="38" t="s">
        <v>169</v>
      </c>
      <c r="G35" s="38" t="s">
        <v>169</v>
      </c>
      <c r="H35" s="38" t="s">
        <v>171</v>
      </c>
      <c r="I35" s="38" t="s">
        <v>171</v>
      </c>
      <c r="J35" s="38" t="s">
        <v>169</v>
      </c>
      <c r="K35" s="38" t="s">
        <v>169</v>
      </c>
      <c r="L35" s="38" t="s">
        <v>171</v>
      </c>
      <c r="M35" s="38" t="s">
        <v>169</v>
      </c>
      <c r="N35" s="38" t="s">
        <v>169</v>
      </c>
      <c r="O35" s="38" t="s">
        <v>171</v>
      </c>
      <c r="P35" s="38" t="s">
        <v>170</v>
      </c>
      <c r="Q35" s="38" t="s">
        <v>171</v>
      </c>
      <c r="R35" s="38" t="s">
        <v>172</v>
      </c>
      <c r="S35" s="38" t="s">
        <v>169</v>
      </c>
      <c r="T35" s="38" t="s">
        <v>170</v>
      </c>
      <c r="U35" s="38" t="s">
        <v>170</v>
      </c>
      <c r="V35" s="38" t="s">
        <v>169</v>
      </c>
      <c r="W35" s="38" t="s">
        <v>169</v>
      </c>
      <c r="X35" s="38" t="s">
        <v>171</v>
      </c>
      <c r="Y35" s="38" t="s">
        <v>172</v>
      </c>
      <c r="Z35" s="38" t="s">
        <v>171</v>
      </c>
      <c r="AA35" s="38" t="s">
        <v>169</v>
      </c>
      <c r="AB35" s="38" t="s">
        <v>172</v>
      </c>
      <c r="AC35" s="38" t="s">
        <v>170</v>
      </c>
      <c r="AD35" s="38" t="s">
        <v>169</v>
      </c>
      <c r="AE35" s="38" t="s">
        <v>169</v>
      </c>
      <c r="AF35" s="38" t="s">
        <v>170</v>
      </c>
      <c r="AG35" s="38" t="s">
        <v>171</v>
      </c>
      <c r="AH35" s="38" t="s">
        <v>170</v>
      </c>
      <c r="AI35" s="38" t="s">
        <v>170</v>
      </c>
      <c r="AJ35" s="38" t="s">
        <v>171</v>
      </c>
      <c r="AK35" s="38" t="s">
        <v>171</v>
      </c>
      <c r="AL35" s="38" t="s">
        <v>170</v>
      </c>
      <c r="AM35" s="38" t="s">
        <v>172</v>
      </c>
      <c r="AN35" s="38" t="s">
        <v>170</v>
      </c>
      <c r="AO35" s="38" t="s">
        <v>172</v>
      </c>
      <c r="AP35" s="38" t="s">
        <v>170</v>
      </c>
      <c r="AQ35" s="38" t="s">
        <v>169</v>
      </c>
      <c r="AR35" s="38" t="s">
        <v>169</v>
      </c>
      <c r="AS35" s="38" t="s">
        <v>172</v>
      </c>
      <c r="AT35" s="38" t="s">
        <v>169</v>
      </c>
      <c r="AU35" s="38" t="s">
        <v>170</v>
      </c>
      <c r="AV35" s="38" t="s">
        <v>172</v>
      </c>
      <c r="AW35" s="38" t="s">
        <v>169</v>
      </c>
      <c r="AX35" s="38" t="s">
        <v>169</v>
      </c>
      <c r="AY35" s="38" t="s">
        <v>170</v>
      </c>
      <c r="AZ35" s="38" t="s">
        <v>170</v>
      </c>
      <c r="BA35" s="38" t="s">
        <v>169</v>
      </c>
      <c r="BB35" s="38" t="s">
        <v>169</v>
      </c>
      <c r="BC35" s="38" t="s">
        <v>170</v>
      </c>
      <c r="BD35" s="38" t="s">
        <v>169</v>
      </c>
      <c r="BE35" s="38" t="s">
        <v>169</v>
      </c>
      <c r="BF35" s="38" t="s">
        <v>171</v>
      </c>
      <c r="BG35" s="38" t="s">
        <v>171</v>
      </c>
      <c r="BH35" s="38" t="s">
        <v>170</v>
      </c>
      <c r="BI35" s="38" t="s">
        <v>169</v>
      </c>
      <c r="BJ35" s="38" t="s">
        <v>172</v>
      </c>
      <c r="BK35" s="38" t="s">
        <v>172</v>
      </c>
      <c r="BL35" s="38" t="s">
        <v>171</v>
      </c>
      <c r="BM35" s="38" t="s">
        <v>170</v>
      </c>
      <c r="BN35" s="38" t="s">
        <v>170</v>
      </c>
      <c r="BO35" s="38" t="s">
        <v>169</v>
      </c>
      <c r="BP35" s="38" t="s">
        <v>170</v>
      </c>
      <c r="BQ35" s="38" t="s">
        <v>170</v>
      </c>
      <c r="BR35" s="38" t="s">
        <v>170</v>
      </c>
      <c r="BS35" s="38" t="s">
        <v>170</v>
      </c>
      <c r="BT35" s="38" t="s">
        <v>172</v>
      </c>
      <c r="BU35" s="38" t="s">
        <v>172</v>
      </c>
      <c r="BV35" s="38" t="s">
        <v>170</v>
      </c>
      <c r="BW35" s="38" t="s">
        <v>170</v>
      </c>
      <c r="BX35" s="38" t="s">
        <v>170</v>
      </c>
    </row>
    <row r="36" customFormat="false" ht="15" hidden="false" customHeight="true" outlineLevel="0" collapsed="false">
      <c r="A36" s="38" t="s">
        <v>230</v>
      </c>
      <c r="B36" s="38" t="s">
        <v>248</v>
      </c>
      <c r="C36" s="38" t="s">
        <v>228</v>
      </c>
      <c r="D36" s="38" t="s">
        <v>229</v>
      </c>
      <c r="E36" s="38" t="s">
        <v>169</v>
      </c>
      <c r="F36" s="38" t="s">
        <v>169</v>
      </c>
      <c r="G36" s="38" t="s">
        <v>169</v>
      </c>
      <c r="H36" s="38" t="s">
        <v>171</v>
      </c>
      <c r="I36" s="38" t="s">
        <v>171</v>
      </c>
      <c r="J36" s="38" t="s">
        <v>169</v>
      </c>
      <c r="K36" s="38" t="s">
        <v>169</v>
      </c>
      <c r="L36" s="38" t="s">
        <v>171</v>
      </c>
      <c r="M36" s="38" t="s">
        <v>169</v>
      </c>
      <c r="N36" s="38" t="s">
        <v>169</v>
      </c>
      <c r="O36" s="38" t="s">
        <v>171</v>
      </c>
      <c r="P36" s="38" t="s">
        <v>170</v>
      </c>
      <c r="Q36" s="38" t="s">
        <v>171</v>
      </c>
      <c r="R36" s="38" t="s">
        <v>172</v>
      </c>
      <c r="S36" s="38" t="s">
        <v>169</v>
      </c>
      <c r="T36" s="38" t="s">
        <v>171</v>
      </c>
      <c r="U36" s="38" t="s">
        <v>170</v>
      </c>
      <c r="V36" s="38" t="s">
        <v>169</v>
      </c>
      <c r="W36" s="38" t="s">
        <v>169</v>
      </c>
      <c r="X36" s="38" t="s">
        <v>171</v>
      </c>
      <c r="Y36" s="38" t="s">
        <v>172</v>
      </c>
      <c r="Z36" s="38" t="s">
        <v>171</v>
      </c>
      <c r="AA36" s="38" t="s">
        <v>169</v>
      </c>
      <c r="AB36" s="38" t="s">
        <v>172</v>
      </c>
      <c r="AC36" s="38" t="s">
        <v>170</v>
      </c>
      <c r="AD36" s="38" t="s">
        <v>172</v>
      </c>
      <c r="AE36" s="38" t="s">
        <v>170</v>
      </c>
      <c r="AF36" s="38" t="s">
        <v>170</v>
      </c>
      <c r="AG36" s="38" t="s">
        <v>171</v>
      </c>
      <c r="AH36" s="38" t="s">
        <v>170</v>
      </c>
      <c r="AI36" s="38" t="s">
        <v>170</v>
      </c>
      <c r="AJ36" s="38" t="s">
        <v>171</v>
      </c>
      <c r="AK36" s="38" t="s">
        <v>171</v>
      </c>
      <c r="AL36" s="38" t="s">
        <v>169</v>
      </c>
      <c r="AM36" s="38" t="s">
        <v>172</v>
      </c>
      <c r="AN36" s="38" t="s">
        <v>170</v>
      </c>
      <c r="AO36" s="38" t="s">
        <v>172</v>
      </c>
      <c r="AP36" s="38" t="s">
        <v>171</v>
      </c>
      <c r="AQ36" s="38" t="s">
        <v>169</v>
      </c>
      <c r="AR36" s="38" t="s">
        <v>169</v>
      </c>
      <c r="AS36" s="38" t="s">
        <v>172</v>
      </c>
      <c r="AT36" s="38" t="s">
        <v>169</v>
      </c>
      <c r="AU36" s="38" t="s">
        <v>169</v>
      </c>
      <c r="AV36" s="38" t="s">
        <v>172</v>
      </c>
      <c r="AW36" s="38" t="s">
        <v>169</v>
      </c>
      <c r="AX36" s="38" t="s">
        <v>169</v>
      </c>
      <c r="AY36" s="38" t="s">
        <v>170</v>
      </c>
      <c r="AZ36" s="38" t="s">
        <v>170</v>
      </c>
      <c r="BA36" s="38" t="s">
        <v>169</v>
      </c>
      <c r="BB36" s="38" t="s">
        <v>169</v>
      </c>
      <c r="BC36" s="38" t="s">
        <v>170</v>
      </c>
      <c r="BD36" s="38" t="s">
        <v>172</v>
      </c>
      <c r="BE36" s="38" t="s">
        <v>169</v>
      </c>
      <c r="BF36" s="38" t="s">
        <v>171</v>
      </c>
      <c r="BG36" s="38" t="s">
        <v>171</v>
      </c>
      <c r="BH36" s="38" t="s">
        <v>170</v>
      </c>
      <c r="BI36" s="38" t="s">
        <v>172</v>
      </c>
      <c r="BJ36" s="38" t="s">
        <v>172</v>
      </c>
      <c r="BK36" s="38" t="s">
        <v>172</v>
      </c>
      <c r="BL36" s="38" t="s">
        <v>171</v>
      </c>
      <c r="BM36" s="38" t="s">
        <v>170</v>
      </c>
      <c r="BN36" s="38" t="s">
        <v>171</v>
      </c>
      <c r="BO36" s="38" t="s">
        <v>169</v>
      </c>
      <c r="BP36" s="38" t="s">
        <v>170</v>
      </c>
      <c r="BQ36" s="38" t="s">
        <v>170</v>
      </c>
      <c r="BR36" s="38" t="s">
        <v>170</v>
      </c>
      <c r="BS36" s="38" t="s">
        <v>170</v>
      </c>
      <c r="BT36" s="38" t="s">
        <v>172</v>
      </c>
      <c r="BU36" s="38" t="s">
        <v>172</v>
      </c>
      <c r="BV36" s="38" t="s">
        <v>170</v>
      </c>
      <c r="BW36" s="38" t="s">
        <v>170</v>
      </c>
      <c r="BX36" s="38" t="s">
        <v>170</v>
      </c>
    </row>
    <row r="37" customFormat="false" ht="15" hidden="false" customHeight="true" outlineLevel="0" collapsed="false">
      <c r="A37" s="38" t="s">
        <v>249</v>
      </c>
      <c r="B37" s="38" t="s">
        <v>250</v>
      </c>
      <c r="C37" s="38" t="s">
        <v>251</v>
      </c>
      <c r="D37" s="38" t="s">
        <v>252</v>
      </c>
      <c r="E37" s="38" t="s">
        <v>169</v>
      </c>
      <c r="F37" s="38" t="s">
        <v>172</v>
      </c>
      <c r="G37" s="38" t="s">
        <v>170</v>
      </c>
      <c r="H37" s="38" t="s">
        <v>171</v>
      </c>
      <c r="I37" s="38" t="s">
        <v>170</v>
      </c>
      <c r="J37" s="38" t="s">
        <v>170</v>
      </c>
      <c r="K37" s="38" t="s">
        <v>172</v>
      </c>
      <c r="L37" s="38" t="s">
        <v>171</v>
      </c>
      <c r="M37" s="38" t="s">
        <v>169</v>
      </c>
      <c r="N37" s="38" t="s">
        <v>169</v>
      </c>
      <c r="O37" s="38" t="s">
        <v>170</v>
      </c>
      <c r="P37" s="38" t="s">
        <v>170</v>
      </c>
      <c r="Q37" s="38" t="s">
        <v>172</v>
      </c>
      <c r="R37" s="38" t="s">
        <v>172</v>
      </c>
      <c r="S37" s="38" t="s">
        <v>169</v>
      </c>
      <c r="T37" s="38" t="s">
        <v>171</v>
      </c>
      <c r="U37" s="38" t="s">
        <v>171</v>
      </c>
      <c r="V37" s="38" t="s">
        <v>169</v>
      </c>
      <c r="W37" s="38" t="s">
        <v>169</v>
      </c>
      <c r="X37" s="38" t="s">
        <v>171</v>
      </c>
      <c r="Y37" s="38" t="s">
        <v>172</v>
      </c>
      <c r="Z37" s="38" t="s">
        <v>172</v>
      </c>
      <c r="AA37" s="38" t="s">
        <v>169</v>
      </c>
      <c r="AB37" s="38" t="s">
        <v>169</v>
      </c>
      <c r="AC37" s="38" t="s">
        <v>170</v>
      </c>
      <c r="AD37" s="38" t="s">
        <v>169</v>
      </c>
      <c r="AE37" s="38" t="s">
        <v>171</v>
      </c>
      <c r="AF37" s="38" t="s">
        <v>169</v>
      </c>
      <c r="AG37" s="38" t="s">
        <v>170</v>
      </c>
      <c r="AH37" s="38" t="s">
        <v>169</v>
      </c>
      <c r="AI37" s="38" t="s">
        <v>172</v>
      </c>
      <c r="AJ37" s="38" t="s">
        <v>170</v>
      </c>
      <c r="AK37" s="38" t="s">
        <v>171</v>
      </c>
      <c r="AL37" s="38" t="s">
        <v>169</v>
      </c>
      <c r="AM37" s="38" t="s">
        <v>171</v>
      </c>
      <c r="AN37" s="38" t="s">
        <v>171</v>
      </c>
      <c r="AO37" s="38" t="s">
        <v>172</v>
      </c>
      <c r="AP37" s="38" t="s">
        <v>172</v>
      </c>
      <c r="AQ37" s="38" t="s">
        <v>171</v>
      </c>
      <c r="AR37" s="38" t="s">
        <v>170</v>
      </c>
      <c r="AS37" s="38" t="s">
        <v>169</v>
      </c>
      <c r="AT37" s="38" t="s">
        <v>170</v>
      </c>
      <c r="AU37" s="38" t="s">
        <v>172</v>
      </c>
      <c r="AV37" s="38" t="s">
        <v>172</v>
      </c>
      <c r="AW37" s="38" t="s">
        <v>169</v>
      </c>
      <c r="AX37" s="38" t="s">
        <v>172</v>
      </c>
      <c r="AY37" s="38" t="s">
        <v>171</v>
      </c>
      <c r="AZ37" s="38" t="s">
        <v>170</v>
      </c>
      <c r="BA37" s="38" t="s">
        <v>169</v>
      </c>
      <c r="BB37" s="38" t="s">
        <v>171</v>
      </c>
      <c r="BC37" s="38" t="s">
        <v>169</v>
      </c>
      <c r="BD37" s="38" t="s">
        <v>172</v>
      </c>
      <c r="BE37" s="38" t="s">
        <v>169</v>
      </c>
      <c r="BF37" s="38" t="s">
        <v>171</v>
      </c>
      <c r="BG37" s="38" t="s">
        <v>171</v>
      </c>
      <c r="BH37" s="38" t="s">
        <v>170</v>
      </c>
      <c r="BI37" s="38" t="s">
        <v>172</v>
      </c>
      <c r="BJ37" s="38" t="s">
        <v>172</v>
      </c>
      <c r="BK37" s="38" t="s">
        <v>170</v>
      </c>
      <c r="BL37" s="38" t="s">
        <v>170</v>
      </c>
      <c r="BM37" s="38" t="s">
        <v>170</v>
      </c>
      <c r="BN37" s="38" t="s">
        <v>171</v>
      </c>
      <c r="BO37" s="38" t="s">
        <v>170</v>
      </c>
      <c r="BP37" s="38" t="s">
        <v>172</v>
      </c>
      <c r="BQ37" s="38" t="s">
        <v>170</v>
      </c>
      <c r="BR37" s="38" t="s">
        <v>171</v>
      </c>
      <c r="BS37" s="38" t="s">
        <v>169</v>
      </c>
      <c r="BT37" s="38" t="s">
        <v>169</v>
      </c>
      <c r="BU37" s="38" t="s">
        <v>169</v>
      </c>
      <c r="BV37" s="38" t="s">
        <v>169</v>
      </c>
      <c r="BW37" s="38" t="s">
        <v>171</v>
      </c>
      <c r="BX37" s="38" t="s">
        <v>170</v>
      </c>
    </row>
    <row r="38" customFormat="false" ht="15" hidden="false" customHeight="true" outlineLevel="0" collapsed="false">
      <c r="A38" s="38" t="s">
        <v>249</v>
      </c>
      <c r="B38" s="38" t="s">
        <v>253</v>
      </c>
      <c r="C38" s="38" t="s">
        <v>205</v>
      </c>
      <c r="D38" s="38" t="s">
        <v>168</v>
      </c>
      <c r="E38" s="38" t="s">
        <v>169</v>
      </c>
      <c r="F38" s="38" t="s">
        <v>170</v>
      </c>
      <c r="G38" s="38" t="s">
        <v>171</v>
      </c>
      <c r="H38" s="38" t="s">
        <v>170</v>
      </c>
      <c r="I38" s="38" t="s">
        <v>169</v>
      </c>
      <c r="J38" s="38" t="s">
        <v>170</v>
      </c>
      <c r="K38" s="38" t="s">
        <v>169</v>
      </c>
      <c r="L38" s="38" t="s">
        <v>171</v>
      </c>
      <c r="M38" s="38" t="s">
        <v>169</v>
      </c>
      <c r="N38" s="38" t="s">
        <v>169</v>
      </c>
      <c r="O38" s="38" t="s">
        <v>170</v>
      </c>
      <c r="P38" s="38" t="s">
        <v>169</v>
      </c>
      <c r="Q38" s="38" t="s">
        <v>171</v>
      </c>
      <c r="R38" s="38" t="s">
        <v>172</v>
      </c>
      <c r="S38" s="38" t="s">
        <v>172</v>
      </c>
      <c r="T38" s="40" t="s">
        <v>176</v>
      </c>
      <c r="U38" s="38" t="s">
        <v>171</v>
      </c>
      <c r="V38" s="38" t="s">
        <v>169</v>
      </c>
      <c r="W38" s="38" t="s">
        <v>169</v>
      </c>
      <c r="X38" s="38" t="s">
        <v>170</v>
      </c>
      <c r="Y38" s="38" t="s">
        <v>172</v>
      </c>
      <c r="Z38" s="38" t="s">
        <v>172</v>
      </c>
      <c r="AA38" s="38" t="s">
        <v>170</v>
      </c>
      <c r="AB38" s="38" t="s">
        <v>169</v>
      </c>
      <c r="AC38" s="38" t="s">
        <v>170</v>
      </c>
      <c r="AD38" s="38" t="s">
        <v>169</v>
      </c>
      <c r="AE38" s="38" t="s">
        <v>171</v>
      </c>
      <c r="AF38" s="38" t="s">
        <v>170</v>
      </c>
      <c r="AG38" s="38" t="s">
        <v>171</v>
      </c>
      <c r="AH38" s="38" t="s">
        <v>169</v>
      </c>
      <c r="AI38" s="38" t="s">
        <v>172</v>
      </c>
      <c r="AJ38" s="38" t="s">
        <v>170</v>
      </c>
      <c r="AK38" s="38" t="s">
        <v>171</v>
      </c>
      <c r="AL38" s="38" t="s">
        <v>171</v>
      </c>
      <c r="AM38" s="38" t="s">
        <v>170</v>
      </c>
      <c r="AN38" s="38" t="s">
        <v>171</v>
      </c>
      <c r="AO38" s="38" t="s">
        <v>172</v>
      </c>
      <c r="AP38" s="38" t="s">
        <v>172</v>
      </c>
      <c r="AQ38" s="38" t="s">
        <v>171</v>
      </c>
      <c r="AR38" s="38" t="s">
        <v>170</v>
      </c>
      <c r="AS38" s="38" t="s">
        <v>172</v>
      </c>
      <c r="AT38" s="38" t="s">
        <v>169</v>
      </c>
      <c r="AU38" s="38" t="s">
        <v>172</v>
      </c>
      <c r="AV38" s="38" t="s">
        <v>172</v>
      </c>
      <c r="AW38" s="38" t="s">
        <v>169</v>
      </c>
      <c r="AX38" s="38" t="s">
        <v>172</v>
      </c>
      <c r="AY38" s="38" t="s">
        <v>171</v>
      </c>
      <c r="AZ38" s="38" t="s">
        <v>171</v>
      </c>
      <c r="BA38" s="38" t="s">
        <v>172</v>
      </c>
      <c r="BB38" s="38" t="s">
        <v>171</v>
      </c>
      <c r="BC38" s="38" t="s">
        <v>169</v>
      </c>
      <c r="BD38" s="38" t="s">
        <v>169</v>
      </c>
      <c r="BE38" s="38" t="s">
        <v>169</v>
      </c>
      <c r="BF38" s="38" t="s">
        <v>171</v>
      </c>
      <c r="BG38" s="38" t="s">
        <v>171</v>
      </c>
      <c r="BH38" s="38" t="s">
        <v>170</v>
      </c>
      <c r="BI38" s="38" t="s">
        <v>169</v>
      </c>
      <c r="BJ38" s="38" t="s">
        <v>172</v>
      </c>
      <c r="BK38" s="38" t="s">
        <v>170</v>
      </c>
      <c r="BL38" s="38" t="s">
        <v>170</v>
      </c>
      <c r="BM38" s="38" t="s">
        <v>170</v>
      </c>
      <c r="BN38" s="38" t="s">
        <v>170</v>
      </c>
      <c r="BO38" s="38" t="s">
        <v>170</v>
      </c>
      <c r="BP38" s="38" t="s">
        <v>172</v>
      </c>
      <c r="BQ38" s="38" t="s">
        <v>171</v>
      </c>
      <c r="BR38" s="38" t="s">
        <v>170</v>
      </c>
      <c r="BS38" s="38" t="s">
        <v>169</v>
      </c>
      <c r="BT38" s="38" t="s">
        <v>171</v>
      </c>
      <c r="BU38" s="38" t="s">
        <v>169</v>
      </c>
      <c r="BV38" s="38" t="s">
        <v>172</v>
      </c>
      <c r="BW38" s="38" t="s">
        <v>169</v>
      </c>
      <c r="BX38" s="38" t="s">
        <v>171</v>
      </c>
    </row>
    <row r="39" customFormat="false" ht="15" hidden="false" customHeight="true" outlineLevel="0" collapsed="false">
      <c r="A39" s="38" t="s">
        <v>249</v>
      </c>
      <c r="B39" s="38" t="s">
        <v>254</v>
      </c>
      <c r="C39" s="38" t="s">
        <v>255</v>
      </c>
      <c r="D39" s="38" t="s">
        <v>175</v>
      </c>
      <c r="E39" s="38" t="s">
        <v>171</v>
      </c>
      <c r="F39" s="38" t="s">
        <v>170</v>
      </c>
      <c r="G39" s="38" t="s">
        <v>170</v>
      </c>
      <c r="H39" s="38" t="s">
        <v>169</v>
      </c>
      <c r="I39" s="38" t="s">
        <v>171</v>
      </c>
      <c r="J39" s="38" t="s">
        <v>169</v>
      </c>
      <c r="K39" s="38" t="s">
        <v>172</v>
      </c>
      <c r="L39" s="38" t="s">
        <v>171</v>
      </c>
      <c r="M39" s="38" t="s">
        <v>172</v>
      </c>
      <c r="N39" s="38" t="s">
        <v>169</v>
      </c>
      <c r="O39" s="38" t="s">
        <v>171</v>
      </c>
      <c r="P39" s="38" t="s">
        <v>171</v>
      </c>
      <c r="Q39" s="38" t="s">
        <v>171</v>
      </c>
      <c r="R39" s="38" t="s">
        <v>172</v>
      </c>
      <c r="S39" s="38" t="s">
        <v>172</v>
      </c>
      <c r="T39" s="40" t="s">
        <v>176</v>
      </c>
      <c r="U39" s="38" t="s">
        <v>171</v>
      </c>
      <c r="V39" s="38" t="s">
        <v>169</v>
      </c>
      <c r="W39" s="38" t="s">
        <v>169</v>
      </c>
      <c r="X39" s="38" t="s">
        <v>171</v>
      </c>
      <c r="Y39" s="38" t="s">
        <v>172</v>
      </c>
      <c r="Z39" s="38" t="s">
        <v>169</v>
      </c>
      <c r="AA39" s="38" t="s">
        <v>172</v>
      </c>
      <c r="AB39" s="38" t="s">
        <v>172</v>
      </c>
      <c r="AC39" s="38" t="s">
        <v>171</v>
      </c>
      <c r="AD39" s="38" t="s">
        <v>169</v>
      </c>
      <c r="AE39" s="38" t="s">
        <v>169</v>
      </c>
      <c r="AF39" s="38" t="s">
        <v>169</v>
      </c>
      <c r="AG39" s="38" t="s">
        <v>170</v>
      </c>
      <c r="AH39" s="38" t="s">
        <v>169</v>
      </c>
      <c r="AI39" s="38" t="s">
        <v>170</v>
      </c>
      <c r="AJ39" s="38" t="s">
        <v>171</v>
      </c>
      <c r="AK39" s="38" t="s">
        <v>171</v>
      </c>
      <c r="AL39" s="38" t="s">
        <v>169</v>
      </c>
      <c r="AM39" s="38" t="s">
        <v>171</v>
      </c>
      <c r="AN39" s="38" t="s">
        <v>170</v>
      </c>
      <c r="AO39" s="38" t="s">
        <v>169</v>
      </c>
      <c r="AP39" s="38" t="s">
        <v>170</v>
      </c>
      <c r="AQ39" s="38" t="s">
        <v>169</v>
      </c>
      <c r="AR39" s="38" t="s">
        <v>171</v>
      </c>
      <c r="AS39" s="38" t="s">
        <v>169</v>
      </c>
      <c r="AT39" s="38" t="s">
        <v>170</v>
      </c>
      <c r="AU39" s="38" t="s">
        <v>170</v>
      </c>
      <c r="AV39" s="38" t="s">
        <v>172</v>
      </c>
      <c r="AW39" s="38" t="s">
        <v>169</v>
      </c>
      <c r="AX39" s="40" t="s">
        <v>176</v>
      </c>
      <c r="AY39" s="38" t="s">
        <v>172</v>
      </c>
      <c r="AZ39" s="38" t="s">
        <v>171</v>
      </c>
      <c r="BA39" s="38" t="s">
        <v>170</v>
      </c>
      <c r="BB39" s="38" t="s">
        <v>169</v>
      </c>
      <c r="BC39" s="38" t="s">
        <v>169</v>
      </c>
      <c r="BD39" s="38" t="s">
        <v>169</v>
      </c>
      <c r="BE39" s="38" t="s">
        <v>169</v>
      </c>
      <c r="BF39" s="38" t="s">
        <v>171</v>
      </c>
      <c r="BG39" s="38" t="s">
        <v>171</v>
      </c>
      <c r="BH39" s="38" t="s">
        <v>170</v>
      </c>
      <c r="BI39" s="38" t="s">
        <v>172</v>
      </c>
      <c r="BJ39" s="38" t="s">
        <v>172</v>
      </c>
      <c r="BK39" s="38" t="s">
        <v>171</v>
      </c>
      <c r="BL39" s="38" t="s">
        <v>171</v>
      </c>
      <c r="BM39" s="38" t="s">
        <v>170</v>
      </c>
      <c r="BN39" s="38" t="s">
        <v>170</v>
      </c>
      <c r="BO39" s="38" t="s">
        <v>170</v>
      </c>
      <c r="BP39" s="38" t="s">
        <v>170</v>
      </c>
      <c r="BQ39" s="38" t="s">
        <v>169</v>
      </c>
      <c r="BR39" s="38" t="s">
        <v>171</v>
      </c>
      <c r="BS39" s="38" t="s">
        <v>170</v>
      </c>
      <c r="BT39" s="38" t="s">
        <v>169</v>
      </c>
      <c r="BU39" s="38" t="s">
        <v>170</v>
      </c>
      <c r="BV39" s="38" t="s">
        <v>169</v>
      </c>
      <c r="BW39" s="38" t="s">
        <v>169</v>
      </c>
      <c r="BX39" s="38" t="s">
        <v>172</v>
      </c>
    </row>
    <row r="40" customFormat="false" ht="15" hidden="false" customHeight="true" outlineLevel="0" collapsed="false">
      <c r="A40" s="38" t="s">
        <v>249</v>
      </c>
      <c r="B40" s="38" t="s">
        <v>256</v>
      </c>
      <c r="C40" s="38" t="s">
        <v>257</v>
      </c>
      <c r="D40" s="38" t="s">
        <v>258</v>
      </c>
      <c r="E40" s="38" t="s">
        <v>171</v>
      </c>
      <c r="F40" s="38" t="s">
        <v>170</v>
      </c>
      <c r="G40" s="38" t="s">
        <v>170</v>
      </c>
      <c r="H40" s="38" t="s">
        <v>169</v>
      </c>
      <c r="I40" s="38" t="s">
        <v>172</v>
      </c>
      <c r="J40" s="38" t="s">
        <v>171</v>
      </c>
      <c r="K40" s="38" t="s">
        <v>172</v>
      </c>
      <c r="L40" s="38" t="s">
        <v>171</v>
      </c>
      <c r="M40" s="38" t="s">
        <v>172</v>
      </c>
      <c r="N40" s="38" t="s">
        <v>169</v>
      </c>
      <c r="O40" s="38" t="s">
        <v>171</v>
      </c>
      <c r="P40" s="38" t="s">
        <v>169</v>
      </c>
      <c r="Q40" s="38" t="s">
        <v>171</v>
      </c>
      <c r="R40" s="38" t="s">
        <v>172</v>
      </c>
      <c r="S40" s="38" t="s">
        <v>172</v>
      </c>
      <c r="T40" s="40" t="s">
        <v>176</v>
      </c>
      <c r="U40" s="38" t="s">
        <v>170</v>
      </c>
      <c r="V40" s="38" t="s">
        <v>169</v>
      </c>
      <c r="W40" s="38" t="s">
        <v>169</v>
      </c>
      <c r="X40" s="38" t="s">
        <v>170</v>
      </c>
      <c r="Y40" s="38" t="s">
        <v>172</v>
      </c>
      <c r="Z40" s="38" t="s">
        <v>171</v>
      </c>
      <c r="AA40" s="38" t="s">
        <v>170</v>
      </c>
      <c r="AB40" s="38" t="s">
        <v>172</v>
      </c>
      <c r="AC40" s="38" t="s">
        <v>170</v>
      </c>
      <c r="AD40" s="38" t="s">
        <v>172</v>
      </c>
      <c r="AE40" s="38" t="s">
        <v>171</v>
      </c>
      <c r="AF40" s="38" t="s">
        <v>170</v>
      </c>
      <c r="AG40" s="38" t="s">
        <v>172</v>
      </c>
      <c r="AH40" s="38" t="s">
        <v>170</v>
      </c>
      <c r="AI40" s="38" t="s">
        <v>169</v>
      </c>
      <c r="AJ40" s="38" t="s">
        <v>170</v>
      </c>
      <c r="AK40" s="38" t="s">
        <v>171</v>
      </c>
      <c r="AL40" s="38" t="s">
        <v>171</v>
      </c>
      <c r="AM40" s="38" t="s">
        <v>171</v>
      </c>
      <c r="AN40" s="38" t="s">
        <v>170</v>
      </c>
      <c r="AO40" s="38" t="s">
        <v>172</v>
      </c>
      <c r="AP40" s="38" t="s">
        <v>170</v>
      </c>
      <c r="AQ40" s="38" t="s">
        <v>170</v>
      </c>
      <c r="AR40" s="38" t="s">
        <v>169</v>
      </c>
      <c r="AS40" s="38" t="s">
        <v>171</v>
      </c>
      <c r="AT40" s="38" t="s">
        <v>169</v>
      </c>
      <c r="AU40" s="38" t="s">
        <v>169</v>
      </c>
      <c r="AV40" s="38" t="s">
        <v>172</v>
      </c>
      <c r="AW40" s="38" t="s">
        <v>169</v>
      </c>
      <c r="AX40" s="40" t="s">
        <v>176</v>
      </c>
      <c r="AY40" s="38" t="s">
        <v>170</v>
      </c>
      <c r="AZ40" s="38" t="s">
        <v>170</v>
      </c>
      <c r="BA40" s="38" t="s">
        <v>170</v>
      </c>
      <c r="BB40" s="38" t="s">
        <v>169</v>
      </c>
      <c r="BC40" s="38" t="s">
        <v>169</v>
      </c>
      <c r="BD40" s="38" t="s">
        <v>169</v>
      </c>
      <c r="BE40" s="38" t="s">
        <v>169</v>
      </c>
      <c r="BF40" s="38" t="s">
        <v>171</v>
      </c>
      <c r="BG40" s="38" t="s">
        <v>171</v>
      </c>
      <c r="BH40" s="38" t="s">
        <v>170</v>
      </c>
      <c r="BI40" s="38" t="s">
        <v>169</v>
      </c>
      <c r="BJ40" s="38" t="s">
        <v>172</v>
      </c>
      <c r="BK40" s="38" t="s">
        <v>170</v>
      </c>
      <c r="BL40" s="38" t="s">
        <v>171</v>
      </c>
      <c r="BM40" s="38" t="s">
        <v>170</v>
      </c>
      <c r="BN40" s="38" t="s">
        <v>170</v>
      </c>
      <c r="BO40" s="38" t="s">
        <v>170</v>
      </c>
      <c r="BP40" s="38" t="s">
        <v>170</v>
      </c>
      <c r="BQ40" s="38" t="s">
        <v>169</v>
      </c>
      <c r="BR40" s="38" t="s">
        <v>171</v>
      </c>
      <c r="BS40" s="38" t="s">
        <v>172</v>
      </c>
      <c r="BT40" s="38" t="s">
        <v>171</v>
      </c>
      <c r="BU40" s="38" t="s">
        <v>170</v>
      </c>
      <c r="BV40" s="38" t="s">
        <v>169</v>
      </c>
      <c r="BW40" s="38" t="s">
        <v>169</v>
      </c>
      <c r="BX40" s="38" t="s">
        <v>172</v>
      </c>
    </row>
    <row r="41" customFormat="false" ht="15" hidden="false" customHeight="true" outlineLevel="0" collapsed="false">
      <c r="A41" s="38" t="s">
        <v>249</v>
      </c>
      <c r="B41" s="38" t="s">
        <v>259</v>
      </c>
      <c r="C41" s="38" t="s">
        <v>260</v>
      </c>
      <c r="D41" s="38" t="s">
        <v>261</v>
      </c>
      <c r="E41" s="38" t="s">
        <v>169</v>
      </c>
      <c r="F41" s="38" t="s">
        <v>170</v>
      </c>
      <c r="G41" s="38" t="s">
        <v>170</v>
      </c>
      <c r="H41" s="38" t="s">
        <v>172</v>
      </c>
      <c r="I41" s="38" t="s">
        <v>171</v>
      </c>
      <c r="J41" s="38" t="s">
        <v>170</v>
      </c>
      <c r="K41" s="38" t="s">
        <v>171</v>
      </c>
      <c r="L41" s="38" t="s">
        <v>171</v>
      </c>
      <c r="M41" s="38" t="s">
        <v>172</v>
      </c>
      <c r="N41" s="38" t="s">
        <v>169</v>
      </c>
      <c r="O41" s="38" t="s">
        <v>171</v>
      </c>
      <c r="P41" s="38" t="s">
        <v>172</v>
      </c>
      <c r="Q41" s="38" t="s">
        <v>171</v>
      </c>
      <c r="R41" s="38" t="s">
        <v>172</v>
      </c>
      <c r="S41" s="38" t="s">
        <v>169</v>
      </c>
      <c r="T41" s="40" t="s">
        <v>176</v>
      </c>
      <c r="U41" s="38" t="s">
        <v>171</v>
      </c>
      <c r="V41" s="38" t="s">
        <v>169</v>
      </c>
      <c r="W41" s="38" t="s">
        <v>169</v>
      </c>
      <c r="X41" s="38" t="s">
        <v>171</v>
      </c>
      <c r="Y41" s="38" t="s">
        <v>172</v>
      </c>
      <c r="Z41" s="38" t="s">
        <v>169</v>
      </c>
      <c r="AA41" s="38" t="s">
        <v>171</v>
      </c>
      <c r="AB41" s="38" t="s">
        <v>172</v>
      </c>
      <c r="AC41" s="38" t="s">
        <v>170</v>
      </c>
      <c r="AD41" s="38" t="s">
        <v>172</v>
      </c>
      <c r="AE41" s="38" t="s">
        <v>170</v>
      </c>
      <c r="AF41" s="38" t="s">
        <v>172</v>
      </c>
      <c r="AG41" s="38" t="s">
        <v>171</v>
      </c>
      <c r="AH41" s="38" t="s">
        <v>170</v>
      </c>
      <c r="AI41" s="38" t="s">
        <v>169</v>
      </c>
      <c r="AJ41" s="38" t="s">
        <v>171</v>
      </c>
      <c r="AK41" s="38" t="s">
        <v>171</v>
      </c>
      <c r="AL41" s="38" t="s">
        <v>169</v>
      </c>
      <c r="AM41" s="38" t="s">
        <v>171</v>
      </c>
      <c r="AN41" s="38" t="s">
        <v>169</v>
      </c>
      <c r="AO41" s="38" t="s">
        <v>169</v>
      </c>
      <c r="AP41" s="38" t="s">
        <v>170</v>
      </c>
      <c r="AQ41" s="38" t="s">
        <v>170</v>
      </c>
      <c r="AR41" s="38" t="s">
        <v>169</v>
      </c>
      <c r="AS41" s="38" t="s">
        <v>172</v>
      </c>
      <c r="AT41" s="38" t="s">
        <v>171</v>
      </c>
      <c r="AU41" s="38" t="s">
        <v>169</v>
      </c>
      <c r="AV41" s="38" t="s">
        <v>172</v>
      </c>
      <c r="AW41" s="38" t="s">
        <v>172</v>
      </c>
      <c r="AX41" s="40" t="s">
        <v>176</v>
      </c>
      <c r="AY41" s="38" t="s">
        <v>172</v>
      </c>
      <c r="AZ41" s="38" t="s">
        <v>170</v>
      </c>
      <c r="BA41" s="38" t="s">
        <v>170</v>
      </c>
      <c r="BB41" s="38" t="s">
        <v>170</v>
      </c>
      <c r="BC41" s="38" t="s">
        <v>171</v>
      </c>
      <c r="BD41" s="38" t="s">
        <v>169</v>
      </c>
      <c r="BE41" s="38" t="s">
        <v>169</v>
      </c>
      <c r="BF41" s="38" t="s">
        <v>171</v>
      </c>
      <c r="BG41" s="38" t="s">
        <v>171</v>
      </c>
      <c r="BH41" s="38" t="s">
        <v>170</v>
      </c>
      <c r="BI41" s="38" t="s">
        <v>169</v>
      </c>
      <c r="BJ41" s="38" t="s">
        <v>172</v>
      </c>
      <c r="BK41" s="38" t="s">
        <v>171</v>
      </c>
      <c r="BL41" s="38" t="s">
        <v>171</v>
      </c>
      <c r="BM41" s="38" t="s">
        <v>170</v>
      </c>
      <c r="BN41" s="38" t="s">
        <v>171</v>
      </c>
      <c r="BO41" s="38" t="s">
        <v>172</v>
      </c>
      <c r="BP41" s="38" t="s">
        <v>169</v>
      </c>
      <c r="BQ41" s="38" t="s">
        <v>169</v>
      </c>
      <c r="BR41" s="38" t="s">
        <v>172</v>
      </c>
      <c r="BS41" s="38" t="s">
        <v>169</v>
      </c>
      <c r="BT41" s="38" t="s">
        <v>172</v>
      </c>
      <c r="BU41" s="38" t="s">
        <v>171</v>
      </c>
      <c r="BV41" s="38" t="s">
        <v>169</v>
      </c>
      <c r="BW41" s="38" t="s">
        <v>169</v>
      </c>
      <c r="BX41" s="38" t="s">
        <v>170</v>
      </c>
    </row>
    <row r="42" customFormat="false" ht="15" hidden="false" customHeight="true" outlineLevel="0" collapsed="false">
      <c r="A42" s="38" t="s">
        <v>249</v>
      </c>
      <c r="B42" s="38" t="s">
        <v>262</v>
      </c>
      <c r="C42" s="38" t="s">
        <v>216</v>
      </c>
      <c r="D42" s="38" t="s">
        <v>263</v>
      </c>
      <c r="E42" s="38" t="s">
        <v>169</v>
      </c>
      <c r="F42" s="38" t="s">
        <v>169</v>
      </c>
      <c r="G42" s="38" t="s">
        <v>171</v>
      </c>
      <c r="H42" s="38" t="s">
        <v>170</v>
      </c>
      <c r="I42" s="38" t="s">
        <v>171</v>
      </c>
      <c r="J42" s="38" t="s">
        <v>170</v>
      </c>
      <c r="K42" s="38" t="s">
        <v>171</v>
      </c>
      <c r="L42" s="38" t="s">
        <v>171</v>
      </c>
      <c r="M42" s="38" t="s">
        <v>169</v>
      </c>
      <c r="N42" s="38" t="s">
        <v>169</v>
      </c>
      <c r="O42" s="38" t="s">
        <v>170</v>
      </c>
      <c r="P42" s="38" t="s">
        <v>170</v>
      </c>
      <c r="Q42" s="38" t="s">
        <v>170</v>
      </c>
      <c r="R42" s="38" t="s">
        <v>172</v>
      </c>
      <c r="S42" s="38" t="s">
        <v>169</v>
      </c>
      <c r="T42" s="38" t="s">
        <v>171</v>
      </c>
      <c r="U42" s="38" t="s">
        <v>171</v>
      </c>
      <c r="V42" s="38" t="s">
        <v>169</v>
      </c>
      <c r="W42" s="38" t="s">
        <v>169</v>
      </c>
      <c r="X42" s="38" t="s">
        <v>171</v>
      </c>
      <c r="Y42" s="38" t="s">
        <v>172</v>
      </c>
      <c r="Z42" s="38" t="s">
        <v>172</v>
      </c>
      <c r="AA42" s="38" t="s">
        <v>169</v>
      </c>
      <c r="AB42" s="38" t="s">
        <v>169</v>
      </c>
      <c r="AC42" s="38" t="s">
        <v>170</v>
      </c>
      <c r="AD42" s="38" t="s">
        <v>172</v>
      </c>
      <c r="AE42" s="38" t="s">
        <v>170</v>
      </c>
      <c r="AF42" s="38" t="s">
        <v>170</v>
      </c>
      <c r="AG42" s="38" t="s">
        <v>169</v>
      </c>
      <c r="AH42" s="38" t="s">
        <v>171</v>
      </c>
      <c r="AI42" s="38" t="s">
        <v>169</v>
      </c>
      <c r="AJ42" s="38" t="s">
        <v>170</v>
      </c>
      <c r="AK42" s="38" t="s">
        <v>171</v>
      </c>
      <c r="AL42" s="38" t="s">
        <v>172</v>
      </c>
      <c r="AM42" s="38" t="s">
        <v>172</v>
      </c>
      <c r="AN42" s="38" t="s">
        <v>171</v>
      </c>
      <c r="AO42" s="38" t="s">
        <v>172</v>
      </c>
      <c r="AP42" s="38" t="s">
        <v>172</v>
      </c>
      <c r="AQ42" s="38" t="s">
        <v>170</v>
      </c>
      <c r="AR42" s="38" t="s">
        <v>169</v>
      </c>
      <c r="AS42" s="38" t="s">
        <v>170</v>
      </c>
      <c r="AT42" s="38" t="s">
        <v>169</v>
      </c>
      <c r="AU42" s="38" t="s">
        <v>169</v>
      </c>
      <c r="AV42" s="38" t="s">
        <v>169</v>
      </c>
      <c r="AW42" s="38" t="s">
        <v>169</v>
      </c>
      <c r="AX42" s="38" t="s">
        <v>172</v>
      </c>
      <c r="AY42" s="38" t="s">
        <v>171</v>
      </c>
      <c r="AZ42" s="38" t="s">
        <v>170</v>
      </c>
      <c r="BA42" s="38" t="s">
        <v>172</v>
      </c>
      <c r="BB42" s="38" t="s">
        <v>169</v>
      </c>
      <c r="BC42" s="38" t="s">
        <v>170</v>
      </c>
      <c r="BD42" s="38" t="s">
        <v>169</v>
      </c>
      <c r="BE42" s="38" t="s">
        <v>169</v>
      </c>
      <c r="BF42" s="38" t="s">
        <v>171</v>
      </c>
      <c r="BG42" s="38" t="s">
        <v>171</v>
      </c>
      <c r="BH42" s="38" t="s">
        <v>170</v>
      </c>
      <c r="BI42" s="38" t="s">
        <v>169</v>
      </c>
      <c r="BJ42" s="38" t="s">
        <v>172</v>
      </c>
      <c r="BK42" s="38" t="s">
        <v>171</v>
      </c>
      <c r="BL42" s="38" t="s">
        <v>170</v>
      </c>
      <c r="BM42" s="38" t="s">
        <v>170</v>
      </c>
      <c r="BN42" s="38" t="s">
        <v>170</v>
      </c>
      <c r="BO42" s="38" t="s">
        <v>169</v>
      </c>
      <c r="BP42" s="38" t="s">
        <v>170</v>
      </c>
      <c r="BQ42" s="38" t="s">
        <v>171</v>
      </c>
      <c r="BR42" s="38" t="s">
        <v>172</v>
      </c>
      <c r="BS42" s="38" t="s">
        <v>169</v>
      </c>
      <c r="BT42" s="38" t="s">
        <v>172</v>
      </c>
      <c r="BU42" s="38" t="s">
        <v>169</v>
      </c>
      <c r="BV42" s="38" t="s">
        <v>172</v>
      </c>
      <c r="BW42" s="38" t="s">
        <v>170</v>
      </c>
      <c r="BX42" s="38" t="s">
        <v>170</v>
      </c>
    </row>
    <row r="43" customFormat="false" ht="15" hidden="false" customHeight="true" outlineLevel="0" collapsed="false">
      <c r="A43" s="38" t="s">
        <v>249</v>
      </c>
      <c r="B43" s="38" t="s">
        <v>264</v>
      </c>
      <c r="C43" s="38" t="s">
        <v>216</v>
      </c>
      <c r="D43" s="38" t="s">
        <v>265</v>
      </c>
      <c r="E43" s="38" t="s">
        <v>169</v>
      </c>
      <c r="F43" s="38" t="s">
        <v>170</v>
      </c>
      <c r="G43" s="38" t="s">
        <v>171</v>
      </c>
      <c r="H43" s="38" t="s">
        <v>170</v>
      </c>
      <c r="I43" s="38" t="s">
        <v>169</v>
      </c>
      <c r="J43" s="38" t="s">
        <v>171</v>
      </c>
      <c r="K43" s="38" t="s">
        <v>169</v>
      </c>
      <c r="L43" s="38" t="s">
        <v>171</v>
      </c>
      <c r="M43" s="38" t="s">
        <v>172</v>
      </c>
      <c r="N43" s="38" t="s">
        <v>169</v>
      </c>
      <c r="O43" s="38" t="s">
        <v>170</v>
      </c>
      <c r="P43" s="38" t="s">
        <v>171</v>
      </c>
      <c r="Q43" s="38" t="s">
        <v>170</v>
      </c>
      <c r="R43" s="38" t="s">
        <v>172</v>
      </c>
      <c r="S43" s="38" t="s">
        <v>169</v>
      </c>
      <c r="T43" s="40" t="s">
        <v>176</v>
      </c>
      <c r="U43" s="38" t="s">
        <v>171</v>
      </c>
      <c r="V43" s="38" t="s">
        <v>169</v>
      </c>
      <c r="W43" s="38" t="s">
        <v>169</v>
      </c>
      <c r="X43" s="38" t="s">
        <v>171</v>
      </c>
      <c r="Y43" s="38" t="s">
        <v>172</v>
      </c>
      <c r="Z43" s="38" t="s">
        <v>169</v>
      </c>
      <c r="AA43" s="38" t="s">
        <v>172</v>
      </c>
      <c r="AB43" s="38" t="s">
        <v>169</v>
      </c>
      <c r="AC43" s="38" t="s">
        <v>170</v>
      </c>
      <c r="AD43" s="38" t="s">
        <v>171</v>
      </c>
      <c r="AE43" s="38" t="s">
        <v>171</v>
      </c>
      <c r="AF43" s="38" t="s">
        <v>170</v>
      </c>
      <c r="AG43" s="38" t="s">
        <v>169</v>
      </c>
      <c r="AH43" s="38" t="s">
        <v>171</v>
      </c>
      <c r="AI43" s="38" t="s">
        <v>169</v>
      </c>
      <c r="AJ43" s="38" t="s">
        <v>170</v>
      </c>
      <c r="AK43" s="38" t="s">
        <v>171</v>
      </c>
      <c r="AL43" s="38" t="s">
        <v>171</v>
      </c>
      <c r="AM43" s="38" t="s">
        <v>172</v>
      </c>
      <c r="AN43" s="38" t="s">
        <v>171</v>
      </c>
      <c r="AO43" s="38" t="s">
        <v>172</v>
      </c>
      <c r="AP43" s="38" t="s">
        <v>172</v>
      </c>
      <c r="AQ43" s="38" t="s">
        <v>170</v>
      </c>
      <c r="AR43" s="38" t="s">
        <v>169</v>
      </c>
      <c r="AS43" s="38" t="s">
        <v>170</v>
      </c>
      <c r="AT43" s="38" t="s">
        <v>169</v>
      </c>
      <c r="AU43" s="38" t="s">
        <v>172</v>
      </c>
      <c r="AV43" s="38" t="s">
        <v>170</v>
      </c>
      <c r="AW43" s="38" t="s">
        <v>170</v>
      </c>
      <c r="AX43" s="38" t="s">
        <v>169</v>
      </c>
      <c r="AY43" s="38" t="s">
        <v>171</v>
      </c>
      <c r="AZ43" s="38" t="s">
        <v>170</v>
      </c>
      <c r="BA43" s="38" t="s">
        <v>169</v>
      </c>
      <c r="BB43" s="38" t="s">
        <v>171</v>
      </c>
      <c r="BC43" s="38" t="s">
        <v>169</v>
      </c>
      <c r="BD43" s="38" t="s">
        <v>169</v>
      </c>
      <c r="BE43" s="38" t="s">
        <v>169</v>
      </c>
      <c r="BF43" s="38" t="s">
        <v>171</v>
      </c>
      <c r="BG43" s="38" t="s">
        <v>171</v>
      </c>
      <c r="BH43" s="38" t="s">
        <v>170</v>
      </c>
      <c r="BI43" s="38" t="s">
        <v>172</v>
      </c>
      <c r="BJ43" s="38" t="s">
        <v>172</v>
      </c>
      <c r="BK43" s="38" t="s">
        <v>171</v>
      </c>
      <c r="BL43" s="38" t="s">
        <v>170</v>
      </c>
      <c r="BM43" s="38" t="s">
        <v>170</v>
      </c>
      <c r="BN43" s="38" t="s">
        <v>170</v>
      </c>
      <c r="BO43" s="38" t="s">
        <v>170</v>
      </c>
      <c r="BP43" s="38" t="s">
        <v>172</v>
      </c>
      <c r="BQ43" s="38" t="s">
        <v>170</v>
      </c>
      <c r="BR43" s="38" t="s">
        <v>170</v>
      </c>
      <c r="BS43" s="38" t="s">
        <v>171</v>
      </c>
      <c r="BT43" s="38" t="s">
        <v>170</v>
      </c>
      <c r="BU43" s="38" t="s">
        <v>169</v>
      </c>
      <c r="BV43" s="38" t="s">
        <v>172</v>
      </c>
      <c r="BW43" s="38" t="s">
        <v>169</v>
      </c>
      <c r="BX43" s="38" t="s">
        <v>170</v>
      </c>
    </row>
    <row r="44" customFormat="false" ht="15" hidden="false" customHeight="true" outlineLevel="0" collapsed="false">
      <c r="A44" s="38" t="s">
        <v>249</v>
      </c>
      <c r="B44" s="38" t="s">
        <v>266</v>
      </c>
      <c r="C44" s="38" t="s">
        <v>267</v>
      </c>
      <c r="D44" s="38" t="s">
        <v>182</v>
      </c>
      <c r="E44" s="38" t="s">
        <v>169</v>
      </c>
      <c r="F44" s="38" t="s">
        <v>170</v>
      </c>
      <c r="G44" s="38" t="s">
        <v>170</v>
      </c>
      <c r="H44" s="38" t="s">
        <v>171</v>
      </c>
      <c r="I44" s="38" t="s">
        <v>171</v>
      </c>
      <c r="J44" s="38" t="s">
        <v>169</v>
      </c>
      <c r="K44" s="38" t="s">
        <v>171</v>
      </c>
      <c r="L44" s="38" t="s">
        <v>171</v>
      </c>
      <c r="M44" s="38" t="s">
        <v>169</v>
      </c>
      <c r="N44" s="38" t="s">
        <v>169</v>
      </c>
      <c r="O44" s="38" t="s">
        <v>170</v>
      </c>
      <c r="P44" s="38" t="s">
        <v>169</v>
      </c>
      <c r="Q44" s="38" t="s">
        <v>170</v>
      </c>
      <c r="R44" s="38" t="s">
        <v>172</v>
      </c>
      <c r="S44" s="38" t="s">
        <v>172</v>
      </c>
      <c r="T44" s="38" t="s">
        <v>171</v>
      </c>
      <c r="U44" s="38" t="s">
        <v>170</v>
      </c>
      <c r="V44" s="38" t="s">
        <v>169</v>
      </c>
      <c r="W44" s="38" t="s">
        <v>169</v>
      </c>
      <c r="X44" s="38" t="s">
        <v>171</v>
      </c>
      <c r="Y44" s="38" t="s">
        <v>172</v>
      </c>
      <c r="Z44" s="38" t="s">
        <v>169</v>
      </c>
      <c r="AA44" s="38" t="s">
        <v>170</v>
      </c>
      <c r="AB44" s="38" t="s">
        <v>169</v>
      </c>
      <c r="AC44" s="38" t="s">
        <v>170</v>
      </c>
      <c r="AD44" s="38" t="s">
        <v>169</v>
      </c>
      <c r="AE44" s="38" t="s">
        <v>171</v>
      </c>
      <c r="AF44" s="38" t="s">
        <v>172</v>
      </c>
      <c r="AG44" s="38" t="s">
        <v>171</v>
      </c>
      <c r="AH44" s="38" t="s">
        <v>169</v>
      </c>
      <c r="AI44" s="38" t="s">
        <v>172</v>
      </c>
      <c r="AJ44" s="38" t="s">
        <v>170</v>
      </c>
      <c r="AK44" s="38" t="s">
        <v>171</v>
      </c>
      <c r="AL44" s="38" t="s">
        <v>170</v>
      </c>
      <c r="AM44" s="38" t="s">
        <v>171</v>
      </c>
      <c r="AN44" s="38" t="s">
        <v>171</v>
      </c>
      <c r="AO44" s="38" t="s">
        <v>172</v>
      </c>
      <c r="AP44" s="38" t="s">
        <v>172</v>
      </c>
      <c r="AQ44" s="38" t="s">
        <v>171</v>
      </c>
      <c r="AR44" s="38" t="s">
        <v>170</v>
      </c>
      <c r="AS44" s="38" t="s">
        <v>172</v>
      </c>
      <c r="AT44" s="38" t="s">
        <v>171</v>
      </c>
      <c r="AU44" s="38" t="s">
        <v>172</v>
      </c>
      <c r="AV44" s="38" t="s">
        <v>172</v>
      </c>
      <c r="AW44" s="38" t="s">
        <v>169</v>
      </c>
      <c r="AX44" s="38" t="s">
        <v>169</v>
      </c>
      <c r="AY44" s="38" t="s">
        <v>171</v>
      </c>
      <c r="AZ44" s="38" t="s">
        <v>171</v>
      </c>
      <c r="BA44" s="38" t="s">
        <v>172</v>
      </c>
      <c r="BB44" s="38" t="s">
        <v>169</v>
      </c>
      <c r="BC44" s="38" t="s">
        <v>169</v>
      </c>
      <c r="BD44" s="38" t="s">
        <v>169</v>
      </c>
      <c r="BE44" s="38" t="s">
        <v>169</v>
      </c>
      <c r="BF44" s="38" t="s">
        <v>171</v>
      </c>
      <c r="BG44" s="38" t="s">
        <v>171</v>
      </c>
      <c r="BH44" s="38" t="s">
        <v>170</v>
      </c>
      <c r="BI44" s="38" t="s">
        <v>169</v>
      </c>
      <c r="BJ44" s="38" t="s">
        <v>172</v>
      </c>
      <c r="BK44" s="38" t="s">
        <v>169</v>
      </c>
      <c r="BL44" s="38" t="s">
        <v>170</v>
      </c>
      <c r="BM44" s="38" t="s">
        <v>170</v>
      </c>
      <c r="BN44" s="38" t="s">
        <v>170</v>
      </c>
      <c r="BO44" s="38" t="s">
        <v>170</v>
      </c>
      <c r="BP44" s="38" t="s">
        <v>170</v>
      </c>
      <c r="BQ44" s="38" t="s">
        <v>171</v>
      </c>
      <c r="BR44" s="38" t="s">
        <v>172</v>
      </c>
      <c r="BS44" s="38" t="s">
        <v>170</v>
      </c>
      <c r="BT44" s="38" t="s">
        <v>172</v>
      </c>
      <c r="BU44" s="38" t="s">
        <v>169</v>
      </c>
      <c r="BV44" s="38" t="s">
        <v>169</v>
      </c>
      <c r="BW44" s="38" t="s">
        <v>169</v>
      </c>
      <c r="BX44" s="38" t="s">
        <v>170</v>
      </c>
    </row>
    <row r="45" customFormat="false" ht="15" hidden="false" customHeight="true" outlineLevel="0" collapsed="false">
      <c r="A45" s="38" t="s">
        <v>249</v>
      </c>
      <c r="B45" s="38" t="s">
        <v>268</v>
      </c>
      <c r="C45" s="38" t="s">
        <v>269</v>
      </c>
      <c r="D45" s="38" t="s">
        <v>187</v>
      </c>
      <c r="E45" s="38" t="s">
        <v>169</v>
      </c>
      <c r="F45" s="38" t="s">
        <v>170</v>
      </c>
      <c r="G45" s="38" t="s">
        <v>171</v>
      </c>
      <c r="H45" s="38" t="s">
        <v>171</v>
      </c>
      <c r="I45" s="38" t="s">
        <v>170</v>
      </c>
      <c r="J45" s="38" t="s">
        <v>172</v>
      </c>
      <c r="K45" s="38" t="s">
        <v>169</v>
      </c>
      <c r="L45" s="38" t="s">
        <v>171</v>
      </c>
      <c r="M45" s="38" t="s">
        <v>172</v>
      </c>
      <c r="N45" s="38" t="s">
        <v>169</v>
      </c>
      <c r="O45" s="38" t="s">
        <v>170</v>
      </c>
      <c r="P45" s="38" t="s">
        <v>171</v>
      </c>
      <c r="Q45" s="38" t="s">
        <v>170</v>
      </c>
      <c r="R45" s="38" t="s">
        <v>172</v>
      </c>
      <c r="S45" s="38" t="s">
        <v>169</v>
      </c>
      <c r="T45" s="38" t="s">
        <v>171</v>
      </c>
      <c r="U45" s="38" t="s">
        <v>172</v>
      </c>
      <c r="V45" s="38" t="s">
        <v>169</v>
      </c>
      <c r="W45" s="38" t="s">
        <v>169</v>
      </c>
      <c r="X45" s="38" t="s">
        <v>172</v>
      </c>
      <c r="Y45" s="38" t="s">
        <v>172</v>
      </c>
      <c r="Z45" s="38" t="s">
        <v>169</v>
      </c>
      <c r="AA45" s="38" t="s">
        <v>172</v>
      </c>
      <c r="AB45" s="38" t="s">
        <v>169</v>
      </c>
      <c r="AC45" s="38" t="s">
        <v>170</v>
      </c>
      <c r="AD45" s="38" t="s">
        <v>169</v>
      </c>
      <c r="AE45" s="38" t="s">
        <v>171</v>
      </c>
      <c r="AF45" s="38" t="s">
        <v>170</v>
      </c>
      <c r="AG45" s="38" t="s">
        <v>172</v>
      </c>
      <c r="AH45" s="38" t="s">
        <v>169</v>
      </c>
      <c r="AI45" s="38" t="s">
        <v>171</v>
      </c>
      <c r="AJ45" s="38" t="s">
        <v>170</v>
      </c>
      <c r="AK45" s="38" t="s">
        <v>171</v>
      </c>
      <c r="AL45" s="38" t="s">
        <v>170</v>
      </c>
      <c r="AM45" s="38" t="s">
        <v>172</v>
      </c>
      <c r="AN45" s="38" t="s">
        <v>171</v>
      </c>
      <c r="AO45" s="38" t="s">
        <v>172</v>
      </c>
      <c r="AP45" s="38" t="s">
        <v>172</v>
      </c>
      <c r="AQ45" s="38" t="s">
        <v>171</v>
      </c>
      <c r="AR45" s="38" t="s">
        <v>170</v>
      </c>
      <c r="AS45" s="38" t="s">
        <v>171</v>
      </c>
      <c r="AT45" s="38" t="s">
        <v>169</v>
      </c>
      <c r="AU45" s="38" t="s">
        <v>172</v>
      </c>
      <c r="AV45" s="38" t="s">
        <v>172</v>
      </c>
      <c r="AW45" s="38" t="s">
        <v>169</v>
      </c>
      <c r="AX45" s="38" t="s">
        <v>169</v>
      </c>
      <c r="AY45" s="38" t="s">
        <v>171</v>
      </c>
      <c r="AZ45" s="38" t="s">
        <v>170</v>
      </c>
      <c r="BA45" s="38" t="s">
        <v>169</v>
      </c>
      <c r="BB45" s="38" t="s">
        <v>172</v>
      </c>
      <c r="BC45" s="38" t="s">
        <v>169</v>
      </c>
      <c r="BD45" s="38" t="s">
        <v>172</v>
      </c>
      <c r="BE45" s="38" t="s">
        <v>169</v>
      </c>
      <c r="BF45" s="38" t="s">
        <v>171</v>
      </c>
      <c r="BG45" s="38" t="s">
        <v>171</v>
      </c>
      <c r="BH45" s="38" t="s">
        <v>170</v>
      </c>
      <c r="BI45" s="38" t="s">
        <v>169</v>
      </c>
      <c r="BJ45" s="38" t="s">
        <v>172</v>
      </c>
      <c r="BK45" s="38" t="s">
        <v>172</v>
      </c>
      <c r="BL45" s="38" t="s">
        <v>170</v>
      </c>
      <c r="BM45" s="38" t="s">
        <v>170</v>
      </c>
      <c r="BN45" s="38" t="s">
        <v>171</v>
      </c>
      <c r="BO45" s="38" t="s">
        <v>170</v>
      </c>
      <c r="BP45" s="38" t="s">
        <v>171</v>
      </c>
      <c r="BQ45" s="38" t="s">
        <v>170</v>
      </c>
      <c r="BR45" s="38" t="s">
        <v>170</v>
      </c>
      <c r="BS45" s="38" t="s">
        <v>171</v>
      </c>
      <c r="BT45" s="38" t="s">
        <v>169</v>
      </c>
      <c r="BU45" s="38" t="s">
        <v>169</v>
      </c>
      <c r="BV45" s="38" t="s">
        <v>172</v>
      </c>
      <c r="BW45" s="38" t="s">
        <v>169</v>
      </c>
      <c r="BX45" s="38" t="s">
        <v>170</v>
      </c>
    </row>
    <row r="46" customFormat="false" ht="15" hidden="false" customHeight="true" outlineLevel="0" collapsed="false">
      <c r="A46" s="38" t="s">
        <v>249</v>
      </c>
      <c r="B46" s="38" t="s">
        <v>270</v>
      </c>
      <c r="C46" s="38" t="s">
        <v>240</v>
      </c>
      <c r="D46" s="38" t="s">
        <v>241</v>
      </c>
      <c r="E46" s="38" t="s">
        <v>169</v>
      </c>
      <c r="F46" s="38" t="s">
        <v>170</v>
      </c>
      <c r="G46" s="38" t="s">
        <v>169</v>
      </c>
      <c r="H46" s="38" t="s">
        <v>169</v>
      </c>
      <c r="I46" s="38" t="s">
        <v>172</v>
      </c>
      <c r="J46" s="38" t="s">
        <v>171</v>
      </c>
      <c r="K46" s="38" t="s">
        <v>171</v>
      </c>
      <c r="L46" s="38" t="s">
        <v>171</v>
      </c>
      <c r="M46" s="38" t="s">
        <v>172</v>
      </c>
      <c r="N46" s="38" t="s">
        <v>169</v>
      </c>
      <c r="O46" s="38" t="s">
        <v>170</v>
      </c>
      <c r="P46" s="38" t="s">
        <v>171</v>
      </c>
      <c r="Q46" s="38" t="s">
        <v>170</v>
      </c>
      <c r="R46" s="38" t="s">
        <v>172</v>
      </c>
      <c r="S46" s="38" t="s">
        <v>169</v>
      </c>
      <c r="T46" s="38" t="s">
        <v>171</v>
      </c>
      <c r="U46" s="38" t="s">
        <v>171</v>
      </c>
      <c r="V46" s="38" t="s">
        <v>169</v>
      </c>
      <c r="W46" s="38" t="s">
        <v>169</v>
      </c>
      <c r="X46" s="38" t="s">
        <v>169</v>
      </c>
      <c r="Y46" s="38" t="s">
        <v>172</v>
      </c>
      <c r="Z46" s="38" t="s">
        <v>169</v>
      </c>
      <c r="AA46" s="38" t="s">
        <v>172</v>
      </c>
      <c r="AB46" s="38" t="s">
        <v>169</v>
      </c>
      <c r="AC46" s="38" t="s">
        <v>170</v>
      </c>
      <c r="AD46" s="38" t="s">
        <v>169</v>
      </c>
      <c r="AE46" s="38" t="s">
        <v>170</v>
      </c>
      <c r="AF46" s="38" t="s">
        <v>170</v>
      </c>
      <c r="AG46" s="38" t="s">
        <v>172</v>
      </c>
      <c r="AH46" s="38" t="s">
        <v>169</v>
      </c>
      <c r="AI46" s="38" t="s">
        <v>172</v>
      </c>
      <c r="AJ46" s="38" t="s">
        <v>170</v>
      </c>
      <c r="AK46" s="38" t="s">
        <v>171</v>
      </c>
      <c r="AL46" s="38" t="s">
        <v>169</v>
      </c>
      <c r="AM46" s="38" t="s">
        <v>172</v>
      </c>
      <c r="AN46" s="38" t="s">
        <v>172</v>
      </c>
      <c r="AO46" s="38" t="s">
        <v>169</v>
      </c>
      <c r="AP46" s="38" t="s">
        <v>172</v>
      </c>
      <c r="AQ46" s="38" t="s">
        <v>171</v>
      </c>
      <c r="AR46" s="38" t="s">
        <v>170</v>
      </c>
      <c r="AS46" s="38" t="s">
        <v>171</v>
      </c>
      <c r="AT46" s="38" t="s">
        <v>169</v>
      </c>
      <c r="AU46" s="38" t="s">
        <v>169</v>
      </c>
      <c r="AV46" s="38" t="s">
        <v>172</v>
      </c>
      <c r="AW46" s="38" t="s">
        <v>169</v>
      </c>
      <c r="AX46" s="38" t="s">
        <v>169</v>
      </c>
      <c r="AY46" s="38" t="s">
        <v>171</v>
      </c>
      <c r="AZ46" s="38" t="s">
        <v>170</v>
      </c>
      <c r="BA46" s="38" t="s">
        <v>170</v>
      </c>
      <c r="BB46" s="38" t="s">
        <v>171</v>
      </c>
      <c r="BC46" s="38" t="s">
        <v>169</v>
      </c>
      <c r="BD46" s="38" t="s">
        <v>171</v>
      </c>
      <c r="BE46" s="38" t="s">
        <v>169</v>
      </c>
      <c r="BF46" s="38" t="s">
        <v>171</v>
      </c>
      <c r="BG46" s="38" t="s">
        <v>171</v>
      </c>
      <c r="BH46" s="38" t="s">
        <v>170</v>
      </c>
      <c r="BI46" s="38" t="s">
        <v>169</v>
      </c>
      <c r="BJ46" s="38" t="s">
        <v>172</v>
      </c>
      <c r="BK46" s="38" t="s">
        <v>171</v>
      </c>
      <c r="BL46" s="38" t="s">
        <v>170</v>
      </c>
      <c r="BM46" s="38" t="s">
        <v>170</v>
      </c>
      <c r="BN46" s="38" t="s">
        <v>172</v>
      </c>
      <c r="BO46" s="38" t="s">
        <v>170</v>
      </c>
      <c r="BP46" s="38" t="s">
        <v>172</v>
      </c>
      <c r="BQ46" s="38" t="s">
        <v>169</v>
      </c>
      <c r="BR46" s="38" t="s">
        <v>172</v>
      </c>
      <c r="BS46" s="38" t="s">
        <v>172</v>
      </c>
      <c r="BT46" s="38" t="s">
        <v>171</v>
      </c>
      <c r="BU46" s="38" t="s">
        <v>171</v>
      </c>
      <c r="BV46" s="38" t="s">
        <v>170</v>
      </c>
      <c r="BW46" s="38" t="s">
        <v>169</v>
      </c>
      <c r="BX46" s="38" t="s">
        <v>170</v>
      </c>
    </row>
    <row r="47" customFormat="false" ht="15" hidden="false" customHeight="true" outlineLevel="0" collapsed="false">
      <c r="A47" s="38" t="s">
        <v>249</v>
      </c>
      <c r="B47" s="38" t="s">
        <v>271</v>
      </c>
      <c r="C47" s="38" t="s">
        <v>224</v>
      </c>
      <c r="D47" s="38" t="s">
        <v>272</v>
      </c>
      <c r="E47" s="38" t="s">
        <v>169</v>
      </c>
      <c r="F47" s="38" t="s">
        <v>170</v>
      </c>
      <c r="G47" s="38" t="s">
        <v>171</v>
      </c>
      <c r="H47" s="38" t="s">
        <v>171</v>
      </c>
      <c r="I47" s="38" t="s">
        <v>170</v>
      </c>
      <c r="J47" s="38" t="s">
        <v>171</v>
      </c>
      <c r="K47" s="38" t="s">
        <v>172</v>
      </c>
      <c r="L47" s="38" t="s">
        <v>171</v>
      </c>
      <c r="M47" s="38" t="s">
        <v>169</v>
      </c>
      <c r="N47" s="38" t="s">
        <v>169</v>
      </c>
      <c r="O47" s="38" t="s">
        <v>170</v>
      </c>
      <c r="P47" s="38" t="s">
        <v>170</v>
      </c>
      <c r="Q47" s="38" t="s">
        <v>172</v>
      </c>
      <c r="R47" s="38" t="s">
        <v>172</v>
      </c>
      <c r="S47" s="38" t="s">
        <v>169</v>
      </c>
      <c r="T47" s="38" t="s">
        <v>171</v>
      </c>
      <c r="U47" s="38" t="s">
        <v>171</v>
      </c>
      <c r="V47" s="38" t="s">
        <v>169</v>
      </c>
      <c r="W47" s="38" t="s">
        <v>169</v>
      </c>
      <c r="X47" s="38" t="s">
        <v>171</v>
      </c>
      <c r="Y47" s="38" t="s">
        <v>172</v>
      </c>
      <c r="Z47" s="38" t="s">
        <v>172</v>
      </c>
      <c r="AA47" s="38" t="s">
        <v>169</v>
      </c>
      <c r="AB47" s="38" t="s">
        <v>169</v>
      </c>
      <c r="AC47" s="38" t="s">
        <v>170</v>
      </c>
      <c r="AD47" s="38" t="s">
        <v>169</v>
      </c>
      <c r="AE47" s="38" t="s">
        <v>170</v>
      </c>
      <c r="AF47" s="38" t="s">
        <v>170</v>
      </c>
      <c r="AG47" s="38" t="s">
        <v>172</v>
      </c>
      <c r="AH47" s="38" t="s">
        <v>170</v>
      </c>
      <c r="AI47" s="38" t="s">
        <v>172</v>
      </c>
      <c r="AJ47" s="38" t="s">
        <v>170</v>
      </c>
      <c r="AK47" s="38" t="s">
        <v>171</v>
      </c>
      <c r="AL47" s="38" t="s">
        <v>172</v>
      </c>
      <c r="AM47" s="38" t="s">
        <v>169</v>
      </c>
      <c r="AN47" s="38" t="s">
        <v>171</v>
      </c>
      <c r="AO47" s="38" t="s">
        <v>172</v>
      </c>
      <c r="AP47" s="38" t="s">
        <v>172</v>
      </c>
      <c r="AQ47" s="38" t="s">
        <v>171</v>
      </c>
      <c r="AR47" s="38" t="s">
        <v>169</v>
      </c>
      <c r="AS47" s="38" t="s">
        <v>171</v>
      </c>
      <c r="AT47" s="38" t="s">
        <v>169</v>
      </c>
      <c r="AU47" s="38" t="s">
        <v>169</v>
      </c>
      <c r="AV47" s="38" t="s">
        <v>172</v>
      </c>
      <c r="AW47" s="38" t="s">
        <v>169</v>
      </c>
      <c r="AX47" s="38" t="s">
        <v>172</v>
      </c>
      <c r="AY47" s="38" t="s">
        <v>171</v>
      </c>
      <c r="AZ47" s="38" t="s">
        <v>170</v>
      </c>
      <c r="BA47" s="38" t="s">
        <v>169</v>
      </c>
      <c r="BB47" s="38" t="s">
        <v>171</v>
      </c>
      <c r="BC47" s="38" t="s">
        <v>170</v>
      </c>
      <c r="BD47" s="38" t="s">
        <v>169</v>
      </c>
      <c r="BE47" s="38" t="s">
        <v>169</v>
      </c>
      <c r="BF47" s="38" t="s">
        <v>171</v>
      </c>
      <c r="BG47" s="38" t="s">
        <v>171</v>
      </c>
      <c r="BH47" s="38" t="s">
        <v>170</v>
      </c>
      <c r="BI47" s="38" t="s">
        <v>172</v>
      </c>
      <c r="BJ47" s="38" t="s">
        <v>172</v>
      </c>
      <c r="BK47" s="38" t="s">
        <v>172</v>
      </c>
      <c r="BL47" s="38" t="s">
        <v>171</v>
      </c>
      <c r="BM47" s="38" t="s">
        <v>170</v>
      </c>
      <c r="BN47" s="38" t="s">
        <v>170</v>
      </c>
      <c r="BO47" s="38" t="s">
        <v>169</v>
      </c>
      <c r="BP47" s="38" t="s">
        <v>172</v>
      </c>
      <c r="BQ47" s="38" t="s">
        <v>170</v>
      </c>
      <c r="BR47" s="38" t="s">
        <v>171</v>
      </c>
      <c r="BS47" s="38" t="s">
        <v>169</v>
      </c>
      <c r="BT47" s="38" t="s">
        <v>169</v>
      </c>
      <c r="BU47" s="38" t="s">
        <v>172</v>
      </c>
      <c r="BV47" s="38" t="s">
        <v>172</v>
      </c>
      <c r="BW47" s="38" t="s">
        <v>169</v>
      </c>
      <c r="BX47" s="38" t="s">
        <v>170</v>
      </c>
    </row>
    <row r="48" customFormat="false" ht="15" hidden="false" customHeight="true" outlineLevel="0" collapsed="false">
      <c r="A48" s="38" t="s">
        <v>249</v>
      </c>
      <c r="B48" s="38" t="s">
        <v>273</v>
      </c>
      <c r="C48" s="38" t="s">
        <v>274</v>
      </c>
      <c r="D48" s="38" t="s">
        <v>199</v>
      </c>
      <c r="E48" s="38" t="s">
        <v>170</v>
      </c>
      <c r="F48" s="38" t="s">
        <v>171</v>
      </c>
      <c r="G48" s="38" t="s">
        <v>170</v>
      </c>
      <c r="H48" s="38" t="s">
        <v>171</v>
      </c>
      <c r="I48" s="38" t="s">
        <v>170</v>
      </c>
      <c r="J48" s="38" t="s">
        <v>169</v>
      </c>
      <c r="K48" s="38" t="s">
        <v>169</v>
      </c>
      <c r="L48" s="38" t="s">
        <v>171</v>
      </c>
      <c r="M48" s="38" t="s">
        <v>172</v>
      </c>
      <c r="N48" s="38" t="s">
        <v>169</v>
      </c>
      <c r="O48" s="38" t="s">
        <v>170</v>
      </c>
      <c r="P48" s="38" t="s">
        <v>170</v>
      </c>
      <c r="Q48" s="38" t="s">
        <v>172</v>
      </c>
      <c r="R48" s="38" t="s">
        <v>172</v>
      </c>
      <c r="S48" s="38" t="s">
        <v>169</v>
      </c>
      <c r="T48" s="38" t="s">
        <v>171</v>
      </c>
      <c r="U48" s="38" t="s">
        <v>171</v>
      </c>
      <c r="V48" s="38" t="s">
        <v>169</v>
      </c>
      <c r="W48" s="38" t="s">
        <v>169</v>
      </c>
      <c r="X48" s="38" t="s">
        <v>171</v>
      </c>
      <c r="Y48" s="38" t="s">
        <v>172</v>
      </c>
      <c r="Z48" s="38" t="s">
        <v>172</v>
      </c>
      <c r="AA48" s="38" t="s">
        <v>169</v>
      </c>
      <c r="AB48" s="38" t="s">
        <v>169</v>
      </c>
      <c r="AC48" s="38" t="s">
        <v>170</v>
      </c>
      <c r="AD48" s="38" t="s">
        <v>169</v>
      </c>
      <c r="AE48" s="38" t="s">
        <v>170</v>
      </c>
      <c r="AF48" s="38" t="s">
        <v>172</v>
      </c>
      <c r="AG48" s="38" t="s">
        <v>172</v>
      </c>
      <c r="AH48" s="38" t="s">
        <v>169</v>
      </c>
      <c r="AI48" s="38" t="s">
        <v>172</v>
      </c>
      <c r="AJ48" s="38" t="s">
        <v>170</v>
      </c>
      <c r="AK48" s="38" t="s">
        <v>171</v>
      </c>
      <c r="AL48" s="38" t="s">
        <v>169</v>
      </c>
      <c r="AM48" s="38" t="s">
        <v>171</v>
      </c>
      <c r="AN48" s="38" t="s">
        <v>172</v>
      </c>
      <c r="AO48" s="38" t="s">
        <v>172</v>
      </c>
      <c r="AP48" s="38" t="s">
        <v>172</v>
      </c>
      <c r="AQ48" s="38" t="s">
        <v>171</v>
      </c>
      <c r="AR48" s="38" t="s">
        <v>170</v>
      </c>
      <c r="AS48" s="38" t="s">
        <v>171</v>
      </c>
      <c r="AT48" s="38" t="s">
        <v>171</v>
      </c>
      <c r="AU48" s="38" t="s">
        <v>169</v>
      </c>
      <c r="AV48" s="38" t="s">
        <v>172</v>
      </c>
      <c r="AW48" s="38" t="s">
        <v>169</v>
      </c>
      <c r="AX48" s="38" t="s">
        <v>172</v>
      </c>
      <c r="AY48" s="38" t="s">
        <v>171</v>
      </c>
      <c r="AZ48" s="38" t="s">
        <v>170</v>
      </c>
      <c r="BA48" s="38" t="s">
        <v>169</v>
      </c>
      <c r="BB48" s="38" t="s">
        <v>169</v>
      </c>
      <c r="BC48" s="38" t="s">
        <v>169</v>
      </c>
      <c r="BD48" s="38" t="s">
        <v>170</v>
      </c>
      <c r="BE48" s="38" t="s">
        <v>169</v>
      </c>
      <c r="BF48" s="38" t="s">
        <v>171</v>
      </c>
      <c r="BG48" s="38" t="s">
        <v>171</v>
      </c>
      <c r="BH48" s="38" t="s">
        <v>170</v>
      </c>
      <c r="BI48" s="38" t="s">
        <v>169</v>
      </c>
      <c r="BJ48" s="38" t="s">
        <v>172</v>
      </c>
      <c r="BK48" s="38" t="s">
        <v>170</v>
      </c>
      <c r="BL48" s="38" t="s">
        <v>171</v>
      </c>
      <c r="BM48" s="38" t="s">
        <v>170</v>
      </c>
      <c r="BN48" s="38" t="s">
        <v>169</v>
      </c>
      <c r="BO48" s="38" t="s">
        <v>170</v>
      </c>
      <c r="BP48" s="38" t="s">
        <v>170</v>
      </c>
      <c r="BQ48" s="38" t="s">
        <v>170</v>
      </c>
      <c r="BR48" s="38" t="s">
        <v>170</v>
      </c>
      <c r="BS48" s="38" t="s">
        <v>170</v>
      </c>
      <c r="BT48" s="38" t="s">
        <v>169</v>
      </c>
      <c r="BU48" s="38" t="s">
        <v>169</v>
      </c>
      <c r="BV48" s="38" t="s">
        <v>169</v>
      </c>
      <c r="BW48" s="38" t="s">
        <v>172</v>
      </c>
      <c r="BX48" s="38" t="s">
        <v>169</v>
      </c>
    </row>
    <row r="49" customFormat="false" ht="15" hidden="false" customHeight="true" outlineLevel="0" collapsed="false">
      <c r="A49" s="38" t="s">
        <v>249</v>
      </c>
      <c r="B49" s="38" t="s">
        <v>275</v>
      </c>
      <c r="C49" s="38" t="s">
        <v>228</v>
      </c>
      <c r="D49" s="38" t="s">
        <v>276</v>
      </c>
      <c r="E49" s="38" t="s">
        <v>169</v>
      </c>
      <c r="F49" s="38" t="s">
        <v>169</v>
      </c>
      <c r="G49" s="38" t="s">
        <v>171</v>
      </c>
      <c r="H49" s="38" t="s">
        <v>170</v>
      </c>
      <c r="I49" s="38" t="s">
        <v>170</v>
      </c>
      <c r="J49" s="38" t="s">
        <v>172</v>
      </c>
      <c r="K49" s="38" t="s">
        <v>172</v>
      </c>
      <c r="L49" s="38" t="s">
        <v>171</v>
      </c>
      <c r="M49" s="38" t="s">
        <v>169</v>
      </c>
      <c r="N49" s="38" t="s">
        <v>169</v>
      </c>
      <c r="O49" s="38" t="s">
        <v>171</v>
      </c>
      <c r="P49" s="38" t="s">
        <v>170</v>
      </c>
      <c r="Q49" s="38" t="s">
        <v>170</v>
      </c>
      <c r="R49" s="38" t="s">
        <v>172</v>
      </c>
      <c r="S49" s="38" t="s">
        <v>169</v>
      </c>
      <c r="T49" s="40" t="s">
        <v>176</v>
      </c>
      <c r="U49" s="38" t="s">
        <v>171</v>
      </c>
      <c r="V49" s="38" t="s">
        <v>169</v>
      </c>
      <c r="W49" s="38" t="s">
        <v>169</v>
      </c>
      <c r="X49" s="38" t="s">
        <v>171</v>
      </c>
      <c r="Y49" s="38" t="s">
        <v>172</v>
      </c>
      <c r="Z49" s="38" t="s">
        <v>172</v>
      </c>
      <c r="AA49" s="38" t="s">
        <v>169</v>
      </c>
      <c r="AB49" s="38" t="s">
        <v>172</v>
      </c>
      <c r="AC49" s="38" t="s">
        <v>170</v>
      </c>
      <c r="AD49" s="38" t="s">
        <v>169</v>
      </c>
      <c r="AE49" s="38" t="s">
        <v>171</v>
      </c>
      <c r="AF49" s="38" t="s">
        <v>170</v>
      </c>
      <c r="AG49" s="38" t="s">
        <v>169</v>
      </c>
      <c r="AH49" s="38" t="s">
        <v>170</v>
      </c>
      <c r="AI49" s="38" t="s">
        <v>170</v>
      </c>
      <c r="AJ49" s="38" t="s">
        <v>171</v>
      </c>
      <c r="AK49" s="38" t="s">
        <v>171</v>
      </c>
      <c r="AL49" s="38" t="s">
        <v>171</v>
      </c>
      <c r="AM49" s="38" t="s">
        <v>172</v>
      </c>
      <c r="AN49" s="38" t="s">
        <v>170</v>
      </c>
      <c r="AO49" s="38" t="s">
        <v>172</v>
      </c>
      <c r="AP49" s="38" t="s">
        <v>170</v>
      </c>
      <c r="AQ49" s="38" t="s">
        <v>169</v>
      </c>
      <c r="AR49" s="38" t="s">
        <v>169</v>
      </c>
      <c r="AS49" s="38" t="s">
        <v>170</v>
      </c>
      <c r="AT49" s="38" t="s">
        <v>169</v>
      </c>
      <c r="AU49" s="38" t="s">
        <v>172</v>
      </c>
      <c r="AV49" s="38" t="s">
        <v>172</v>
      </c>
      <c r="AW49" s="38" t="s">
        <v>169</v>
      </c>
      <c r="AX49" s="38" t="s">
        <v>172</v>
      </c>
      <c r="AY49" s="38" t="s">
        <v>171</v>
      </c>
      <c r="AZ49" s="38" t="s">
        <v>170</v>
      </c>
      <c r="BA49" s="38" t="s">
        <v>170</v>
      </c>
      <c r="BB49" s="38" t="s">
        <v>170</v>
      </c>
      <c r="BC49" s="38" t="s">
        <v>169</v>
      </c>
      <c r="BD49" s="38" t="s">
        <v>172</v>
      </c>
      <c r="BE49" s="38" t="s">
        <v>169</v>
      </c>
      <c r="BF49" s="38" t="s">
        <v>171</v>
      </c>
      <c r="BG49" s="38" t="s">
        <v>171</v>
      </c>
      <c r="BH49" s="38" t="s">
        <v>170</v>
      </c>
      <c r="BI49" s="38" t="s">
        <v>169</v>
      </c>
      <c r="BJ49" s="38" t="s">
        <v>172</v>
      </c>
      <c r="BK49" s="38" t="s">
        <v>172</v>
      </c>
      <c r="BL49" s="38" t="s">
        <v>170</v>
      </c>
      <c r="BM49" s="38" t="s">
        <v>170</v>
      </c>
      <c r="BN49" s="38" t="s">
        <v>171</v>
      </c>
      <c r="BO49" s="38" t="s">
        <v>170</v>
      </c>
      <c r="BP49" s="38" t="s">
        <v>169</v>
      </c>
      <c r="BQ49" s="38" t="s">
        <v>169</v>
      </c>
      <c r="BR49" s="38" t="s">
        <v>171</v>
      </c>
      <c r="BS49" s="38" t="s">
        <v>171</v>
      </c>
      <c r="BT49" s="38" t="s">
        <v>169</v>
      </c>
      <c r="BU49" s="38" t="s">
        <v>169</v>
      </c>
      <c r="BV49" s="38" t="s">
        <v>172</v>
      </c>
      <c r="BW49" s="38" t="s">
        <v>171</v>
      </c>
      <c r="BX49" s="38" t="s">
        <v>170</v>
      </c>
    </row>
    <row r="50" customFormat="false" ht="15" hidden="false" customHeight="true" outlineLevel="0" collapsed="false">
      <c r="A50" s="38" t="s">
        <v>249</v>
      </c>
      <c r="B50" s="38" t="s">
        <v>277</v>
      </c>
      <c r="C50" s="38" t="s">
        <v>278</v>
      </c>
      <c r="D50" s="38" t="s">
        <v>247</v>
      </c>
      <c r="E50" s="38" t="s">
        <v>169</v>
      </c>
      <c r="F50" s="38" t="s">
        <v>171</v>
      </c>
      <c r="G50" s="38" t="s">
        <v>171</v>
      </c>
      <c r="H50" s="38" t="s">
        <v>170</v>
      </c>
      <c r="I50" s="38" t="s">
        <v>170</v>
      </c>
      <c r="J50" s="38" t="s">
        <v>172</v>
      </c>
      <c r="K50" s="38" t="s">
        <v>172</v>
      </c>
      <c r="L50" s="38" t="s">
        <v>171</v>
      </c>
      <c r="M50" s="38" t="s">
        <v>172</v>
      </c>
      <c r="N50" s="38" t="s">
        <v>169</v>
      </c>
      <c r="O50" s="38" t="s">
        <v>171</v>
      </c>
      <c r="P50" s="38" t="s">
        <v>169</v>
      </c>
      <c r="Q50" s="38" t="s">
        <v>171</v>
      </c>
      <c r="R50" s="38" t="s">
        <v>172</v>
      </c>
      <c r="S50" s="38" t="s">
        <v>169</v>
      </c>
      <c r="T50" s="40" t="s">
        <v>176</v>
      </c>
      <c r="U50" s="38" t="s">
        <v>170</v>
      </c>
      <c r="V50" s="38" t="s">
        <v>169</v>
      </c>
      <c r="W50" s="38" t="s">
        <v>169</v>
      </c>
      <c r="X50" s="38" t="s">
        <v>170</v>
      </c>
      <c r="Y50" s="38" t="s">
        <v>172</v>
      </c>
      <c r="Z50" s="38" t="s">
        <v>171</v>
      </c>
      <c r="AA50" s="38" t="s">
        <v>170</v>
      </c>
      <c r="AB50" s="38" t="s">
        <v>172</v>
      </c>
      <c r="AC50" s="38" t="s">
        <v>170</v>
      </c>
      <c r="AD50" s="38" t="s">
        <v>169</v>
      </c>
      <c r="AE50" s="38" t="s">
        <v>171</v>
      </c>
      <c r="AF50" s="38" t="s">
        <v>171</v>
      </c>
      <c r="AG50" s="38" t="s">
        <v>169</v>
      </c>
      <c r="AH50" s="38" t="s">
        <v>170</v>
      </c>
      <c r="AI50" s="38" t="s">
        <v>170</v>
      </c>
      <c r="AJ50" s="38" t="s">
        <v>171</v>
      </c>
      <c r="AK50" s="38" t="s">
        <v>171</v>
      </c>
      <c r="AL50" s="38" t="s">
        <v>170</v>
      </c>
      <c r="AM50" s="38" t="s">
        <v>172</v>
      </c>
      <c r="AN50" s="38" t="s">
        <v>170</v>
      </c>
      <c r="AO50" s="38" t="s">
        <v>172</v>
      </c>
      <c r="AP50" s="38" t="s">
        <v>170</v>
      </c>
      <c r="AQ50" s="38" t="s">
        <v>169</v>
      </c>
      <c r="AR50" s="38" t="s">
        <v>169</v>
      </c>
      <c r="AS50" s="38" t="s">
        <v>170</v>
      </c>
      <c r="AT50" s="38" t="s">
        <v>172</v>
      </c>
      <c r="AU50" s="38" t="s">
        <v>172</v>
      </c>
      <c r="AV50" s="38" t="s">
        <v>172</v>
      </c>
      <c r="AW50" s="38" t="s">
        <v>169</v>
      </c>
      <c r="AX50" s="38" t="s">
        <v>169</v>
      </c>
      <c r="AY50" s="38" t="s">
        <v>171</v>
      </c>
      <c r="AZ50" s="38" t="s">
        <v>170</v>
      </c>
      <c r="BA50" s="38" t="s">
        <v>170</v>
      </c>
      <c r="BB50" s="38" t="s">
        <v>170</v>
      </c>
      <c r="BC50" s="38" t="s">
        <v>169</v>
      </c>
      <c r="BD50" s="38" t="s">
        <v>172</v>
      </c>
      <c r="BE50" s="38" t="s">
        <v>169</v>
      </c>
      <c r="BF50" s="38" t="s">
        <v>171</v>
      </c>
      <c r="BG50" s="38" t="s">
        <v>171</v>
      </c>
      <c r="BH50" s="38" t="s">
        <v>170</v>
      </c>
      <c r="BI50" s="38" t="s">
        <v>169</v>
      </c>
      <c r="BJ50" s="38" t="s">
        <v>172</v>
      </c>
      <c r="BK50" s="38" t="s">
        <v>171</v>
      </c>
      <c r="BL50" s="38" t="s">
        <v>170</v>
      </c>
      <c r="BM50" s="38" t="s">
        <v>170</v>
      </c>
      <c r="BN50" s="38" t="s">
        <v>171</v>
      </c>
      <c r="BO50" s="38" t="s">
        <v>170</v>
      </c>
      <c r="BP50" s="38" t="s">
        <v>169</v>
      </c>
      <c r="BQ50" s="38" t="s">
        <v>169</v>
      </c>
      <c r="BR50" s="38" t="s">
        <v>171</v>
      </c>
      <c r="BS50" s="38" t="s">
        <v>171</v>
      </c>
      <c r="BT50" s="38" t="s">
        <v>169</v>
      </c>
      <c r="BU50" s="38" t="s">
        <v>169</v>
      </c>
      <c r="BV50" s="38" t="s">
        <v>172</v>
      </c>
      <c r="BW50" s="38" t="s">
        <v>172</v>
      </c>
      <c r="BX50" s="38" t="s">
        <v>170</v>
      </c>
    </row>
    <row r="51" customFormat="false" ht="15" hidden="false" customHeight="true" outlineLevel="0" collapsed="false">
      <c r="A51" s="38" t="s">
        <v>249</v>
      </c>
      <c r="B51" s="38" t="s">
        <v>279</v>
      </c>
      <c r="C51" s="38" t="s">
        <v>278</v>
      </c>
      <c r="D51" s="38" t="s">
        <v>280</v>
      </c>
      <c r="E51" s="38" t="s">
        <v>169</v>
      </c>
      <c r="F51" s="38" t="s">
        <v>169</v>
      </c>
      <c r="G51" s="38" t="s">
        <v>171</v>
      </c>
      <c r="H51" s="38" t="s">
        <v>171</v>
      </c>
      <c r="I51" s="38" t="s">
        <v>171</v>
      </c>
      <c r="J51" s="38" t="s">
        <v>170</v>
      </c>
      <c r="K51" s="38" t="s">
        <v>169</v>
      </c>
      <c r="L51" s="38" t="s">
        <v>171</v>
      </c>
      <c r="M51" s="38" t="s">
        <v>169</v>
      </c>
      <c r="N51" s="38" t="s">
        <v>169</v>
      </c>
      <c r="O51" s="38" t="s">
        <v>171</v>
      </c>
      <c r="P51" s="38" t="s">
        <v>170</v>
      </c>
      <c r="Q51" s="38" t="s">
        <v>171</v>
      </c>
      <c r="R51" s="38" t="s">
        <v>172</v>
      </c>
      <c r="S51" s="38" t="s">
        <v>169</v>
      </c>
      <c r="T51" s="38" t="s">
        <v>171</v>
      </c>
      <c r="U51" s="38" t="s">
        <v>170</v>
      </c>
      <c r="V51" s="38" t="s">
        <v>169</v>
      </c>
      <c r="W51" s="38" t="s">
        <v>169</v>
      </c>
      <c r="X51" s="38" t="s">
        <v>171</v>
      </c>
      <c r="Y51" s="38" t="s">
        <v>172</v>
      </c>
      <c r="Z51" s="38" t="s">
        <v>171</v>
      </c>
      <c r="AA51" s="38" t="s">
        <v>169</v>
      </c>
      <c r="AB51" s="38" t="s">
        <v>169</v>
      </c>
      <c r="AC51" s="38" t="s">
        <v>170</v>
      </c>
      <c r="AD51" s="38" t="s">
        <v>172</v>
      </c>
      <c r="AE51" s="38" t="s">
        <v>171</v>
      </c>
      <c r="AF51" s="38" t="s">
        <v>170</v>
      </c>
      <c r="AG51" s="38" t="s">
        <v>171</v>
      </c>
      <c r="AH51" s="38" t="s">
        <v>169</v>
      </c>
      <c r="AI51" s="38" t="s">
        <v>170</v>
      </c>
      <c r="AJ51" s="38" t="s">
        <v>171</v>
      </c>
      <c r="AK51" s="38" t="s">
        <v>171</v>
      </c>
      <c r="AL51" s="38" t="s">
        <v>172</v>
      </c>
      <c r="AM51" s="38" t="s">
        <v>172</v>
      </c>
      <c r="AN51" s="38" t="s">
        <v>170</v>
      </c>
      <c r="AO51" s="38" t="s">
        <v>172</v>
      </c>
      <c r="AP51" s="38" t="s">
        <v>170</v>
      </c>
      <c r="AQ51" s="38" t="s">
        <v>169</v>
      </c>
      <c r="AR51" s="38" t="s">
        <v>170</v>
      </c>
      <c r="AS51" s="38" t="s">
        <v>172</v>
      </c>
      <c r="AT51" s="38" t="s">
        <v>169</v>
      </c>
      <c r="AU51" s="38" t="s">
        <v>172</v>
      </c>
      <c r="AV51" s="38" t="s">
        <v>172</v>
      </c>
      <c r="AW51" s="38" t="s">
        <v>170</v>
      </c>
      <c r="AX51" s="38" t="s">
        <v>169</v>
      </c>
      <c r="AY51" s="38" t="s">
        <v>171</v>
      </c>
      <c r="AZ51" s="38" t="s">
        <v>170</v>
      </c>
      <c r="BA51" s="38" t="s">
        <v>170</v>
      </c>
      <c r="BB51" s="38" t="s">
        <v>170</v>
      </c>
      <c r="BC51" s="38" t="s">
        <v>170</v>
      </c>
      <c r="BD51" s="38" t="s">
        <v>172</v>
      </c>
      <c r="BE51" s="38" t="s">
        <v>169</v>
      </c>
      <c r="BF51" s="38" t="s">
        <v>171</v>
      </c>
      <c r="BG51" s="38" t="s">
        <v>171</v>
      </c>
      <c r="BH51" s="38" t="s">
        <v>170</v>
      </c>
      <c r="BI51" s="38" t="s">
        <v>169</v>
      </c>
      <c r="BJ51" s="38" t="s">
        <v>172</v>
      </c>
      <c r="BK51" s="38" t="s">
        <v>171</v>
      </c>
      <c r="BL51" s="38" t="s">
        <v>170</v>
      </c>
      <c r="BM51" s="38" t="s">
        <v>170</v>
      </c>
      <c r="BN51" s="38" t="s">
        <v>171</v>
      </c>
      <c r="BO51" s="38" t="s">
        <v>169</v>
      </c>
      <c r="BP51" s="38" t="s">
        <v>169</v>
      </c>
      <c r="BQ51" s="38" t="s">
        <v>169</v>
      </c>
      <c r="BR51" s="38" t="s">
        <v>170</v>
      </c>
      <c r="BS51" s="38" t="s">
        <v>169</v>
      </c>
      <c r="BT51" s="38" t="s">
        <v>172</v>
      </c>
      <c r="BU51" s="38" t="s">
        <v>172</v>
      </c>
      <c r="BV51" s="38" t="s">
        <v>172</v>
      </c>
      <c r="BW51" s="38" t="s">
        <v>171</v>
      </c>
      <c r="BX51" s="38" t="s">
        <v>170</v>
      </c>
    </row>
    <row r="52" customFormat="false" ht="15" hidden="false" customHeight="true" outlineLevel="0" collapsed="false">
      <c r="A52" s="38" t="s">
        <v>281</v>
      </c>
      <c r="B52" s="38" t="s">
        <v>282</v>
      </c>
      <c r="C52" s="38" t="s">
        <v>224</v>
      </c>
      <c r="D52" s="38" t="s">
        <v>225</v>
      </c>
      <c r="E52" s="38" t="s">
        <v>169</v>
      </c>
      <c r="F52" s="38" t="s">
        <v>170</v>
      </c>
      <c r="G52" s="38" t="s">
        <v>171</v>
      </c>
      <c r="H52" s="38" t="s">
        <v>169</v>
      </c>
      <c r="I52" s="38" t="s">
        <v>172</v>
      </c>
      <c r="J52" s="38" t="s">
        <v>171</v>
      </c>
      <c r="K52" s="38" t="s">
        <v>172</v>
      </c>
      <c r="L52" s="38" t="s">
        <v>171</v>
      </c>
      <c r="M52" s="38" t="s">
        <v>169</v>
      </c>
      <c r="N52" s="38" t="s">
        <v>169</v>
      </c>
      <c r="O52" s="38" t="s">
        <v>170</v>
      </c>
      <c r="P52" s="38" t="s">
        <v>171</v>
      </c>
      <c r="Q52" s="38" t="s">
        <v>170</v>
      </c>
      <c r="R52" s="38" t="s">
        <v>172</v>
      </c>
      <c r="S52" s="38" t="s">
        <v>169</v>
      </c>
      <c r="T52" s="38" t="s">
        <v>171</v>
      </c>
      <c r="U52" s="38" t="s">
        <v>170</v>
      </c>
      <c r="V52" s="38" t="s">
        <v>169</v>
      </c>
      <c r="W52" s="38" t="s">
        <v>169</v>
      </c>
      <c r="X52" s="38" t="s">
        <v>171</v>
      </c>
      <c r="Y52" s="38" t="s">
        <v>172</v>
      </c>
      <c r="Z52" s="38" t="s">
        <v>169</v>
      </c>
      <c r="AA52" s="38" t="s">
        <v>172</v>
      </c>
      <c r="AB52" s="38" t="s">
        <v>169</v>
      </c>
      <c r="AC52" s="38" t="s">
        <v>170</v>
      </c>
      <c r="AD52" s="38" t="s">
        <v>169</v>
      </c>
      <c r="AE52" s="38" t="s">
        <v>170</v>
      </c>
      <c r="AF52" s="38" t="s">
        <v>172</v>
      </c>
      <c r="AG52" s="38" t="s">
        <v>171</v>
      </c>
      <c r="AH52" s="38" t="s">
        <v>170</v>
      </c>
      <c r="AI52" s="38" t="s">
        <v>170</v>
      </c>
      <c r="AJ52" s="38" t="s">
        <v>171</v>
      </c>
      <c r="AK52" s="38" t="s">
        <v>171</v>
      </c>
      <c r="AL52" s="38" t="s">
        <v>169</v>
      </c>
      <c r="AM52" s="38" t="s">
        <v>169</v>
      </c>
      <c r="AN52" s="38" t="s">
        <v>171</v>
      </c>
      <c r="AO52" s="38" t="s">
        <v>172</v>
      </c>
      <c r="AP52" s="38" t="s">
        <v>172</v>
      </c>
      <c r="AQ52" s="38" t="s">
        <v>169</v>
      </c>
      <c r="AR52" s="38" t="s">
        <v>169</v>
      </c>
      <c r="AS52" s="38" t="s">
        <v>172</v>
      </c>
      <c r="AT52" s="38" t="s">
        <v>171</v>
      </c>
      <c r="AU52" s="38" t="s">
        <v>169</v>
      </c>
      <c r="AV52" s="38" t="s">
        <v>172</v>
      </c>
      <c r="AW52" s="38" t="s">
        <v>169</v>
      </c>
      <c r="AX52" s="38" t="s">
        <v>169</v>
      </c>
      <c r="AY52" s="38" t="s">
        <v>171</v>
      </c>
      <c r="AZ52" s="38" t="s">
        <v>170</v>
      </c>
      <c r="BA52" s="38" t="s">
        <v>170</v>
      </c>
      <c r="BB52" s="38" t="s">
        <v>170</v>
      </c>
      <c r="BC52" s="38" t="s">
        <v>170</v>
      </c>
      <c r="BD52" s="38" t="s">
        <v>172</v>
      </c>
      <c r="BE52" s="38" t="s">
        <v>169</v>
      </c>
      <c r="BF52" s="38" t="s">
        <v>171</v>
      </c>
      <c r="BG52" s="38" t="s">
        <v>171</v>
      </c>
      <c r="BH52" s="38" t="s">
        <v>170</v>
      </c>
      <c r="BI52" s="38" t="s">
        <v>169</v>
      </c>
      <c r="BJ52" s="38" t="s">
        <v>172</v>
      </c>
      <c r="BK52" s="38" t="s">
        <v>171</v>
      </c>
      <c r="BL52" s="38" t="s">
        <v>171</v>
      </c>
      <c r="BM52" s="38" t="s">
        <v>170</v>
      </c>
      <c r="BN52" s="38" t="s">
        <v>171</v>
      </c>
      <c r="BO52" s="38" t="s">
        <v>169</v>
      </c>
      <c r="BP52" s="38" t="s">
        <v>169</v>
      </c>
      <c r="BQ52" s="38" t="s">
        <v>169</v>
      </c>
      <c r="BR52" s="38" t="s">
        <v>171</v>
      </c>
      <c r="BS52" s="38" t="s">
        <v>172</v>
      </c>
      <c r="BT52" s="38" t="s">
        <v>171</v>
      </c>
      <c r="BU52" s="38" t="s">
        <v>170</v>
      </c>
      <c r="BV52" s="38" t="s">
        <v>172</v>
      </c>
      <c r="BW52" s="38" t="s">
        <v>169</v>
      </c>
      <c r="BX52" s="38" t="s">
        <v>170</v>
      </c>
    </row>
    <row r="53" customFormat="false" ht="15" hidden="false" customHeight="true" outlineLevel="0" collapsed="false">
      <c r="A53" s="38" t="s">
        <v>281</v>
      </c>
      <c r="B53" s="38" t="s">
        <v>283</v>
      </c>
      <c r="C53" s="38" t="s">
        <v>211</v>
      </c>
      <c r="D53" s="38" t="s">
        <v>214</v>
      </c>
      <c r="E53" s="38" t="s">
        <v>169</v>
      </c>
      <c r="F53" s="38" t="s">
        <v>170</v>
      </c>
      <c r="G53" s="38" t="s">
        <v>169</v>
      </c>
      <c r="H53" s="38" t="s">
        <v>172</v>
      </c>
      <c r="I53" s="38" t="s">
        <v>170</v>
      </c>
      <c r="J53" s="38" t="s">
        <v>172</v>
      </c>
      <c r="K53" s="38" t="s">
        <v>170</v>
      </c>
      <c r="L53" s="38" t="s">
        <v>171</v>
      </c>
      <c r="M53" s="38" t="s">
        <v>172</v>
      </c>
      <c r="N53" s="38" t="s">
        <v>169</v>
      </c>
      <c r="O53" s="38" t="s">
        <v>170</v>
      </c>
      <c r="P53" s="38" t="s">
        <v>171</v>
      </c>
      <c r="Q53" s="38" t="s">
        <v>170</v>
      </c>
      <c r="R53" s="38" t="s">
        <v>172</v>
      </c>
      <c r="S53" s="38" t="s">
        <v>169</v>
      </c>
      <c r="T53" s="38" t="s">
        <v>171</v>
      </c>
      <c r="U53" s="38" t="s">
        <v>171</v>
      </c>
      <c r="V53" s="38" t="s">
        <v>169</v>
      </c>
      <c r="W53" s="38" t="s">
        <v>169</v>
      </c>
      <c r="X53" s="38" t="s">
        <v>171</v>
      </c>
      <c r="Y53" s="38" t="s">
        <v>172</v>
      </c>
      <c r="Z53" s="38" t="s">
        <v>169</v>
      </c>
      <c r="AA53" s="38" t="s">
        <v>172</v>
      </c>
      <c r="AB53" s="38" t="s">
        <v>169</v>
      </c>
      <c r="AC53" s="38" t="s">
        <v>170</v>
      </c>
      <c r="AD53" s="38" t="s">
        <v>169</v>
      </c>
      <c r="AE53" s="38" t="s">
        <v>170</v>
      </c>
      <c r="AF53" s="38" t="s">
        <v>172</v>
      </c>
      <c r="AG53" s="38" t="s">
        <v>172</v>
      </c>
      <c r="AH53" s="38" t="s">
        <v>170</v>
      </c>
      <c r="AI53" s="38" t="s">
        <v>170</v>
      </c>
      <c r="AJ53" s="38" t="s">
        <v>171</v>
      </c>
      <c r="AK53" s="38" t="s">
        <v>171</v>
      </c>
      <c r="AL53" s="38" t="s">
        <v>169</v>
      </c>
      <c r="AM53" s="38" t="s">
        <v>170</v>
      </c>
      <c r="AN53" s="38" t="s">
        <v>170</v>
      </c>
      <c r="AO53" s="38" t="s">
        <v>172</v>
      </c>
      <c r="AP53" s="38" t="s">
        <v>172</v>
      </c>
      <c r="AQ53" s="38" t="s">
        <v>169</v>
      </c>
      <c r="AR53" s="38" t="s">
        <v>169</v>
      </c>
      <c r="AS53" s="38" t="s">
        <v>171</v>
      </c>
      <c r="AT53" s="38" t="s">
        <v>171</v>
      </c>
      <c r="AU53" s="38" t="s">
        <v>169</v>
      </c>
      <c r="AV53" s="38" t="s">
        <v>172</v>
      </c>
      <c r="AW53" s="38" t="s">
        <v>169</v>
      </c>
      <c r="AX53" s="38" t="s">
        <v>169</v>
      </c>
      <c r="AY53" s="38" t="s">
        <v>171</v>
      </c>
      <c r="AZ53" s="38" t="s">
        <v>170</v>
      </c>
      <c r="BA53" s="38" t="s">
        <v>172</v>
      </c>
      <c r="BB53" s="38" t="s">
        <v>170</v>
      </c>
      <c r="BC53" s="38" t="s">
        <v>169</v>
      </c>
      <c r="BD53" s="38" t="s">
        <v>172</v>
      </c>
      <c r="BE53" s="38" t="s">
        <v>169</v>
      </c>
      <c r="BF53" s="38" t="s">
        <v>171</v>
      </c>
      <c r="BG53" s="38" t="s">
        <v>171</v>
      </c>
      <c r="BH53" s="38" t="s">
        <v>170</v>
      </c>
      <c r="BI53" s="38" t="s">
        <v>169</v>
      </c>
      <c r="BJ53" s="38" t="s">
        <v>172</v>
      </c>
      <c r="BK53" s="38" t="s">
        <v>172</v>
      </c>
      <c r="BL53" s="38" t="s">
        <v>170</v>
      </c>
      <c r="BM53" s="38" t="s">
        <v>170</v>
      </c>
      <c r="BN53" s="38" t="s">
        <v>171</v>
      </c>
      <c r="BO53" s="38" t="s">
        <v>170</v>
      </c>
      <c r="BP53" s="38" t="s">
        <v>169</v>
      </c>
      <c r="BQ53" s="38" t="s">
        <v>171</v>
      </c>
      <c r="BR53" s="38" t="s">
        <v>170</v>
      </c>
      <c r="BS53" s="38" t="s">
        <v>171</v>
      </c>
      <c r="BT53" s="38" t="s">
        <v>169</v>
      </c>
      <c r="BU53" s="38" t="s">
        <v>171</v>
      </c>
      <c r="BV53" s="38" t="s">
        <v>170</v>
      </c>
      <c r="BW53" s="38" t="s">
        <v>169</v>
      </c>
      <c r="BX53" s="38" t="s">
        <v>170</v>
      </c>
    </row>
    <row r="54" customFormat="false" ht="15" hidden="false" customHeight="true" outlineLevel="0" collapsed="false">
      <c r="A54" s="38" t="s">
        <v>281</v>
      </c>
      <c r="B54" s="38" t="s">
        <v>284</v>
      </c>
      <c r="C54" s="38" t="s">
        <v>202</v>
      </c>
      <c r="D54" s="38" t="s">
        <v>203</v>
      </c>
      <c r="E54" s="38" t="s">
        <v>169</v>
      </c>
      <c r="F54" s="38" t="s">
        <v>169</v>
      </c>
      <c r="G54" s="38" t="s">
        <v>169</v>
      </c>
      <c r="H54" s="38" t="s">
        <v>169</v>
      </c>
      <c r="I54" s="38" t="s">
        <v>170</v>
      </c>
      <c r="J54" s="38" t="s">
        <v>171</v>
      </c>
      <c r="K54" s="38" t="s">
        <v>172</v>
      </c>
      <c r="L54" s="38" t="s">
        <v>171</v>
      </c>
      <c r="M54" s="38" t="s">
        <v>172</v>
      </c>
      <c r="N54" s="38" t="s">
        <v>169</v>
      </c>
      <c r="O54" s="38" t="s">
        <v>170</v>
      </c>
      <c r="P54" s="38" t="s">
        <v>171</v>
      </c>
      <c r="Q54" s="38" t="s">
        <v>170</v>
      </c>
      <c r="R54" s="38" t="s">
        <v>172</v>
      </c>
      <c r="S54" s="38" t="s">
        <v>169</v>
      </c>
      <c r="T54" s="38" t="s">
        <v>170</v>
      </c>
      <c r="U54" s="38" t="s">
        <v>171</v>
      </c>
      <c r="V54" s="38" t="s">
        <v>169</v>
      </c>
      <c r="W54" s="38" t="s">
        <v>169</v>
      </c>
      <c r="X54" s="38" t="s">
        <v>169</v>
      </c>
      <c r="Y54" s="38" t="s">
        <v>172</v>
      </c>
      <c r="Z54" s="38" t="s">
        <v>169</v>
      </c>
      <c r="AA54" s="38" t="s">
        <v>172</v>
      </c>
      <c r="AB54" s="38" t="s">
        <v>169</v>
      </c>
      <c r="AC54" s="38" t="s">
        <v>170</v>
      </c>
      <c r="AD54" s="38" t="s">
        <v>169</v>
      </c>
      <c r="AE54" s="38" t="s">
        <v>170</v>
      </c>
      <c r="AF54" s="38" t="s">
        <v>171</v>
      </c>
      <c r="AG54" s="38" t="s">
        <v>171</v>
      </c>
      <c r="AH54" s="38" t="s">
        <v>169</v>
      </c>
      <c r="AI54" s="38" t="s">
        <v>170</v>
      </c>
      <c r="AJ54" s="38" t="s">
        <v>172</v>
      </c>
      <c r="AK54" s="38" t="s">
        <v>171</v>
      </c>
      <c r="AL54" s="38" t="s">
        <v>169</v>
      </c>
      <c r="AM54" s="38" t="s">
        <v>169</v>
      </c>
      <c r="AN54" s="38" t="s">
        <v>170</v>
      </c>
      <c r="AO54" s="38" t="s">
        <v>172</v>
      </c>
      <c r="AP54" s="38" t="s">
        <v>171</v>
      </c>
      <c r="AQ54" s="38" t="s">
        <v>169</v>
      </c>
      <c r="AR54" s="38" t="s">
        <v>170</v>
      </c>
      <c r="AS54" s="38" t="s">
        <v>172</v>
      </c>
      <c r="AT54" s="38" t="s">
        <v>172</v>
      </c>
      <c r="AU54" s="38" t="s">
        <v>169</v>
      </c>
      <c r="AV54" s="38" t="s">
        <v>172</v>
      </c>
      <c r="AW54" s="38" t="s">
        <v>169</v>
      </c>
      <c r="AX54" s="38" t="s">
        <v>169</v>
      </c>
      <c r="AY54" s="38" t="s">
        <v>171</v>
      </c>
      <c r="AZ54" s="38" t="s">
        <v>170</v>
      </c>
      <c r="BA54" s="38" t="s">
        <v>171</v>
      </c>
      <c r="BB54" s="38" t="s">
        <v>169</v>
      </c>
      <c r="BC54" s="38" t="s">
        <v>170</v>
      </c>
      <c r="BD54" s="38" t="s">
        <v>169</v>
      </c>
      <c r="BE54" s="38" t="s">
        <v>169</v>
      </c>
      <c r="BF54" s="38" t="s">
        <v>171</v>
      </c>
      <c r="BG54" s="38" t="s">
        <v>171</v>
      </c>
      <c r="BH54" s="38" t="s">
        <v>170</v>
      </c>
      <c r="BI54" s="38" t="s">
        <v>169</v>
      </c>
      <c r="BJ54" s="38" t="s">
        <v>172</v>
      </c>
      <c r="BK54" s="38" t="s">
        <v>171</v>
      </c>
      <c r="BL54" s="38" t="s">
        <v>170</v>
      </c>
      <c r="BM54" s="38" t="s">
        <v>170</v>
      </c>
      <c r="BN54" s="38" t="s">
        <v>170</v>
      </c>
      <c r="BO54" s="38" t="s">
        <v>169</v>
      </c>
      <c r="BP54" s="38" t="s">
        <v>170</v>
      </c>
      <c r="BQ54" s="38" t="s">
        <v>172</v>
      </c>
      <c r="BR54" s="38" t="s">
        <v>171</v>
      </c>
      <c r="BS54" s="38" t="s">
        <v>172</v>
      </c>
      <c r="BT54" s="38" t="s">
        <v>169</v>
      </c>
      <c r="BU54" s="38" t="s">
        <v>170</v>
      </c>
      <c r="BV54" s="38" t="s">
        <v>171</v>
      </c>
      <c r="BW54" s="38" t="s">
        <v>170</v>
      </c>
      <c r="BX54" s="38" t="s">
        <v>170</v>
      </c>
    </row>
    <row r="55" customFormat="false" ht="15" hidden="false" customHeight="true" outlineLevel="0" collapsed="false">
      <c r="A55" s="38" t="s">
        <v>281</v>
      </c>
      <c r="B55" s="38" t="s">
        <v>285</v>
      </c>
      <c r="C55" s="38" t="s">
        <v>202</v>
      </c>
      <c r="D55" s="38" t="s">
        <v>235</v>
      </c>
      <c r="E55" s="38" t="s">
        <v>169</v>
      </c>
      <c r="F55" s="38" t="s">
        <v>169</v>
      </c>
      <c r="G55" s="38" t="s">
        <v>169</v>
      </c>
      <c r="H55" s="38" t="s">
        <v>169</v>
      </c>
      <c r="I55" s="38" t="s">
        <v>171</v>
      </c>
      <c r="J55" s="38" t="s">
        <v>171</v>
      </c>
      <c r="K55" s="38" t="s">
        <v>172</v>
      </c>
      <c r="L55" s="38" t="s">
        <v>171</v>
      </c>
      <c r="M55" s="38" t="s">
        <v>172</v>
      </c>
      <c r="N55" s="38" t="s">
        <v>169</v>
      </c>
      <c r="O55" s="38" t="s">
        <v>170</v>
      </c>
      <c r="P55" s="38" t="s">
        <v>171</v>
      </c>
      <c r="Q55" s="38" t="s">
        <v>170</v>
      </c>
      <c r="R55" s="38" t="s">
        <v>172</v>
      </c>
      <c r="S55" s="38" t="s">
        <v>169</v>
      </c>
      <c r="T55" s="38" t="s">
        <v>170</v>
      </c>
      <c r="U55" s="38" t="s">
        <v>171</v>
      </c>
      <c r="V55" s="38" t="s">
        <v>169</v>
      </c>
      <c r="W55" s="38" t="s">
        <v>169</v>
      </c>
      <c r="X55" s="38" t="s">
        <v>169</v>
      </c>
      <c r="Y55" s="38" t="s">
        <v>172</v>
      </c>
      <c r="Z55" s="38" t="s">
        <v>169</v>
      </c>
      <c r="AA55" s="38" t="s">
        <v>172</v>
      </c>
      <c r="AB55" s="38" t="s">
        <v>169</v>
      </c>
      <c r="AC55" s="38" t="s">
        <v>170</v>
      </c>
      <c r="AD55" s="38" t="s">
        <v>169</v>
      </c>
      <c r="AE55" s="38" t="s">
        <v>170</v>
      </c>
      <c r="AF55" s="38" t="s">
        <v>170</v>
      </c>
      <c r="AG55" s="38" t="s">
        <v>171</v>
      </c>
      <c r="AH55" s="38" t="s">
        <v>169</v>
      </c>
      <c r="AI55" s="38" t="s">
        <v>170</v>
      </c>
      <c r="AJ55" s="38" t="s">
        <v>170</v>
      </c>
      <c r="AK55" s="38" t="s">
        <v>171</v>
      </c>
      <c r="AL55" s="38" t="s">
        <v>171</v>
      </c>
      <c r="AM55" s="38" t="s">
        <v>169</v>
      </c>
      <c r="AN55" s="38" t="s">
        <v>170</v>
      </c>
      <c r="AO55" s="38" t="s">
        <v>172</v>
      </c>
      <c r="AP55" s="38" t="s">
        <v>170</v>
      </c>
      <c r="AQ55" s="38" t="s">
        <v>169</v>
      </c>
      <c r="AR55" s="38" t="s">
        <v>170</v>
      </c>
      <c r="AS55" s="38" t="s">
        <v>172</v>
      </c>
      <c r="AT55" s="38" t="s">
        <v>169</v>
      </c>
      <c r="AU55" s="38" t="s">
        <v>169</v>
      </c>
      <c r="AV55" s="38" t="s">
        <v>172</v>
      </c>
      <c r="AW55" s="38" t="s">
        <v>169</v>
      </c>
      <c r="AX55" s="38" t="s">
        <v>169</v>
      </c>
      <c r="AY55" s="38" t="s">
        <v>171</v>
      </c>
      <c r="AZ55" s="38" t="s">
        <v>170</v>
      </c>
      <c r="BA55" s="38" t="s">
        <v>171</v>
      </c>
      <c r="BB55" s="38" t="s">
        <v>169</v>
      </c>
      <c r="BC55" s="38" t="s">
        <v>170</v>
      </c>
      <c r="BD55" s="38" t="s">
        <v>169</v>
      </c>
      <c r="BE55" s="38" t="s">
        <v>169</v>
      </c>
      <c r="BF55" s="38" t="s">
        <v>171</v>
      </c>
      <c r="BG55" s="38" t="s">
        <v>171</v>
      </c>
      <c r="BH55" s="38" t="s">
        <v>170</v>
      </c>
      <c r="BI55" s="38" t="s">
        <v>169</v>
      </c>
      <c r="BJ55" s="38" t="s">
        <v>172</v>
      </c>
      <c r="BK55" s="38" t="s">
        <v>171</v>
      </c>
      <c r="BL55" s="38" t="s">
        <v>170</v>
      </c>
      <c r="BM55" s="38" t="s">
        <v>170</v>
      </c>
      <c r="BN55" s="38" t="s">
        <v>170</v>
      </c>
      <c r="BO55" s="38" t="s">
        <v>169</v>
      </c>
      <c r="BP55" s="38" t="s">
        <v>170</v>
      </c>
      <c r="BQ55" s="38" t="s">
        <v>172</v>
      </c>
      <c r="BR55" s="38" t="s">
        <v>171</v>
      </c>
      <c r="BS55" s="38" t="s">
        <v>172</v>
      </c>
      <c r="BT55" s="38" t="s">
        <v>172</v>
      </c>
      <c r="BU55" s="38" t="s">
        <v>170</v>
      </c>
      <c r="BV55" s="38" t="s">
        <v>171</v>
      </c>
      <c r="BW55" s="38" t="s">
        <v>170</v>
      </c>
      <c r="BX55" s="38" t="s">
        <v>170</v>
      </c>
    </row>
    <row r="56" customFormat="false" ht="15" hidden="false" customHeight="true" outlineLevel="0" collapsed="false">
      <c r="A56" s="38" t="s">
        <v>281</v>
      </c>
      <c r="B56" s="38" t="s">
        <v>286</v>
      </c>
      <c r="C56" s="38" t="s">
        <v>205</v>
      </c>
      <c r="D56" s="38" t="s">
        <v>206</v>
      </c>
      <c r="E56" s="38" t="s">
        <v>169</v>
      </c>
      <c r="F56" s="38" t="s">
        <v>170</v>
      </c>
      <c r="G56" s="38" t="s">
        <v>169</v>
      </c>
      <c r="H56" s="38" t="s">
        <v>170</v>
      </c>
      <c r="I56" s="38" t="s">
        <v>170</v>
      </c>
      <c r="J56" s="38" t="s">
        <v>170</v>
      </c>
      <c r="K56" s="38" t="s">
        <v>169</v>
      </c>
      <c r="L56" s="38" t="s">
        <v>171</v>
      </c>
      <c r="M56" s="38" t="s">
        <v>172</v>
      </c>
      <c r="N56" s="38" t="s">
        <v>169</v>
      </c>
      <c r="O56" s="38" t="s">
        <v>170</v>
      </c>
      <c r="P56" s="38" t="s">
        <v>171</v>
      </c>
      <c r="Q56" s="38" t="s">
        <v>170</v>
      </c>
      <c r="R56" s="38" t="s">
        <v>172</v>
      </c>
      <c r="S56" s="38" t="s">
        <v>169</v>
      </c>
      <c r="T56" s="38" t="s">
        <v>170</v>
      </c>
      <c r="U56" s="38" t="s">
        <v>171</v>
      </c>
      <c r="V56" s="38" t="s">
        <v>169</v>
      </c>
      <c r="W56" s="38" t="s">
        <v>169</v>
      </c>
      <c r="X56" s="38" t="s">
        <v>172</v>
      </c>
      <c r="Y56" s="38" t="s">
        <v>172</v>
      </c>
      <c r="Z56" s="38" t="s">
        <v>169</v>
      </c>
      <c r="AA56" s="38" t="s">
        <v>172</v>
      </c>
      <c r="AB56" s="38" t="s">
        <v>169</v>
      </c>
      <c r="AC56" s="38" t="s">
        <v>170</v>
      </c>
      <c r="AD56" s="38" t="s">
        <v>169</v>
      </c>
      <c r="AE56" s="38" t="s">
        <v>171</v>
      </c>
      <c r="AF56" s="38" t="s">
        <v>171</v>
      </c>
      <c r="AG56" s="38" t="s">
        <v>169</v>
      </c>
      <c r="AH56" s="38" t="s">
        <v>169</v>
      </c>
      <c r="AI56" s="38" t="s">
        <v>170</v>
      </c>
      <c r="AJ56" s="38" t="s">
        <v>170</v>
      </c>
      <c r="AK56" s="38" t="s">
        <v>171</v>
      </c>
      <c r="AL56" s="38" t="s">
        <v>170</v>
      </c>
      <c r="AM56" s="38" t="s">
        <v>170</v>
      </c>
      <c r="AN56" s="38" t="s">
        <v>169</v>
      </c>
      <c r="AO56" s="38" t="s">
        <v>169</v>
      </c>
      <c r="AP56" s="38" t="s">
        <v>172</v>
      </c>
      <c r="AQ56" s="38" t="s">
        <v>169</v>
      </c>
      <c r="AR56" s="38" t="s">
        <v>170</v>
      </c>
      <c r="AS56" s="38" t="s">
        <v>170</v>
      </c>
      <c r="AT56" s="38" t="s">
        <v>172</v>
      </c>
      <c r="AU56" s="38" t="s">
        <v>172</v>
      </c>
      <c r="AV56" s="38" t="s">
        <v>172</v>
      </c>
      <c r="AW56" s="38" t="s">
        <v>169</v>
      </c>
      <c r="AX56" s="38" t="s">
        <v>169</v>
      </c>
      <c r="AY56" s="38" t="s">
        <v>171</v>
      </c>
      <c r="AZ56" s="38" t="s">
        <v>170</v>
      </c>
      <c r="BA56" s="38" t="s">
        <v>169</v>
      </c>
      <c r="BB56" s="38" t="s">
        <v>172</v>
      </c>
      <c r="BC56" s="38" t="s">
        <v>172</v>
      </c>
      <c r="BD56" s="38" t="s">
        <v>169</v>
      </c>
      <c r="BE56" s="38" t="s">
        <v>169</v>
      </c>
      <c r="BF56" s="38" t="s">
        <v>171</v>
      </c>
      <c r="BG56" s="38" t="s">
        <v>171</v>
      </c>
      <c r="BH56" s="38" t="s">
        <v>170</v>
      </c>
      <c r="BI56" s="38" t="s">
        <v>172</v>
      </c>
      <c r="BJ56" s="38" t="s">
        <v>172</v>
      </c>
      <c r="BK56" s="38" t="s">
        <v>172</v>
      </c>
      <c r="BL56" s="38" t="s">
        <v>171</v>
      </c>
      <c r="BM56" s="38" t="s">
        <v>170</v>
      </c>
      <c r="BN56" s="38" t="s">
        <v>170</v>
      </c>
      <c r="BO56" s="38" t="s">
        <v>171</v>
      </c>
      <c r="BP56" s="38" t="s">
        <v>171</v>
      </c>
      <c r="BQ56" s="38" t="s">
        <v>171</v>
      </c>
      <c r="BR56" s="38" t="s">
        <v>170</v>
      </c>
      <c r="BS56" s="38" t="s">
        <v>169</v>
      </c>
      <c r="BT56" s="38" t="s">
        <v>169</v>
      </c>
      <c r="BU56" s="38" t="s">
        <v>169</v>
      </c>
      <c r="BV56" s="38" t="s">
        <v>170</v>
      </c>
      <c r="BW56" s="38" t="s">
        <v>169</v>
      </c>
      <c r="BX56" s="38" t="s">
        <v>170</v>
      </c>
    </row>
    <row r="57" customFormat="false" ht="15" hidden="false" customHeight="true" outlineLevel="0" collapsed="false">
      <c r="A57" s="38" t="s">
        <v>281</v>
      </c>
      <c r="B57" s="38" t="s">
        <v>287</v>
      </c>
      <c r="C57" s="38" t="s">
        <v>251</v>
      </c>
      <c r="D57" s="38" t="s">
        <v>252</v>
      </c>
      <c r="E57" s="38" t="s">
        <v>171</v>
      </c>
      <c r="F57" s="38" t="s">
        <v>170</v>
      </c>
      <c r="G57" s="38" t="s">
        <v>170</v>
      </c>
      <c r="H57" s="38" t="s">
        <v>171</v>
      </c>
      <c r="I57" s="38" t="s">
        <v>170</v>
      </c>
      <c r="J57" s="38" t="s">
        <v>170</v>
      </c>
      <c r="K57" s="38" t="s">
        <v>171</v>
      </c>
      <c r="L57" s="38" t="s">
        <v>171</v>
      </c>
      <c r="M57" s="38" t="s">
        <v>172</v>
      </c>
      <c r="N57" s="38" t="s">
        <v>169</v>
      </c>
      <c r="O57" s="38" t="s">
        <v>170</v>
      </c>
      <c r="P57" s="38" t="s">
        <v>171</v>
      </c>
      <c r="Q57" s="38" t="s">
        <v>170</v>
      </c>
      <c r="R57" s="38" t="s">
        <v>172</v>
      </c>
      <c r="S57" s="38" t="s">
        <v>169</v>
      </c>
      <c r="T57" s="38" t="s">
        <v>171</v>
      </c>
      <c r="U57" s="38" t="s">
        <v>170</v>
      </c>
      <c r="V57" s="38" t="s">
        <v>169</v>
      </c>
      <c r="W57" s="38" t="s">
        <v>169</v>
      </c>
      <c r="X57" s="38" t="s">
        <v>171</v>
      </c>
      <c r="Y57" s="38" t="s">
        <v>172</v>
      </c>
      <c r="Z57" s="38" t="s">
        <v>169</v>
      </c>
      <c r="AA57" s="38" t="s">
        <v>172</v>
      </c>
      <c r="AB57" s="38" t="s">
        <v>169</v>
      </c>
      <c r="AC57" s="38" t="s">
        <v>170</v>
      </c>
      <c r="AD57" s="38" t="s">
        <v>169</v>
      </c>
      <c r="AE57" s="38" t="s">
        <v>172</v>
      </c>
      <c r="AF57" s="38" t="s">
        <v>170</v>
      </c>
      <c r="AG57" s="38" t="s">
        <v>169</v>
      </c>
      <c r="AH57" s="38" t="s">
        <v>169</v>
      </c>
      <c r="AI57" s="38" t="s">
        <v>172</v>
      </c>
      <c r="AJ57" s="38" t="s">
        <v>170</v>
      </c>
      <c r="AK57" s="38" t="s">
        <v>171</v>
      </c>
      <c r="AL57" s="38" t="s">
        <v>169</v>
      </c>
      <c r="AM57" s="38" t="s">
        <v>171</v>
      </c>
      <c r="AN57" s="38" t="s">
        <v>171</v>
      </c>
      <c r="AO57" s="38" t="s">
        <v>172</v>
      </c>
      <c r="AP57" s="38" t="s">
        <v>172</v>
      </c>
      <c r="AQ57" s="38" t="s">
        <v>171</v>
      </c>
      <c r="AR57" s="38" t="s">
        <v>170</v>
      </c>
      <c r="AS57" s="38" t="s">
        <v>170</v>
      </c>
      <c r="AT57" s="38" t="s">
        <v>169</v>
      </c>
      <c r="AU57" s="38" t="s">
        <v>170</v>
      </c>
      <c r="AV57" s="38" t="s">
        <v>172</v>
      </c>
      <c r="AW57" s="38" t="s">
        <v>169</v>
      </c>
      <c r="AX57" s="38" t="s">
        <v>169</v>
      </c>
      <c r="AY57" s="38" t="s">
        <v>171</v>
      </c>
      <c r="AZ57" s="38" t="s">
        <v>170</v>
      </c>
      <c r="BA57" s="38" t="s">
        <v>169</v>
      </c>
      <c r="BB57" s="38" t="s">
        <v>170</v>
      </c>
      <c r="BC57" s="38" t="s">
        <v>171</v>
      </c>
      <c r="BD57" s="38" t="s">
        <v>169</v>
      </c>
      <c r="BE57" s="38" t="s">
        <v>169</v>
      </c>
      <c r="BF57" s="38" t="s">
        <v>171</v>
      </c>
      <c r="BG57" s="38" t="s">
        <v>171</v>
      </c>
      <c r="BH57" s="38" t="s">
        <v>170</v>
      </c>
      <c r="BI57" s="38" t="s">
        <v>169</v>
      </c>
      <c r="BJ57" s="38" t="s">
        <v>172</v>
      </c>
      <c r="BK57" s="38" t="s">
        <v>169</v>
      </c>
      <c r="BL57" s="38" t="s">
        <v>170</v>
      </c>
      <c r="BM57" s="38" t="s">
        <v>170</v>
      </c>
      <c r="BN57" s="38" t="s">
        <v>170</v>
      </c>
      <c r="BO57" s="38" t="s">
        <v>172</v>
      </c>
      <c r="BP57" s="38" t="s">
        <v>169</v>
      </c>
      <c r="BQ57" s="38" t="s">
        <v>170</v>
      </c>
      <c r="BR57" s="38" t="s">
        <v>172</v>
      </c>
      <c r="BS57" s="38" t="s">
        <v>169</v>
      </c>
      <c r="BT57" s="38" t="s">
        <v>169</v>
      </c>
      <c r="BU57" s="38" t="s">
        <v>172</v>
      </c>
      <c r="BV57" s="38" t="s">
        <v>169</v>
      </c>
      <c r="BW57" s="38" t="s">
        <v>169</v>
      </c>
      <c r="BX57" s="38" t="s">
        <v>172</v>
      </c>
    </row>
    <row r="58" customFormat="false" ht="15" hidden="false" customHeight="true" outlineLevel="0" collapsed="false">
      <c r="A58" s="38" t="s">
        <v>281</v>
      </c>
      <c r="B58" s="38" t="s">
        <v>288</v>
      </c>
      <c r="C58" s="38" t="s">
        <v>251</v>
      </c>
      <c r="D58" s="38" t="s">
        <v>252</v>
      </c>
      <c r="E58" s="38" t="s">
        <v>171</v>
      </c>
      <c r="F58" s="38" t="s">
        <v>170</v>
      </c>
      <c r="G58" s="38" t="s">
        <v>170</v>
      </c>
      <c r="H58" s="38" t="s">
        <v>171</v>
      </c>
      <c r="I58" s="38" t="s">
        <v>170</v>
      </c>
      <c r="J58" s="38" t="s">
        <v>170</v>
      </c>
      <c r="K58" s="38" t="s">
        <v>171</v>
      </c>
      <c r="L58" s="38" t="s">
        <v>171</v>
      </c>
      <c r="M58" s="38" t="s">
        <v>172</v>
      </c>
      <c r="N58" s="38" t="s">
        <v>169</v>
      </c>
      <c r="O58" s="38" t="s">
        <v>170</v>
      </c>
      <c r="P58" s="38" t="s">
        <v>171</v>
      </c>
      <c r="Q58" s="38" t="s">
        <v>170</v>
      </c>
      <c r="R58" s="38" t="s">
        <v>172</v>
      </c>
      <c r="S58" s="38" t="s">
        <v>169</v>
      </c>
      <c r="T58" s="38" t="s">
        <v>171</v>
      </c>
      <c r="U58" s="38" t="s">
        <v>170</v>
      </c>
      <c r="V58" s="38" t="s">
        <v>169</v>
      </c>
      <c r="W58" s="38" t="s">
        <v>169</v>
      </c>
      <c r="X58" s="38" t="s">
        <v>171</v>
      </c>
      <c r="Y58" s="38" t="s">
        <v>172</v>
      </c>
      <c r="Z58" s="38" t="s">
        <v>169</v>
      </c>
      <c r="AA58" s="38" t="s">
        <v>172</v>
      </c>
      <c r="AB58" s="38" t="s">
        <v>169</v>
      </c>
      <c r="AC58" s="38" t="s">
        <v>170</v>
      </c>
      <c r="AD58" s="38" t="s">
        <v>169</v>
      </c>
      <c r="AE58" s="38" t="s">
        <v>172</v>
      </c>
      <c r="AF58" s="38" t="s">
        <v>170</v>
      </c>
      <c r="AG58" s="38" t="s">
        <v>169</v>
      </c>
      <c r="AH58" s="38" t="s">
        <v>169</v>
      </c>
      <c r="AI58" s="38" t="s">
        <v>172</v>
      </c>
      <c r="AJ58" s="38" t="s">
        <v>170</v>
      </c>
      <c r="AK58" s="38" t="s">
        <v>171</v>
      </c>
      <c r="AL58" s="38" t="s">
        <v>169</v>
      </c>
      <c r="AM58" s="38" t="s">
        <v>171</v>
      </c>
      <c r="AN58" s="38" t="s">
        <v>171</v>
      </c>
      <c r="AO58" s="38" t="s">
        <v>172</v>
      </c>
      <c r="AP58" s="38" t="s">
        <v>172</v>
      </c>
      <c r="AQ58" s="38" t="s">
        <v>171</v>
      </c>
      <c r="AR58" s="38" t="s">
        <v>170</v>
      </c>
      <c r="AS58" s="38" t="s">
        <v>170</v>
      </c>
      <c r="AT58" s="38" t="s">
        <v>169</v>
      </c>
      <c r="AU58" s="38" t="s">
        <v>170</v>
      </c>
      <c r="AV58" s="38" t="s">
        <v>172</v>
      </c>
      <c r="AW58" s="38" t="s">
        <v>169</v>
      </c>
      <c r="AX58" s="38" t="s">
        <v>169</v>
      </c>
      <c r="AY58" s="38" t="s">
        <v>171</v>
      </c>
      <c r="AZ58" s="38" t="s">
        <v>170</v>
      </c>
      <c r="BA58" s="38" t="s">
        <v>169</v>
      </c>
      <c r="BB58" s="38" t="s">
        <v>170</v>
      </c>
      <c r="BC58" s="38" t="s">
        <v>171</v>
      </c>
      <c r="BD58" s="38" t="s">
        <v>169</v>
      </c>
      <c r="BE58" s="38" t="s">
        <v>169</v>
      </c>
      <c r="BF58" s="38" t="s">
        <v>171</v>
      </c>
      <c r="BG58" s="38" t="s">
        <v>171</v>
      </c>
      <c r="BH58" s="38" t="s">
        <v>170</v>
      </c>
      <c r="BI58" s="38" t="s">
        <v>172</v>
      </c>
      <c r="BJ58" s="38" t="s">
        <v>172</v>
      </c>
      <c r="BK58" s="38" t="s">
        <v>169</v>
      </c>
      <c r="BL58" s="38" t="s">
        <v>171</v>
      </c>
      <c r="BM58" s="38" t="s">
        <v>170</v>
      </c>
      <c r="BN58" s="38" t="s">
        <v>170</v>
      </c>
      <c r="BO58" s="38" t="s">
        <v>172</v>
      </c>
      <c r="BP58" s="38" t="s">
        <v>169</v>
      </c>
      <c r="BQ58" s="38" t="s">
        <v>170</v>
      </c>
      <c r="BR58" s="38" t="s">
        <v>172</v>
      </c>
      <c r="BS58" s="38" t="s">
        <v>169</v>
      </c>
      <c r="BT58" s="38" t="s">
        <v>169</v>
      </c>
      <c r="BU58" s="38" t="s">
        <v>172</v>
      </c>
      <c r="BV58" s="38" t="s">
        <v>169</v>
      </c>
      <c r="BW58" s="38" t="s">
        <v>169</v>
      </c>
      <c r="BX58" s="38" t="s">
        <v>172</v>
      </c>
    </row>
    <row r="59" customFormat="false" ht="15" hidden="false" customHeight="true" outlineLevel="0" collapsed="false">
      <c r="A59" s="38" t="s">
        <v>281</v>
      </c>
      <c r="B59" s="38" t="s">
        <v>289</v>
      </c>
      <c r="C59" s="38" t="s">
        <v>290</v>
      </c>
      <c r="D59" s="38" t="s">
        <v>179</v>
      </c>
      <c r="E59" s="38" t="s">
        <v>169</v>
      </c>
      <c r="F59" s="38" t="s">
        <v>169</v>
      </c>
      <c r="G59" s="38" t="s">
        <v>170</v>
      </c>
      <c r="H59" s="38" t="s">
        <v>169</v>
      </c>
      <c r="I59" s="38" t="s">
        <v>170</v>
      </c>
      <c r="J59" s="38" t="s">
        <v>169</v>
      </c>
      <c r="K59" s="38" t="s">
        <v>171</v>
      </c>
      <c r="L59" s="38" t="s">
        <v>171</v>
      </c>
      <c r="M59" s="38" t="s">
        <v>169</v>
      </c>
      <c r="N59" s="38" t="s">
        <v>169</v>
      </c>
      <c r="O59" s="38" t="s">
        <v>170</v>
      </c>
      <c r="P59" s="38" t="s">
        <v>172</v>
      </c>
      <c r="Q59" s="38" t="s">
        <v>169</v>
      </c>
      <c r="R59" s="38" t="s">
        <v>172</v>
      </c>
      <c r="S59" s="38" t="s">
        <v>169</v>
      </c>
      <c r="T59" s="40" t="s">
        <v>176</v>
      </c>
      <c r="U59" s="38" t="s">
        <v>171</v>
      </c>
      <c r="V59" s="38" t="s">
        <v>169</v>
      </c>
      <c r="W59" s="38" t="s">
        <v>169</v>
      </c>
      <c r="X59" s="38" t="s">
        <v>170</v>
      </c>
      <c r="Y59" s="38" t="s">
        <v>170</v>
      </c>
      <c r="Z59" s="38" t="s">
        <v>172</v>
      </c>
      <c r="AA59" s="38" t="s">
        <v>171</v>
      </c>
      <c r="AB59" s="38" t="s">
        <v>169</v>
      </c>
      <c r="AC59" s="38" t="s">
        <v>170</v>
      </c>
      <c r="AD59" s="38" t="s">
        <v>172</v>
      </c>
      <c r="AE59" s="38" t="s">
        <v>169</v>
      </c>
      <c r="AF59" s="38" t="s">
        <v>170</v>
      </c>
      <c r="AG59" s="38" t="s">
        <v>169</v>
      </c>
      <c r="AH59" s="38" t="s">
        <v>169</v>
      </c>
      <c r="AI59" s="38" t="s">
        <v>172</v>
      </c>
      <c r="AJ59" s="38" t="s">
        <v>171</v>
      </c>
      <c r="AK59" s="38" t="s">
        <v>171</v>
      </c>
      <c r="AL59" s="38" t="s">
        <v>169</v>
      </c>
      <c r="AM59" s="38" t="s">
        <v>170</v>
      </c>
      <c r="AN59" s="38" t="s">
        <v>172</v>
      </c>
      <c r="AO59" s="38" t="s">
        <v>172</v>
      </c>
      <c r="AP59" s="38" t="s">
        <v>172</v>
      </c>
      <c r="AQ59" s="38" t="s">
        <v>171</v>
      </c>
      <c r="AR59" s="38" t="s">
        <v>170</v>
      </c>
      <c r="AS59" s="38" t="s">
        <v>170</v>
      </c>
      <c r="AT59" s="38" t="s">
        <v>169</v>
      </c>
      <c r="AU59" s="38" t="s">
        <v>171</v>
      </c>
      <c r="AV59" s="38" t="s">
        <v>169</v>
      </c>
      <c r="AW59" s="38" t="s">
        <v>172</v>
      </c>
      <c r="AX59" s="40" t="s">
        <v>176</v>
      </c>
      <c r="AY59" s="38" t="s">
        <v>172</v>
      </c>
      <c r="AZ59" s="38" t="s">
        <v>170</v>
      </c>
      <c r="BA59" s="38" t="s">
        <v>170</v>
      </c>
      <c r="BB59" s="38" t="s">
        <v>171</v>
      </c>
      <c r="BC59" s="38" t="s">
        <v>170</v>
      </c>
      <c r="BD59" s="38" t="s">
        <v>169</v>
      </c>
      <c r="BE59" s="38" t="s">
        <v>169</v>
      </c>
      <c r="BF59" s="38" t="s">
        <v>171</v>
      </c>
      <c r="BG59" s="38" t="s">
        <v>171</v>
      </c>
      <c r="BH59" s="38" t="s">
        <v>170</v>
      </c>
      <c r="BI59" s="38" t="s">
        <v>169</v>
      </c>
      <c r="BJ59" s="38" t="s">
        <v>172</v>
      </c>
      <c r="BK59" s="38" t="s">
        <v>170</v>
      </c>
      <c r="BL59" s="38" t="s">
        <v>171</v>
      </c>
      <c r="BM59" s="38" t="s">
        <v>170</v>
      </c>
      <c r="BN59" s="38" t="s">
        <v>170</v>
      </c>
      <c r="BO59" s="38" t="s">
        <v>169</v>
      </c>
      <c r="BP59" s="38" t="s">
        <v>169</v>
      </c>
      <c r="BQ59" s="38" t="s">
        <v>169</v>
      </c>
      <c r="BR59" s="38" t="s">
        <v>172</v>
      </c>
      <c r="BS59" s="38" t="s">
        <v>170</v>
      </c>
      <c r="BT59" s="38" t="s">
        <v>169</v>
      </c>
      <c r="BU59" s="38" t="s">
        <v>170</v>
      </c>
      <c r="BV59" s="38" t="s">
        <v>169</v>
      </c>
      <c r="BW59" s="38" t="s">
        <v>170</v>
      </c>
      <c r="BX59" s="38" t="s">
        <v>170</v>
      </c>
    </row>
    <row r="60" customFormat="false" ht="15" hidden="false" customHeight="true" outlineLevel="0" collapsed="false">
      <c r="A60" s="38" t="s">
        <v>281</v>
      </c>
      <c r="B60" s="38" t="s">
        <v>291</v>
      </c>
      <c r="C60" s="38" t="s">
        <v>290</v>
      </c>
      <c r="D60" s="38" t="s">
        <v>179</v>
      </c>
      <c r="E60" s="38" t="s">
        <v>169</v>
      </c>
      <c r="F60" s="38" t="s">
        <v>169</v>
      </c>
      <c r="G60" s="38" t="s">
        <v>170</v>
      </c>
      <c r="H60" s="38" t="s">
        <v>169</v>
      </c>
      <c r="I60" s="38" t="s">
        <v>170</v>
      </c>
      <c r="J60" s="38" t="s">
        <v>169</v>
      </c>
      <c r="K60" s="38" t="s">
        <v>171</v>
      </c>
      <c r="L60" s="38" t="s">
        <v>171</v>
      </c>
      <c r="M60" s="38" t="s">
        <v>169</v>
      </c>
      <c r="N60" s="38" t="s">
        <v>169</v>
      </c>
      <c r="O60" s="38" t="s">
        <v>170</v>
      </c>
      <c r="P60" s="38" t="s">
        <v>172</v>
      </c>
      <c r="Q60" s="38" t="s">
        <v>169</v>
      </c>
      <c r="R60" s="38" t="s">
        <v>172</v>
      </c>
      <c r="S60" s="38" t="s">
        <v>169</v>
      </c>
      <c r="T60" s="40" t="s">
        <v>176</v>
      </c>
      <c r="U60" s="38" t="s">
        <v>171</v>
      </c>
      <c r="V60" s="38" t="s">
        <v>169</v>
      </c>
      <c r="W60" s="38" t="s">
        <v>169</v>
      </c>
      <c r="X60" s="38" t="s">
        <v>170</v>
      </c>
      <c r="Y60" s="38" t="s">
        <v>170</v>
      </c>
      <c r="Z60" s="38" t="s">
        <v>172</v>
      </c>
      <c r="AA60" s="38" t="s">
        <v>171</v>
      </c>
      <c r="AB60" s="38" t="s">
        <v>169</v>
      </c>
      <c r="AC60" s="38" t="s">
        <v>170</v>
      </c>
      <c r="AD60" s="38" t="s">
        <v>172</v>
      </c>
      <c r="AE60" s="38" t="s">
        <v>169</v>
      </c>
      <c r="AF60" s="38" t="s">
        <v>170</v>
      </c>
      <c r="AG60" s="38" t="s">
        <v>169</v>
      </c>
      <c r="AH60" s="38" t="s">
        <v>169</v>
      </c>
      <c r="AI60" s="38" t="s">
        <v>172</v>
      </c>
      <c r="AJ60" s="38" t="s">
        <v>171</v>
      </c>
      <c r="AK60" s="38" t="s">
        <v>171</v>
      </c>
      <c r="AL60" s="38" t="s">
        <v>169</v>
      </c>
      <c r="AM60" s="38" t="s">
        <v>170</v>
      </c>
      <c r="AN60" s="38" t="s">
        <v>172</v>
      </c>
      <c r="AO60" s="38" t="s">
        <v>172</v>
      </c>
      <c r="AP60" s="38" t="s">
        <v>172</v>
      </c>
      <c r="AQ60" s="38" t="s">
        <v>171</v>
      </c>
      <c r="AR60" s="38" t="s">
        <v>170</v>
      </c>
      <c r="AS60" s="38" t="s">
        <v>170</v>
      </c>
      <c r="AT60" s="38" t="s">
        <v>169</v>
      </c>
      <c r="AU60" s="38" t="s">
        <v>171</v>
      </c>
      <c r="AV60" s="38" t="s">
        <v>169</v>
      </c>
      <c r="AW60" s="38" t="s">
        <v>169</v>
      </c>
      <c r="AX60" s="40" t="s">
        <v>176</v>
      </c>
      <c r="AY60" s="38" t="s">
        <v>172</v>
      </c>
      <c r="AZ60" s="38" t="s">
        <v>170</v>
      </c>
      <c r="BA60" s="38" t="s">
        <v>170</v>
      </c>
      <c r="BB60" s="38" t="s">
        <v>171</v>
      </c>
      <c r="BC60" s="38" t="s">
        <v>170</v>
      </c>
      <c r="BD60" s="38" t="s">
        <v>169</v>
      </c>
      <c r="BE60" s="38" t="s">
        <v>169</v>
      </c>
      <c r="BF60" s="38" t="s">
        <v>171</v>
      </c>
      <c r="BG60" s="38" t="s">
        <v>171</v>
      </c>
      <c r="BH60" s="38" t="s">
        <v>170</v>
      </c>
      <c r="BI60" s="38" t="s">
        <v>169</v>
      </c>
      <c r="BJ60" s="38" t="s">
        <v>172</v>
      </c>
      <c r="BK60" s="38" t="s">
        <v>170</v>
      </c>
      <c r="BL60" s="38" t="s">
        <v>171</v>
      </c>
      <c r="BM60" s="38" t="s">
        <v>170</v>
      </c>
      <c r="BN60" s="38" t="s">
        <v>170</v>
      </c>
      <c r="BO60" s="38" t="s">
        <v>169</v>
      </c>
      <c r="BP60" s="38" t="s">
        <v>169</v>
      </c>
      <c r="BQ60" s="38" t="s">
        <v>169</v>
      </c>
      <c r="BR60" s="38" t="s">
        <v>172</v>
      </c>
      <c r="BS60" s="38" t="s">
        <v>170</v>
      </c>
      <c r="BT60" s="38" t="s">
        <v>169</v>
      </c>
      <c r="BU60" s="38" t="s">
        <v>170</v>
      </c>
      <c r="BV60" s="38" t="s">
        <v>169</v>
      </c>
      <c r="BW60" s="38" t="s">
        <v>170</v>
      </c>
      <c r="BX60" s="38" t="s">
        <v>170</v>
      </c>
    </row>
    <row r="61" customFormat="false" ht="15" hidden="false" customHeight="true" outlineLevel="0" collapsed="false">
      <c r="A61" s="38" t="s">
        <v>281</v>
      </c>
      <c r="B61" s="38" t="s">
        <v>292</v>
      </c>
      <c r="C61" s="38" t="s">
        <v>211</v>
      </c>
      <c r="D61" s="38" t="s">
        <v>293</v>
      </c>
      <c r="E61" s="38" t="s">
        <v>169</v>
      </c>
      <c r="F61" s="38" t="s">
        <v>170</v>
      </c>
      <c r="G61" s="38" t="s">
        <v>169</v>
      </c>
      <c r="H61" s="38" t="s">
        <v>169</v>
      </c>
      <c r="I61" s="38" t="s">
        <v>169</v>
      </c>
      <c r="J61" s="38" t="s">
        <v>170</v>
      </c>
      <c r="K61" s="38" t="s">
        <v>172</v>
      </c>
      <c r="L61" s="38" t="s">
        <v>171</v>
      </c>
      <c r="M61" s="38" t="s">
        <v>170</v>
      </c>
      <c r="N61" s="38" t="s">
        <v>169</v>
      </c>
      <c r="O61" s="38" t="s">
        <v>171</v>
      </c>
      <c r="P61" s="38" t="s">
        <v>172</v>
      </c>
      <c r="Q61" s="38" t="s">
        <v>171</v>
      </c>
      <c r="R61" s="38" t="s">
        <v>172</v>
      </c>
      <c r="S61" s="38" t="s">
        <v>172</v>
      </c>
      <c r="T61" s="40" t="s">
        <v>176</v>
      </c>
      <c r="U61" s="38" t="s">
        <v>171</v>
      </c>
      <c r="V61" s="38" t="s">
        <v>169</v>
      </c>
      <c r="W61" s="38" t="s">
        <v>169</v>
      </c>
      <c r="X61" s="38" t="s">
        <v>170</v>
      </c>
      <c r="Y61" s="38" t="s">
        <v>172</v>
      </c>
      <c r="Z61" s="38" t="s">
        <v>171</v>
      </c>
      <c r="AA61" s="38" t="s">
        <v>171</v>
      </c>
      <c r="AB61" s="38" t="s">
        <v>172</v>
      </c>
      <c r="AC61" s="38" t="s">
        <v>170</v>
      </c>
      <c r="AD61" s="38" t="s">
        <v>170</v>
      </c>
      <c r="AE61" s="38" t="s">
        <v>171</v>
      </c>
      <c r="AF61" s="38" t="s">
        <v>170</v>
      </c>
      <c r="AG61" s="38" t="s">
        <v>172</v>
      </c>
      <c r="AH61" s="38" t="s">
        <v>169</v>
      </c>
      <c r="AI61" s="38" t="s">
        <v>170</v>
      </c>
      <c r="AJ61" s="38" t="s">
        <v>170</v>
      </c>
      <c r="AK61" s="38" t="s">
        <v>171</v>
      </c>
      <c r="AL61" s="38" t="s">
        <v>171</v>
      </c>
      <c r="AM61" s="38" t="s">
        <v>170</v>
      </c>
      <c r="AN61" s="38" t="s">
        <v>170</v>
      </c>
      <c r="AO61" s="38" t="s">
        <v>172</v>
      </c>
      <c r="AP61" s="38" t="s">
        <v>172</v>
      </c>
      <c r="AQ61" s="38" t="s">
        <v>169</v>
      </c>
      <c r="AR61" s="38" t="s">
        <v>170</v>
      </c>
      <c r="AS61" s="38" t="s">
        <v>171</v>
      </c>
      <c r="AT61" s="38" t="s">
        <v>169</v>
      </c>
      <c r="AU61" s="38" t="s">
        <v>172</v>
      </c>
      <c r="AV61" s="38" t="s">
        <v>171</v>
      </c>
      <c r="AW61" s="38" t="s">
        <v>169</v>
      </c>
      <c r="AX61" s="40" t="s">
        <v>176</v>
      </c>
      <c r="AY61" s="38" t="s">
        <v>172</v>
      </c>
      <c r="AZ61" s="38" t="s">
        <v>171</v>
      </c>
      <c r="BA61" s="38" t="s">
        <v>169</v>
      </c>
      <c r="BB61" s="38" t="s">
        <v>170</v>
      </c>
      <c r="BC61" s="38" t="s">
        <v>169</v>
      </c>
      <c r="BD61" s="38" t="s">
        <v>169</v>
      </c>
      <c r="BE61" s="38" t="s">
        <v>169</v>
      </c>
      <c r="BF61" s="38" t="s">
        <v>171</v>
      </c>
      <c r="BG61" s="38" t="s">
        <v>171</v>
      </c>
      <c r="BH61" s="38" t="s">
        <v>170</v>
      </c>
      <c r="BI61" s="38" t="s">
        <v>169</v>
      </c>
      <c r="BJ61" s="38" t="s">
        <v>172</v>
      </c>
      <c r="BK61" s="38" t="s">
        <v>171</v>
      </c>
      <c r="BL61" s="38" t="s">
        <v>171</v>
      </c>
      <c r="BM61" s="38" t="s">
        <v>170</v>
      </c>
      <c r="BN61" s="38" t="s">
        <v>170</v>
      </c>
      <c r="BO61" s="38" t="s">
        <v>170</v>
      </c>
      <c r="BP61" s="38" t="s">
        <v>169</v>
      </c>
      <c r="BQ61" s="38" t="s">
        <v>170</v>
      </c>
      <c r="BR61" s="38" t="s">
        <v>171</v>
      </c>
      <c r="BS61" s="38" t="s">
        <v>169</v>
      </c>
      <c r="BT61" s="38" t="s">
        <v>170</v>
      </c>
      <c r="BU61" s="38" t="s">
        <v>170</v>
      </c>
      <c r="BV61" s="38" t="s">
        <v>170</v>
      </c>
      <c r="BW61" s="38" t="s">
        <v>169</v>
      </c>
      <c r="BX61" s="38" t="s">
        <v>170</v>
      </c>
    </row>
    <row r="62" customFormat="false" ht="15" hidden="false" customHeight="true" outlineLevel="0" collapsed="false">
      <c r="A62" s="38" t="s">
        <v>281</v>
      </c>
      <c r="B62" s="38" t="s">
        <v>294</v>
      </c>
      <c r="C62" s="38" t="s">
        <v>216</v>
      </c>
      <c r="D62" s="38" t="s">
        <v>217</v>
      </c>
      <c r="E62" s="38" t="s">
        <v>169</v>
      </c>
      <c r="F62" s="38" t="s">
        <v>169</v>
      </c>
      <c r="G62" s="38" t="s">
        <v>169</v>
      </c>
      <c r="H62" s="38" t="s">
        <v>171</v>
      </c>
      <c r="I62" s="38" t="s">
        <v>170</v>
      </c>
      <c r="J62" s="38" t="s">
        <v>171</v>
      </c>
      <c r="K62" s="38" t="s">
        <v>169</v>
      </c>
      <c r="L62" s="38" t="s">
        <v>171</v>
      </c>
      <c r="M62" s="38" t="s">
        <v>172</v>
      </c>
      <c r="N62" s="38" t="s">
        <v>169</v>
      </c>
      <c r="O62" s="38" t="s">
        <v>170</v>
      </c>
      <c r="P62" s="38" t="s">
        <v>171</v>
      </c>
      <c r="Q62" s="38" t="s">
        <v>170</v>
      </c>
      <c r="R62" s="38" t="s">
        <v>172</v>
      </c>
      <c r="S62" s="38" t="s">
        <v>169</v>
      </c>
      <c r="T62" s="38" t="s">
        <v>169</v>
      </c>
      <c r="U62" s="38" t="s">
        <v>171</v>
      </c>
      <c r="V62" s="38" t="s">
        <v>169</v>
      </c>
      <c r="W62" s="38" t="s">
        <v>169</v>
      </c>
      <c r="X62" s="38" t="s">
        <v>171</v>
      </c>
      <c r="Y62" s="38" t="s">
        <v>172</v>
      </c>
      <c r="Z62" s="38" t="s">
        <v>169</v>
      </c>
      <c r="AA62" s="38" t="s">
        <v>172</v>
      </c>
      <c r="AB62" s="38" t="s">
        <v>169</v>
      </c>
      <c r="AC62" s="38" t="s">
        <v>170</v>
      </c>
      <c r="AD62" s="38" t="s">
        <v>169</v>
      </c>
      <c r="AE62" s="38" t="s">
        <v>171</v>
      </c>
      <c r="AF62" s="38" t="s">
        <v>172</v>
      </c>
      <c r="AG62" s="38" t="s">
        <v>170</v>
      </c>
      <c r="AH62" s="38" t="s">
        <v>169</v>
      </c>
      <c r="AI62" s="38" t="s">
        <v>170</v>
      </c>
      <c r="AJ62" s="38" t="s">
        <v>170</v>
      </c>
      <c r="AK62" s="38" t="s">
        <v>171</v>
      </c>
      <c r="AL62" s="38" t="s">
        <v>169</v>
      </c>
      <c r="AM62" s="38" t="s">
        <v>172</v>
      </c>
      <c r="AN62" s="38" t="s">
        <v>171</v>
      </c>
      <c r="AO62" s="38" t="s">
        <v>172</v>
      </c>
      <c r="AP62" s="38" t="s">
        <v>172</v>
      </c>
      <c r="AQ62" s="38" t="s">
        <v>169</v>
      </c>
      <c r="AR62" s="38" t="s">
        <v>170</v>
      </c>
      <c r="AS62" s="38" t="s">
        <v>169</v>
      </c>
      <c r="AT62" s="38" t="s">
        <v>171</v>
      </c>
      <c r="AU62" s="38" t="s">
        <v>172</v>
      </c>
      <c r="AV62" s="38" t="s">
        <v>172</v>
      </c>
      <c r="AW62" s="38" t="s">
        <v>169</v>
      </c>
      <c r="AX62" s="38" t="s">
        <v>169</v>
      </c>
      <c r="AY62" s="38" t="s">
        <v>171</v>
      </c>
      <c r="AZ62" s="38" t="s">
        <v>170</v>
      </c>
      <c r="BA62" s="38" t="s">
        <v>169</v>
      </c>
      <c r="BB62" s="38" t="s">
        <v>169</v>
      </c>
      <c r="BC62" s="38" t="s">
        <v>171</v>
      </c>
      <c r="BD62" s="38" t="s">
        <v>169</v>
      </c>
      <c r="BE62" s="38" t="s">
        <v>169</v>
      </c>
      <c r="BF62" s="38" t="s">
        <v>171</v>
      </c>
      <c r="BG62" s="38" t="s">
        <v>171</v>
      </c>
      <c r="BH62" s="38" t="s">
        <v>170</v>
      </c>
      <c r="BI62" s="38" t="s">
        <v>169</v>
      </c>
      <c r="BJ62" s="38" t="s">
        <v>172</v>
      </c>
      <c r="BK62" s="38" t="s">
        <v>169</v>
      </c>
      <c r="BL62" s="38" t="s">
        <v>171</v>
      </c>
      <c r="BM62" s="38" t="s">
        <v>170</v>
      </c>
      <c r="BN62" s="38" t="s">
        <v>170</v>
      </c>
      <c r="BO62" s="38" t="s">
        <v>172</v>
      </c>
      <c r="BP62" s="38" t="s">
        <v>170</v>
      </c>
      <c r="BQ62" s="38" t="s">
        <v>171</v>
      </c>
      <c r="BR62" s="38" t="s">
        <v>170</v>
      </c>
      <c r="BS62" s="38" t="s">
        <v>172</v>
      </c>
      <c r="BT62" s="38" t="s">
        <v>169</v>
      </c>
      <c r="BU62" s="38" t="s">
        <v>172</v>
      </c>
      <c r="BV62" s="38" t="s">
        <v>170</v>
      </c>
      <c r="BW62" s="38" t="s">
        <v>170</v>
      </c>
      <c r="BX62" s="38" t="s">
        <v>170</v>
      </c>
    </row>
    <row r="63" customFormat="false" ht="15" hidden="false" customHeight="true" outlineLevel="0" collapsed="false">
      <c r="A63" s="38" t="s">
        <v>281</v>
      </c>
      <c r="B63" s="38" t="s">
        <v>295</v>
      </c>
      <c r="C63" s="38" t="s">
        <v>296</v>
      </c>
      <c r="D63" s="38" t="s">
        <v>297</v>
      </c>
      <c r="E63" s="38" t="s">
        <v>169</v>
      </c>
      <c r="F63" s="38" t="s">
        <v>170</v>
      </c>
      <c r="G63" s="38" t="s">
        <v>170</v>
      </c>
      <c r="H63" s="38" t="s">
        <v>169</v>
      </c>
      <c r="I63" s="38" t="s">
        <v>172</v>
      </c>
      <c r="J63" s="38" t="s">
        <v>169</v>
      </c>
      <c r="K63" s="38" t="s">
        <v>172</v>
      </c>
      <c r="L63" s="38" t="s">
        <v>171</v>
      </c>
      <c r="M63" s="38" t="s">
        <v>169</v>
      </c>
      <c r="N63" s="38" t="s">
        <v>169</v>
      </c>
      <c r="O63" s="38" t="s">
        <v>171</v>
      </c>
      <c r="P63" s="38" t="s">
        <v>169</v>
      </c>
      <c r="Q63" s="38" t="s">
        <v>172</v>
      </c>
      <c r="R63" s="38" t="s">
        <v>172</v>
      </c>
      <c r="S63" s="38" t="s">
        <v>172</v>
      </c>
      <c r="T63" s="38" t="s">
        <v>171</v>
      </c>
      <c r="U63" s="38" t="s">
        <v>171</v>
      </c>
      <c r="V63" s="38" t="s">
        <v>169</v>
      </c>
      <c r="W63" s="38" t="s">
        <v>169</v>
      </c>
      <c r="X63" s="38" t="s">
        <v>171</v>
      </c>
      <c r="Y63" s="38" t="s">
        <v>169</v>
      </c>
      <c r="Z63" s="38" t="s">
        <v>172</v>
      </c>
      <c r="AA63" s="38" t="s">
        <v>170</v>
      </c>
      <c r="AB63" s="38" t="s">
        <v>172</v>
      </c>
      <c r="AC63" s="38" t="s">
        <v>170</v>
      </c>
      <c r="AD63" s="38" t="s">
        <v>172</v>
      </c>
      <c r="AE63" s="38" t="s">
        <v>170</v>
      </c>
      <c r="AF63" s="38" t="s">
        <v>171</v>
      </c>
      <c r="AG63" s="38" t="s">
        <v>172</v>
      </c>
      <c r="AH63" s="38" t="s">
        <v>169</v>
      </c>
      <c r="AI63" s="38" t="s">
        <v>170</v>
      </c>
      <c r="AJ63" s="38" t="s">
        <v>172</v>
      </c>
      <c r="AK63" s="38" t="s">
        <v>171</v>
      </c>
      <c r="AL63" s="38" t="s">
        <v>169</v>
      </c>
      <c r="AM63" s="38" t="s">
        <v>172</v>
      </c>
      <c r="AN63" s="38" t="s">
        <v>169</v>
      </c>
      <c r="AO63" s="38" t="s">
        <v>169</v>
      </c>
      <c r="AP63" s="38" t="s">
        <v>171</v>
      </c>
      <c r="AQ63" s="38" t="s">
        <v>169</v>
      </c>
      <c r="AR63" s="38" t="s">
        <v>170</v>
      </c>
      <c r="AS63" s="38" t="s">
        <v>171</v>
      </c>
      <c r="AT63" s="38" t="s">
        <v>172</v>
      </c>
      <c r="AU63" s="38" t="s">
        <v>169</v>
      </c>
      <c r="AV63" s="38" t="s">
        <v>170</v>
      </c>
      <c r="AW63" s="38" t="s">
        <v>169</v>
      </c>
      <c r="AX63" s="38" t="s">
        <v>170</v>
      </c>
      <c r="AY63" s="38" t="s">
        <v>169</v>
      </c>
      <c r="AZ63" s="38" t="s">
        <v>171</v>
      </c>
      <c r="BA63" s="38" t="s">
        <v>169</v>
      </c>
      <c r="BB63" s="38" t="s">
        <v>172</v>
      </c>
      <c r="BC63" s="38" t="s">
        <v>169</v>
      </c>
      <c r="BD63" s="38" t="s">
        <v>169</v>
      </c>
      <c r="BE63" s="38" t="s">
        <v>169</v>
      </c>
      <c r="BF63" s="38" t="s">
        <v>171</v>
      </c>
      <c r="BG63" s="38" t="s">
        <v>171</v>
      </c>
      <c r="BH63" s="38" t="s">
        <v>170</v>
      </c>
      <c r="BI63" s="38" t="s">
        <v>169</v>
      </c>
      <c r="BJ63" s="38" t="s">
        <v>172</v>
      </c>
      <c r="BK63" s="38" t="s">
        <v>169</v>
      </c>
      <c r="BL63" s="38" t="s">
        <v>171</v>
      </c>
      <c r="BM63" s="38" t="s">
        <v>170</v>
      </c>
      <c r="BN63" s="38" t="s">
        <v>170</v>
      </c>
      <c r="BO63" s="38" t="s">
        <v>170</v>
      </c>
      <c r="BP63" s="38" t="s">
        <v>171</v>
      </c>
      <c r="BQ63" s="38" t="s">
        <v>170</v>
      </c>
      <c r="BR63" s="38" t="s">
        <v>171</v>
      </c>
      <c r="BS63" s="38" t="s">
        <v>170</v>
      </c>
      <c r="BT63" s="38" t="s">
        <v>171</v>
      </c>
      <c r="BU63" s="38" t="s">
        <v>170</v>
      </c>
      <c r="BV63" s="38" t="s">
        <v>169</v>
      </c>
      <c r="BW63" s="38" t="s">
        <v>169</v>
      </c>
      <c r="BX63" s="38" t="s">
        <v>170</v>
      </c>
    </row>
    <row r="64" customFormat="false" ht="15" hidden="false" customHeight="true" outlineLevel="0" collapsed="false">
      <c r="A64" s="38" t="s">
        <v>281</v>
      </c>
      <c r="B64" s="38" t="s">
        <v>298</v>
      </c>
      <c r="C64" s="38" t="s">
        <v>299</v>
      </c>
      <c r="D64" s="38" t="s">
        <v>187</v>
      </c>
      <c r="E64" s="38" t="s">
        <v>169</v>
      </c>
      <c r="F64" s="38" t="s">
        <v>169</v>
      </c>
      <c r="G64" s="38" t="s">
        <v>170</v>
      </c>
      <c r="H64" s="38" t="s">
        <v>171</v>
      </c>
      <c r="I64" s="38" t="s">
        <v>172</v>
      </c>
      <c r="J64" s="38" t="s">
        <v>170</v>
      </c>
      <c r="K64" s="38" t="s">
        <v>169</v>
      </c>
      <c r="L64" s="38" t="s">
        <v>171</v>
      </c>
      <c r="M64" s="38" t="s">
        <v>172</v>
      </c>
      <c r="N64" s="38" t="s">
        <v>169</v>
      </c>
      <c r="O64" s="38" t="s">
        <v>170</v>
      </c>
      <c r="P64" s="38" t="s">
        <v>171</v>
      </c>
      <c r="Q64" s="38" t="s">
        <v>170</v>
      </c>
      <c r="R64" s="38" t="s">
        <v>172</v>
      </c>
      <c r="S64" s="38" t="s">
        <v>169</v>
      </c>
      <c r="T64" s="38" t="s">
        <v>171</v>
      </c>
      <c r="U64" s="38" t="s">
        <v>171</v>
      </c>
      <c r="V64" s="38" t="s">
        <v>169</v>
      </c>
      <c r="W64" s="38" t="s">
        <v>169</v>
      </c>
      <c r="X64" s="38" t="s">
        <v>171</v>
      </c>
      <c r="Y64" s="38" t="s">
        <v>172</v>
      </c>
      <c r="Z64" s="38" t="s">
        <v>169</v>
      </c>
      <c r="AA64" s="38" t="s">
        <v>172</v>
      </c>
      <c r="AB64" s="38" t="s">
        <v>169</v>
      </c>
      <c r="AC64" s="38" t="s">
        <v>170</v>
      </c>
      <c r="AD64" s="38" t="s">
        <v>172</v>
      </c>
      <c r="AE64" s="38" t="s">
        <v>170</v>
      </c>
      <c r="AF64" s="38" t="s">
        <v>172</v>
      </c>
      <c r="AG64" s="38" t="s">
        <v>171</v>
      </c>
      <c r="AH64" s="38" t="s">
        <v>170</v>
      </c>
      <c r="AI64" s="38" t="s">
        <v>172</v>
      </c>
      <c r="AJ64" s="38" t="s">
        <v>170</v>
      </c>
      <c r="AK64" s="38" t="s">
        <v>171</v>
      </c>
      <c r="AL64" s="38" t="s">
        <v>170</v>
      </c>
      <c r="AM64" s="38" t="s">
        <v>172</v>
      </c>
      <c r="AN64" s="38" t="s">
        <v>171</v>
      </c>
      <c r="AO64" s="38" t="s">
        <v>172</v>
      </c>
      <c r="AP64" s="38" t="s">
        <v>172</v>
      </c>
      <c r="AQ64" s="38" t="s">
        <v>171</v>
      </c>
      <c r="AR64" s="38" t="s">
        <v>169</v>
      </c>
      <c r="AS64" s="38" t="s">
        <v>172</v>
      </c>
      <c r="AT64" s="38" t="s">
        <v>171</v>
      </c>
      <c r="AU64" s="38" t="s">
        <v>169</v>
      </c>
      <c r="AV64" s="38" t="s">
        <v>169</v>
      </c>
      <c r="AW64" s="38" t="s">
        <v>169</v>
      </c>
      <c r="AX64" s="38" t="s">
        <v>169</v>
      </c>
      <c r="AY64" s="38" t="s">
        <v>171</v>
      </c>
      <c r="AZ64" s="38" t="s">
        <v>170</v>
      </c>
      <c r="BA64" s="38" t="s">
        <v>172</v>
      </c>
      <c r="BB64" s="38" t="s">
        <v>170</v>
      </c>
      <c r="BC64" s="38" t="s">
        <v>172</v>
      </c>
      <c r="BD64" s="38" t="s">
        <v>169</v>
      </c>
      <c r="BE64" s="38" t="s">
        <v>169</v>
      </c>
      <c r="BF64" s="38" t="s">
        <v>171</v>
      </c>
      <c r="BG64" s="38" t="s">
        <v>171</v>
      </c>
      <c r="BH64" s="38" t="s">
        <v>170</v>
      </c>
      <c r="BI64" s="38" t="s">
        <v>169</v>
      </c>
      <c r="BJ64" s="38" t="s">
        <v>172</v>
      </c>
      <c r="BK64" s="38" t="s">
        <v>172</v>
      </c>
      <c r="BL64" s="38" t="s">
        <v>171</v>
      </c>
      <c r="BM64" s="38" t="s">
        <v>170</v>
      </c>
      <c r="BN64" s="38" t="s">
        <v>170</v>
      </c>
      <c r="BO64" s="38" t="s">
        <v>170</v>
      </c>
      <c r="BP64" s="38" t="s">
        <v>169</v>
      </c>
      <c r="BQ64" s="38" t="s">
        <v>171</v>
      </c>
      <c r="BR64" s="38" t="s">
        <v>170</v>
      </c>
      <c r="BS64" s="38" t="s">
        <v>169</v>
      </c>
      <c r="BT64" s="38" t="s">
        <v>171</v>
      </c>
      <c r="BU64" s="38" t="s">
        <v>172</v>
      </c>
      <c r="BV64" s="38" t="s">
        <v>169</v>
      </c>
      <c r="BW64" s="38" t="s">
        <v>170</v>
      </c>
      <c r="BX64" s="38" t="s">
        <v>170</v>
      </c>
    </row>
    <row r="65" customFormat="false" ht="15" hidden="false" customHeight="true" outlineLevel="0" collapsed="false">
      <c r="A65" s="38" t="s">
        <v>281</v>
      </c>
      <c r="B65" s="38" t="s">
        <v>300</v>
      </c>
      <c r="C65" s="38" t="s">
        <v>240</v>
      </c>
      <c r="D65" s="38" t="s">
        <v>241</v>
      </c>
      <c r="E65" s="38" t="s">
        <v>169</v>
      </c>
      <c r="F65" s="38" t="s">
        <v>170</v>
      </c>
      <c r="G65" s="38" t="s">
        <v>170</v>
      </c>
      <c r="H65" s="38" t="s">
        <v>170</v>
      </c>
      <c r="I65" s="38" t="s">
        <v>169</v>
      </c>
      <c r="J65" s="38" t="s">
        <v>169</v>
      </c>
      <c r="K65" s="38" t="s">
        <v>172</v>
      </c>
      <c r="L65" s="38" t="s">
        <v>171</v>
      </c>
      <c r="M65" s="38" t="s">
        <v>172</v>
      </c>
      <c r="N65" s="38" t="s">
        <v>169</v>
      </c>
      <c r="O65" s="38" t="s">
        <v>170</v>
      </c>
      <c r="P65" s="38" t="s">
        <v>171</v>
      </c>
      <c r="Q65" s="38" t="s">
        <v>170</v>
      </c>
      <c r="R65" s="38" t="s">
        <v>172</v>
      </c>
      <c r="S65" s="38" t="s">
        <v>169</v>
      </c>
      <c r="T65" s="38" t="s">
        <v>171</v>
      </c>
      <c r="U65" s="38" t="s">
        <v>170</v>
      </c>
      <c r="V65" s="38" t="s">
        <v>169</v>
      </c>
      <c r="W65" s="38" t="s">
        <v>169</v>
      </c>
      <c r="X65" s="38" t="s">
        <v>169</v>
      </c>
      <c r="Y65" s="38" t="s">
        <v>172</v>
      </c>
      <c r="Z65" s="38" t="s">
        <v>169</v>
      </c>
      <c r="AA65" s="38" t="s">
        <v>172</v>
      </c>
      <c r="AB65" s="38" t="s">
        <v>169</v>
      </c>
      <c r="AC65" s="38" t="s">
        <v>170</v>
      </c>
      <c r="AD65" s="38" t="s">
        <v>172</v>
      </c>
      <c r="AE65" s="38" t="s">
        <v>169</v>
      </c>
      <c r="AF65" s="38" t="s">
        <v>172</v>
      </c>
      <c r="AG65" s="38" t="s">
        <v>169</v>
      </c>
      <c r="AH65" s="38" t="s">
        <v>169</v>
      </c>
      <c r="AI65" s="38" t="s">
        <v>172</v>
      </c>
      <c r="AJ65" s="38" t="s">
        <v>171</v>
      </c>
      <c r="AK65" s="38" t="s">
        <v>171</v>
      </c>
      <c r="AL65" s="38" t="s">
        <v>169</v>
      </c>
      <c r="AM65" s="38" t="s">
        <v>172</v>
      </c>
      <c r="AN65" s="38" t="s">
        <v>172</v>
      </c>
      <c r="AO65" s="38" t="s">
        <v>172</v>
      </c>
      <c r="AP65" s="38" t="s">
        <v>172</v>
      </c>
      <c r="AQ65" s="38" t="s">
        <v>171</v>
      </c>
      <c r="AR65" s="38" t="s">
        <v>170</v>
      </c>
      <c r="AS65" s="38" t="s">
        <v>170</v>
      </c>
      <c r="AT65" s="38" t="s">
        <v>171</v>
      </c>
      <c r="AU65" s="38" t="s">
        <v>170</v>
      </c>
      <c r="AV65" s="38" t="s">
        <v>169</v>
      </c>
      <c r="AW65" s="38" t="s">
        <v>171</v>
      </c>
      <c r="AX65" s="38" t="s">
        <v>169</v>
      </c>
      <c r="AY65" s="38" t="s">
        <v>171</v>
      </c>
      <c r="AZ65" s="38" t="s">
        <v>170</v>
      </c>
      <c r="BA65" s="38" t="s">
        <v>169</v>
      </c>
      <c r="BB65" s="38" t="s">
        <v>169</v>
      </c>
      <c r="BC65" s="38" t="s">
        <v>171</v>
      </c>
      <c r="BD65" s="38" t="s">
        <v>169</v>
      </c>
      <c r="BE65" s="38" t="s">
        <v>169</v>
      </c>
      <c r="BF65" s="38" t="s">
        <v>171</v>
      </c>
      <c r="BG65" s="38" t="s">
        <v>171</v>
      </c>
      <c r="BH65" s="38" t="s">
        <v>170</v>
      </c>
      <c r="BI65" s="38" t="s">
        <v>169</v>
      </c>
      <c r="BJ65" s="38" t="s">
        <v>172</v>
      </c>
      <c r="BK65" s="38" t="s">
        <v>171</v>
      </c>
      <c r="BL65" s="38" t="s">
        <v>171</v>
      </c>
      <c r="BM65" s="38" t="s">
        <v>170</v>
      </c>
      <c r="BN65" s="38" t="s">
        <v>170</v>
      </c>
      <c r="BO65" s="38" t="s">
        <v>169</v>
      </c>
      <c r="BP65" s="38" t="s">
        <v>170</v>
      </c>
      <c r="BQ65" s="38" t="s">
        <v>170</v>
      </c>
      <c r="BR65" s="38" t="s">
        <v>171</v>
      </c>
      <c r="BS65" s="38" t="s">
        <v>170</v>
      </c>
      <c r="BT65" s="38" t="s">
        <v>170</v>
      </c>
      <c r="BU65" s="38" t="s">
        <v>169</v>
      </c>
      <c r="BV65" s="38" t="s">
        <v>169</v>
      </c>
      <c r="BW65" s="38" t="s">
        <v>169</v>
      </c>
      <c r="BX65" s="38" t="s">
        <v>170</v>
      </c>
    </row>
    <row r="66" customFormat="false" ht="15" hidden="false" customHeight="true" outlineLevel="0" collapsed="false">
      <c r="A66" s="38" t="s">
        <v>281</v>
      </c>
      <c r="B66" s="38" t="s">
        <v>301</v>
      </c>
      <c r="C66" s="38" t="s">
        <v>219</v>
      </c>
      <c r="D66" s="38" t="s">
        <v>193</v>
      </c>
      <c r="E66" s="38" t="s">
        <v>170</v>
      </c>
      <c r="F66" s="38" t="s">
        <v>169</v>
      </c>
      <c r="G66" s="38" t="s">
        <v>169</v>
      </c>
      <c r="H66" s="38" t="s">
        <v>172</v>
      </c>
      <c r="I66" s="38" t="s">
        <v>170</v>
      </c>
      <c r="J66" s="38" t="s">
        <v>171</v>
      </c>
      <c r="K66" s="38" t="s">
        <v>169</v>
      </c>
      <c r="L66" s="38" t="s">
        <v>171</v>
      </c>
      <c r="M66" s="38" t="s">
        <v>172</v>
      </c>
      <c r="N66" s="38" t="s">
        <v>169</v>
      </c>
      <c r="O66" s="38" t="s">
        <v>170</v>
      </c>
      <c r="P66" s="38" t="s">
        <v>169</v>
      </c>
      <c r="Q66" s="38" t="s">
        <v>170</v>
      </c>
      <c r="R66" s="38" t="s">
        <v>172</v>
      </c>
      <c r="S66" s="38" t="s">
        <v>169</v>
      </c>
      <c r="T66" s="38" t="s">
        <v>170</v>
      </c>
      <c r="U66" s="38" t="s">
        <v>171</v>
      </c>
      <c r="V66" s="38" t="s">
        <v>169</v>
      </c>
      <c r="W66" s="38" t="s">
        <v>169</v>
      </c>
      <c r="X66" s="38" t="s">
        <v>171</v>
      </c>
      <c r="Y66" s="38" t="s">
        <v>172</v>
      </c>
      <c r="Z66" s="38" t="s">
        <v>169</v>
      </c>
      <c r="AA66" s="38" t="s">
        <v>170</v>
      </c>
      <c r="AB66" s="38" t="s">
        <v>169</v>
      </c>
      <c r="AC66" s="38" t="s">
        <v>170</v>
      </c>
      <c r="AD66" s="38" t="s">
        <v>172</v>
      </c>
      <c r="AE66" s="38" t="s">
        <v>170</v>
      </c>
      <c r="AF66" s="38" t="s">
        <v>170</v>
      </c>
      <c r="AG66" s="38" t="s">
        <v>169</v>
      </c>
      <c r="AH66" s="38" t="s">
        <v>171</v>
      </c>
      <c r="AI66" s="38" t="s">
        <v>170</v>
      </c>
      <c r="AJ66" s="38" t="s">
        <v>172</v>
      </c>
      <c r="AK66" s="38" t="s">
        <v>171</v>
      </c>
      <c r="AL66" s="38" t="s">
        <v>169</v>
      </c>
      <c r="AM66" s="38" t="s">
        <v>169</v>
      </c>
      <c r="AN66" s="38" t="s">
        <v>169</v>
      </c>
      <c r="AO66" s="38" t="s">
        <v>169</v>
      </c>
      <c r="AP66" s="38" t="s">
        <v>171</v>
      </c>
      <c r="AQ66" s="38" t="s">
        <v>169</v>
      </c>
      <c r="AR66" s="38" t="s">
        <v>171</v>
      </c>
      <c r="AS66" s="38" t="s">
        <v>170</v>
      </c>
      <c r="AT66" s="38" t="s">
        <v>169</v>
      </c>
      <c r="AU66" s="38" t="s">
        <v>169</v>
      </c>
      <c r="AV66" s="38" t="s">
        <v>169</v>
      </c>
      <c r="AW66" s="38" t="s">
        <v>169</v>
      </c>
      <c r="AX66" s="38" t="s">
        <v>169</v>
      </c>
      <c r="AY66" s="38" t="s">
        <v>171</v>
      </c>
      <c r="AZ66" s="38" t="s">
        <v>170</v>
      </c>
      <c r="BA66" s="38" t="s">
        <v>169</v>
      </c>
      <c r="BB66" s="38" t="s">
        <v>169</v>
      </c>
      <c r="BC66" s="38" t="s">
        <v>172</v>
      </c>
      <c r="BD66" s="38" t="s">
        <v>169</v>
      </c>
      <c r="BE66" s="38" t="s">
        <v>169</v>
      </c>
      <c r="BF66" s="38" t="s">
        <v>171</v>
      </c>
      <c r="BG66" s="38" t="s">
        <v>171</v>
      </c>
      <c r="BH66" s="38" t="s">
        <v>170</v>
      </c>
      <c r="BI66" s="38" t="s">
        <v>172</v>
      </c>
      <c r="BJ66" s="38" t="s">
        <v>172</v>
      </c>
      <c r="BK66" s="38" t="s">
        <v>172</v>
      </c>
      <c r="BL66" s="38" t="s">
        <v>171</v>
      </c>
      <c r="BM66" s="38" t="s">
        <v>170</v>
      </c>
      <c r="BN66" s="38" t="s">
        <v>170</v>
      </c>
      <c r="BO66" s="38" t="s">
        <v>171</v>
      </c>
      <c r="BP66" s="38" t="s">
        <v>170</v>
      </c>
      <c r="BQ66" s="38" t="s">
        <v>171</v>
      </c>
      <c r="BR66" s="38" t="s">
        <v>170</v>
      </c>
      <c r="BS66" s="38" t="s">
        <v>172</v>
      </c>
      <c r="BT66" s="38" t="s">
        <v>169</v>
      </c>
      <c r="BU66" s="38" t="s">
        <v>171</v>
      </c>
      <c r="BV66" s="38" t="s">
        <v>170</v>
      </c>
      <c r="BW66" s="38" t="s">
        <v>170</v>
      </c>
      <c r="BX66" s="38" t="s">
        <v>169</v>
      </c>
    </row>
    <row r="67" customFormat="false" ht="15" hidden="false" customHeight="true" outlineLevel="0" collapsed="false">
      <c r="A67" s="38" t="s">
        <v>281</v>
      </c>
      <c r="B67" s="38" t="s">
        <v>302</v>
      </c>
      <c r="C67" s="38" t="s">
        <v>219</v>
      </c>
      <c r="D67" s="38" t="s">
        <v>243</v>
      </c>
      <c r="E67" s="38" t="s">
        <v>170</v>
      </c>
      <c r="F67" s="38" t="s">
        <v>169</v>
      </c>
      <c r="G67" s="38" t="s">
        <v>169</v>
      </c>
      <c r="H67" s="38" t="s">
        <v>171</v>
      </c>
      <c r="I67" s="38" t="s">
        <v>169</v>
      </c>
      <c r="J67" s="38" t="s">
        <v>172</v>
      </c>
      <c r="K67" s="38" t="s">
        <v>172</v>
      </c>
      <c r="L67" s="38" t="s">
        <v>171</v>
      </c>
      <c r="M67" s="38" t="s">
        <v>172</v>
      </c>
      <c r="N67" s="38" t="s">
        <v>169</v>
      </c>
      <c r="O67" s="38" t="s">
        <v>170</v>
      </c>
      <c r="P67" s="38" t="s">
        <v>169</v>
      </c>
      <c r="Q67" s="38" t="s">
        <v>170</v>
      </c>
      <c r="R67" s="38" t="s">
        <v>172</v>
      </c>
      <c r="S67" s="38" t="s">
        <v>169</v>
      </c>
      <c r="T67" s="38" t="s">
        <v>171</v>
      </c>
      <c r="U67" s="38" t="s">
        <v>171</v>
      </c>
      <c r="V67" s="38" t="s">
        <v>169</v>
      </c>
      <c r="W67" s="38" t="s">
        <v>169</v>
      </c>
      <c r="X67" s="38" t="s">
        <v>171</v>
      </c>
      <c r="Y67" s="38" t="s">
        <v>172</v>
      </c>
      <c r="Z67" s="38" t="s">
        <v>169</v>
      </c>
      <c r="AA67" s="38" t="s">
        <v>170</v>
      </c>
      <c r="AB67" s="38" t="s">
        <v>169</v>
      </c>
      <c r="AC67" s="38" t="s">
        <v>170</v>
      </c>
      <c r="AD67" s="38" t="s">
        <v>172</v>
      </c>
      <c r="AE67" s="38" t="s">
        <v>171</v>
      </c>
      <c r="AF67" s="38" t="s">
        <v>170</v>
      </c>
      <c r="AG67" s="38" t="s">
        <v>171</v>
      </c>
      <c r="AH67" s="38" t="s">
        <v>169</v>
      </c>
      <c r="AI67" s="38" t="s">
        <v>169</v>
      </c>
      <c r="AJ67" s="38" t="s">
        <v>171</v>
      </c>
      <c r="AK67" s="38" t="s">
        <v>171</v>
      </c>
      <c r="AL67" s="38" t="s">
        <v>171</v>
      </c>
      <c r="AM67" s="38" t="s">
        <v>169</v>
      </c>
      <c r="AN67" s="38" t="s">
        <v>169</v>
      </c>
      <c r="AO67" s="38" t="s">
        <v>169</v>
      </c>
      <c r="AP67" s="38" t="s">
        <v>172</v>
      </c>
      <c r="AQ67" s="38" t="s">
        <v>170</v>
      </c>
      <c r="AR67" s="38" t="s">
        <v>170</v>
      </c>
      <c r="AS67" s="38" t="s">
        <v>172</v>
      </c>
      <c r="AT67" s="38" t="s">
        <v>169</v>
      </c>
      <c r="AU67" s="38" t="s">
        <v>172</v>
      </c>
      <c r="AV67" s="38" t="s">
        <v>169</v>
      </c>
      <c r="AW67" s="38" t="s">
        <v>169</v>
      </c>
      <c r="AX67" s="38" t="s">
        <v>169</v>
      </c>
      <c r="AY67" s="38" t="s">
        <v>171</v>
      </c>
      <c r="AZ67" s="38" t="s">
        <v>170</v>
      </c>
      <c r="BA67" s="38" t="s">
        <v>169</v>
      </c>
      <c r="BB67" s="38" t="s">
        <v>169</v>
      </c>
      <c r="BC67" s="38" t="s">
        <v>169</v>
      </c>
      <c r="BD67" s="38" t="s">
        <v>169</v>
      </c>
      <c r="BE67" s="38" t="s">
        <v>169</v>
      </c>
      <c r="BF67" s="38" t="s">
        <v>171</v>
      </c>
      <c r="BG67" s="38" t="s">
        <v>171</v>
      </c>
      <c r="BH67" s="38" t="s">
        <v>170</v>
      </c>
      <c r="BI67" s="38" t="s">
        <v>169</v>
      </c>
      <c r="BJ67" s="38" t="s">
        <v>172</v>
      </c>
      <c r="BK67" s="38" t="s">
        <v>172</v>
      </c>
      <c r="BL67" s="38" t="s">
        <v>171</v>
      </c>
      <c r="BM67" s="38" t="s">
        <v>170</v>
      </c>
      <c r="BN67" s="38" t="s">
        <v>170</v>
      </c>
      <c r="BO67" s="38" t="s">
        <v>170</v>
      </c>
      <c r="BP67" s="38" t="s">
        <v>171</v>
      </c>
      <c r="BQ67" s="38" t="s">
        <v>170</v>
      </c>
      <c r="BR67" s="38" t="s">
        <v>171</v>
      </c>
      <c r="BS67" s="38" t="s">
        <v>171</v>
      </c>
      <c r="BT67" s="38" t="s">
        <v>170</v>
      </c>
      <c r="BU67" s="38" t="s">
        <v>172</v>
      </c>
      <c r="BV67" s="38" t="s">
        <v>170</v>
      </c>
      <c r="BW67" s="38" t="s">
        <v>170</v>
      </c>
      <c r="BX67" s="38" t="s">
        <v>169</v>
      </c>
    </row>
    <row r="68" customFormat="false" ht="15" hidden="false" customHeight="true" outlineLevel="0" collapsed="false">
      <c r="A68" s="38" t="s">
        <v>281</v>
      </c>
      <c r="B68" s="38" t="s">
        <v>303</v>
      </c>
      <c r="C68" s="38" t="s">
        <v>221</v>
      </c>
      <c r="D68" s="38" t="s">
        <v>304</v>
      </c>
      <c r="E68" s="38" t="s">
        <v>169</v>
      </c>
      <c r="F68" s="38" t="s">
        <v>169</v>
      </c>
      <c r="G68" s="38" t="s">
        <v>172</v>
      </c>
      <c r="H68" s="38" t="s">
        <v>169</v>
      </c>
      <c r="I68" s="38" t="s">
        <v>172</v>
      </c>
      <c r="J68" s="38" t="s">
        <v>169</v>
      </c>
      <c r="K68" s="38" t="s">
        <v>172</v>
      </c>
      <c r="L68" s="38" t="s">
        <v>171</v>
      </c>
      <c r="M68" s="38" t="s">
        <v>169</v>
      </c>
      <c r="N68" s="38" t="s">
        <v>169</v>
      </c>
      <c r="O68" s="38" t="s">
        <v>170</v>
      </c>
      <c r="P68" s="38" t="s">
        <v>171</v>
      </c>
      <c r="Q68" s="38" t="s">
        <v>169</v>
      </c>
      <c r="R68" s="38" t="s">
        <v>172</v>
      </c>
      <c r="S68" s="38" t="s">
        <v>169</v>
      </c>
      <c r="T68" s="40" t="s">
        <v>176</v>
      </c>
      <c r="U68" s="38" t="s">
        <v>171</v>
      </c>
      <c r="V68" s="38" t="s">
        <v>169</v>
      </c>
      <c r="W68" s="38" t="s">
        <v>169</v>
      </c>
      <c r="X68" s="38" t="s">
        <v>171</v>
      </c>
      <c r="Y68" s="38" t="s">
        <v>172</v>
      </c>
      <c r="Z68" s="38" t="s">
        <v>172</v>
      </c>
      <c r="AA68" s="38" t="s">
        <v>172</v>
      </c>
      <c r="AB68" s="38" t="s">
        <v>169</v>
      </c>
      <c r="AC68" s="38" t="s">
        <v>170</v>
      </c>
      <c r="AD68" s="38" t="s">
        <v>172</v>
      </c>
      <c r="AE68" s="38" t="s">
        <v>170</v>
      </c>
      <c r="AF68" s="38" t="s">
        <v>170</v>
      </c>
      <c r="AG68" s="38" t="s">
        <v>169</v>
      </c>
      <c r="AH68" s="38" t="s">
        <v>169</v>
      </c>
      <c r="AI68" s="38" t="s">
        <v>171</v>
      </c>
      <c r="AJ68" s="38" t="s">
        <v>170</v>
      </c>
      <c r="AK68" s="38" t="s">
        <v>171</v>
      </c>
      <c r="AL68" s="38" t="s">
        <v>171</v>
      </c>
      <c r="AM68" s="38" t="s">
        <v>169</v>
      </c>
      <c r="AN68" s="38" t="s">
        <v>172</v>
      </c>
      <c r="AO68" s="38" t="s">
        <v>172</v>
      </c>
      <c r="AP68" s="38" t="s">
        <v>172</v>
      </c>
      <c r="AQ68" s="38" t="s">
        <v>172</v>
      </c>
      <c r="AR68" s="38" t="s">
        <v>170</v>
      </c>
      <c r="AS68" s="38" t="s">
        <v>170</v>
      </c>
      <c r="AT68" s="38" t="s">
        <v>169</v>
      </c>
      <c r="AU68" s="38" t="s">
        <v>169</v>
      </c>
      <c r="AV68" s="38" t="s">
        <v>170</v>
      </c>
      <c r="AW68" s="38" t="s">
        <v>169</v>
      </c>
      <c r="AX68" s="38" t="s">
        <v>172</v>
      </c>
      <c r="AY68" s="38" t="s">
        <v>170</v>
      </c>
      <c r="AZ68" s="38" t="s">
        <v>170</v>
      </c>
      <c r="BA68" s="38" t="s">
        <v>171</v>
      </c>
      <c r="BB68" s="38" t="s">
        <v>172</v>
      </c>
      <c r="BC68" s="38" t="s">
        <v>169</v>
      </c>
      <c r="BD68" s="38" t="s">
        <v>169</v>
      </c>
      <c r="BE68" s="38" t="s">
        <v>169</v>
      </c>
      <c r="BF68" s="38" t="s">
        <v>171</v>
      </c>
      <c r="BG68" s="38" t="s">
        <v>171</v>
      </c>
      <c r="BH68" s="38" t="s">
        <v>170</v>
      </c>
      <c r="BI68" s="38" t="s">
        <v>172</v>
      </c>
      <c r="BJ68" s="38" t="s">
        <v>172</v>
      </c>
      <c r="BK68" s="38" t="s">
        <v>172</v>
      </c>
      <c r="BL68" s="38" t="s">
        <v>171</v>
      </c>
      <c r="BM68" s="38" t="s">
        <v>170</v>
      </c>
      <c r="BN68" s="38" t="s">
        <v>170</v>
      </c>
      <c r="BO68" s="38" t="s">
        <v>170</v>
      </c>
      <c r="BP68" s="38" t="s">
        <v>171</v>
      </c>
      <c r="BQ68" s="38" t="s">
        <v>172</v>
      </c>
      <c r="BR68" s="38" t="s">
        <v>171</v>
      </c>
      <c r="BS68" s="38" t="s">
        <v>170</v>
      </c>
      <c r="BT68" s="38" t="s">
        <v>171</v>
      </c>
      <c r="BU68" s="38" t="s">
        <v>170</v>
      </c>
      <c r="BV68" s="38" t="s">
        <v>171</v>
      </c>
      <c r="BW68" s="38" t="s">
        <v>170</v>
      </c>
      <c r="BX68" s="38" t="s">
        <v>170</v>
      </c>
    </row>
    <row r="69" customFormat="false" ht="15" hidden="false" customHeight="true" outlineLevel="0" collapsed="false">
      <c r="A69" s="38" t="s">
        <v>281</v>
      </c>
      <c r="B69" s="38" t="s">
        <v>305</v>
      </c>
      <c r="C69" s="38" t="s">
        <v>224</v>
      </c>
      <c r="D69" s="38" t="s">
        <v>225</v>
      </c>
      <c r="E69" s="38" t="s">
        <v>169</v>
      </c>
      <c r="F69" s="38" t="s">
        <v>170</v>
      </c>
      <c r="G69" s="38" t="s">
        <v>171</v>
      </c>
      <c r="H69" s="38" t="s">
        <v>169</v>
      </c>
      <c r="I69" s="38" t="s">
        <v>172</v>
      </c>
      <c r="J69" s="38" t="s">
        <v>171</v>
      </c>
      <c r="K69" s="38" t="s">
        <v>172</v>
      </c>
      <c r="L69" s="38" t="s">
        <v>171</v>
      </c>
      <c r="M69" s="38" t="s">
        <v>172</v>
      </c>
      <c r="N69" s="38" t="s">
        <v>169</v>
      </c>
      <c r="O69" s="38" t="s">
        <v>170</v>
      </c>
      <c r="P69" s="38" t="s">
        <v>171</v>
      </c>
      <c r="Q69" s="38" t="s">
        <v>170</v>
      </c>
      <c r="R69" s="38" t="s">
        <v>172</v>
      </c>
      <c r="S69" s="38" t="s">
        <v>169</v>
      </c>
      <c r="T69" s="38" t="s">
        <v>172</v>
      </c>
      <c r="U69" s="38" t="s">
        <v>171</v>
      </c>
      <c r="V69" s="38" t="s">
        <v>169</v>
      </c>
      <c r="W69" s="38" t="s">
        <v>169</v>
      </c>
      <c r="X69" s="38" t="s">
        <v>171</v>
      </c>
      <c r="Y69" s="38" t="s">
        <v>172</v>
      </c>
      <c r="Z69" s="38" t="s">
        <v>169</v>
      </c>
      <c r="AA69" s="38" t="s">
        <v>172</v>
      </c>
      <c r="AB69" s="38" t="s">
        <v>169</v>
      </c>
      <c r="AC69" s="38" t="s">
        <v>170</v>
      </c>
      <c r="AD69" s="38" t="s">
        <v>169</v>
      </c>
      <c r="AE69" s="38" t="s">
        <v>170</v>
      </c>
      <c r="AF69" s="38" t="s">
        <v>172</v>
      </c>
      <c r="AG69" s="38" t="s">
        <v>171</v>
      </c>
      <c r="AH69" s="38" t="s">
        <v>170</v>
      </c>
      <c r="AI69" s="38" t="s">
        <v>170</v>
      </c>
      <c r="AJ69" s="38" t="s">
        <v>171</v>
      </c>
      <c r="AK69" s="38" t="s">
        <v>171</v>
      </c>
      <c r="AL69" s="38" t="s">
        <v>169</v>
      </c>
      <c r="AM69" s="38" t="s">
        <v>169</v>
      </c>
      <c r="AN69" s="38" t="s">
        <v>171</v>
      </c>
      <c r="AO69" s="38" t="s">
        <v>172</v>
      </c>
      <c r="AP69" s="38" t="s">
        <v>172</v>
      </c>
      <c r="AQ69" s="38" t="s">
        <v>169</v>
      </c>
      <c r="AR69" s="38" t="s">
        <v>169</v>
      </c>
      <c r="AS69" s="38" t="s">
        <v>172</v>
      </c>
      <c r="AT69" s="38" t="s">
        <v>171</v>
      </c>
      <c r="AU69" s="38" t="s">
        <v>169</v>
      </c>
      <c r="AV69" s="38" t="s">
        <v>172</v>
      </c>
      <c r="AW69" s="38" t="s">
        <v>169</v>
      </c>
      <c r="AX69" s="38" t="s">
        <v>169</v>
      </c>
      <c r="AY69" s="38" t="s">
        <v>171</v>
      </c>
      <c r="AZ69" s="38" t="s">
        <v>170</v>
      </c>
      <c r="BA69" s="38" t="s">
        <v>169</v>
      </c>
      <c r="BB69" s="38" t="s">
        <v>169</v>
      </c>
      <c r="BC69" s="38" t="s">
        <v>170</v>
      </c>
      <c r="BD69" s="38" t="s">
        <v>172</v>
      </c>
      <c r="BE69" s="38" t="s">
        <v>169</v>
      </c>
      <c r="BF69" s="38" t="s">
        <v>171</v>
      </c>
      <c r="BG69" s="38" t="s">
        <v>171</v>
      </c>
      <c r="BH69" s="38" t="s">
        <v>170</v>
      </c>
      <c r="BI69" s="38" t="s">
        <v>169</v>
      </c>
      <c r="BJ69" s="38" t="s">
        <v>172</v>
      </c>
      <c r="BK69" s="38" t="s">
        <v>171</v>
      </c>
      <c r="BL69" s="38" t="s">
        <v>171</v>
      </c>
      <c r="BM69" s="38" t="s">
        <v>170</v>
      </c>
      <c r="BN69" s="38" t="s">
        <v>171</v>
      </c>
      <c r="BO69" s="38" t="s">
        <v>169</v>
      </c>
      <c r="BP69" s="38" t="s">
        <v>170</v>
      </c>
      <c r="BQ69" s="38" t="s">
        <v>170</v>
      </c>
      <c r="BR69" s="38" t="s">
        <v>171</v>
      </c>
      <c r="BS69" s="38" t="s">
        <v>172</v>
      </c>
      <c r="BT69" s="38" t="s">
        <v>171</v>
      </c>
      <c r="BU69" s="38" t="s">
        <v>170</v>
      </c>
      <c r="BV69" s="38" t="s">
        <v>172</v>
      </c>
      <c r="BW69" s="38" t="s">
        <v>169</v>
      </c>
      <c r="BX69" s="38" t="s">
        <v>170</v>
      </c>
    </row>
    <row r="70" customFormat="false" ht="15" hidden="false" customHeight="true" outlineLevel="0" collapsed="false">
      <c r="A70" s="38" t="s">
        <v>281</v>
      </c>
      <c r="B70" s="38" t="s">
        <v>306</v>
      </c>
      <c r="C70" s="38" t="s">
        <v>224</v>
      </c>
      <c r="D70" s="38" t="s">
        <v>307</v>
      </c>
      <c r="E70" s="38" t="s">
        <v>169</v>
      </c>
      <c r="F70" s="38" t="s">
        <v>170</v>
      </c>
      <c r="G70" s="38" t="s">
        <v>170</v>
      </c>
      <c r="H70" s="38" t="s">
        <v>169</v>
      </c>
      <c r="I70" s="38" t="s">
        <v>172</v>
      </c>
      <c r="J70" s="38" t="s">
        <v>170</v>
      </c>
      <c r="K70" s="38" t="s">
        <v>171</v>
      </c>
      <c r="L70" s="38" t="s">
        <v>171</v>
      </c>
      <c r="M70" s="38" t="s">
        <v>172</v>
      </c>
      <c r="N70" s="38" t="s">
        <v>169</v>
      </c>
      <c r="O70" s="38" t="s">
        <v>170</v>
      </c>
      <c r="P70" s="38" t="s">
        <v>171</v>
      </c>
      <c r="Q70" s="38" t="s">
        <v>170</v>
      </c>
      <c r="R70" s="38" t="s">
        <v>172</v>
      </c>
      <c r="S70" s="38" t="s">
        <v>169</v>
      </c>
      <c r="T70" s="38" t="s">
        <v>171</v>
      </c>
      <c r="U70" s="38" t="s">
        <v>172</v>
      </c>
      <c r="V70" s="38" t="s">
        <v>169</v>
      </c>
      <c r="W70" s="38" t="s">
        <v>169</v>
      </c>
      <c r="X70" s="38" t="s">
        <v>171</v>
      </c>
      <c r="Y70" s="38" t="s">
        <v>172</v>
      </c>
      <c r="Z70" s="38" t="s">
        <v>169</v>
      </c>
      <c r="AA70" s="38" t="s">
        <v>172</v>
      </c>
      <c r="AB70" s="38" t="s">
        <v>169</v>
      </c>
      <c r="AC70" s="38" t="s">
        <v>170</v>
      </c>
      <c r="AD70" s="38" t="s">
        <v>172</v>
      </c>
      <c r="AE70" s="38" t="s">
        <v>172</v>
      </c>
      <c r="AF70" s="38" t="s">
        <v>170</v>
      </c>
      <c r="AG70" s="38" t="s">
        <v>171</v>
      </c>
      <c r="AH70" s="38" t="s">
        <v>169</v>
      </c>
      <c r="AI70" s="38" t="s">
        <v>172</v>
      </c>
      <c r="AJ70" s="38" t="s">
        <v>170</v>
      </c>
      <c r="AK70" s="38" t="s">
        <v>171</v>
      </c>
      <c r="AL70" s="38" t="s">
        <v>171</v>
      </c>
      <c r="AM70" s="38" t="s">
        <v>169</v>
      </c>
      <c r="AN70" s="38" t="s">
        <v>171</v>
      </c>
      <c r="AO70" s="38" t="s">
        <v>172</v>
      </c>
      <c r="AP70" s="38" t="s">
        <v>172</v>
      </c>
      <c r="AQ70" s="38" t="s">
        <v>171</v>
      </c>
      <c r="AR70" s="38" t="s">
        <v>170</v>
      </c>
      <c r="AS70" s="38" t="s">
        <v>172</v>
      </c>
      <c r="AT70" s="38" t="s">
        <v>169</v>
      </c>
      <c r="AU70" s="38" t="s">
        <v>171</v>
      </c>
      <c r="AV70" s="38" t="s">
        <v>172</v>
      </c>
      <c r="AW70" s="38" t="s">
        <v>169</v>
      </c>
      <c r="AX70" s="38" t="s">
        <v>169</v>
      </c>
      <c r="AY70" s="38" t="s">
        <v>171</v>
      </c>
      <c r="AZ70" s="38" t="s">
        <v>170</v>
      </c>
      <c r="BA70" s="38" t="s">
        <v>172</v>
      </c>
      <c r="BB70" s="38" t="s">
        <v>170</v>
      </c>
      <c r="BC70" s="38" t="s">
        <v>170</v>
      </c>
      <c r="BD70" s="38" t="s">
        <v>172</v>
      </c>
      <c r="BE70" s="38" t="s">
        <v>169</v>
      </c>
      <c r="BF70" s="38" t="s">
        <v>171</v>
      </c>
      <c r="BG70" s="38" t="s">
        <v>171</v>
      </c>
      <c r="BH70" s="38" t="s">
        <v>170</v>
      </c>
      <c r="BI70" s="38" t="s">
        <v>169</v>
      </c>
      <c r="BJ70" s="38" t="s">
        <v>172</v>
      </c>
      <c r="BK70" s="38" t="s">
        <v>171</v>
      </c>
      <c r="BL70" s="38" t="s">
        <v>171</v>
      </c>
      <c r="BM70" s="38" t="s">
        <v>170</v>
      </c>
      <c r="BN70" s="38" t="s">
        <v>170</v>
      </c>
      <c r="BO70" s="38" t="s">
        <v>169</v>
      </c>
      <c r="BP70" s="38" t="s">
        <v>169</v>
      </c>
      <c r="BQ70" s="38" t="s">
        <v>171</v>
      </c>
      <c r="BR70" s="38" t="s">
        <v>172</v>
      </c>
      <c r="BS70" s="38" t="s">
        <v>169</v>
      </c>
      <c r="BT70" s="38" t="s">
        <v>171</v>
      </c>
      <c r="BU70" s="38" t="s">
        <v>170</v>
      </c>
      <c r="BV70" s="38" t="s">
        <v>169</v>
      </c>
      <c r="BW70" s="38" t="s">
        <v>169</v>
      </c>
      <c r="BX70" s="38" t="s">
        <v>170</v>
      </c>
    </row>
    <row r="71" customFormat="false" ht="15" hidden="false" customHeight="true" outlineLevel="0" collapsed="false">
      <c r="A71" s="38" t="s">
        <v>281</v>
      </c>
      <c r="B71" s="38" t="s">
        <v>308</v>
      </c>
      <c r="C71" s="38" t="s">
        <v>224</v>
      </c>
      <c r="D71" s="38" t="s">
        <v>307</v>
      </c>
      <c r="E71" s="38" t="s">
        <v>169</v>
      </c>
      <c r="F71" s="38" t="s">
        <v>170</v>
      </c>
      <c r="G71" s="38" t="s">
        <v>170</v>
      </c>
      <c r="H71" s="38" t="s">
        <v>169</v>
      </c>
      <c r="I71" s="38" t="s">
        <v>169</v>
      </c>
      <c r="J71" s="38" t="s">
        <v>170</v>
      </c>
      <c r="K71" s="38" t="s">
        <v>171</v>
      </c>
      <c r="L71" s="38" t="s">
        <v>171</v>
      </c>
      <c r="M71" s="38" t="s">
        <v>172</v>
      </c>
      <c r="N71" s="38" t="s">
        <v>169</v>
      </c>
      <c r="O71" s="38" t="s">
        <v>170</v>
      </c>
      <c r="P71" s="38" t="s">
        <v>171</v>
      </c>
      <c r="Q71" s="38" t="s">
        <v>170</v>
      </c>
      <c r="R71" s="38" t="s">
        <v>172</v>
      </c>
      <c r="S71" s="38" t="s">
        <v>169</v>
      </c>
      <c r="T71" s="38" t="s">
        <v>171</v>
      </c>
      <c r="U71" s="38" t="s">
        <v>172</v>
      </c>
      <c r="V71" s="38" t="s">
        <v>169</v>
      </c>
      <c r="W71" s="38" t="s">
        <v>169</v>
      </c>
      <c r="X71" s="38" t="s">
        <v>171</v>
      </c>
      <c r="Y71" s="38" t="s">
        <v>172</v>
      </c>
      <c r="Z71" s="38" t="s">
        <v>169</v>
      </c>
      <c r="AA71" s="38" t="s">
        <v>172</v>
      </c>
      <c r="AB71" s="38" t="s">
        <v>169</v>
      </c>
      <c r="AC71" s="38" t="s">
        <v>170</v>
      </c>
      <c r="AD71" s="38" t="s">
        <v>172</v>
      </c>
      <c r="AE71" s="38" t="s">
        <v>172</v>
      </c>
      <c r="AF71" s="38" t="s">
        <v>170</v>
      </c>
      <c r="AG71" s="38" t="s">
        <v>171</v>
      </c>
      <c r="AH71" s="38" t="s">
        <v>169</v>
      </c>
      <c r="AI71" s="38" t="s">
        <v>172</v>
      </c>
      <c r="AJ71" s="38" t="s">
        <v>170</v>
      </c>
      <c r="AK71" s="38" t="s">
        <v>171</v>
      </c>
      <c r="AL71" s="38" t="s">
        <v>171</v>
      </c>
      <c r="AM71" s="38" t="s">
        <v>169</v>
      </c>
      <c r="AN71" s="38" t="s">
        <v>171</v>
      </c>
      <c r="AO71" s="38" t="s">
        <v>172</v>
      </c>
      <c r="AP71" s="38" t="s">
        <v>172</v>
      </c>
      <c r="AQ71" s="38" t="s">
        <v>171</v>
      </c>
      <c r="AR71" s="38" t="s">
        <v>170</v>
      </c>
      <c r="AS71" s="38" t="s">
        <v>172</v>
      </c>
      <c r="AT71" s="38" t="s">
        <v>169</v>
      </c>
      <c r="AU71" s="38" t="s">
        <v>171</v>
      </c>
      <c r="AV71" s="38" t="s">
        <v>172</v>
      </c>
      <c r="AW71" s="38" t="s">
        <v>169</v>
      </c>
      <c r="AX71" s="38" t="s">
        <v>169</v>
      </c>
      <c r="AY71" s="38" t="s">
        <v>171</v>
      </c>
      <c r="AZ71" s="38" t="s">
        <v>170</v>
      </c>
      <c r="BA71" s="38" t="s">
        <v>169</v>
      </c>
      <c r="BB71" s="38" t="s">
        <v>170</v>
      </c>
      <c r="BC71" s="38" t="s">
        <v>170</v>
      </c>
      <c r="BD71" s="38" t="s">
        <v>172</v>
      </c>
      <c r="BE71" s="38" t="s">
        <v>169</v>
      </c>
      <c r="BF71" s="38" t="s">
        <v>171</v>
      </c>
      <c r="BG71" s="38" t="s">
        <v>171</v>
      </c>
      <c r="BH71" s="38" t="s">
        <v>170</v>
      </c>
      <c r="BI71" s="38" t="s">
        <v>169</v>
      </c>
      <c r="BJ71" s="38" t="s">
        <v>172</v>
      </c>
      <c r="BK71" s="38" t="s">
        <v>171</v>
      </c>
      <c r="BL71" s="38" t="s">
        <v>171</v>
      </c>
      <c r="BM71" s="38" t="s">
        <v>170</v>
      </c>
      <c r="BN71" s="38" t="s">
        <v>170</v>
      </c>
      <c r="BO71" s="38" t="s">
        <v>169</v>
      </c>
      <c r="BP71" s="38" t="s">
        <v>169</v>
      </c>
      <c r="BQ71" s="38" t="s">
        <v>170</v>
      </c>
      <c r="BR71" s="38" t="s">
        <v>172</v>
      </c>
      <c r="BS71" s="38" t="s">
        <v>169</v>
      </c>
      <c r="BT71" s="38" t="s">
        <v>170</v>
      </c>
      <c r="BU71" s="38" t="s">
        <v>170</v>
      </c>
      <c r="BV71" s="38" t="s">
        <v>169</v>
      </c>
      <c r="BW71" s="38" t="s">
        <v>169</v>
      </c>
      <c r="BX71" s="38" t="s">
        <v>170</v>
      </c>
    </row>
    <row r="72" customFormat="false" ht="15" hidden="false" customHeight="true" outlineLevel="0" collapsed="false">
      <c r="A72" s="38" t="s">
        <v>281</v>
      </c>
      <c r="B72" s="38" t="s">
        <v>309</v>
      </c>
      <c r="C72" s="38" t="s">
        <v>310</v>
      </c>
      <c r="D72" s="38" t="s">
        <v>311</v>
      </c>
      <c r="E72" s="38" t="s">
        <v>172</v>
      </c>
      <c r="F72" s="38" t="s">
        <v>169</v>
      </c>
      <c r="G72" s="38" t="s">
        <v>169</v>
      </c>
      <c r="H72" s="38" t="s">
        <v>169</v>
      </c>
      <c r="I72" s="38" t="s">
        <v>169</v>
      </c>
      <c r="J72" s="38" t="s">
        <v>171</v>
      </c>
      <c r="K72" s="38" t="s">
        <v>169</v>
      </c>
      <c r="L72" s="38" t="s">
        <v>171</v>
      </c>
      <c r="M72" s="38" t="s">
        <v>172</v>
      </c>
      <c r="N72" s="38" t="s">
        <v>169</v>
      </c>
      <c r="O72" s="38" t="s">
        <v>170</v>
      </c>
      <c r="P72" s="38" t="s">
        <v>171</v>
      </c>
      <c r="Q72" s="38" t="s">
        <v>170</v>
      </c>
      <c r="R72" s="38" t="s">
        <v>170</v>
      </c>
      <c r="S72" s="38" t="s">
        <v>172</v>
      </c>
      <c r="T72" s="38" t="s">
        <v>172</v>
      </c>
      <c r="U72" s="38" t="s">
        <v>171</v>
      </c>
      <c r="V72" s="38" t="s">
        <v>169</v>
      </c>
      <c r="W72" s="38" t="s">
        <v>169</v>
      </c>
      <c r="X72" s="38" t="s">
        <v>170</v>
      </c>
      <c r="Y72" s="38" t="s">
        <v>172</v>
      </c>
      <c r="Z72" s="38" t="s">
        <v>169</v>
      </c>
      <c r="AA72" s="38" t="s">
        <v>172</v>
      </c>
      <c r="AB72" s="38" t="s">
        <v>169</v>
      </c>
      <c r="AC72" s="38" t="s">
        <v>170</v>
      </c>
      <c r="AD72" s="38" t="s">
        <v>172</v>
      </c>
      <c r="AE72" s="38" t="s">
        <v>169</v>
      </c>
      <c r="AF72" s="38" t="s">
        <v>170</v>
      </c>
      <c r="AG72" s="38" t="s">
        <v>169</v>
      </c>
      <c r="AH72" s="38" t="s">
        <v>169</v>
      </c>
      <c r="AI72" s="38" t="s">
        <v>172</v>
      </c>
      <c r="AJ72" s="38" t="s">
        <v>171</v>
      </c>
      <c r="AK72" s="38" t="s">
        <v>171</v>
      </c>
      <c r="AL72" s="38" t="s">
        <v>170</v>
      </c>
      <c r="AM72" s="38" t="s">
        <v>170</v>
      </c>
      <c r="AN72" s="38" t="s">
        <v>172</v>
      </c>
      <c r="AO72" s="38" t="s">
        <v>172</v>
      </c>
      <c r="AP72" s="38" t="s">
        <v>172</v>
      </c>
      <c r="AQ72" s="38" t="s">
        <v>171</v>
      </c>
      <c r="AR72" s="38" t="s">
        <v>170</v>
      </c>
      <c r="AS72" s="38" t="s">
        <v>170</v>
      </c>
      <c r="AT72" s="38" t="s">
        <v>169</v>
      </c>
      <c r="AU72" s="38" t="s">
        <v>170</v>
      </c>
      <c r="AV72" s="38" t="s">
        <v>169</v>
      </c>
      <c r="AW72" s="38" t="s">
        <v>171</v>
      </c>
      <c r="AX72" s="38" t="s">
        <v>169</v>
      </c>
      <c r="AY72" s="38" t="s">
        <v>171</v>
      </c>
      <c r="AZ72" s="38" t="s">
        <v>171</v>
      </c>
      <c r="BA72" s="38" t="s">
        <v>169</v>
      </c>
      <c r="BB72" s="38" t="s">
        <v>169</v>
      </c>
      <c r="BC72" s="38" t="s">
        <v>169</v>
      </c>
      <c r="BD72" s="38" t="s">
        <v>172</v>
      </c>
      <c r="BE72" s="38" t="s">
        <v>169</v>
      </c>
      <c r="BF72" s="38" t="s">
        <v>171</v>
      </c>
      <c r="BG72" s="38" t="s">
        <v>171</v>
      </c>
      <c r="BH72" s="38" t="s">
        <v>170</v>
      </c>
      <c r="BI72" s="38" t="s">
        <v>169</v>
      </c>
      <c r="BJ72" s="38" t="s">
        <v>172</v>
      </c>
      <c r="BK72" s="38" t="s">
        <v>172</v>
      </c>
      <c r="BL72" s="38" t="s">
        <v>171</v>
      </c>
      <c r="BM72" s="38" t="s">
        <v>170</v>
      </c>
      <c r="BN72" s="38" t="s">
        <v>171</v>
      </c>
      <c r="BO72" s="38" t="s">
        <v>170</v>
      </c>
      <c r="BP72" s="38" t="s">
        <v>171</v>
      </c>
      <c r="BQ72" s="38" t="s">
        <v>170</v>
      </c>
      <c r="BR72" s="38" t="s">
        <v>170</v>
      </c>
      <c r="BS72" s="38" t="s">
        <v>172</v>
      </c>
      <c r="BT72" s="38" t="s">
        <v>170</v>
      </c>
      <c r="BU72" s="38" t="s">
        <v>170</v>
      </c>
      <c r="BV72" s="38" t="s">
        <v>170</v>
      </c>
      <c r="BW72" s="38" t="s">
        <v>170</v>
      </c>
      <c r="BX72" s="38" t="s">
        <v>171</v>
      </c>
    </row>
    <row r="73" customFormat="false" ht="15" hidden="false" customHeight="true" outlineLevel="0" collapsed="false">
      <c r="A73" s="38" t="s">
        <v>281</v>
      </c>
      <c r="B73" s="38" t="s">
        <v>312</v>
      </c>
      <c r="C73" s="38" t="s">
        <v>228</v>
      </c>
      <c r="D73" s="38" t="s">
        <v>229</v>
      </c>
      <c r="E73" s="38" t="s">
        <v>169</v>
      </c>
      <c r="F73" s="38" t="s">
        <v>170</v>
      </c>
      <c r="G73" s="38" t="s">
        <v>169</v>
      </c>
      <c r="H73" s="38" t="s">
        <v>171</v>
      </c>
      <c r="I73" s="38" t="s">
        <v>170</v>
      </c>
      <c r="J73" s="38" t="s">
        <v>171</v>
      </c>
      <c r="K73" s="38" t="s">
        <v>172</v>
      </c>
      <c r="L73" s="38" t="s">
        <v>171</v>
      </c>
      <c r="M73" s="38" t="s">
        <v>172</v>
      </c>
      <c r="N73" s="38" t="s">
        <v>169</v>
      </c>
      <c r="O73" s="38" t="s">
        <v>170</v>
      </c>
      <c r="P73" s="38" t="s">
        <v>171</v>
      </c>
      <c r="Q73" s="38" t="s">
        <v>170</v>
      </c>
      <c r="R73" s="38" t="s">
        <v>172</v>
      </c>
      <c r="S73" s="38" t="s">
        <v>169</v>
      </c>
      <c r="T73" s="38" t="s">
        <v>171</v>
      </c>
      <c r="U73" s="38" t="s">
        <v>171</v>
      </c>
      <c r="V73" s="38" t="s">
        <v>169</v>
      </c>
      <c r="W73" s="38" t="s">
        <v>169</v>
      </c>
      <c r="X73" s="38" t="s">
        <v>171</v>
      </c>
      <c r="Y73" s="38" t="s">
        <v>172</v>
      </c>
      <c r="Z73" s="38" t="s">
        <v>169</v>
      </c>
      <c r="AA73" s="38" t="s">
        <v>172</v>
      </c>
      <c r="AB73" s="38" t="s">
        <v>169</v>
      </c>
      <c r="AC73" s="38" t="s">
        <v>170</v>
      </c>
      <c r="AD73" s="38" t="s">
        <v>172</v>
      </c>
      <c r="AE73" s="38" t="s">
        <v>170</v>
      </c>
      <c r="AF73" s="38" t="s">
        <v>170</v>
      </c>
      <c r="AG73" s="38" t="s">
        <v>172</v>
      </c>
      <c r="AH73" s="38" t="s">
        <v>170</v>
      </c>
      <c r="AI73" s="38" t="s">
        <v>170</v>
      </c>
      <c r="AJ73" s="38" t="s">
        <v>171</v>
      </c>
      <c r="AK73" s="38" t="s">
        <v>171</v>
      </c>
      <c r="AL73" s="38" t="s">
        <v>169</v>
      </c>
      <c r="AM73" s="38" t="s">
        <v>172</v>
      </c>
      <c r="AN73" s="38" t="s">
        <v>170</v>
      </c>
      <c r="AO73" s="38" t="s">
        <v>172</v>
      </c>
      <c r="AP73" s="38" t="s">
        <v>171</v>
      </c>
      <c r="AQ73" s="38" t="s">
        <v>169</v>
      </c>
      <c r="AR73" s="38" t="s">
        <v>169</v>
      </c>
      <c r="AS73" s="38" t="s">
        <v>171</v>
      </c>
      <c r="AT73" s="38" t="s">
        <v>169</v>
      </c>
      <c r="AU73" s="38" t="s">
        <v>169</v>
      </c>
      <c r="AV73" s="38" t="s">
        <v>169</v>
      </c>
      <c r="AW73" s="38" t="s">
        <v>169</v>
      </c>
      <c r="AX73" s="38" t="s">
        <v>169</v>
      </c>
      <c r="AY73" s="38" t="s">
        <v>171</v>
      </c>
      <c r="AZ73" s="38" t="s">
        <v>170</v>
      </c>
      <c r="BA73" s="38" t="s">
        <v>169</v>
      </c>
      <c r="BB73" s="38" t="s">
        <v>169</v>
      </c>
      <c r="BC73" s="38" t="s">
        <v>171</v>
      </c>
      <c r="BD73" s="38" t="s">
        <v>169</v>
      </c>
      <c r="BE73" s="38" t="s">
        <v>169</v>
      </c>
      <c r="BF73" s="38" t="s">
        <v>171</v>
      </c>
      <c r="BG73" s="38" t="s">
        <v>171</v>
      </c>
      <c r="BH73" s="38" t="s">
        <v>170</v>
      </c>
      <c r="BI73" s="38" t="s">
        <v>169</v>
      </c>
      <c r="BJ73" s="38" t="s">
        <v>172</v>
      </c>
      <c r="BK73" s="38" t="s">
        <v>169</v>
      </c>
      <c r="BL73" s="38" t="s">
        <v>171</v>
      </c>
      <c r="BM73" s="38" t="s">
        <v>170</v>
      </c>
      <c r="BN73" s="38" t="s">
        <v>170</v>
      </c>
      <c r="BO73" s="38" t="s">
        <v>172</v>
      </c>
      <c r="BP73" s="38" t="s">
        <v>170</v>
      </c>
      <c r="BQ73" s="38" t="s">
        <v>171</v>
      </c>
      <c r="BR73" s="38" t="s">
        <v>171</v>
      </c>
      <c r="BS73" s="38" t="s">
        <v>172</v>
      </c>
      <c r="BT73" s="38" t="s">
        <v>169</v>
      </c>
      <c r="BU73" s="38" t="s">
        <v>172</v>
      </c>
      <c r="BV73" s="38" t="s">
        <v>170</v>
      </c>
      <c r="BW73" s="38" t="s">
        <v>169</v>
      </c>
      <c r="BX73" s="38" t="s">
        <v>170</v>
      </c>
    </row>
    <row r="74" customFormat="false" ht="15" hidden="false" customHeight="true" outlineLevel="0" collapsed="false">
      <c r="A74" s="38" t="s">
        <v>281</v>
      </c>
      <c r="B74" s="38" t="s">
        <v>313</v>
      </c>
      <c r="C74" s="38" t="s">
        <v>228</v>
      </c>
      <c r="D74" s="38" t="s">
        <v>229</v>
      </c>
      <c r="E74" s="38" t="s">
        <v>169</v>
      </c>
      <c r="F74" s="38" t="s">
        <v>170</v>
      </c>
      <c r="G74" s="38" t="s">
        <v>169</v>
      </c>
      <c r="H74" s="38" t="s">
        <v>171</v>
      </c>
      <c r="I74" s="38" t="s">
        <v>170</v>
      </c>
      <c r="J74" s="38" t="s">
        <v>170</v>
      </c>
      <c r="K74" s="38" t="s">
        <v>169</v>
      </c>
      <c r="L74" s="38" t="s">
        <v>171</v>
      </c>
      <c r="M74" s="38" t="s">
        <v>172</v>
      </c>
      <c r="N74" s="38" t="s">
        <v>169</v>
      </c>
      <c r="O74" s="38" t="s">
        <v>170</v>
      </c>
      <c r="P74" s="38" t="s">
        <v>171</v>
      </c>
      <c r="Q74" s="38" t="s">
        <v>170</v>
      </c>
      <c r="R74" s="38" t="s">
        <v>172</v>
      </c>
      <c r="S74" s="38" t="s">
        <v>169</v>
      </c>
      <c r="T74" s="38" t="s">
        <v>171</v>
      </c>
      <c r="U74" s="38" t="s">
        <v>171</v>
      </c>
      <c r="V74" s="38" t="s">
        <v>169</v>
      </c>
      <c r="W74" s="38" t="s">
        <v>169</v>
      </c>
      <c r="X74" s="38" t="s">
        <v>171</v>
      </c>
      <c r="Y74" s="38" t="s">
        <v>172</v>
      </c>
      <c r="Z74" s="38" t="s">
        <v>169</v>
      </c>
      <c r="AA74" s="38" t="s">
        <v>172</v>
      </c>
      <c r="AB74" s="38" t="s">
        <v>169</v>
      </c>
      <c r="AC74" s="38" t="s">
        <v>170</v>
      </c>
      <c r="AD74" s="38" t="s">
        <v>172</v>
      </c>
      <c r="AE74" s="38" t="s">
        <v>170</v>
      </c>
      <c r="AF74" s="38" t="s">
        <v>170</v>
      </c>
      <c r="AG74" s="38" t="s">
        <v>172</v>
      </c>
      <c r="AH74" s="38" t="s">
        <v>170</v>
      </c>
      <c r="AI74" s="38" t="s">
        <v>170</v>
      </c>
      <c r="AJ74" s="38" t="s">
        <v>171</v>
      </c>
      <c r="AK74" s="38" t="s">
        <v>171</v>
      </c>
      <c r="AL74" s="38" t="s">
        <v>169</v>
      </c>
      <c r="AM74" s="38" t="s">
        <v>172</v>
      </c>
      <c r="AN74" s="38" t="s">
        <v>170</v>
      </c>
      <c r="AO74" s="38" t="s">
        <v>172</v>
      </c>
      <c r="AP74" s="38" t="s">
        <v>171</v>
      </c>
      <c r="AQ74" s="38" t="s">
        <v>169</v>
      </c>
      <c r="AR74" s="38" t="s">
        <v>169</v>
      </c>
      <c r="AS74" s="38" t="s">
        <v>171</v>
      </c>
      <c r="AT74" s="38" t="s">
        <v>169</v>
      </c>
      <c r="AU74" s="38" t="s">
        <v>169</v>
      </c>
      <c r="AV74" s="38" t="s">
        <v>169</v>
      </c>
      <c r="AW74" s="38" t="s">
        <v>169</v>
      </c>
      <c r="AX74" s="38" t="s">
        <v>169</v>
      </c>
      <c r="AY74" s="38" t="s">
        <v>171</v>
      </c>
      <c r="AZ74" s="38" t="s">
        <v>170</v>
      </c>
      <c r="BA74" s="38" t="s">
        <v>169</v>
      </c>
      <c r="BB74" s="38" t="s">
        <v>169</v>
      </c>
      <c r="BC74" s="38" t="s">
        <v>171</v>
      </c>
      <c r="BD74" s="38" t="s">
        <v>169</v>
      </c>
      <c r="BE74" s="38" t="s">
        <v>169</v>
      </c>
      <c r="BF74" s="38" t="s">
        <v>171</v>
      </c>
      <c r="BG74" s="38" t="s">
        <v>171</v>
      </c>
      <c r="BH74" s="38" t="s">
        <v>170</v>
      </c>
      <c r="BI74" s="38" t="s">
        <v>169</v>
      </c>
      <c r="BJ74" s="38" t="s">
        <v>172</v>
      </c>
      <c r="BK74" s="38" t="s">
        <v>169</v>
      </c>
      <c r="BL74" s="38" t="s">
        <v>171</v>
      </c>
      <c r="BM74" s="38" t="s">
        <v>170</v>
      </c>
      <c r="BN74" s="38" t="s">
        <v>170</v>
      </c>
      <c r="BO74" s="38" t="s">
        <v>172</v>
      </c>
      <c r="BP74" s="38" t="s">
        <v>170</v>
      </c>
      <c r="BQ74" s="38" t="s">
        <v>171</v>
      </c>
      <c r="BR74" s="38" t="s">
        <v>170</v>
      </c>
      <c r="BS74" s="38" t="s">
        <v>169</v>
      </c>
      <c r="BT74" s="38" t="s">
        <v>169</v>
      </c>
      <c r="BU74" s="38" t="s">
        <v>172</v>
      </c>
      <c r="BV74" s="38" t="s">
        <v>170</v>
      </c>
      <c r="BW74" s="38" t="s">
        <v>169</v>
      </c>
      <c r="BX74" s="38" t="s">
        <v>170</v>
      </c>
    </row>
    <row r="75" customFormat="false" ht="15" hidden="false" customHeight="true" outlineLevel="0" collapsed="false">
      <c r="A75" s="38" t="s">
        <v>281</v>
      </c>
      <c r="B75" s="38" t="s">
        <v>314</v>
      </c>
      <c r="C75" s="38" t="s">
        <v>228</v>
      </c>
      <c r="D75" s="38" t="s">
        <v>276</v>
      </c>
      <c r="E75" s="38" t="s">
        <v>169</v>
      </c>
      <c r="F75" s="38" t="s">
        <v>169</v>
      </c>
      <c r="G75" s="38" t="s">
        <v>169</v>
      </c>
      <c r="H75" s="38" t="s">
        <v>170</v>
      </c>
      <c r="I75" s="38" t="s">
        <v>169</v>
      </c>
      <c r="J75" s="38" t="s">
        <v>172</v>
      </c>
      <c r="K75" s="38" t="s">
        <v>171</v>
      </c>
      <c r="L75" s="38" t="s">
        <v>171</v>
      </c>
      <c r="M75" s="38" t="s">
        <v>172</v>
      </c>
      <c r="N75" s="38" t="s">
        <v>169</v>
      </c>
      <c r="O75" s="38" t="s">
        <v>170</v>
      </c>
      <c r="P75" s="38" t="s">
        <v>171</v>
      </c>
      <c r="Q75" s="38" t="s">
        <v>170</v>
      </c>
      <c r="R75" s="38" t="s">
        <v>172</v>
      </c>
      <c r="S75" s="38" t="s">
        <v>169</v>
      </c>
      <c r="T75" s="38" t="s">
        <v>171</v>
      </c>
      <c r="U75" s="38" t="s">
        <v>171</v>
      </c>
      <c r="V75" s="38" t="s">
        <v>169</v>
      </c>
      <c r="W75" s="38" t="s">
        <v>169</v>
      </c>
      <c r="X75" s="38" t="s">
        <v>169</v>
      </c>
      <c r="Y75" s="38" t="s">
        <v>172</v>
      </c>
      <c r="Z75" s="38" t="s">
        <v>169</v>
      </c>
      <c r="AA75" s="38" t="s">
        <v>172</v>
      </c>
      <c r="AB75" s="38" t="s">
        <v>169</v>
      </c>
      <c r="AC75" s="38" t="s">
        <v>170</v>
      </c>
      <c r="AD75" s="38" t="s">
        <v>172</v>
      </c>
      <c r="AE75" s="38" t="s">
        <v>170</v>
      </c>
      <c r="AF75" s="38" t="s">
        <v>170</v>
      </c>
      <c r="AG75" s="38" t="s">
        <v>171</v>
      </c>
      <c r="AH75" s="38" t="s">
        <v>169</v>
      </c>
      <c r="AI75" s="38" t="s">
        <v>170</v>
      </c>
      <c r="AJ75" s="38" t="s">
        <v>170</v>
      </c>
      <c r="AK75" s="38" t="s">
        <v>171</v>
      </c>
      <c r="AL75" s="38" t="s">
        <v>171</v>
      </c>
      <c r="AM75" s="38" t="s">
        <v>172</v>
      </c>
      <c r="AN75" s="38" t="s">
        <v>170</v>
      </c>
      <c r="AO75" s="38" t="s">
        <v>172</v>
      </c>
      <c r="AP75" s="38" t="s">
        <v>172</v>
      </c>
      <c r="AQ75" s="38" t="s">
        <v>169</v>
      </c>
      <c r="AR75" s="38" t="s">
        <v>170</v>
      </c>
      <c r="AS75" s="38" t="s">
        <v>172</v>
      </c>
      <c r="AT75" s="38" t="s">
        <v>169</v>
      </c>
      <c r="AU75" s="38" t="s">
        <v>169</v>
      </c>
      <c r="AV75" s="38" t="s">
        <v>169</v>
      </c>
      <c r="AW75" s="38" t="s">
        <v>169</v>
      </c>
      <c r="AX75" s="38" t="s">
        <v>169</v>
      </c>
      <c r="AY75" s="38" t="s">
        <v>171</v>
      </c>
      <c r="AZ75" s="38" t="s">
        <v>170</v>
      </c>
      <c r="BA75" s="38" t="s">
        <v>172</v>
      </c>
      <c r="BB75" s="38" t="s">
        <v>170</v>
      </c>
      <c r="BC75" s="38" t="s">
        <v>171</v>
      </c>
      <c r="BD75" s="38" t="s">
        <v>169</v>
      </c>
      <c r="BE75" s="38" t="s">
        <v>169</v>
      </c>
      <c r="BF75" s="38" t="s">
        <v>171</v>
      </c>
      <c r="BG75" s="38" t="s">
        <v>171</v>
      </c>
      <c r="BH75" s="38" t="s">
        <v>170</v>
      </c>
      <c r="BI75" s="38" t="s">
        <v>169</v>
      </c>
      <c r="BJ75" s="38" t="s">
        <v>172</v>
      </c>
      <c r="BK75" s="38" t="s">
        <v>172</v>
      </c>
      <c r="BL75" s="38" t="s">
        <v>170</v>
      </c>
      <c r="BM75" s="38" t="s">
        <v>170</v>
      </c>
      <c r="BN75" s="38" t="s">
        <v>170</v>
      </c>
      <c r="BO75" s="38" t="s">
        <v>169</v>
      </c>
      <c r="BP75" s="38" t="s">
        <v>169</v>
      </c>
      <c r="BQ75" s="38" t="s">
        <v>171</v>
      </c>
      <c r="BR75" s="38" t="s">
        <v>172</v>
      </c>
      <c r="BS75" s="38" t="s">
        <v>171</v>
      </c>
      <c r="BT75" s="38" t="s">
        <v>170</v>
      </c>
      <c r="BU75" s="38" t="s">
        <v>169</v>
      </c>
      <c r="BV75" s="38" t="s">
        <v>170</v>
      </c>
      <c r="BW75" s="38" t="s">
        <v>170</v>
      </c>
      <c r="BX75" s="38" t="s">
        <v>170</v>
      </c>
    </row>
    <row r="76" customFormat="false" ht="15" hidden="false" customHeight="true" outlineLevel="0" collapsed="false">
      <c r="A76" s="38" t="s">
        <v>315</v>
      </c>
      <c r="B76" s="38" t="s">
        <v>316</v>
      </c>
      <c r="C76" s="38" t="s">
        <v>202</v>
      </c>
      <c r="D76" s="38" t="s">
        <v>203</v>
      </c>
      <c r="E76" s="38" t="s">
        <v>169</v>
      </c>
      <c r="F76" s="38" t="s">
        <v>169</v>
      </c>
      <c r="G76" s="38" t="s">
        <v>169</v>
      </c>
      <c r="H76" s="38" t="s">
        <v>169</v>
      </c>
      <c r="I76" s="38" t="s">
        <v>170</v>
      </c>
      <c r="J76" s="38" t="s">
        <v>171</v>
      </c>
      <c r="K76" s="38" t="s">
        <v>172</v>
      </c>
      <c r="L76" s="38" t="s">
        <v>171</v>
      </c>
      <c r="M76" s="38" t="s">
        <v>172</v>
      </c>
      <c r="N76" s="38" t="s">
        <v>169</v>
      </c>
      <c r="O76" s="38" t="s">
        <v>170</v>
      </c>
      <c r="P76" s="38" t="s">
        <v>171</v>
      </c>
      <c r="Q76" s="38" t="s">
        <v>170</v>
      </c>
      <c r="R76" s="38" t="s">
        <v>172</v>
      </c>
      <c r="S76" s="38" t="s">
        <v>169</v>
      </c>
      <c r="T76" s="38" t="s">
        <v>171</v>
      </c>
      <c r="U76" s="38" t="s">
        <v>171</v>
      </c>
      <c r="V76" s="38" t="s">
        <v>169</v>
      </c>
      <c r="W76" s="38" t="s">
        <v>169</v>
      </c>
      <c r="X76" s="38" t="s">
        <v>171</v>
      </c>
      <c r="Y76" s="38" t="s">
        <v>172</v>
      </c>
      <c r="Z76" s="38" t="s">
        <v>169</v>
      </c>
      <c r="AA76" s="38" t="s">
        <v>172</v>
      </c>
      <c r="AB76" s="38" t="s">
        <v>169</v>
      </c>
      <c r="AC76" s="38" t="s">
        <v>170</v>
      </c>
      <c r="AD76" s="38" t="s">
        <v>169</v>
      </c>
      <c r="AE76" s="38" t="s">
        <v>170</v>
      </c>
      <c r="AF76" s="38" t="s">
        <v>170</v>
      </c>
      <c r="AG76" s="38" t="s">
        <v>171</v>
      </c>
      <c r="AH76" s="38" t="s">
        <v>169</v>
      </c>
      <c r="AI76" s="38" t="s">
        <v>170</v>
      </c>
      <c r="AJ76" s="38" t="s">
        <v>172</v>
      </c>
      <c r="AK76" s="38" t="s">
        <v>171</v>
      </c>
      <c r="AL76" s="38" t="s">
        <v>169</v>
      </c>
      <c r="AM76" s="38" t="s">
        <v>169</v>
      </c>
      <c r="AN76" s="38" t="s">
        <v>170</v>
      </c>
      <c r="AO76" s="38" t="s">
        <v>172</v>
      </c>
      <c r="AP76" s="38" t="s">
        <v>171</v>
      </c>
      <c r="AQ76" s="38" t="s">
        <v>169</v>
      </c>
      <c r="AR76" s="38" t="s">
        <v>170</v>
      </c>
      <c r="AS76" s="38" t="s">
        <v>172</v>
      </c>
      <c r="AT76" s="38" t="s">
        <v>169</v>
      </c>
      <c r="AU76" s="38" t="s">
        <v>169</v>
      </c>
      <c r="AV76" s="38" t="s">
        <v>172</v>
      </c>
      <c r="AW76" s="38" t="s">
        <v>169</v>
      </c>
      <c r="AX76" s="38" t="s">
        <v>169</v>
      </c>
      <c r="AY76" s="38" t="s">
        <v>171</v>
      </c>
      <c r="AZ76" s="38" t="s">
        <v>170</v>
      </c>
      <c r="BA76" s="38" t="s">
        <v>172</v>
      </c>
      <c r="BB76" s="38" t="s">
        <v>169</v>
      </c>
      <c r="BC76" s="38" t="s">
        <v>169</v>
      </c>
      <c r="BD76" s="38" t="s">
        <v>172</v>
      </c>
      <c r="BE76" s="38" t="s">
        <v>169</v>
      </c>
      <c r="BF76" s="38" t="s">
        <v>171</v>
      </c>
      <c r="BG76" s="38" t="s">
        <v>171</v>
      </c>
      <c r="BH76" s="38" t="s">
        <v>170</v>
      </c>
      <c r="BI76" s="38" t="s">
        <v>172</v>
      </c>
      <c r="BJ76" s="38" t="s">
        <v>172</v>
      </c>
      <c r="BK76" s="38" t="s">
        <v>171</v>
      </c>
      <c r="BL76" s="38" t="s">
        <v>171</v>
      </c>
      <c r="BM76" s="38" t="s">
        <v>170</v>
      </c>
      <c r="BN76" s="38" t="s">
        <v>171</v>
      </c>
      <c r="BO76" s="38" t="s">
        <v>170</v>
      </c>
      <c r="BP76" s="38" t="s">
        <v>170</v>
      </c>
      <c r="BQ76" s="38" t="s">
        <v>171</v>
      </c>
      <c r="BR76" s="38" t="s">
        <v>171</v>
      </c>
      <c r="BS76" s="38" t="s">
        <v>172</v>
      </c>
      <c r="BT76" s="38" t="s">
        <v>169</v>
      </c>
      <c r="BU76" s="38" t="s">
        <v>170</v>
      </c>
      <c r="BV76" s="38" t="s">
        <v>171</v>
      </c>
      <c r="BW76" s="38" t="s">
        <v>170</v>
      </c>
      <c r="BX76" s="38" t="s">
        <v>170</v>
      </c>
    </row>
    <row r="77" customFormat="false" ht="15" hidden="false" customHeight="true" outlineLevel="0" collapsed="false">
      <c r="A77" s="38" t="s">
        <v>315</v>
      </c>
      <c r="B77" s="38" t="s">
        <v>317</v>
      </c>
      <c r="C77" s="38" t="s">
        <v>202</v>
      </c>
      <c r="D77" s="38" t="s">
        <v>232</v>
      </c>
      <c r="E77" s="38" t="s">
        <v>169</v>
      </c>
      <c r="F77" s="38" t="s">
        <v>169</v>
      </c>
      <c r="G77" s="38" t="s">
        <v>169</v>
      </c>
      <c r="H77" s="38" t="s">
        <v>170</v>
      </c>
      <c r="I77" s="38" t="s">
        <v>170</v>
      </c>
      <c r="J77" s="38" t="s">
        <v>171</v>
      </c>
      <c r="K77" s="38" t="s">
        <v>169</v>
      </c>
      <c r="L77" s="38" t="s">
        <v>171</v>
      </c>
      <c r="M77" s="38" t="s">
        <v>169</v>
      </c>
      <c r="N77" s="38" t="s">
        <v>169</v>
      </c>
      <c r="O77" s="38" t="s">
        <v>170</v>
      </c>
      <c r="P77" s="38" t="s">
        <v>169</v>
      </c>
      <c r="Q77" s="38" t="s">
        <v>170</v>
      </c>
      <c r="R77" s="38" t="s">
        <v>172</v>
      </c>
      <c r="S77" s="38" t="s">
        <v>169</v>
      </c>
      <c r="T77" s="38" t="s">
        <v>171</v>
      </c>
      <c r="U77" s="38" t="s">
        <v>170</v>
      </c>
      <c r="V77" s="38" t="s">
        <v>169</v>
      </c>
      <c r="W77" s="38" t="s">
        <v>169</v>
      </c>
      <c r="X77" s="38" t="s">
        <v>171</v>
      </c>
      <c r="Y77" s="38" t="s">
        <v>172</v>
      </c>
      <c r="Z77" s="38" t="s">
        <v>169</v>
      </c>
      <c r="AA77" s="38" t="s">
        <v>170</v>
      </c>
      <c r="AB77" s="38" t="s">
        <v>169</v>
      </c>
      <c r="AC77" s="38" t="s">
        <v>170</v>
      </c>
      <c r="AD77" s="38" t="s">
        <v>172</v>
      </c>
      <c r="AE77" s="38" t="s">
        <v>170</v>
      </c>
      <c r="AF77" s="38" t="s">
        <v>170</v>
      </c>
      <c r="AG77" s="38" t="s">
        <v>171</v>
      </c>
      <c r="AH77" s="38" t="s">
        <v>170</v>
      </c>
      <c r="AI77" s="38" t="s">
        <v>169</v>
      </c>
      <c r="AJ77" s="38" t="s">
        <v>171</v>
      </c>
      <c r="AK77" s="38" t="s">
        <v>171</v>
      </c>
      <c r="AL77" s="38" t="s">
        <v>170</v>
      </c>
      <c r="AM77" s="38" t="s">
        <v>169</v>
      </c>
      <c r="AN77" s="38" t="s">
        <v>170</v>
      </c>
      <c r="AO77" s="38" t="s">
        <v>172</v>
      </c>
      <c r="AP77" s="38" t="s">
        <v>171</v>
      </c>
      <c r="AQ77" s="38" t="s">
        <v>170</v>
      </c>
      <c r="AR77" s="38" t="s">
        <v>169</v>
      </c>
      <c r="AS77" s="38" t="s">
        <v>172</v>
      </c>
      <c r="AT77" s="38" t="s">
        <v>169</v>
      </c>
      <c r="AU77" s="38" t="s">
        <v>169</v>
      </c>
      <c r="AV77" s="38" t="s">
        <v>169</v>
      </c>
      <c r="AW77" s="38" t="s">
        <v>169</v>
      </c>
      <c r="AX77" s="38" t="s">
        <v>169</v>
      </c>
      <c r="AY77" s="38" t="s">
        <v>171</v>
      </c>
      <c r="AZ77" s="38" t="s">
        <v>170</v>
      </c>
      <c r="BA77" s="38" t="s">
        <v>171</v>
      </c>
      <c r="BB77" s="38" t="s">
        <v>169</v>
      </c>
      <c r="BC77" s="38" t="s">
        <v>169</v>
      </c>
      <c r="BD77" s="38" t="s">
        <v>169</v>
      </c>
      <c r="BE77" s="38" t="s">
        <v>169</v>
      </c>
      <c r="BF77" s="38" t="s">
        <v>171</v>
      </c>
      <c r="BG77" s="38" t="s">
        <v>171</v>
      </c>
      <c r="BH77" s="38" t="s">
        <v>170</v>
      </c>
      <c r="BI77" s="38" t="s">
        <v>172</v>
      </c>
      <c r="BJ77" s="38" t="s">
        <v>172</v>
      </c>
      <c r="BK77" s="38" t="s">
        <v>172</v>
      </c>
      <c r="BL77" s="38" t="s">
        <v>171</v>
      </c>
      <c r="BM77" s="38" t="s">
        <v>170</v>
      </c>
      <c r="BN77" s="38" t="s">
        <v>170</v>
      </c>
      <c r="BO77" s="38" t="s">
        <v>170</v>
      </c>
      <c r="BP77" s="38" t="s">
        <v>170</v>
      </c>
      <c r="BQ77" s="38" t="s">
        <v>172</v>
      </c>
      <c r="BR77" s="38" t="s">
        <v>170</v>
      </c>
      <c r="BS77" s="38" t="s">
        <v>172</v>
      </c>
      <c r="BT77" s="38" t="s">
        <v>169</v>
      </c>
      <c r="BU77" s="38" t="s">
        <v>169</v>
      </c>
      <c r="BV77" s="38" t="s">
        <v>171</v>
      </c>
      <c r="BW77" s="38" t="s">
        <v>170</v>
      </c>
      <c r="BX77" s="38" t="s">
        <v>170</v>
      </c>
    </row>
    <row r="78" customFormat="false" ht="15" hidden="false" customHeight="true" outlineLevel="0" collapsed="false">
      <c r="A78" s="38" t="s">
        <v>315</v>
      </c>
      <c r="B78" s="38" t="s">
        <v>318</v>
      </c>
      <c r="C78" s="38" t="s">
        <v>202</v>
      </c>
      <c r="D78" s="38" t="s">
        <v>235</v>
      </c>
      <c r="E78" s="38" t="s">
        <v>169</v>
      </c>
      <c r="F78" s="38" t="s">
        <v>169</v>
      </c>
      <c r="G78" s="38" t="s">
        <v>169</v>
      </c>
      <c r="H78" s="38" t="s">
        <v>169</v>
      </c>
      <c r="I78" s="38" t="s">
        <v>170</v>
      </c>
      <c r="J78" s="38" t="s">
        <v>170</v>
      </c>
      <c r="K78" s="38" t="s">
        <v>171</v>
      </c>
      <c r="L78" s="38" t="s">
        <v>171</v>
      </c>
      <c r="M78" s="38" t="s">
        <v>172</v>
      </c>
      <c r="N78" s="38" t="s">
        <v>169</v>
      </c>
      <c r="O78" s="38" t="s">
        <v>170</v>
      </c>
      <c r="P78" s="38" t="s">
        <v>171</v>
      </c>
      <c r="Q78" s="38" t="s">
        <v>170</v>
      </c>
      <c r="R78" s="38" t="s">
        <v>172</v>
      </c>
      <c r="S78" s="38" t="s">
        <v>169</v>
      </c>
      <c r="T78" s="38" t="s">
        <v>171</v>
      </c>
      <c r="U78" s="38" t="s">
        <v>171</v>
      </c>
      <c r="V78" s="38" t="s">
        <v>169</v>
      </c>
      <c r="W78" s="38" t="s">
        <v>169</v>
      </c>
      <c r="X78" s="38" t="s">
        <v>171</v>
      </c>
      <c r="Y78" s="38" t="s">
        <v>172</v>
      </c>
      <c r="Z78" s="38" t="s">
        <v>169</v>
      </c>
      <c r="AA78" s="38" t="s">
        <v>172</v>
      </c>
      <c r="AB78" s="38" t="s">
        <v>169</v>
      </c>
      <c r="AC78" s="38" t="s">
        <v>170</v>
      </c>
      <c r="AD78" s="38" t="s">
        <v>169</v>
      </c>
      <c r="AE78" s="38" t="s">
        <v>170</v>
      </c>
      <c r="AF78" s="38" t="s">
        <v>171</v>
      </c>
      <c r="AG78" s="38" t="s">
        <v>169</v>
      </c>
      <c r="AH78" s="38" t="s">
        <v>170</v>
      </c>
      <c r="AI78" s="38" t="s">
        <v>170</v>
      </c>
      <c r="AJ78" s="38" t="s">
        <v>171</v>
      </c>
      <c r="AK78" s="38" t="s">
        <v>171</v>
      </c>
      <c r="AL78" s="38" t="s">
        <v>171</v>
      </c>
      <c r="AM78" s="38" t="s">
        <v>169</v>
      </c>
      <c r="AN78" s="38" t="s">
        <v>170</v>
      </c>
      <c r="AO78" s="38" t="s">
        <v>172</v>
      </c>
      <c r="AP78" s="38" t="s">
        <v>172</v>
      </c>
      <c r="AQ78" s="38" t="s">
        <v>169</v>
      </c>
      <c r="AR78" s="38" t="s">
        <v>169</v>
      </c>
      <c r="AS78" s="38" t="s">
        <v>170</v>
      </c>
      <c r="AT78" s="38" t="s">
        <v>172</v>
      </c>
      <c r="AU78" s="38" t="s">
        <v>169</v>
      </c>
      <c r="AV78" s="38" t="s">
        <v>172</v>
      </c>
      <c r="AW78" s="38" t="s">
        <v>171</v>
      </c>
      <c r="AX78" s="38" t="s">
        <v>169</v>
      </c>
      <c r="AY78" s="38" t="s">
        <v>171</v>
      </c>
      <c r="AZ78" s="38" t="s">
        <v>170</v>
      </c>
      <c r="BA78" s="38" t="s">
        <v>172</v>
      </c>
      <c r="BB78" s="38" t="s">
        <v>169</v>
      </c>
      <c r="BC78" s="38" t="s">
        <v>169</v>
      </c>
      <c r="BD78" s="38" t="s">
        <v>172</v>
      </c>
      <c r="BE78" s="38" t="s">
        <v>169</v>
      </c>
      <c r="BF78" s="38" t="s">
        <v>171</v>
      </c>
      <c r="BG78" s="38" t="s">
        <v>171</v>
      </c>
      <c r="BH78" s="38" t="s">
        <v>170</v>
      </c>
      <c r="BI78" s="38" t="s">
        <v>169</v>
      </c>
      <c r="BJ78" s="38" t="s">
        <v>172</v>
      </c>
      <c r="BK78" s="38" t="s">
        <v>172</v>
      </c>
      <c r="BL78" s="38" t="s">
        <v>171</v>
      </c>
      <c r="BM78" s="38" t="s">
        <v>170</v>
      </c>
      <c r="BN78" s="38" t="s">
        <v>171</v>
      </c>
      <c r="BO78" s="38" t="s">
        <v>170</v>
      </c>
      <c r="BP78" s="38" t="s">
        <v>170</v>
      </c>
      <c r="BQ78" s="38" t="s">
        <v>171</v>
      </c>
      <c r="BR78" s="38" t="s">
        <v>172</v>
      </c>
      <c r="BS78" s="38" t="s">
        <v>169</v>
      </c>
      <c r="BT78" s="38" t="s">
        <v>169</v>
      </c>
      <c r="BU78" s="38" t="s">
        <v>170</v>
      </c>
      <c r="BV78" s="38" t="s">
        <v>171</v>
      </c>
      <c r="BW78" s="38" t="s">
        <v>170</v>
      </c>
      <c r="BX78" s="38" t="s">
        <v>170</v>
      </c>
    </row>
    <row r="79" customFormat="false" ht="15" hidden="false" customHeight="true" outlineLevel="0" collapsed="false">
      <c r="A79" s="38" t="s">
        <v>315</v>
      </c>
      <c r="B79" s="38" t="s">
        <v>319</v>
      </c>
      <c r="C79" s="38" t="s">
        <v>205</v>
      </c>
      <c r="D79" s="38" t="s">
        <v>320</v>
      </c>
      <c r="E79" s="38" t="s">
        <v>169</v>
      </c>
      <c r="F79" s="38" t="s">
        <v>170</v>
      </c>
      <c r="G79" s="38" t="s">
        <v>170</v>
      </c>
      <c r="H79" s="38" t="s">
        <v>171</v>
      </c>
      <c r="I79" s="38" t="s">
        <v>171</v>
      </c>
      <c r="J79" s="38" t="s">
        <v>170</v>
      </c>
      <c r="K79" s="38" t="s">
        <v>169</v>
      </c>
      <c r="L79" s="38" t="s">
        <v>171</v>
      </c>
      <c r="M79" s="38" t="s">
        <v>172</v>
      </c>
      <c r="N79" s="38" t="s">
        <v>169</v>
      </c>
      <c r="O79" s="38" t="s">
        <v>170</v>
      </c>
      <c r="P79" s="38" t="s">
        <v>171</v>
      </c>
      <c r="Q79" s="38" t="s">
        <v>170</v>
      </c>
      <c r="R79" s="38" t="s">
        <v>172</v>
      </c>
      <c r="S79" s="38" t="s">
        <v>169</v>
      </c>
      <c r="T79" s="38" t="s">
        <v>169</v>
      </c>
      <c r="U79" s="38" t="s">
        <v>169</v>
      </c>
      <c r="V79" s="38" t="s">
        <v>169</v>
      </c>
      <c r="W79" s="38" t="s">
        <v>169</v>
      </c>
      <c r="X79" s="38" t="s">
        <v>172</v>
      </c>
      <c r="Y79" s="38" t="s">
        <v>172</v>
      </c>
      <c r="Z79" s="38" t="s">
        <v>169</v>
      </c>
      <c r="AA79" s="38" t="s">
        <v>172</v>
      </c>
      <c r="AB79" s="38" t="s">
        <v>169</v>
      </c>
      <c r="AC79" s="38" t="s">
        <v>170</v>
      </c>
      <c r="AD79" s="38" t="s">
        <v>172</v>
      </c>
      <c r="AE79" s="38" t="s">
        <v>170</v>
      </c>
      <c r="AF79" s="38" t="s">
        <v>170</v>
      </c>
      <c r="AG79" s="38" t="s">
        <v>169</v>
      </c>
      <c r="AH79" s="38" t="s">
        <v>170</v>
      </c>
      <c r="AI79" s="38" t="s">
        <v>171</v>
      </c>
      <c r="AJ79" s="38" t="s">
        <v>170</v>
      </c>
      <c r="AK79" s="38" t="s">
        <v>171</v>
      </c>
      <c r="AL79" s="38" t="s">
        <v>170</v>
      </c>
      <c r="AM79" s="38" t="s">
        <v>170</v>
      </c>
      <c r="AN79" s="38" t="s">
        <v>171</v>
      </c>
      <c r="AO79" s="38" t="s">
        <v>172</v>
      </c>
      <c r="AP79" s="38" t="s">
        <v>172</v>
      </c>
      <c r="AQ79" s="38" t="s">
        <v>172</v>
      </c>
      <c r="AR79" s="38" t="s">
        <v>169</v>
      </c>
      <c r="AS79" s="38" t="s">
        <v>170</v>
      </c>
      <c r="AT79" s="38" t="s">
        <v>169</v>
      </c>
      <c r="AU79" s="38" t="s">
        <v>169</v>
      </c>
      <c r="AV79" s="38" t="s">
        <v>169</v>
      </c>
      <c r="AW79" s="38" t="s">
        <v>171</v>
      </c>
      <c r="AX79" s="38" t="s">
        <v>169</v>
      </c>
      <c r="AY79" s="38" t="s">
        <v>171</v>
      </c>
      <c r="AZ79" s="38" t="s">
        <v>170</v>
      </c>
      <c r="BA79" s="38" t="s">
        <v>169</v>
      </c>
      <c r="BB79" s="38" t="s">
        <v>170</v>
      </c>
      <c r="BC79" s="38" t="s">
        <v>172</v>
      </c>
      <c r="BD79" s="38" t="s">
        <v>169</v>
      </c>
      <c r="BE79" s="38" t="s">
        <v>169</v>
      </c>
      <c r="BF79" s="38" t="s">
        <v>171</v>
      </c>
      <c r="BG79" s="38" t="s">
        <v>171</v>
      </c>
      <c r="BH79" s="38" t="s">
        <v>170</v>
      </c>
      <c r="BI79" s="38" t="s">
        <v>169</v>
      </c>
      <c r="BJ79" s="38" t="s">
        <v>172</v>
      </c>
      <c r="BK79" s="38" t="s">
        <v>172</v>
      </c>
      <c r="BL79" s="38" t="s">
        <v>171</v>
      </c>
      <c r="BM79" s="38" t="s">
        <v>170</v>
      </c>
      <c r="BN79" s="38" t="s">
        <v>170</v>
      </c>
      <c r="BO79" s="38" t="s">
        <v>171</v>
      </c>
      <c r="BP79" s="38" t="s">
        <v>169</v>
      </c>
      <c r="BQ79" s="38" t="s">
        <v>170</v>
      </c>
      <c r="BR79" s="38" t="s">
        <v>170</v>
      </c>
      <c r="BS79" s="38" t="s">
        <v>169</v>
      </c>
      <c r="BT79" s="38" t="s">
        <v>169</v>
      </c>
      <c r="BU79" s="38" t="s">
        <v>169</v>
      </c>
      <c r="BV79" s="38" t="s">
        <v>169</v>
      </c>
      <c r="BW79" s="38" t="s">
        <v>169</v>
      </c>
      <c r="BX79" s="38" t="s">
        <v>170</v>
      </c>
    </row>
    <row r="80" customFormat="false" ht="15" hidden="false" customHeight="true" outlineLevel="0" collapsed="false">
      <c r="A80" s="38" t="s">
        <v>315</v>
      </c>
      <c r="B80" s="38" t="s">
        <v>321</v>
      </c>
      <c r="C80" s="38" t="s">
        <v>205</v>
      </c>
      <c r="D80" s="38" t="s">
        <v>168</v>
      </c>
      <c r="E80" s="38" t="s">
        <v>169</v>
      </c>
      <c r="F80" s="38" t="s">
        <v>170</v>
      </c>
      <c r="G80" s="38" t="s">
        <v>170</v>
      </c>
      <c r="H80" s="38" t="s">
        <v>170</v>
      </c>
      <c r="I80" s="38" t="s">
        <v>170</v>
      </c>
      <c r="J80" s="38" t="s">
        <v>170</v>
      </c>
      <c r="K80" s="38" t="s">
        <v>169</v>
      </c>
      <c r="L80" s="38" t="s">
        <v>171</v>
      </c>
      <c r="M80" s="38" t="s">
        <v>172</v>
      </c>
      <c r="N80" s="38" t="s">
        <v>169</v>
      </c>
      <c r="O80" s="38" t="s">
        <v>170</v>
      </c>
      <c r="P80" s="38" t="s">
        <v>171</v>
      </c>
      <c r="Q80" s="38" t="s">
        <v>170</v>
      </c>
      <c r="R80" s="38" t="s">
        <v>172</v>
      </c>
      <c r="S80" s="38" t="s">
        <v>169</v>
      </c>
      <c r="T80" s="40" t="s">
        <v>176</v>
      </c>
      <c r="U80" s="38" t="s">
        <v>171</v>
      </c>
      <c r="V80" s="38" t="s">
        <v>169</v>
      </c>
      <c r="W80" s="38" t="s">
        <v>169</v>
      </c>
      <c r="X80" s="38" t="s">
        <v>172</v>
      </c>
      <c r="Y80" s="38" t="s">
        <v>172</v>
      </c>
      <c r="Z80" s="38" t="s">
        <v>169</v>
      </c>
      <c r="AA80" s="38" t="s">
        <v>172</v>
      </c>
      <c r="AB80" s="38" t="s">
        <v>169</v>
      </c>
      <c r="AC80" s="38" t="s">
        <v>170</v>
      </c>
      <c r="AD80" s="38" t="s">
        <v>172</v>
      </c>
      <c r="AE80" s="38" t="s">
        <v>169</v>
      </c>
      <c r="AF80" s="38" t="s">
        <v>169</v>
      </c>
      <c r="AG80" s="38" t="s">
        <v>170</v>
      </c>
      <c r="AH80" s="38" t="s">
        <v>169</v>
      </c>
      <c r="AI80" s="38" t="s">
        <v>170</v>
      </c>
      <c r="AJ80" s="38" t="s">
        <v>170</v>
      </c>
      <c r="AK80" s="38" t="s">
        <v>171</v>
      </c>
      <c r="AL80" s="38" t="s">
        <v>171</v>
      </c>
      <c r="AM80" s="38" t="s">
        <v>170</v>
      </c>
      <c r="AN80" s="38" t="s">
        <v>171</v>
      </c>
      <c r="AO80" s="38" t="s">
        <v>172</v>
      </c>
      <c r="AP80" s="38" t="s">
        <v>172</v>
      </c>
      <c r="AQ80" s="38" t="s">
        <v>169</v>
      </c>
      <c r="AR80" s="38" t="s">
        <v>170</v>
      </c>
      <c r="AS80" s="38" t="s">
        <v>169</v>
      </c>
      <c r="AT80" s="38" t="s">
        <v>170</v>
      </c>
      <c r="AU80" s="38" t="s">
        <v>171</v>
      </c>
      <c r="AV80" s="38" t="s">
        <v>171</v>
      </c>
      <c r="AW80" s="38" t="s">
        <v>169</v>
      </c>
      <c r="AX80" s="38" t="s">
        <v>169</v>
      </c>
      <c r="AY80" s="38" t="s">
        <v>170</v>
      </c>
      <c r="AZ80" s="38" t="s">
        <v>170</v>
      </c>
      <c r="BA80" s="38" t="s">
        <v>169</v>
      </c>
      <c r="BB80" s="38" t="s">
        <v>170</v>
      </c>
      <c r="BC80" s="38" t="s">
        <v>172</v>
      </c>
      <c r="BD80" s="38" t="s">
        <v>169</v>
      </c>
      <c r="BE80" s="38" t="s">
        <v>169</v>
      </c>
      <c r="BF80" s="38" t="s">
        <v>171</v>
      </c>
      <c r="BG80" s="38" t="s">
        <v>171</v>
      </c>
      <c r="BH80" s="38" t="s">
        <v>170</v>
      </c>
      <c r="BI80" s="38" t="s">
        <v>169</v>
      </c>
      <c r="BJ80" s="38" t="s">
        <v>172</v>
      </c>
      <c r="BK80" s="38" t="s">
        <v>169</v>
      </c>
      <c r="BL80" s="38" t="s">
        <v>171</v>
      </c>
      <c r="BM80" s="38" t="s">
        <v>170</v>
      </c>
      <c r="BN80" s="38" t="s">
        <v>170</v>
      </c>
      <c r="BO80" s="38" t="s">
        <v>171</v>
      </c>
      <c r="BP80" s="38" t="s">
        <v>169</v>
      </c>
      <c r="BQ80" s="38" t="s">
        <v>170</v>
      </c>
      <c r="BR80" s="38" t="s">
        <v>170</v>
      </c>
      <c r="BS80" s="38" t="s">
        <v>169</v>
      </c>
      <c r="BT80" s="38" t="s">
        <v>169</v>
      </c>
      <c r="BU80" s="38" t="s">
        <v>169</v>
      </c>
      <c r="BV80" s="38" t="s">
        <v>169</v>
      </c>
      <c r="BW80" s="38" t="s">
        <v>169</v>
      </c>
      <c r="BX80" s="38" t="s">
        <v>170</v>
      </c>
    </row>
    <row r="81" customFormat="false" ht="15" hidden="false" customHeight="true" outlineLevel="0" collapsed="false">
      <c r="A81" s="38" t="s">
        <v>315</v>
      </c>
      <c r="B81" s="38" t="s">
        <v>322</v>
      </c>
      <c r="C81" s="38" t="s">
        <v>251</v>
      </c>
      <c r="D81" s="38" t="s">
        <v>252</v>
      </c>
      <c r="E81" s="38" t="s">
        <v>171</v>
      </c>
      <c r="F81" s="38" t="s">
        <v>170</v>
      </c>
      <c r="G81" s="38" t="s">
        <v>170</v>
      </c>
      <c r="H81" s="38" t="s">
        <v>170</v>
      </c>
      <c r="I81" s="38" t="s">
        <v>170</v>
      </c>
      <c r="J81" s="38" t="s">
        <v>171</v>
      </c>
      <c r="K81" s="38" t="s">
        <v>169</v>
      </c>
      <c r="L81" s="38" t="s">
        <v>171</v>
      </c>
      <c r="M81" s="38" t="s">
        <v>172</v>
      </c>
      <c r="N81" s="38" t="s">
        <v>169</v>
      </c>
      <c r="O81" s="38" t="s">
        <v>170</v>
      </c>
      <c r="P81" s="38" t="s">
        <v>171</v>
      </c>
      <c r="Q81" s="38" t="s">
        <v>170</v>
      </c>
      <c r="R81" s="38" t="s">
        <v>172</v>
      </c>
      <c r="S81" s="38" t="s">
        <v>172</v>
      </c>
      <c r="T81" s="38" t="s">
        <v>171</v>
      </c>
      <c r="U81" s="38" t="s">
        <v>171</v>
      </c>
      <c r="V81" s="38" t="s">
        <v>169</v>
      </c>
      <c r="W81" s="38" t="s">
        <v>169</v>
      </c>
      <c r="X81" s="38" t="s">
        <v>170</v>
      </c>
      <c r="Y81" s="38" t="s">
        <v>172</v>
      </c>
      <c r="Z81" s="38" t="s">
        <v>169</v>
      </c>
      <c r="AA81" s="38" t="s">
        <v>172</v>
      </c>
      <c r="AB81" s="38" t="s">
        <v>169</v>
      </c>
      <c r="AC81" s="38" t="s">
        <v>170</v>
      </c>
      <c r="AD81" s="38" t="s">
        <v>172</v>
      </c>
      <c r="AE81" s="38" t="s">
        <v>169</v>
      </c>
      <c r="AF81" s="38" t="s">
        <v>170</v>
      </c>
      <c r="AG81" s="38" t="s">
        <v>170</v>
      </c>
      <c r="AH81" s="38" t="s">
        <v>169</v>
      </c>
      <c r="AI81" s="38" t="s">
        <v>169</v>
      </c>
      <c r="AJ81" s="38" t="s">
        <v>170</v>
      </c>
      <c r="AK81" s="38" t="s">
        <v>171</v>
      </c>
      <c r="AL81" s="38" t="s">
        <v>169</v>
      </c>
      <c r="AM81" s="38" t="s">
        <v>171</v>
      </c>
      <c r="AN81" s="38" t="s">
        <v>171</v>
      </c>
      <c r="AO81" s="38" t="s">
        <v>172</v>
      </c>
      <c r="AP81" s="38" t="s">
        <v>172</v>
      </c>
      <c r="AQ81" s="38" t="s">
        <v>170</v>
      </c>
      <c r="AR81" s="38" t="s">
        <v>170</v>
      </c>
      <c r="AS81" s="38" t="s">
        <v>169</v>
      </c>
      <c r="AT81" s="38" t="s">
        <v>169</v>
      </c>
      <c r="AU81" s="38" t="s">
        <v>170</v>
      </c>
      <c r="AV81" s="38" t="s">
        <v>172</v>
      </c>
      <c r="AW81" s="38" t="s">
        <v>169</v>
      </c>
      <c r="AX81" s="38" t="s">
        <v>169</v>
      </c>
      <c r="AY81" s="38" t="s">
        <v>171</v>
      </c>
      <c r="AZ81" s="38" t="s">
        <v>171</v>
      </c>
      <c r="BA81" s="38" t="s">
        <v>172</v>
      </c>
      <c r="BB81" s="38" t="s">
        <v>170</v>
      </c>
      <c r="BC81" s="38" t="s">
        <v>171</v>
      </c>
      <c r="BD81" s="38" t="s">
        <v>169</v>
      </c>
      <c r="BE81" s="38" t="s">
        <v>169</v>
      </c>
      <c r="BF81" s="38" t="s">
        <v>171</v>
      </c>
      <c r="BG81" s="38" t="s">
        <v>171</v>
      </c>
      <c r="BH81" s="38" t="s">
        <v>170</v>
      </c>
      <c r="BI81" s="38" t="s">
        <v>169</v>
      </c>
      <c r="BJ81" s="38" t="s">
        <v>172</v>
      </c>
      <c r="BK81" s="38" t="s">
        <v>169</v>
      </c>
      <c r="BL81" s="38" t="s">
        <v>171</v>
      </c>
      <c r="BM81" s="38" t="s">
        <v>170</v>
      </c>
      <c r="BN81" s="38" t="s">
        <v>170</v>
      </c>
      <c r="BO81" s="38" t="s">
        <v>172</v>
      </c>
      <c r="BP81" s="38" t="s">
        <v>169</v>
      </c>
      <c r="BQ81" s="38" t="s">
        <v>171</v>
      </c>
      <c r="BR81" s="38" t="s">
        <v>170</v>
      </c>
      <c r="BS81" s="38" t="s">
        <v>169</v>
      </c>
      <c r="BT81" s="38" t="s">
        <v>169</v>
      </c>
      <c r="BU81" s="38" t="s">
        <v>169</v>
      </c>
      <c r="BV81" s="38" t="s">
        <v>169</v>
      </c>
      <c r="BW81" s="38" t="s">
        <v>169</v>
      </c>
      <c r="BX81" s="38" t="s">
        <v>172</v>
      </c>
    </row>
    <row r="82" customFormat="false" ht="15" hidden="false" customHeight="true" outlineLevel="0" collapsed="false">
      <c r="A82" s="38" t="s">
        <v>315</v>
      </c>
      <c r="B82" s="38" t="s">
        <v>323</v>
      </c>
      <c r="C82" s="38" t="s">
        <v>251</v>
      </c>
      <c r="D82" s="38" t="s">
        <v>252</v>
      </c>
      <c r="E82" s="38" t="s">
        <v>171</v>
      </c>
      <c r="F82" s="38" t="s">
        <v>170</v>
      </c>
      <c r="G82" s="38" t="s">
        <v>170</v>
      </c>
      <c r="H82" s="38" t="s">
        <v>170</v>
      </c>
      <c r="I82" s="38" t="s">
        <v>170</v>
      </c>
      <c r="J82" s="38" t="s">
        <v>171</v>
      </c>
      <c r="K82" s="38" t="s">
        <v>169</v>
      </c>
      <c r="L82" s="38" t="s">
        <v>171</v>
      </c>
      <c r="M82" s="38" t="s">
        <v>172</v>
      </c>
      <c r="N82" s="38" t="s">
        <v>169</v>
      </c>
      <c r="O82" s="38" t="s">
        <v>170</v>
      </c>
      <c r="P82" s="38" t="s">
        <v>171</v>
      </c>
      <c r="Q82" s="38" t="s">
        <v>170</v>
      </c>
      <c r="R82" s="38" t="s">
        <v>172</v>
      </c>
      <c r="S82" s="38" t="s">
        <v>172</v>
      </c>
      <c r="T82" s="38" t="s">
        <v>171</v>
      </c>
      <c r="U82" s="38" t="s">
        <v>171</v>
      </c>
      <c r="V82" s="38" t="s">
        <v>169</v>
      </c>
      <c r="W82" s="38" t="s">
        <v>169</v>
      </c>
      <c r="X82" s="38" t="s">
        <v>170</v>
      </c>
      <c r="Y82" s="38" t="s">
        <v>172</v>
      </c>
      <c r="Z82" s="38" t="s">
        <v>169</v>
      </c>
      <c r="AA82" s="38" t="s">
        <v>172</v>
      </c>
      <c r="AB82" s="38" t="s">
        <v>169</v>
      </c>
      <c r="AC82" s="38" t="s">
        <v>170</v>
      </c>
      <c r="AD82" s="38" t="s">
        <v>172</v>
      </c>
      <c r="AE82" s="38" t="s">
        <v>171</v>
      </c>
      <c r="AF82" s="38" t="s">
        <v>171</v>
      </c>
      <c r="AG82" s="38" t="s">
        <v>170</v>
      </c>
      <c r="AH82" s="38" t="s">
        <v>169</v>
      </c>
      <c r="AI82" s="38" t="s">
        <v>169</v>
      </c>
      <c r="AJ82" s="38" t="s">
        <v>170</v>
      </c>
      <c r="AK82" s="38" t="s">
        <v>171</v>
      </c>
      <c r="AL82" s="38" t="s">
        <v>169</v>
      </c>
      <c r="AM82" s="38" t="s">
        <v>171</v>
      </c>
      <c r="AN82" s="38" t="s">
        <v>171</v>
      </c>
      <c r="AO82" s="38" t="s">
        <v>172</v>
      </c>
      <c r="AP82" s="38" t="s">
        <v>172</v>
      </c>
      <c r="AQ82" s="38" t="s">
        <v>170</v>
      </c>
      <c r="AR82" s="38" t="s">
        <v>170</v>
      </c>
      <c r="AS82" s="38" t="s">
        <v>169</v>
      </c>
      <c r="AT82" s="38" t="s">
        <v>169</v>
      </c>
      <c r="AU82" s="38" t="s">
        <v>172</v>
      </c>
      <c r="AV82" s="38" t="s">
        <v>169</v>
      </c>
      <c r="AW82" s="38" t="s">
        <v>169</v>
      </c>
      <c r="AX82" s="38" t="s">
        <v>169</v>
      </c>
      <c r="AY82" s="38" t="s">
        <v>171</v>
      </c>
      <c r="AZ82" s="38" t="s">
        <v>171</v>
      </c>
      <c r="BA82" s="38" t="s">
        <v>172</v>
      </c>
      <c r="BB82" s="38" t="s">
        <v>170</v>
      </c>
      <c r="BC82" s="38" t="s">
        <v>171</v>
      </c>
      <c r="BD82" s="38" t="s">
        <v>169</v>
      </c>
      <c r="BE82" s="38" t="s">
        <v>169</v>
      </c>
      <c r="BF82" s="38" t="s">
        <v>171</v>
      </c>
      <c r="BG82" s="38" t="s">
        <v>171</v>
      </c>
      <c r="BH82" s="38" t="s">
        <v>170</v>
      </c>
      <c r="BI82" s="38" t="s">
        <v>169</v>
      </c>
      <c r="BJ82" s="38" t="s">
        <v>172</v>
      </c>
      <c r="BK82" s="38" t="s">
        <v>169</v>
      </c>
      <c r="BL82" s="38" t="s">
        <v>171</v>
      </c>
      <c r="BM82" s="38" t="s">
        <v>170</v>
      </c>
      <c r="BN82" s="38" t="s">
        <v>170</v>
      </c>
      <c r="BO82" s="38" t="s">
        <v>172</v>
      </c>
      <c r="BP82" s="38" t="s">
        <v>169</v>
      </c>
      <c r="BQ82" s="38" t="s">
        <v>171</v>
      </c>
      <c r="BR82" s="38" t="s">
        <v>170</v>
      </c>
      <c r="BS82" s="38" t="s">
        <v>169</v>
      </c>
      <c r="BT82" s="38" t="s">
        <v>169</v>
      </c>
      <c r="BU82" s="38" t="s">
        <v>169</v>
      </c>
      <c r="BV82" s="38" t="s">
        <v>169</v>
      </c>
      <c r="BW82" s="38" t="s">
        <v>169</v>
      </c>
      <c r="BX82" s="38" t="s">
        <v>172</v>
      </c>
    </row>
    <row r="83" customFormat="false" ht="15" hidden="false" customHeight="true" outlineLevel="0" collapsed="false">
      <c r="A83" s="38" t="s">
        <v>315</v>
      </c>
      <c r="B83" s="38" t="s">
        <v>324</v>
      </c>
      <c r="C83" s="38" t="s">
        <v>290</v>
      </c>
      <c r="D83" s="38" t="s">
        <v>179</v>
      </c>
      <c r="E83" s="38" t="s">
        <v>169</v>
      </c>
      <c r="F83" s="38" t="s">
        <v>169</v>
      </c>
      <c r="G83" s="38" t="s">
        <v>171</v>
      </c>
      <c r="H83" s="38" t="s">
        <v>169</v>
      </c>
      <c r="I83" s="38" t="s">
        <v>169</v>
      </c>
      <c r="J83" s="38" t="s">
        <v>172</v>
      </c>
      <c r="K83" s="38" t="s">
        <v>169</v>
      </c>
      <c r="L83" s="38" t="s">
        <v>171</v>
      </c>
      <c r="M83" s="38" t="s">
        <v>169</v>
      </c>
      <c r="N83" s="38" t="s">
        <v>169</v>
      </c>
      <c r="O83" s="38" t="s">
        <v>170</v>
      </c>
      <c r="P83" s="38" t="s">
        <v>170</v>
      </c>
      <c r="Q83" s="38" t="s">
        <v>169</v>
      </c>
      <c r="R83" s="38" t="s">
        <v>172</v>
      </c>
      <c r="S83" s="38" t="s">
        <v>169</v>
      </c>
      <c r="T83" s="40" t="s">
        <v>176</v>
      </c>
      <c r="U83" s="38" t="s">
        <v>172</v>
      </c>
      <c r="V83" s="38" t="s">
        <v>169</v>
      </c>
      <c r="W83" s="38" t="s">
        <v>169</v>
      </c>
      <c r="X83" s="38" t="s">
        <v>170</v>
      </c>
      <c r="Y83" s="38" t="s">
        <v>169</v>
      </c>
      <c r="Z83" s="38" t="s">
        <v>172</v>
      </c>
      <c r="AA83" s="38" t="s">
        <v>169</v>
      </c>
      <c r="AB83" s="38" t="s">
        <v>169</v>
      </c>
      <c r="AC83" s="38" t="s">
        <v>170</v>
      </c>
      <c r="AD83" s="38" t="s">
        <v>172</v>
      </c>
      <c r="AE83" s="38" t="s">
        <v>172</v>
      </c>
      <c r="AF83" s="38" t="s">
        <v>170</v>
      </c>
      <c r="AG83" s="38" t="s">
        <v>169</v>
      </c>
      <c r="AH83" s="38" t="s">
        <v>169</v>
      </c>
      <c r="AI83" s="38" t="s">
        <v>170</v>
      </c>
      <c r="AJ83" s="38" t="s">
        <v>170</v>
      </c>
      <c r="AK83" s="38" t="s">
        <v>171</v>
      </c>
      <c r="AL83" s="38" t="s">
        <v>169</v>
      </c>
      <c r="AM83" s="38" t="s">
        <v>170</v>
      </c>
      <c r="AN83" s="38" t="s">
        <v>172</v>
      </c>
      <c r="AO83" s="38" t="s">
        <v>172</v>
      </c>
      <c r="AP83" s="38" t="s">
        <v>172</v>
      </c>
      <c r="AQ83" s="38" t="s">
        <v>169</v>
      </c>
      <c r="AR83" s="38" t="s">
        <v>170</v>
      </c>
      <c r="AS83" s="38" t="s">
        <v>170</v>
      </c>
      <c r="AT83" s="38" t="s">
        <v>169</v>
      </c>
      <c r="AU83" s="38" t="s">
        <v>171</v>
      </c>
      <c r="AV83" s="38" t="s">
        <v>170</v>
      </c>
      <c r="AW83" s="38" t="s">
        <v>171</v>
      </c>
      <c r="AX83" s="40" t="s">
        <v>176</v>
      </c>
      <c r="AY83" s="38" t="s">
        <v>172</v>
      </c>
      <c r="AZ83" s="38" t="s">
        <v>170</v>
      </c>
      <c r="BA83" s="38" t="s">
        <v>172</v>
      </c>
      <c r="BB83" s="38" t="s">
        <v>170</v>
      </c>
      <c r="BC83" s="38" t="s">
        <v>169</v>
      </c>
      <c r="BD83" s="38" t="s">
        <v>169</v>
      </c>
      <c r="BE83" s="38" t="s">
        <v>169</v>
      </c>
      <c r="BF83" s="38" t="s">
        <v>171</v>
      </c>
      <c r="BG83" s="38" t="s">
        <v>171</v>
      </c>
      <c r="BH83" s="38" t="s">
        <v>170</v>
      </c>
      <c r="BI83" s="38" t="s">
        <v>172</v>
      </c>
      <c r="BJ83" s="38" t="s">
        <v>172</v>
      </c>
      <c r="BK83" s="38" t="s">
        <v>172</v>
      </c>
      <c r="BL83" s="38" t="s">
        <v>171</v>
      </c>
      <c r="BM83" s="38" t="s">
        <v>170</v>
      </c>
      <c r="BN83" s="38" t="s">
        <v>170</v>
      </c>
      <c r="BO83" s="38" t="s">
        <v>170</v>
      </c>
      <c r="BP83" s="38" t="s">
        <v>169</v>
      </c>
      <c r="BQ83" s="38" t="s">
        <v>171</v>
      </c>
      <c r="BR83" s="38" t="s">
        <v>170</v>
      </c>
      <c r="BS83" s="38" t="s">
        <v>171</v>
      </c>
      <c r="BT83" s="38" t="s">
        <v>170</v>
      </c>
      <c r="BU83" s="38" t="s">
        <v>170</v>
      </c>
      <c r="BV83" s="38" t="s">
        <v>172</v>
      </c>
      <c r="BW83" s="38" t="s">
        <v>170</v>
      </c>
      <c r="BX83" s="38" t="s">
        <v>170</v>
      </c>
    </row>
    <row r="84" customFormat="false" ht="15" hidden="false" customHeight="true" outlineLevel="0" collapsed="false">
      <c r="A84" s="38" t="s">
        <v>315</v>
      </c>
      <c r="B84" s="38" t="s">
        <v>325</v>
      </c>
      <c r="C84" s="38" t="s">
        <v>290</v>
      </c>
      <c r="D84" s="38" t="s">
        <v>179</v>
      </c>
      <c r="E84" s="38" t="s">
        <v>169</v>
      </c>
      <c r="F84" s="38" t="s">
        <v>169</v>
      </c>
      <c r="G84" s="38" t="s">
        <v>171</v>
      </c>
      <c r="H84" s="38" t="s">
        <v>169</v>
      </c>
      <c r="I84" s="38" t="s">
        <v>169</v>
      </c>
      <c r="J84" s="38" t="s">
        <v>172</v>
      </c>
      <c r="K84" s="38" t="s">
        <v>169</v>
      </c>
      <c r="L84" s="38" t="s">
        <v>171</v>
      </c>
      <c r="M84" s="38" t="s">
        <v>169</v>
      </c>
      <c r="N84" s="38" t="s">
        <v>169</v>
      </c>
      <c r="O84" s="38" t="s">
        <v>170</v>
      </c>
      <c r="P84" s="38" t="s">
        <v>170</v>
      </c>
      <c r="Q84" s="38" t="s">
        <v>169</v>
      </c>
      <c r="R84" s="38" t="s">
        <v>172</v>
      </c>
      <c r="S84" s="38" t="s">
        <v>169</v>
      </c>
      <c r="T84" s="40" t="s">
        <v>176</v>
      </c>
      <c r="U84" s="38" t="s">
        <v>172</v>
      </c>
      <c r="V84" s="38" t="s">
        <v>169</v>
      </c>
      <c r="W84" s="38" t="s">
        <v>169</v>
      </c>
      <c r="X84" s="38" t="s">
        <v>170</v>
      </c>
      <c r="Y84" s="38" t="s">
        <v>169</v>
      </c>
      <c r="Z84" s="38" t="s">
        <v>172</v>
      </c>
      <c r="AA84" s="38" t="s">
        <v>169</v>
      </c>
      <c r="AB84" s="38" t="s">
        <v>169</v>
      </c>
      <c r="AC84" s="38" t="s">
        <v>170</v>
      </c>
      <c r="AD84" s="38" t="s">
        <v>172</v>
      </c>
      <c r="AE84" s="38" t="s">
        <v>172</v>
      </c>
      <c r="AF84" s="38" t="s">
        <v>170</v>
      </c>
      <c r="AG84" s="38" t="s">
        <v>169</v>
      </c>
      <c r="AH84" s="38" t="s">
        <v>169</v>
      </c>
      <c r="AI84" s="38" t="s">
        <v>170</v>
      </c>
      <c r="AJ84" s="38" t="s">
        <v>170</v>
      </c>
      <c r="AK84" s="38" t="s">
        <v>171</v>
      </c>
      <c r="AL84" s="38" t="s">
        <v>169</v>
      </c>
      <c r="AM84" s="38" t="s">
        <v>170</v>
      </c>
      <c r="AN84" s="38" t="s">
        <v>172</v>
      </c>
      <c r="AO84" s="38" t="s">
        <v>172</v>
      </c>
      <c r="AP84" s="38" t="s">
        <v>172</v>
      </c>
      <c r="AQ84" s="38" t="s">
        <v>169</v>
      </c>
      <c r="AR84" s="38" t="s">
        <v>170</v>
      </c>
      <c r="AS84" s="38" t="s">
        <v>170</v>
      </c>
      <c r="AT84" s="38" t="s">
        <v>169</v>
      </c>
      <c r="AU84" s="38" t="s">
        <v>171</v>
      </c>
      <c r="AV84" s="38" t="s">
        <v>170</v>
      </c>
      <c r="AW84" s="38" t="s">
        <v>171</v>
      </c>
      <c r="AX84" s="40" t="s">
        <v>176</v>
      </c>
      <c r="AY84" s="38" t="s">
        <v>172</v>
      </c>
      <c r="AZ84" s="38" t="s">
        <v>170</v>
      </c>
      <c r="BA84" s="38" t="s">
        <v>172</v>
      </c>
      <c r="BB84" s="38" t="s">
        <v>170</v>
      </c>
      <c r="BC84" s="38" t="s">
        <v>169</v>
      </c>
      <c r="BD84" s="38" t="s">
        <v>169</v>
      </c>
      <c r="BE84" s="38" t="s">
        <v>169</v>
      </c>
      <c r="BF84" s="38" t="s">
        <v>171</v>
      </c>
      <c r="BG84" s="38" t="s">
        <v>171</v>
      </c>
      <c r="BH84" s="38" t="s">
        <v>170</v>
      </c>
      <c r="BI84" s="38" t="s">
        <v>172</v>
      </c>
      <c r="BJ84" s="38" t="s">
        <v>172</v>
      </c>
      <c r="BK84" s="38" t="s">
        <v>172</v>
      </c>
      <c r="BL84" s="38" t="s">
        <v>171</v>
      </c>
      <c r="BM84" s="38" t="s">
        <v>170</v>
      </c>
      <c r="BN84" s="38" t="s">
        <v>170</v>
      </c>
      <c r="BO84" s="38" t="s">
        <v>170</v>
      </c>
      <c r="BP84" s="38" t="s">
        <v>169</v>
      </c>
      <c r="BQ84" s="38" t="s">
        <v>171</v>
      </c>
      <c r="BR84" s="38" t="s">
        <v>170</v>
      </c>
      <c r="BS84" s="38" t="s">
        <v>171</v>
      </c>
      <c r="BT84" s="38" t="s">
        <v>170</v>
      </c>
      <c r="BU84" s="38" t="s">
        <v>170</v>
      </c>
      <c r="BV84" s="38" t="s">
        <v>172</v>
      </c>
      <c r="BW84" s="38" t="s">
        <v>170</v>
      </c>
      <c r="BX84" s="38" t="s">
        <v>170</v>
      </c>
    </row>
    <row r="85" customFormat="false" ht="15" hidden="false" customHeight="true" outlineLevel="0" collapsed="false">
      <c r="A85" s="38" t="s">
        <v>315</v>
      </c>
      <c r="B85" s="38" t="s">
        <v>326</v>
      </c>
      <c r="C85" s="38" t="s">
        <v>290</v>
      </c>
      <c r="D85" s="38" t="s">
        <v>179</v>
      </c>
      <c r="E85" s="38" t="s">
        <v>169</v>
      </c>
      <c r="F85" s="38" t="s">
        <v>172</v>
      </c>
      <c r="G85" s="38" t="s">
        <v>170</v>
      </c>
      <c r="H85" s="38" t="s">
        <v>170</v>
      </c>
      <c r="I85" s="38" t="s">
        <v>169</v>
      </c>
      <c r="J85" s="38" t="s">
        <v>171</v>
      </c>
      <c r="K85" s="38" t="s">
        <v>169</v>
      </c>
      <c r="L85" s="38" t="s">
        <v>171</v>
      </c>
      <c r="M85" s="38" t="s">
        <v>169</v>
      </c>
      <c r="N85" s="38" t="s">
        <v>170</v>
      </c>
      <c r="O85" s="38" t="s">
        <v>170</v>
      </c>
      <c r="P85" s="38" t="s">
        <v>170</v>
      </c>
      <c r="Q85" s="38" t="s">
        <v>169</v>
      </c>
      <c r="R85" s="38" t="s">
        <v>172</v>
      </c>
      <c r="S85" s="38" t="s">
        <v>169</v>
      </c>
      <c r="T85" s="40" t="s">
        <v>176</v>
      </c>
      <c r="U85" s="38" t="s">
        <v>172</v>
      </c>
      <c r="V85" s="38" t="s">
        <v>169</v>
      </c>
      <c r="W85" s="38" t="s">
        <v>169</v>
      </c>
      <c r="X85" s="38" t="s">
        <v>170</v>
      </c>
      <c r="Y85" s="38" t="s">
        <v>170</v>
      </c>
      <c r="Z85" s="38" t="s">
        <v>172</v>
      </c>
      <c r="AA85" s="38" t="s">
        <v>169</v>
      </c>
      <c r="AB85" s="38" t="s">
        <v>169</v>
      </c>
      <c r="AC85" s="38" t="s">
        <v>169</v>
      </c>
      <c r="AD85" s="38" t="s">
        <v>169</v>
      </c>
      <c r="AE85" s="38" t="s">
        <v>170</v>
      </c>
      <c r="AF85" s="38" t="s">
        <v>171</v>
      </c>
      <c r="AG85" s="38" t="s">
        <v>170</v>
      </c>
      <c r="AH85" s="38" t="s">
        <v>169</v>
      </c>
      <c r="AI85" s="38" t="s">
        <v>172</v>
      </c>
      <c r="AJ85" s="38" t="s">
        <v>170</v>
      </c>
      <c r="AK85" s="38" t="s">
        <v>171</v>
      </c>
      <c r="AL85" s="38" t="s">
        <v>169</v>
      </c>
      <c r="AM85" s="38" t="s">
        <v>170</v>
      </c>
      <c r="AN85" s="38" t="s">
        <v>172</v>
      </c>
      <c r="AO85" s="38" t="s">
        <v>172</v>
      </c>
      <c r="AP85" s="38" t="s">
        <v>170</v>
      </c>
      <c r="AQ85" s="38" t="s">
        <v>171</v>
      </c>
      <c r="AR85" s="38" t="s">
        <v>170</v>
      </c>
      <c r="AS85" s="38" t="s">
        <v>169</v>
      </c>
      <c r="AT85" s="38" t="s">
        <v>172</v>
      </c>
      <c r="AU85" s="38" t="s">
        <v>169</v>
      </c>
      <c r="AV85" s="38" t="s">
        <v>171</v>
      </c>
      <c r="AW85" s="38" t="s">
        <v>171</v>
      </c>
      <c r="AX85" s="38" t="s">
        <v>172</v>
      </c>
      <c r="AY85" s="38" t="s">
        <v>170</v>
      </c>
      <c r="AZ85" s="38" t="s">
        <v>170</v>
      </c>
      <c r="BA85" s="38" t="s">
        <v>169</v>
      </c>
      <c r="BB85" s="38" t="s">
        <v>169</v>
      </c>
      <c r="BC85" s="38" t="s">
        <v>171</v>
      </c>
      <c r="BD85" s="38" t="s">
        <v>171</v>
      </c>
      <c r="BE85" s="38" t="s">
        <v>170</v>
      </c>
      <c r="BF85" s="38" t="s">
        <v>171</v>
      </c>
      <c r="BG85" s="38" t="s">
        <v>172</v>
      </c>
      <c r="BH85" s="38" t="s">
        <v>172</v>
      </c>
      <c r="BI85" s="38" t="s">
        <v>171</v>
      </c>
      <c r="BJ85" s="38" t="s">
        <v>170</v>
      </c>
      <c r="BK85" s="38" t="s">
        <v>170</v>
      </c>
      <c r="BL85" s="38" t="s">
        <v>169</v>
      </c>
      <c r="BM85" s="38" t="s">
        <v>169</v>
      </c>
      <c r="BN85" s="38" t="s">
        <v>171</v>
      </c>
      <c r="BO85" s="38" t="s">
        <v>170</v>
      </c>
      <c r="BP85" s="38" t="s">
        <v>172</v>
      </c>
      <c r="BQ85" s="38" t="s">
        <v>170</v>
      </c>
      <c r="BR85" s="38" t="s">
        <v>169</v>
      </c>
      <c r="BS85" s="38" t="s">
        <v>169</v>
      </c>
      <c r="BT85" s="38" t="s">
        <v>171</v>
      </c>
      <c r="BU85" s="38" t="s">
        <v>170</v>
      </c>
      <c r="BV85" s="38" t="s">
        <v>171</v>
      </c>
      <c r="BW85" s="38" t="s">
        <v>170</v>
      </c>
      <c r="BX85" s="38" t="s">
        <v>170</v>
      </c>
    </row>
    <row r="86" customFormat="false" ht="15" hidden="false" customHeight="true" outlineLevel="0" collapsed="false">
      <c r="A86" s="38" t="s">
        <v>315</v>
      </c>
      <c r="B86" s="38" t="s">
        <v>327</v>
      </c>
      <c r="C86" s="38" t="s">
        <v>208</v>
      </c>
      <c r="D86" s="38" t="s">
        <v>209</v>
      </c>
      <c r="E86" s="38" t="s">
        <v>171</v>
      </c>
      <c r="F86" s="38" t="s">
        <v>169</v>
      </c>
      <c r="G86" s="38" t="s">
        <v>169</v>
      </c>
      <c r="H86" s="38" t="s">
        <v>169</v>
      </c>
      <c r="I86" s="38" t="s">
        <v>170</v>
      </c>
      <c r="J86" s="38" t="s">
        <v>171</v>
      </c>
      <c r="K86" s="38" t="s">
        <v>172</v>
      </c>
      <c r="L86" s="38" t="s">
        <v>171</v>
      </c>
      <c r="M86" s="38" t="s">
        <v>169</v>
      </c>
      <c r="N86" s="38" t="s">
        <v>170</v>
      </c>
      <c r="O86" s="38" t="s">
        <v>171</v>
      </c>
      <c r="P86" s="38" t="s">
        <v>169</v>
      </c>
      <c r="Q86" s="38" t="s">
        <v>171</v>
      </c>
      <c r="R86" s="38" t="s">
        <v>172</v>
      </c>
      <c r="S86" s="38" t="s">
        <v>172</v>
      </c>
      <c r="T86" s="38" t="s">
        <v>171</v>
      </c>
      <c r="U86" s="38" t="s">
        <v>171</v>
      </c>
      <c r="V86" s="38" t="s">
        <v>169</v>
      </c>
      <c r="W86" s="38" t="s">
        <v>169</v>
      </c>
      <c r="X86" s="38" t="s">
        <v>170</v>
      </c>
      <c r="Y86" s="38" t="s">
        <v>172</v>
      </c>
      <c r="Z86" s="38" t="s">
        <v>172</v>
      </c>
      <c r="AA86" s="38" t="s">
        <v>170</v>
      </c>
      <c r="AB86" s="38" t="s">
        <v>172</v>
      </c>
      <c r="AC86" s="38" t="s">
        <v>170</v>
      </c>
      <c r="AD86" s="38" t="s">
        <v>171</v>
      </c>
      <c r="AE86" s="38" t="s">
        <v>172</v>
      </c>
      <c r="AF86" s="38" t="s">
        <v>170</v>
      </c>
      <c r="AG86" s="38" t="s">
        <v>169</v>
      </c>
      <c r="AH86" s="38" t="s">
        <v>169</v>
      </c>
      <c r="AI86" s="38" t="s">
        <v>171</v>
      </c>
      <c r="AJ86" s="38" t="s">
        <v>171</v>
      </c>
      <c r="AK86" s="38" t="s">
        <v>171</v>
      </c>
      <c r="AL86" s="38" t="s">
        <v>170</v>
      </c>
      <c r="AM86" s="38" t="s">
        <v>171</v>
      </c>
      <c r="AN86" s="38" t="s">
        <v>169</v>
      </c>
      <c r="AO86" s="38" t="s">
        <v>169</v>
      </c>
      <c r="AP86" s="38" t="s">
        <v>171</v>
      </c>
      <c r="AQ86" s="38" t="s">
        <v>172</v>
      </c>
      <c r="AR86" s="38" t="s">
        <v>170</v>
      </c>
      <c r="AS86" s="38" t="s">
        <v>170</v>
      </c>
      <c r="AT86" s="38" t="s">
        <v>169</v>
      </c>
      <c r="AU86" s="38" t="s">
        <v>171</v>
      </c>
      <c r="AV86" s="38" t="s">
        <v>170</v>
      </c>
      <c r="AW86" s="38" t="s">
        <v>172</v>
      </c>
      <c r="AX86" s="40" t="s">
        <v>176</v>
      </c>
      <c r="AY86" s="38" t="s">
        <v>171</v>
      </c>
      <c r="AZ86" s="38" t="s">
        <v>171</v>
      </c>
      <c r="BA86" s="38" t="s">
        <v>170</v>
      </c>
      <c r="BB86" s="38" t="s">
        <v>171</v>
      </c>
      <c r="BC86" s="38" t="s">
        <v>172</v>
      </c>
      <c r="BD86" s="38" t="s">
        <v>169</v>
      </c>
      <c r="BE86" s="38" t="s">
        <v>169</v>
      </c>
      <c r="BF86" s="38" t="s">
        <v>171</v>
      </c>
      <c r="BG86" s="38" t="s">
        <v>171</v>
      </c>
      <c r="BH86" s="38" t="s">
        <v>170</v>
      </c>
      <c r="BI86" s="38" t="s">
        <v>169</v>
      </c>
      <c r="BJ86" s="38" t="s">
        <v>172</v>
      </c>
      <c r="BK86" s="38" t="s">
        <v>169</v>
      </c>
      <c r="BL86" s="38" t="s">
        <v>171</v>
      </c>
      <c r="BM86" s="38" t="s">
        <v>170</v>
      </c>
      <c r="BN86" s="38" t="s">
        <v>170</v>
      </c>
      <c r="BO86" s="38" t="s">
        <v>171</v>
      </c>
      <c r="BP86" s="38" t="s">
        <v>169</v>
      </c>
      <c r="BQ86" s="38" t="s">
        <v>169</v>
      </c>
      <c r="BR86" s="38" t="s">
        <v>171</v>
      </c>
      <c r="BS86" s="38" t="s">
        <v>172</v>
      </c>
      <c r="BT86" s="38" t="s">
        <v>169</v>
      </c>
      <c r="BU86" s="38" t="s">
        <v>170</v>
      </c>
      <c r="BV86" s="38" t="s">
        <v>170</v>
      </c>
      <c r="BW86" s="38" t="s">
        <v>170</v>
      </c>
      <c r="BX86" s="38" t="s">
        <v>172</v>
      </c>
    </row>
    <row r="87" customFormat="false" ht="15" hidden="false" customHeight="true" outlineLevel="0" collapsed="false">
      <c r="A87" s="38" t="s">
        <v>315</v>
      </c>
      <c r="B87" s="38" t="s">
        <v>328</v>
      </c>
      <c r="C87" s="38" t="s">
        <v>208</v>
      </c>
      <c r="D87" s="38" t="s">
        <v>329</v>
      </c>
      <c r="E87" s="38" t="s">
        <v>171</v>
      </c>
      <c r="F87" s="38" t="s">
        <v>170</v>
      </c>
      <c r="G87" s="38" t="s">
        <v>170</v>
      </c>
      <c r="H87" s="38" t="s">
        <v>170</v>
      </c>
      <c r="I87" s="38" t="s">
        <v>170</v>
      </c>
      <c r="J87" s="38" t="s">
        <v>170</v>
      </c>
      <c r="K87" s="38" t="s">
        <v>172</v>
      </c>
      <c r="L87" s="38" t="s">
        <v>171</v>
      </c>
      <c r="M87" s="38" t="s">
        <v>169</v>
      </c>
      <c r="N87" s="38" t="s">
        <v>169</v>
      </c>
      <c r="O87" s="38" t="s">
        <v>171</v>
      </c>
      <c r="P87" s="38" t="s">
        <v>169</v>
      </c>
      <c r="Q87" s="38" t="s">
        <v>171</v>
      </c>
      <c r="R87" s="38" t="s">
        <v>172</v>
      </c>
      <c r="S87" s="38" t="s">
        <v>172</v>
      </c>
      <c r="T87" s="38" t="s">
        <v>171</v>
      </c>
      <c r="U87" s="38" t="s">
        <v>170</v>
      </c>
      <c r="V87" s="38" t="s">
        <v>169</v>
      </c>
      <c r="W87" s="38" t="s">
        <v>169</v>
      </c>
      <c r="X87" s="38" t="s">
        <v>170</v>
      </c>
      <c r="Y87" s="38" t="s">
        <v>172</v>
      </c>
      <c r="Z87" s="38" t="s">
        <v>169</v>
      </c>
      <c r="AA87" s="38" t="s">
        <v>170</v>
      </c>
      <c r="AB87" s="38" t="s">
        <v>172</v>
      </c>
      <c r="AC87" s="38" t="s">
        <v>170</v>
      </c>
      <c r="AD87" s="38" t="s">
        <v>171</v>
      </c>
      <c r="AE87" s="38" t="s">
        <v>169</v>
      </c>
      <c r="AF87" s="38" t="s">
        <v>170</v>
      </c>
      <c r="AG87" s="38" t="s">
        <v>169</v>
      </c>
      <c r="AH87" s="38" t="s">
        <v>169</v>
      </c>
      <c r="AI87" s="38" t="s">
        <v>171</v>
      </c>
      <c r="AJ87" s="38" t="s">
        <v>171</v>
      </c>
      <c r="AK87" s="38" t="s">
        <v>171</v>
      </c>
      <c r="AL87" s="38" t="s">
        <v>171</v>
      </c>
      <c r="AM87" s="38" t="s">
        <v>171</v>
      </c>
      <c r="AN87" s="38" t="s">
        <v>169</v>
      </c>
      <c r="AO87" s="38" t="s">
        <v>169</v>
      </c>
      <c r="AP87" s="38" t="s">
        <v>171</v>
      </c>
      <c r="AQ87" s="38" t="s">
        <v>172</v>
      </c>
      <c r="AR87" s="38" t="s">
        <v>170</v>
      </c>
      <c r="AS87" s="38" t="s">
        <v>170</v>
      </c>
      <c r="AT87" s="38" t="s">
        <v>169</v>
      </c>
      <c r="AU87" s="38" t="s">
        <v>171</v>
      </c>
      <c r="AV87" s="38" t="s">
        <v>170</v>
      </c>
      <c r="AW87" s="38" t="s">
        <v>171</v>
      </c>
      <c r="AX87" s="40" t="s">
        <v>176</v>
      </c>
      <c r="AY87" s="38" t="s">
        <v>169</v>
      </c>
      <c r="AZ87" s="38" t="s">
        <v>171</v>
      </c>
      <c r="BA87" s="38" t="s">
        <v>171</v>
      </c>
      <c r="BB87" s="38" t="s">
        <v>170</v>
      </c>
      <c r="BC87" s="38" t="s">
        <v>172</v>
      </c>
      <c r="BD87" s="38" t="s">
        <v>169</v>
      </c>
      <c r="BE87" s="38" t="s">
        <v>169</v>
      </c>
      <c r="BF87" s="38" t="s">
        <v>171</v>
      </c>
      <c r="BG87" s="38" t="s">
        <v>171</v>
      </c>
      <c r="BH87" s="38" t="s">
        <v>170</v>
      </c>
      <c r="BI87" s="38" t="s">
        <v>172</v>
      </c>
      <c r="BJ87" s="38" t="s">
        <v>172</v>
      </c>
      <c r="BK87" s="38" t="s">
        <v>172</v>
      </c>
      <c r="BL87" s="38" t="s">
        <v>171</v>
      </c>
      <c r="BM87" s="38" t="s">
        <v>170</v>
      </c>
      <c r="BN87" s="38" t="s">
        <v>170</v>
      </c>
      <c r="BO87" s="38" t="s">
        <v>171</v>
      </c>
      <c r="BP87" s="38" t="s">
        <v>169</v>
      </c>
      <c r="BQ87" s="38" t="s">
        <v>172</v>
      </c>
      <c r="BR87" s="38" t="s">
        <v>171</v>
      </c>
      <c r="BS87" s="38" t="s">
        <v>169</v>
      </c>
      <c r="BT87" s="38" t="s">
        <v>169</v>
      </c>
      <c r="BU87" s="38" t="s">
        <v>169</v>
      </c>
      <c r="BV87" s="38" t="s">
        <v>169</v>
      </c>
      <c r="BW87" s="38" t="s">
        <v>169</v>
      </c>
      <c r="BX87" s="38" t="s">
        <v>172</v>
      </c>
    </row>
    <row r="88" customFormat="false" ht="15" hidden="false" customHeight="true" outlineLevel="0" collapsed="false">
      <c r="A88" s="38" t="s">
        <v>315</v>
      </c>
      <c r="B88" s="38" t="s">
        <v>330</v>
      </c>
      <c r="C88" s="38" t="s">
        <v>211</v>
      </c>
      <c r="D88" s="38" t="s">
        <v>214</v>
      </c>
      <c r="E88" s="38" t="s">
        <v>169</v>
      </c>
      <c r="F88" s="38" t="s">
        <v>170</v>
      </c>
      <c r="G88" s="38" t="s">
        <v>169</v>
      </c>
      <c r="H88" s="38" t="s">
        <v>169</v>
      </c>
      <c r="I88" s="38" t="s">
        <v>172</v>
      </c>
      <c r="J88" s="38" t="s">
        <v>170</v>
      </c>
      <c r="K88" s="38" t="s">
        <v>169</v>
      </c>
      <c r="L88" s="38" t="s">
        <v>171</v>
      </c>
      <c r="M88" s="38" t="s">
        <v>172</v>
      </c>
      <c r="N88" s="38" t="s">
        <v>169</v>
      </c>
      <c r="O88" s="38" t="s">
        <v>170</v>
      </c>
      <c r="P88" s="38" t="s">
        <v>171</v>
      </c>
      <c r="Q88" s="38" t="s">
        <v>170</v>
      </c>
      <c r="R88" s="38" t="s">
        <v>172</v>
      </c>
      <c r="S88" s="38" t="s">
        <v>169</v>
      </c>
      <c r="T88" s="38" t="s">
        <v>171</v>
      </c>
      <c r="U88" s="38" t="s">
        <v>171</v>
      </c>
      <c r="V88" s="38" t="s">
        <v>169</v>
      </c>
      <c r="W88" s="38" t="s">
        <v>169</v>
      </c>
      <c r="X88" s="38" t="s">
        <v>171</v>
      </c>
      <c r="Y88" s="38" t="s">
        <v>172</v>
      </c>
      <c r="Z88" s="38" t="s">
        <v>169</v>
      </c>
      <c r="AA88" s="38" t="s">
        <v>172</v>
      </c>
      <c r="AB88" s="38" t="s">
        <v>169</v>
      </c>
      <c r="AC88" s="38" t="s">
        <v>170</v>
      </c>
      <c r="AD88" s="38" t="s">
        <v>169</v>
      </c>
      <c r="AE88" s="38" t="s">
        <v>170</v>
      </c>
      <c r="AF88" s="38" t="s">
        <v>172</v>
      </c>
      <c r="AG88" s="38" t="s">
        <v>172</v>
      </c>
      <c r="AH88" s="38" t="s">
        <v>170</v>
      </c>
      <c r="AI88" s="38" t="s">
        <v>170</v>
      </c>
      <c r="AJ88" s="38" t="s">
        <v>171</v>
      </c>
      <c r="AK88" s="38" t="s">
        <v>171</v>
      </c>
      <c r="AL88" s="38" t="s">
        <v>169</v>
      </c>
      <c r="AM88" s="38" t="s">
        <v>170</v>
      </c>
      <c r="AN88" s="38" t="s">
        <v>170</v>
      </c>
      <c r="AO88" s="38" t="s">
        <v>172</v>
      </c>
      <c r="AP88" s="38" t="s">
        <v>172</v>
      </c>
      <c r="AQ88" s="38" t="s">
        <v>169</v>
      </c>
      <c r="AR88" s="38" t="s">
        <v>169</v>
      </c>
      <c r="AS88" s="38" t="s">
        <v>171</v>
      </c>
      <c r="AT88" s="38" t="s">
        <v>171</v>
      </c>
      <c r="AU88" s="38" t="s">
        <v>169</v>
      </c>
      <c r="AV88" s="38" t="s">
        <v>172</v>
      </c>
      <c r="AW88" s="38" t="s">
        <v>169</v>
      </c>
      <c r="AX88" s="38" t="s">
        <v>169</v>
      </c>
      <c r="AY88" s="38" t="s">
        <v>171</v>
      </c>
      <c r="AZ88" s="38" t="s">
        <v>170</v>
      </c>
      <c r="BA88" s="38" t="s">
        <v>169</v>
      </c>
      <c r="BB88" s="38" t="s">
        <v>170</v>
      </c>
      <c r="BC88" s="38" t="s">
        <v>170</v>
      </c>
      <c r="BD88" s="38" t="s">
        <v>172</v>
      </c>
      <c r="BE88" s="38" t="s">
        <v>169</v>
      </c>
      <c r="BF88" s="38" t="s">
        <v>171</v>
      </c>
      <c r="BG88" s="38" t="s">
        <v>171</v>
      </c>
      <c r="BH88" s="38" t="s">
        <v>170</v>
      </c>
      <c r="BI88" s="38" t="s">
        <v>169</v>
      </c>
      <c r="BJ88" s="38" t="s">
        <v>172</v>
      </c>
      <c r="BK88" s="38" t="s">
        <v>172</v>
      </c>
      <c r="BL88" s="38" t="s">
        <v>170</v>
      </c>
      <c r="BM88" s="38" t="s">
        <v>170</v>
      </c>
      <c r="BN88" s="38" t="s">
        <v>171</v>
      </c>
      <c r="BO88" s="38" t="s">
        <v>169</v>
      </c>
      <c r="BP88" s="38" t="s">
        <v>169</v>
      </c>
      <c r="BQ88" s="38" t="s">
        <v>171</v>
      </c>
      <c r="BR88" s="38" t="s">
        <v>170</v>
      </c>
      <c r="BS88" s="38" t="s">
        <v>169</v>
      </c>
      <c r="BT88" s="38" t="s">
        <v>171</v>
      </c>
      <c r="BU88" s="38" t="s">
        <v>170</v>
      </c>
      <c r="BV88" s="38" t="s">
        <v>170</v>
      </c>
      <c r="BW88" s="38" t="s">
        <v>169</v>
      </c>
      <c r="BX88" s="38" t="s">
        <v>170</v>
      </c>
    </row>
    <row r="89" customFormat="false" ht="15" hidden="false" customHeight="true" outlineLevel="0" collapsed="false">
      <c r="A89" s="38" t="s">
        <v>315</v>
      </c>
      <c r="B89" s="38" t="s">
        <v>331</v>
      </c>
      <c r="C89" s="38" t="s">
        <v>211</v>
      </c>
      <c r="D89" s="38" t="s">
        <v>212</v>
      </c>
      <c r="E89" s="38" t="s">
        <v>169</v>
      </c>
      <c r="F89" s="38" t="s">
        <v>170</v>
      </c>
      <c r="G89" s="38" t="s">
        <v>169</v>
      </c>
      <c r="H89" s="38" t="s">
        <v>169</v>
      </c>
      <c r="I89" s="38" t="s">
        <v>169</v>
      </c>
      <c r="J89" s="38" t="s">
        <v>171</v>
      </c>
      <c r="K89" s="38" t="s">
        <v>169</v>
      </c>
      <c r="L89" s="38" t="s">
        <v>171</v>
      </c>
      <c r="M89" s="38" t="s">
        <v>172</v>
      </c>
      <c r="N89" s="38" t="s">
        <v>169</v>
      </c>
      <c r="O89" s="38" t="s">
        <v>171</v>
      </c>
      <c r="P89" s="38" t="s">
        <v>171</v>
      </c>
      <c r="Q89" s="38" t="s">
        <v>171</v>
      </c>
      <c r="R89" s="38" t="s">
        <v>172</v>
      </c>
      <c r="S89" s="38" t="s">
        <v>172</v>
      </c>
      <c r="T89" s="38" t="s">
        <v>171</v>
      </c>
      <c r="U89" s="40" t="s">
        <v>176</v>
      </c>
      <c r="V89" s="38" t="s">
        <v>169</v>
      </c>
      <c r="W89" s="38" t="s">
        <v>169</v>
      </c>
      <c r="X89" s="38" t="s">
        <v>171</v>
      </c>
      <c r="Y89" s="38" t="s">
        <v>172</v>
      </c>
      <c r="Z89" s="38" t="s">
        <v>169</v>
      </c>
      <c r="AA89" s="38" t="s">
        <v>172</v>
      </c>
      <c r="AB89" s="38" t="s">
        <v>172</v>
      </c>
      <c r="AC89" s="38" t="s">
        <v>170</v>
      </c>
      <c r="AD89" s="38" t="s">
        <v>172</v>
      </c>
      <c r="AE89" s="38" t="s">
        <v>171</v>
      </c>
      <c r="AF89" s="38" t="s">
        <v>169</v>
      </c>
      <c r="AG89" s="38" t="s">
        <v>172</v>
      </c>
      <c r="AH89" s="38" t="s">
        <v>169</v>
      </c>
      <c r="AI89" s="38" t="s">
        <v>170</v>
      </c>
      <c r="AJ89" s="38" t="s">
        <v>171</v>
      </c>
      <c r="AK89" s="38" t="s">
        <v>171</v>
      </c>
      <c r="AL89" s="38" t="s">
        <v>170</v>
      </c>
      <c r="AM89" s="38" t="s">
        <v>170</v>
      </c>
      <c r="AN89" s="38" t="s">
        <v>170</v>
      </c>
      <c r="AO89" s="38" t="s">
        <v>172</v>
      </c>
      <c r="AP89" s="38" t="s">
        <v>172</v>
      </c>
      <c r="AQ89" s="38" t="s">
        <v>169</v>
      </c>
      <c r="AR89" s="38" t="s">
        <v>170</v>
      </c>
      <c r="AS89" s="38" t="s">
        <v>171</v>
      </c>
      <c r="AT89" s="38" t="s">
        <v>170</v>
      </c>
      <c r="AU89" s="38" t="s">
        <v>172</v>
      </c>
      <c r="AV89" s="38" t="s">
        <v>169</v>
      </c>
      <c r="AW89" s="38" t="s">
        <v>172</v>
      </c>
      <c r="AX89" s="40" t="s">
        <v>176</v>
      </c>
      <c r="AY89" s="38" t="s">
        <v>169</v>
      </c>
      <c r="AZ89" s="38" t="s">
        <v>170</v>
      </c>
      <c r="BA89" s="38" t="s">
        <v>169</v>
      </c>
      <c r="BB89" s="38" t="s">
        <v>170</v>
      </c>
      <c r="BC89" s="38" t="s">
        <v>169</v>
      </c>
      <c r="BD89" s="38" t="s">
        <v>172</v>
      </c>
      <c r="BE89" s="38" t="s">
        <v>169</v>
      </c>
      <c r="BF89" s="38" t="s">
        <v>171</v>
      </c>
      <c r="BG89" s="38" t="s">
        <v>171</v>
      </c>
      <c r="BH89" s="38" t="s">
        <v>170</v>
      </c>
      <c r="BI89" s="38" t="s">
        <v>169</v>
      </c>
      <c r="BJ89" s="38" t="s">
        <v>172</v>
      </c>
      <c r="BK89" s="38" t="s">
        <v>171</v>
      </c>
      <c r="BL89" s="38" t="s">
        <v>171</v>
      </c>
      <c r="BM89" s="38" t="s">
        <v>170</v>
      </c>
      <c r="BN89" s="38" t="s">
        <v>171</v>
      </c>
      <c r="BO89" s="38" t="s">
        <v>170</v>
      </c>
      <c r="BP89" s="38" t="s">
        <v>169</v>
      </c>
      <c r="BQ89" s="38" t="s">
        <v>171</v>
      </c>
      <c r="BR89" s="38" t="s">
        <v>170</v>
      </c>
      <c r="BS89" s="38" t="s">
        <v>172</v>
      </c>
      <c r="BT89" s="38" t="s">
        <v>170</v>
      </c>
      <c r="BU89" s="38" t="s">
        <v>170</v>
      </c>
      <c r="BV89" s="38" t="s">
        <v>170</v>
      </c>
      <c r="BW89" s="38" t="s">
        <v>169</v>
      </c>
      <c r="BX89" s="38" t="s">
        <v>170</v>
      </c>
    </row>
    <row r="90" customFormat="false" ht="15" hidden="false" customHeight="true" outlineLevel="0" collapsed="false">
      <c r="A90" s="38" t="s">
        <v>315</v>
      </c>
      <c r="B90" s="38" t="s">
        <v>332</v>
      </c>
      <c r="C90" s="38" t="s">
        <v>211</v>
      </c>
      <c r="D90" s="38" t="s">
        <v>293</v>
      </c>
      <c r="E90" s="38" t="s">
        <v>169</v>
      </c>
      <c r="F90" s="38" t="s">
        <v>170</v>
      </c>
      <c r="G90" s="38" t="s">
        <v>169</v>
      </c>
      <c r="H90" s="38" t="s">
        <v>169</v>
      </c>
      <c r="I90" s="38" t="s">
        <v>169</v>
      </c>
      <c r="J90" s="38" t="s">
        <v>170</v>
      </c>
      <c r="K90" s="38" t="s">
        <v>169</v>
      </c>
      <c r="L90" s="38" t="s">
        <v>171</v>
      </c>
      <c r="M90" s="38" t="s">
        <v>172</v>
      </c>
      <c r="N90" s="38" t="s">
        <v>169</v>
      </c>
      <c r="O90" s="38" t="s">
        <v>170</v>
      </c>
      <c r="P90" s="38" t="s">
        <v>171</v>
      </c>
      <c r="Q90" s="38" t="s">
        <v>170</v>
      </c>
      <c r="R90" s="38" t="s">
        <v>172</v>
      </c>
      <c r="S90" s="38" t="s">
        <v>172</v>
      </c>
      <c r="T90" s="40" t="s">
        <v>176</v>
      </c>
      <c r="U90" s="38" t="s">
        <v>171</v>
      </c>
      <c r="V90" s="38" t="s">
        <v>169</v>
      </c>
      <c r="W90" s="38" t="s">
        <v>169</v>
      </c>
      <c r="X90" s="38" t="s">
        <v>171</v>
      </c>
      <c r="Y90" s="38" t="s">
        <v>172</v>
      </c>
      <c r="Z90" s="38" t="s">
        <v>169</v>
      </c>
      <c r="AA90" s="38" t="s">
        <v>172</v>
      </c>
      <c r="AB90" s="38" t="s">
        <v>169</v>
      </c>
      <c r="AC90" s="38" t="s">
        <v>170</v>
      </c>
      <c r="AD90" s="38" t="s">
        <v>170</v>
      </c>
      <c r="AE90" s="38" t="s">
        <v>170</v>
      </c>
      <c r="AF90" s="38" t="s">
        <v>171</v>
      </c>
      <c r="AG90" s="38" t="s">
        <v>172</v>
      </c>
      <c r="AH90" s="38" t="s">
        <v>169</v>
      </c>
      <c r="AI90" s="38" t="s">
        <v>171</v>
      </c>
      <c r="AJ90" s="38" t="s">
        <v>170</v>
      </c>
      <c r="AK90" s="38" t="s">
        <v>171</v>
      </c>
      <c r="AL90" s="38" t="s">
        <v>171</v>
      </c>
      <c r="AM90" s="38" t="s">
        <v>170</v>
      </c>
      <c r="AN90" s="38" t="s">
        <v>170</v>
      </c>
      <c r="AO90" s="38" t="s">
        <v>172</v>
      </c>
      <c r="AP90" s="38" t="s">
        <v>172</v>
      </c>
      <c r="AQ90" s="38" t="s">
        <v>172</v>
      </c>
      <c r="AR90" s="38" t="s">
        <v>170</v>
      </c>
      <c r="AS90" s="38" t="s">
        <v>171</v>
      </c>
      <c r="AT90" s="38" t="s">
        <v>172</v>
      </c>
      <c r="AU90" s="38" t="s">
        <v>169</v>
      </c>
      <c r="AV90" s="38" t="s">
        <v>170</v>
      </c>
      <c r="AW90" s="38" t="s">
        <v>171</v>
      </c>
      <c r="AX90" s="40" t="s">
        <v>176</v>
      </c>
      <c r="AY90" s="38" t="s">
        <v>172</v>
      </c>
      <c r="AZ90" s="38" t="s">
        <v>170</v>
      </c>
      <c r="BA90" s="38" t="s">
        <v>169</v>
      </c>
      <c r="BB90" s="38" t="s">
        <v>170</v>
      </c>
      <c r="BC90" s="38" t="s">
        <v>169</v>
      </c>
      <c r="BD90" s="38" t="s">
        <v>169</v>
      </c>
      <c r="BE90" s="38" t="s">
        <v>169</v>
      </c>
      <c r="BF90" s="38" t="s">
        <v>171</v>
      </c>
      <c r="BG90" s="38" t="s">
        <v>171</v>
      </c>
      <c r="BH90" s="38" t="s">
        <v>170</v>
      </c>
      <c r="BI90" s="38" t="s">
        <v>169</v>
      </c>
      <c r="BJ90" s="38" t="s">
        <v>172</v>
      </c>
      <c r="BK90" s="38" t="s">
        <v>171</v>
      </c>
      <c r="BL90" s="38" t="s">
        <v>171</v>
      </c>
      <c r="BM90" s="38" t="s">
        <v>170</v>
      </c>
      <c r="BN90" s="38" t="s">
        <v>170</v>
      </c>
      <c r="BO90" s="38" t="s">
        <v>170</v>
      </c>
      <c r="BP90" s="38" t="s">
        <v>169</v>
      </c>
      <c r="BQ90" s="38" t="s">
        <v>171</v>
      </c>
      <c r="BR90" s="38" t="s">
        <v>170</v>
      </c>
      <c r="BS90" s="38" t="s">
        <v>169</v>
      </c>
      <c r="BT90" s="38" t="s">
        <v>170</v>
      </c>
      <c r="BU90" s="38" t="s">
        <v>170</v>
      </c>
      <c r="BV90" s="38" t="s">
        <v>170</v>
      </c>
      <c r="BW90" s="38" t="s">
        <v>169</v>
      </c>
      <c r="BX90" s="38" t="s">
        <v>170</v>
      </c>
    </row>
    <row r="91" customFormat="false" ht="15" hidden="false" customHeight="true" outlineLevel="0" collapsed="false">
      <c r="A91" s="38" t="s">
        <v>315</v>
      </c>
      <c r="B91" s="38" t="s">
        <v>333</v>
      </c>
      <c r="C91" s="38" t="s">
        <v>260</v>
      </c>
      <c r="D91" s="38" t="s">
        <v>261</v>
      </c>
      <c r="E91" s="38" t="s">
        <v>169</v>
      </c>
      <c r="F91" s="38" t="s">
        <v>171</v>
      </c>
      <c r="G91" s="38" t="s">
        <v>169</v>
      </c>
      <c r="H91" s="38" t="s">
        <v>169</v>
      </c>
      <c r="I91" s="38" t="s">
        <v>169</v>
      </c>
      <c r="J91" s="38" t="s">
        <v>171</v>
      </c>
      <c r="K91" s="38" t="s">
        <v>172</v>
      </c>
      <c r="L91" s="38" t="s">
        <v>171</v>
      </c>
      <c r="M91" s="38" t="s">
        <v>172</v>
      </c>
      <c r="N91" s="38" t="s">
        <v>169</v>
      </c>
      <c r="O91" s="38" t="s">
        <v>170</v>
      </c>
      <c r="P91" s="38" t="s">
        <v>171</v>
      </c>
      <c r="Q91" s="38" t="s">
        <v>170</v>
      </c>
      <c r="R91" s="38" t="s">
        <v>172</v>
      </c>
      <c r="S91" s="38" t="s">
        <v>169</v>
      </c>
      <c r="T91" s="38" t="s">
        <v>170</v>
      </c>
      <c r="U91" s="38" t="s">
        <v>171</v>
      </c>
      <c r="V91" s="38" t="s">
        <v>169</v>
      </c>
      <c r="W91" s="38" t="s">
        <v>169</v>
      </c>
      <c r="X91" s="38" t="s">
        <v>170</v>
      </c>
      <c r="Y91" s="38" t="s">
        <v>172</v>
      </c>
      <c r="Z91" s="38" t="s">
        <v>169</v>
      </c>
      <c r="AA91" s="38" t="s">
        <v>172</v>
      </c>
      <c r="AB91" s="38" t="s">
        <v>169</v>
      </c>
      <c r="AC91" s="38" t="s">
        <v>170</v>
      </c>
      <c r="AD91" s="38" t="s">
        <v>172</v>
      </c>
      <c r="AE91" s="38" t="s">
        <v>170</v>
      </c>
      <c r="AF91" s="38" t="s">
        <v>170</v>
      </c>
      <c r="AG91" s="38" t="s">
        <v>171</v>
      </c>
      <c r="AH91" s="38" t="s">
        <v>169</v>
      </c>
      <c r="AI91" s="38" t="s">
        <v>169</v>
      </c>
      <c r="AJ91" s="38" t="s">
        <v>171</v>
      </c>
      <c r="AK91" s="38" t="s">
        <v>171</v>
      </c>
      <c r="AL91" s="38" t="s">
        <v>169</v>
      </c>
      <c r="AM91" s="38" t="s">
        <v>171</v>
      </c>
      <c r="AN91" s="38" t="s">
        <v>169</v>
      </c>
      <c r="AO91" s="38" t="s">
        <v>169</v>
      </c>
      <c r="AP91" s="38" t="s">
        <v>171</v>
      </c>
      <c r="AQ91" s="38" t="s">
        <v>171</v>
      </c>
      <c r="AR91" s="38" t="s">
        <v>170</v>
      </c>
      <c r="AS91" s="38" t="s">
        <v>172</v>
      </c>
      <c r="AT91" s="38" t="s">
        <v>169</v>
      </c>
      <c r="AU91" s="38" t="s">
        <v>169</v>
      </c>
      <c r="AV91" s="38" t="s">
        <v>172</v>
      </c>
      <c r="AW91" s="38" t="s">
        <v>171</v>
      </c>
      <c r="AX91" s="38" t="s">
        <v>169</v>
      </c>
      <c r="AY91" s="38" t="s">
        <v>171</v>
      </c>
      <c r="AZ91" s="38" t="s">
        <v>170</v>
      </c>
      <c r="BA91" s="38" t="s">
        <v>169</v>
      </c>
      <c r="BB91" s="38" t="s">
        <v>170</v>
      </c>
      <c r="BC91" s="38" t="s">
        <v>169</v>
      </c>
      <c r="BD91" s="38" t="s">
        <v>169</v>
      </c>
      <c r="BE91" s="38" t="s">
        <v>169</v>
      </c>
      <c r="BF91" s="38" t="s">
        <v>171</v>
      </c>
      <c r="BG91" s="38" t="s">
        <v>171</v>
      </c>
      <c r="BH91" s="38" t="s">
        <v>170</v>
      </c>
      <c r="BI91" s="38" t="s">
        <v>172</v>
      </c>
      <c r="BJ91" s="38" t="s">
        <v>172</v>
      </c>
      <c r="BK91" s="38" t="s">
        <v>169</v>
      </c>
      <c r="BL91" s="38" t="s">
        <v>171</v>
      </c>
      <c r="BM91" s="38" t="s">
        <v>170</v>
      </c>
      <c r="BN91" s="38" t="s">
        <v>170</v>
      </c>
      <c r="BO91" s="38" t="s">
        <v>170</v>
      </c>
      <c r="BP91" s="38" t="s">
        <v>169</v>
      </c>
      <c r="BQ91" s="38" t="s">
        <v>171</v>
      </c>
      <c r="BR91" s="38" t="s">
        <v>171</v>
      </c>
      <c r="BS91" s="38" t="s">
        <v>172</v>
      </c>
      <c r="BT91" s="38" t="s">
        <v>170</v>
      </c>
      <c r="BU91" s="38" t="s">
        <v>171</v>
      </c>
      <c r="BV91" s="38" t="s">
        <v>170</v>
      </c>
      <c r="BW91" s="38" t="s">
        <v>172</v>
      </c>
      <c r="BX91" s="38" t="s">
        <v>170</v>
      </c>
    </row>
    <row r="92" customFormat="false" ht="15" hidden="false" customHeight="true" outlineLevel="0" collapsed="false">
      <c r="A92" s="38" t="s">
        <v>315</v>
      </c>
      <c r="B92" s="38" t="s">
        <v>334</v>
      </c>
      <c r="C92" s="38" t="s">
        <v>267</v>
      </c>
      <c r="D92" s="38" t="s">
        <v>182</v>
      </c>
      <c r="E92" s="38" t="s">
        <v>169</v>
      </c>
      <c r="F92" s="38" t="s">
        <v>170</v>
      </c>
      <c r="G92" s="38" t="s">
        <v>169</v>
      </c>
      <c r="H92" s="38" t="s">
        <v>170</v>
      </c>
      <c r="I92" s="38" t="s">
        <v>170</v>
      </c>
      <c r="J92" s="38" t="s">
        <v>169</v>
      </c>
      <c r="K92" s="38" t="s">
        <v>171</v>
      </c>
      <c r="L92" s="38" t="s">
        <v>171</v>
      </c>
      <c r="M92" s="38" t="s">
        <v>172</v>
      </c>
      <c r="N92" s="38" t="s">
        <v>169</v>
      </c>
      <c r="O92" s="38" t="s">
        <v>170</v>
      </c>
      <c r="P92" s="38" t="s">
        <v>171</v>
      </c>
      <c r="Q92" s="38" t="s">
        <v>170</v>
      </c>
      <c r="R92" s="38" t="s">
        <v>172</v>
      </c>
      <c r="S92" s="38" t="s">
        <v>169</v>
      </c>
      <c r="T92" s="38" t="s">
        <v>171</v>
      </c>
      <c r="U92" s="38" t="s">
        <v>171</v>
      </c>
      <c r="V92" s="38" t="s">
        <v>169</v>
      </c>
      <c r="W92" s="38" t="s">
        <v>169</v>
      </c>
      <c r="X92" s="38" t="s">
        <v>171</v>
      </c>
      <c r="Y92" s="38" t="s">
        <v>172</v>
      </c>
      <c r="Z92" s="38" t="s">
        <v>169</v>
      </c>
      <c r="AA92" s="38" t="s">
        <v>172</v>
      </c>
      <c r="AB92" s="38" t="s">
        <v>169</v>
      </c>
      <c r="AC92" s="38" t="s">
        <v>170</v>
      </c>
      <c r="AD92" s="38" t="s">
        <v>172</v>
      </c>
      <c r="AE92" s="38" t="s">
        <v>169</v>
      </c>
      <c r="AF92" s="38" t="s">
        <v>170</v>
      </c>
      <c r="AG92" s="38" t="s">
        <v>171</v>
      </c>
      <c r="AH92" s="38" t="s">
        <v>169</v>
      </c>
      <c r="AI92" s="38" t="s">
        <v>172</v>
      </c>
      <c r="AJ92" s="38" t="s">
        <v>170</v>
      </c>
      <c r="AK92" s="38" t="s">
        <v>171</v>
      </c>
      <c r="AL92" s="38" t="s">
        <v>170</v>
      </c>
      <c r="AM92" s="38" t="s">
        <v>171</v>
      </c>
      <c r="AN92" s="38" t="s">
        <v>171</v>
      </c>
      <c r="AO92" s="38" t="s">
        <v>172</v>
      </c>
      <c r="AP92" s="38" t="s">
        <v>172</v>
      </c>
      <c r="AQ92" s="38" t="s">
        <v>171</v>
      </c>
      <c r="AR92" s="38" t="s">
        <v>170</v>
      </c>
      <c r="AS92" s="38" t="s">
        <v>172</v>
      </c>
      <c r="AT92" s="38" t="s">
        <v>169</v>
      </c>
      <c r="AU92" s="38" t="s">
        <v>170</v>
      </c>
      <c r="AV92" s="38" t="s">
        <v>169</v>
      </c>
      <c r="AW92" s="38" t="s">
        <v>169</v>
      </c>
      <c r="AX92" s="38" t="s">
        <v>169</v>
      </c>
      <c r="AY92" s="38" t="s">
        <v>171</v>
      </c>
      <c r="AZ92" s="38" t="s">
        <v>170</v>
      </c>
      <c r="BA92" s="38" t="s">
        <v>170</v>
      </c>
      <c r="BB92" s="38" t="s">
        <v>169</v>
      </c>
      <c r="BC92" s="38" t="s">
        <v>169</v>
      </c>
      <c r="BD92" s="38" t="s">
        <v>169</v>
      </c>
      <c r="BE92" s="38" t="s">
        <v>169</v>
      </c>
      <c r="BF92" s="38" t="s">
        <v>171</v>
      </c>
      <c r="BG92" s="38" t="s">
        <v>171</v>
      </c>
      <c r="BH92" s="38" t="s">
        <v>170</v>
      </c>
      <c r="BI92" s="38" t="s">
        <v>169</v>
      </c>
      <c r="BJ92" s="38" t="s">
        <v>172</v>
      </c>
      <c r="BK92" s="38" t="s">
        <v>169</v>
      </c>
      <c r="BL92" s="38" t="s">
        <v>171</v>
      </c>
      <c r="BM92" s="38" t="s">
        <v>170</v>
      </c>
      <c r="BN92" s="38" t="s">
        <v>170</v>
      </c>
      <c r="BO92" s="38" t="s">
        <v>170</v>
      </c>
      <c r="BP92" s="38" t="s">
        <v>171</v>
      </c>
      <c r="BQ92" s="38" t="s">
        <v>169</v>
      </c>
      <c r="BR92" s="38" t="s">
        <v>172</v>
      </c>
      <c r="BS92" s="38" t="s">
        <v>170</v>
      </c>
      <c r="BT92" s="38" t="s">
        <v>169</v>
      </c>
      <c r="BU92" s="38" t="s">
        <v>169</v>
      </c>
      <c r="BV92" s="38" t="s">
        <v>170</v>
      </c>
      <c r="BW92" s="38" t="s">
        <v>169</v>
      </c>
      <c r="BX92" s="38" t="s">
        <v>170</v>
      </c>
    </row>
    <row r="93" customFormat="false" ht="15" hidden="false" customHeight="true" outlineLevel="0" collapsed="false">
      <c r="A93" s="38" t="s">
        <v>315</v>
      </c>
      <c r="B93" s="38" t="s">
        <v>335</v>
      </c>
      <c r="C93" s="38" t="s">
        <v>299</v>
      </c>
      <c r="D93" s="38" t="s">
        <v>187</v>
      </c>
      <c r="E93" s="38" t="s">
        <v>169</v>
      </c>
      <c r="F93" s="38" t="s">
        <v>169</v>
      </c>
      <c r="G93" s="38" t="s">
        <v>169</v>
      </c>
      <c r="H93" s="38" t="s">
        <v>169</v>
      </c>
      <c r="I93" s="38" t="s">
        <v>170</v>
      </c>
      <c r="J93" s="38" t="s">
        <v>169</v>
      </c>
      <c r="K93" s="38" t="s">
        <v>169</v>
      </c>
      <c r="L93" s="38" t="s">
        <v>171</v>
      </c>
      <c r="M93" s="38" t="s">
        <v>172</v>
      </c>
      <c r="N93" s="38" t="s">
        <v>169</v>
      </c>
      <c r="O93" s="38" t="s">
        <v>170</v>
      </c>
      <c r="P93" s="38" t="s">
        <v>171</v>
      </c>
      <c r="Q93" s="38" t="s">
        <v>170</v>
      </c>
      <c r="R93" s="38" t="s">
        <v>172</v>
      </c>
      <c r="S93" s="38" t="s">
        <v>169</v>
      </c>
      <c r="T93" s="38" t="s">
        <v>170</v>
      </c>
      <c r="U93" s="38" t="s">
        <v>170</v>
      </c>
      <c r="V93" s="38" t="s">
        <v>169</v>
      </c>
      <c r="W93" s="38" t="s">
        <v>169</v>
      </c>
      <c r="X93" s="38" t="s">
        <v>171</v>
      </c>
      <c r="Y93" s="38" t="s">
        <v>172</v>
      </c>
      <c r="Z93" s="38" t="s">
        <v>169</v>
      </c>
      <c r="AA93" s="38" t="s">
        <v>172</v>
      </c>
      <c r="AB93" s="38" t="s">
        <v>169</v>
      </c>
      <c r="AC93" s="38" t="s">
        <v>170</v>
      </c>
      <c r="AD93" s="38" t="s">
        <v>172</v>
      </c>
      <c r="AE93" s="38" t="s">
        <v>169</v>
      </c>
      <c r="AF93" s="38" t="s">
        <v>170</v>
      </c>
      <c r="AG93" s="38" t="s">
        <v>169</v>
      </c>
      <c r="AH93" s="38" t="s">
        <v>169</v>
      </c>
      <c r="AI93" s="38" t="s">
        <v>172</v>
      </c>
      <c r="AJ93" s="38" t="s">
        <v>170</v>
      </c>
      <c r="AK93" s="38" t="s">
        <v>171</v>
      </c>
      <c r="AL93" s="38" t="s">
        <v>170</v>
      </c>
      <c r="AM93" s="38" t="s">
        <v>172</v>
      </c>
      <c r="AN93" s="38" t="s">
        <v>171</v>
      </c>
      <c r="AO93" s="38" t="s">
        <v>172</v>
      </c>
      <c r="AP93" s="38" t="s">
        <v>172</v>
      </c>
      <c r="AQ93" s="38" t="s">
        <v>171</v>
      </c>
      <c r="AR93" s="38" t="s">
        <v>170</v>
      </c>
      <c r="AS93" s="38" t="s">
        <v>170</v>
      </c>
      <c r="AT93" s="38" t="s">
        <v>169</v>
      </c>
      <c r="AU93" s="38" t="s">
        <v>171</v>
      </c>
      <c r="AV93" s="38" t="s">
        <v>170</v>
      </c>
      <c r="AW93" s="38" t="s">
        <v>169</v>
      </c>
      <c r="AX93" s="38" t="s">
        <v>169</v>
      </c>
      <c r="AY93" s="38" t="s">
        <v>170</v>
      </c>
      <c r="AZ93" s="38" t="s">
        <v>170</v>
      </c>
      <c r="BA93" s="38" t="s">
        <v>169</v>
      </c>
      <c r="BB93" s="38" t="s">
        <v>171</v>
      </c>
      <c r="BC93" s="38" t="s">
        <v>169</v>
      </c>
      <c r="BD93" s="38" t="s">
        <v>169</v>
      </c>
      <c r="BE93" s="38" t="s">
        <v>169</v>
      </c>
      <c r="BF93" s="38" t="s">
        <v>171</v>
      </c>
      <c r="BG93" s="38" t="s">
        <v>171</v>
      </c>
      <c r="BH93" s="38" t="s">
        <v>170</v>
      </c>
      <c r="BI93" s="38" t="s">
        <v>169</v>
      </c>
      <c r="BJ93" s="38" t="s">
        <v>172</v>
      </c>
      <c r="BK93" s="38" t="s">
        <v>169</v>
      </c>
      <c r="BL93" s="38" t="s">
        <v>171</v>
      </c>
      <c r="BM93" s="38" t="s">
        <v>170</v>
      </c>
      <c r="BN93" s="38" t="s">
        <v>170</v>
      </c>
      <c r="BO93" s="38" t="s">
        <v>170</v>
      </c>
      <c r="BP93" s="38" t="s">
        <v>172</v>
      </c>
      <c r="BQ93" s="38" t="s">
        <v>170</v>
      </c>
      <c r="BR93" s="38" t="s">
        <v>170</v>
      </c>
      <c r="BS93" s="38" t="s">
        <v>170</v>
      </c>
      <c r="BT93" s="38" t="s">
        <v>169</v>
      </c>
      <c r="BU93" s="38" t="s">
        <v>170</v>
      </c>
      <c r="BV93" s="38" t="s">
        <v>170</v>
      </c>
      <c r="BW93" s="38" t="s">
        <v>170</v>
      </c>
      <c r="BX93" s="38" t="s">
        <v>170</v>
      </c>
    </row>
    <row r="94" customFormat="false" ht="15" hidden="false" customHeight="true" outlineLevel="0" collapsed="false">
      <c r="A94" s="38" t="s">
        <v>315</v>
      </c>
      <c r="B94" s="38" t="s">
        <v>336</v>
      </c>
      <c r="C94" s="38" t="s">
        <v>299</v>
      </c>
      <c r="D94" s="38" t="s">
        <v>187</v>
      </c>
      <c r="E94" s="38" t="s">
        <v>170</v>
      </c>
      <c r="F94" s="38" t="s">
        <v>169</v>
      </c>
      <c r="G94" s="38" t="s">
        <v>170</v>
      </c>
      <c r="H94" s="38" t="s">
        <v>169</v>
      </c>
      <c r="I94" s="38" t="s">
        <v>169</v>
      </c>
      <c r="J94" s="38" t="s">
        <v>169</v>
      </c>
      <c r="K94" s="38" t="s">
        <v>169</v>
      </c>
      <c r="L94" s="38" t="s">
        <v>171</v>
      </c>
      <c r="M94" s="38" t="s">
        <v>169</v>
      </c>
      <c r="N94" s="38" t="s">
        <v>169</v>
      </c>
      <c r="O94" s="38" t="s">
        <v>172</v>
      </c>
      <c r="P94" s="38" t="s">
        <v>169</v>
      </c>
      <c r="Q94" s="38" t="s">
        <v>170</v>
      </c>
      <c r="R94" s="38" t="s">
        <v>172</v>
      </c>
      <c r="S94" s="38" t="s">
        <v>169</v>
      </c>
      <c r="T94" s="38" t="s">
        <v>170</v>
      </c>
      <c r="U94" s="38" t="s">
        <v>171</v>
      </c>
      <c r="V94" s="38" t="s">
        <v>169</v>
      </c>
      <c r="W94" s="38" t="s">
        <v>169</v>
      </c>
      <c r="X94" s="38" t="s">
        <v>171</v>
      </c>
      <c r="Y94" s="38" t="s">
        <v>172</v>
      </c>
      <c r="Z94" s="38" t="s">
        <v>169</v>
      </c>
      <c r="AA94" s="38" t="s">
        <v>170</v>
      </c>
      <c r="AB94" s="38" t="s">
        <v>171</v>
      </c>
      <c r="AC94" s="38" t="s">
        <v>170</v>
      </c>
      <c r="AD94" s="38" t="s">
        <v>169</v>
      </c>
      <c r="AE94" s="38" t="s">
        <v>170</v>
      </c>
      <c r="AF94" s="38" t="s">
        <v>171</v>
      </c>
      <c r="AG94" s="38" t="s">
        <v>169</v>
      </c>
      <c r="AH94" s="38" t="s">
        <v>169</v>
      </c>
      <c r="AI94" s="38" t="s">
        <v>169</v>
      </c>
      <c r="AJ94" s="38" t="s">
        <v>170</v>
      </c>
      <c r="AK94" s="38" t="s">
        <v>171</v>
      </c>
      <c r="AL94" s="38" t="s">
        <v>170</v>
      </c>
      <c r="AM94" s="38" t="s">
        <v>172</v>
      </c>
      <c r="AN94" s="38" t="s">
        <v>171</v>
      </c>
      <c r="AO94" s="38" t="s">
        <v>172</v>
      </c>
      <c r="AP94" s="38" t="s">
        <v>172</v>
      </c>
      <c r="AQ94" s="38" t="s">
        <v>170</v>
      </c>
      <c r="AR94" s="38" t="s">
        <v>170</v>
      </c>
      <c r="AS94" s="38" t="s">
        <v>170</v>
      </c>
      <c r="AT94" s="38" t="s">
        <v>172</v>
      </c>
      <c r="AU94" s="38" t="s">
        <v>169</v>
      </c>
      <c r="AV94" s="38" t="s">
        <v>172</v>
      </c>
      <c r="AW94" s="38" t="s">
        <v>169</v>
      </c>
      <c r="AX94" s="38" t="s">
        <v>169</v>
      </c>
      <c r="AY94" s="38" t="s">
        <v>171</v>
      </c>
      <c r="AZ94" s="38" t="s">
        <v>170</v>
      </c>
      <c r="BA94" s="38" t="s">
        <v>169</v>
      </c>
      <c r="BB94" s="38" t="s">
        <v>170</v>
      </c>
      <c r="BC94" s="38" t="s">
        <v>172</v>
      </c>
      <c r="BD94" s="38" t="s">
        <v>169</v>
      </c>
      <c r="BE94" s="38" t="s">
        <v>169</v>
      </c>
      <c r="BF94" s="38" t="s">
        <v>171</v>
      </c>
      <c r="BG94" s="38" t="s">
        <v>171</v>
      </c>
      <c r="BH94" s="38" t="s">
        <v>170</v>
      </c>
      <c r="BI94" s="38" t="s">
        <v>172</v>
      </c>
      <c r="BJ94" s="38" t="s">
        <v>172</v>
      </c>
      <c r="BK94" s="38" t="s">
        <v>172</v>
      </c>
      <c r="BL94" s="38" t="s">
        <v>171</v>
      </c>
      <c r="BM94" s="38" t="s">
        <v>170</v>
      </c>
      <c r="BN94" s="38" t="s">
        <v>170</v>
      </c>
      <c r="BO94" s="38" t="s">
        <v>171</v>
      </c>
      <c r="BP94" s="38" t="s">
        <v>169</v>
      </c>
      <c r="BQ94" s="38" t="s">
        <v>171</v>
      </c>
      <c r="BR94" s="38" t="s">
        <v>170</v>
      </c>
      <c r="BS94" s="38" t="s">
        <v>170</v>
      </c>
      <c r="BT94" s="38" t="s">
        <v>170</v>
      </c>
      <c r="BU94" s="38" t="s">
        <v>170</v>
      </c>
      <c r="BV94" s="38" t="s">
        <v>169</v>
      </c>
      <c r="BW94" s="38" t="s">
        <v>170</v>
      </c>
      <c r="BX94" s="38" t="s">
        <v>171</v>
      </c>
    </row>
    <row r="95" customFormat="false" ht="15" hidden="false" customHeight="true" outlineLevel="0" collapsed="false">
      <c r="A95" s="38" t="s">
        <v>315</v>
      </c>
      <c r="B95" s="38" t="s">
        <v>337</v>
      </c>
      <c r="C95" s="38" t="s">
        <v>299</v>
      </c>
      <c r="D95" s="38" t="s">
        <v>187</v>
      </c>
      <c r="E95" s="38" t="s">
        <v>172</v>
      </c>
      <c r="F95" s="38" t="s">
        <v>169</v>
      </c>
      <c r="G95" s="38" t="s">
        <v>170</v>
      </c>
      <c r="H95" s="38" t="s">
        <v>169</v>
      </c>
      <c r="I95" s="38" t="s">
        <v>169</v>
      </c>
      <c r="J95" s="38" t="s">
        <v>171</v>
      </c>
      <c r="K95" s="38" t="s">
        <v>169</v>
      </c>
      <c r="L95" s="38" t="s">
        <v>171</v>
      </c>
      <c r="M95" s="38" t="s">
        <v>172</v>
      </c>
      <c r="N95" s="38" t="s">
        <v>169</v>
      </c>
      <c r="O95" s="38" t="s">
        <v>170</v>
      </c>
      <c r="P95" s="38" t="s">
        <v>171</v>
      </c>
      <c r="Q95" s="38" t="s">
        <v>170</v>
      </c>
      <c r="R95" s="38" t="s">
        <v>172</v>
      </c>
      <c r="S95" s="38" t="s">
        <v>169</v>
      </c>
      <c r="T95" s="38" t="s">
        <v>171</v>
      </c>
      <c r="U95" s="38" t="s">
        <v>170</v>
      </c>
      <c r="V95" s="38" t="s">
        <v>169</v>
      </c>
      <c r="W95" s="38" t="s">
        <v>169</v>
      </c>
      <c r="X95" s="38" t="s">
        <v>171</v>
      </c>
      <c r="Y95" s="38" t="s">
        <v>172</v>
      </c>
      <c r="Z95" s="38" t="s">
        <v>169</v>
      </c>
      <c r="AA95" s="38" t="s">
        <v>172</v>
      </c>
      <c r="AB95" s="38" t="s">
        <v>169</v>
      </c>
      <c r="AC95" s="38" t="s">
        <v>170</v>
      </c>
      <c r="AD95" s="38" t="s">
        <v>172</v>
      </c>
      <c r="AE95" s="38" t="s">
        <v>172</v>
      </c>
      <c r="AF95" s="38" t="s">
        <v>169</v>
      </c>
      <c r="AG95" s="38" t="s">
        <v>170</v>
      </c>
      <c r="AH95" s="38" t="s">
        <v>169</v>
      </c>
      <c r="AI95" s="38" t="s">
        <v>169</v>
      </c>
      <c r="AJ95" s="38" t="s">
        <v>170</v>
      </c>
      <c r="AK95" s="38" t="s">
        <v>171</v>
      </c>
      <c r="AL95" s="38" t="s">
        <v>170</v>
      </c>
      <c r="AM95" s="38" t="s">
        <v>172</v>
      </c>
      <c r="AN95" s="38" t="s">
        <v>171</v>
      </c>
      <c r="AO95" s="38" t="s">
        <v>172</v>
      </c>
      <c r="AP95" s="38" t="s">
        <v>172</v>
      </c>
      <c r="AQ95" s="38" t="s">
        <v>171</v>
      </c>
      <c r="AR95" s="38" t="s">
        <v>170</v>
      </c>
      <c r="AS95" s="38" t="s">
        <v>169</v>
      </c>
      <c r="AT95" s="38" t="s">
        <v>170</v>
      </c>
      <c r="AU95" s="38" t="s">
        <v>171</v>
      </c>
      <c r="AV95" s="38" t="s">
        <v>169</v>
      </c>
      <c r="AW95" s="38" t="s">
        <v>171</v>
      </c>
      <c r="AX95" s="38" t="s">
        <v>169</v>
      </c>
      <c r="AY95" s="38" t="s">
        <v>171</v>
      </c>
      <c r="AZ95" s="38" t="s">
        <v>170</v>
      </c>
      <c r="BA95" s="38" t="s">
        <v>172</v>
      </c>
      <c r="BB95" s="38" t="s">
        <v>170</v>
      </c>
      <c r="BC95" s="38" t="s">
        <v>170</v>
      </c>
      <c r="BD95" s="38" t="s">
        <v>169</v>
      </c>
      <c r="BE95" s="38" t="s">
        <v>169</v>
      </c>
      <c r="BF95" s="38" t="s">
        <v>171</v>
      </c>
      <c r="BG95" s="38" t="s">
        <v>171</v>
      </c>
      <c r="BH95" s="38" t="s">
        <v>170</v>
      </c>
      <c r="BI95" s="38" t="s">
        <v>172</v>
      </c>
      <c r="BJ95" s="38" t="s">
        <v>172</v>
      </c>
      <c r="BK95" s="38" t="s">
        <v>169</v>
      </c>
      <c r="BL95" s="38" t="s">
        <v>171</v>
      </c>
      <c r="BM95" s="38" t="s">
        <v>170</v>
      </c>
      <c r="BN95" s="38" t="s">
        <v>170</v>
      </c>
      <c r="BO95" s="38" t="s">
        <v>169</v>
      </c>
      <c r="BP95" s="38" t="s">
        <v>169</v>
      </c>
      <c r="BQ95" s="38" t="s">
        <v>171</v>
      </c>
      <c r="BR95" s="38" t="s">
        <v>170</v>
      </c>
      <c r="BS95" s="38" t="s">
        <v>172</v>
      </c>
      <c r="BT95" s="38" t="s">
        <v>170</v>
      </c>
      <c r="BU95" s="38" t="s">
        <v>170</v>
      </c>
      <c r="BV95" s="38" t="s">
        <v>169</v>
      </c>
      <c r="BW95" s="38" t="s">
        <v>170</v>
      </c>
      <c r="BX95" s="38" t="s">
        <v>171</v>
      </c>
    </row>
    <row r="96" customFormat="false" ht="15" hidden="false" customHeight="true" outlineLevel="0" collapsed="false">
      <c r="A96" s="38" t="s">
        <v>315</v>
      </c>
      <c r="B96" s="38" t="s">
        <v>338</v>
      </c>
      <c r="C96" s="38" t="s">
        <v>240</v>
      </c>
      <c r="D96" s="38" t="s">
        <v>241</v>
      </c>
      <c r="E96" s="38" t="s">
        <v>169</v>
      </c>
      <c r="F96" s="38" t="s">
        <v>169</v>
      </c>
      <c r="G96" s="38" t="s">
        <v>170</v>
      </c>
      <c r="H96" s="38" t="s">
        <v>171</v>
      </c>
      <c r="I96" s="38" t="s">
        <v>169</v>
      </c>
      <c r="J96" s="38" t="s">
        <v>169</v>
      </c>
      <c r="K96" s="38" t="s">
        <v>169</v>
      </c>
      <c r="L96" s="38" t="s">
        <v>171</v>
      </c>
      <c r="M96" s="38" t="s">
        <v>172</v>
      </c>
      <c r="N96" s="38" t="s">
        <v>169</v>
      </c>
      <c r="O96" s="38" t="s">
        <v>170</v>
      </c>
      <c r="P96" s="38" t="s">
        <v>171</v>
      </c>
      <c r="Q96" s="38" t="s">
        <v>170</v>
      </c>
      <c r="R96" s="38" t="s">
        <v>172</v>
      </c>
      <c r="S96" s="38" t="s">
        <v>169</v>
      </c>
      <c r="T96" s="38" t="s">
        <v>171</v>
      </c>
      <c r="U96" s="38" t="s">
        <v>171</v>
      </c>
      <c r="V96" s="38" t="s">
        <v>169</v>
      </c>
      <c r="W96" s="38" t="s">
        <v>169</v>
      </c>
      <c r="X96" s="38" t="s">
        <v>171</v>
      </c>
      <c r="Y96" s="38" t="s">
        <v>170</v>
      </c>
      <c r="Z96" s="38" t="s">
        <v>169</v>
      </c>
      <c r="AA96" s="38" t="s">
        <v>172</v>
      </c>
      <c r="AB96" s="38" t="s">
        <v>169</v>
      </c>
      <c r="AC96" s="38" t="s">
        <v>170</v>
      </c>
      <c r="AD96" s="38" t="s">
        <v>169</v>
      </c>
      <c r="AE96" s="38" t="s">
        <v>172</v>
      </c>
      <c r="AF96" s="38" t="s">
        <v>171</v>
      </c>
      <c r="AG96" s="38" t="s">
        <v>170</v>
      </c>
      <c r="AH96" s="38" t="s">
        <v>169</v>
      </c>
      <c r="AI96" s="38" t="s">
        <v>170</v>
      </c>
      <c r="AJ96" s="38" t="s">
        <v>170</v>
      </c>
      <c r="AK96" s="38" t="s">
        <v>171</v>
      </c>
      <c r="AL96" s="38" t="s">
        <v>169</v>
      </c>
      <c r="AM96" s="38" t="s">
        <v>172</v>
      </c>
      <c r="AN96" s="38" t="s">
        <v>172</v>
      </c>
      <c r="AO96" s="38" t="s">
        <v>172</v>
      </c>
      <c r="AP96" s="38" t="s">
        <v>172</v>
      </c>
      <c r="AQ96" s="38" t="s">
        <v>169</v>
      </c>
      <c r="AR96" s="38" t="s">
        <v>170</v>
      </c>
      <c r="AS96" s="38" t="s">
        <v>169</v>
      </c>
      <c r="AT96" s="38" t="s">
        <v>172</v>
      </c>
      <c r="AU96" s="38" t="s">
        <v>171</v>
      </c>
      <c r="AV96" s="38" t="s">
        <v>172</v>
      </c>
      <c r="AW96" s="38" t="s">
        <v>169</v>
      </c>
      <c r="AX96" s="38" t="s">
        <v>169</v>
      </c>
      <c r="AY96" s="38" t="s">
        <v>171</v>
      </c>
      <c r="AZ96" s="38" t="s">
        <v>170</v>
      </c>
      <c r="BA96" s="38" t="s">
        <v>169</v>
      </c>
      <c r="BB96" s="38" t="s">
        <v>170</v>
      </c>
      <c r="BC96" s="38" t="s">
        <v>170</v>
      </c>
      <c r="BD96" s="38" t="s">
        <v>169</v>
      </c>
      <c r="BE96" s="38" t="s">
        <v>169</v>
      </c>
      <c r="BF96" s="38" t="s">
        <v>171</v>
      </c>
      <c r="BG96" s="38" t="s">
        <v>171</v>
      </c>
      <c r="BH96" s="38" t="s">
        <v>170</v>
      </c>
      <c r="BI96" s="38" t="s">
        <v>169</v>
      </c>
      <c r="BJ96" s="38" t="s">
        <v>172</v>
      </c>
      <c r="BK96" s="38" t="s">
        <v>171</v>
      </c>
      <c r="BL96" s="38" t="s">
        <v>170</v>
      </c>
      <c r="BM96" s="38" t="s">
        <v>170</v>
      </c>
      <c r="BN96" s="38" t="s">
        <v>170</v>
      </c>
      <c r="BO96" s="38" t="s">
        <v>169</v>
      </c>
      <c r="BP96" s="38" t="s">
        <v>169</v>
      </c>
      <c r="BQ96" s="38" t="s">
        <v>170</v>
      </c>
      <c r="BR96" s="38" t="s">
        <v>170</v>
      </c>
      <c r="BS96" s="38" t="s">
        <v>170</v>
      </c>
      <c r="BT96" s="38" t="s">
        <v>170</v>
      </c>
      <c r="BU96" s="38" t="s">
        <v>172</v>
      </c>
      <c r="BV96" s="38" t="s">
        <v>169</v>
      </c>
      <c r="BW96" s="38" t="s">
        <v>170</v>
      </c>
      <c r="BX96" s="38" t="s">
        <v>170</v>
      </c>
    </row>
    <row r="97" customFormat="false" ht="15" hidden="false" customHeight="true" outlineLevel="0" collapsed="false">
      <c r="A97" s="38" t="s">
        <v>315</v>
      </c>
      <c r="B97" s="38" t="s">
        <v>339</v>
      </c>
      <c r="C97" s="38" t="s">
        <v>219</v>
      </c>
      <c r="D97" s="38" t="s">
        <v>193</v>
      </c>
      <c r="E97" s="38" t="s">
        <v>170</v>
      </c>
      <c r="F97" s="38" t="s">
        <v>169</v>
      </c>
      <c r="G97" s="38" t="s">
        <v>169</v>
      </c>
      <c r="H97" s="38" t="s">
        <v>169</v>
      </c>
      <c r="I97" s="38" t="s">
        <v>172</v>
      </c>
      <c r="J97" s="38" t="s">
        <v>170</v>
      </c>
      <c r="K97" s="38" t="s">
        <v>169</v>
      </c>
      <c r="L97" s="38" t="s">
        <v>171</v>
      </c>
      <c r="M97" s="38" t="s">
        <v>169</v>
      </c>
      <c r="N97" s="38" t="s">
        <v>169</v>
      </c>
      <c r="O97" s="38" t="s">
        <v>170</v>
      </c>
      <c r="P97" s="38" t="s">
        <v>169</v>
      </c>
      <c r="Q97" s="38" t="s">
        <v>170</v>
      </c>
      <c r="R97" s="38" t="s">
        <v>172</v>
      </c>
      <c r="S97" s="38" t="s">
        <v>169</v>
      </c>
      <c r="T97" s="38" t="s">
        <v>170</v>
      </c>
      <c r="U97" s="38" t="s">
        <v>171</v>
      </c>
      <c r="V97" s="38" t="s">
        <v>169</v>
      </c>
      <c r="W97" s="38" t="s">
        <v>169</v>
      </c>
      <c r="X97" s="38" t="s">
        <v>171</v>
      </c>
      <c r="Y97" s="38" t="s">
        <v>172</v>
      </c>
      <c r="Z97" s="38" t="s">
        <v>169</v>
      </c>
      <c r="AA97" s="38" t="s">
        <v>170</v>
      </c>
      <c r="AB97" s="38" t="s">
        <v>169</v>
      </c>
      <c r="AC97" s="38" t="s">
        <v>170</v>
      </c>
      <c r="AD97" s="38" t="s">
        <v>172</v>
      </c>
      <c r="AE97" s="38" t="s">
        <v>170</v>
      </c>
      <c r="AF97" s="38" t="s">
        <v>171</v>
      </c>
      <c r="AG97" s="38" t="s">
        <v>171</v>
      </c>
      <c r="AH97" s="38" t="s">
        <v>169</v>
      </c>
      <c r="AI97" s="38" t="s">
        <v>172</v>
      </c>
      <c r="AJ97" s="38" t="s">
        <v>170</v>
      </c>
      <c r="AK97" s="38" t="s">
        <v>171</v>
      </c>
      <c r="AL97" s="38" t="s">
        <v>169</v>
      </c>
      <c r="AM97" s="38" t="s">
        <v>169</v>
      </c>
      <c r="AN97" s="38" t="s">
        <v>169</v>
      </c>
      <c r="AO97" s="38" t="s">
        <v>169</v>
      </c>
      <c r="AP97" s="38" t="s">
        <v>169</v>
      </c>
      <c r="AQ97" s="38" t="s">
        <v>171</v>
      </c>
      <c r="AR97" s="38" t="s">
        <v>170</v>
      </c>
      <c r="AS97" s="38" t="s">
        <v>172</v>
      </c>
      <c r="AT97" s="38" t="s">
        <v>172</v>
      </c>
      <c r="AU97" s="38" t="s">
        <v>169</v>
      </c>
      <c r="AV97" s="38" t="s">
        <v>169</v>
      </c>
      <c r="AW97" s="38" t="s">
        <v>169</v>
      </c>
      <c r="AX97" s="38" t="s">
        <v>169</v>
      </c>
      <c r="AY97" s="38" t="s">
        <v>171</v>
      </c>
      <c r="AZ97" s="38" t="s">
        <v>170</v>
      </c>
      <c r="BA97" s="38" t="s">
        <v>169</v>
      </c>
      <c r="BB97" s="38" t="s">
        <v>170</v>
      </c>
      <c r="BC97" s="38" t="s">
        <v>172</v>
      </c>
      <c r="BD97" s="38" t="s">
        <v>169</v>
      </c>
      <c r="BE97" s="38" t="s">
        <v>169</v>
      </c>
      <c r="BF97" s="38" t="s">
        <v>171</v>
      </c>
      <c r="BG97" s="38" t="s">
        <v>171</v>
      </c>
      <c r="BH97" s="38" t="s">
        <v>170</v>
      </c>
      <c r="BI97" s="38" t="s">
        <v>172</v>
      </c>
      <c r="BJ97" s="38" t="s">
        <v>172</v>
      </c>
      <c r="BK97" s="38" t="s">
        <v>172</v>
      </c>
      <c r="BL97" s="38" t="s">
        <v>171</v>
      </c>
      <c r="BM97" s="38" t="s">
        <v>170</v>
      </c>
      <c r="BN97" s="38" t="s">
        <v>170</v>
      </c>
      <c r="BO97" s="38" t="s">
        <v>171</v>
      </c>
      <c r="BP97" s="38" t="s">
        <v>169</v>
      </c>
      <c r="BQ97" s="38" t="s">
        <v>171</v>
      </c>
      <c r="BR97" s="38" t="s">
        <v>170</v>
      </c>
      <c r="BS97" s="38" t="s">
        <v>169</v>
      </c>
      <c r="BT97" s="38" t="s">
        <v>171</v>
      </c>
      <c r="BU97" s="38" t="s">
        <v>170</v>
      </c>
      <c r="BV97" s="38" t="s">
        <v>170</v>
      </c>
      <c r="BW97" s="38" t="s">
        <v>170</v>
      </c>
      <c r="BX97" s="38" t="s">
        <v>169</v>
      </c>
    </row>
    <row r="98" customFormat="false" ht="15" hidden="false" customHeight="true" outlineLevel="0" collapsed="false">
      <c r="A98" s="38" t="s">
        <v>315</v>
      </c>
      <c r="B98" s="38" t="s">
        <v>340</v>
      </c>
      <c r="C98" s="38" t="s">
        <v>219</v>
      </c>
      <c r="D98" s="38" t="s">
        <v>191</v>
      </c>
      <c r="E98" s="38" t="s">
        <v>170</v>
      </c>
      <c r="F98" s="38" t="s">
        <v>169</v>
      </c>
      <c r="G98" s="38" t="s">
        <v>169</v>
      </c>
      <c r="H98" s="38" t="s">
        <v>169</v>
      </c>
      <c r="I98" s="38" t="s">
        <v>169</v>
      </c>
      <c r="J98" s="38" t="s">
        <v>171</v>
      </c>
      <c r="K98" s="38" t="s">
        <v>169</v>
      </c>
      <c r="L98" s="38" t="s">
        <v>171</v>
      </c>
      <c r="M98" s="38" t="s">
        <v>172</v>
      </c>
      <c r="N98" s="38" t="s">
        <v>169</v>
      </c>
      <c r="O98" s="38" t="s">
        <v>170</v>
      </c>
      <c r="P98" s="38" t="s">
        <v>169</v>
      </c>
      <c r="Q98" s="38" t="s">
        <v>170</v>
      </c>
      <c r="R98" s="38" t="s">
        <v>172</v>
      </c>
      <c r="S98" s="38" t="s">
        <v>169</v>
      </c>
      <c r="T98" s="38" t="s">
        <v>170</v>
      </c>
      <c r="U98" s="38" t="s">
        <v>171</v>
      </c>
      <c r="V98" s="38" t="s">
        <v>169</v>
      </c>
      <c r="W98" s="38" t="s">
        <v>169</v>
      </c>
      <c r="X98" s="38" t="s">
        <v>170</v>
      </c>
      <c r="Y98" s="38" t="s">
        <v>172</v>
      </c>
      <c r="Z98" s="38" t="s">
        <v>169</v>
      </c>
      <c r="AA98" s="38" t="s">
        <v>170</v>
      </c>
      <c r="AB98" s="38" t="s">
        <v>169</v>
      </c>
      <c r="AC98" s="38" t="s">
        <v>170</v>
      </c>
      <c r="AD98" s="38" t="s">
        <v>169</v>
      </c>
      <c r="AE98" s="38" t="s">
        <v>170</v>
      </c>
      <c r="AF98" s="38" t="s">
        <v>171</v>
      </c>
      <c r="AG98" s="38" t="s">
        <v>171</v>
      </c>
      <c r="AH98" s="38" t="s">
        <v>170</v>
      </c>
      <c r="AI98" s="38" t="s">
        <v>169</v>
      </c>
      <c r="AJ98" s="38" t="s">
        <v>171</v>
      </c>
      <c r="AK98" s="38" t="s">
        <v>171</v>
      </c>
      <c r="AL98" s="38" t="s">
        <v>170</v>
      </c>
      <c r="AM98" s="38" t="s">
        <v>169</v>
      </c>
      <c r="AN98" s="38" t="s">
        <v>169</v>
      </c>
      <c r="AO98" s="38" t="s">
        <v>169</v>
      </c>
      <c r="AP98" s="38" t="s">
        <v>172</v>
      </c>
      <c r="AQ98" s="38" t="s">
        <v>170</v>
      </c>
      <c r="AR98" s="38" t="s">
        <v>169</v>
      </c>
      <c r="AS98" s="38" t="s">
        <v>172</v>
      </c>
      <c r="AT98" s="38" t="s">
        <v>172</v>
      </c>
      <c r="AU98" s="38" t="s">
        <v>169</v>
      </c>
      <c r="AV98" s="38" t="s">
        <v>172</v>
      </c>
      <c r="AW98" s="38" t="s">
        <v>169</v>
      </c>
      <c r="AX98" s="38" t="s">
        <v>169</v>
      </c>
      <c r="AY98" s="38" t="s">
        <v>171</v>
      </c>
      <c r="AZ98" s="38" t="s">
        <v>170</v>
      </c>
      <c r="BA98" s="38" t="s">
        <v>169</v>
      </c>
      <c r="BB98" s="38" t="s">
        <v>171</v>
      </c>
      <c r="BC98" s="38" t="s">
        <v>169</v>
      </c>
      <c r="BD98" s="38" t="s">
        <v>169</v>
      </c>
      <c r="BE98" s="38" t="s">
        <v>169</v>
      </c>
      <c r="BF98" s="38" t="s">
        <v>171</v>
      </c>
      <c r="BG98" s="38" t="s">
        <v>171</v>
      </c>
      <c r="BH98" s="38" t="s">
        <v>170</v>
      </c>
      <c r="BI98" s="38" t="s">
        <v>172</v>
      </c>
      <c r="BJ98" s="38" t="s">
        <v>172</v>
      </c>
      <c r="BK98" s="38" t="s">
        <v>172</v>
      </c>
      <c r="BL98" s="38" t="s">
        <v>171</v>
      </c>
      <c r="BM98" s="38" t="s">
        <v>170</v>
      </c>
      <c r="BN98" s="38" t="s">
        <v>170</v>
      </c>
      <c r="BO98" s="38" t="s">
        <v>170</v>
      </c>
      <c r="BP98" s="38" t="s">
        <v>169</v>
      </c>
      <c r="BQ98" s="38" t="s">
        <v>170</v>
      </c>
      <c r="BR98" s="38" t="s">
        <v>170</v>
      </c>
      <c r="BS98" s="38" t="s">
        <v>172</v>
      </c>
      <c r="BT98" s="38" t="s">
        <v>170</v>
      </c>
      <c r="BU98" s="38" t="s">
        <v>170</v>
      </c>
      <c r="BV98" s="38" t="s">
        <v>170</v>
      </c>
      <c r="BW98" s="38" t="s">
        <v>170</v>
      </c>
      <c r="BX98" s="38" t="s">
        <v>169</v>
      </c>
    </row>
    <row r="99" customFormat="false" ht="15" hidden="false" customHeight="true" outlineLevel="0" collapsed="false">
      <c r="A99" s="38" t="s">
        <v>315</v>
      </c>
      <c r="B99" s="38" t="s">
        <v>341</v>
      </c>
      <c r="C99" s="38" t="s">
        <v>219</v>
      </c>
      <c r="D99" s="38" t="s">
        <v>243</v>
      </c>
      <c r="E99" s="38" t="s">
        <v>170</v>
      </c>
      <c r="F99" s="38" t="s">
        <v>169</v>
      </c>
      <c r="G99" s="38" t="s">
        <v>169</v>
      </c>
      <c r="H99" s="38" t="s">
        <v>169</v>
      </c>
      <c r="I99" s="38" t="s">
        <v>169</v>
      </c>
      <c r="J99" s="38" t="s">
        <v>171</v>
      </c>
      <c r="K99" s="38" t="s">
        <v>169</v>
      </c>
      <c r="L99" s="38" t="s">
        <v>171</v>
      </c>
      <c r="M99" s="38" t="s">
        <v>169</v>
      </c>
      <c r="N99" s="38" t="s">
        <v>169</v>
      </c>
      <c r="O99" s="38" t="s">
        <v>170</v>
      </c>
      <c r="P99" s="38" t="s">
        <v>169</v>
      </c>
      <c r="Q99" s="38" t="s">
        <v>170</v>
      </c>
      <c r="R99" s="38" t="s">
        <v>172</v>
      </c>
      <c r="S99" s="38" t="s">
        <v>169</v>
      </c>
      <c r="T99" s="38" t="s">
        <v>170</v>
      </c>
      <c r="U99" s="38" t="s">
        <v>171</v>
      </c>
      <c r="V99" s="38" t="s">
        <v>169</v>
      </c>
      <c r="W99" s="38" t="s">
        <v>169</v>
      </c>
      <c r="X99" s="38" t="s">
        <v>171</v>
      </c>
      <c r="Y99" s="38" t="s">
        <v>172</v>
      </c>
      <c r="Z99" s="38" t="s">
        <v>169</v>
      </c>
      <c r="AA99" s="38" t="s">
        <v>170</v>
      </c>
      <c r="AB99" s="38" t="s">
        <v>169</v>
      </c>
      <c r="AC99" s="38" t="s">
        <v>170</v>
      </c>
      <c r="AD99" s="38" t="s">
        <v>169</v>
      </c>
      <c r="AE99" s="38" t="s">
        <v>171</v>
      </c>
      <c r="AF99" s="38" t="s">
        <v>170</v>
      </c>
      <c r="AG99" s="38" t="s">
        <v>170</v>
      </c>
      <c r="AH99" s="38" t="s">
        <v>169</v>
      </c>
      <c r="AI99" s="38" t="s">
        <v>170</v>
      </c>
      <c r="AJ99" s="38" t="s">
        <v>171</v>
      </c>
      <c r="AK99" s="38" t="s">
        <v>171</v>
      </c>
      <c r="AL99" s="38" t="s">
        <v>171</v>
      </c>
      <c r="AM99" s="38" t="s">
        <v>169</v>
      </c>
      <c r="AN99" s="38" t="s">
        <v>169</v>
      </c>
      <c r="AO99" s="38" t="s">
        <v>169</v>
      </c>
      <c r="AP99" s="38" t="s">
        <v>172</v>
      </c>
      <c r="AQ99" s="38" t="s">
        <v>169</v>
      </c>
      <c r="AR99" s="38" t="s">
        <v>170</v>
      </c>
      <c r="AS99" s="38" t="s">
        <v>169</v>
      </c>
      <c r="AT99" s="38" t="s">
        <v>169</v>
      </c>
      <c r="AU99" s="38" t="s">
        <v>172</v>
      </c>
      <c r="AV99" s="38" t="s">
        <v>172</v>
      </c>
      <c r="AW99" s="38" t="s">
        <v>169</v>
      </c>
      <c r="AX99" s="38" t="s">
        <v>169</v>
      </c>
      <c r="AY99" s="38" t="s">
        <v>171</v>
      </c>
      <c r="AZ99" s="38" t="s">
        <v>170</v>
      </c>
      <c r="BA99" s="38" t="s">
        <v>169</v>
      </c>
      <c r="BB99" s="38" t="s">
        <v>171</v>
      </c>
      <c r="BC99" s="38" t="s">
        <v>170</v>
      </c>
      <c r="BD99" s="38" t="s">
        <v>169</v>
      </c>
      <c r="BE99" s="38" t="s">
        <v>169</v>
      </c>
      <c r="BF99" s="38" t="s">
        <v>171</v>
      </c>
      <c r="BG99" s="38" t="s">
        <v>171</v>
      </c>
      <c r="BH99" s="38" t="s">
        <v>170</v>
      </c>
      <c r="BI99" s="38" t="s">
        <v>169</v>
      </c>
      <c r="BJ99" s="38" t="s">
        <v>172</v>
      </c>
      <c r="BK99" s="38" t="s">
        <v>172</v>
      </c>
      <c r="BL99" s="38" t="s">
        <v>171</v>
      </c>
      <c r="BM99" s="38" t="s">
        <v>170</v>
      </c>
      <c r="BN99" s="38" t="s">
        <v>170</v>
      </c>
      <c r="BO99" s="38" t="s">
        <v>169</v>
      </c>
      <c r="BP99" s="38" t="s">
        <v>169</v>
      </c>
      <c r="BQ99" s="38" t="s">
        <v>170</v>
      </c>
      <c r="BR99" s="38" t="s">
        <v>170</v>
      </c>
      <c r="BS99" s="38" t="s">
        <v>172</v>
      </c>
      <c r="BT99" s="38" t="s">
        <v>170</v>
      </c>
      <c r="BU99" s="38" t="s">
        <v>170</v>
      </c>
      <c r="BV99" s="38" t="s">
        <v>170</v>
      </c>
      <c r="BW99" s="38" t="s">
        <v>170</v>
      </c>
      <c r="BX99" s="38" t="s">
        <v>169</v>
      </c>
    </row>
    <row r="100" customFormat="false" ht="15" hidden="false" customHeight="true" outlineLevel="0" collapsed="false">
      <c r="A100" s="38" t="s">
        <v>315</v>
      </c>
      <c r="B100" s="38" t="s">
        <v>342</v>
      </c>
      <c r="C100" s="38" t="s">
        <v>221</v>
      </c>
      <c r="D100" s="38" t="s">
        <v>304</v>
      </c>
      <c r="E100" s="38" t="s">
        <v>169</v>
      </c>
      <c r="F100" s="38" t="s">
        <v>169</v>
      </c>
      <c r="G100" s="38" t="s">
        <v>171</v>
      </c>
      <c r="H100" s="38" t="s">
        <v>169</v>
      </c>
      <c r="I100" s="38" t="s">
        <v>169</v>
      </c>
      <c r="J100" s="38" t="s">
        <v>169</v>
      </c>
      <c r="K100" s="38" t="s">
        <v>171</v>
      </c>
      <c r="L100" s="38" t="s">
        <v>171</v>
      </c>
      <c r="M100" s="38" t="s">
        <v>169</v>
      </c>
      <c r="N100" s="38" t="s">
        <v>170</v>
      </c>
      <c r="O100" s="38" t="s">
        <v>170</v>
      </c>
      <c r="P100" s="38" t="s">
        <v>170</v>
      </c>
      <c r="Q100" s="38" t="s">
        <v>169</v>
      </c>
      <c r="R100" s="38" t="s">
        <v>172</v>
      </c>
      <c r="S100" s="38" t="s">
        <v>169</v>
      </c>
      <c r="T100" s="40" t="s">
        <v>176</v>
      </c>
      <c r="U100" s="38" t="s">
        <v>170</v>
      </c>
      <c r="V100" s="38" t="s">
        <v>169</v>
      </c>
      <c r="W100" s="38" t="s">
        <v>169</v>
      </c>
      <c r="X100" s="38" t="s">
        <v>170</v>
      </c>
      <c r="Y100" s="38" t="s">
        <v>172</v>
      </c>
      <c r="Z100" s="38" t="s">
        <v>172</v>
      </c>
      <c r="AA100" s="38" t="s">
        <v>169</v>
      </c>
      <c r="AB100" s="38" t="s">
        <v>169</v>
      </c>
      <c r="AC100" s="38" t="s">
        <v>169</v>
      </c>
      <c r="AD100" s="38" t="s">
        <v>172</v>
      </c>
      <c r="AE100" s="38" t="s">
        <v>172</v>
      </c>
      <c r="AF100" s="38" t="s">
        <v>170</v>
      </c>
      <c r="AG100" s="38" t="s">
        <v>169</v>
      </c>
      <c r="AH100" s="38" t="s">
        <v>169</v>
      </c>
      <c r="AI100" s="38" t="s">
        <v>171</v>
      </c>
      <c r="AJ100" s="38" t="s">
        <v>170</v>
      </c>
      <c r="AK100" s="38" t="s">
        <v>171</v>
      </c>
      <c r="AL100" s="38" t="s">
        <v>171</v>
      </c>
      <c r="AM100" s="38" t="s">
        <v>169</v>
      </c>
      <c r="AN100" s="38" t="s">
        <v>172</v>
      </c>
      <c r="AO100" s="38" t="s">
        <v>172</v>
      </c>
      <c r="AP100" s="38" t="s">
        <v>172</v>
      </c>
      <c r="AQ100" s="38" t="s">
        <v>172</v>
      </c>
      <c r="AR100" s="38" t="s">
        <v>170</v>
      </c>
      <c r="AS100" s="38" t="s">
        <v>170</v>
      </c>
      <c r="AT100" s="38" t="s">
        <v>169</v>
      </c>
      <c r="AU100" s="38" t="s">
        <v>171</v>
      </c>
      <c r="AV100" s="38" t="s">
        <v>170</v>
      </c>
      <c r="AW100" s="38" t="s">
        <v>169</v>
      </c>
      <c r="AX100" s="38" t="s">
        <v>171</v>
      </c>
      <c r="AY100" s="38" t="s">
        <v>170</v>
      </c>
      <c r="AZ100" s="38" t="s">
        <v>170</v>
      </c>
      <c r="BA100" s="38" t="s">
        <v>169</v>
      </c>
      <c r="BB100" s="38" t="s">
        <v>171</v>
      </c>
      <c r="BC100" s="38" t="s">
        <v>169</v>
      </c>
      <c r="BD100" s="38" t="s">
        <v>169</v>
      </c>
      <c r="BE100" s="38" t="s">
        <v>169</v>
      </c>
      <c r="BF100" s="38" t="s">
        <v>171</v>
      </c>
      <c r="BG100" s="38" t="s">
        <v>171</v>
      </c>
      <c r="BH100" s="38" t="s">
        <v>170</v>
      </c>
      <c r="BI100" s="38" t="s">
        <v>172</v>
      </c>
      <c r="BJ100" s="38" t="s">
        <v>172</v>
      </c>
      <c r="BK100" s="38" t="s">
        <v>172</v>
      </c>
      <c r="BL100" s="38" t="s">
        <v>171</v>
      </c>
      <c r="BM100" s="38" t="s">
        <v>170</v>
      </c>
      <c r="BN100" s="38" t="s">
        <v>170</v>
      </c>
      <c r="BO100" s="38" t="s">
        <v>170</v>
      </c>
      <c r="BP100" s="38" t="s">
        <v>172</v>
      </c>
      <c r="BQ100" s="38" t="s">
        <v>170</v>
      </c>
      <c r="BR100" s="38" t="s">
        <v>172</v>
      </c>
      <c r="BS100" s="38" t="s">
        <v>170</v>
      </c>
      <c r="BT100" s="38" t="s">
        <v>170</v>
      </c>
      <c r="BU100" s="38" t="s">
        <v>170</v>
      </c>
      <c r="BV100" s="38" t="s">
        <v>172</v>
      </c>
      <c r="BW100" s="38" t="s">
        <v>170</v>
      </c>
      <c r="BX100" s="38" t="s">
        <v>170</v>
      </c>
    </row>
    <row r="101" customFormat="false" ht="15" hidden="false" customHeight="true" outlineLevel="0" collapsed="false">
      <c r="A101" s="38" t="s">
        <v>315</v>
      </c>
      <c r="B101" s="38" t="s">
        <v>343</v>
      </c>
      <c r="C101" s="38" t="s">
        <v>224</v>
      </c>
      <c r="D101" s="38" t="s">
        <v>225</v>
      </c>
      <c r="E101" s="38" t="s">
        <v>169</v>
      </c>
      <c r="F101" s="38" t="s">
        <v>170</v>
      </c>
      <c r="G101" s="38" t="s">
        <v>170</v>
      </c>
      <c r="H101" s="38" t="s">
        <v>170</v>
      </c>
      <c r="I101" s="38" t="s">
        <v>170</v>
      </c>
      <c r="J101" s="38" t="s">
        <v>172</v>
      </c>
      <c r="K101" s="38" t="s">
        <v>172</v>
      </c>
      <c r="L101" s="38" t="s">
        <v>171</v>
      </c>
      <c r="M101" s="38" t="s">
        <v>172</v>
      </c>
      <c r="N101" s="38" t="s">
        <v>169</v>
      </c>
      <c r="O101" s="38" t="s">
        <v>170</v>
      </c>
      <c r="P101" s="38" t="s">
        <v>171</v>
      </c>
      <c r="Q101" s="38" t="s">
        <v>170</v>
      </c>
      <c r="R101" s="38" t="s">
        <v>172</v>
      </c>
      <c r="S101" s="38" t="s">
        <v>169</v>
      </c>
      <c r="T101" s="38" t="s">
        <v>171</v>
      </c>
      <c r="U101" s="38" t="s">
        <v>170</v>
      </c>
      <c r="V101" s="38" t="s">
        <v>169</v>
      </c>
      <c r="W101" s="38" t="s">
        <v>169</v>
      </c>
      <c r="X101" s="38" t="s">
        <v>171</v>
      </c>
      <c r="Y101" s="38" t="s">
        <v>172</v>
      </c>
      <c r="Z101" s="38" t="s">
        <v>169</v>
      </c>
      <c r="AA101" s="38" t="s">
        <v>172</v>
      </c>
      <c r="AB101" s="38" t="s">
        <v>169</v>
      </c>
      <c r="AC101" s="38" t="s">
        <v>170</v>
      </c>
      <c r="AD101" s="38" t="s">
        <v>169</v>
      </c>
      <c r="AE101" s="38" t="s">
        <v>171</v>
      </c>
      <c r="AF101" s="38" t="s">
        <v>170</v>
      </c>
      <c r="AG101" s="38" t="s">
        <v>171</v>
      </c>
      <c r="AH101" s="38" t="s">
        <v>170</v>
      </c>
      <c r="AI101" s="38" t="s">
        <v>170</v>
      </c>
      <c r="AJ101" s="38" t="s">
        <v>172</v>
      </c>
      <c r="AK101" s="38" t="s">
        <v>171</v>
      </c>
      <c r="AL101" s="38" t="s">
        <v>169</v>
      </c>
      <c r="AM101" s="38" t="s">
        <v>169</v>
      </c>
      <c r="AN101" s="38" t="s">
        <v>171</v>
      </c>
      <c r="AO101" s="38" t="s">
        <v>172</v>
      </c>
      <c r="AP101" s="38" t="s">
        <v>172</v>
      </c>
      <c r="AQ101" s="38" t="s">
        <v>169</v>
      </c>
      <c r="AR101" s="38" t="s">
        <v>169</v>
      </c>
      <c r="AS101" s="38" t="s">
        <v>172</v>
      </c>
      <c r="AT101" s="38" t="s">
        <v>169</v>
      </c>
      <c r="AU101" s="38" t="s">
        <v>172</v>
      </c>
      <c r="AV101" s="38" t="s">
        <v>172</v>
      </c>
      <c r="AW101" s="38" t="s">
        <v>169</v>
      </c>
      <c r="AX101" s="38" t="s">
        <v>169</v>
      </c>
      <c r="AY101" s="38" t="s">
        <v>171</v>
      </c>
      <c r="AZ101" s="38" t="s">
        <v>170</v>
      </c>
      <c r="BA101" s="38" t="s">
        <v>171</v>
      </c>
      <c r="BB101" s="38" t="s">
        <v>169</v>
      </c>
      <c r="BC101" s="38" t="s">
        <v>170</v>
      </c>
      <c r="BD101" s="38" t="s">
        <v>169</v>
      </c>
      <c r="BE101" s="38" t="s">
        <v>169</v>
      </c>
      <c r="BF101" s="38" t="s">
        <v>171</v>
      </c>
      <c r="BG101" s="38" t="s">
        <v>171</v>
      </c>
      <c r="BH101" s="38" t="s">
        <v>170</v>
      </c>
      <c r="BI101" s="38" t="s">
        <v>169</v>
      </c>
      <c r="BJ101" s="38" t="s">
        <v>172</v>
      </c>
      <c r="BK101" s="38" t="s">
        <v>171</v>
      </c>
      <c r="BL101" s="38" t="s">
        <v>171</v>
      </c>
      <c r="BM101" s="38" t="s">
        <v>170</v>
      </c>
      <c r="BN101" s="38" t="s">
        <v>170</v>
      </c>
      <c r="BO101" s="38" t="s">
        <v>169</v>
      </c>
      <c r="BP101" s="38" t="s">
        <v>170</v>
      </c>
      <c r="BQ101" s="38" t="s">
        <v>172</v>
      </c>
      <c r="BR101" s="38" t="s">
        <v>171</v>
      </c>
      <c r="BS101" s="38" t="s">
        <v>171</v>
      </c>
      <c r="BT101" s="38" t="s">
        <v>169</v>
      </c>
      <c r="BU101" s="38" t="s">
        <v>169</v>
      </c>
      <c r="BV101" s="38" t="s">
        <v>169</v>
      </c>
      <c r="BW101" s="38" t="s">
        <v>169</v>
      </c>
      <c r="BX101" s="38" t="s">
        <v>170</v>
      </c>
    </row>
    <row r="102" customFormat="false" ht="15" hidden="false" customHeight="true" outlineLevel="0" collapsed="false">
      <c r="A102" s="38" t="s">
        <v>315</v>
      </c>
      <c r="B102" s="38" t="s">
        <v>344</v>
      </c>
      <c r="C102" s="38" t="s">
        <v>224</v>
      </c>
      <c r="D102" s="38" t="s">
        <v>307</v>
      </c>
      <c r="E102" s="38" t="s">
        <v>169</v>
      </c>
      <c r="F102" s="38" t="s">
        <v>170</v>
      </c>
      <c r="G102" s="38" t="s">
        <v>170</v>
      </c>
      <c r="H102" s="38" t="s">
        <v>171</v>
      </c>
      <c r="I102" s="38" t="s">
        <v>170</v>
      </c>
      <c r="J102" s="38" t="s">
        <v>170</v>
      </c>
      <c r="K102" s="38" t="s">
        <v>171</v>
      </c>
      <c r="L102" s="38" t="s">
        <v>171</v>
      </c>
      <c r="M102" s="38" t="s">
        <v>172</v>
      </c>
      <c r="N102" s="38" t="s">
        <v>169</v>
      </c>
      <c r="O102" s="38" t="s">
        <v>170</v>
      </c>
      <c r="P102" s="38" t="s">
        <v>171</v>
      </c>
      <c r="Q102" s="38" t="s">
        <v>170</v>
      </c>
      <c r="R102" s="38" t="s">
        <v>172</v>
      </c>
      <c r="S102" s="38" t="s">
        <v>169</v>
      </c>
      <c r="T102" s="38" t="s">
        <v>171</v>
      </c>
      <c r="U102" s="38" t="s">
        <v>170</v>
      </c>
      <c r="V102" s="38" t="s">
        <v>169</v>
      </c>
      <c r="W102" s="38" t="s">
        <v>169</v>
      </c>
      <c r="X102" s="38" t="s">
        <v>170</v>
      </c>
      <c r="Y102" s="38" t="s">
        <v>172</v>
      </c>
      <c r="Z102" s="38" t="s">
        <v>169</v>
      </c>
      <c r="AA102" s="38" t="s">
        <v>172</v>
      </c>
      <c r="AB102" s="38" t="s">
        <v>169</v>
      </c>
      <c r="AC102" s="38" t="s">
        <v>170</v>
      </c>
      <c r="AD102" s="38" t="s">
        <v>169</v>
      </c>
      <c r="AE102" s="38" t="s">
        <v>172</v>
      </c>
      <c r="AF102" s="38" t="s">
        <v>171</v>
      </c>
      <c r="AG102" s="38" t="s">
        <v>169</v>
      </c>
      <c r="AH102" s="38" t="s">
        <v>171</v>
      </c>
      <c r="AI102" s="38" t="s">
        <v>172</v>
      </c>
      <c r="AJ102" s="38" t="s">
        <v>170</v>
      </c>
      <c r="AK102" s="38" t="s">
        <v>171</v>
      </c>
      <c r="AL102" s="38" t="s">
        <v>171</v>
      </c>
      <c r="AM102" s="38" t="s">
        <v>169</v>
      </c>
      <c r="AN102" s="38" t="s">
        <v>171</v>
      </c>
      <c r="AO102" s="38" t="s">
        <v>172</v>
      </c>
      <c r="AP102" s="38" t="s">
        <v>172</v>
      </c>
      <c r="AQ102" s="38" t="s">
        <v>171</v>
      </c>
      <c r="AR102" s="38" t="s">
        <v>172</v>
      </c>
      <c r="AS102" s="38" t="s">
        <v>170</v>
      </c>
      <c r="AT102" s="38" t="s">
        <v>172</v>
      </c>
      <c r="AU102" s="38" t="s">
        <v>171</v>
      </c>
      <c r="AV102" s="38" t="s">
        <v>172</v>
      </c>
      <c r="AW102" s="38" t="s">
        <v>169</v>
      </c>
      <c r="AX102" s="38" t="s">
        <v>169</v>
      </c>
      <c r="AY102" s="38" t="s">
        <v>171</v>
      </c>
      <c r="AZ102" s="38" t="s">
        <v>170</v>
      </c>
      <c r="BA102" s="38" t="s">
        <v>169</v>
      </c>
      <c r="BB102" s="38" t="s">
        <v>171</v>
      </c>
      <c r="BC102" s="38" t="s">
        <v>170</v>
      </c>
      <c r="BD102" s="38" t="s">
        <v>169</v>
      </c>
      <c r="BE102" s="38" t="s">
        <v>169</v>
      </c>
      <c r="BF102" s="38" t="s">
        <v>171</v>
      </c>
      <c r="BG102" s="38" t="s">
        <v>171</v>
      </c>
      <c r="BH102" s="38" t="s">
        <v>170</v>
      </c>
      <c r="BI102" s="38" t="s">
        <v>169</v>
      </c>
      <c r="BJ102" s="38" t="s">
        <v>172</v>
      </c>
      <c r="BK102" s="38" t="s">
        <v>172</v>
      </c>
      <c r="BL102" s="38" t="s">
        <v>171</v>
      </c>
      <c r="BM102" s="38" t="s">
        <v>170</v>
      </c>
      <c r="BN102" s="38" t="s">
        <v>170</v>
      </c>
      <c r="BO102" s="38" t="s">
        <v>169</v>
      </c>
      <c r="BP102" s="38" t="s">
        <v>172</v>
      </c>
      <c r="BQ102" s="38" t="s">
        <v>170</v>
      </c>
      <c r="BR102" s="38" t="s">
        <v>172</v>
      </c>
      <c r="BS102" s="38" t="s">
        <v>169</v>
      </c>
      <c r="BT102" s="38" t="s">
        <v>169</v>
      </c>
      <c r="BU102" s="38" t="s">
        <v>172</v>
      </c>
      <c r="BV102" s="38" t="s">
        <v>169</v>
      </c>
      <c r="BW102" s="38" t="s">
        <v>169</v>
      </c>
      <c r="BX102" s="38" t="s">
        <v>170</v>
      </c>
    </row>
    <row r="103" customFormat="false" ht="15" hidden="false" customHeight="true" outlineLevel="0" collapsed="false">
      <c r="A103" s="38" t="s">
        <v>315</v>
      </c>
      <c r="B103" s="38" t="s">
        <v>345</v>
      </c>
      <c r="C103" s="38" t="s">
        <v>224</v>
      </c>
      <c r="D103" s="38" t="s">
        <v>196</v>
      </c>
      <c r="E103" s="38" t="s">
        <v>169</v>
      </c>
      <c r="F103" s="38" t="s">
        <v>170</v>
      </c>
      <c r="G103" s="38" t="s">
        <v>170</v>
      </c>
      <c r="H103" s="38" t="s">
        <v>169</v>
      </c>
      <c r="I103" s="38" t="s">
        <v>170</v>
      </c>
      <c r="J103" s="38" t="s">
        <v>170</v>
      </c>
      <c r="K103" s="38" t="s">
        <v>171</v>
      </c>
      <c r="L103" s="38" t="s">
        <v>171</v>
      </c>
      <c r="M103" s="38" t="s">
        <v>172</v>
      </c>
      <c r="N103" s="38" t="s">
        <v>169</v>
      </c>
      <c r="O103" s="38" t="s">
        <v>170</v>
      </c>
      <c r="P103" s="38" t="s">
        <v>171</v>
      </c>
      <c r="Q103" s="38" t="s">
        <v>170</v>
      </c>
      <c r="R103" s="38" t="s">
        <v>172</v>
      </c>
      <c r="S103" s="38" t="s">
        <v>169</v>
      </c>
      <c r="T103" s="38" t="s">
        <v>171</v>
      </c>
      <c r="U103" s="38" t="s">
        <v>171</v>
      </c>
      <c r="V103" s="38" t="s">
        <v>169</v>
      </c>
      <c r="W103" s="38" t="s">
        <v>169</v>
      </c>
      <c r="X103" s="38" t="s">
        <v>170</v>
      </c>
      <c r="Y103" s="38" t="s">
        <v>172</v>
      </c>
      <c r="Z103" s="38" t="s">
        <v>169</v>
      </c>
      <c r="AA103" s="38" t="s">
        <v>172</v>
      </c>
      <c r="AB103" s="38" t="s">
        <v>169</v>
      </c>
      <c r="AC103" s="38" t="s">
        <v>170</v>
      </c>
      <c r="AD103" s="38" t="s">
        <v>172</v>
      </c>
      <c r="AE103" s="38" t="s">
        <v>172</v>
      </c>
      <c r="AF103" s="38" t="s">
        <v>170</v>
      </c>
      <c r="AG103" s="38" t="s">
        <v>169</v>
      </c>
      <c r="AH103" s="38" t="s">
        <v>170</v>
      </c>
      <c r="AI103" s="38" t="s">
        <v>172</v>
      </c>
      <c r="AJ103" s="38" t="s">
        <v>170</v>
      </c>
      <c r="AK103" s="38" t="s">
        <v>171</v>
      </c>
      <c r="AL103" s="38" t="s">
        <v>170</v>
      </c>
      <c r="AM103" s="38" t="s">
        <v>169</v>
      </c>
      <c r="AN103" s="38" t="s">
        <v>171</v>
      </c>
      <c r="AO103" s="38" t="s">
        <v>172</v>
      </c>
      <c r="AP103" s="38" t="s">
        <v>172</v>
      </c>
      <c r="AQ103" s="38" t="s">
        <v>171</v>
      </c>
      <c r="AR103" s="38" t="s">
        <v>169</v>
      </c>
      <c r="AS103" s="38" t="s">
        <v>170</v>
      </c>
      <c r="AT103" s="38" t="s">
        <v>169</v>
      </c>
      <c r="AU103" s="38" t="s">
        <v>171</v>
      </c>
      <c r="AV103" s="38" t="s">
        <v>172</v>
      </c>
      <c r="AW103" s="38" t="s">
        <v>169</v>
      </c>
      <c r="AX103" s="38" t="s">
        <v>169</v>
      </c>
      <c r="AY103" s="38" t="s">
        <v>171</v>
      </c>
      <c r="AZ103" s="38" t="s">
        <v>170</v>
      </c>
      <c r="BA103" s="38" t="s">
        <v>171</v>
      </c>
      <c r="BB103" s="38" t="s">
        <v>170</v>
      </c>
      <c r="BC103" s="38" t="s">
        <v>169</v>
      </c>
      <c r="BD103" s="38" t="s">
        <v>169</v>
      </c>
      <c r="BE103" s="38" t="s">
        <v>169</v>
      </c>
      <c r="BF103" s="38" t="s">
        <v>171</v>
      </c>
      <c r="BG103" s="38" t="s">
        <v>171</v>
      </c>
      <c r="BH103" s="38" t="s">
        <v>170</v>
      </c>
      <c r="BI103" s="38" t="s">
        <v>169</v>
      </c>
      <c r="BJ103" s="38" t="s">
        <v>172</v>
      </c>
      <c r="BK103" s="38" t="s">
        <v>169</v>
      </c>
      <c r="BL103" s="38" t="s">
        <v>171</v>
      </c>
      <c r="BM103" s="38" t="s">
        <v>170</v>
      </c>
      <c r="BN103" s="38" t="s">
        <v>170</v>
      </c>
      <c r="BO103" s="38" t="s">
        <v>170</v>
      </c>
      <c r="BP103" s="38" t="s">
        <v>171</v>
      </c>
      <c r="BQ103" s="38" t="s">
        <v>170</v>
      </c>
      <c r="BR103" s="38" t="s">
        <v>170</v>
      </c>
      <c r="BS103" s="38" t="s">
        <v>169</v>
      </c>
      <c r="BT103" s="38" t="s">
        <v>169</v>
      </c>
      <c r="BU103" s="38" t="s">
        <v>170</v>
      </c>
      <c r="BV103" s="38" t="s">
        <v>170</v>
      </c>
      <c r="BW103" s="38" t="s">
        <v>170</v>
      </c>
      <c r="BX103" s="38" t="s">
        <v>171</v>
      </c>
    </row>
    <row r="104" customFormat="false" ht="15" hidden="false" customHeight="true" outlineLevel="0" collapsed="false">
      <c r="A104" s="38" t="s">
        <v>315</v>
      </c>
      <c r="B104" s="38" t="s">
        <v>346</v>
      </c>
      <c r="C104" s="38" t="s">
        <v>310</v>
      </c>
      <c r="D104" s="38" t="s">
        <v>311</v>
      </c>
      <c r="E104" s="38" t="s">
        <v>172</v>
      </c>
      <c r="F104" s="38" t="s">
        <v>169</v>
      </c>
      <c r="G104" s="38" t="s">
        <v>169</v>
      </c>
      <c r="H104" s="38" t="s">
        <v>169</v>
      </c>
      <c r="I104" s="38" t="s">
        <v>171</v>
      </c>
      <c r="J104" s="38" t="s">
        <v>170</v>
      </c>
      <c r="K104" s="38" t="s">
        <v>169</v>
      </c>
      <c r="L104" s="38" t="s">
        <v>171</v>
      </c>
      <c r="M104" s="38" t="s">
        <v>172</v>
      </c>
      <c r="N104" s="38" t="s">
        <v>169</v>
      </c>
      <c r="O104" s="38" t="s">
        <v>170</v>
      </c>
      <c r="P104" s="38" t="s">
        <v>171</v>
      </c>
      <c r="Q104" s="38" t="s">
        <v>170</v>
      </c>
      <c r="R104" s="38" t="s">
        <v>172</v>
      </c>
      <c r="S104" s="38" t="s">
        <v>172</v>
      </c>
      <c r="T104" s="38" t="s">
        <v>171</v>
      </c>
      <c r="U104" s="38" t="s">
        <v>171</v>
      </c>
      <c r="V104" s="38" t="s">
        <v>169</v>
      </c>
      <c r="W104" s="38" t="s">
        <v>169</v>
      </c>
      <c r="X104" s="38" t="s">
        <v>171</v>
      </c>
      <c r="Y104" s="38" t="s">
        <v>172</v>
      </c>
      <c r="Z104" s="38" t="s">
        <v>169</v>
      </c>
      <c r="AA104" s="38" t="s">
        <v>172</v>
      </c>
      <c r="AB104" s="38" t="s">
        <v>169</v>
      </c>
      <c r="AC104" s="38" t="s">
        <v>170</v>
      </c>
      <c r="AD104" s="38" t="s">
        <v>172</v>
      </c>
      <c r="AE104" s="38" t="s">
        <v>170</v>
      </c>
      <c r="AF104" s="38" t="s">
        <v>171</v>
      </c>
      <c r="AG104" s="38" t="s">
        <v>169</v>
      </c>
      <c r="AH104" s="38" t="s">
        <v>169</v>
      </c>
      <c r="AI104" s="38" t="s">
        <v>171</v>
      </c>
      <c r="AJ104" s="38" t="s">
        <v>170</v>
      </c>
      <c r="AK104" s="38" t="s">
        <v>171</v>
      </c>
      <c r="AL104" s="38" t="s">
        <v>170</v>
      </c>
      <c r="AM104" s="38" t="s">
        <v>170</v>
      </c>
      <c r="AN104" s="38" t="s">
        <v>172</v>
      </c>
      <c r="AO104" s="38" t="s">
        <v>172</v>
      </c>
      <c r="AP104" s="38" t="s">
        <v>172</v>
      </c>
      <c r="AQ104" s="38" t="s">
        <v>172</v>
      </c>
      <c r="AR104" s="38" t="s">
        <v>170</v>
      </c>
      <c r="AS104" s="38" t="s">
        <v>170</v>
      </c>
      <c r="AT104" s="38" t="s">
        <v>172</v>
      </c>
      <c r="AU104" s="38" t="s">
        <v>169</v>
      </c>
      <c r="AV104" s="38" t="s">
        <v>170</v>
      </c>
      <c r="AW104" s="38" t="s">
        <v>169</v>
      </c>
      <c r="AX104" s="38" t="s">
        <v>169</v>
      </c>
      <c r="AY104" s="38" t="s">
        <v>171</v>
      </c>
      <c r="AZ104" s="38" t="s">
        <v>170</v>
      </c>
      <c r="BA104" s="38" t="s">
        <v>169</v>
      </c>
      <c r="BB104" s="38" t="s">
        <v>169</v>
      </c>
      <c r="BC104" s="38" t="s">
        <v>169</v>
      </c>
      <c r="BD104" s="38" t="s">
        <v>169</v>
      </c>
      <c r="BE104" s="38" t="s">
        <v>169</v>
      </c>
      <c r="BF104" s="38" t="s">
        <v>171</v>
      </c>
      <c r="BG104" s="38" t="s">
        <v>171</v>
      </c>
      <c r="BH104" s="38" t="s">
        <v>170</v>
      </c>
      <c r="BI104" s="38" t="s">
        <v>172</v>
      </c>
      <c r="BJ104" s="38" t="s">
        <v>172</v>
      </c>
      <c r="BK104" s="38" t="s">
        <v>169</v>
      </c>
      <c r="BL104" s="38" t="s">
        <v>171</v>
      </c>
      <c r="BM104" s="38" t="s">
        <v>170</v>
      </c>
      <c r="BN104" s="38" t="s">
        <v>170</v>
      </c>
      <c r="BO104" s="38" t="s">
        <v>170</v>
      </c>
      <c r="BP104" s="38" t="s">
        <v>171</v>
      </c>
      <c r="BQ104" s="38" t="s">
        <v>170</v>
      </c>
      <c r="BR104" s="38" t="s">
        <v>170</v>
      </c>
      <c r="BS104" s="38" t="s">
        <v>169</v>
      </c>
      <c r="BT104" s="38" t="s">
        <v>169</v>
      </c>
      <c r="BU104" s="38" t="s">
        <v>170</v>
      </c>
      <c r="BV104" s="38" t="s">
        <v>170</v>
      </c>
      <c r="BW104" s="38" t="s">
        <v>170</v>
      </c>
      <c r="BX104" s="38" t="s">
        <v>171</v>
      </c>
    </row>
    <row r="105" customFormat="false" ht="15" hidden="false" customHeight="true" outlineLevel="0" collapsed="false">
      <c r="A105" s="38" t="s">
        <v>315</v>
      </c>
      <c r="B105" s="38" t="s">
        <v>347</v>
      </c>
      <c r="C105" s="38" t="s">
        <v>310</v>
      </c>
      <c r="D105" s="38" t="s">
        <v>311</v>
      </c>
      <c r="E105" s="38" t="s">
        <v>172</v>
      </c>
      <c r="F105" s="38" t="s">
        <v>169</v>
      </c>
      <c r="G105" s="38" t="s">
        <v>169</v>
      </c>
      <c r="H105" s="38" t="s">
        <v>169</v>
      </c>
      <c r="I105" s="38" t="s">
        <v>169</v>
      </c>
      <c r="J105" s="38" t="s">
        <v>170</v>
      </c>
      <c r="K105" s="38" t="s">
        <v>169</v>
      </c>
      <c r="L105" s="38" t="s">
        <v>171</v>
      </c>
      <c r="M105" s="38" t="s">
        <v>172</v>
      </c>
      <c r="N105" s="38" t="s">
        <v>169</v>
      </c>
      <c r="O105" s="38" t="s">
        <v>170</v>
      </c>
      <c r="P105" s="38" t="s">
        <v>171</v>
      </c>
      <c r="Q105" s="38" t="s">
        <v>170</v>
      </c>
      <c r="R105" s="38" t="s">
        <v>172</v>
      </c>
      <c r="S105" s="38" t="s">
        <v>169</v>
      </c>
      <c r="T105" s="40" t="s">
        <v>176</v>
      </c>
      <c r="U105" s="38" t="s">
        <v>170</v>
      </c>
      <c r="V105" s="38" t="s">
        <v>169</v>
      </c>
      <c r="W105" s="38" t="s">
        <v>169</v>
      </c>
      <c r="X105" s="38" t="s">
        <v>170</v>
      </c>
      <c r="Y105" s="38" t="s">
        <v>172</v>
      </c>
      <c r="Z105" s="38" t="s">
        <v>169</v>
      </c>
      <c r="AA105" s="38" t="s">
        <v>172</v>
      </c>
      <c r="AB105" s="38" t="s">
        <v>169</v>
      </c>
      <c r="AC105" s="38" t="s">
        <v>170</v>
      </c>
      <c r="AD105" s="38" t="s">
        <v>169</v>
      </c>
      <c r="AE105" s="38" t="s">
        <v>169</v>
      </c>
      <c r="AF105" s="38" t="s">
        <v>170</v>
      </c>
      <c r="AG105" s="38" t="s">
        <v>169</v>
      </c>
      <c r="AH105" s="38" t="s">
        <v>169</v>
      </c>
      <c r="AI105" s="38" t="s">
        <v>171</v>
      </c>
      <c r="AJ105" s="38" t="s">
        <v>170</v>
      </c>
      <c r="AK105" s="38" t="s">
        <v>171</v>
      </c>
      <c r="AL105" s="38" t="s">
        <v>170</v>
      </c>
      <c r="AM105" s="38" t="s">
        <v>170</v>
      </c>
      <c r="AN105" s="38" t="s">
        <v>172</v>
      </c>
      <c r="AO105" s="38" t="s">
        <v>172</v>
      </c>
      <c r="AP105" s="38" t="s">
        <v>172</v>
      </c>
      <c r="AQ105" s="38" t="s">
        <v>172</v>
      </c>
      <c r="AR105" s="38" t="s">
        <v>171</v>
      </c>
      <c r="AS105" s="38" t="s">
        <v>170</v>
      </c>
      <c r="AT105" s="38" t="s">
        <v>169</v>
      </c>
      <c r="AU105" s="38" t="s">
        <v>171</v>
      </c>
      <c r="AV105" s="38" t="s">
        <v>172</v>
      </c>
      <c r="AW105" s="38" t="s">
        <v>171</v>
      </c>
      <c r="AX105" s="38" t="s">
        <v>169</v>
      </c>
      <c r="AY105" s="38" t="s">
        <v>171</v>
      </c>
      <c r="AZ105" s="38" t="s">
        <v>170</v>
      </c>
      <c r="BA105" s="38" t="s">
        <v>169</v>
      </c>
      <c r="BB105" s="38" t="s">
        <v>170</v>
      </c>
      <c r="BC105" s="38" t="s">
        <v>172</v>
      </c>
      <c r="BD105" s="38" t="s">
        <v>169</v>
      </c>
      <c r="BE105" s="38" t="s">
        <v>169</v>
      </c>
      <c r="BF105" s="38" t="s">
        <v>171</v>
      </c>
      <c r="BG105" s="38" t="s">
        <v>171</v>
      </c>
      <c r="BH105" s="38" t="s">
        <v>170</v>
      </c>
      <c r="BI105" s="38" t="s">
        <v>169</v>
      </c>
      <c r="BJ105" s="38" t="s">
        <v>172</v>
      </c>
      <c r="BK105" s="38" t="s">
        <v>171</v>
      </c>
      <c r="BL105" s="38" t="s">
        <v>171</v>
      </c>
      <c r="BM105" s="38" t="s">
        <v>170</v>
      </c>
      <c r="BN105" s="38" t="s">
        <v>170</v>
      </c>
      <c r="BO105" s="38" t="s">
        <v>171</v>
      </c>
      <c r="BP105" s="38" t="s">
        <v>169</v>
      </c>
      <c r="BQ105" s="38" t="s">
        <v>170</v>
      </c>
      <c r="BR105" s="38" t="s">
        <v>170</v>
      </c>
      <c r="BS105" s="38" t="s">
        <v>169</v>
      </c>
      <c r="BT105" s="38" t="s">
        <v>170</v>
      </c>
      <c r="BU105" s="38" t="s">
        <v>170</v>
      </c>
      <c r="BV105" s="38" t="s">
        <v>170</v>
      </c>
      <c r="BW105" s="38" t="s">
        <v>170</v>
      </c>
      <c r="BX105" s="38" t="s">
        <v>171</v>
      </c>
    </row>
    <row r="106" customFormat="false" ht="15" hidden="false" customHeight="true" outlineLevel="0" collapsed="false">
      <c r="A106" s="38" t="s">
        <v>315</v>
      </c>
      <c r="B106" s="38" t="s">
        <v>348</v>
      </c>
      <c r="C106" s="38" t="s">
        <v>310</v>
      </c>
      <c r="D106" s="38" t="s">
        <v>311</v>
      </c>
      <c r="E106" s="38" t="s">
        <v>172</v>
      </c>
      <c r="F106" s="38" t="s">
        <v>169</v>
      </c>
      <c r="G106" s="38" t="s">
        <v>169</v>
      </c>
      <c r="H106" s="38" t="s">
        <v>169</v>
      </c>
      <c r="I106" s="38" t="s">
        <v>169</v>
      </c>
      <c r="J106" s="38" t="s">
        <v>170</v>
      </c>
      <c r="K106" s="38" t="s">
        <v>169</v>
      </c>
      <c r="L106" s="38" t="s">
        <v>171</v>
      </c>
      <c r="M106" s="38" t="s">
        <v>172</v>
      </c>
      <c r="N106" s="38" t="s">
        <v>169</v>
      </c>
      <c r="O106" s="38" t="s">
        <v>170</v>
      </c>
      <c r="P106" s="38" t="s">
        <v>171</v>
      </c>
      <c r="Q106" s="38" t="s">
        <v>170</v>
      </c>
      <c r="R106" s="38" t="s">
        <v>172</v>
      </c>
      <c r="S106" s="38" t="s">
        <v>169</v>
      </c>
      <c r="T106" s="40" t="s">
        <v>176</v>
      </c>
      <c r="U106" s="38" t="s">
        <v>170</v>
      </c>
      <c r="V106" s="38" t="s">
        <v>169</v>
      </c>
      <c r="W106" s="38" t="s">
        <v>169</v>
      </c>
      <c r="X106" s="38" t="s">
        <v>170</v>
      </c>
      <c r="Y106" s="38" t="s">
        <v>172</v>
      </c>
      <c r="Z106" s="38" t="s">
        <v>169</v>
      </c>
      <c r="AA106" s="38" t="s">
        <v>172</v>
      </c>
      <c r="AB106" s="38" t="s">
        <v>169</v>
      </c>
      <c r="AC106" s="38" t="s">
        <v>170</v>
      </c>
      <c r="AD106" s="38" t="s">
        <v>169</v>
      </c>
      <c r="AE106" s="38" t="s">
        <v>169</v>
      </c>
      <c r="AF106" s="38" t="s">
        <v>170</v>
      </c>
      <c r="AG106" s="38" t="s">
        <v>169</v>
      </c>
      <c r="AH106" s="38" t="s">
        <v>169</v>
      </c>
      <c r="AI106" s="38" t="s">
        <v>171</v>
      </c>
      <c r="AJ106" s="38" t="s">
        <v>170</v>
      </c>
      <c r="AK106" s="38" t="s">
        <v>171</v>
      </c>
      <c r="AL106" s="38" t="s">
        <v>170</v>
      </c>
      <c r="AM106" s="38" t="s">
        <v>170</v>
      </c>
      <c r="AN106" s="38" t="s">
        <v>172</v>
      </c>
      <c r="AO106" s="38" t="s">
        <v>172</v>
      </c>
      <c r="AP106" s="38" t="s">
        <v>172</v>
      </c>
      <c r="AQ106" s="38" t="s">
        <v>172</v>
      </c>
      <c r="AR106" s="38" t="s">
        <v>171</v>
      </c>
      <c r="AS106" s="38" t="s">
        <v>170</v>
      </c>
      <c r="AT106" s="38" t="s">
        <v>169</v>
      </c>
      <c r="AU106" s="38" t="s">
        <v>171</v>
      </c>
      <c r="AV106" s="38" t="s">
        <v>172</v>
      </c>
      <c r="AW106" s="38" t="s">
        <v>171</v>
      </c>
      <c r="AX106" s="38" t="s">
        <v>169</v>
      </c>
      <c r="AY106" s="38" t="s">
        <v>171</v>
      </c>
      <c r="AZ106" s="38" t="s">
        <v>170</v>
      </c>
      <c r="BA106" s="38" t="s">
        <v>169</v>
      </c>
      <c r="BB106" s="38" t="s">
        <v>170</v>
      </c>
      <c r="BC106" s="38" t="s">
        <v>172</v>
      </c>
      <c r="BD106" s="38" t="s">
        <v>169</v>
      </c>
      <c r="BE106" s="38" t="s">
        <v>169</v>
      </c>
      <c r="BF106" s="38" t="s">
        <v>171</v>
      </c>
      <c r="BG106" s="38" t="s">
        <v>171</v>
      </c>
      <c r="BH106" s="38" t="s">
        <v>170</v>
      </c>
      <c r="BI106" s="38" t="s">
        <v>169</v>
      </c>
      <c r="BJ106" s="38" t="s">
        <v>172</v>
      </c>
      <c r="BK106" s="38" t="s">
        <v>171</v>
      </c>
      <c r="BL106" s="38" t="s">
        <v>171</v>
      </c>
      <c r="BM106" s="38" t="s">
        <v>170</v>
      </c>
      <c r="BN106" s="38" t="s">
        <v>170</v>
      </c>
      <c r="BO106" s="38" t="s">
        <v>171</v>
      </c>
      <c r="BP106" s="38" t="s">
        <v>169</v>
      </c>
      <c r="BQ106" s="38" t="s">
        <v>170</v>
      </c>
      <c r="BR106" s="38" t="s">
        <v>170</v>
      </c>
      <c r="BS106" s="38" t="s">
        <v>169</v>
      </c>
      <c r="BT106" s="38" t="s">
        <v>170</v>
      </c>
      <c r="BU106" s="38" t="s">
        <v>170</v>
      </c>
      <c r="BV106" s="38" t="s">
        <v>170</v>
      </c>
      <c r="BW106" s="38" t="s">
        <v>170</v>
      </c>
      <c r="BX106" s="38" t="s">
        <v>171</v>
      </c>
    </row>
    <row r="107" customFormat="false" ht="15" hidden="false" customHeight="true" outlineLevel="0" collapsed="false">
      <c r="A107" s="38" t="s">
        <v>315</v>
      </c>
      <c r="B107" s="38" t="s">
        <v>349</v>
      </c>
      <c r="C107" s="38" t="s">
        <v>274</v>
      </c>
      <c r="D107" s="38" t="s">
        <v>199</v>
      </c>
      <c r="E107" s="38" t="s">
        <v>169</v>
      </c>
      <c r="F107" s="38" t="s">
        <v>169</v>
      </c>
      <c r="G107" s="38" t="s">
        <v>170</v>
      </c>
      <c r="H107" s="38" t="s">
        <v>169</v>
      </c>
      <c r="I107" s="38" t="s">
        <v>169</v>
      </c>
      <c r="J107" s="38" t="s">
        <v>171</v>
      </c>
      <c r="K107" s="38" t="s">
        <v>169</v>
      </c>
      <c r="L107" s="38" t="s">
        <v>171</v>
      </c>
      <c r="M107" s="38" t="s">
        <v>169</v>
      </c>
      <c r="N107" s="38" t="s">
        <v>170</v>
      </c>
      <c r="O107" s="38" t="s">
        <v>170</v>
      </c>
      <c r="P107" s="38" t="s">
        <v>170</v>
      </c>
      <c r="Q107" s="38" t="s">
        <v>169</v>
      </c>
      <c r="R107" s="38" t="s">
        <v>172</v>
      </c>
      <c r="S107" s="38" t="s">
        <v>169</v>
      </c>
      <c r="T107" s="40" t="s">
        <v>176</v>
      </c>
      <c r="U107" s="38" t="s">
        <v>171</v>
      </c>
      <c r="V107" s="38" t="s">
        <v>169</v>
      </c>
      <c r="W107" s="38" t="s">
        <v>169</v>
      </c>
      <c r="X107" s="38" t="s">
        <v>170</v>
      </c>
      <c r="Y107" s="38" t="s">
        <v>172</v>
      </c>
      <c r="Z107" s="38" t="s">
        <v>172</v>
      </c>
      <c r="AA107" s="38" t="s">
        <v>169</v>
      </c>
      <c r="AB107" s="38" t="s">
        <v>169</v>
      </c>
      <c r="AC107" s="38" t="s">
        <v>169</v>
      </c>
      <c r="AD107" s="38" t="s">
        <v>172</v>
      </c>
      <c r="AE107" s="38" t="s">
        <v>169</v>
      </c>
      <c r="AF107" s="38" t="s">
        <v>170</v>
      </c>
      <c r="AG107" s="38" t="s">
        <v>172</v>
      </c>
      <c r="AH107" s="38" t="s">
        <v>169</v>
      </c>
      <c r="AI107" s="38" t="s">
        <v>172</v>
      </c>
      <c r="AJ107" s="38" t="s">
        <v>170</v>
      </c>
      <c r="AK107" s="38" t="s">
        <v>171</v>
      </c>
      <c r="AL107" s="38" t="s">
        <v>169</v>
      </c>
      <c r="AM107" s="38" t="s">
        <v>171</v>
      </c>
      <c r="AN107" s="38" t="s">
        <v>172</v>
      </c>
      <c r="AO107" s="38" t="s">
        <v>172</v>
      </c>
      <c r="AP107" s="38" t="s">
        <v>172</v>
      </c>
      <c r="AQ107" s="38" t="s">
        <v>171</v>
      </c>
      <c r="AR107" s="38" t="s">
        <v>170</v>
      </c>
      <c r="AS107" s="38" t="s">
        <v>171</v>
      </c>
      <c r="AT107" s="38" t="s">
        <v>169</v>
      </c>
      <c r="AU107" s="38" t="s">
        <v>170</v>
      </c>
      <c r="AV107" s="38" t="s">
        <v>170</v>
      </c>
      <c r="AW107" s="38" t="s">
        <v>169</v>
      </c>
      <c r="AX107" s="38" t="s">
        <v>169</v>
      </c>
      <c r="AY107" s="38" t="s">
        <v>170</v>
      </c>
      <c r="AZ107" s="38" t="s">
        <v>170</v>
      </c>
      <c r="BA107" s="38" t="s">
        <v>170</v>
      </c>
      <c r="BB107" s="38" t="s">
        <v>170</v>
      </c>
      <c r="BC107" s="38" t="s">
        <v>172</v>
      </c>
      <c r="BD107" s="38" t="s">
        <v>169</v>
      </c>
      <c r="BE107" s="38" t="s">
        <v>169</v>
      </c>
      <c r="BF107" s="38" t="s">
        <v>171</v>
      </c>
      <c r="BG107" s="38" t="s">
        <v>171</v>
      </c>
      <c r="BH107" s="38" t="s">
        <v>170</v>
      </c>
      <c r="BI107" s="38" t="s">
        <v>169</v>
      </c>
      <c r="BJ107" s="38" t="s">
        <v>172</v>
      </c>
      <c r="BK107" s="38" t="s">
        <v>172</v>
      </c>
      <c r="BL107" s="38" t="s">
        <v>170</v>
      </c>
      <c r="BM107" s="38" t="s">
        <v>170</v>
      </c>
      <c r="BN107" s="38" t="s">
        <v>170</v>
      </c>
      <c r="BO107" s="38" t="s">
        <v>171</v>
      </c>
      <c r="BP107" s="38" t="s">
        <v>169</v>
      </c>
      <c r="BQ107" s="38" t="s">
        <v>169</v>
      </c>
      <c r="BR107" s="38" t="s">
        <v>170</v>
      </c>
      <c r="BS107" s="38" t="s">
        <v>169</v>
      </c>
      <c r="BT107" s="38" t="s">
        <v>170</v>
      </c>
      <c r="BU107" s="38" t="s">
        <v>170</v>
      </c>
      <c r="BV107" s="38" t="s">
        <v>169</v>
      </c>
      <c r="BW107" s="38" t="s">
        <v>170</v>
      </c>
      <c r="BX107" s="38" t="s">
        <v>170</v>
      </c>
    </row>
    <row r="108" customFormat="false" ht="15" hidden="false" customHeight="true" outlineLevel="0" collapsed="false">
      <c r="A108" s="38" t="s">
        <v>315</v>
      </c>
      <c r="B108" s="38" t="s">
        <v>350</v>
      </c>
      <c r="C108" s="38" t="s">
        <v>228</v>
      </c>
      <c r="D108" s="38" t="s">
        <v>229</v>
      </c>
      <c r="E108" s="38" t="s">
        <v>169</v>
      </c>
      <c r="F108" s="38" t="s">
        <v>170</v>
      </c>
      <c r="G108" s="38" t="s">
        <v>169</v>
      </c>
      <c r="H108" s="38" t="s">
        <v>170</v>
      </c>
      <c r="I108" s="38" t="s">
        <v>169</v>
      </c>
      <c r="J108" s="38" t="s">
        <v>172</v>
      </c>
      <c r="K108" s="38" t="s">
        <v>171</v>
      </c>
      <c r="L108" s="38" t="s">
        <v>171</v>
      </c>
      <c r="M108" s="38" t="s">
        <v>172</v>
      </c>
      <c r="N108" s="38" t="s">
        <v>169</v>
      </c>
      <c r="O108" s="38" t="s">
        <v>170</v>
      </c>
      <c r="P108" s="38" t="s">
        <v>171</v>
      </c>
      <c r="Q108" s="38" t="s">
        <v>170</v>
      </c>
      <c r="R108" s="38" t="s">
        <v>172</v>
      </c>
      <c r="S108" s="38" t="s">
        <v>169</v>
      </c>
      <c r="T108" s="40" t="s">
        <v>176</v>
      </c>
      <c r="U108" s="38" t="s">
        <v>170</v>
      </c>
      <c r="V108" s="38" t="s">
        <v>169</v>
      </c>
      <c r="W108" s="38" t="s">
        <v>169</v>
      </c>
      <c r="X108" s="38" t="s">
        <v>169</v>
      </c>
      <c r="Y108" s="38" t="s">
        <v>172</v>
      </c>
      <c r="Z108" s="38" t="s">
        <v>169</v>
      </c>
      <c r="AA108" s="38" t="s">
        <v>172</v>
      </c>
      <c r="AB108" s="38" t="s">
        <v>169</v>
      </c>
      <c r="AC108" s="38" t="s">
        <v>170</v>
      </c>
      <c r="AD108" s="38" t="s">
        <v>169</v>
      </c>
      <c r="AE108" s="38" t="s">
        <v>170</v>
      </c>
      <c r="AF108" s="38" t="s">
        <v>171</v>
      </c>
      <c r="AG108" s="38" t="s">
        <v>171</v>
      </c>
      <c r="AH108" s="38" t="s">
        <v>170</v>
      </c>
      <c r="AI108" s="38" t="s">
        <v>170</v>
      </c>
      <c r="AJ108" s="38" t="s">
        <v>170</v>
      </c>
      <c r="AK108" s="38" t="s">
        <v>171</v>
      </c>
      <c r="AL108" s="38" t="s">
        <v>169</v>
      </c>
      <c r="AM108" s="38" t="s">
        <v>172</v>
      </c>
      <c r="AN108" s="38" t="s">
        <v>170</v>
      </c>
      <c r="AO108" s="38" t="s">
        <v>172</v>
      </c>
      <c r="AP108" s="38" t="s">
        <v>170</v>
      </c>
      <c r="AQ108" s="38" t="s">
        <v>169</v>
      </c>
      <c r="AR108" s="38" t="s">
        <v>169</v>
      </c>
      <c r="AS108" s="38" t="s">
        <v>172</v>
      </c>
      <c r="AT108" s="38" t="s">
        <v>172</v>
      </c>
      <c r="AU108" s="38" t="s">
        <v>169</v>
      </c>
      <c r="AV108" s="38" t="s">
        <v>172</v>
      </c>
      <c r="AW108" s="38" t="s">
        <v>169</v>
      </c>
      <c r="AX108" s="38" t="s">
        <v>169</v>
      </c>
      <c r="AY108" s="38" t="s">
        <v>171</v>
      </c>
      <c r="AZ108" s="38" t="s">
        <v>170</v>
      </c>
      <c r="BA108" s="38" t="s">
        <v>172</v>
      </c>
      <c r="BB108" s="38" t="s">
        <v>170</v>
      </c>
      <c r="BC108" s="38" t="s">
        <v>171</v>
      </c>
      <c r="BD108" s="38" t="s">
        <v>169</v>
      </c>
      <c r="BE108" s="38" t="s">
        <v>169</v>
      </c>
      <c r="BF108" s="38" t="s">
        <v>171</v>
      </c>
      <c r="BG108" s="38" t="s">
        <v>171</v>
      </c>
      <c r="BH108" s="38" t="s">
        <v>170</v>
      </c>
      <c r="BI108" s="38" t="s">
        <v>172</v>
      </c>
      <c r="BJ108" s="38" t="s">
        <v>172</v>
      </c>
      <c r="BK108" s="38" t="s">
        <v>171</v>
      </c>
      <c r="BL108" s="38" t="s">
        <v>170</v>
      </c>
      <c r="BM108" s="38" t="s">
        <v>170</v>
      </c>
      <c r="BN108" s="38" t="s">
        <v>170</v>
      </c>
      <c r="BO108" s="38" t="s">
        <v>172</v>
      </c>
      <c r="BP108" s="38" t="s">
        <v>169</v>
      </c>
      <c r="BQ108" s="38" t="s">
        <v>171</v>
      </c>
      <c r="BR108" s="38" t="s">
        <v>172</v>
      </c>
      <c r="BS108" s="38" t="s">
        <v>171</v>
      </c>
      <c r="BT108" s="38" t="s">
        <v>170</v>
      </c>
      <c r="BU108" s="38" t="s">
        <v>169</v>
      </c>
      <c r="BV108" s="38" t="s">
        <v>170</v>
      </c>
      <c r="BW108" s="38" t="s">
        <v>169</v>
      </c>
      <c r="BX108" s="38" t="s">
        <v>170</v>
      </c>
    </row>
    <row r="109" customFormat="false" ht="15" hidden="false" customHeight="true" outlineLevel="0" collapsed="false">
      <c r="A109" s="38" t="s">
        <v>315</v>
      </c>
      <c r="B109" s="38" t="s">
        <v>351</v>
      </c>
      <c r="C109" s="38" t="s">
        <v>228</v>
      </c>
      <c r="D109" s="38" t="s">
        <v>229</v>
      </c>
      <c r="E109" s="38" t="s">
        <v>169</v>
      </c>
      <c r="F109" s="38" t="s">
        <v>169</v>
      </c>
      <c r="G109" s="38" t="s">
        <v>172</v>
      </c>
      <c r="H109" s="38" t="s">
        <v>170</v>
      </c>
      <c r="I109" s="38" t="s">
        <v>169</v>
      </c>
      <c r="J109" s="38" t="s">
        <v>172</v>
      </c>
      <c r="K109" s="38" t="s">
        <v>171</v>
      </c>
      <c r="L109" s="38" t="s">
        <v>171</v>
      </c>
      <c r="M109" s="38" t="s">
        <v>172</v>
      </c>
      <c r="N109" s="38" t="s">
        <v>169</v>
      </c>
      <c r="O109" s="38" t="s">
        <v>170</v>
      </c>
      <c r="P109" s="38" t="s">
        <v>171</v>
      </c>
      <c r="Q109" s="38" t="s">
        <v>170</v>
      </c>
      <c r="R109" s="38" t="s">
        <v>172</v>
      </c>
      <c r="S109" s="38" t="s">
        <v>169</v>
      </c>
      <c r="T109" s="40" t="s">
        <v>176</v>
      </c>
      <c r="U109" s="38" t="s">
        <v>170</v>
      </c>
      <c r="V109" s="38" t="s">
        <v>169</v>
      </c>
      <c r="W109" s="38" t="s">
        <v>169</v>
      </c>
      <c r="X109" s="38" t="s">
        <v>169</v>
      </c>
      <c r="Y109" s="38" t="s">
        <v>172</v>
      </c>
      <c r="Z109" s="38" t="s">
        <v>169</v>
      </c>
      <c r="AA109" s="38" t="s">
        <v>172</v>
      </c>
      <c r="AB109" s="38" t="s">
        <v>169</v>
      </c>
      <c r="AC109" s="38" t="s">
        <v>170</v>
      </c>
      <c r="AD109" s="38" t="s">
        <v>169</v>
      </c>
      <c r="AE109" s="38" t="s">
        <v>170</v>
      </c>
      <c r="AF109" s="38" t="s">
        <v>171</v>
      </c>
      <c r="AG109" s="38" t="s">
        <v>171</v>
      </c>
      <c r="AH109" s="38" t="s">
        <v>170</v>
      </c>
      <c r="AI109" s="38" t="s">
        <v>170</v>
      </c>
      <c r="AJ109" s="38" t="s">
        <v>170</v>
      </c>
      <c r="AK109" s="38" t="s">
        <v>171</v>
      </c>
      <c r="AL109" s="38" t="s">
        <v>169</v>
      </c>
      <c r="AM109" s="38" t="s">
        <v>172</v>
      </c>
      <c r="AN109" s="38" t="s">
        <v>170</v>
      </c>
      <c r="AO109" s="38" t="s">
        <v>172</v>
      </c>
      <c r="AP109" s="38" t="s">
        <v>170</v>
      </c>
      <c r="AQ109" s="38" t="s">
        <v>169</v>
      </c>
      <c r="AR109" s="38" t="s">
        <v>169</v>
      </c>
      <c r="AS109" s="38" t="s">
        <v>172</v>
      </c>
      <c r="AT109" s="38" t="s">
        <v>172</v>
      </c>
      <c r="AU109" s="38" t="s">
        <v>169</v>
      </c>
      <c r="AV109" s="38" t="s">
        <v>172</v>
      </c>
      <c r="AW109" s="38" t="s">
        <v>169</v>
      </c>
      <c r="AX109" s="38" t="s">
        <v>169</v>
      </c>
      <c r="AY109" s="38" t="s">
        <v>171</v>
      </c>
      <c r="AZ109" s="38" t="s">
        <v>170</v>
      </c>
      <c r="BA109" s="38" t="s">
        <v>172</v>
      </c>
      <c r="BB109" s="38" t="s">
        <v>170</v>
      </c>
      <c r="BC109" s="38" t="s">
        <v>171</v>
      </c>
      <c r="BD109" s="38" t="s">
        <v>169</v>
      </c>
      <c r="BE109" s="38" t="s">
        <v>169</v>
      </c>
      <c r="BF109" s="38" t="s">
        <v>171</v>
      </c>
      <c r="BG109" s="38" t="s">
        <v>171</v>
      </c>
      <c r="BH109" s="38" t="s">
        <v>170</v>
      </c>
      <c r="BI109" s="38" t="s">
        <v>172</v>
      </c>
      <c r="BJ109" s="38" t="s">
        <v>172</v>
      </c>
      <c r="BK109" s="38" t="s">
        <v>171</v>
      </c>
      <c r="BL109" s="38" t="s">
        <v>170</v>
      </c>
      <c r="BM109" s="38" t="s">
        <v>170</v>
      </c>
      <c r="BN109" s="38" t="s">
        <v>170</v>
      </c>
      <c r="BO109" s="38" t="s">
        <v>172</v>
      </c>
      <c r="BP109" s="38" t="s">
        <v>169</v>
      </c>
      <c r="BQ109" s="38" t="s">
        <v>171</v>
      </c>
      <c r="BR109" s="38" t="s">
        <v>172</v>
      </c>
      <c r="BS109" s="38" t="s">
        <v>171</v>
      </c>
      <c r="BT109" s="38" t="s">
        <v>170</v>
      </c>
      <c r="BU109" s="38" t="s">
        <v>169</v>
      </c>
      <c r="BV109" s="38" t="s">
        <v>171</v>
      </c>
      <c r="BW109" s="38" t="s">
        <v>170</v>
      </c>
      <c r="BX109" s="38" t="s">
        <v>170</v>
      </c>
    </row>
    <row r="110" customFormat="false" ht="15" hidden="false" customHeight="true" outlineLevel="0" collapsed="false">
      <c r="A110" s="38" t="s">
        <v>315</v>
      </c>
      <c r="B110" s="38" t="s">
        <v>352</v>
      </c>
      <c r="C110" s="38" t="s">
        <v>228</v>
      </c>
      <c r="D110" s="38" t="s">
        <v>247</v>
      </c>
      <c r="E110" s="38" t="s">
        <v>169</v>
      </c>
      <c r="F110" s="38" t="s">
        <v>169</v>
      </c>
      <c r="G110" s="38" t="s">
        <v>169</v>
      </c>
      <c r="H110" s="38" t="s">
        <v>170</v>
      </c>
      <c r="I110" s="38" t="s">
        <v>169</v>
      </c>
      <c r="J110" s="38" t="s">
        <v>172</v>
      </c>
      <c r="K110" s="38" t="s">
        <v>171</v>
      </c>
      <c r="L110" s="38" t="s">
        <v>171</v>
      </c>
      <c r="M110" s="38" t="s">
        <v>172</v>
      </c>
      <c r="N110" s="38" t="s">
        <v>169</v>
      </c>
      <c r="O110" s="38" t="s">
        <v>170</v>
      </c>
      <c r="P110" s="38" t="s">
        <v>171</v>
      </c>
      <c r="Q110" s="38" t="s">
        <v>170</v>
      </c>
      <c r="R110" s="38" t="s">
        <v>172</v>
      </c>
      <c r="S110" s="38" t="s">
        <v>169</v>
      </c>
      <c r="T110" s="40" t="s">
        <v>176</v>
      </c>
      <c r="U110" s="38" t="s">
        <v>171</v>
      </c>
      <c r="V110" s="38" t="s">
        <v>169</v>
      </c>
      <c r="W110" s="38" t="s">
        <v>169</v>
      </c>
      <c r="X110" s="38" t="s">
        <v>169</v>
      </c>
      <c r="Y110" s="38" t="s">
        <v>172</v>
      </c>
      <c r="Z110" s="38" t="s">
        <v>169</v>
      </c>
      <c r="AA110" s="38" t="s">
        <v>172</v>
      </c>
      <c r="AB110" s="38" t="s">
        <v>169</v>
      </c>
      <c r="AC110" s="38" t="s">
        <v>170</v>
      </c>
      <c r="AD110" s="38" t="s">
        <v>169</v>
      </c>
      <c r="AE110" s="38" t="s">
        <v>170</v>
      </c>
      <c r="AF110" s="38" t="s">
        <v>171</v>
      </c>
      <c r="AG110" s="38" t="s">
        <v>171</v>
      </c>
      <c r="AH110" s="38" t="s">
        <v>170</v>
      </c>
      <c r="AI110" s="38" t="s">
        <v>169</v>
      </c>
      <c r="AJ110" s="38" t="s">
        <v>171</v>
      </c>
      <c r="AK110" s="38" t="s">
        <v>171</v>
      </c>
      <c r="AL110" s="38" t="s">
        <v>170</v>
      </c>
      <c r="AM110" s="38" t="s">
        <v>172</v>
      </c>
      <c r="AN110" s="38" t="s">
        <v>170</v>
      </c>
      <c r="AO110" s="38" t="s">
        <v>172</v>
      </c>
      <c r="AP110" s="38" t="s">
        <v>170</v>
      </c>
      <c r="AQ110" s="38" t="s">
        <v>170</v>
      </c>
      <c r="AR110" s="38" t="s">
        <v>169</v>
      </c>
      <c r="AS110" s="38" t="s">
        <v>172</v>
      </c>
      <c r="AT110" s="38" t="s">
        <v>172</v>
      </c>
      <c r="AU110" s="38" t="s">
        <v>169</v>
      </c>
      <c r="AV110" s="38" t="s">
        <v>172</v>
      </c>
      <c r="AW110" s="38" t="s">
        <v>169</v>
      </c>
      <c r="AX110" s="38" t="s">
        <v>169</v>
      </c>
      <c r="AY110" s="38" t="s">
        <v>171</v>
      </c>
      <c r="AZ110" s="38" t="s">
        <v>170</v>
      </c>
      <c r="BA110" s="38" t="s">
        <v>172</v>
      </c>
      <c r="BB110" s="38" t="s">
        <v>170</v>
      </c>
      <c r="BC110" s="38" t="s">
        <v>171</v>
      </c>
      <c r="BD110" s="38" t="s">
        <v>169</v>
      </c>
      <c r="BE110" s="38" t="s">
        <v>169</v>
      </c>
      <c r="BF110" s="38" t="s">
        <v>171</v>
      </c>
      <c r="BG110" s="38" t="s">
        <v>171</v>
      </c>
      <c r="BH110" s="38" t="s">
        <v>170</v>
      </c>
      <c r="BI110" s="38" t="s">
        <v>169</v>
      </c>
      <c r="BJ110" s="38" t="s">
        <v>172</v>
      </c>
      <c r="BK110" s="38" t="s">
        <v>172</v>
      </c>
      <c r="BL110" s="38" t="s">
        <v>170</v>
      </c>
      <c r="BM110" s="38" t="s">
        <v>170</v>
      </c>
      <c r="BN110" s="38" t="s">
        <v>170</v>
      </c>
      <c r="BO110" s="38" t="s">
        <v>172</v>
      </c>
      <c r="BP110" s="38" t="s">
        <v>169</v>
      </c>
      <c r="BQ110" s="38" t="s">
        <v>171</v>
      </c>
      <c r="BR110" s="38" t="s">
        <v>172</v>
      </c>
      <c r="BS110" s="38" t="s">
        <v>171</v>
      </c>
      <c r="BT110" s="38" t="s">
        <v>170</v>
      </c>
      <c r="BU110" s="38" t="s">
        <v>169</v>
      </c>
      <c r="BV110" s="38" t="s">
        <v>170</v>
      </c>
      <c r="BW110" s="38" t="s">
        <v>170</v>
      </c>
      <c r="BX110" s="38" t="s">
        <v>170</v>
      </c>
    </row>
    <row r="111" customFormat="false" ht="15" hidden="false" customHeight="true" outlineLevel="0" collapsed="false">
      <c r="A111" s="38" t="s">
        <v>315</v>
      </c>
      <c r="B111" s="38" t="s">
        <v>353</v>
      </c>
      <c r="C111" s="38" t="s">
        <v>228</v>
      </c>
      <c r="D111" s="38" t="s">
        <v>276</v>
      </c>
      <c r="E111" s="38" t="s">
        <v>169</v>
      </c>
      <c r="F111" s="38" t="s">
        <v>169</v>
      </c>
      <c r="G111" s="38" t="s">
        <v>169</v>
      </c>
      <c r="H111" s="38" t="s">
        <v>171</v>
      </c>
      <c r="I111" s="38" t="s">
        <v>169</v>
      </c>
      <c r="J111" s="38" t="s">
        <v>170</v>
      </c>
      <c r="K111" s="38" t="s">
        <v>169</v>
      </c>
      <c r="L111" s="38" t="s">
        <v>171</v>
      </c>
      <c r="M111" s="38" t="s">
        <v>172</v>
      </c>
      <c r="N111" s="38" t="s">
        <v>169</v>
      </c>
      <c r="O111" s="38" t="s">
        <v>170</v>
      </c>
      <c r="P111" s="38" t="s">
        <v>171</v>
      </c>
      <c r="Q111" s="38" t="s">
        <v>170</v>
      </c>
      <c r="R111" s="38" t="s">
        <v>172</v>
      </c>
      <c r="S111" s="38" t="s">
        <v>169</v>
      </c>
      <c r="T111" s="40" t="s">
        <v>176</v>
      </c>
      <c r="U111" s="38" t="s">
        <v>169</v>
      </c>
      <c r="V111" s="38" t="s">
        <v>169</v>
      </c>
      <c r="W111" s="38" t="s">
        <v>169</v>
      </c>
      <c r="X111" s="38" t="s">
        <v>171</v>
      </c>
      <c r="Y111" s="38" t="s">
        <v>171</v>
      </c>
      <c r="Z111" s="38" t="s">
        <v>169</v>
      </c>
      <c r="AA111" s="38" t="s">
        <v>172</v>
      </c>
      <c r="AB111" s="38" t="s">
        <v>169</v>
      </c>
      <c r="AC111" s="38" t="s">
        <v>170</v>
      </c>
      <c r="AD111" s="38" t="s">
        <v>169</v>
      </c>
      <c r="AE111" s="38" t="s">
        <v>170</v>
      </c>
      <c r="AF111" s="38" t="s">
        <v>171</v>
      </c>
      <c r="AG111" s="38" t="s">
        <v>169</v>
      </c>
      <c r="AH111" s="38" t="s">
        <v>170</v>
      </c>
      <c r="AI111" s="38" t="s">
        <v>171</v>
      </c>
      <c r="AJ111" s="38" t="s">
        <v>170</v>
      </c>
      <c r="AK111" s="38" t="s">
        <v>171</v>
      </c>
      <c r="AL111" s="38" t="s">
        <v>171</v>
      </c>
      <c r="AM111" s="38" t="s">
        <v>172</v>
      </c>
      <c r="AN111" s="38" t="s">
        <v>170</v>
      </c>
      <c r="AO111" s="38" t="s">
        <v>172</v>
      </c>
      <c r="AP111" s="38" t="s">
        <v>172</v>
      </c>
      <c r="AQ111" s="38" t="s">
        <v>172</v>
      </c>
      <c r="AR111" s="38" t="s">
        <v>169</v>
      </c>
      <c r="AS111" s="38" t="s">
        <v>170</v>
      </c>
      <c r="AT111" s="38" t="s">
        <v>172</v>
      </c>
      <c r="AU111" s="38" t="s">
        <v>169</v>
      </c>
      <c r="AV111" s="38" t="s">
        <v>172</v>
      </c>
      <c r="AW111" s="38" t="s">
        <v>171</v>
      </c>
      <c r="AX111" s="38" t="s">
        <v>169</v>
      </c>
      <c r="AY111" s="38" t="s">
        <v>171</v>
      </c>
      <c r="AZ111" s="38" t="s">
        <v>170</v>
      </c>
      <c r="BA111" s="38" t="s">
        <v>169</v>
      </c>
      <c r="BB111" s="38" t="s">
        <v>169</v>
      </c>
      <c r="BC111" s="38" t="s">
        <v>170</v>
      </c>
      <c r="BD111" s="38" t="s">
        <v>169</v>
      </c>
      <c r="BE111" s="38" t="s">
        <v>169</v>
      </c>
      <c r="BF111" s="38" t="s">
        <v>171</v>
      </c>
      <c r="BG111" s="38" t="s">
        <v>171</v>
      </c>
      <c r="BH111" s="38" t="s">
        <v>170</v>
      </c>
      <c r="BI111" s="38" t="s">
        <v>169</v>
      </c>
      <c r="BJ111" s="38" t="s">
        <v>172</v>
      </c>
      <c r="BK111" s="38" t="s">
        <v>172</v>
      </c>
      <c r="BL111" s="38" t="s">
        <v>172</v>
      </c>
      <c r="BM111" s="38" t="s">
        <v>170</v>
      </c>
      <c r="BN111" s="38" t="s">
        <v>169</v>
      </c>
      <c r="BO111" s="38" t="s">
        <v>170</v>
      </c>
      <c r="BP111" s="38" t="s">
        <v>169</v>
      </c>
      <c r="BQ111" s="38" t="s">
        <v>170</v>
      </c>
      <c r="BR111" s="38" t="s">
        <v>170</v>
      </c>
      <c r="BS111" s="38" t="s">
        <v>169</v>
      </c>
      <c r="BT111" s="38" t="s">
        <v>170</v>
      </c>
      <c r="BU111" s="38" t="s">
        <v>169</v>
      </c>
      <c r="BV111" s="38" t="s">
        <v>170</v>
      </c>
      <c r="BW111" s="38" t="s">
        <v>170</v>
      </c>
      <c r="BX111" s="38" t="s">
        <v>170</v>
      </c>
    </row>
    <row r="112" customFormat="false" ht="15" hidden="false" customHeight="true" outlineLevel="0" collapsed="false">
      <c r="A112" s="38" t="s">
        <v>354</v>
      </c>
      <c r="B112" s="38" t="s">
        <v>355</v>
      </c>
      <c r="C112" s="38" t="s">
        <v>202</v>
      </c>
      <c r="D112" s="38" t="s">
        <v>235</v>
      </c>
      <c r="E112" s="38" t="s">
        <v>169</v>
      </c>
      <c r="F112" s="38" t="s">
        <v>169</v>
      </c>
      <c r="G112" s="38" t="s">
        <v>172</v>
      </c>
      <c r="H112" s="38" t="s">
        <v>169</v>
      </c>
      <c r="I112" s="38" t="s">
        <v>170</v>
      </c>
      <c r="J112" s="38" t="s">
        <v>170</v>
      </c>
      <c r="K112" s="38" t="s">
        <v>171</v>
      </c>
      <c r="L112" s="38" t="s">
        <v>171</v>
      </c>
      <c r="M112" s="38" t="s">
        <v>172</v>
      </c>
      <c r="N112" s="38" t="s">
        <v>169</v>
      </c>
      <c r="O112" s="38" t="s">
        <v>170</v>
      </c>
      <c r="P112" s="38" t="s">
        <v>171</v>
      </c>
      <c r="Q112" s="38" t="s">
        <v>170</v>
      </c>
      <c r="R112" s="38" t="s">
        <v>172</v>
      </c>
      <c r="S112" s="38" t="s">
        <v>169</v>
      </c>
      <c r="T112" s="38" t="s">
        <v>170</v>
      </c>
      <c r="U112" s="38" t="s">
        <v>171</v>
      </c>
      <c r="V112" s="38" t="s">
        <v>169</v>
      </c>
      <c r="W112" s="38" t="s">
        <v>169</v>
      </c>
      <c r="X112" s="38" t="s">
        <v>169</v>
      </c>
      <c r="Y112" s="38" t="s">
        <v>172</v>
      </c>
      <c r="Z112" s="38" t="s">
        <v>169</v>
      </c>
      <c r="AA112" s="38" t="s">
        <v>172</v>
      </c>
      <c r="AB112" s="38" t="s">
        <v>169</v>
      </c>
      <c r="AC112" s="38" t="s">
        <v>170</v>
      </c>
      <c r="AD112" s="38" t="s">
        <v>169</v>
      </c>
      <c r="AE112" s="38" t="s">
        <v>170</v>
      </c>
      <c r="AF112" s="38" t="s">
        <v>170</v>
      </c>
      <c r="AG112" s="38" t="s">
        <v>171</v>
      </c>
      <c r="AH112" s="38" t="s">
        <v>169</v>
      </c>
      <c r="AI112" s="38" t="s">
        <v>170</v>
      </c>
      <c r="AJ112" s="38" t="s">
        <v>171</v>
      </c>
      <c r="AK112" s="38" t="s">
        <v>171</v>
      </c>
      <c r="AL112" s="38" t="s">
        <v>171</v>
      </c>
      <c r="AM112" s="38" t="s">
        <v>169</v>
      </c>
      <c r="AN112" s="38" t="s">
        <v>170</v>
      </c>
      <c r="AO112" s="38" t="s">
        <v>172</v>
      </c>
      <c r="AP112" s="38" t="s">
        <v>170</v>
      </c>
      <c r="AQ112" s="38" t="s">
        <v>169</v>
      </c>
      <c r="AR112" s="38" t="s">
        <v>170</v>
      </c>
      <c r="AS112" s="38" t="s">
        <v>172</v>
      </c>
      <c r="AT112" s="38" t="s">
        <v>169</v>
      </c>
      <c r="AU112" s="38" t="s">
        <v>169</v>
      </c>
      <c r="AV112" s="38" t="s">
        <v>172</v>
      </c>
      <c r="AW112" s="38" t="s">
        <v>169</v>
      </c>
      <c r="AX112" s="38" t="s">
        <v>169</v>
      </c>
      <c r="AY112" s="38" t="s">
        <v>171</v>
      </c>
      <c r="AZ112" s="38" t="s">
        <v>170</v>
      </c>
      <c r="BA112" s="38" t="s">
        <v>172</v>
      </c>
      <c r="BB112" s="38" t="s">
        <v>169</v>
      </c>
      <c r="BC112" s="38" t="s">
        <v>170</v>
      </c>
      <c r="BD112" s="38" t="s">
        <v>169</v>
      </c>
      <c r="BE112" s="38" t="s">
        <v>169</v>
      </c>
      <c r="BF112" s="38" t="s">
        <v>171</v>
      </c>
      <c r="BG112" s="38" t="s">
        <v>171</v>
      </c>
      <c r="BH112" s="38" t="s">
        <v>170</v>
      </c>
      <c r="BI112" s="38" t="s">
        <v>169</v>
      </c>
      <c r="BJ112" s="38" t="s">
        <v>172</v>
      </c>
      <c r="BK112" s="38" t="s">
        <v>171</v>
      </c>
      <c r="BL112" s="38" t="s">
        <v>170</v>
      </c>
      <c r="BM112" s="38" t="s">
        <v>170</v>
      </c>
      <c r="BN112" s="38" t="s">
        <v>170</v>
      </c>
      <c r="BO112" s="38" t="s">
        <v>169</v>
      </c>
      <c r="BP112" s="38" t="s">
        <v>170</v>
      </c>
      <c r="BQ112" s="38" t="s">
        <v>171</v>
      </c>
      <c r="BR112" s="38" t="s">
        <v>172</v>
      </c>
      <c r="BS112" s="38" t="s">
        <v>169</v>
      </c>
      <c r="BT112" s="38" t="s">
        <v>169</v>
      </c>
      <c r="BU112" s="38" t="s">
        <v>170</v>
      </c>
      <c r="BV112" s="38" t="s">
        <v>171</v>
      </c>
      <c r="BW112" s="38" t="s">
        <v>170</v>
      </c>
      <c r="BX112" s="38" t="s">
        <v>170</v>
      </c>
    </row>
    <row r="113" customFormat="false" ht="15" hidden="false" customHeight="true" outlineLevel="0" collapsed="false">
      <c r="A113" s="38" t="s">
        <v>354</v>
      </c>
      <c r="B113" s="38" t="s">
        <v>356</v>
      </c>
      <c r="C113" s="38" t="s">
        <v>240</v>
      </c>
      <c r="D113" s="38" t="s">
        <v>241</v>
      </c>
      <c r="E113" s="38" t="s">
        <v>169</v>
      </c>
      <c r="F113" s="38" t="s">
        <v>169</v>
      </c>
      <c r="G113" s="38" t="s">
        <v>170</v>
      </c>
      <c r="H113" s="38" t="s">
        <v>171</v>
      </c>
      <c r="I113" s="38" t="s">
        <v>170</v>
      </c>
      <c r="J113" s="38" t="s">
        <v>169</v>
      </c>
      <c r="K113" s="38" t="s">
        <v>169</v>
      </c>
      <c r="L113" s="38" t="s">
        <v>171</v>
      </c>
      <c r="M113" s="38" t="s">
        <v>172</v>
      </c>
      <c r="N113" s="38" t="s">
        <v>169</v>
      </c>
      <c r="O113" s="38" t="s">
        <v>170</v>
      </c>
      <c r="P113" s="38" t="s">
        <v>171</v>
      </c>
      <c r="Q113" s="38" t="s">
        <v>170</v>
      </c>
      <c r="R113" s="38" t="s">
        <v>172</v>
      </c>
      <c r="S113" s="38" t="s">
        <v>169</v>
      </c>
      <c r="T113" s="38" t="s">
        <v>171</v>
      </c>
      <c r="U113" s="38" t="s">
        <v>171</v>
      </c>
      <c r="V113" s="38" t="s">
        <v>169</v>
      </c>
      <c r="W113" s="38" t="s">
        <v>169</v>
      </c>
      <c r="X113" s="38" t="s">
        <v>171</v>
      </c>
      <c r="Y113" s="38" t="s">
        <v>172</v>
      </c>
      <c r="Z113" s="38" t="s">
        <v>169</v>
      </c>
      <c r="AA113" s="38" t="s">
        <v>172</v>
      </c>
      <c r="AB113" s="38" t="s">
        <v>169</v>
      </c>
      <c r="AC113" s="38" t="s">
        <v>170</v>
      </c>
      <c r="AD113" s="38" t="s">
        <v>172</v>
      </c>
      <c r="AE113" s="38" t="s">
        <v>172</v>
      </c>
      <c r="AF113" s="38" t="s">
        <v>170</v>
      </c>
      <c r="AG113" s="38" t="s">
        <v>169</v>
      </c>
      <c r="AH113" s="38" t="s">
        <v>169</v>
      </c>
      <c r="AI113" s="38" t="s">
        <v>172</v>
      </c>
      <c r="AJ113" s="38" t="s">
        <v>170</v>
      </c>
      <c r="AK113" s="38" t="s">
        <v>171</v>
      </c>
      <c r="AL113" s="38" t="s">
        <v>169</v>
      </c>
      <c r="AM113" s="38" t="s">
        <v>172</v>
      </c>
      <c r="AN113" s="38" t="s">
        <v>172</v>
      </c>
      <c r="AO113" s="38" t="s">
        <v>172</v>
      </c>
      <c r="AP113" s="38" t="s">
        <v>172</v>
      </c>
      <c r="AQ113" s="38" t="s">
        <v>171</v>
      </c>
      <c r="AR113" s="38" t="s">
        <v>170</v>
      </c>
      <c r="AS113" s="38" t="s">
        <v>170</v>
      </c>
      <c r="AT113" s="38" t="s">
        <v>169</v>
      </c>
      <c r="AU113" s="38" t="s">
        <v>171</v>
      </c>
      <c r="AV113" s="38" t="s">
        <v>169</v>
      </c>
      <c r="AW113" s="38" t="s">
        <v>171</v>
      </c>
      <c r="AX113" s="38" t="s">
        <v>169</v>
      </c>
      <c r="AY113" s="38" t="s">
        <v>171</v>
      </c>
      <c r="AZ113" s="38" t="s">
        <v>170</v>
      </c>
      <c r="BA113" s="38" t="s">
        <v>169</v>
      </c>
      <c r="BB113" s="38" t="s">
        <v>169</v>
      </c>
      <c r="BC113" s="38" t="s">
        <v>170</v>
      </c>
      <c r="BD113" s="38" t="s">
        <v>169</v>
      </c>
      <c r="BE113" s="38" t="s">
        <v>169</v>
      </c>
      <c r="BF113" s="38" t="s">
        <v>171</v>
      </c>
      <c r="BG113" s="38" t="s">
        <v>171</v>
      </c>
      <c r="BH113" s="38" t="s">
        <v>170</v>
      </c>
      <c r="BI113" s="38" t="s">
        <v>169</v>
      </c>
      <c r="BJ113" s="38" t="s">
        <v>172</v>
      </c>
      <c r="BK113" s="38" t="s">
        <v>171</v>
      </c>
      <c r="BL113" s="38" t="s">
        <v>171</v>
      </c>
      <c r="BM113" s="38" t="s">
        <v>170</v>
      </c>
      <c r="BN113" s="38" t="s">
        <v>170</v>
      </c>
      <c r="BO113" s="38" t="s">
        <v>169</v>
      </c>
      <c r="BP113" s="38" t="s">
        <v>171</v>
      </c>
      <c r="BQ113" s="38" t="s">
        <v>170</v>
      </c>
      <c r="BR113" s="38" t="s">
        <v>170</v>
      </c>
      <c r="BS113" s="38" t="s">
        <v>170</v>
      </c>
      <c r="BT113" s="38" t="s">
        <v>169</v>
      </c>
      <c r="BU113" s="38" t="s">
        <v>172</v>
      </c>
      <c r="BV113" s="38" t="s">
        <v>169</v>
      </c>
      <c r="BW113" s="38" t="s">
        <v>170</v>
      </c>
      <c r="BX113" s="38" t="s">
        <v>170</v>
      </c>
    </row>
    <row r="114" customFormat="false" ht="15" hidden="false" customHeight="true" outlineLevel="0" collapsed="false">
      <c r="A114" s="38" t="s">
        <v>354</v>
      </c>
      <c r="B114" s="38" t="s">
        <v>357</v>
      </c>
      <c r="C114" s="38" t="s">
        <v>211</v>
      </c>
      <c r="D114" s="38" t="s">
        <v>293</v>
      </c>
      <c r="E114" s="38" t="s">
        <v>169</v>
      </c>
      <c r="F114" s="38" t="s">
        <v>170</v>
      </c>
      <c r="G114" s="38" t="s">
        <v>169</v>
      </c>
      <c r="H114" s="38" t="s">
        <v>169</v>
      </c>
      <c r="I114" s="38" t="s">
        <v>169</v>
      </c>
      <c r="J114" s="38" t="s">
        <v>171</v>
      </c>
      <c r="K114" s="38" t="s">
        <v>169</v>
      </c>
      <c r="L114" s="38" t="s">
        <v>171</v>
      </c>
      <c r="M114" s="38" t="s">
        <v>172</v>
      </c>
      <c r="N114" s="38" t="s">
        <v>169</v>
      </c>
      <c r="O114" s="38" t="s">
        <v>171</v>
      </c>
      <c r="P114" s="38" t="s">
        <v>171</v>
      </c>
      <c r="Q114" s="38" t="s">
        <v>171</v>
      </c>
      <c r="R114" s="38" t="s">
        <v>172</v>
      </c>
      <c r="S114" s="38" t="s">
        <v>169</v>
      </c>
      <c r="T114" s="40" t="s">
        <v>176</v>
      </c>
      <c r="U114" s="38" t="s">
        <v>171</v>
      </c>
      <c r="V114" s="38" t="s">
        <v>169</v>
      </c>
      <c r="W114" s="38" t="s">
        <v>169</v>
      </c>
      <c r="X114" s="38" t="s">
        <v>171</v>
      </c>
      <c r="Y114" s="38" t="s">
        <v>172</v>
      </c>
      <c r="Z114" s="38" t="s">
        <v>172</v>
      </c>
      <c r="AA114" s="38" t="s">
        <v>172</v>
      </c>
      <c r="AB114" s="38" t="s">
        <v>172</v>
      </c>
      <c r="AC114" s="38" t="s">
        <v>170</v>
      </c>
      <c r="AD114" s="38" t="s">
        <v>170</v>
      </c>
      <c r="AE114" s="38" t="s">
        <v>171</v>
      </c>
      <c r="AF114" s="38" t="s">
        <v>170</v>
      </c>
      <c r="AG114" s="38" t="s">
        <v>172</v>
      </c>
      <c r="AH114" s="38" t="s">
        <v>169</v>
      </c>
      <c r="AI114" s="38" t="s">
        <v>170</v>
      </c>
      <c r="AJ114" s="38" t="s">
        <v>170</v>
      </c>
      <c r="AK114" s="38" t="s">
        <v>171</v>
      </c>
      <c r="AL114" s="38" t="s">
        <v>171</v>
      </c>
      <c r="AM114" s="38" t="s">
        <v>170</v>
      </c>
      <c r="AN114" s="38" t="s">
        <v>170</v>
      </c>
      <c r="AO114" s="38" t="s">
        <v>172</v>
      </c>
      <c r="AP114" s="38" t="s">
        <v>172</v>
      </c>
      <c r="AQ114" s="38" t="s">
        <v>169</v>
      </c>
      <c r="AR114" s="38" t="s">
        <v>170</v>
      </c>
      <c r="AS114" s="38" t="s">
        <v>171</v>
      </c>
      <c r="AT114" s="38" t="s">
        <v>169</v>
      </c>
      <c r="AU114" s="38" t="s">
        <v>172</v>
      </c>
      <c r="AV114" s="38" t="s">
        <v>171</v>
      </c>
      <c r="AW114" s="38" t="s">
        <v>169</v>
      </c>
      <c r="AX114" s="40" t="s">
        <v>176</v>
      </c>
      <c r="AY114" s="38" t="s">
        <v>171</v>
      </c>
      <c r="AZ114" s="38" t="s">
        <v>170</v>
      </c>
      <c r="BA114" s="38" t="s">
        <v>169</v>
      </c>
      <c r="BB114" s="38" t="s">
        <v>171</v>
      </c>
      <c r="BC114" s="38" t="s">
        <v>169</v>
      </c>
      <c r="BD114" s="38" t="s">
        <v>172</v>
      </c>
      <c r="BE114" s="38" t="s">
        <v>169</v>
      </c>
      <c r="BF114" s="38" t="s">
        <v>171</v>
      </c>
      <c r="BG114" s="38" t="s">
        <v>171</v>
      </c>
      <c r="BH114" s="38" t="s">
        <v>170</v>
      </c>
      <c r="BI114" s="38" t="s">
        <v>169</v>
      </c>
      <c r="BJ114" s="38" t="s">
        <v>172</v>
      </c>
      <c r="BK114" s="38" t="s">
        <v>171</v>
      </c>
      <c r="BL114" s="38" t="s">
        <v>171</v>
      </c>
      <c r="BM114" s="38" t="s">
        <v>170</v>
      </c>
      <c r="BN114" s="38" t="s">
        <v>171</v>
      </c>
      <c r="BO114" s="38" t="s">
        <v>170</v>
      </c>
      <c r="BP114" s="38" t="s">
        <v>172</v>
      </c>
      <c r="BQ114" s="38" t="s">
        <v>171</v>
      </c>
      <c r="BR114" s="38" t="s">
        <v>170</v>
      </c>
      <c r="BS114" s="38" t="s">
        <v>172</v>
      </c>
      <c r="BT114" s="38" t="s">
        <v>170</v>
      </c>
      <c r="BU114" s="38" t="s">
        <v>170</v>
      </c>
      <c r="BV114" s="38" t="s">
        <v>170</v>
      </c>
      <c r="BW114" s="38" t="s">
        <v>169</v>
      </c>
      <c r="BX114" s="38" t="s">
        <v>170</v>
      </c>
    </row>
    <row r="115" customFormat="false" ht="15" hidden="false" customHeight="true" outlineLevel="0" collapsed="false">
      <c r="A115" s="38" t="s">
        <v>354</v>
      </c>
      <c r="B115" s="38" t="s">
        <v>358</v>
      </c>
      <c r="C115" s="38" t="s">
        <v>216</v>
      </c>
      <c r="D115" s="38" t="s">
        <v>187</v>
      </c>
      <c r="E115" s="38" t="s">
        <v>169</v>
      </c>
      <c r="F115" s="38" t="s">
        <v>169</v>
      </c>
      <c r="G115" s="38" t="s">
        <v>172</v>
      </c>
      <c r="H115" s="38" t="s">
        <v>170</v>
      </c>
      <c r="I115" s="38" t="s">
        <v>170</v>
      </c>
      <c r="J115" s="38" t="s">
        <v>171</v>
      </c>
      <c r="K115" s="38" t="s">
        <v>171</v>
      </c>
      <c r="L115" s="38" t="s">
        <v>171</v>
      </c>
      <c r="M115" s="38" t="s">
        <v>172</v>
      </c>
      <c r="N115" s="38" t="s">
        <v>169</v>
      </c>
      <c r="O115" s="38" t="s">
        <v>170</v>
      </c>
      <c r="P115" s="38" t="s">
        <v>171</v>
      </c>
      <c r="Q115" s="38" t="s">
        <v>170</v>
      </c>
      <c r="R115" s="38" t="s">
        <v>172</v>
      </c>
      <c r="S115" s="38" t="s">
        <v>169</v>
      </c>
      <c r="T115" s="38" t="s">
        <v>171</v>
      </c>
      <c r="U115" s="38" t="s">
        <v>171</v>
      </c>
      <c r="V115" s="38" t="s">
        <v>169</v>
      </c>
      <c r="W115" s="38" t="s">
        <v>169</v>
      </c>
      <c r="X115" s="38" t="s">
        <v>171</v>
      </c>
      <c r="Y115" s="38" t="s">
        <v>172</v>
      </c>
      <c r="Z115" s="38" t="s">
        <v>169</v>
      </c>
      <c r="AA115" s="38" t="s">
        <v>172</v>
      </c>
      <c r="AB115" s="38" t="s">
        <v>169</v>
      </c>
      <c r="AC115" s="38" t="s">
        <v>170</v>
      </c>
      <c r="AD115" s="38" t="s">
        <v>172</v>
      </c>
      <c r="AE115" s="38" t="s">
        <v>169</v>
      </c>
      <c r="AF115" s="38" t="s">
        <v>172</v>
      </c>
      <c r="AG115" s="38" t="s">
        <v>170</v>
      </c>
      <c r="AH115" s="38" t="s">
        <v>169</v>
      </c>
      <c r="AI115" s="38" t="s">
        <v>169</v>
      </c>
      <c r="AJ115" s="38" t="s">
        <v>170</v>
      </c>
      <c r="AK115" s="38" t="s">
        <v>171</v>
      </c>
      <c r="AL115" s="38" t="s">
        <v>170</v>
      </c>
      <c r="AM115" s="38" t="s">
        <v>172</v>
      </c>
      <c r="AN115" s="38" t="s">
        <v>171</v>
      </c>
      <c r="AO115" s="38" t="s">
        <v>172</v>
      </c>
      <c r="AP115" s="38" t="s">
        <v>172</v>
      </c>
      <c r="AQ115" s="38" t="s">
        <v>170</v>
      </c>
      <c r="AR115" s="38" t="s">
        <v>170</v>
      </c>
      <c r="AS115" s="38" t="s">
        <v>169</v>
      </c>
      <c r="AT115" s="38" t="s">
        <v>171</v>
      </c>
      <c r="AU115" s="38" t="s">
        <v>170</v>
      </c>
      <c r="AV115" s="38" t="s">
        <v>170</v>
      </c>
      <c r="AW115" s="38" t="s">
        <v>169</v>
      </c>
      <c r="AX115" s="38" t="s">
        <v>169</v>
      </c>
      <c r="AY115" s="38" t="s">
        <v>171</v>
      </c>
      <c r="AZ115" s="38" t="s">
        <v>170</v>
      </c>
      <c r="BA115" s="38" t="s">
        <v>169</v>
      </c>
      <c r="BB115" s="38" t="s">
        <v>171</v>
      </c>
      <c r="BC115" s="38" t="s">
        <v>172</v>
      </c>
      <c r="BD115" s="38" t="s">
        <v>169</v>
      </c>
      <c r="BE115" s="38" t="s">
        <v>169</v>
      </c>
      <c r="BF115" s="38" t="s">
        <v>171</v>
      </c>
      <c r="BG115" s="38" t="s">
        <v>171</v>
      </c>
      <c r="BH115" s="38" t="s">
        <v>170</v>
      </c>
      <c r="BI115" s="38" t="s">
        <v>169</v>
      </c>
      <c r="BJ115" s="38" t="s">
        <v>172</v>
      </c>
      <c r="BK115" s="38" t="s">
        <v>169</v>
      </c>
      <c r="BL115" s="38" t="s">
        <v>171</v>
      </c>
      <c r="BM115" s="38" t="s">
        <v>170</v>
      </c>
      <c r="BN115" s="38" t="s">
        <v>170</v>
      </c>
      <c r="BO115" s="38" t="s">
        <v>171</v>
      </c>
      <c r="BP115" s="38" t="s">
        <v>172</v>
      </c>
      <c r="BQ115" s="38" t="s">
        <v>170</v>
      </c>
      <c r="BR115" s="38" t="s">
        <v>172</v>
      </c>
      <c r="BS115" s="38" t="s">
        <v>172</v>
      </c>
      <c r="BT115" s="38" t="s">
        <v>169</v>
      </c>
      <c r="BU115" s="38" t="s">
        <v>169</v>
      </c>
      <c r="BV115" s="38" t="s">
        <v>171</v>
      </c>
      <c r="BW115" s="38" t="s">
        <v>170</v>
      </c>
      <c r="BX115" s="38" t="s">
        <v>170</v>
      </c>
    </row>
    <row r="116" customFormat="false" ht="15" hidden="false" customHeight="true" outlineLevel="0" collapsed="false">
      <c r="A116" s="38" t="s">
        <v>354</v>
      </c>
      <c r="B116" s="38" t="s">
        <v>359</v>
      </c>
      <c r="C116" s="38" t="s">
        <v>267</v>
      </c>
      <c r="D116" s="38" t="s">
        <v>184</v>
      </c>
      <c r="E116" s="38" t="s">
        <v>169</v>
      </c>
      <c r="F116" s="38" t="s">
        <v>172</v>
      </c>
      <c r="G116" s="38" t="s">
        <v>169</v>
      </c>
      <c r="H116" s="38" t="s">
        <v>170</v>
      </c>
      <c r="I116" s="38" t="s">
        <v>170</v>
      </c>
      <c r="J116" s="38" t="s">
        <v>172</v>
      </c>
      <c r="K116" s="38" t="s">
        <v>171</v>
      </c>
      <c r="L116" s="38" t="s">
        <v>171</v>
      </c>
      <c r="M116" s="38" t="s">
        <v>172</v>
      </c>
      <c r="N116" s="38" t="s">
        <v>169</v>
      </c>
      <c r="O116" s="38" t="s">
        <v>170</v>
      </c>
      <c r="P116" s="38" t="s">
        <v>171</v>
      </c>
      <c r="Q116" s="38" t="s">
        <v>170</v>
      </c>
      <c r="R116" s="38" t="s">
        <v>172</v>
      </c>
      <c r="S116" s="38" t="s">
        <v>169</v>
      </c>
      <c r="T116" s="38" t="s">
        <v>171</v>
      </c>
      <c r="U116" s="38" t="s">
        <v>171</v>
      </c>
      <c r="V116" s="38" t="s">
        <v>169</v>
      </c>
      <c r="W116" s="38" t="s">
        <v>169</v>
      </c>
      <c r="X116" s="38" t="s">
        <v>171</v>
      </c>
      <c r="Y116" s="38" t="s">
        <v>172</v>
      </c>
      <c r="Z116" s="38" t="s">
        <v>169</v>
      </c>
      <c r="AA116" s="38" t="s">
        <v>172</v>
      </c>
      <c r="AB116" s="38" t="s">
        <v>169</v>
      </c>
      <c r="AC116" s="38" t="s">
        <v>170</v>
      </c>
      <c r="AD116" s="38" t="s">
        <v>172</v>
      </c>
      <c r="AE116" s="38" t="s">
        <v>171</v>
      </c>
      <c r="AF116" s="38" t="s">
        <v>170</v>
      </c>
      <c r="AG116" s="38" t="s">
        <v>171</v>
      </c>
      <c r="AH116" s="38" t="s">
        <v>169</v>
      </c>
      <c r="AI116" s="38" t="s">
        <v>172</v>
      </c>
      <c r="AJ116" s="38" t="s">
        <v>170</v>
      </c>
      <c r="AK116" s="38" t="s">
        <v>171</v>
      </c>
      <c r="AL116" s="38" t="s">
        <v>171</v>
      </c>
      <c r="AM116" s="38" t="s">
        <v>171</v>
      </c>
      <c r="AN116" s="38" t="s">
        <v>171</v>
      </c>
      <c r="AO116" s="38" t="s">
        <v>172</v>
      </c>
      <c r="AP116" s="38" t="s">
        <v>172</v>
      </c>
      <c r="AQ116" s="38" t="s">
        <v>171</v>
      </c>
      <c r="AR116" s="38" t="s">
        <v>170</v>
      </c>
      <c r="AS116" s="38" t="s">
        <v>172</v>
      </c>
      <c r="AT116" s="38" t="s">
        <v>169</v>
      </c>
      <c r="AU116" s="38" t="s">
        <v>172</v>
      </c>
      <c r="AV116" s="38" t="s">
        <v>169</v>
      </c>
      <c r="AW116" s="38" t="s">
        <v>169</v>
      </c>
      <c r="AX116" s="38" t="s">
        <v>169</v>
      </c>
      <c r="AY116" s="38" t="s">
        <v>171</v>
      </c>
      <c r="AZ116" s="38" t="s">
        <v>170</v>
      </c>
      <c r="BA116" s="38" t="s">
        <v>169</v>
      </c>
      <c r="BB116" s="38" t="s">
        <v>172</v>
      </c>
      <c r="BC116" s="38" t="s">
        <v>172</v>
      </c>
      <c r="BD116" s="38" t="s">
        <v>169</v>
      </c>
      <c r="BE116" s="38" t="s">
        <v>169</v>
      </c>
      <c r="BF116" s="38" t="s">
        <v>171</v>
      </c>
      <c r="BG116" s="38" t="s">
        <v>171</v>
      </c>
      <c r="BH116" s="38" t="s">
        <v>170</v>
      </c>
      <c r="BI116" s="38" t="s">
        <v>169</v>
      </c>
      <c r="BJ116" s="38" t="s">
        <v>172</v>
      </c>
      <c r="BK116" s="38" t="s">
        <v>169</v>
      </c>
      <c r="BL116" s="38" t="s">
        <v>171</v>
      </c>
      <c r="BM116" s="38" t="s">
        <v>170</v>
      </c>
      <c r="BN116" s="38" t="s">
        <v>170</v>
      </c>
      <c r="BO116" s="38" t="s">
        <v>171</v>
      </c>
      <c r="BP116" s="38" t="s">
        <v>171</v>
      </c>
      <c r="BQ116" s="38" t="s">
        <v>170</v>
      </c>
      <c r="BR116" s="38" t="s">
        <v>172</v>
      </c>
      <c r="BS116" s="38" t="s">
        <v>171</v>
      </c>
      <c r="BT116" s="38" t="s">
        <v>169</v>
      </c>
      <c r="BU116" s="38" t="s">
        <v>169</v>
      </c>
      <c r="BV116" s="38" t="s">
        <v>170</v>
      </c>
      <c r="BW116" s="38" t="s">
        <v>171</v>
      </c>
      <c r="BX116" s="38" t="s">
        <v>170</v>
      </c>
    </row>
    <row r="117" customFormat="false" ht="15" hidden="false" customHeight="true" outlineLevel="0" collapsed="false">
      <c r="A117" s="38" t="s">
        <v>354</v>
      </c>
      <c r="B117" s="38" t="s">
        <v>360</v>
      </c>
      <c r="C117" s="38" t="s">
        <v>296</v>
      </c>
      <c r="D117" s="38" t="s">
        <v>361</v>
      </c>
      <c r="E117" s="38" t="s">
        <v>169</v>
      </c>
      <c r="F117" s="38" t="s">
        <v>170</v>
      </c>
      <c r="G117" s="38" t="s">
        <v>169</v>
      </c>
      <c r="H117" s="38" t="s">
        <v>169</v>
      </c>
      <c r="I117" s="38" t="s">
        <v>169</v>
      </c>
      <c r="J117" s="38" t="s">
        <v>171</v>
      </c>
      <c r="K117" s="38" t="s">
        <v>169</v>
      </c>
      <c r="L117" s="38" t="s">
        <v>171</v>
      </c>
      <c r="M117" s="38" t="s">
        <v>169</v>
      </c>
      <c r="N117" s="38" t="s">
        <v>170</v>
      </c>
      <c r="O117" s="38" t="s">
        <v>169</v>
      </c>
      <c r="P117" s="38" t="s">
        <v>169</v>
      </c>
      <c r="Q117" s="38" t="s">
        <v>169</v>
      </c>
      <c r="R117" s="38" t="s">
        <v>172</v>
      </c>
      <c r="S117" s="38" t="s">
        <v>172</v>
      </c>
      <c r="T117" s="38" t="s">
        <v>171</v>
      </c>
      <c r="U117" s="38" t="s">
        <v>171</v>
      </c>
      <c r="V117" s="38" t="s">
        <v>169</v>
      </c>
      <c r="W117" s="38" t="s">
        <v>169</v>
      </c>
      <c r="X117" s="38" t="s">
        <v>171</v>
      </c>
      <c r="Y117" s="38" t="s">
        <v>169</v>
      </c>
      <c r="Z117" s="38" t="s">
        <v>172</v>
      </c>
      <c r="AA117" s="38" t="s">
        <v>170</v>
      </c>
      <c r="AB117" s="38" t="s">
        <v>170</v>
      </c>
      <c r="AC117" s="38" t="s">
        <v>169</v>
      </c>
      <c r="AD117" s="38" t="s">
        <v>169</v>
      </c>
      <c r="AE117" s="38" t="s">
        <v>170</v>
      </c>
      <c r="AF117" s="38" t="s">
        <v>171</v>
      </c>
      <c r="AG117" s="38" t="s">
        <v>172</v>
      </c>
      <c r="AH117" s="38" t="s">
        <v>169</v>
      </c>
      <c r="AI117" s="38" t="s">
        <v>172</v>
      </c>
      <c r="AJ117" s="38" t="s">
        <v>171</v>
      </c>
      <c r="AK117" s="38" t="s">
        <v>171</v>
      </c>
      <c r="AL117" s="38" t="s">
        <v>170</v>
      </c>
      <c r="AM117" s="38" t="s">
        <v>172</v>
      </c>
      <c r="AN117" s="38" t="s">
        <v>169</v>
      </c>
      <c r="AO117" s="38" t="s">
        <v>169</v>
      </c>
      <c r="AP117" s="38" t="s">
        <v>172</v>
      </c>
      <c r="AQ117" s="38" t="s">
        <v>171</v>
      </c>
      <c r="AR117" s="38" t="s">
        <v>170</v>
      </c>
      <c r="AS117" s="38" t="s">
        <v>171</v>
      </c>
      <c r="AT117" s="38" t="s">
        <v>172</v>
      </c>
      <c r="AU117" s="38" t="s">
        <v>169</v>
      </c>
      <c r="AV117" s="38" t="s">
        <v>169</v>
      </c>
      <c r="AW117" s="38" t="s">
        <v>169</v>
      </c>
      <c r="AX117" s="38" t="s">
        <v>171</v>
      </c>
      <c r="AY117" s="38" t="s">
        <v>170</v>
      </c>
      <c r="AZ117" s="38" t="s">
        <v>171</v>
      </c>
      <c r="BA117" s="38" t="s">
        <v>169</v>
      </c>
      <c r="BB117" s="38" t="s">
        <v>172</v>
      </c>
      <c r="BC117" s="38" t="s">
        <v>169</v>
      </c>
      <c r="BD117" s="38" t="s">
        <v>169</v>
      </c>
      <c r="BE117" s="38" t="s">
        <v>169</v>
      </c>
      <c r="BF117" s="38" t="s">
        <v>171</v>
      </c>
      <c r="BG117" s="38" t="s">
        <v>171</v>
      </c>
      <c r="BH117" s="38" t="s">
        <v>170</v>
      </c>
      <c r="BI117" s="38" t="s">
        <v>172</v>
      </c>
      <c r="BJ117" s="38" t="s">
        <v>172</v>
      </c>
      <c r="BK117" s="38" t="s">
        <v>169</v>
      </c>
      <c r="BL117" s="38" t="s">
        <v>171</v>
      </c>
      <c r="BM117" s="38" t="s">
        <v>170</v>
      </c>
      <c r="BN117" s="38" t="s">
        <v>170</v>
      </c>
      <c r="BO117" s="38" t="s">
        <v>170</v>
      </c>
      <c r="BP117" s="38" t="s">
        <v>171</v>
      </c>
      <c r="BQ117" s="38" t="s">
        <v>171</v>
      </c>
      <c r="BR117" s="38" t="s">
        <v>170</v>
      </c>
      <c r="BS117" s="38" t="s">
        <v>172</v>
      </c>
      <c r="BT117" s="38" t="s">
        <v>170</v>
      </c>
      <c r="BU117" s="38" t="s">
        <v>170</v>
      </c>
      <c r="BV117" s="38" t="s">
        <v>170</v>
      </c>
      <c r="BW117" s="38" t="s">
        <v>169</v>
      </c>
      <c r="BX117" s="38" t="s">
        <v>170</v>
      </c>
    </row>
    <row r="118" customFormat="false" ht="15" hidden="false" customHeight="true" outlineLevel="0" collapsed="false">
      <c r="A118" s="38" t="s">
        <v>354</v>
      </c>
      <c r="B118" s="38" t="s">
        <v>362</v>
      </c>
      <c r="C118" s="38" t="s">
        <v>299</v>
      </c>
      <c r="D118" s="38" t="s">
        <v>187</v>
      </c>
      <c r="E118" s="38" t="s">
        <v>169</v>
      </c>
      <c r="F118" s="38" t="s">
        <v>169</v>
      </c>
      <c r="G118" s="38" t="s">
        <v>170</v>
      </c>
      <c r="H118" s="38" t="s">
        <v>169</v>
      </c>
      <c r="I118" s="38" t="s">
        <v>169</v>
      </c>
      <c r="J118" s="38" t="s">
        <v>171</v>
      </c>
      <c r="K118" s="38" t="s">
        <v>169</v>
      </c>
      <c r="L118" s="38" t="s">
        <v>171</v>
      </c>
      <c r="M118" s="38" t="s">
        <v>172</v>
      </c>
      <c r="N118" s="38" t="s">
        <v>169</v>
      </c>
      <c r="O118" s="38" t="s">
        <v>170</v>
      </c>
      <c r="P118" s="38" t="s">
        <v>171</v>
      </c>
      <c r="Q118" s="38" t="s">
        <v>170</v>
      </c>
      <c r="R118" s="38" t="s">
        <v>172</v>
      </c>
      <c r="S118" s="38" t="s">
        <v>169</v>
      </c>
      <c r="T118" s="40" t="s">
        <v>176</v>
      </c>
      <c r="U118" s="38" t="s">
        <v>170</v>
      </c>
      <c r="V118" s="38" t="s">
        <v>169</v>
      </c>
      <c r="W118" s="38" t="s">
        <v>169</v>
      </c>
      <c r="X118" s="38" t="s">
        <v>170</v>
      </c>
      <c r="Y118" s="38" t="s">
        <v>172</v>
      </c>
      <c r="Z118" s="38" t="s">
        <v>169</v>
      </c>
      <c r="AA118" s="38" t="s">
        <v>172</v>
      </c>
      <c r="AB118" s="38" t="s">
        <v>169</v>
      </c>
      <c r="AC118" s="38" t="s">
        <v>170</v>
      </c>
      <c r="AD118" s="38" t="s">
        <v>169</v>
      </c>
      <c r="AE118" s="38" t="s">
        <v>171</v>
      </c>
      <c r="AF118" s="38" t="s">
        <v>172</v>
      </c>
      <c r="AG118" s="38" t="s">
        <v>170</v>
      </c>
      <c r="AH118" s="38" t="s">
        <v>169</v>
      </c>
      <c r="AI118" s="38" t="s">
        <v>169</v>
      </c>
      <c r="AJ118" s="38" t="s">
        <v>171</v>
      </c>
      <c r="AK118" s="38" t="s">
        <v>171</v>
      </c>
      <c r="AL118" s="38" t="s">
        <v>170</v>
      </c>
      <c r="AM118" s="38" t="s">
        <v>172</v>
      </c>
      <c r="AN118" s="38" t="s">
        <v>171</v>
      </c>
      <c r="AO118" s="38" t="s">
        <v>172</v>
      </c>
      <c r="AP118" s="38" t="s">
        <v>170</v>
      </c>
      <c r="AQ118" s="38" t="s">
        <v>170</v>
      </c>
      <c r="AR118" s="38" t="s">
        <v>170</v>
      </c>
      <c r="AS118" s="38" t="s">
        <v>169</v>
      </c>
      <c r="AT118" s="38" t="s">
        <v>171</v>
      </c>
      <c r="AU118" s="38" t="s">
        <v>169</v>
      </c>
      <c r="AV118" s="38" t="s">
        <v>172</v>
      </c>
      <c r="AW118" s="38" t="s">
        <v>169</v>
      </c>
      <c r="AX118" s="38" t="s">
        <v>169</v>
      </c>
      <c r="AY118" s="38" t="s">
        <v>171</v>
      </c>
      <c r="AZ118" s="38" t="s">
        <v>170</v>
      </c>
      <c r="BA118" s="38" t="s">
        <v>169</v>
      </c>
      <c r="BB118" s="38" t="s">
        <v>169</v>
      </c>
      <c r="BC118" s="38" t="s">
        <v>169</v>
      </c>
      <c r="BD118" s="38" t="s">
        <v>169</v>
      </c>
      <c r="BE118" s="38" t="s">
        <v>169</v>
      </c>
      <c r="BF118" s="38" t="s">
        <v>171</v>
      </c>
      <c r="BG118" s="38" t="s">
        <v>171</v>
      </c>
      <c r="BH118" s="38" t="s">
        <v>170</v>
      </c>
      <c r="BI118" s="38" t="s">
        <v>169</v>
      </c>
      <c r="BJ118" s="38" t="s">
        <v>172</v>
      </c>
      <c r="BK118" s="38" t="s">
        <v>171</v>
      </c>
      <c r="BL118" s="38" t="s">
        <v>170</v>
      </c>
      <c r="BM118" s="38" t="s">
        <v>170</v>
      </c>
      <c r="BN118" s="38" t="s">
        <v>170</v>
      </c>
      <c r="BO118" s="38" t="s">
        <v>170</v>
      </c>
      <c r="BP118" s="38" t="s">
        <v>171</v>
      </c>
      <c r="BQ118" s="38" t="s">
        <v>170</v>
      </c>
      <c r="BR118" s="38" t="s">
        <v>170</v>
      </c>
      <c r="BS118" s="38" t="s">
        <v>169</v>
      </c>
      <c r="BT118" s="38" t="s">
        <v>170</v>
      </c>
      <c r="BU118" s="38" t="s">
        <v>170</v>
      </c>
      <c r="BV118" s="38" t="s">
        <v>169</v>
      </c>
      <c r="BW118" s="38" t="s">
        <v>170</v>
      </c>
      <c r="BX118" s="38" t="s">
        <v>171</v>
      </c>
    </row>
    <row r="119" customFormat="false" ht="15" hidden="false" customHeight="true" outlineLevel="0" collapsed="false">
      <c r="A119" s="38" t="s">
        <v>354</v>
      </c>
      <c r="B119" s="38" t="s">
        <v>363</v>
      </c>
      <c r="C119" s="38" t="s">
        <v>219</v>
      </c>
      <c r="D119" s="38" t="s">
        <v>243</v>
      </c>
      <c r="E119" s="38" t="s">
        <v>170</v>
      </c>
      <c r="F119" s="38" t="s">
        <v>169</v>
      </c>
      <c r="G119" s="38" t="s">
        <v>169</v>
      </c>
      <c r="H119" s="38" t="s">
        <v>169</v>
      </c>
      <c r="I119" s="38" t="s">
        <v>172</v>
      </c>
      <c r="J119" s="38" t="s">
        <v>172</v>
      </c>
      <c r="K119" s="38" t="s">
        <v>169</v>
      </c>
      <c r="L119" s="38" t="s">
        <v>171</v>
      </c>
      <c r="M119" s="38" t="s">
        <v>172</v>
      </c>
      <c r="N119" s="38" t="s">
        <v>169</v>
      </c>
      <c r="O119" s="38" t="s">
        <v>170</v>
      </c>
      <c r="P119" s="38" t="s">
        <v>171</v>
      </c>
      <c r="Q119" s="38" t="s">
        <v>170</v>
      </c>
      <c r="R119" s="38" t="s">
        <v>172</v>
      </c>
      <c r="S119" s="38" t="s">
        <v>169</v>
      </c>
      <c r="T119" s="38" t="s">
        <v>170</v>
      </c>
      <c r="U119" s="38" t="s">
        <v>171</v>
      </c>
      <c r="V119" s="38" t="s">
        <v>169</v>
      </c>
      <c r="W119" s="38" t="s">
        <v>169</v>
      </c>
      <c r="X119" s="38" t="s">
        <v>171</v>
      </c>
      <c r="Y119" s="38" t="s">
        <v>172</v>
      </c>
      <c r="Z119" s="38" t="s">
        <v>169</v>
      </c>
      <c r="AA119" s="38" t="s">
        <v>172</v>
      </c>
      <c r="AB119" s="38" t="s">
        <v>169</v>
      </c>
      <c r="AC119" s="38" t="s">
        <v>170</v>
      </c>
      <c r="AD119" s="38" t="s">
        <v>172</v>
      </c>
      <c r="AE119" s="38" t="s">
        <v>170</v>
      </c>
      <c r="AF119" s="38" t="s">
        <v>172</v>
      </c>
      <c r="AG119" s="38" t="s">
        <v>171</v>
      </c>
      <c r="AH119" s="38" t="s">
        <v>169</v>
      </c>
      <c r="AI119" s="38" t="s">
        <v>169</v>
      </c>
      <c r="AJ119" s="38" t="s">
        <v>171</v>
      </c>
      <c r="AK119" s="38" t="s">
        <v>171</v>
      </c>
      <c r="AL119" s="38" t="s">
        <v>171</v>
      </c>
      <c r="AM119" s="38" t="s">
        <v>169</v>
      </c>
      <c r="AN119" s="38" t="s">
        <v>169</v>
      </c>
      <c r="AO119" s="38" t="s">
        <v>169</v>
      </c>
      <c r="AP119" s="38" t="s">
        <v>172</v>
      </c>
      <c r="AQ119" s="38" t="s">
        <v>170</v>
      </c>
      <c r="AR119" s="38" t="s">
        <v>170</v>
      </c>
      <c r="AS119" s="38" t="s">
        <v>172</v>
      </c>
      <c r="AT119" s="38" t="s">
        <v>171</v>
      </c>
      <c r="AU119" s="38" t="s">
        <v>169</v>
      </c>
      <c r="AV119" s="38" t="s">
        <v>169</v>
      </c>
      <c r="AW119" s="38" t="s">
        <v>169</v>
      </c>
      <c r="AX119" s="38" t="s">
        <v>169</v>
      </c>
      <c r="AY119" s="38" t="s">
        <v>171</v>
      </c>
      <c r="AZ119" s="38" t="s">
        <v>170</v>
      </c>
      <c r="BA119" s="38" t="s">
        <v>169</v>
      </c>
      <c r="BB119" s="38" t="s">
        <v>170</v>
      </c>
      <c r="BC119" s="38" t="s">
        <v>172</v>
      </c>
      <c r="BD119" s="38" t="s">
        <v>169</v>
      </c>
      <c r="BE119" s="38" t="s">
        <v>169</v>
      </c>
      <c r="BF119" s="38" t="s">
        <v>171</v>
      </c>
      <c r="BG119" s="38" t="s">
        <v>171</v>
      </c>
      <c r="BH119" s="38" t="s">
        <v>170</v>
      </c>
      <c r="BI119" s="38" t="s">
        <v>169</v>
      </c>
      <c r="BJ119" s="38" t="s">
        <v>172</v>
      </c>
      <c r="BK119" s="38" t="s">
        <v>172</v>
      </c>
      <c r="BL119" s="38" t="s">
        <v>171</v>
      </c>
      <c r="BM119" s="38" t="s">
        <v>170</v>
      </c>
      <c r="BN119" s="38" t="s">
        <v>170</v>
      </c>
      <c r="BO119" s="38" t="s">
        <v>171</v>
      </c>
      <c r="BP119" s="38" t="s">
        <v>169</v>
      </c>
      <c r="BQ119" s="38" t="s">
        <v>171</v>
      </c>
      <c r="BR119" s="38" t="s">
        <v>170</v>
      </c>
      <c r="BS119" s="38" t="s">
        <v>171</v>
      </c>
      <c r="BT119" s="38" t="s">
        <v>171</v>
      </c>
      <c r="BU119" s="38" t="s">
        <v>170</v>
      </c>
      <c r="BV119" s="38" t="s">
        <v>170</v>
      </c>
      <c r="BW119" s="38" t="s">
        <v>170</v>
      </c>
      <c r="BX119" s="38" t="s">
        <v>169</v>
      </c>
    </row>
    <row r="120" customFormat="false" ht="15" hidden="false" customHeight="true" outlineLevel="0" collapsed="false">
      <c r="A120" s="38" t="s">
        <v>354</v>
      </c>
      <c r="B120" s="38" t="s">
        <v>364</v>
      </c>
      <c r="C120" s="38" t="s">
        <v>205</v>
      </c>
      <c r="D120" s="38" t="s">
        <v>365</v>
      </c>
      <c r="E120" s="38" t="s">
        <v>169</v>
      </c>
      <c r="F120" s="38" t="s">
        <v>170</v>
      </c>
      <c r="G120" s="38" t="s">
        <v>169</v>
      </c>
      <c r="H120" s="38" t="s">
        <v>170</v>
      </c>
      <c r="I120" s="38" t="s">
        <v>170</v>
      </c>
      <c r="J120" s="38" t="s">
        <v>170</v>
      </c>
      <c r="K120" s="38" t="s">
        <v>169</v>
      </c>
      <c r="L120" s="38" t="s">
        <v>171</v>
      </c>
      <c r="M120" s="38" t="s">
        <v>172</v>
      </c>
      <c r="N120" s="38" t="s">
        <v>169</v>
      </c>
      <c r="O120" s="38" t="s">
        <v>170</v>
      </c>
      <c r="P120" s="38" t="s">
        <v>171</v>
      </c>
      <c r="Q120" s="38" t="s">
        <v>170</v>
      </c>
      <c r="R120" s="38" t="s">
        <v>172</v>
      </c>
      <c r="S120" s="38" t="s">
        <v>172</v>
      </c>
      <c r="T120" s="40" t="s">
        <v>176</v>
      </c>
      <c r="U120" s="38" t="s">
        <v>171</v>
      </c>
      <c r="V120" s="38" t="s">
        <v>169</v>
      </c>
      <c r="W120" s="38" t="s">
        <v>169</v>
      </c>
      <c r="X120" s="38" t="s">
        <v>172</v>
      </c>
      <c r="Y120" s="38" t="s">
        <v>172</v>
      </c>
      <c r="Z120" s="38" t="s">
        <v>169</v>
      </c>
      <c r="AA120" s="38" t="s">
        <v>172</v>
      </c>
      <c r="AB120" s="38" t="s">
        <v>169</v>
      </c>
      <c r="AC120" s="38" t="s">
        <v>172</v>
      </c>
      <c r="AD120" s="38" t="s">
        <v>169</v>
      </c>
      <c r="AE120" s="38" t="s">
        <v>171</v>
      </c>
      <c r="AF120" s="38" t="s">
        <v>171</v>
      </c>
      <c r="AG120" s="38" t="s">
        <v>171</v>
      </c>
      <c r="AH120" s="38" t="s">
        <v>169</v>
      </c>
      <c r="AI120" s="38" t="s">
        <v>172</v>
      </c>
      <c r="AJ120" s="38" t="s">
        <v>170</v>
      </c>
      <c r="AK120" s="38" t="s">
        <v>171</v>
      </c>
      <c r="AL120" s="38" t="s">
        <v>172</v>
      </c>
      <c r="AM120" s="38" t="s">
        <v>170</v>
      </c>
      <c r="AN120" s="38" t="s">
        <v>169</v>
      </c>
      <c r="AO120" s="38" t="s">
        <v>169</v>
      </c>
      <c r="AP120" s="38" t="s">
        <v>172</v>
      </c>
      <c r="AQ120" s="38" t="s">
        <v>171</v>
      </c>
      <c r="AR120" s="38" t="s">
        <v>170</v>
      </c>
      <c r="AS120" s="38" t="s">
        <v>172</v>
      </c>
      <c r="AT120" s="38" t="s">
        <v>172</v>
      </c>
      <c r="AU120" s="38" t="s">
        <v>172</v>
      </c>
      <c r="AV120" s="38" t="s">
        <v>172</v>
      </c>
      <c r="AW120" s="38" t="s">
        <v>169</v>
      </c>
      <c r="AX120" s="38" t="s">
        <v>169</v>
      </c>
      <c r="AY120" s="38" t="s">
        <v>171</v>
      </c>
      <c r="AZ120" s="38" t="s">
        <v>171</v>
      </c>
      <c r="BA120" s="38" t="s">
        <v>172</v>
      </c>
      <c r="BB120" s="38" t="s">
        <v>169</v>
      </c>
      <c r="BC120" s="38" t="s">
        <v>169</v>
      </c>
      <c r="BD120" s="38" t="s">
        <v>169</v>
      </c>
      <c r="BE120" s="38" t="s">
        <v>169</v>
      </c>
      <c r="BF120" s="38" t="s">
        <v>171</v>
      </c>
      <c r="BG120" s="38" t="s">
        <v>171</v>
      </c>
      <c r="BH120" s="38" t="s">
        <v>170</v>
      </c>
      <c r="BI120" s="38" t="s">
        <v>169</v>
      </c>
      <c r="BJ120" s="38" t="s">
        <v>172</v>
      </c>
      <c r="BK120" s="38" t="s">
        <v>170</v>
      </c>
      <c r="BL120" s="38" t="s">
        <v>171</v>
      </c>
      <c r="BM120" s="38" t="s">
        <v>170</v>
      </c>
      <c r="BN120" s="38" t="s">
        <v>170</v>
      </c>
      <c r="BO120" s="38" t="s">
        <v>170</v>
      </c>
      <c r="BP120" s="38" t="s">
        <v>170</v>
      </c>
      <c r="BQ120" s="38" t="s">
        <v>171</v>
      </c>
      <c r="BR120" s="38" t="s">
        <v>170</v>
      </c>
      <c r="BS120" s="38" t="s">
        <v>169</v>
      </c>
      <c r="BT120" s="38" t="s">
        <v>169</v>
      </c>
      <c r="BU120" s="38" t="s">
        <v>169</v>
      </c>
      <c r="BV120" s="38" t="s">
        <v>170</v>
      </c>
      <c r="BW120" s="38" t="s">
        <v>169</v>
      </c>
      <c r="BX120" s="38" t="s">
        <v>170</v>
      </c>
    </row>
    <row r="121" customFormat="false" ht="15" hidden="false" customHeight="true" outlineLevel="0" collapsed="false">
      <c r="A121" s="38" t="s">
        <v>354</v>
      </c>
      <c r="B121" s="38" t="s">
        <v>366</v>
      </c>
      <c r="C121" s="38" t="s">
        <v>221</v>
      </c>
      <c r="D121" s="38" t="s">
        <v>304</v>
      </c>
      <c r="E121" s="38" t="s">
        <v>169</v>
      </c>
      <c r="F121" s="38" t="s">
        <v>169</v>
      </c>
      <c r="G121" s="38" t="s">
        <v>172</v>
      </c>
      <c r="H121" s="38" t="s">
        <v>169</v>
      </c>
      <c r="I121" s="38" t="s">
        <v>169</v>
      </c>
      <c r="J121" s="38" t="s">
        <v>172</v>
      </c>
      <c r="K121" s="38" t="s">
        <v>172</v>
      </c>
      <c r="L121" s="38" t="s">
        <v>171</v>
      </c>
      <c r="M121" s="38" t="s">
        <v>172</v>
      </c>
      <c r="N121" s="38" t="s">
        <v>170</v>
      </c>
      <c r="O121" s="38" t="s">
        <v>170</v>
      </c>
      <c r="P121" s="38" t="s">
        <v>170</v>
      </c>
      <c r="Q121" s="38" t="s">
        <v>172</v>
      </c>
      <c r="R121" s="38" t="s">
        <v>172</v>
      </c>
      <c r="S121" s="38" t="s">
        <v>169</v>
      </c>
      <c r="T121" s="38" t="s">
        <v>171</v>
      </c>
      <c r="U121" s="38" t="s">
        <v>170</v>
      </c>
      <c r="V121" s="38" t="s">
        <v>169</v>
      </c>
      <c r="W121" s="38" t="s">
        <v>169</v>
      </c>
      <c r="X121" s="38" t="s">
        <v>170</v>
      </c>
      <c r="Y121" s="38" t="s">
        <v>172</v>
      </c>
      <c r="Z121" s="38" t="s">
        <v>172</v>
      </c>
      <c r="AA121" s="38" t="s">
        <v>169</v>
      </c>
      <c r="AB121" s="38" t="s">
        <v>169</v>
      </c>
      <c r="AC121" s="38" t="s">
        <v>169</v>
      </c>
      <c r="AD121" s="38" t="s">
        <v>172</v>
      </c>
      <c r="AE121" s="38" t="s">
        <v>171</v>
      </c>
      <c r="AF121" s="38" t="s">
        <v>170</v>
      </c>
      <c r="AG121" s="38" t="s">
        <v>169</v>
      </c>
      <c r="AH121" s="38" t="s">
        <v>169</v>
      </c>
      <c r="AI121" s="38" t="s">
        <v>171</v>
      </c>
      <c r="AJ121" s="38" t="s">
        <v>170</v>
      </c>
      <c r="AK121" s="38" t="s">
        <v>171</v>
      </c>
      <c r="AL121" s="38" t="s">
        <v>171</v>
      </c>
      <c r="AM121" s="38" t="s">
        <v>169</v>
      </c>
      <c r="AN121" s="38" t="s">
        <v>172</v>
      </c>
      <c r="AO121" s="38" t="s">
        <v>172</v>
      </c>
      <c r="AP121" s="38" t="s">
        <v>172</v>
      </c>
      <c r="AQ121" s="38" t="s">
        <v>172</v>
      </c>
      <c r="AR121" s="38" t="s">
        <v>170</v>
      </c>
      <c r="AS121" s="38" t="s">
        <v>170</v>
      </c>
      <c r="AT121" s="38" t="s">
        <v>169</v>
      </c>
      <c r="AU121" s="38" t="s">
        <v>172</v>
      </c>
      <c r="AV121" s="38" t="s">
        <v>170</v>
      </c>
      <c r="AW121" s="38" t="s">
        <v>172</v>
      </c>
      <c r="AX121" s="38" t="s">
        <v>169</v>
      </c>
      <c r="AY121" s="38" t="s">
        <v>169</v>
      </c>
      <c r="AZ121" s="38" t="s">
        <v>170</v>
      </c>
      <c r="BA121" s="38" t="s">
        <v>169</v>
      </c>
      <c r="BB121" s="38" t="s">
        <v>169</v>
      </c>
      <c r="BC121" s="38" t="s">
        <v>169</v>
      </c>
      <c r="BD121" s="38" t="s">
        <v>169</v>
      </c>
      <c r="BE121" s="38" t="s">
        <v>169</v>
      </c>
      <c r="BF121" s="38" t="s">
        <v>171</v>
      </c>
      <c r="BG121" s="38" t="s">
        <v>171</v>
      </c>
      <c r="BH121" s="38" t="s">
        <v>170</v>
      </c>
      <c r="BI121" s="38" t="s">
        <v>169</v>
      </c>
      <c r="BJ121" s="38" t="s">
        <v>172</v>
      </c>
      <c r="BK121" s="38" t="s">
        <v>172</v>
      </c>
      <c r="BL121" s="38" t="s">
        <v>171</v>
      </c>
      <c r="BM121" s="38" t="s">
        <v>170</v>
      </c>
      <c r="BN121" s="38" t="s">
        <v>170</v>
      </c>
      <c r="BO121" s="38" t="s">
        <v>170</v>
      </c>
      <c r="BP121" s="38" t="s">
        <v>171</v>
      </c>
      <c r="BQ121" s="38" t="s">
        <v>170</v>
      </c>
      <c r="BR121" s="38" t="s">
        <v>171</v>
      </c>
      <c r="BS121" s="38" t="s">
        <v>171</v>
      </c>
      <c r="BT121" s="38" t="s">
        <v>170</v>
      </c>
      <c r="BU121" s="38" t="s">
        <v>170</v>
      </c>
      <c r="BV121" s="38" t="s">
        <v>171</v>
      </c>
      <c r="BW121" s="38" t="s">
        <v>170</v>
      </c>
      <c r="BX121" s="38" t="s">
        <v>170</v>
      </c>
    </row>
    <row r="122" customFormat="false" ht="15" hidden="false" customHeight="true" outlineLevel="0" collapsed="false">
      <c r="A122" s="38" t="s">
        <v>354</v>
      </c>
      <c r="B122" s="38" t="s">
        <v>367</v>
      </c>
      <c r="C122" s="38" t="s">
        <v>224</v>
      </c>
      <c r="D122" s="38" t="s">
        <v>307</v>
      </c>
      <c r="E122" s="38" t="s">
        <v>169</v>
      </c>
      <c r="F122" s="38" t="s">
        <v>170</v>
      </c>
      <c r="G122" s="38" t="s">
        <v>170</v>
      </c>
      <c r="H122" s="38" t="s">
        <v>169</v>
      </c>
      <c r="I122" s="38" t="s">
        <v>169</v>
      </c>
      <c r="J122" s="38" t="s">
        <v>171</v>
      </c>
      <c r="K122" s="38" t="s">
        <v>169</v>
      </c>
      <c r="L122" s="38" t="s">
        <v>171</v>
      </c>
      <c r="M122" s="38" t="s">
        <v>172</v>
      </c>
      <c r="N122" s="38" t="s">
        <v>169</v>
      </c>
      <c r="O122" s="38" t="s">
        <v>170</v>
      </c>
      <c r="P122" s="38" t="s">
        <v>171</v>
      </c>
      <c r="Q122" s="38" t="s">
        <v>170</v>
      </c>
      <c r="R122" s="38" t="s">
        <v>172</v>
      </c>
      <c r="S122" s="38" t="s">
        <v>172</v>
      </c>
      <c r="T122" s="38" t="s">
        <v>171</v>
      </c>
      <c r="U122" s="38" t="s">
        <v>171</v>
      </c>
      <c r="V122" s="38" t="s">
        <v>169</v>
      </c>
      <c r="W122" s="38" t="s">
        <v>169</v>
      </c>
      <c r="X122" s="38" t="s">
        <v>171</v>
      </c>
      <c r="Y122" s="38" t="s">
        <v>172</v>
      </c>
      <c r="Z122" s="38" t="s">
        <v>169</v>
      </c>
      <c r="AA122" s="38" t="s">
        <v>172</v>
      </c>
      <c r="AB122" s="38" t="s">
        <v>169</v>
      </c>
      <c r="AC122" s="38" t="s">
        <v>170</v>
      </c>
      <c r="AD122" s="38" t="s">
        <v>172</v>
      </c>
      <c r="AE122" s="38" t="s">
        <v>172</v>
      </c>
      <c r="AF122" s="38" t="s">
        <v>170</v>
      </c>
      <c r="AG122" s="38" t="s">
        <v>171</v>
      </c>
      <c r="AH122" s="38" t="s">
        <v>169</v>
      </c>
      <c r="AI122" s="38" t="s">
        <v>172</v>
      </c>
      <c r="AJ122" s="38" t="s">
        <v>170</v>
      </c>
      <c r="AK122" s="38" t="s">
        <v>171</v>
      </c>
      <c r="AL122" s="38" t="s">
        <v>171</v>
      </c>
      <c r="AM122" s="38" t="s">
        <v>169</v>
      </c>
      <c r="AN122" s="38" t="s">
        <v>171</v>
      </c>
      <c r="AO122" s="38" t="s">
        <v>172</v>
      </c>
      <c r="AP122" s="38" t="s">
        <v>172</v>
      </c>
      <c r="AQ122" s="38" t="s">
        <v>171</v>
      </c>
      <c r="AR122" s="38" t="s">
        <v>170</v>
      </c>
      <c r="AS122" s="38" t="s">
        <v>172</v>
      </c>
      <c r="AT122" s="38" t="s">
        <v>169</v>
      </c>
      <c r="AU122" s="38" t="s">
        <v>171</v>
      </c>
      <c r="AV122" s="38" t="s">
        <v>172</v>
      </c>
      <c r="AW122" s="38" t="s">
        <v>169</v>
      </c>
      <c r="AX122" s="38" t="s">
        <v>169</v>
      </c>
      <c r="AY122" s="38" t="s">
        <v>171</v>
      </c>
      <c r="AZ122" s="38" t="s">
        <v>171</v>
      </c>
      <c r="BA122" s="38" t="s">
        <v>169</v>
      </c>
      <c r="BB122" s="38" t="s">
        <v>169</v>
      </c>
      <c r="BC122" s="38" t="s">
        <v>169</v>
      </c>
      <c r="BD122" s="38" t="s">
        <v>169</v>
      </c>
      <c r="BE122" s="38" t="s">
        <v>169</v>
      </c>
      <c r="BF122" s="38" t="s">
        <v>171</v>
      </c>
      <c r="BG122" s="38" t="s">
        <v>171</v>
      </c>
      <c r="BH122" s="38" t="s">
        <v>170</v>
      </c>
      <c r="BI122" s="38" t="s">
        <v>172</v>
      </c>
      <c r="BJ122" s="38" t="s">
        <v>172</v>
      </c>
      <c r="BK122" s="38" t="s">
        <v>169</v>
      </c>
      <c r="BL122" s="38" t="s">
        <v>171</v>
      </c>
      <c r="BM122" s="38" t="s">
        <v>170</v>
      </c>
      <c r="BN122" s="38" t="s">
        <v>170</v>
      </c>
      <c r="BO122" s="38" t="s">
        <v>171</v>
      </c>
      <c r="BP122" s="38" t="s">
        <v>170</v>
      </c>
      <c r="BQ122" s="38" t="s">
        <v>171</v>
      </c>
      <c r="BR122" s="38" t="s">
        <v>171</v>
      </c>
      <c r="BS122" s="38" t="s">
        <v>169</v>
      </c>
      <c r="BT122" s="38" t="s">
        <v>170</v>
      </c>
      <c r="BU122" s="38" t="s">
        <v>170</v>
      </c>
      <c r="BV122" s="38" t="s">
        <v>169</v>
      </c>
      <c r="BW122" s="38" t="s">
        <v>169</v>
      </c>
      <c r="BX122" s="38" t="s">
        <v>170</v>
      </c>
    </row>
    <row r="123" customFormat="false" ht="15" hidden="false" customHeight="true" outlineLevel="0" collapsed="false">
      <c r="A123" s="38" t="s">
        <v>354</v>
      </c>
      <c r="B123" s="38" t="s">
        <v>368</v>
      </c>
      <c r="C123" s="38" t="s">
        <v>228</v>
      </c>
      <c r="D123" s="38" t="s">
        <v>276</v>
      </c>
      <c r="E123" s="38" t="s">
        <v>169</v>
      </c>
      <c r="F123" s="38" t="s">
        <v>169</v>
      </c>
      <c r="G123" s="38" t="s">
        <v>172</v>
      </c>
      <c r="H123" s="38" t="s">
        <v>169</v>
      </c>
      <c r="I123" s="38" t="s">
        <v>169</v>
      </c>
      <c r="J123" s="38" t="s">
        <v>172</v>
      </c>
      <c r="K123" s="38" t="s">
        <v>171</v>
      </c>
      <c r="L123" s="38" t="s">
        <v>171</v>
      </c>
      <c r="M123" s="38" t="s">
        <v>172</v>
      </c>
      <c r="N123" s="38" t="s">
        <v>169</v>
      </c>
      <c r="O123" s="38" t="s">
        <v>170</v>
      </c>
      <c r="P123" s="38" t="s">
        <v>171</v>
      </c>
      <c r="Q123" s="38" t="s">
        <v>170</v>
      </c>
      <c r="R123" s="38" t="s">
        <v>172</v>
      </c>
      <c r="S123" s="38" t="s">
        <v>169</v>
      </c>
      <c r="T123" s="38" t="s">
        <v>170</v>
      </c>
      <c r="U123" s="38" t="s">
        <v>171</v>
      </c>
      <c r="V123" s="38" t="s">
        <v>169</v>
      </c>
      <c r="W123" s="38" t="s">
        <v>169</v>
      </c>
      <c r="X123" s="38" t="s">
        <v>169</v>
      </c>
      <c r="Y123" s="38" t="s">
        <v>172</v>
      </c>
      <c r="Z123" s="38" t="s">
        <v>169</v>
      </c>
      <c r="AA123" s="38" t="s">
        <v>172</v>
      </c>
      <c r="AB123" s="38" t="s">
        <v>169</v>
      </c>
      <c r="AC123" s="38" t="s">
        <v>170</v>
      </c>
      <c r="AD123" s="38" t="s">
        <v>172</v>
      </c>
      <c r="AE123" s="38" t="s">
        <v>171</v>
      </c>
      <c r="AF123" s="38" t="s">
        <v>170</v>
      </c>
      <c r="AG123" s="38" t="s">
        <v>171</v>
      </c>
      <c r="AH123" s="38" t="s">
        <v>169</v>
      </c>
      <c r="AI123" s="38" t="s">
        <v>170</v>
      </c>
      <c r="AJ123" s="38" t="s">
        <v>170</v>
      </c>
      <c r="AK123" s="38" t="s">
        <v>171</v>
      </c>
      <c r="AL123" s="38" t="s">
        <v>171</v>
      </c>
      <c r="AM123" s="38" t="s">
        <v>172</v>
      </c>
      <c r="AN123" s="38" t="s">
        <v>170</v>
      </c>
      <c r="AO123" s="38" t="s">
        <v>172</v>
      </c>
      <c r="AP123" s="38" t="s">
        <v>172</v>
      </c>
      <c r="AQ123" s="38" t="s">
        <v>169</v>
      </c>
      <c r="AR123" s="38" t="s">
        <v>170</v>
      </c>
      <c r="AS123" s="38" t="s">
        <v>172</v>
      </c>
      <c r="AT123" s="38" t="s">
        <v>169</v>
      </c>
      <c r="AU123" s="38" t="s">
        <v>172</v>
      </c>
      <c r="AV123" s="38" t="s">
        <v>169</v>
      </c>
      <c r="AW123" s="38" t="s">
        <v>169</v>
      </c>
      <c r="AX123" s="38" t="s">
        <v>169</v>
      </c>
      <c r="AY123" s="38" t="s">
        <v>171</v>
      </c>
      <c r="AZ123" s="38" t="s">
        <v>170</v>
      </c>
      <c r="BA123" s="38" t="s">
        <v>169</v>
      </c>
      <c r="BB123" s="38" t="s">
        <v>169</v>
      </c>
      <c r="BC123" s="40" t="s">
        <v>176</v>
      </c>
      <c r="BD123" s="38" t="s">
        <v>170</v>
      </c>
      <c r="BE123" s="38" t="s">
        <v>169</v>
      </c>
      <c r="BF123" s="38" t="s">
        <v>171</v>
      </c>
      <c r="BG123" s="38" t="s">
        <v>171</v>
      </c>
      <c r="BH123" s="38" t="s">
        <v>170</v>
      </c>
      <c r="BI123" s="38" t="s">
        <v>169</v>
      </c>
      <c r="BJ123" s="38" t="s">
        <v>172</v>
      </c>
      <c r="BK123" s="38" t="s">
        <v>169</v>
      </c>
      <c r="BL123" s="38" t="s">
        <v>170</v>
      </c>
      <c r="BM123" s="38" t="s">
        <v>170</v>
      </c>
      <c r="BN123" s="38" t="s">
        <v>170</v>
      </c>
      <c r="BO123" s="38" t="s">
        <v>169</v>
      </c>
      <c r="BP123" s="38" t="s">
        <v>171</v>
      </c>
      <c r="BQ123" s="38" t="s">
        <v>170</v>
      </c>
      <c r="BR123" s="38" t="s">
        <v>172</v>
      </c>
      <c r="BS123" s="38" t="s">
        <v>171</v>
      </c>
      <c r="BT123" s="38" t="s">
        <v>170</v>
      </c>
      <c r="BU123" s="38" t="s">
        <v>170</v>
      </c>
      <c r="BV123" s="38" t="s">
        <v>171</v>
      </c>
      <c r="BW123" s="38" t="s">
        <v>170</v>
      </c>
      <c r="BX123" s="38" t="s">
        <v>170</v>
      </c>
    </row>
    <row r="124" customFormat="false" ht="15" hidden="false" customHeight="true" outlineLevel="0" collapsed="false">
      <c r="A124" s="38" t="s">
        <v>354</v>
      </c>
      <c r="B124" s="38" t="s">
        <v>369</v>
      </c>
      <c r="C124" s="38" t="s">
        <v>310</v>
      </c>
      <c r="D124" s="38" t="s">
        <v>311</v>
      </c>
      <c r="E124" s="38" t="s">
        <v>172</v>
      </c>
      <c r="F124" s="38" t="s">
        <v>169</v>
      </c>
      <c r="G124" s="38" t="s">
        <v>169</v>
      </c>
      <c r="H124" s="38" t="s">
        <v>169</v>
      </c>
      <c r="I124" s="38" t="s">
        <v>169</v>
      </c>
      <c r="J124" s="38" t="s">
        <v>170</v>
      </c>
      <c r="K124" s="38" t="s">
        <v>172</v>
      </c>
      <c r="L124" s="38" t="s">
        <v>171</v>
      </c>
      <c r="M124" s="38" t="s">
        <v>172</v>
      </c>
      <c r="N124" s="38" t="s">
        <v>169</v>
      </c>
      <c r="O124" s="38" t="s">
        <v>171</v>
      </c>
      <c r="P124" s="38" t="s">
        <v>171</v>
      </c>
      <c r="Q124" s="38" t="s">
        <v>171</v>
      </c>
      <c r="R124" s="38" t="s">
        <v>172</v>
      </c>
      <c r="S124" s="38" t="s">
        <v>172</v>
      </c>
      <c r="T124" s="40" t="s">
        <v>176</v>
      </c>
      <c r="U124" s="38" t="s">
        <v>170</v>
      </c>
      <c r="V124" s="38" t="s">
        <v>169</v>
      </c>
      <c r="W124" s="38" t="s">
        <v>169</v>
      </c>
      <c r="X124" s="38" t="s">
        <v>171</v>
      </c>
      <c r="Y124" s="38" t="s">
        <v>172</v>
      </c>
      <c r="Z124" s="38" t="s">
        <v>169</v>
      </c>
      <c r="AA124" s="38" t="s">
        <v>172</v>
      </c>
      <c r="AB124" s="38" t="s">
        <v>172</v>
      </c>
      <c r="AC124" s="38" t="s">
        <v>170</v>
      </c>
      <c r="AD124" s="38" t="s">
        <v>172</v>
      </c>
      <c r="AE124" s="38" t="s">
        <v>169</v>
      </c>
      <c r="AF124" s="38" t="s">
        <v>172</v>
      </c>
      <c r="AG124" s="38" t="s">
        <v>169</v>
      </c>
      <c r="AH124" s="38" t="s">
        <v>169</v>
      </c>
      <c r="AI124" s="38" t="s">
        <v>171</v>
      </c>
      <c r="AJ124" s="38" t="s">
        <v>170</v>
      </c>
      <c r="AK124" s="38" t="s">
        <v>171</v>
      </c>
      <c r="AL124" s="38" t="s">
        <v>170</v>
      </c>
      <c r="AM124" s="38" t="s">
        <v>170</v>
      </c>
      <c r="AN124" s="38" t="s">
        <v>172</v>
      </c>
      <c r="AO124" s="38" t="s">
        <v>172</v>
      </c>
      <c r="AP124" s="38" t="s">
        <v>172</v>
      </c>
      <c r="AQ124" s="38" t="s">
        <v>172</v>
      </c>
      <c r="AR124" s="38" t="s">
        <v>170</v>
      </c>
      <c r="AS124" s="38" t="s">
        <v>170</v>
      </c>
      <c r="AT124" s="38" t="s">
        <v>171</v>
      </c>
      <c r="AU124" s="38" t="s">
        <v>170</v>
      </c>
      <c r="AV124" s="38" t="s">
        <v>170</v>
      </c>
      <c r="AW124" s="38" t="s">
        <v>169</v>
      </c>
      <c r="AX124" s="40" t="s">
        <v>176</v>
      </c>
      <c r="AY124" s="38" t="s">
        <v>169</v>
      </c>
      <c r="AZ124" s="38" t="s">
        <v>171</v>
      </c>
      <c r="BA124" s="38" t="s">
        <v>169</v>
      </c>
      <c r="BB124" s="38" t="s">
        <v>171</v>
      </c>
      <c r="BC124" s="38" t="s">
        <v>169</v>
      </c>
      <c r="BD124" s="38" t="s">
        <v>169</v>
      </c>
      <c r="BE124" s="38" t="s">
        <v>169</v>
      </c>
      <c r="BF124" s="38" t="s">
        <v>171</v>
      </c>
      <c r="BG124" s="38" t="s">
        <v>171</v>
      </c>
      <c r="BH124" s="38" t="s">
        <v>170</v>
      </c>
      <c r="BI124" s="38" t="s">
        <v>169</v>
      </c>
      <c r="BJ124" s="38" t="s">
        <v>172</v>
      </c>
      <c r="BK124" s="38" t="s">
        <v>171</v>
      </c>
      <c r="BL124" s="38" t="s">
        <v>171</v>
      </c>
      <c r="BM124" s="38" t="s">
        <v>170</v>
      </c>
      <c r="BN124" s="38" t="s">
        <v>170</v>
      </c>
      <c r="BO124" s="38" t="s">
        <v>171</v>
      </c>
      <c r="BP124" s="38" t="s">
        <v>172</v>
      </c>
      <c r="BQ124" s="38" t="s">
        <v>170</v>
      </c>
      <c r="BR124" s="38" t="s">
        <v>171</v>
      </c>
      <c r="BS124" s="38" t="s">
        <v>169</v>
      </c>
      <c r="BT124" s="38" t="s">
        <v>170</v>
      </c>
      <c r="BU124" s="38" t="s">
        <v>170</v>
      </c>
      <c r="BV124" s="38" t="s">
        <v>170</v>
      </c>
      <c r="BW124" s="38" t="s">
        <v>170</v>
      </c>
      <c r="BX124" s="38" t="s">
        <v>171</v>
      </c>
    </row>
    <row r="125" customFormat="false" ht="15" hidden="false" customHeight="true" outlineLevel="0" collapsed="false">
      <c r="A125" s="38" t="s">
        <v>354</v>
      </c>
      <c r="B125" s="38" t="s">
        <v>370</v>
      </c>
      <c r="C125" s="38" t="s">
        <v>216</v>
      </c>
      <c r="D125" s="38" t="s">
        <v>187</v>
      </c>
      <c r="E125" s="38" t="s">
        <v>170</v>
      </c>
      <c r="F125" s="38" t="s">
        <v>169</v>
      </c>
      <c r="G125" s="38" t="s">
        <v>170</v>
      </c>
      <c r="H125" s="38" t="s">
        <v>169</v>
      </c>
      <c r="I125" s="38" t="s">
        <v>169</v>
      </c>
      <c r="J125" s="38" t="s">
        <v>169</v>
      </c>
      <c r="K125" s="38" t="s">
        <v>169</v>
      </c>
      <c r="L125" s="38" t="s">
        <v>171</v>
      </c>
      <c r="M125" s="38" t="s">
        <v>169</v>
      </c>
      <c r="N125" s="38" t="s">
        <v>169</v>
      </c>
      <c r="O125" s="38" t="s">
        <v>172</v>
      </c>
      <c r="P125" s="38" t="s">
        <v>169</v>
      </c>
      <c r="Q125" s="38" t="s">
        <v>170</v>
      </c>
      <c r="R125" s="38" t="s">
        <v>172</v>
      </c>
      <c r="S125" s="38" t="s">
        <v>169</v>
      </c>
      <c r="T125" s="38" t="s">
        <v>171</v>
      </c>
      <c r="U125" s="38" t="s">
        <v>171</v>
      </c>
      <c r="V125" s="38" t="s">
        <v>169</v>
      </c>
      <c r="W125" s="38" t="s">
        <v>169</v>
      </c>
      <c r="X125" s="38" t="s">
        <v>171</v>
      </c>
      <c r="Y125" s="38" t="s">
        <v>172</v>
      </c>
      <c r="Z125" s="38" t="s">
        <v>169</v>
      </c>
      <c r="AA125" s="38" t="s">
        <v>170</v>
      </c>
      <c r="AB125" s="38" t="s">
        <v>171</v>
      </c>
      <c r="AC125" s="38" t="s">
        <v>170</v>
      </c>
      <c r="AD125" s="38" t="s">
        <v>169</v>
      </c>
      <c r="AE125" s="38" t="s">
        <v>171</v>
      </c>
      <c r="AF125" s="38" t="s">
        <v>170</v>
      </c>
      <c r="AG125" s="38" t="s">
        <v>169</v>
      </c>
      <c r="AH125" s="38" t="s">
        <v>169</v>
      </c>
      <c r="AI125" s="38" t="s">
        <v>169</v>
      </c>
      <c r="AJ125" s="38" t="s">
        <v>170</v>
      </c>
      <c r="AK125" s="38" t="s">
        <v>171</v>
      </c>
      <c r="AL125" s="38" t="s">
        <v>170</v>
      </c>
      <c r="AM125" s="38" t="s">
        <v>172</v>
      </c>
      <c r="AN125" s="38" t="s">
        <v>171</v>
      </c>
      <c r="AO125" s="38" t="s">
        <v>172</v>
      </c>
      <c r="AP125" s="38" t="s">
        <v>172</v>
      </c>
      <c r="AQ125" s="38" t="s">
        <v>170</v>
      </c>
      <c r="AR125" s="38" t="s">
        <v>170</v>
      </c>
      <c r="AS125" s="38" t="s">
        <v>170</v>
      </c>
      <c r="AT125" s="38" t="s">
        <v>169</v>
      </c>
      <c r="AU125" s="38" t="s">
        <v>172</v>
      </c>
      <c r="AV125" s="38" t="s">
        <v>172</v>
      </c>
      <c r="AW125" s="38" t="s">
        <v>169</v>
      </c>
      <c r="AX125" s="38" t="s">
        <v>169</v>
      </c>
      <c r="AY125" s="38" t="s">
        <v>171</v>
      </c>
      <c r="AZ125" s="38" t="s">
        <v>170</v>
      </c>
      <c r="BA125" s="38" t="s">
        <v>169</v>
      </c>
      <c r="BB125" s="38" t="s">
        <v>170</v>
      </c>
      <c r="BC125" s="38" t="s">
        <v>172</v>
      </c>
      <c r="BD125" s="38" t="s">
        <v>169</v>
      </c>
      <c r="BE125" s="38" t="s">
        <v>169</v>
      </c>
      <c r="BF125" s="38" t="s">
        <v>171</v>
      </c>
      <c r="BG125" s="38" t="s">
        <v>171</v>
      </c>
      <c r="BH125" s="38" t="s">
        <v>170</v>
      </c>
      <c r="BI125" s="38" t="s">
        <v>172</v>
      </c>
      <c r="BJ125" s="38" t="s">
        <v>172</v>
      </c>
      <c r="BK125" s="38" t="s">
        <v>172</v>
      </c>
      <c r="BL125" s="38" t="s">
        <v>171</v>
      </c>
      <c r="BM125" s="38" t="s">
        <v>170</v>
      </c>
      <c r="BN125" s="38" t="s">
        <v>170</v>
      </c>
      <c r="BO125" s="38" t="s">
        <v>171</v>
      </c>
      <c r="BP125" s="38" t="s">
        <v>169</v>
      </c>
      <c r="BQ125" s="38" t="s">
        <v>170</v>
      </c>
      <c r="BR125" s="38" t="s">
        <v>170</v>
      </c>
      <c r="BS125" s="38" t="s">
        <v>170</v>
      </c>
      <c r="BT125" s="38" t="s">
        <v>170</v>
      </c>
      <c r="BU125" s="38" t="s">
        <v>170</v>
      </c>
      <c r="BV125" s="38" t="s">
        <v>169</v>
      </c>
      <c r="BW125" s="38" t="s">
        <v>170</v>
      </c>
      <c r="BX125" s="38" t="s">
        <v>172</v>
      </c>
    </row>
    <row r="126" customFormat="false" ht="15" hidden="false" customHeight="true" outlineLevel="0" collapsed="false">
      <c r="A126" s="38" t="s">
        <v>371</v>
      </c>
      <c r="B126" s="38" t="s">
        <v>372</v>
      </c>
      <c r="C126" s="38" t="s">
        <v>240</v>
      </c>
      <c r="D126" s="38" t="s">
        <v>241</v>
      </c>
      <c r="E126" s="38" t="s">
        <v>169</v>
      </c>
      <c r="F126" s="38" t="s">
        <v>170</v>
      </c>
      <c r="G126" s="38" t="s">
        <v>170</v>
      </c>
      <c r="H126" s="38" t="s">
        <v>169</v>
      </c>
      <c r="I126" s="38" t="s">
        <v>172</v>
      </c>
      <c r="J126" s="38" t="s">
        <v>172</v>
      </c>
      <c r="K126" s="38" t="s">
        <v>172</v>
      </c>
      <c r="L126" s="38" t="s">
        <v>171</v>
      </c>
      <c r="M126" s="38" t="s">
        <v>172</v>
      </c>
      <c r="N126" s="38" t="s">
        <v>169</v>
      </c>
      <c r="O126" s="38" t="s">
        <v>170</v>
      </c>
      <c r="P126" s="38" t="s">
        <v>171</v>
      </c>
      <c r="Q126" s="38" t="s">
        <v>170</v>
      </c>
      <c r="R126" s="38" t="s">
        <v>172</v>
      </c>
      <c r="S126" s="38" t="s">
        <v>169</v>
      </c>
      <c r="T126" s="38" t="s">
        <v>171</v>
      </c>
      <c r="U126" s="38" t="s">
        <v>171</v>
      </c>
      <c r="V126" s="38" t="s">
        <v>169</v>
      </c>
      <c r="W126" s="38" t="s">
        <v>169</v>
      </c>
      <c r="X126" s="38" t="s">
        <v>169</v>
      </c>
      <c r="Y126" s="38" t="s">
        <v>172</v>
      </c>
      <c r="Z126" s="38" t="s">
        <v>169</v>
      </c>
      <c r="AA126" s="38" t="s">
        <v>172</v>
      </c>
      <c r="AB126" s="38" t="s">
        <v>169</v>
      </c>
      <c r="AC126" s="38" t="s">
        <v>170</v>
      </c>
      <c r="AD126" s="38" t="s">
        <v>169</v>
      </c>
      <c r="AE126" s="38" t="s">
        <v>171</v>
      </c>
      <c r="AF126" s="38" t="s">
        <v>171</v>
      </c>
      <c r="AG126" s="38" t="s">
        <v>172</v>
      </c>
      <c r="AH126" s="38" t="s">
        <v>169</v>
      </c>
      <c r="AI126" s="38" t="s">
        <v>172</v>
      </c>
      <c r="AJ126" s="38" t="s">
        <v>170</v>
      </c>
      <c r="AK126" s="38" t="s">
        <v>171</v>
      </c>
      <c r="AL126" s="38" t="s">
        <v>169</v>
      </c>
      <c r="AM126" s="38" t="s">
        <v>172</v>
      </c>
      <c r="AN126" s="38" t="s">
        <v>172</v>
      </c>
      <c r="AO126" s="38" t="s">
        <v>169</v>
      </c>
      <c r="AP126" s="38" t="s">
        <v>172</v>
      </c>
      <c r="AQ126" s="38" t="s">
        <v>171</v>
      </c>
      <c r="AR126" s="38" t="s">
        <v>170</v>
      </c>
      <c r="AS126" s="38" t="s">
        <v>171</v>
      </c>
      <c r="AT126" s="38" t="s">
        <v>172</v>
      </c>
      <c r="AU126" s="38" t="s">
        <v>172</v>
      </c>
      <c r="AV126" s="38" t="s">
        <v>172</v>
      </c>
      <c r="AW126" s="38" t="s">
        <v>169</v>
      </c>
      <c r="AX126" s="38" t="s">
        <v>169</v>
      </c>
      <c r="AY126" s="38" t="s">
        <v>171</v>
      </c>
      <c r="AZ126" s="38" t="s">
        <v>170</v>
      </c>
      <c r="BA126" s="38" t="s">
        <v>170</v>
      </c>
      <c r="BB126" s="38" t="s">
        <v>170</v>
      </c>
      <c r="BC126" s="38" t="s">
        <v>171</v>
      </c>
      <c r="BD126" s="38" t="s">
        <v>169</v>
      </c>
      <c r="BE126" s="38" t="s">
        <v>169</v>
      </c>
      <c r="BF126" s="38" t="s">
        <v>171</v>
      </c>
      <c r="BG126" s="38" t="s">
        <v>171</v>
      </c>
      <c r="BH126" s="38" t="s">
        <v>170</v>
      </c>
      <c r="BI126" s="38" t="s">
        <v>169</v>
      </c>
      <c r="BJ126" s="38" t="s">
        <v>172</v>
      </c>
      <c r="BK126" s="38" t="s">
        <v>171</v>
      </c>
      <c r="BL126" s="38" t="s">
        <v>170</v>
      </c>
      <c r="BM126" s="38" t="s">
        <v>170</v>
      </c>
      <c r="BN126" s="38" t="s">
        <v>170</v>
      </c>
      <c r="BO126" s="38" t="s">
        <v>169</v>
      </c>
      <c r="BP126" s="38" t="s">
        <v>169</v>
      </c>
      <c r="BQ126" s="38" t="s">
        <v>169</v>
      </c>
      <c r="BR126" s="38" t="s">
        <v>171</v>
      </c>
      <c r="BS126" s="38" t="s">
        <v>171</v>
      </c>
      <c r="BT126" s="38" t="s">
        <v>171</v>
      </c>
      <c r="BU126" s="38" t="s">
        <v>170</v>
      </c>
      <c r="BV126" s="38" t="s">
        <v>169</v>
      </c>
      <c r="BW126" s="38" t="s">
        <v>169</v>
      </c>
      <c r="BX126" s="38" t="s">
        <v>170</v>
      </c>
    </row>
    <row r="127" customFormat="false" ht="15" hidden="false" customHeight="true" outlineLevel="0" collapsed="false">
      <c r="A127" s="38" t="s">
        <v>371</v>
      </c>
      <c r="B127" s="38" t="s">
        <v>373</v>
      </c>
      <c r="C127" s="38" t="s">
        <v>296</v>
      </c>
      <c r="D127" s="38" t="s">
        <v>374</v>
      </c>
      <c r="E127" s="38" t="s">
        <v>172</v>
      </c>
      <c r="F127" s="38" t="s">
        <v>170</v>
      </c>
      <c r="G127" s="38" t="s">
        <v>171</v>
      </c>
      <c r="H127" s="38" t="s">
        <v>171</v>
      </c>
      <c r="I127" s="38" t="s">
        <v>171</v>
      </c>
      <c r="J127" s="38" t="s">
        <v>171</v>
      </c>
      <c r="K127" s="38" t="s">
        <v>172</v>
      </c>
      <c r="L127" s="38" t="s">
        <v>172</v>
      </c>
      <c r="M127" s="38" t="s">
        <v>172</v>
      </c>
      <c r="N127" s="38" t="s">
        <v>169</v>
      </c>
      <c r="O127" s="38" t="s">
        <v>169</v>
      </c>
      <c r="P127" s="38" t="s">
        <v>172</v>
      </c>
      <c r="Q127" s="38" t="s">
        <v>171</v>
      </c>
      <c r="R127" s="38" t="s">
        <v>172</v>
      </c>
      <c r="S127" s="38" t="s">
        <v>169</v>
      </c>
      <c r="T127" s="38" t="s">
        <v>171</v>
      </c>
      <c r="U127" s="38" t="s">
        <v>172</v>
      </c>
      <c r="V127" s="38" t="s">
        <v>169</v>
      </c>
      <c r="W127" s="38" t="s">
        <v>171</v>
      </c>
      <c r="X127" s="38" t="s">
        <v>171</v>
      </c>
      <c r="Y127" s="38" t="s">
        <v>171</v>
      </c>
      <c r="Z127" s="38" t="s">
        <v>172</v>
      </c>
      <c r="AA127" s="38" t="s">
        <v>171</v>
      </c>
      <c r="AB127" s="38" t="s">
        <v>170</v>
      </c>
      <c r="AC127" s="38" t="s">
        <v>170</v>
      </c>
      <c r="AD127" s="38" t="s">
        <v>169</v>
      </c>
      <c r="AE127" s="38" t="s">
        <v>171</v>
      </c>
      <c r="AF127" s="38" t="s">
        <v>171</v>
      </c>
      <c r="AG127" s="38" t="s">
        <v>169</v>
      </c>
      <c r="AH127" s="38" t="s">
        <v>169</v>
      </c>
      <c r="AI127" s="38" t="s">
        <v>171</v>
      </c>
      <c r="AJ127" s="38" t="s">
        <v>170</v>
      </c>
      <c r="AK127" s="38" t="s">
        <v>171</v>
      </c>
      <c r="AL127" s="38" t="s">
        <v>171</v>
      </c>
      <c r="AM127" s="38" t="s">
        <v>172</v>
      </c>
      <c r="AN127" s="38" t="s">
        <v>169</v>
      </c>
      <c r="AO127" s="38" t="s">
        <v>169</v>
      </c>
      <c r="AP127" s="38" t="s">
        <v>172</v>
      </c>
      <c r="AQ127" s="38" t="s">
        <v>172</v>
      </c>
      <c r="AR127" s="38" t="s">
        <v>170</v>
      </c>
      <c r="AS127" s="38" t="s">
        <v>170</v>
      </c>
      <c r="AT127" s="38" t="s">
        <v>172</v>
      </c>
      <c r="AU127" s="38" t="s">
        <v>172</v>
      </c>
      <c r="AV127" s="38" t="s">
        <v>172</v>
      </c>
      <c r="AW127" s="40" t="s">
        <v>176</v>
      </c>
      <c r="AX127" s="40" t="s">
        <v>176</v>
      </c>
      <c r="AY127" s="38" t="s">
        <v>172</v>
      </c>
      <c r="AZ127" s="38" t="s">
        <v>172</v>
      </c>
      <c r="BA127" s="38" t="s">
        <v>172</v>
      </c>
      <c r="BB127" s="38" t="s">
        <v>171</v>
      </c>
      <c r="BC127" s="38" t="s">
        <v>171</v>
      </c>
      <c r="BD127" s="38" t="s">
        <v>169</v>
      </c>
      <c r="BE127" s="38" t="s">
        <v>169</v>
      </c>
      <c r="BF127" s="38" t="s">
        <v>171</v>
      </c>
      <c r="BG127" s="38" t="s">
        <v>169</v>
      </c>
      <c r="BH127" s="38" t="s">
        <v>170</v>
      </c>
      <c r="BI127" s="38" t="s">
        <v>172</v>
      </c>
      <c r="BJ127" s="38" t="s">
        <v>172</v>
      </c>
      <c r="BK127" s="38" t="s">
        <v>170</v>
      </c>
      <c r="BL127" s="38" t="s">
        <v>171</v>
      </c>
      <c r="BM127" s="38" t="s">
        <v>170</v>
      </c>
      <c r="BN127" s="38" t="s">
        <v>170</v>
      </c>
      <c r="BO127" s="38" t="s">
        <v>172</v>
      </c>
      <c r="BP127" s="38" t="s">
        <v>172</v>
      </c>
      <c r="BQ127" s="38" t="s">
        <v>172</v>
      </c>
      <c r="BR127" s="38" t="s">
        <v>171</v>
      </c>
      <c r="BS127" s="38" t="s">
        <v>172</v>
      </c>
      <c r="BT127" s="38" t="s">
        <v>172</v>
      </c>
      <c r="BU127" s="38" t="s">
        <v>172</v>
      </c>
      <c r="BV127" s="38" t="s">
        <v>172</v>
      </c>
      <c r="BW127" s="38" t="s">
        <v>169</v>
      </c>
      <c r="BX127" s="38" t="s">
        <v>171</v>
      </c>
    </row>
    <row r="128" customFormat="false" ht="15" hidden="false" customHeight="true" outlineLevel="0" collapsed="false">
      <c r="A128" s="38" t="s">
        <v>371</v>
      </c>
      <c r="B128" s="38" t="s">
        <v>375</v>
      </c>
      <c r="C128" s="38" t="s">
        <v>296</v>
      </c>
      <c r="D128" s="38" t="s">
        <v>376</v>
      </c>
      <c r="E128" s="38" t="s">
        <v>169</v>
      </c>
      <c r="F128" s="38" t="s">
        <v>171</v>
      </c>
      <c r="G128" s="38" t="s">
        <v>170</v>
      </c>
      <c r="H128" s="38" t="s">
        <v>172</v>
      </c>
      <c r="I128" s="38" t="s">
        <v>169</v>
      </c>
      <c r="J128" s="38" t="s">
        <v>169</v>
      </c>
      <c r="K128" s="38" t="s">
        <v>172</v>
      </c>
      <c r="L128" s="38" t="s">
        <v>171</v>
      </c>
      <c r="M128" s="38" t="s">
        <v>169</v>
      </c>
      <c r="N128" s="38" t="s">
        <v>169</v>
      </c>
      <c r="O128" s="38" t="s">
        <v>170</v>
      </c>
      <c r="P128" s="38" t="s">
        <v>170</v>
      </c>
      <c r="Q128" s="38" t="s">
        <v>169</v>
      </c>
      <c r="R128" s="38" t="s">
        <v>172</v>
      </c>
      <c r="S128" s="38" t="s">
        <v>169</v>
      </c>
      <c r="T128" s="40" t="s">
        <v>176</v>
      </c>
      <c r="U128" s="38" t="s">
        <v>171</v>
      </c>
      <c r="V128" s="38" t="s">
        <v>169</v>
      </c>
      <c r="W128" s="38" t="s">
        <v>169</v>
      </c>
      <c r="X128" s="38" t="s">
        <v>171</v>
      </c>
      <c r="Y128" s="38" t="s">
        <v>172</v>
      </c>
      <c r="Z128" s="38" t="s">
        <v>172</v>
      </c>
      <c r="AA128" s="38" t="s">
        <v>169</v>
      </c>
      <c r="AB128" s="38" t="s">
        <v>169</v>
      </c>
      <c r="AC128" s="38" t="s">
        <v>170</v>
      </c>
      <c r="AD128" s="38" t="s">
        <v>169</v>
      </c>
      <c r="AE128" s="38" t="s">
        <v>170</v>
      </c>
      <c r="AF128" s="38" t="s">
        <v>170</v>
      </c>
      <c r="AG128" s="38" t="s">
        <v>172</v>
      </c>
      <c r="AH128" s="38" t="s">
        <v>169</v>
      </c>
      <c r="AI128" s="38" t="s">
        <v>172</v>
      </c>
      <c r="AJ128" s="38" t="s">
        <v>170</v>
      </c>
      <c r="AK128" s="38" t="s">
        <v>171</v>
      </c>
      <c r="AL128" s="38" t="s">
        <v>170</v>
      </c>
      <c r="AM128" s="38" t="s">
        <v>172</v>
      </c>
      <c r="AN128" s="38" t="s">
        <v>172</v>
      </c>
      <c r="AO128" s="38" t="s">
        <v>169</v>
      </c>
      <c r="AP128" s="38" t="s">
        <v>171</v>
      </c>
      <c r="AQ128" s="38" t="s">
        <v>171</v>
      </c>
      <c r="AR128" s="38" t="s">
        <v>170</v>
      </c>
      <c r="AS128" s="38" t="s">
        <v>171</v>
      </c>
      <c r="AT128" s="38" t="s">
        <v>169</v>
      </c>
      <c r="AU128" s="38" t="s">
        <v>169</v>
      </c>
      <c r="AV128" s="38" t="s">
        <v>171</v>
      </c>
      <c r="AW128" s="38" t="s">
        <v>170</v>
      </c>
      <c r="AX128" s="38" t="s">
        <v>171</v>
      </c>
      <c r="AY128" s="38" t="s">
        <v>169</v>
      </c>
      <c r="AZ128" s="38" t="s">
        <v>170</v>
      </c>
      <c r="BA128" s="38" t="s">
        <v>169</v>
      </c>
      <c r="BB128" s="38" t="s">
        <v>171</v>
      </c>
      <c r="BC128" s="38" t="s">
        <v>169</v>
      </c>
      <c r="BD128" s="38" t="s">
        <v>169</v>
      </c>
      <c r="BE128" s="38" t="s">
        <v>169</v>
      </c>
      <c r="BF128" s="38" t="s">
        <v>171</v>
      </c>
      <c r="BG128" s="38" t="s">
        <v>171</v>
      </c>
      <c r="BH128" s="38" t="s">
        <v>170</v>
      </c>
      <c r="BI128" s="38" t="s">
        <v>169</v>
      </c>
      <c r="BJ128" s="38" t="s">
        <v>172</v>
      </c>
      <c r="BK128" s="38" t="s">
        <v>172</v>
      </c>
      <c r="BL128" s="38" t="s">
        <v>171</v>
      </c>
      <c r="BM128" s="38" t="s">
        <v>170</v>
      </c>
      <c r="BN128" s="38" t="s">
        <v>170</v>
      </c>
      <c r="BO128" s="38" t="s">
        <v>170</v>
      </c>
      <c r="BP128" s="38" t="s">
        <v>172</v>
      </c>
      <c r="BQ128" s="38" t="s">
        <v>170</v>
      </c>
      <c r="BR128" s="38" t="s">
        <v>171</v>
      </c>
      <c r="BS128" s="38" t="s">
        <v>171</v>
      </c>
      <c r="BT128" s="38" t="s">
        <v>170</v>
      </c>
      <c r="BU128" s="38" t="s">
        <v>171</v>
      </c>
      <c r="BV128" s="38" t="s">
        <v>169</v>
      </c>
      <c r="BW128" s="38" t="s">
        <v>172</v>
      </c>
      <c r="BX128" s="38" t="s">
        <v>170</v>
      </c>
    </row>
    <row r="129" customFormat="false" ht="15" hidden="false" customHeight="true" outlineLevel="0" collapsed="false">
      <c r="A129" s="38" t="s">
        <v>371</v>
      </c>
      <c r="B129" s="38" t="s">
        <v>377</v>
      </c>
      <c r="C129" s="38" t="s">
        <v>208</v>
      </c>
      <c r="D129" s="38" t="s">
        <v>209</v>
      </c>
      <c r="E129" s="38" t="s">
        <v>169</v>
      </c>
      <c r="F129" s="38" t="s">
        <v>169</v>
      </c>
      <c r="G129" s="38" t="s">
        <v>171</v>
      </c>
      <c r="H129" s="38" t="s">
        <v>171</v>
      </c>
      <c r="I129" s="38" t="s">
        <v>170</v>
      </c>
      <c r="J129" s="38" t="s">
        <v>170</v>
      </c>
      <c r="K129" s="38" t="s">
        <v>172</v>
      </c>
      <c r="L129" s="38" t="s">
        <v>171</v>
      </c>
      <c r="M129" s="38" t="s">
        <v>169</v>
      </c>
      <c r="N129" s="38" t="s">
        <v>169</v>
      </c>
      <c r="O129" s="38" t="s">
        <v>171</v>
      </c>
      <c r="P129" s="38" t="s">
        <v>169</v>
      </c>
      <c r="Q129" s="38" t="s">
        <v>171</v>
      </c>
      <c r="R129" s="38" t="s">
        <v>172</v>
      </c>
      <c r="S129" s="38" t="s">
        <v>172</v>
      </c>
      <c r="T129" s="40" t="s">
        <v>176</v>
      </c>
      <c r="U129" s="38" t="s">
        <v>171</v>
      </c>
      <c r="V129" s="38" t="s">
        <v>169</v>
      </c>
      <c r="W129" s="38" t="s">
        <v>169</v>
      </c>
      <c r="X129" s="38" t="s">
        <v>171</v>
      </c>
      <c r="Y129" s="38" t="s">
        <v>172</v>
      </c>
      <c r="Z129" s="38" t="s">
        <v>169</v>
      </c>
      <c r="AA129" s="38" t="s">
        <v>170</v>
      </c>
      <c r="AB129" s="38" t="s">
        <v>172</v>
      </c>
      <c r="AC129" s="38" t="s">
        <v>170</v>
      </c>
      <c r="AD129" s="38" t="s">
        <v>171</v>
      </c>
      <c r="AE129" s="38" t="s">
        <v>170</v>
      </c>
      <c r="AF129" s="38" t="s">
        <v>171</v>
      </c>
      <c r="AG129" s="38" t="s">
        <v>169</v>
      </c>
      <c r="AH129" s="38" t="s">
        <v>169</v>
      </c>
      <c r="AI129" s="38" t="s">
        <v>172</v>
      </c>
      <c r="AJ129" s="38" t="s">
        <v>170</v>
      </c>
      <c r="AK129" s="38" t="s">
        <v>171</v>
      </c>
      <c r="AL129" s="38" t="s">
        <v>170</v>
      </c>
      <c r="AM129" s="38" t="s">
        <v>171</v>
      </c>
      <c r="AN129" s="38" t="s">
        <v>169</v>
      </c>
      <c r="AO129" s="38" t="s">
        <v>172</v>
      </c>
      <c r="AP129" s="38" t="s">
        <v>172</v>
      </c>
      <c r="AQ129" s="38" t="s">
        <v>171</v>
      </c>
      <c r="AR129" s="38" t="s">
        <v>170</v>
      </c>
      <c r="AS129" s="38" t="s">
        <v>170</v>
      </c>
      <c r="AT129" s="38" t="s">
        <v>172</v>
      </c>
      <c r="AU129" s="38" t="s">
        <v>169</v>
      </c>
      <c r="AV129" s="38" t="s">
        <v>170</v>
      </c>
      <c r="AW129" s="38" t="s">
        <v>169</v>
      </c>
      <c r="AX129" s="40" t="s">
        <v>176</v>
      </c>
      <c r="AY129" s="38" t="s">
        <v>172</v>
      </c>
      <c r="AZ129" s="38" t="s">
        <v>171</v>
      </c>
      <c r="BA129" s="38" t="s">
        <v>170</v>
      </c>
      <c r="BB129" s="38" t="s">
        <v>170</v>
      </c>
      <c r="BC129" s="38" t="s">
        <v>169</v>
      </c>
      <c r="BD129" s="38" t="s">
        <v>172</v>
      </c>
      <c r="BE129" s="38" t="s">
        <v>169</v>
      </c>
      <c r="BF129" s="38" t="s">
        <v>171</v>
      </c>
      <c r="BG129" s="38" t="s">
        <v>171</v>
      </c>
      <c r="BH129" s="38" t="s">
        <v>170</v>
      </c>
      <c r="BI129" s="38" t="s">
        <v>172</v>
      </c>
      <c r="BJ129" s="38" t="s">
        <v>172</v>
      </c>
      <c r="BK129" s="38" t="s">
        <v>172</v>
      </c>
      <c r="BL129" s="38" t="s">
        <v>171</v>
      </c>
      <c r="BM129" s="38" t="s">
        <v>170</v>
      </c>
      <c r="BN129" s="38" t="s">
        <v>171</v>
      </c>
      <c r="BO129" s="38" t="s">
        <v>170</v>
      </c>
      <c r="BP129" s="38" t="s">
        <v>169</v>
      </c>
      <c r="BQ129" s="38" t="s">
        <v>169</v>
      </c>
      <c r="BR129" s="38" t="s">
        <v>171</v>
      </c>
      <c r="BS129" s="38" t="s">
        <v>169</v>
      </c>
      <c r="BT129" s="38" t="s">
        <v>169</v>
      </c>
      <c r="BU129" s="38" t="s">
        <v>172</v>
      </c>
      <c r="BV129" s="38" t="s">
        <v>172</v>
      </c>
      <c r="BW129" s="38" t="s">
        <v>170</v>
      </c>
      <c r="BX129" s="38" t="s">
        <v>170</v>
      </c>
    </row>
    <row r="130" customFormat="false" ht="15" hidden="false" customHeight="true" outlineLevel="0" collapsed="false">
      <c r="A130" s="38" t="s">
        <v>371</v>
      </c>
      <c r="B130" s="38" t="s">
        <v>378</v>
      </c>
      <c r="C130" s="38" t="s">
        <v>205</v>
      </c>
      <c r="D130" s="38" t="s">
        <v>379</v>
      </c>
      <c r="E130" s="38" t="s">
        <v>171</v>
      </c>
      <c r="F130" s="38" t="s">
        <v>169</v>
      </c>
      <c r="G130" s="38" t="s">
        <v>169</v>
      </c>
      <c r="H130" s="38" t="s">
        <v>171</v>
      </c>
      <c r="I130" s="38" t="s">
        <v>172</v>
      </c>
      <c r="J130" s="38" t="s">
        <v>170</v>
      </c>
      <c r="K130" s="38" t="s">
        <v>171</v>
      </c>
      <c r="L130" s="38" t="s">
        <v>171</v>
      </c>
      <c r="M130" s="38" t="s">
        <v>172</v>
      </c>
      <c r="N130" s="38" t="s">
        <v>169</v>
      </c>
      <c r="O130" s="38" t="s">
        <v>171</v>
      </c>
      <c r="P130" s="38" t="s">
        <v>171</v>
      </c>
      <c r="Q130" s="38" t="s">
        <v>171</v>
      </c>
      <c r="R130" s="38" t="s">
        <v>172</v>
      </c>
      <c r="S130" s="40" t="s">
        <v>176</v>
      </c>
      <c r="T130" s="40" t="s">
        <v>176</v>
      </c>
      <c r="U130" s="38" t="s">
        <v>172</v>
      </c>
      <c r="V130" s="38" t="s">
        <v>172</v>
      </c>
      <c r="W130" s="38" t="s">
        <v>172</v>
      </c>
      <c r="X130" s="38" t="s">
        <v>171</v>
      </c>
      <c r="Y130" s="38" t="s">
        <v>172</v>
      </c>
      <c r="Z130" s="38" t="s">
        <v>172</v>
      </c>
      <c r="AA130" s="38" t="s">
        <v>172</v>
      </c>
      <c r="AB130" s="38" t="s">
        <v>172</v>
      </c>
      <c r="AC130" s="38" t="s">
        <v>171</v>
      </c>
      <c r="AD130" s="38" t="s">
        <v>172</v>
      </c>
      <c r="AE130" s="38" t="s">
        <v>172</v>
      </c>
      <c r="AF130" s="38" t="s">
        <v>172</v>
      </c>
      <c r="AG130" s="38" t="s">
        <v>171</v>
      </c>
      <c r="AH130" s="38" t="s">
        <v>169</v>
      </c>
      <c r="AI130" s="38" t="s">
        <v>172</v>
      </c>
      <c r="AJ130" s="38" t="s">
        <v>171</v>
      </c>
      <c r="AK130" s="38" t="s">
        <v>171</v>
      </c>
      <c r="AL130" s="38" t="s">
        <v>171</v>
      </c>
      <c r="AM130" s="38" t="s">
        <v>170</v>
      </c>
      <c r="AN130" s="38" t="s">
        <v>169</v>
      </c>
      <c r="AO130" s="38" t="s">
        <v>172</v>
      </c>
      <c r="AP130" s="38" t="s">
        <v>170</v>
      </c>
      <c r="AQ130" s="38" t="s">
        <v>171</v>
      </c>
      <c r="AR130" s="38" t="s">
        <v>170</v>
      </c>
      <c r="AS130" s="38" t="s">
        <v>172</v>
      </c>
      <c r="AT130" s="38" t="s">
        <v>171</v>
      </c>
      <c r="AU130" s="38" t="s">
        <v>171</v>
      </c>
      <c r="AV130" s="38" t="s">
        <v>172</v>
      </c>
      <c r="AW130" s="38" t="s">
        <v>169</v>
      </c>
      <c r="AX130" s="40" t="s">
        <v>176</v>
      </c>
      <c r="AY130" s="38" t="s">
        <v>172</v>
      </c>
      <c r="AZ130" s="38" t="s">
        <v>171</v>
      </c>
      <c r="BA130" s="38" t="s">
        <v>171</v>
      </c>
      <c r="BB130" s="38" t="s">
        <v>172</v>
      </c>
      <c r="BC130" s="38" t="s">
        <v>171</v>
      </c>
      <c r="BD130" s="38" t="s">
        <v>169</v>
      </c>
      <c r="BE130" s="38" t="s">
        <v>172</v>
      </c>
      <c r="BF130" s="38" t="s">
        <v>171</v>
      </c>
      <c r="BG130" s="38" t="s">
        <v>171</v>
      </c>
      <c r="BH130" s="38" t="s">
        <v>171</v>
      </c>
      <c r="BI130" s="40" t="s">
        <v>176</v>
      </c>
      <c r="BJ130" s="38" t="s">
        <v>172</v>
      </c>
      <c r="BK130" s="38" t="s">
        <v>172</v>
      </c>
      <c r="BL130" s="38" t="s">
        <v>171</v>
      </c>
      <c r="BM130" s="38" t="s">
        <v>171</v>
      </c>
      <c r="BN130" s="38" t="s">
        <v>170</v>
      </c>
      <c r="BO130" s="38" t="s">
        <v>172</v>
      </c>
      <c r="BP130" s="38" t="s">
        <v>171</v>
      </c>
      <c r="BQ130" s="38" t="s">
        <v>172</v>
      </c>
      <c r="BR130" s="38" t="s">
        <v>172</v>
      </c>
      <c r="BS130" s="38" t="s">
        <v>171</v>
      </c>
      <c r="BT130" s="38" t="s">
        <v>171</v>
      </c>
      <c r="BU130" s="38" t="s">
        <v>172</v>
      </c>
      <c r="BV130" s="38" t="s">
        <v>170</v>
      </c>
      <c r="BW130" s="38" t="s">
        <v>170</v>
      </c>
      <c r="BX130" s="38" t="s">
        <v>172</v>
      </c>
    </row>
    <row r="131" customFormat="false" ht="15" hidden="false" customHeight="true" outlineLevel="0" collapsed="false">
      <c r="A131" s="38" t="s">
        <v>371</v>
      </c>
      <c r="B131" s="38" t="s">
        <v>380</v>
      </c>
      <c r="C131" s="38" t="s">
        <v>205</v>
      </c>
      <c r="D131" s="38" t="s">
        <v>206</v>
      </c>
      <c r="E131" s="38" t="s">
        <v>169</v>
      </c>
      <c r="F131" s="38" t="s">
        <v>172</v>
      </c>
      <c r="G131" s="38" t="s">
        <v>170</v>
      </c>
      <c r="H131" s="38" t="s">
        <v>170</v>
      </c>
      <c r="I131" s="38" t="s">
        <v>170</v>
      </c>
      <c r="J131" s="38" t="s">
        <v>172</v>
      </c>
      <c r="K131" s="38" t="s">
        <v>169</v>
      </c>
      <c r="L131" s="38" t="s">
        <v>171</v>
      </c>
      <c r="M131" s="38" t="s">
        <v>169</v>
      </c>
      <c r="N131" s="38" t="s">
        <v>169</v>
      </c>
      <c r="O131" s="38" t="s">
        <v>170</v>
      </c>
      <c r="P131" s="38" t="s">
        <v>170</v>
      </c>
      <c r="Q131" s="38" t="s">
        <v>171</v>
      </c>
      <c r="R131" s="38" t="s">
        <v>172</v>
      </c>
      <c r="S131" s="38" t="s">
        <v>172</v>
      </c>
      <c r="T131" s="40" t="s">
        <v>176</v>
      </c>
      <c r="U131" s="38" t="s">
        <v>171</v>
      </c>
      <c r="V131" s="38" t="s">
        <v>169</v>
      </c>
      <c r="W131" s="38" t="s">
        <v>169</v>
      </c>
      <c r="X131" s="38" t="s">
        <v>172</v>
      </c>
      <c r="Y131" s="38" t="s">
        <v>172</v>
      </c>
      <c r="Z131" s="38" t="s">
        <v>172</v>
      </c>
      <c r="AA131" s="38" t="s">
        <v>169</v>
      </c>
      <c r="AB131" s="38" t="s">
        <v>169</v>
      </c>
      <c r="AC131" s="38" t="s">
        <v>170</v>
      </c>
      <c r="AD131" s="38" t="s">
        <v>172</v>
      </c>
      <c r="AE131" s="38" t="s">
        <v>171</v>
      </c>
      <c r="AF131" s="38" t="s">
        <v>170</v>
      </c>
      <c r="AG131" s="38" t="s">
        <v>172</v>
      </c>
      <c r="AH131" s="38" t="s">
        <v>169</v>
      </c>
      <c r="AI131" s="38" t="s">
        <v>170</v>
      </c>
      <c r="AJ131" s="38" t="s">
        <v>170</v>
      </c>
      <c r="AK131" s="38" t="s">
        <v>171</v>
      </c>
      <c r="AL131" s="38" t="s">
        <v>170</v>
      </c>
      <c r="AM131" s="38" t="s">
        <v>170</v>
      </c>
      <c r="AN131" s="38" t="s">
        <v>169</v>
      </c>
      <c r="AO131" s="38" t="s">
        <v>169</v>
      </c>
      <c r="AP131" s="38" t="s">
        <v>172</v>
      </c>
      <c r="AQ131" s="38" t="s">
        <v>169</v>
      </c>
      <c r="AR131" s="38" t="s">
        <v>170</v>
      </c>
      <c r="AS131" s="38" t="s">
        <v>171</v>
      </c>
      <c r="AT131" s="38" t="s">
        <v>169</v>
      </c>
      <c r="AU131" s="38" t="s">
        <v>169</v>
      </c>
      <c r="AV131" s="38" t="s">
        <v>169</v>
      </c>
      <c r="AW131" s="38" t="s">
        <v>169</v>
      </c>
      <c r="AX131" s="38" t="s">
        <v>172</v>
      </c>
      <c r="AY131" s="38" t="s">
        <v>171</v>
      </c>
      <c r="AZ131" s="38" t="s">
        <v>171</v>
      </c>
      <c r="BA131" s="38" t="s">
        <v>169</v>
      </c>
      <c r="BB131" s="38" t="s">
        <v>171</v>
      </c>
      <c r="BC131" s="38" t="s">
        <v>169</v>
      </c>
      <c r="BD131" s="38" t="s">
        <v>169</v>
      </c>
      <c r="BE131" s="38" t="s">
        <v>169</v>
      </c>
      <c r="BF131" s="38" t="s">
        <v>171</v>
      </c>
      <c r="BG131" s="38" t="s">
        <v>171</v>
      </c>
      <c r="BH131" s="38" t="s">
        <v>170</v>
      </c>
      <c r="BI131" s="38" t="s">
        <v>169</v>
      </c>
      <c r="BJ131" s="38" t="s">
        <v>172</v>
      </c>
      <c r="BK131" s="38" t="s">
        <v>169</v>
      </c>
      <c r="BL131" s="38" t="s">
        <v>171</v>
      </c>
      <c r="BM131" s="38" t="s">
        <v>170</v>
      </c>
      <c r="BN131" s="38" t="s">
        <v>170</v>
      </c>
      <c r="BO131" s="38" t="s">
        <v>170</v>
      </c>
      <c r="BP131" s="38" t="s">
        <v>172</v>
      </c>
      <c r="BQ131" s="38" t="s">
        <v>171</v>
      </c>
      <c r="BR131" s="38" t="s">
        <v>170</v>
      </c>
      <c r="BS131" s="38" t="s">
        <v>171</v>
      </c>
      <c r="BT131" s="38" t="s">
        <v>169</v>
      </c>
      <c r="BU131" s="38" t="s">
        <v>169</v>
      </c>
      <c r="BV131" s="38" t="s">
        <v>169</v>
      </c>
      <c r="BW131" s="38" t="s">
        <v>171</v>
      </c>
      <c r="BX131" s="38" t="s">
        <v>170</v>
      </c>
    </row>
    <row r="132" customFormat="false" ht="15" hidden="false" customHeight="true" outlineLevel="0" collapsed="false">
      <c r="A132" s="38" t="s">
        <v>371</v>
      </c>
      <c r="B132" s="38" t="s">
        <v>381</v>
      </c>
      <c r="C132" s="38" t="s">
        <v>205</v>
      </c>
      <c r="D132" s="38" t="s">
        <v>320</v>
      </c>
      <c r="E132" s="38" t="s">
        <v>169</v>
      </c>
      <c r="F132" s="38" t="s">
        <v>170</v>
      </c>
      <c r="G132" s="38" t="s">
        <v>170</v>
      </c>
      <c r="H132" s="38" t="s">
        <v>170</v>
      </c>
      <c r="I132" s="38" t="s">
        <v>170</v>
      </c>
      <c r="J132" s="38" t="s">
        <v>172</v>
      </c>
      <c r="K132" s="38" t="s">
        <v>169</v>
      </c>
      <c r="L132" s="38" t="s">
        <v>171</v>
      </c>
      <c r="M132" s="38" t="s">
        <v>169</v>
      </c>
      <c r="N132" s="38" t="s">
        <v>169</v>
      </c>
      <c r="O132" s="38" t="s">
        <v>170</v>
      </c>
      <c r="P132" s="38" t="s">
        <v>170</v>
      </c>
      <c r="Q132" s="38" t="s">
        <v>171</v>
      </c>
      <c r="R132" s="38" t="s">
        <v>172</v>
      </c>
      <c r="S132" s="38" t="s">
        <v>172</v>
      </c>
      <c r="T132" s="40" t="s">
        <v>176</v>
      </c>
      <c r="U132" s="38" t="s">
        <v>171</v>
      </c>
      <c r="V132" s="38" t="s">
        <v>169</v>
      </c>
      <c r="W132" s="38" t="s">
        <v>169</v>
      </c>
      <c r="X132" s="38" t="s">
        <v>172</v>
      </c>
      <c r="Y132" s="38" t="s">
        <v>172</v>
      </c>
      <c r="Z132" s="38" t="s">
        <v>172</v>
      </c>
      <c r="AA132" s="38" t="s">
        <v>169</v>
      </c>
      <c r="AB132" s="38" t="s">
        <v>169</v>
      </c>
      <c r="AC132" s="38" t="s">
        <v>170</v>
      </c>
      <c r="AD132" s="38" t="s">
        <v>172</v>
      </c>
      <c r="AE132" s="38" t="s">
        <v>171</v>
      </c>
      <c r="AF132" s="38" t="s">
        <v>171</v>
      </c>
      <c r="AG132" s="38" t="s">
        <v>169</v>
      </c>
      <c r="AH132" s="38" t="s">
        <v>169</v>
      </c>
      <c r="AI132" s="38" t="s">
        <v>170</v>
      </c>
      <c r="AJ132" s="38" t="s">
        <v>170</v>
      </c>
      <c r="AK132" s="38" t="s">
        <v>171</v>
      </c>
      <c r="AL132" s="38" t="s">
        <v>170</v>
      </c>
      <c r="AM132" s="38" t="s">
        <v>170</v>
      </c>
      <c r="AN132" s="38" t="s">
        <v>171</v>
      </c>
      <c r="AO132" s="38" t="s">
        <v>172</v>
      </c>
      <c r="AP132" s="38" t="s">
        <v>172</v>
      </c>
      <c r="AQ132" s="38" t="s">
        <v>169</v>
      </c>
      <c r="AR132" s="38" t="s">
        <v>170</v>
      </c>
      <c r="AS132" s="38" t="s">
        <v>170</v>
      </c>
      <c r="AT132" s="38" t="s">
        <v>172</v>
      </c>
      <c r="AU132" s="38" t="s">
        <v>169</v>
      </c>
      <c r="AV132" s="38" t="s">
        <v>169</v>
      </c>
      <c r="AW132" s="38" t="s">
        <v>169</v>
      </c>
      <c r="AX132" s="38" t="s">
        <v>172</v>
      </c>
      <c r="AY132" s="38" t="s">
        <v>171</v>
      </c>
      <c r="AZ132" s="38" t="s">
        <v>171</v>
      </c>
      <c r="BA132" s="38" t="s">
        <v>169</v>
      </c>
      <c r="BB132" s="38" t="s">
        <v>171</v>
      </c>
      <c r="BC132" s="38" t="s">
        <v>169</v>
      </c>
      <c r="BD132" s="38" t="s">
        <v>169</v>
      </c>
      <c r="BE132" s="38" t="s">
        <v>169</v>
      </c>
      <c r="BF132" s="38" t="s">
        <v>171</v>
      </c>
      <c r="BG132" s="38" t="s">
        <v>171</v>
      </c>
      <c r="BH132" s="38" t="s">
        <v>170</v>
      </c>
      <c r="BI132" s="38" t="s">
        <v>169</v>
      </c>
      <c r="BJ132" s="38" t="s">
        <v>172</v>
      </c>
      <c r="BK132" s="38" t="s">
        <v>169</v>
      </c>
      <c r="BL132" s="38" t="s">
        <v>171</v>
      </c>
      <c r="BM132" s="38" t="s">
        <v>170</v>
      </c>
      <c r="BN132" s="38" t="s">
        <v>170</v>
      </c>
      <c r="BO132" s="38" t="s">
        <v>170</v>
      </c>
      <c r="BP132" s="38" t="s">
        <v>172</v>
      </c>
      <c r="BQ132" s="38" t="s">
        <v>171</v>
      </c>
      <c r="BR132" s="38" t="s">
        <v>170</v>
      </c>
      <c r="BS132" s="38" t="s">
        <v>171</v>
      </c>
      <c r="BT132" s="38" t="s">
        <v>169</v>
      </c>
      <c r="BU132" s="38" t="s">
        <v>169</v>
      </c>
      <c r="BV132" s="38" t="s">
        <v>169</v>
      </c>
      <c r="BW132" s="38" t="s">
        <v>169</v>
      </c>
      <c r="BX132" s="38" t="s">
        <v>171</v>
      </c>
    </row>
    <row r="133" customFormat="false" ht="15" hidden="false" customHeight="true" outlineLevel="0" collapsed="false">
      <c r="A133" s="38" t="s">
        <v>371</v>
      </c>
      <c r="B133" s="38" t="s">
        <v>382</v>
      </c>
      <c r="C133" s="38" t="s">
        <v>205</v>
      </c>
      <c r="D133" s="38" t="s">
        <v>168</v>
      </c>
      <c r="E133" s="38" t="s">
        <v>169</v>
      </c>
      <c r="F133" s="38" t="s">
        <v>169</v>
      </c>
      <c r="G133" s="38" t="s">
        <v>170</v>
      </c>
      <c r="H133" s="38" t="s">
        <v>171</v>
      </c>
      <c r="I133" s="38" t="s">
        <v>170</v>
      </c>
      <c r="J133" s="38" t="s">
        <v>170</v>
      </c>
      <c r="K133" s="38" t="s">
        <v>169</v>
      </c>
      <c r="L133" s="38" t="s">
        <v>171</v>
      </c>
      <c r="M133" s="38" t="s">
        <v>169</v>
      </c>
      <c r="N133" s="38" t="s">
        <v>169</v>
      </c>
      <c r="O133" s="38" t="s">
        <v>170</v>
      </c>
      <c r="P133" s="38" t="s">
        <v>169</v>
      </c>
      <c r="Q133" s="38" t="s">
        <v>170</v>
      </c>
      <c r="R133" s="38" t="s">
        <v>172</v>
      </c>
      <c r="S133" s="38" t="s">
        <v>172</v>
      </c>
      <c r="T133" s="40" t="s">
        <v>176</v>
      </c>
      <c r="U133" s="38" t="s">
        <v>171</v>
      </c>
      <c r="V133" s="38" t="s">
        <v>169</v>
      </c>
      <c r="W133" s="38" t="s">
        <v>169</v>
      </c>
      <c r="X133" s="38" t="s">
        <v>172</v>
      </c>
      <c r="Y133" s="38" t="s">
        <v>172</v>
      </c>
      <c r="Z133" s="38" t="s">
        <v>169</v>
      </c>
      <c r="AA133" s="38" t="s">
        <v>170</v>
      </c>
      <c r="AB133" s="38" t="s">
        <v>169</v>
      </c>
      <c r="AC133" s="38" t="s">
        <v>170</v>
      </c>
      <c r="AD133" s="38" t="s">
        <v>172</v>
      </c>
      <c r="AE133" s="38" t="s">
        <v>171</v>
      </c>
      <c r="AF133" s="38" t="s">
        <v>171</v>
      </c>
      <c r="AG133" s="38" t="s">
        <v>169</v>
      </c>
      <c r="AH133" s="38" t="s">
        <v>169</v>
      </c>
      <c r="AI133" s="38" t="s">
        <v>172</v>
      </c>
      <c r="AJ133" s="38" t="s">
        <v>170</v>
      </c>
      <c r="AK133" s="38" t="s">
        <v>171</v>
      </c>
      <c r="AL133" s="38" t="s">
        <v>171</v>
      </c>
      <c r="AM133" s="38" t="s">
        <v>170</v>
      </c>
      <c r="AN133" s="38" t="s">
        <v>171</v>
      </c>
      <c r="AO133" s="38" t="s">
        <v>172</v>
      </c>
      <c r="AP133" s="38" t="s">
        <v>172</v>
      </c>
      <c r="AQ133" s="38" t="s">
        <v>171</v>
      </c>
      <c r="AR133" s="38" t="s">
        <v>171</v>
      </c>
      <c r="AS133" s="38" t="s">
        <v>170</v>
      </c>
      <c r="AT133" s="38" t="s">
        <v>172</v>
      </c>
      <c r="AU133" s="38" t="s">
        <v>172</v>
      </c>
      <c r="AV133" s="38" t="s">
        <v>172</v>
      </c>
      <c r="AW133" s="38" t="s">
        <v>169</v>
      </c>
      <c r="AX133" s="38" t="s">
        <v>169</v>
      </c>
      <c r="AY133" s="38" t="s">
        <v>171</v>
      </c>
      <c r="AZ133" s="38" t="s">
        <v>171</v>
      </c>
      <c r="BA133" s="38" t="s">
        <v>170</v>
      </c>
      <c r="BB133" s="38" t="s">
        <v>170</v>
      </c>
      <c r="BC133" s="38" t="s">
        <v>169</v>
      </c>
      <c r="BD133" s="38" t="s">
        <v>169</v>
      </c>
      <c r="BE133" s="38" t="s">
        <v>169</v>
      </c>
      <c r="BF133" s="38" t="s">
        <v>171</v>
      </c>
      <c r="BG133" s="38" t="s">
        <v>171</v>
      </c>
      <c r="BH133" s="38" t="s">
        <v>170</v>
      </c>
      <c r="BI133" s="38" t="s">
        <v>169</v>
      </c>
      <c r="BJ133" s="38" t="s">
        <v>172</v>
      </c>
      <c r="BK133" s="38" t="s">
        <v>169</v>
      </c>
      <c r="BL133" s="38" t="s">
        <v>171</v>
      </c>
      <c r="BM133" s="38" t="s">
        <v>170</v>
      </c>
      <c r="BN133" s="38" t="s">
        <v>170</v>
      </c>
      <c r="BO133" s="38" t="s">
        <v>170</v>
      </c>
      <c r="BP133" s="38" t="s">
        <v>169</v>
      </c>
      <c r="BQ133" s="38" t="s">
        <v>169</v>
      </c>
      <c r="BR133" s="38" t="s">
        <v>170</v>
      </c>
      <c r="BS133" s="38" t="s">
        <v>169</v>
      </c>
      <c r="BT133" s="38" t="s">
        <v>169</v>
      </c>
      <c r="BU133" s="38" t="s">
        <v>172</v>
      </c>
      <c r="BV133" s="38" t="s">
        <v>169</v>
      </c>
      <c r="BW133" s="38" t="s">
        <v>171</v>
      </c>
      <c r="BX133" s="38" t="s">
        <v>170</v>
      </c>
    </row>
    <row r="134" customFormat="false" ht="15" hidden="false" customHeight="true" outlineLevel="0" collapsed="false">
      <c r="A134" s="38" t="s">
        <v>371</v>
      </c>
      <c r="B134" s="38" t="s">
        <v>383</v>
      </c>
      <c r="C134" s="38" t="s">
        <v>224</v>
      </c>
      <c r="D134" s="38" t="s">
        <v>272</v>
      </c>
      <c r="E134" s="38" t="s">
        <v>169</v>
      </c>
      <c r="F134" s="38" t="s">
        <v>169</v>
      </c>
      <c r="G134" s="38" t="s">
        <v>170</v>
      </c>
      <c r="H134" s="38" t="s">
        <v>170</v>
      </c>
      <c r="I134" s="38" t="s">
        <v>170</v>
      </c>
      <c r="J134" s="38" t="s">
        <v>171</v>
      </c>
      <c r="K134" s="38" t="s">
        <v>169</v>
      </c>
      <c r="L134" s="38" t="s">
        <v>171</v>
      </c>
      <c r="M134" s="38" t="s">
        <v>169</v>
      </c>
      <c r="N134" s="38" t="s">
        <v>169</v>
      </c>
      <c r="O134" s="38" t="s">
        <v>170</v>
      </c>
      <c r="P134" s="38" t="s">
        <v>171</v>
      </c>
      <c r="Q134" s="38" t="s">
        <v>172</v>
      </c>
      <c r="R134" s="38" t="s">
        <v>169</v>
      </c>
      <c r="S134" s="38" t="s">
        <v>170</v>
      </c>
      <c r="T134" s="40" t="s">
        <v>176</v>
      </c>
      <c r="U134" s="38" t="s">
        <v>171</v>
      </c>
      <c r="V134" s="38" t="s">
        <v>169</v>
      </c>
      <c r="W134" s="38" t="s">
        <v>169</v>
      </c>
      <c r="X134" s="38" t="s">
        <v>171</v>
      </c>
      <c r="Y134" s="38" t="s">
        <v>172</v>
      </c>
      <c r="Z134" s="38" t="s">
        <v>172</v>
      </c>
      <c r="AA134" s="38" t="s">
        <v>172</v>
      </c>
      <c r="AB134" s="38" t="s">
        <v>169</v>
      </c>
      <c r="AC134" s="38" t="s">
        <v>170</v>
      </c>
      <c r="AD134" s="38" t="s">
        <v>169</v>
      </c>
      <c r="AE134" s="38" t="s">
        <v>170</v>
      </c>
      <c r="AF134" s="38" t="s">
        <v>170</v>
      </c>
      <c r="AG134" s="38" t="s">
        <v>171</v>
      </c>
      <c r="AH134" s="38" t="s">
        <v>169</v>
      </c>
      <c r="AI134" s="38" t="s">
        <v>171</v>
      </c>
      <c r="AJ134" s="38" t="s">
        <v>170</v>
      </c>
      <c r="AK134" s="38" t="s">
        <v>171</v>
      </c>
      <c r="AL134" s="38" t="s">
        <v>172</v>
      </c>
      <c r="AM134" s="38" t="s">
        <v>169</v>
      </c>
      <c r="AN134" s="38" t="s">
        <v>171</v>
      </c>
      <c r="AO134" s="38" t="s">
        <v>172</v>
      </c>
      <c r="AP134" s="38" t="s">
        <v>172</v>
      </c>
      <c r="AQ134" s="38" t="s">
        <v>172</v>
      </c>
      <c r="AR134" s="38" t="s">
        <v>170</v>
      </c>
      <c r="AS134" s="38" t="s">
        <v>172</v>
      </c>
      <c r="AT134" s="38" t="s">
        <v>169</v>
      </c>
      <c r="AU134" s="38" t="s">
        <v>169</v>
      </c>
      <c r="AV134" s="38" t="s">
        <v>172</v>
      </c>
      <c r="AW134" s="38" t="s">
        <v>169</v>
      </c>
      <c r="AX134" s="38" t="s">
        <v>172</v>
      </c>
      <c r="AY134" s="38" t="s">
        <v>171</v>
      </c>
      <c r="AZ134" s="38" t="s">
        <v>170</v>
      </c>
      <c r="BA134" s="38" t="s">
        <v>170</v>
      </c>
      <c r="BB134" s="38" t="s">
        <v>171</v>
      </c>
      <c r="BC134" s="38" t="s">
        <v>169</v>
      </c>
      <c r="BD134" s="38" t="s">
        <v>169</v>
      </c>
      <c r="BE134" s="38" t="s">
        <v>169</v>
      </c>
      <c r="BF134" s="38" t="s">
        <v>171</v>
      </c>
      <c r="BG134" s="38" t="s">
        <v>171</v>
      </c>
      <c r="BH134" s="38" t="s">
        <v>170</v>
      </c>
      <c r="BI134" s="38" t="s">
        <v>169</v>
      </c>
      <c r="BJ134" s="38" t="s">
        <v>172</v>
      </c>
      <c r="BK134" s="38" t="s">
        <v>172</v>
      </c>
      <c r="BL134" s="38" t="s">
        <v>171</v>
      </c>
      <c r="BM134" s="38" t="s">
        <v>170</v>
      </c>
      <c r="BN134" s="38" t="s">
        <v>170</v>
      </c>
      <c r="BO134" s="38" t="s">
        <v>170</v>
      </c>
      <c r="BP134" s="38" t="s">
        <v>172</v>
      </c>
      <c r="BQ134" s="38" t="s">
        <v>169</v>
      </c>
      <c r="BR134" s="38" t="s">
        <v>170</v>
      </c>
      <c r="BS134" s="38" t="s">
        <v>169</v>
      </c>
      <c r="BT134" s="38" t="s">
        <v>169</v>
      </c>
      <c r="BU134" s="38" t="s">
        <v>169</v>
      </c>
      <c r="BV134" s="38" t="s">
        <v>169</v>
      </c>
      <c r="BW134" s="38" t="s">
        <v>170</v>
      </c>
      <c r="BX134" s="38" t="s">
        <v>170</v>
      </c>
    </row>
    <row r="135" customFormat="false" ht="15" hidden="false" customHeight="true" outlineLevel="0" collapsed="false">
      <c r="A135" s="38" t="s">
        <v>371</v>
      </c>
      <c r="B135" s="38" t="s">
        <v>384</v>
      </c>
      <c r="C135" s="38" t="s">
        <v>310</v>
      </c>
      <c r="D135" s="38" t="s">
        <v>311</v>
      </c>
      <c r="E135" s="38" t="s">
        <v>169</v>
      </c>
      <c r="F135" s="38" t="s">
        <v>172</v>
      </c>
      <c r="G135" s="38" t="s">
        <v>170</v>
      </c>
      <c r="H135" s="38" t="s">
        <v>170</v>
      </c>
      <c r="I135" s="38" t="s">
        <v>171</v>
      </c>
      <c r="J135" s="38" t="s">
        <v>170</v>
      </c>
      <c r="K135" s="38" t="s">
        <v>169</v>
      </c>
      <c r="L135" s="38" t="s">
        <v>171</v>
      </c>
      <c r="M135" s="38" t="s">
        <v>169</v>
      </c>
      <c r="N135" s="38" t="s">
        <v>169</v>
      </c>
      <c r="O135" s="38" t="s">
        <v>170</v>
      </c>
      <c r="P135" s="38" t="s">
        <v>169</v>
      </c>
      <c r="Q135" s="38" t="s">
        <v>170</v>
      </c>
      <c r="R135" s="38" t="s">
        <v>172</v>
      </c>
      <c r="S135" s="38" t="s">
        <v>172</v>
      </c>
      <c r="T135" s="40" t="s">
        <v>176</v>
      </c>
      <c r="U135" s="38" t="s">
        <v>171</v>
      </c>
      <c r="V135" s="38" t="s">
        <v>169</v>
      </c>
      <c r="W135" s="38" t="s">
        <v>169</v>
      </c>
      <c r="X135" s="38" t="s">
        <v>171</v>
      </c>
      <c r="Y135" s="38" t="s">
        <v>172</v>
      </c>
      <c r="Z135" s="38" t="s">
        <v>169</v>
      </c>
      <c r="AA135" s="38" t="s">
        <v>170</v>
      </c>
      <c r="AB135" s="38" t="s">
        <v>169</v>
      </c>
      <c r="AC135" s="38" t="s">
        <v>170</v>
      </c>
      <c r="AD135" s="38" t="s">
        <v>169</v>
      </c>
      <c r="AE135" s="38" t="s">
        <v>171</v>
      </c>
      <c r="AF135" s="38" t="s">
        <v>170</v>
      </c>
      <c r="AG135" s="38" t="s">
        <v>171</v>
      </c>
      <c r="AH135" s="38" t="s">
        <v>169</v>
      </c>
      <c r="AI135" s="38" t="s">
        <v>172</v>
      </c>
      <c r="AJ135" s="38" t="s">
        <v>170</v>
      </c>
      <c r="AK135" s="38" t="s">
        <v>171</v>
      </c>
      <c r="AL135" s="38" t="s">
        <v>170</v>
      </c>
      <c r="AM135" s="38" t="s">
        <v>170</v>
      </c>
      <c r="AN135" s="38" t="s">
        <v>172</v>
      </c>
      <c r="AO135" s="38" t="s">
        <v>169</v>
      </c>
      <c r="AP135" s="38" t="s">
        <v>172</v>
      </c>
      <c r="AQ135" s="38" t="s">
        <v>171</v>
      </c>
      <c r="AR135" s="38" t="s">
        <v>170</v>
      </c>
      <c r="AS135" s="38" t="s">
        <v>172</v>
      </c>
      <c r="AT135" s="38" t="s">
        <v>169</v>
      </c>
      <c r="AU135" s="38" t="s">
        <v>172</v>
      </c>
      <c r="AV135" s="38" t="s">
        <v>172</v>
      </c>
      <c r="AW135" s="38" t="s">
        <v>169</v>
      </c>
      <c r="AX135" s="38" t="s">
        <v>169</v>
      </c>
      <c r="AY135" s="38" t="s">
        <v>171</v>
      </c>
      <c r="AZ135" s="38" t="s">
        <v>171</v>
      </c>
      <c r="BA135" s="38" t="s">
        <v>169</v>
      </c>
      <c r="BB135" s="38" t="s">
        <v>170</v>
      </c>
      <c r="BC135" s="38" t="s">
        <v>169</v>
      </c>
      <c r="BD135" s="38" t="s">
        <v>171</v>
      </c>
      <c r="BE135" s="38" t="s">
        <v>169</v>
      </c>
      <c r="BF135" s="38" t="s">
        <v>171</v>
      </c>
      <c r="BG135" s="38" t="s">
        <v>171</v>
      </c>
      <c r="BH135" s="38" t="s">
        <v>170</v>
      </c>
      <c r="BI135" s="38" t="s">
        <v>169</v>
      </c>
      <c r="BJ135" s="38" t="s">
        <v>172</v>
      </c>
      <c r="BK135" s="38" t="s">
        <v>172</v>
      </c>
      <c r="BL135" s="38" t="s">
        <v>171</v>
      </c>
      <c r="BM135" s="38" t="s">
        <v>170</v>
      </c>
      <c r="BN135" s="38" t="s">
        <v>172</v>
      </c>
      <c r="BO135" s="38" t="s">
        <v>170</v>
      </c>
      <c r="BP135" s="38" t="s">
        <v>169</v>
      </c>
      <c r="BQ135" s="38" t="s">
        <v>171</v>
      </c>
      <c r="BR135" s="38" t="s">
        <v>170</v>
      </c>
      <c r="BS135" s="38" t="s">
        <v>169</v>
      </c>
      <c r="BT135" s="38" t="s">
        <v>169</v>
      </c>
      <c r="BU135" s="38" t="s">
        <v>169</v>
      </c>
      <c r="BV135" s="38" t="s">
        <v>169</v>
      </c>
      <c r="BW135" s="38" t="s">
        <v>171</v>
      </c>
      <c r="BX135" s="38" t="s">
        <v>170</v>
      </c>
    </row>
    <row r="136" customFormat="false" ht="15" hidden="false" customHeight="true" outlineLevel="0" collapsed="false">
      <c r="A136" s="38" t="s">
        <v>371</v>
      </c>
      <c r="B136" s="38" t="s">
        <v>385</v>
      </c>
      <c r="C136" s="38" t="s">
        <v>274</v>
      </c>
      <c r="D136" s="38" t="s">
        <v>199</v>
      </c>
      <c r="E136" s="38" t="s">
        <v>170</v>
      </c>
      <c r="F136" s="38" t="s">
        <v>170</v>
      </c>
      <c r="G136" s="38" t="s">
        <v>171</v>
      </c>
      <c r="H136" s="38" t="s">
        <v>171</v>
      </c>
      <c r="I136" s="38" t="s">
        <v>170</v>
      </c>
      <c r="J136" s="38" t="s">
        <v>169</v>
      </c>
      <c r="K136" s="38" t="s">
        <v>172</v>
      </c>
      <c r="L136" s="38" t="s">
        <v>171</v>
      </c>
      <c r="M136" s="38" t="s">
        <v>172</v>
      </c>
      <c r="N136" s="38" t="s">
        <v>169</v>
      </c>
      <c r="O136" s="38" t="s">
        <v>170</v>
      </c>
      <c r="P136" s="38" t="s">
        <v>171</v>
      </c>
      <c r="Q136" s="38" t="s">
        <v>170</v>
      </c>
      <c r="R136" s="38" t="s">
        <v>172</v>
      </c>
      <c r="S136" s="38" t="s">
        <v>169</v>
      </c>
      <c r="T136" s="38" t="s">
        <v>171</v>
      </c>
      <c r="U136" s="38" t="s">
        <v>171</v>
      </c>
      <c r="V136" s="38" t="s">
        <v>169</v>
      </c>
      <c r="W136" s="38" t="s">
        <v>169</v>
      </c>
      <c r="X136" s="38" t="s">
        <v>171</v>
      </c>
      <c r="Y136" s="38" t="s">
        <v>172</v>
      </c>
      <c r="Z136" s="38" t="s">
        <v>169</v>
      </c>
      <c r="AA136" s="38" t="s">
        <v>172</v>
      </c>
      <c r="AB136" s="38" t="s">
        <v>169</v>
      </c>
      <c r="AC136" s="38" t="s">
        <v>170</v>
      </c>
      <c r="AD136" s="38" t="s">
        <v>169</v>
      </c>
      <c r="AE136" s="38" t="s">
        <v>169</v>
      </c>
      <c r="AF136" s="38" t="s">
        <v>172</v>
      </c>
      <c r="AG136" s="38" t="s">
        <v>169</v>
      </c>
      <c r="AH136" s="38" t="s">
        <v>169</v>
      </c>
      <c r="AI136" s="38" t="s">
        <v>172</v>
      </c>
      <c r="AJ136" s="38" t="s">
        <v>170</v>
      </c>
      <c r="AK136" s="38" t="s">
        <v>171</v>
      </c>
      <c r="AL136" s="38" t="s">
        <v>169</v>
      </c>
      <c r="AM136" s="38" t="s">
        <v>171</v>
      </c>
      <c r="AN136" s="38" t="s">
        <v>172</v>
      </c>
      <c r="AO136" s="38" t="s">
        <v>169</v>
      </c>
      <c r="AP136" s="38" t="s">
        <v>172</v>
      </c>
      <c r="AQ136" s="38" t="s">
        <v>171</v>
      </c>
      <c r="AR136" s="38" t="s">
        <v>170</v>
      </c>
      <c r="AS136" s="38" t="s">
        <v>170</v>
      </c>
      <c r="AT136" s="38" t="s">
        <v>171</v>
      </c>
      <c r="AU136" s="38" t="s">
        <v>171</v>
      </c>
      <c r="AV136" s="38" t="s">
        <v>172</v>
      </c>
      <c r="AW136" s="38" t="s">
        <v>169</v>
      </c>
      <c r="AX136" s="38" t="s">
        <v>169</v>
      </c>
      <c r="AY136" s="38" t="s">
        <v>171</v>
      </c>
      <c r="AZ136" s="38" t="s">
        <v>170</v>
      </c>
      <c r="BA136" s="38" t="s">
        <v>169</v>
      </c>
      <c r="BB136" s="38" t="s">
        <v>170</v>
      </c>
      <c r="BC136" s="38" t="s">
        <v>171</v>
      </c>
      <c r="BD136" s="38" t="s">
        <v>169</v>
      </c>
      <c r="BE136" s="38" t="s">
        <v>169</v>
      </c>
      <c r="BF136" s="38" t="s">
        <v>171</v>
      </c>
      <c r="BG136" s="38" t="s">
        <v>171</v>
      </c>
      <c r="BH136" s="38" t="s">
        <v>170</v>
      </c>
      <c r="BI136" s="38" t="s">
        <v>169</v>
      </c>
      <c r="BJ136" s="38" t="s">
        <v>172</v>
      </c>
      <c r="BK136" s="38" t="s">
        <v>171</v>
      </c>
      <c r="BL136" s="38" t="s">
        <v>171</v>
      </c>
      <c r="BM136" s="38" t="s">
        <v>170</v>
      </c>
      <c r="BN136" s="38" t="s">
        <v>170</v>
      </c>
      <c r="BO136" s="38" t="s">
        <v>169</v>
      </c>
      <c r="BP136" s="38" t="s">
        <v>169</v>
      </c>
      <c r="BQ136" s="38" t="s">
        <v>170</v>
      </c>
      <c r="BR136" s="38" t="s">
        <v>171</v>
      </c>
      <c r="BS136" s="38" t="s">
        <v>170</v>
      </c>
      <c r="BT136" s="38" t="s">
        <v>169</v>
      </c>
      <c r="BU136" s="38" t="s">
        <v>172</v>
      </c>
      <c r="BV136" s="38" t="s">
        <v>172</v>
      </c>
      <c r="BW136" s="38" t="s">
        <v>169</v>
      </c>
      <c r="BX136" s="38" t="s">
        <v>169</v>
      </c>
    </row>
    <row r="137" customFormat="false" ht="15" hidden="false" customHeight="true" outlineLevel="0" collapsed="false">
      <c r="A137" s="38" t="s">
        <v>386</v>
      </c>
      <c r="B137" s="38" t="s">
        <v>387</v>
      </c>
      <c r="C137" s="38" t="s">
        <v>202</v>
      </c>
      <c r="D137" s="38" t="s">
        <v>235</v>
      </c>
      <c r="E137" s="38" t="s">
        <v>169</v>
      </c>
      <c r="F137" s="38" t="s">
        <v>169</v>
      </c>
      <c r="G137" s="38" t="s">
        <v>169</v>
      </c>
      <c r="H137" s="38" t="s">
        <v>170</v>
      </c>
      <c r="I137" s="38" t="s">
        <v>170</v>
      </c>
      <c r="J137" s="38" t="s">
        <v>170</v>
      </c>
      <c r="K137" s="38" t="s">
        <v>171</v>
      </c>
      <c r="L137" s="38" t="s">
        <v>171</v>
      </c>
      <c r="M137" s="38" t="s">
        <v>172</v>
      </c>
      <c r="N137" s="38" t="s">
        <v>169</v>
      </c>
      <c r="O137" s="38" t="s">
        <v>170</v>
      </c>
      <c r="P137" s="38" t="s">
        <v>171</v>
      </c>
      <c r="Q137" s="38" t="s">
        <v>170</v>
      </c>
      <c r="R137" s="38" t="s">
        <v>172</v>
      </c>
      <c r="S137" s="38" t="s">
        <v>169</v>
      </c>
      <c r="T137" s="38" t="s">
        <v>170</v>
      </c>
      <c r="U137" s="38" t="s">
        <v>171</v>
      </c>
      <c r="V137" s="38" t="s">
        <v>169</v>
      </c>
      <c r="W137" s="38" t="s">
        <v>169</v>
      </c>
      <c r="X137" s="38" t="s">
        <v>169</v>
      </c>
      <c r="Y137" s="38" t="s">
        <v>172</v>
      </c>
      <c r="Z137" s="38" t="s">
        <v>169</v>
      </c>
      <c r="AA137" s="38" t="s">
        <v>172</v>
      </c>
      <c r="AB137" s="38" t="s">
        <v>169</v>
      </c>
      <c r="AC137" s="38" t="s">
        <v>170</v>
      </c>
      <c r="AD137" s="38" t="s">
        <v>172</v>
      </c>
      <c r="AE137" s="38" t="s">
        <v>170</v>
      </c>
      <c r="AF137" s="38" t="s">
        <v>170</v>
      </c>
      <c r="AG137" s="38" t="s">
        <v>171</v>
      </c>
      <c r="AH137" s="38" t="s">
        <v>169</v>
      </c>
      <c r="AI137" s="38" t="s">
        <v>170</v>
      </c>
      <c r="AJ137" s="38" t="s">
        <v>170</v>
      </c>
      <c r="AK137" s="38" t="s">
        <v>171</v>
      </c>
      <c r="AL137" s="38" t="s">
        <v>171</v>
      </c>
      <c r="AM137" s="38" t="s">
        <v>169</v>
      </c>
      <c r="AN137" s="38" t="s">
        <v>170</v>
      </c>
      <c r="AO137" s="38" t="s">
        <v>172</v>
      </c>
      <c r="AP137" s="38" t="s">
        <v>170</v>
      </c>
      <c r="AQ137" s="38" t="s">
        <v>169</v>
      </c>
      <c r="AR137" s="38" t="s">
        <v>170</v>
      </c>
      <c r="AS137" s="38" t="s">
        <v>172</v>
      </c>
      <c r="AT137" s="38" t="s">
        <v>169</v>
      </c>
      <c r="AU137" s="38" t="s">
        <v>169</v>
      </c>
      <c r="AV137" s="38" t="s">
        <v>169</v>
      </c>
      <c r="AW137" s="38" t="s">
        <v>169</v>
      </c>
      <c r="AX137" s="38" t="s">
        <v>169</v>
      </c>
      <c r="AY137" s="38" t="s">
        <v>171</v>
      </c>
      <c r="AZ137" s="38" t="s">
        <v>170</v>
      </c>
      <c r="BA137" s="38" t="s">
        <v>169</v>
      </c>
      <c r="BB137" s="38" t="s">
        <v>172</v>
      </c>
      <c r="BC137" s="38" t="s">
        <v>170</v>
      </c>
      <c r="BD137" s="38" t="s">
        <v>169</v>
      </c>
      <c r="BE137" s="38" t="s">
        <v>169</v>
      </c>
      <c r="BF137" s="38" t="s">
        <v>171</v>
      </c>
      <c r="BG137" s="38" t="s">
        <v>171</v>
      </c>
      <c r="BH137" s="38" t="s">
        <v>170</v>
      </c>
      <c r="BI137" s="38" t="s">
        <v>169</v>
      </c>
      <c r="BJ137" s="38" t="s">
        <v>172</v>
      </c>
      <c r="BK137" s="38" t="s">
        <v>171</v>
      </c>
      <c r="BL137" s="38" t="s">
        <v>170</v>
      </c>
      <c r="BM137" s="38" t="s">
        <v>170</v>
      </c>
      <c r="BN137" s="38" t="s">
        <v>170</v>
      </c>
      <c r="BO137" s="38" t="s">
        <v>169</v>
      </c>
      <c r="BP137" s="38" t="s">
        <v>171</v>
      </c>
      <c r="BQ137" s="38" t="s">
        <v>171</v>
      </c>
      <c r="BR137" s="38" t="s">
        <v>172</v>
      </c>
      <c r="BS137" s="38" t="s">
        <v>169</v>
      </c>
      <c r="BT137" s="38" t="s">
        <v>169</v>
      </c>
      <c r="BU137" s="38" t="s">
        <v>169</v>
      </c>
      <c r="BV137" s="38" t="s">
        <v>171</v>
      </c>
      <c r="BW137" s="38" t="s">
        <v>170</v>
      </c>
      <c r="BX137" s="38" t="s">
        <v>170</v>
      </c>
    </row>
    <row r="138" customFormat="false" ht="15" hidden="false" customHeight="true" outlineLevel="0" collapsed="false">
      <c r="A138" s="38" t="s">
        <v>386</v>
      </c>
      <c r="B138" s="38" t="s">
        <v>388</v>
      </c>
      <c r="C138" s="38" t="s">
        <v>255</v>
      </c>
      <c r="D138" s="38" t="s">
        <v>175</v>
      </c>
      <c r="E138" s="38" t="s">
        <v>169</v>
      </c>
      <c r="F138" s="38" t="s">
        <v>169</v>
      </c>
      <c r="G138" s="38" t="s">
        <v>170</v>
      </c>
      <c r="H138" s="38" t="s">
        <v>170</v>
      </c>
      <c r="I138" s="38" t="s">
        <v>170</v>
      </c>
      <c r="J138" s="38" t="s">
        <v>170</v>
      </c>
      <c r="K138" s="38" t="s">
        <v>172</v>
      </c>
      <c r="L138" s="38" t="s">
        <v>171</v>
      </c>
      <c r="M138" s="38" t="s">
        <v>172</v>
      </c>
      <c r="N138" s="38" t="s">
        <v>169</v>
      </c>
      <c r="O138" s="38" t="s">
        <v>170</v>
      </c>
      <c r="P138" s="38" t="s">
        <v>169</v>
      </c>
      <c r="Q138" s="38" t="s">
        <v>172</v>
      </c>
      <c r="R138" s="38" t="s">
        <v>172</v>
      </c>
      <c r="S138" s="38" t="s">
        <v>169</v>
      </c>
      <c r="T138" s="38" t="s">
        <v>171</v>
      </c>
      <c r="U138" s="38" t="s">
        <v>171</v>
      </c>
      <c r="V138" s="38" t="s">
        <v>169</v>
      </c>
      <c r="W138" s="38" t="s">
        <v>169</v>
      </c>
      <c r="X138" s="38" t="s">
        <v>171</v>
      </c>
      <c r="Y138" s="38" t="s">
        <v>172</v>
      </c>
      <c r="Z138" s="38" t="s">
        <v>171</v>
      </c>
      <c r="AA138" s="38" t="s">
        <v>170</v>
      </c>
      <c r="AB138" s="38" t="s">
        <v>169</v>
      </c>
      <c r="AC138" s="38" t="s">
        <v>170</v>
      </c>
      <c r="AD138" s="38" t="s">
        <v>169</v>
      </c>
      <c r="AE138" s="38" t="s">
        <v>170</v>
      </c>
      <c r="AF138" s="38" t="s">
        <v>170</v>
      </c>
      <c r="AG138" s="38" t="s">
        <v>171</v>
      </c>
      <c r="AH138" s="38" t="s">
        <v>170</v>
      </c>
      <c r="AI138" s="38" t="s">
        <v>170</v>
      </c>
      <c r="AJ138" s="38" t="s">
        <v>170</v>
      </c>
      <c r="AK138" s="38" t="s">
        <v>171</v>
      </c>
      <c r="AL138" s="38" t="s">
        <v>169</v>
      </c>
      <c r="AM138" s="38" t="s">
        <v>171</v>
      </c>
      <c r="AN138" s="38" t="s">
        <v>170</v>
      </c>
      <c r="AO138" s="38" t="s">
        <v>172</v>
      </c>
      <c r="AP138" s="38" t="s">
        <v>170</v>
      </c>
      <c r="AQ138" s="38" t="s">
        <v>169</v>
      </c>
      <c r="AR138" s="38" t="s">
        <v>169</v>
      </c>
      <c r="AS138" s="38" t="s">
        <v>172</v>
      </c>
      <c r="AT138" s="38" t="s">
        <v>169</v>
      </c>
      <c r="AU138" s="38" t="s">
        <v>169</v>
      </c>
      <c r="AV138" s="38" t="s">
        <v>172</v>
      </c>
      <c r="AW138" s="38" t="s">
        <v>169</v>
      </c>
      <c r="AX138" s="38" t="s">
        <v>172</v>
      </c>
      <c r="AY138" s="38" t="s">
        <v>171</v>
      </c>
      <c r="AZ138" s="38" t="s">
        <v>170</v>
      </c>
      <c r="BA138" s="38" t="s">
        <v>172</v>
      </c>
      <c r="BB138" s="38" t="s">
        <v>170</v>
      </c>
      <c r="BC138" s="38" t="s">
        <v>169</v>
      </c>
      <c r="BD138" s="38" t="s">
        <v>169</v>
      </c>
      <c r="BE138" s="38" t="s">
        <v>169</v>
      </c>
      <c r="BF138" s="38" t="s">
        <v>171</v>
      </c>
      <c r="BG138" s="38" t="s">
        <v>171</v>
      </c>
      <c r="BH138" s="38" t="s">
        <v>170</v>
      </c>
      <c r="BI138" s="38" t="s">
        <v>169</v>
      </c>
      <c r="BJ138" s="38" t="s">
        <v>172</v>
      </c>
      <c r="BK138" s="38" t="s">
        <v>169</v>
      </c>
      <c r="BL138" s="38" t="s">
        <v>171</v>
      </c>
      <c r="BM138" s="38" t="s">
        <v>170</v>
      </c>
      <c r="BN138" s="38" t="s">
        <v>170</v>
      </c>
      <c r="BO138" s="38" t="s">
        <v>170</v>
      </c>
      <c r="BP138" s="38" t="s">
        <v>169</v>
      </c>
      <c r="BQ138" s="38" t="s">
        <v>171</v>
      </c>
      <c r="BR138" s="38" t="s">
        <v>171</v>
      </c>
      <c r="BS138" s="38" t="s">
        <v>169</v>
      </c>
      <c r="BT138" s="38" t="s">
        <v>169</v>
      </c>
      <c r="BU138" s="38" t="s">
        <v>169</v>
      </c>
      <c r="BV138" s="38" t="s">
        <v>169</v>
      </c>
      <c r="BW138" s="38" t="s">
        <v>171</v>
      </c>
      <c r="BX138" s="38" t="s">
        <v>170</v>
      </c>
    </row>
    <row r="139" customFormat="false" ht="15" hidden="false" customHeight="true" outlineLevel="0" collapsed="false">
      <c r="A139" s="38" t="s">
        <v>386</v>
      </c>
      <c r="B139" s="38" t="s">
        <v>389</v>
      </c>
      <c r="C139" s="38" t="s">
        <v>257</v>
      </c>
      <c r="D139" s="38" t="s">
        <v>258</v>
      </c>
      <c r="E139" s="38" t="s">
        <v>169</v>
      </c>
      <c r="F139" s="38" t="s">
        <v>169</v>
      </c>
      <c r="G139" s="38" t="s">
        <v>170</v>
      </c>
      <c r="H139" s="38" t="s">
        <v>170</v>
      </c>
      <c r="I139" s="38" t="s">
        <v>171</v>
      </c>
      <c r="J139" s="38" t="s">
        <v>169</v>
      </c>
      <c r="K139" s="38" t="s">
        <v>171</v>
      </c>
      <c r="L139" s="38" t="s">
        <v>171</v>
      </c>
      <c r="M139" s="38" t="s">
        <v>169</v>
      </c>
      <c r="N139" s="38" t="s">
        <v>169</v>
      </c>
      <c r="O139" s="38" t="s">
        <v>171</v>
      </c>
      <c r="P139" s="38" t="s">
        <v>169</v>
      </c>
      <c r="Q139" s="38" t="s">
        <v>172</v>
      </c>
      <c r="R139" s="38" t="s">
        <v>172</v>
      </c>
      <c r="S139" s="38" t="s">
        <v>169</v>
      </c>
      <c r="T139" s="40" t="s">
        <v>176</v>
      </c>
      <c r="U139" s="38" t="s">
        <v>170</v>
      </c>
      <c r="V139" s="38" t="s">
        <v>169</v>
      </c>
      <c r="W139" s="38" t="s">
        <v>169</v>
      </c>
      <c r="X139" s="38" t="s">
        <v>171</v>
      </c>
      <c r="Y139" s="38" t="s">
        <v>172</v>
      </c>
      <c r="Z139" s="38" t="s">
        <v>172</v>
      </c>
      <c r="AA139" s="38" t="s">
        <v>170</v>
      </c>
      <c r="AB139" s="38" t="s">
        <v>172</v>
      </c>
      <c r="AC139" s="38" t="s">
        <v>170</v>
      </c>
      <c r="AD139" s="38" t="s">
        <v>172</v>
      </c>
      <c r="AE139" s="38" t="s">
        <v>170</v>
      </c>
      <c r="AF139" s="38" t="s">
        <v>172</v>
      </c>
      <c r="AG139" s="38" t="s">
        <v>170</v>
      </c>
      <c r="AH139" s="38" t="s">
        <v>169</v>
      </c>
      <c r="AI139" s="38" t="s">
        <v>169</v>
      </c>
      <c r="AJ139" s="38" t="s">
        <v>171</v>
      </c>
      <c r="AK139" s="38" t="s">
        <v>171</v>
      </c>
      <c r="AL139" s="38" t="s">
        <v>171</v>
      </c>
      <c r="AM139" s="38" t="s">
        <v>171</v>
      </c>
      <c r="AN139" s="38" t="s">
        <v>170</v>
      </c>
      <c r="AO139" s="38" t="s">
        <v>172</v>
      </c>
      <c r="AP139" s="38" t="s">
        <v>171</v>
      </c>
      <c r="AQ139" s="38" t="s">
        <v>170</v>
      </c>
      <c r="AR139" s="38" t="s">
        <v>170</v>
      </c>
      <c r="AS139" s="38" t="s">
        <v>169</v>
      </c>
      <c r="AT139" s="38" t="s">
        <v>171</v>
      </c>
      <c r="AU139" s="38" t="s">
        <v>169</v>
      </c>
      <c r="AV139" s="38" t="s">
        <v>169</v>
      </c>
      <c r="AW139" s="38" t="s">
        <v>172</v>
      </c>
      <c r="AX139" s="38" t="s">
        <v>170</v>
      </c>
      <c r="AY139" s="38" t="s">
        <v>172</v>
      </c>
      <c r="AZ139" s="38" t="s">
        <v>170</v>
      </c>
      <c r="BA139" s="38" t="s">
        <v>172</v>
      </c>
      <c r="BB139" s="38" t="s">
        <v>170</v>
      </c>
      <c r="BC139" s="38" t="s">
        <v>169</v>
      </c>
      <c r="BD139" s="38" t="s">
        <v>169</v>
      </c>
      <c r="BE139" s="38" t="s">
        <v>169</v>
      </c>
      <c r="BF139" s="38" t="s">
        <v>171</v>
      </c>
      <c r="BG139" s="38" t="s">
        <v>171</v>
      </c>
      <c r="BH139" s="38" t="s">
        <v>170</v>
      </c>
      <c r="BI139" s="38" t="s">
        <v>169</v>
      </c>
      <c r="BJ139" s="38" t="s">
        <v>172</v>
      </c>
      <c r="BK139" s="38" t="s">
        <v>172</v>
      </c>
      <c r="BL139" s="38" t="s">
        <v>170</v>
      </c>
      <c r="BM139" s="38" t="s">
        <v>170</v>
      </c>
      <c r="BN139" s="38" t="s">
        <v>170</v>
      </c>
      <c r="BO139" s="38" t="s">
        <v>170</v>
      </c>
      <c r="BP139" s="38" t="s">
        <v>169</v>
      </c>
      <c r="BQ139" s="38" t="s">
        <v>171</v>
      </c>
      <c r="BR139" s="38" t="s">
        <v>172</v>
      </c>
      <c r="BS139" s="38" t="s">
        <v>170</v>
      </c>
      <c r="BT139" s="38" t="s">
        <v>172</v>
      </c>
      <c r="BU139" s="38" t="s">
        <v>169</v>
      </c>
      <c r="BV139" s="38" t="s">
        <v>169</v>
      </c>
      <c r="BW139" s="38" t="s">
        <v>170</v>
      </c>
      <c r="BX139" s="38" t="s">
        <v>171</v>
      </c>
    </row>
    <row r="140" customFormat="false" ht="15" hidden="false" customHeight="true" outlineLevel="0" collapsed="false">
      <c r="A140" s="38" t="s">
        <v>386</v>
      </c>
      <c r="B140" s="38" t="s">
        <v>390</v>
      </c>
      <c r="C140" s="38" t="s">
        <v>240</v>
      </c>
      <c r="D140" s="38" t="s">
        <v>241</v>
      </c>
      <c r="E140" s="38" t="s">
        <v>169</v>
      </c>
      <c r="F140" s="38" t="s">
        <v>169</v>
      </c>
      <c r="G140" s="38" t="s">
        <v>171</v>
      </c>
      <c r="H140" s="38" t="s">
        <v>170</v>
      </c>
      <c r="I140" s="38" t="s">
        <v>169</v>
      </c>
      <c r="J140" s="38" t="s">
        <v>171</v>
      </c>
      <c r="K140" s="38" t="s">
        <v>169</v>
      </c>
      <c r="L140" s="38" t="s">
        <v>171</v>
      </c>
      <c r="M140" s="38" t="s">
        <v>172</v>
      </c>
      <c r="N140" s="38" t="s">
        <v>169</v>
      </c>
      <c r="O140" s="38" t="s">
        <v>170</v>
      </c>
      <c r="P140" s="38" t="s">
        <v>171</v>
      </c>
      <c r="Q140" s="38" t="s">
        <v>170</v>
      </c>
      <c r="R140" s="38" t="s">
        <v>172</v>
      </c>
      <c r="S140" s="38" t="s">
        <v>169</v>
      </c>
      <c r="T140" s="38" t="s">
        <v>171</v>
      </c>
      <c r="U140" s="38" t="s">
        <v>170</v>
      </c>
      <c r="V140" s="38" t="s">
        <v>169</v>
      </c>
      <c r="W140" s="38" t="s">
        <v>169</v>
      </c>
      <c r="X140" s="38" t="s">
        <v>171</v>
      </c>
      <c r="Y140" s="38" t="s">
        <v>172</v>
      </c>
      <c r="Z140" s="38" t="s">
        <v>169</v>
      </c>
      <c r="AA140" s="38" t="s">
        <v>172</v>
      </c>
      <c r="AB140" s="38" t="s">
        <v>169</v>
      </c>
      <c r="AC140" s="38" t="s">
        <v>170</v>
      </c>
      <c r="AD140" s="38" t="s">
        <v>172</v>
      </c>
      <c r="AE140" s="38" t="s">
        <v>169</v>
      </c>
      <c r="AF140" s="38" t="s">
        <v>170</v>
      </c>
      <c r="AG140" s="38" t="s">
        <v>172</v>
      </c>
      <c r="AH140" s="38" t="s">
        <v>169</v>
      </c>
      <c r="AI140" s="38" t="s">
        <v>172</v>
      </c>
      <c r="AJ140" s="38" t="s">
        <v>170</v>
      </c>
      <c r="AK140" s="38" t="s">
        <v>171</v>
      </c>
      <c r="AL140" s="38" t="s">
        <v>169</v>
      </c>
      <c r="AM140" s="38" t="s">
        <v>172</v>
      </c>
      <c r="AN140" s="38" t="s">
        <v>172</v>
      </c>
      <c r="AO140" s="38" t="s">
        <v>169</v>
      </c>
      <c r="AP140" s="38" t="s">
        <v>170</v>
      </c>
      <c r="AQ140" s="38" t="s">
        <v>171</v>
      </c>
      <c r="AR140" s="38" t="s">
        <v>170</v>
      </c>
      <c r="AS140" s="38" t="s">
        <v>171</v>
      </c>
      <c r="AT140" s="38" t="s">
        <v>169</v>
      </c>
      <c r="AU140" s="38" t="s">
        <v>170</v>
      </c>
      <c r="AV140" s="38" t="s">
        <v>169</v>
      </c>
      <c r="AW140" s="38" t="s">
        <v>171</v>
      </c>
      <c r="AX140" s="38" t="s">
        <v>169</v>
      </c>
      <c r="AY140" s="38" t="s">
        <v>171</v>
      </c>
      <c r="AZ140" s="38" t="s">
        <v>170</v>
      </c>
      <c r="BA140" s="38" t="s">
        <v>169</v>
      </c>
      <c r="BB140" s="38" t="s">
        <v>169</v>
      </c>
      <c r="BC140" s="38" t="s">
        <v>170</v>
      </c>
      <c r="BD140" s="38" t="s">
        <v>169</v>
      </c>
      <c r="BE140" s="38" t="s">
        <v>169</v>
      </c>
      <c r="BF140" s="38" t="s">
        <v>171</v>
      </c>
      <c r="BG140" s="38" t="s">
        <v>171</v>
      </c>
      <c r="BH140" s="38" t="s">
        <v>170</v>
      </c>
      <c r="BI140" s="38" t="s">
        <v>172</v>
      </c>
      <c r="BJ140" s="38" t="s">
        <v>172</v>
      </c>
      <c r="BK140" s="38" t="s">
        <v>171</v>
      </c>
      <c r="BL140" s="38" t="s">
        <v>171</v>
      </c>
      <c r="BM140" s="38" t="s">
        <v>170</v>
      </c>
      <c r="BN140" s="38" t="s">
        <v>170</v>
      </c>
      <c r="BO140" s="38" t="s">
        <v>169</v>
      </c>
      <c r="BP140" s="38" t="s">
        <v>171</v>
      </c>
      <c r="BQ140" s="38" t="s">
        <v>170</v>
      </c>
      <c r="BR140" s="38" t="s">
        <v>170</v>
      </c>
      <c r="BS140" s="38" t="s">
        <v>172</v>
      </c>
      <c r="BT140" s="38" t="s">
        <v>170</v>
      </c>
      <c r="BU140" s="38" t="s">
        <v>169</v>
      </c>
      <c r="BV140" s="38" t="s">
        <v>172</v>
      </c>
      <c r="BW140" s="38" t="s">
        <v>170</v>
      </c>
      <c r="BX140" s="38" t="s">
        <v>170</v>
      </c>
    </row>
    <row r="141" customFormat="false" ht="15" hidden="false" customHeight="true" outlineLevel="0" collapsed="false">
      <c r="A141" s="38" t="s">
        <v>386</v>
      </c>
      <c r="B141" s="38" t="s">
        <v>391</v>
      </c>
      <c r="C141" s="38" t="s">
        <v>211</v>
      </c>
      <c r="D141" s="38" t="s">
        <v>293</v>
      </c>
      <c r="E141" s="38" t="s">
        <v>169</v>
      </c>
      <c r="F141" s="38" t="s">
        <v>170</v>
      </c>
      <c r="G141" s="38" t="s">
        <v>172</v>
      </c>
      <c r="H141" s="38" t="s">
        <v>169</v>
      </c>
      <c r="I141" s="38" t="s">
        <v>169</v>
      </c>
      <c r="J141" s="38" t="s">
        <v>171</v>
      </c>
      <c r="K141" s="38" t="s">
        <v>169</v>
      </c>
      <c r="L141" s="38" t="s">
        <v>171</v>
      </c>
      <c r="M141" s="38" t="s">
        <v>172</v>
      </c>
      <c r="N141" s="38" t="s">
        <v>169</v>
      </c>
      <c r="O141" s="38" t="s">
        <v>171</v>
      </c>
      <c r="P141" s="38" t="s">
        <v>171</v>
      </c>
      <c r="Q141" s="38" t="s">
        <v>171</v>
      </c>
      <c r="R141" s="38" t="s">
        <v>172</v>
      </c>
      <c r="S141" s="38" t="s">
        <v>172</v>
      </c>
      <c r="T141" s="40" t="s">
        <v>176</v>
      </c>
      <c r="U141" s="38" t="s">
        <v>171</v>
      </c>
      <c r="V141" s="38" t="s">
        <v>169</v>
      </c>
      <c r="W141" s="38" t="s">
        <v>169</v>
      </c>
      <c r="X141" s="38" t="s">
        <v>171</v>
      </c>
      <c r="Y141" s="38" t="s">
        <v>172</v>
      </c>
      <c r="Z141" s="38" t="s">
        <v>169</v>
      </c>
      <c r="AA141" s="38" t="s">
        <v>172</v>
      </c>
      <c r="AB141" s="38" t="s">
        <v>172</v>
      </c>
      <c r="AC141" s="38" t="s">
        <v>170</v>
      </c>
      <c r="AD141" s="38" t="s">
        <v>171</v>
      </c>
      <c r="AE141" s="38" t="s">
        <v>171</v>
      </c>
      <c r="AF141" s="38" t="s">
        <v>170</v>
      </c>
      <c r="AG141" s="38" t="s">
        <v>172</v>
      </c>
      <c r="AH141" s="38" t="s">
        <v>169</v>
      </c>
      <c r="AI141" s="38" t="s">
        <v>170</v>
      </c>
      <c r="AJ141" s="38" t="s">
        <v>170</v>
      </c>
      <c r="AK141" s="38" t="s">
        <v>171</v>
      </c>
      <c r="AL141" s="38" t="s">
        <v>171</v>
      </c>
      <c r="AM141" s="38" t="s">
        <v>170</v>
      </c>
      <c r="AN141" s="38" t="s">
        <v>170</v>
      </c>
      <c r="AO141" s="38" t="s">
        <v>172</v>
      </c>
      <c r="AP141" s="38" t="s">
        <v>172</v>
      </c>
      <c r="AQ141" s="38" t="s">
        <v>169</v>
      </c>
      <c r="AR141" s="38" t="s">
        <v>170</v>
      </c>
      <c r="AS141" s="38" t="s">
        <v>171</v>
      </c>
      <c r="AT141" s="38" t="s">
        <v>169</v>
      </c>
      <c r="AU141" s="38" t="s">
        <v>172</v>
      </c>
      <c r="AV141" s="38" t="s">
        <v>171</v>
      </c>
      <c r="AW141" s="38" t="s">
        <v>171</v>
      </c>
      <c r="AX141" s="40" t="s">
        <v>176</v>
      </c>
      <c r="AY141" s="38" t="s">
        <v>169</v>
      </c>
      <c r="AZ141" s="38" t="s">
        <v>171</v>
      </c>
      <c r="BA141" s="38" t="s">
        <v>169</v>
      </c>
      <c r="BB141" s="38" t="s">
        <v>172</v>
      </c>
      <c r="BC141" s="38" t="s">
        <v>169</v>
      </c>
      <c r="BD141" s="38" t="s">
        <v>169</v>
      </c>
      <c r="BE141" s="38" t="s">
        <v>169</v>
      </c>
      <c r="BF141" s="38" t="s">
        <v>171</v>
      </c>
      <c r="BG141" s="38" t="s">
        <v>171</v>
      </c>
      <c r="BH141" s="38" t="s">
        <v>170</v>
      </c>
      <c r="BI141" s="38" t="s">
        <v>169</v>
      </c>
      <c r="BJ141" s="38" t="s">
        <v>172</v>
      </c>
      <c r="BK141" s="38" t="s">
        <v>171</v>
      </c>
      <c r="BL141" s="38" t="s">
        <v>171</v>
      </c>
      <c r="BM141" s="38" t="s">
        <v>170</v>
      </c>
      <c r="BN141" s="38" t="s">
        <v>170</v>
      </c>
      <c r="BO141" s="38" t="s">
        <v>170</v>
      </c>
      <c r="BP141" s="38" t="s">
        <v>171</v>
      </c>
      <c r="BQ141" s="38" t="s">
        <v>171</v>
      </c>
      <c r="BR141" s="38" t="s">
        <v>170</v>
      </c>
      <c r="BS141" s="38" t="s">
        <v>172</v>
      </c>
      <c r="BT141" s="38" t="s">
        <v>170</v>
      </c>
      <c r="BU141" s="38" t="s">
        <v>170</v>
      </c>
      <c r="BV141" s="38" t="s">
        <v>171</v>
      </c>
      <c r="BW141" s="38" t="s">
        <v>169</v>
      </c>
      <c r="BX141" s="38" t="s">
        <v>170</v>
      </c>
    </row>
    <row r="142" customFormat="false" ht="15" hidden="false" customHeight="true" outlineLevel="0" collapsed="false">
      <c r="A142" s="38" t="s">
        <v>386</v>
      </c>
      <c r="B142" s="38" t="s">
        <v>392</v>
      </c>
      <c r="C142" s="38" t="s">
        <v>260</v>
      </c>
      <c r="D142" s="38" t="s">
        <v>261</v>
      </c>
      <c r="E142" s="38" t="s">
        <v>169</v>
      </c>
      <c r="F142" s="38" t="s">
        <v>170</v>
      </c>
      <c r="G142" s="38" t="s">
        <v>169</v>
      </c>
      <c r="H142" s="38" t="s">
        <v>171</v>
      </c>
      <c r="I142" s="38" t="s">
        <v>172</v>
      </c>
      <c r="J142" s="38" t="s">
        <v>169</v>
      </c>
      <c r="K142" s="38" t="s">
        <v>169</v>
      </c>
      <c r="L142" s="38" t="s">
        <v>171</v>
      </c>
      <c r="M142" s="38" t="s">
        <v>169</v>
      </c>
      <c r="N142" s="38" t="s">
        <v>169</v>
      </c>
      <c r="O142" s="38" t="s">
        <v>171</v>
      </c>
      <c r="P142" s="38" t="s">
        <v>169</v>
      </c>
      <c r="Q142" s="38" t="s">
        <v>172</v>
      </c>
      <c r="R142" s="38" t="s">
        <v>172</v>
      </c>
      <c r="S142" s="38" t="s">
        <v>169</v>
      </c>
      <c r="T142" s="40" t="s">
        <v>176</v>
      </c>
      <c r="U142" s="38" t="s">
        <v>171</v>
      </c>
      <c r="V142" s="38" t="s">
        <v>169</v>
      </c>
      <c r="W142" s="38" t="s">
        <v>169</v>
      </c>
      <c r="X142" s="38" t="s">
        <v>171</v>
      </c>
      <c r="Y142" s="38" t="s">
        <v>172</v>
      </c>
      <c r="Z142" s="38" t="s">
        <v>172</v>
      </c>
      <c r="AA142" s="38" t="s">
        <v>170</v>
      </c>
      <c r="AB142" s="38" t="s">
        <v>172</v>
      </c>
      <c r="AC142" s="38" t="s">
        <v>170</v>
      </c>
      <c r="AD142" s="38" t="s">
        <v>172</v>
      </c>
      <c r="AE142" s="38" t="s">
        <v>171</v>
      </c>
      <c r="AF142" s="38" t="s">
        <v>170</v>
      </c>
      <c r="AG142" s="38" t="s">
        <v>172</v>
      </c>
      <c r="AH142" s="38" t="s">
        <v>169</v>
      </c>
      <c r="AI142" s="38" t="s">
        <v>169</v>
      </c>
      <c r="AJ142" s="38" t="s">
        <v>171</v>
      </c>
      <c r="AK142" s="38" t="s">
        <v>171</v>
      </c>
      <c r="AL142" s="38" t="s">
        <v>169</v>
      </c>
      <c r="AM142" s="38" t="s">
        <v>171</v>
      </c>
      <c r="AN142" s="38" t="s">
        <v>169</v>
      </c>
      <c r="AO142" s="38" t="s">
        <v>169</v>
      </c>
      <c r="AP142" s="38" t="s">
        <v>170</v>
      </c>
      <c r="AQ142" s="38" t="s">
        <v>171</v>
      </c>
      <c r="AR142" s="38" t="s">
        <v>170</v>
      </c>
      <c r="AS142" s="38" t="s">
        <v>171</v>
      </c>
      <c r="AT142" s="38" t="s">
        <v>169</v>
      </c>
      <c r="AU142" s="38" t="s">
        <v>172</v>
      </c>
      <c r="AV142" s="38" t="s">
        <v>170</v>
      </c>
      <c r="AW142" s="38" t="s">
        <v>172</v>
      </c>
      <c r="AX142" s="38" t="s">
        <v>171</v>
      </c>
      <c r="AY142" s="38" t="s">
        <v>172</v>
      </c>
      <c r="AZ142" s="38" t="s">
        <v>170</v>
      </c>
      <c r="BA142" s="38" t="s">
        <v>169</v>
      </c>
      <c r="BB142" s="38" t="s">
        <v>170</v>
      </c>
      <c r="BC142" s="38" t="s">
        <v>169</v>
      </c>
      <c r="BD142" s="38" t="s">
        <v>169</v>
      </c>
      <c r="BE142" s="38" t="s">
        <v>169</v>
      </c>
      <c r="BF142" s="38" t="s">
        <v>171</v>
      </c>
      <c r="BG142" s="38" t="s">
        <v>171</v>
      </c>
      <c r="BH142" s="38" t="s">
        <v>170</v>
      </c>
      <c r="BI142" s="38" t="s">
        <v>169</v>
      </c>
      <c r="BJ142" s="38" t="s">
        <v>172</v>
      </c>
      <c r="BK142" s="38" t="s">
        <v>171</v>
      </c>
      <c r="BL142" s="38" t="s">
        <v>170</v>
      </c>
      <c r="BM142" s="38" t="s">
        <v>170</v>
      </c>
      <c r="BN142" s="38" t="s">
        <v>170</v>
      </c>
      <c r="BO142" s="38" t="s">
        <v>170</v>
      </c>
      <c r="BP142" s="38" t="s">
        <v>169</v>
      </c>
      <c r="BQ142" s="38" t="s">
        <v>171</v>
      </c>
      <c r="BR142" s="38" t="s">
        <v>171</v>
      </c>
      <c r="BS142" s="38" t="s">
        <v>170</v>
      </c>
      <c r="BT142" s="38" t="s">
        <v>171</v>
      </c>
      <c r="BU142" s="38" t="s">
        <v>172</v>
      </c>
      <c r="BV142" s="38" t="s">
        <v>170</v>
      </c>
      <c r="BW142" s="38" t="s">
        <v>169</v>
      </c>
      <c r="BX142" s="38" t="s">
        <v>170</v>
      </c>
    </row>
    <row r="143" customFormat="false" ht="15" hidden="false" customHeight="true" outlineLevel="0" collapsed="false">
      <c r="A143" s="38" t="s">
        <v>386</v>
      </c>
      <c r="B143" s="38" t="s">
        <v>393</v>
      </c>
      <c r="C143" s="38" t="s">
        <v>216</v>
      </c>
      <c r="D143" s="38" t="s">
        <v>187</v>
      </c>
      <c r="E143" s="38" t="s">
        <v>169</v>
      </c>
      <c r="F143" s="38" t="s">
        <v>169</v>
      </c>
      <c r="G143" s="38" t="s">
        <v>172</v>
      </c>
      <c r="H143" s="38" t="s">
        <v>170</v>
      </c>
      <c r="I143" s="38" t="s">
        <v>170</v>
      </c>
      <c r="J143" s="38" t="s">
        <v>171</v>
      </c>
      <c r="K143" s="38" t="s">
        <v>171</v>
      </c>
      <c r="L143" s="38" t="s">
        <v>171</v>
      </c>
      <c r="M143" s="38" t="s">
        <v>172</v>
      </c>
      <c r="N143" s="38" t="s">
        <v>169</v>
      </c>
      <c r="O143" s="38" t="s">
        <v>170</v>
      </c>
      <c r="P143" s="38" t="s">
        <v>171</v>
      </c>
      <c r="Q143" s="38" t="s">
        <v>170</v>
      </c>
      <c r="R143" s="38" t="s">
        <v>172</v>
      </c>
      <c r="S143" s="38" t="s">
        <v>169</v>
      </c>
      <c r="T143" s="38" t="s">
        <v>171</v>
      </c>
      <c r="U143" s="38" t="s">
        <v>171</v>
      </c>
      <c r="V143" s="38" t="s">
        <v>169</v>
      </c>
      <c r="W143" s="38" t="s">
        <v>169</v>
      </c>
      <c r="X143" s="38" t="s">
        <v>171</v>
      </c>
      <c r="Y143" s="38" t="s">
        <v>172</v>
      </c>
      <c r="Z143" s="38" t="s">
        <v>169</v>
      </c>
      <c r="AA143" s="38" t="s">
        <v>172</v>
      </c>
      <c r="AB143" s="38" t="s">
        <v>169</v>
      </c>
      <c r="AC143" s="38" t="s">
        <v>170</v>
      </c>
      <c r="AD143" s="38" t="s">
        <v>172</v>
      </c>
      <c r="AE143" s="38" t="s">
        <v>171</v>
      </c>
      <c r="AF143" s="38" t="s">
        <v>170</v>
      </c>
      <c r="AG143" s="38" t="s">
        <v>170</v>
      </c>
      <c r="AH143" s="38" t="s">
        <v>169</v>
      </c>
      <c r="AI143" s="38" t="s">
        <v>169</v>
      </c>
      <c r="AJ143" s="38" t="s">
        <v>170</v>
      </c>
      <c r="AK143" s="38" t="s">
        <v>171</v>
      </c>
      <c r="AL143" s="38" t="s">
        <v>170</v>
      </c>
      <c r="AM143" s="38" t="s">
        <v>172</v>
      </c>
      <c r="AN143" s="38" t="s">
        <v>171</v>
      </c>
      <c r="AO143" s="38" t="s">
        <v>172</v>
      </c>
      <c r="AP143" s="38" t="s">
        <v>172</v>
      </c>
      <c r="AQ143" s="38" t="s">
        <v>170</v>
      </c>
      <c r="AR143" s="38" t="s">
        <v>170</v>
      </c>
      <c r="AS143" s="38" t="s">
        <v>169</v>
      </c>
      <c r="AT143" s="38" t="s">
        <v>169</v>
      </c>
      <c r="AU143" s="38" t="s">
        <v>172</v>
      </c>
      <c r="AV143" s="38" t="s">
        <v>170</v>
      </c>
      <c r="AW143" s="38" t="s">
        <v>169</v>
      </c>
      <c r="AX143" s="38" t="s">
        <v>169</v>
      </c>
      <c r="AY143" s="38" t="s">
        <v>171</v>
      </c>
      <c r="AZ143" s="38" t="s">
        <v>170</v>
      </c>
      <c r="BA143" s="38" t="s">
        <v>172</v>
      </c>
      <c r="BB143" s="38" t="s">
        <v>171</v>
      </c>
      <c r="BC143" s="38" t="s">
        <v>171</v>
      </c>
      <c r="BD143" s="38" t="s">
        <v>169</v>
      </c>
      <c r="BE143" s="38" t="s">
        <v>169</v>
      </c>
      <c r="BF143" s="38" t="s">
        <v>171</v>
      </c>
      <c r="BG143" s="38" t="s">
        <v>171</v>
      </c>
      <c r="BH143" s="38" t="s">
        <v>170</v>
      </c>
      <c r="BI143" s="38" t="s">
        <v>172</v>
      </c>
      <c r="BJ143" s="38" t="s">
        <v>172</v>
      </c>
      <c r="BK143" s="38" t="s">
        <v>169</v>
      </c>
      <c r="BL143" s="38" t="s">
        <v>171</v>
      </c>
      <c r="BM143" s="38" t="s">
        <v>170</v>
      </c>
      <c r="BN143" s="38" t="s">
        <v>170</v>
      </c>
      <c r="BO143" s="38" t="s">
        <v>172</v>
      </c>
      <c r="BP143" s="38" t="s">
        <v>172</v>
      </c>
      <c r="BQ143" s="38" t="s">
        <v>171</v>
      </c>
      <c r="BR143" s="38" t="s">
        <v>172</v>
      </c>
      <c r="BS143" s="38" t="s">
        <v>172</v>
      </c>
      <c r="BT143" s="38" t="s">
        <v>169</v>
      </c>
      <c r="BU143" s="38" t="s">
        <v>169</v>
      </c>
      <c r="BV143" s="38" t="s">
        <v>171</v>
      </c>
      <c r="BW143" s="38" t="s">
        <v>170</v>
      </c>
      <c r="BX143" s="38" t="s">
        <v>170</v>
      </c>
    </row>
    <row r="144" customFormat="false" ht="15" hidden="false" customHeight="true" outlineLevel="0" collapsed="false">
      <c r="A144" s="38" t="s">
        <v>386</v>
      </c>
      <c r="B144" s="38" t="s">
        <v>394</v>
      </c>
      <c r="C144" s="38" t="s">
        <v>267</v>
      </c>
      <c r="D144" s="38" t="s">
        <v>182</v>
      </c>
      <c r="E144" s="38" t="s">
        <v>169</v>
      </c>
      <c r="F144" s="38" t="s">
        <v>171</v>
      </c>
      <c r="G144" s="38" t="s">
        <v>170</v>
      </c>
      <c r="H144" s="38" t="s">
        <v>171</v>
      </c>
      <c r="I144" s="38" t="s">
        <v>169</v>
      </c>
      <c r="J144" s="38" t="s">
        <v>172</v>
      </c>
      <c r="K144" s="38" t="s">
        <v>171</v>
      </c>
      <c r="L144" s="38" t="s">
        <v>171</v>
      </c>
      <c r="M144" s="38" t="s">
        <v>172</v>
      </c>
      <c r="N144" s="38" t="s">
        <v>169</v>
      </c>
      <c r="O144" s="38" t="s">
        <v>170</v>
      </c>
      <c r="P144" s="38" t="s">
        <v>169</v>
      </c>
      <c r="Q144" s="38" t="s">
        <v>170</v>
      </c>
      <c r="R144" s="38" t="s">
        <v>172</v>
      </c>
      <c r="S144" s="38" t="s">
        <v>172</v>
      </c>
      <c r="T144" s="38" t="s">
        <v>170</v>
      </c>
      <c r="U144" s="38" t="s">
        <v>171</v>
      </c>
      <c r="V144" s="38" t="s">
        <v>169</v>
      </c>
      <c r="W144" s="38" t="s">
        <v>169</v>
      </c>
      <c r="X144" s="38" t="s">
        <v>170</v>
      </c>
      <c r="Y144" s="38" t="s">
        <v>172</v>
      </c>
      <c r="Z144" s="38" t="s">
        <v>169</v>
      </c>
      <c r="AA144" s="38" t="s">
        <v>172</v>
      </c>
      <c r="AB144" s="38" t="s">
        <v>169</v>
      </c>
      <c r="AC144" s="38" t="s">
        <v>170</v>
      </c>
      <c r="AD144" s="38" t="s">
        <v>172</v>
      </c>
      <c r="AE144" s="38" t="s">
        <v>172</v>
      </c>
      <c r="AF144" s="38" t="s">
        <v>170</v>
      </c>
      <c r="AG144" s="38" t="s">
        <v>171</v>
      </c>
      <c r="AH144" s="38" t="s">
        <v>169</v>
      </c>
      <c r="AI144" s="38" t="s">
        <v>172</v>
      </c>
      <c r="AJ144" s="38" t="s">
        <v>170</v>
      </c>
      <c r="AK144" s="38" t="s">
        <v>171</v>
      </c>
      <c r="AL144" s="38" t="s">
        <v>170</v>
      </c>
      <c r="AM144" s="38" t="s">
        <v>171</v>
      </c>
      <c r="AN144" s="38" t="s">
        <v>171</v>
      </c>
      <c r="AO144" s="38" t="s">
        <v>172</v>
      </c>
      <c r="AP144" s="38" t="s">
        <v>172</v>
      </c>
      <c r="AQ144" s="38" t="s">
        <v>171</v>
      </c>
      <c r="AR144" s="38" t="s">
        <v>170</v>
      </c>
      <c r="AS144" s="38" t="s">
        <v>172</v>
      </c>
      <c r="AT144" s="38" t="s">
        <v>169</v>
      </c>
      <c r="AU144" s="38" t="s">
        <v>171</v>
      </c>
      <c r="AV144" s="38" t="s">
        <v>169</v>
      </c>
      <c r="AW144" s="38" t="s">
        <v>169</v>
      </c>
      <c r="AX144" s="38" t="s">
        <v>169</v>
      </c>
      <c r="AY144" s="38" t="s">
        <v>171</v>
      </c>
      <c r="AZ144" s="38" t="s">
        <v>171</v>
      </c>
      <c r="BA144" s="38" t="s">
        <v>169</v>
      </c>
      <c r="BB144" s="38" t="s">
        <v>171</v>
      </c>
      <c r="BC144" s="38" t="s">
        <v>169</v>
      </c>
      <c r="BD144" s="38" t="s">
        <v>169</v>
      </c>
      <c r="BE144" s="38" t="s">
        <v>169</v>
      </c>
      <c r="BF144" s="38" t="s">
        <v>171</v>
      </c>
      <c r="BG144" s="38" t="s">
        <v>171</v>
      </c>
      <c r="BH144" s="38" t="s">
        <v>170</v>
      </c>
      <c r="BI144" s="38" t="s">
        <v>169</v>
      </c>
      <c r="BJ144" s="38" t="s">
        <v>172</v>
      </c>
      <c r="BK144" s="38" t="s">
        <v>171</v>
      </c>
      <c r="BL144" s="38" t="s">
        <v>171</v>
      </c>
      <c r="BM144" s="38" t="s">
        <v>170</v>
      </c>
      <c r="BN144" s="38" t="s">
        <v>170</v>
      </c>
      <c r="BO144" s="38" t="s">
        <v>170</v>
      </c>
      <c r="BP144" s="38" t="s">
        <v>172</v>
      </c>
      <c r="BQ144" s="38" t="s">
        <v>170</v>
      </c>
      <c r="BR144" s="38" t="s">
        <v>172</v>
      </c>
      <c r="BS144" s="38" t="s">
        <v>171</v>
      </c>
      <c r="BT144" s="38" t="s">
        <v>170</v>
      </c>
      <c r="BU144" s="38" t="s">
        <v>172</v>
      </c>
      <c r="BV144" s="38" t="s">
        <v>169</v>
      </c>
      <c r="BW144" s="38" t="s">
        <v>169</v>
      </c>
      <c r="BX144" s="38" t="s">
        <v>170</v>
      </c>
    </row>
    <row r="145" customFormat="false" ht="15" hidden="false" customHeight="true" outlineLevel="0" collapsed="false">
      <c r="A145" s="38" t="s">
        <v>386</v>
      </c>
      <c r="B145" s="38" t="s">
        <v>395</v>
      </c>
      <c r="C145" s="38" t="s">
        <v>267</v>
      </c>
      <c r="D145" s="38" t="s">
        <v>184</v>
      </c>
      <c r="E145" s="38" t="s">
        <v>169</v>
      </c>
      <c r="F145" s="38" t="s">
        <v>172</v>
      </c>
      <c r="G145" s="38" t="s">
        <v>170</v>
      </c>
      <c r="H145" s="38" t="s">
        <v>171</v>
      </c>
      <c r="I145" s="38" t="s">
        <v>170</v>
      </c>
      <c r="J145" s="38" t="s">
        <v>169</v>
      </c>
      <c r="K145" s="38" t="s">
        <v>171</v>
      </c>
      <c r="L145" s="38" t="s">
        <v>171</v>
      </c>
      <c r="M145" s="38" t="s">
        <v>172</v>
      </c>
      <c r="N145" s="38" t="s">
        <v>169</v>
      </c>
      <c r="O145" s="38" t="s">
        <v>170</v>
      </c>
      <c r="P145" s="38" t="s">
        <v>171</v>
      </c>
      <c r="Q145" s="38" t="s">
        <v>170</v>
      </c>
      <c r="R145" s="38" t="s">
        <v>172</v>
      </c>
      <c r="S145" s="38" t="s">
        <v>169</v>
      </c>
      <c r="T145" s="38" t="s">
        <v>170</v>
      </c>
      <c r="U145" s="38" t="s">
        <v>170</v>
      </c>
      <c r="V145" s="38" t="s">
        <v>169</v>
      </c>
      <c r="W145" s="38" t="s">
        <v>169</v>
      </c>
      <c r="X145" s="38" t="s">
        <v>171</v>
      </c>
      <c r="Y145" s="38" t="s">
        <v>172</v>
      </c>
      <c r="Z145" s="38" t="s">
        <v>169</v>
      </c>
      <c r="AA145" s="38" t="s">
        <v>172</v>
      </c>
      <c r="AB145" s="38" t="s">
        <v>169</v>
      </c>
      <c r="AC145" s="38" t="s">
        <v>170</v>
      </c>
      <c r="AD145" s="38" t="s">
        <v>172</v>
      </c>
      <c r="AE145" s="38" t="s">
        <v>172</v>
      </c>
      <c r="AF145" s="38" t="s">
        <v>170</v>
      </c>
      <c r="AG145" s="38" t="s">
        <v>171</v>
      </c>
      <c r="AH145" s="38" t="s">
        <v>169</v>
      </c>
      <c r="AI145" s="38" t="s">
        <v>169</v>
      </c>
      <c r="AJ145" s="38" t="s">
        <v>170</v>
      </c>
      <c r="AK145" s="38" t="s">
        <v>171</v>
      </c>
      <c r="AL145" s="38" t="s">
        <v>171</v>
      </c>
      <c r="AM145" s="38" t="s">
        <v>171</v>
      </c>
      <c r="AN145" s="38" t="s">
        <v>171</v>
      </c>
      <c r="AO145" s="38" t="s">
        <v>172</v>
      </c>
      <c r="AP145" s="38" t="s">
        <v>172</v>
      </c>
      <c r="AQ145" s="38" t="s">
        <v>170</v>
      </c>
      <c r="AR145" s="38" t="s">
        <v>170</v>
      </c>
      <c r="AS145" s="38" t="s">
        <v>172</v>
      </c>
      <c r="AT145" s="38" t="s">
        <v>169</v>
      </c>
      <c r="AU145" s="38" t="s">
        <v>171</v>
      </c>
      <c r="AV145" s="38" t="s">
        <v>169</v>
      </c>
      <c r="AW145" s="38" t="s">
        <v>169</v>
      </c>
      <c r="AX145" s="38" t="s">
        <v>169</v>
      </c>
      <c r="AY145" s="38" t="s">
        <v>171</v>
      </c>
      <c r="AZ145" s="38" t="s">
        <v>170</v>
      </c>
      <c r="BA145" s="38" t="s">
        <v>170</v>
      </c>
      <c r="BB145" s="38" t="s">
        <v>169</v>
      </c>
      <c r="BC145" s="38" t="s">
        <v>169</v>
      </c>
      <c r="BD145" s="38" t="s">
        <v>169</v>
      </c>
      <c r="BE145" s="38" t="s">
        <v>169</v>
      </c>
      <c r="BF145" s="38" t="s">
        <v>171</v>
      </c>
      <c r="BG145" s="38" t="s">
        <v>171</v>
      </c>
      <c r="BH145" s="38" t="s">
        <v>170</v>
      </c>
      <c r="BI145" s="38" t="s">
        <v>169</v>
      </c>
      <c r="BJ145" s="38" t="s">
        <v>172</v>
      </c>
      <c r="BK145" s="38" t="s">
        <v>172</v>
      </c>
      <c r="BL145" s="38" t="s">
        <v>171</v>
      </c>
      <c r="BM145" s="38" t="s">
        <v>170</v>
      </c>
      <c r="BN145" s="38" t="s">
        <v>170</v>
      </c>
      <c r="BO145" s="38" t="s">
        <v>170</v>
      </c>
      <c r="BP145" s="38" t="s">
        <v>170</v>
      </c>
      <c r="BQ145" s="38" t="s">
        <v>169</v>
      </c>
      <c r="BR145" s="38" t="s">
        <v>172</v>
      </c>
      <c r="BS145" s="38" t="s">
        <v>170</v>
      </c>
      <c r="BT145" s="38" t="s">
        <v>169</v>
      </c>
      <c r="BU145" s="38" t="s">
        <v>172</v>
      </c>
      <c r="BV145" s="38" t="s">
        <v>169</v>
      </c>
      <c r="BW145" s="38" t="s">
        <v>171</v>
      </c>
      <c r="BX145" s="38" t="s">
        <v>170</v>
      </c>
    </row>
    <row r="146" customFormat="false" ht="15" hidden="false" customHeight="true" outlineLevel="0" collapsed="false">
      <c r="A146" s="38" t="s">
        <v>386</v>
      </c>
      <c r="B146" s="38" t="s">
        <v>396</v>
      </c>
      <c r="C146" s="38" t="s">
        <v>296</v>
      </c>
      <c r="D146" s="38" t="s">
        <v>397</v>
      </c>
      <c r="E146" s="38" t="s">
        <v>169</v>
      </c>
      <c r="F146" s="38" t="s">
        <v>170</v>
      </c>
      <c r="G146" s="38" t="s">
        <v>170</v>
      </c>
      <c r="H146" s="38" t="s">
        <v>171</v>
      </c>
      <c r="I146" s="38" t="s">
        <v>171</v>
      </c>
      <c r="J146" s="38" t="s">
        <v>171</v>
      </c>
      <c r="K146" s="38" t="s">
        <v>171</v>
      </c>
      <c r="L146" s="38" t="s">
        <v>171</v>
      </c>
      <c r="M146" s="38" t="s">
        <v>169</v>
      </c>
      <c r="N146" s="38" t="s">
        <v>169</v>
      </c>
      <c r="O146" s="38" t="s">
        <v>170</v>
      </c>
      <c r="P146" s="38" t="s">
        <v>169</v>
      </c>
      <c r="Q146" s="38" t="s">
        <v>169</v>
      </c>
      <c r="R146" s="38" t="s">
        <v>172</v>
      </c>
      <c r="S146" s="38" t="s">
        <v>172</v>
      </c>
      <c r="T146" s="38" t="s">
        <v>171</v>
      </c>
      <c r="U146" s="38" t="s">
        <v>171</v>
      </c>
      <c r="V146" s="38" t="s">
        <v>169</v>
      </c>
      <c r="W146" s="38" t="s">
        <v>169</v>
      </c>
      <c r="X146" s="38" t="s">
        <v>170</v>
      </c>
      <c r="Y146" s="38" t="s">
        <v>169</v>
      </c>
      <c r="Z146" s="38" t="s">
        <v>172</v>
      </c>
      <c r="AA146" s="38" t="s">
        <v>170</v>
      </c>
      <c r="AB146" s="38" t="s">
        <v>169</v>
      </c>
      <c r="AC146" s="38" t="s">
        <v>170</v>
      </c>
      <c r="AD146" s="38" t="s">
        <v>172</v>
      </c>
      <c r="AE146" s="38" t="s">
        <v>171</v>
      </c>
      <c r="AF146" s="38" t="s">
        <v>171</v>
      </c>
      <c r="AG146" s="38" t="s">
        <v>172</v>
      </c>
      <c r="AH146" s="38" t="s">
        <v>169</v>
      </c>
      <c r="AI146" s="38" t="s">
        <v>172</v>
      </c>
      <c r="AJ146" s="38" t="s">
        <v>170</v>
      </c>
      <c r="AK146" s="38" t="s">
        <v>171</v>
      </c>
      <c r="AL146" s="38" t="s">
        <v>170</v>
      </c>
      <c r="AM146" s="38" t="s">
        <v>172</v>
      </c>
      <c r="AN146" s="38" t="s">
        <v>172</v>
      </c>
      <c r="AO146" s="38" t="s">
        <v>172</v>
      </c>
      <c r="AP146" s="38" t="s">
        <v>172</v>
      </c>
      <c r="AQ146" s="38" t="s">
        <v>171</v>
      </c>
      <c r="AR146" s="38" t="s">
        <v>170</v>
      </c>
      <c r="AS146" s="38" t="s">
        <v>171</v>
      </c>
      <c r="AT146" s="38" t="s">
        <v>172</v>
      </c>
      <c r="AU146" s="38" t="s">
        <v>172</v>
      </c>
      <c r="AV146" s="38" t="s">
        <v>170</v>
      </c>
      <c r="AW146" s="38" t="s">
        <v>172</v>
      </c>
      <c r="AX146" s="38" t="s">
        <v>169</v>
      </c>
      <c r="AY146" s="38" t="s">
        <v>169</v>
      </c>
      <c r="AZ146" s="38" t="s">
        <v>171</v>
      </c>
      <c r="BA146" s="38" t="s">
        <v>172</v>
      </c>
      <c r="BB146" s="38" t="s">
        <v>171</v>
      </c>
      <c r="BC146" s="38" t="s">
        <v>170</v>
      </c>
      <c r="BD146" s="38" t="s">
        <v>169</v>
      </c>
      <c r="BE146" s="38" t="s">
        <v>169</v>
      </c>
      <c r="BF146" s="38" t="s">
        <v>171</v>
      </c>
      <c r="BG146" s="38" t="s">
        <v>171</v>
      </c>
      <c r="BH146" s="38" t="s">
        <v>170</v>
      </c>
      <c r="BI146" s="38" t="s">
        <v>169</v>
      </c>
      <c r="BJ146" s="38" t="s">
        <v>172</v>
      </c>
      <c r="BK146" s="38" t="s">
        <v>172</v>
      </c>
      <c r="BL146" s="38" t="s">
        <v>171</v>
      </c>
      <c r="BM146" s="38" t="s">
        <v>170</v>
      </c>
      <c r="BN146" s="38" t="s">
        <v>170</v>
      </c>
      <c r="BO146" s="38" t="s">
        <v>169</v>
      </c>
      <c r="BP146" s="38" t="s">
        <v>172</v>
      </c>
      <c r="BQ146" s="38" t="s">
        <v>171</v>
      </c>
      <c r="BR146" s="38" t="s">
        <v>172</v>
      </c>
      <c r="BS146" s="38" t="s">
        <v>172</v>
      </c>
      <c r="BT146" s="38" t="s">
        <v>172</v>
      </c>
      <c r="BU146" s="38" t="s">
        <v>169</v>
      </c>
      <c r="BV146" s="38" t="s">
        <v>169</v>
      </c>
      <c r="BW146" s="38" t="s">
        <v>169</v>
      </c>
      <c r="BX146" s="38" t="s">
        <v>170</v>
      </c>
    </row>
    <row r="147" customFormat="false" ht="15" hidden="false" customHeight="true" outlineLevel="0" collapsed="false">
      <c r="A147" s="38" t="s">
        <v>386</v>
      </c>
      <c r="B147" s="38" t="s">
        <v>398</v>
      </c>
      <c r="C147" s="38" t="s">
        <v>296</v>
      </c>
      <c r="D147" s="38" t="s">
        <v>399</v>
      </c>
      <c r="E147" s="38" t="s">
        <v>170</v>
      </c>
      <c r="F147" s="38" t="s">
        <v>170</v>
      </c>
      <c r="G147" s="38" t="s">
        <v>170</v>
      </c>
      <c r="H147" s="38" t="s">
        <v>170</v>
      </c>
      <c r="I147" s="38" t="s">
        <v>172</v>
      </c>
      <c r="J147" s="38" t="s">
        <v>172</v>
      </c>
      <c r="K147" s="38" t="s">
        <v>169</v>
      </c>
      <c r="L147" s="38" t="s">
        <v>171</v>
      </c>
      <c r="M147" s="38" t="s">
        <v>169</v>
      </c>
      <c r="N147" s="38" t="s">
        <v>169</v>
      </c>
      <c r="O147" s="38" t="s">
        <v>170</v>
      </c>
      <c r="P147" s="38" t="s">
        <v>169</v>
      </c>
      <c r="Q147" s="38" t="s">
        <v>169</v>
      </c>
      <c r="R147" s="38" t="s">
        <v>172</v>
      </c>
      <c r="S147" s="38" t="s">
        <v>172</v>
      </c>
      <c r="T147" s="38" t="s">
        <v>171</v>
      </c>
      <c r="U147" s="38" t="s">
        <v>172</v>
      </c>
      <c r="V147" s="38" t="s">
        <v>169</v>
      </c>
      <c r="W147" s="38" t="s">
        <v>169</v>
      </c>
      <c r="X147" s="38" t="s">
        <v>171</v>
      </c>
      <c r="Y147" s="38" t="s">
        <v>169</v>
      </c>
      <c r="Z147" s="38" t="s">
        <v>172</v>
      </c>
      <c r="AA147" s="38" t="s">
        <v>170</v>
      </c>
      <c r="AB147" s="38" t="s">
        <v>169</v>
      </c>
      <c r="AC147" s="38" t="s">
        <v>170</v>
      </c>
      <c r="AD147" s="38" t="s">
        <v>172</v>
      </c>
      <c r="AE147" s="38" t="s">
        <v>171</v>
      </c>
      <c r="AF147" s="38" t="s">
        <v>171</v>
      </c>
      <c r="AG147" s="38" t="s">
        <v>169</v>
      </c>
      <c r="AH147" s="38" t="s">
        <v>169</v>
      </c>
      <c r="AI147" s="38" t="s">
        <v>172</v>
      </c>
      <c r="AJ147" s="38" t="s">
        <v>170</v>
      </c>
      <c r="AK147" s="38" t="s">
        <v>171</v>
      </c>
      <c r="AL147" s="38" t="s">
        <v>171</v>
      </c>
      <c r="AM147" s="38" t="s">
        <v>172</v>
      </c>
      <c r="AN147" s="38" t="s">
        <v>172</v>
      </c>
      <c r="AO147" s="38" t="s">
        <v>172</v>
      </c>
      <c r="AP147" s="38" t="s">
        <v>172</v>
      </c>
      <c r="AQ147" s="38" t="s">
        <v>171</v>
      </c>
      <c r="AR147" s="38" t="s">
        <v>170</v>
      </c>
      <c r="AS147" s="38" t="s">
        <v>170</v>
      </c>
      <c r="AT147" s="38" t="s">
        <v>172</v>
      </c>
      <c r="AU147" s="38" t="s">
        <v>172</v>
      </c>
      <c r="AV147" s="38" t="s">
        <v>170</v>
      </c>
      <c r="AW147" s="38" t="s">
        <v>169</v>
      </c>
      <c r="AX147" s="38" t="s">
        <v>169</v>
      </c>
      <c r="AY147" s="38" t="s">
        <v>169</v>
      </c>
      <c r="AZ147" s="38" t="s">
        <v>171</v>
      </c>
      <c r="BA147" s="38" t="s">
        <v>169</v>
      </c>
      <c r="BB147" s="38" t="s">
        <v>170</v>
      </c>
      <c r="BC147" s="38" t="s">
        <v>170</v>
      </c>
      <c r="BD147" s="38" t="s">
        <v>169</v>
      </c>
      <c r="BE147" s="38" t="s">
        <v>169</v>
      </c>
      <c r="BF147" s="38" t="s">
        <v>171</v>
      </c>
      <c r="BG147" s="38" t="s">
        <v>171</v>
      </c>
      <c r="BH147" s="38" t="s">
        <v>170</v>
      </c>
      <c r="BI147" s="38" t="s">
        <v>172</v>
      </c>
      <c r="BJ147" s="38" t="s">
        <v>172</v>
      </c>
      <c r="BK147" s="38" t="s">
        <v>169</v>
      </c>
      <c r="BL147" s="38" t="s">
        <v>171</v>
      </c>
      <c r="BM147" s="38" t="s">
        <v>170</v>
      </c>
      <c r="BN147" s="38" t="s">
        <v>170</v>
      </c>
      <c r="BO147" s="38" t="s">
        <v>169</v>
      </c>
      <c r="BP147" s="38" t="s">
        <v>169</v>
      </c>
      <c r="BQ147" s="38" t="s">
        <v>170</v>
      </c>
      <c r="BR147" s="38" t="s">
        <v>170</v>
      </c>
      <c r="BS147" s="38" t="s">
        <v>171</v>
      </c>
      <c r="BT147" s="38" t="s">
        <v>171</v>
      </c>
      <c r="BU147" s="38" t="s">
        <v>169</v>
      </c>
      <c r="BV147" s="38" t="s">
        <v>169</v>
      </c>
      <c r="BW147" s="38" t="s">
        <v>169</v>
      </c>
      <c r="BX147" s="38" t="s">
        <v>169</v>
      </c>
    </row>
    <row r="148" customFormat="false" ht="15" hidden="false" customHeight="true" outlineLevel="0" collapsed="false">
      <c r="A148" s="38" t="s">
        <v>386</v>
      </c>
      <c r="B148" s="38" t="s">
        <v>400</v>
      </c>
      <c r="C148" s="38" t="s">
        <v>296</v>
      </c>
      <c r="D148" s="38" t="s">
        <v>374</v>
      </c>
      <c r="E148" s="38" t="s">
        <v>169</v>
      </c>
      <c r="F148" s="38" t="s">
        <v>169</v>
      </c>
      <c r="G148" s="38" t="s">
        <v>169</v>
      </c>
      <c r="H148" s="38" t="s">
        <v>169</v>
      </c>
      <c r="I148" s="38" t="s">
        <v>169</v>
      </c>
      <c r="J148" s="38" t="s">
        <v>172</v>
      </c>
      <c r="K148" s="38" t="s">
        <v>171</v>
      </c>
      <c r="L148" s="38" t="s">
        <v>171</v>
      </c>
      <c r="M148" s="38" t="s">
        <v>169</v>
      </c>
      <c r="N148" s="38" t="s">
        <v>169</v>
      </c>
      <c r="O148" s="38" t="s">
        <v>170</v>
      </c>
      <c r="P148" s="38" t="s">
        <v>169</v>
      </c>
      <c r="Q148" s="38" t="s">
        <v>169</v>
      </c>
      <c r="R148" s="38" t="s">
        <v>172</v>
      </c>
      <c r="S148" s="38" t="s">
        <v>172</v>
      </c>
      <c r="T148" s="38" t="s">
        <v>171</v>
      </c>
      <c r="U148" s="38" t="s">
        <v>171</v>
      </c>
      <c r="V148" s="38" t="s">
        <v>169</v>
      </c>
      <c r="W148" s="38" t="s">
        <v>169</v>
      </c>
      <c r="X148" s="38" t="s">
        <v>170</v>
      </c>
      <c r="Y148" s="38" t="s">
        <v>169</v>
      </c>
      <c r="Z148" s="38" t="s">
        <v>172</v>
      </c>
      <c r="AA148" s="38" t="s">
        <v>170</v>
      </c>
      <c r="AB148" s="38" t="s">
        <v>169</v>
      </c>
      <c r="AC148" s="38" t="s">
        <v>170</v>
      </c>
      <c r="AD148" s="38" t="s">
        <v>172</v>
      </c>
      <c r="AE148" s="38" t="s">
        <v>170</v>
      </c>
      <c r="AF148" s="38" t="s">
        <v>171</v>
      </c>
      <c r="AG148" s="38" t="s">
        <v>172</v>
      </c>
      <c r="AH148" s="38" t="s">
        <v>169</v>
      </c>
      <c r="AI148" s="38" t="s">
        <v>172</v>
      </c>
      <c r="AJ148" s="38" t="s">
        <v>170</v>
      </c>
      <c r="AK148" s="38" t="s">
        <v>171</v>
      </c>
      <c r="AL148" s="38" t="s">
        <v>171</v>
      </c>
      <c r="AM148" s="38" t="s">
        <v>172</v>
      </c>
      <c r="AN148" s="38" t="s">
        <v>169</v>
      </c>
      <c r="AO148" s="38" t="s">
        <v>169</v>
      </c>
      <c r="AP148" s="38" t="s">
        <v>172</v>
      </c>
      <c r="AQ148" s="38" t="s">
        <v>171</v>
      </c>
      <c r="AR148" s="38" t="s">
        <v>170</v>
      </c>
      <c r="AS148" s="38" t="s">
        <v>171</v>
      </c>
      <c r="AT148" s="38" t="s">
        <v>172</v>
      </c>
      <c r="AU148" s="38" t="s">
        <v>169</v>
      </c>
      <c r="AV148" s="38" t="s">
        <v>170</v>
      </c>
      <c r="AW148" s="38" t="s">
        <v>169</v>
      </c>
      <c r="AX148" s="38" t="s">
        <v>171</v>
      </c>
      <c r="AY148" s="38" t="s">
        <v>169</v>
      </c>
      <c r="AZ148" s="38" t="s">
        <v>171</v>
      </c>
      <c r="BA148" s="38" t="s">
        <v>172</v>
      </c>
      <c r="BB148" s="38" t="s">
        <v>172</v>
      </c>
      <c r="BC148" s="38" t="s">
        <v>169</v>
      </c>
      <c r="BD148" s="38" t="s">
        <v>169</v>
      </c>
      <c r="BE148" s="38" t="s">
        <v>169</v>
      </c>
      <c r="BF148" s="38" t="s">
        <v>171</v>
      </c>
      <c r="BG148" s="38" t="s">
        <v>171</v>
      </c>
      <c r="BH148" s="38" t="s">
        <v>170</v>
      </c>
      <c r="BI148" s="38" t="s">
        <v>172</v>
      </c>
      <c r="BJ148" s="38" t="s">
        <v>172</v>
      </c>
      <c r="BK148" s="38" t="s">
        <v>169</v>
      </c>
      <c r="BL148" s="38" t="s">
        <v>171</v>
      </c>
      <c r="BM148" s="38" t="s">
        <v>170</v>
      </c>
      <c r="BN148" s="38" t="s">
        <v>170</v>
      </c>
      <c r="BO148" s="38" t="s">
        <v>170</v>
      </c>
      <c r="BP148" s="38" t="s">
        <v>171</v>
      </c>
      <c r="BQ148" s="38" t="s">
        <v>171</v>
      </c>
      <c r="BR148" s="38" t="s">
        <v>172</v>
      </c>
      <c r="BS148" s="38" t="s">
        <v>171</v>
      </c>
      <c r="BT148" s="38" t="s">
        <v>170</v>
      </c>
      <c r="BU148" s="38" t="s">
        <v>170</v>
      </c>
      <c r="BV148" s="38" t="s">
        <v>170</v>
      </c>
      <c r="BW148" s="38" t="s">
        <v>170</v>
      </c>
      <c r="BX148" s="38" t="s">
        <v>170</v>
      </c>
    </row>
    <row r="149" customFormat="false" ht="15" hidden="false" customHeight="true" outlineLevel="0" collapsed="false">
      <c r="A149" s="38" t="s">
        <v>386</v>
      </c>
      <c r="B149" s="38" t="s">
        <v>401</v>
      </c>
      <c r="C149" s="38" t="s">
        <v>299</v>
      </c>
      <c r="D149" s="38" t="s">
        <v>187</v>
      </c>
      <c r="E149" s="38" t="s">
        <v>169</v>
      </c>
      <c r="F149" s="38" t="s">
        <v>169</v>
      </c>
      <c r="G149" s="38" t="s">
        <v>170</v>
      </c>
      <c r="H149" s="38" t="s">
        <v>169</v>
      </c>
      <c r="I149" s="38" t="s">
        <v>169</v>
      </c>
      <c r="J149" s="38" t="s">
        <v>169</v>
      </c>
      <c r="K149" s="38" t="s">
        <v>169</v>
      </c>
      <c r="L149" s="38" t="s">
        <v>171</v>
      </c>
      <c r="M149" s="38" t="s">
        <v>172</v>
      </c>
      <c r="N149" s="38" t="s">
        <v>169</v>
      </c>
      <c r="O149" s="38" t="s">
        <v>170</v>
      </c>
      <c r="P149" s="38" t="s">
        <v>171</v>
      </c>
      <c r="Q149" s="38" t="s">
        <v>170</v>
      </c>
      <c r="R149" s="38" t="s">
        <v>172</v>
      </c>
      <c r="S149" s="38" t="s">
        <v>169</v>
      </c>
      <c r="T149" s="38" t="s">
        <v>171</v>
      </c>
      <c r="U149" s="38" t="s">
        <v>171</v>
      </c>
      <c r="V149" s="38" t="s">
        <v>169</v>
      </c>
      <c r="W149" s="38" t="s">
        <v>169</v>
      </c>
      <c r="X149" s="38" t="s">
        <v>171</v>
      </c>
      <c r="Y149" s="38" t="s">
        <v>172</v>
      </c>
      <c r="Z149" s="38" t="s">
        <v>169</v>
      </c>
      <c r="AA149" s="38" t="s">
        <v>172</v>
      </c>
      <c r="AB149" s="38" t="s">
        <v>169</v>
      </c>
      <c r="AC149" s="38" t="s">
        <v>170</v>
      </c>
      <c r="AD149" s="38" t="s">
        <v>169</v>
      </c>
      <c r="AE149" s="38" t="s">
        <v>171</v>
      </c>
      <c r="AF149" s="38" t="s">
        <v>171</v>
      </c>
      <c r="AG149" s="38" t="s">
        <v>170</v>
      </c>
      <c r="AH149" s="38" t="s">
        <v>169</v>
      </c>
      <c r="AI149" s="38" t="s">
        <v>169</v>
      </c>
      <c r="AJ149" s="38" t="s">
        <v>171</v>
      </c>
      <c r="AK149" s="38" t="s">
        <v>171</v>
      </c>
      <c r="AL149" s="38" t="s">
        <v>170</v>
      </c>
      <c r="AM149" s="38" t="s">
        <v>172</v>
      </c>
      <c r="AN149" s="38" t="s">
        <v>171</v>
      </c>
      <c r="AO149" s="38" t="s">
        <v>172</v>
      </c>
      <c r="AP149" s="38" t="s">
        <v>170</v>
      </c>
      <c r="AQ149" s="38" t="s">
        <v>170</v>
      </c>
      <c r="AR149" s="38" t="s">
        <v>170</v>
      </c>
      <c r="AS149" s="38" t="s">
        <v>169</v>
      </c>
      <c r="AT149" s="38" t="s">
        <v>172</v>
      </c>
      <c r="AU149" s="38" t="s">
        <v>172</v>
      </c>
      <c r="AV149" s="38" t="s">
        <v>172</v>
      </c>
      <c r="AW149" s="38" t="s">
        <v>169</v>
      </c>
      <c r="AX149" s="38" t="s">
        <v>169</v>
      </c>
      <c r="AY149" s="38" t="s">
        <v>171</v>
      </c>
      <c r="AZ149" s="38" t="s">
        <v>170</v>
      </c>
      <c r="BA149" s="38" t="s">
        <v>169</v>
      </c>
      <c r="BB149" s="38" t="s">
        <v>172</v>
      </c>
      <c r="BC149" s="38" t="s">
        <v>169</v>
      </c>
      <c r="BD149" s="38" t="s">
        <v>172</v>
      </c>
      <c r="BE149" s="38" t="s">
        <v>169</v>
      </c>
      <c r="BF149" s="38" t="s">
        <v>171</v>
      </c>
      <c r="BG149" s="38" t="s">
        <v>171</v>
      </c>
      <c r="BH149" s="38" t="s">
        <v>170</v>
      </c>
      <c r="BI149" s="38" t="s">
        <v>172</v>
      </c>
      <c r="BJ149" s="38" t="s">
        <v>172</v>
      </c>
      <c r="BK149" s="38" t="s">
        <v>172</v>
      </c>
      <c r="BL149" s="38" t="s">
        <v>171</v>
      </c>
      <c r="BM149" s="38" t="s">
        <v>170</v>
      </c>
      <c r="BN149" s="38" t="s">
        <v>171</v>
      </c>
      <c r="BO149" s="38" t="s">
        <v>170</v>
      </c>
      <c r="BP149" s="38" t="s">
        <v>171</v>
      </c>
      <c r="BQ149" s="38" t="s">
        <v>170</v>
      </c>
      <c r="BR149" s="38" t="s">
        <v>170</v>
      </c>
      <c r="BS149" s="38" t="s">
        <v>170</v>
      </c>
      <c r="BT149" s="38" t="s">
        <v>170</v>
      </c>
      <c r="BU149" s="38" t="s">
        <v>170</v>
      </c>
      <c r="BV149" s="38" t="s">
        <v>169</v>
      </c>
      <c r="BW149" s="38" t="s">
        <v>170</v>
      </c>
      <c r="BX149" s="38" t="s">
        <v>171</v>
      </c>
    </row>
    <row r="150" customFormat="false" ht="15" hidden="false" customHeight="true" outlineLevel="0" collapsed="false">
      <c r="A150" s="38" t="s">
        <v>386</v>
      </c>
      <c r="B150" s="38" t="s">
        <v>402</v>
      </c>
      <c r="C150" s="38" t="s">
        <v>219</v>
      </c>
      <c r="D150" s="38" t="s">
        <v>243</v>
      </c>
      <c r="E150" s="38" t="s">
        <v>170</v>
      </c>
      <c r="F150" s="38" t="s">
        <v>169</v>
      </c>
      <c r="G150" s="38" t="s">
        <v>169</v>
      </c>
      <c r="H150" s="38" t="s">
        <v>169</v>
      </c>
      <c r="I150" s="38" t="s">
        <v>172</v>
      </c>
      <c r="J150" s="38" t="s">
        <v>172</v>
      </c>
      <c r="K150" s="38" t="s">
        <v>169</v>
      </c>
      <c r="L150" s="38" t="s">
        <v>171</v>
      </c>
      <c r="M150" s="38" t="s">
        <v>169</v>
      </c>
      <c r="N150" s="38" t="s">
        <v>169</v>
      </c>
      <c r="O150" s="38" t="s">
        <v>170</v>
      </c>
      <c r="P150" s="38" t="s">
        <v>171</v>
      </c>
      <c r="Q150" s="38" t="s">
        <v>170</v>
      </c>
      <c r="R150" s="38" t="s">
        <v>172</v>
      </c>
      <c r="S150" s="38" t="s">
        <v>169</v>
      </c>
      <c r="T150" s="38" t="s">
        <v>171</v>
      </c>
      <c r="U150" s="38" t="s">
        <v>171</v>
      </c>
      <c r="V150" s="38" t="s">
        <v>169</v>
      </c>
      <c r="W150" s="38" t="s">
        <v>169</v>
      </c>
      <c r="X150" s="38" t="s">
        <v>171</v>
      </c>
      <c r="Y150" s="38" t="s">
        <v>172</v>
      </c>
      <c r="Z150" s="38" t="s">
        <v>169</v>
      </c>
      <c r="AA150" s="38" t="s">
        <v>172</v>
      </c>
      <c r="AB150" s="38" t="s">
        <v>169</v>
      </c>
      <c r="AC150" s="38" t="s">
        <v>170</v>
      </c>
      <c r="AD150" s="38" t="s">
        <v>172</v>
      </c>
      <c r="AE150" s="38" t="s">
        <v>171</v>
      </c>
      <c r="AF150" s="38" t="s">
        <v>171</v>
      </c>
      <c r="AG150" s="38" t="s">
        <v>170</v>
      </c>
      <c r="AH150" s="38" t="s">
        <v>169</v>
      </c>
      <c r="AI150" s="38" t="s">
        <v>169</v>
      </c>
      <c r="AJ150" s="38" t="s">
        <v>171</v>
      </c>
      <c r="AK150" s="38" t="s">
        <v>171</v>
      </c>
      <c r="AL150" s="38" t="s">
        <v>171</v>
      </c>
      <c r="AM150" s="38" t="s">
        <v>169</v>
      </c>
      <c r="AN150" s="38" t="s">
        <v>169</v>
      </c>
      <c r="AO150" s="38" t="s">
        <v>169</v>
      </c>
      <c r="AP150" s="38" t="s">
        <v>172</v>
      </c>
      <c r="AQ150" s="38" t="s">
        <v>170</v>
      </c>
      <c r="AR150" s="38" t="s">
        <v>170</v>
      </c>
      <c r="AS150" s="38" t="s">
        <v>169</v>
      </c>
      <c r="AT150" s="38" t="s">
        <v>172</v>
      </c>
      <c r="AU150" s="38" t="s">
        <v>172</v>
      </c>
      <c r="AV150" s="38" t="s">
        <v>169</v>
      </c>
      <c r="AW150" s="38" t="s">
        <v>169</v>
      </c>
      <c r="AX150" s="38" t="s">
        <v>169</v>
      </c>
      <c r="AY150" s="38" t="s">
        <v>171</v>
      </c>
      <c r="AZ150" s="38" t="s">
        <v>170</v>
      </c>
      <c r="BA150" s="38" t="s">
        <v>169</v>
      </c>
      <c r="BB150" s="38" t="s">
        <v>170</v>
      </c>
      <c r="BC150" s="38" t="s">
        <v>172</v>
      </c>
      <c r="BD150" s="38" t="s">
        <v>169</v>
      </c>
      <c r="BE150" s="38" t="s">
        <v>169</v>
      </c>
      <c r="BF150" s="38" t="s">
        <v>171</v>
      </c>
      <c r="BG150" s="38" t="s">
        <v>171</v>
      </c>
      <c r="BH150" s="38" t="s">
        <v>170</v>
      </c>
      <c r="BI150" s="38" t="s">
        <v>172</v>
      </c>
      <c r="BJ150" s="38" t="s">
        <v>172</v>
      </c>
      <c r="BK150" s="38" t="s">
        <v>172</v>
      </c>
      <c r="BL150" s="38" t="s">
        <v>171</v>
      </c>
      <c r="BM150" s="38" t="s">
        <v>170</v>
      </c>
      <c r="BN150" s="38" t="s">
        <v>170</v>
      </c>
      <c r="BO150" s="38" t="s">
        <v>171</v>
      </c>
      <c r="BP150" s="38" t="s">
        <v>169</v>
      </c>
      <c r="BQ150" s="38" t="s">
        <v>171</v>
      </c>
      <c r="BR150" s="38" t="s">
        <v>170</v>
      </c>
      <c r="BS150" s="38" t="s">
        <v>171</v>
      </c>
      <c r="BT150" s="38" t="s">
        <v>171</v>
      </c>
      <c r="BU150" s="38" t="s">
        <v>170</v>
      </c>
      <c r="BV150" s="38" t="s">
        <v>170</v>
      </c>
      <c r="BW150" s="38" t="s">
        <v>170</v>
      </c>
      <c r="BX150" s="38" t="s">
        <v>169</v>
      </c>
    </row>
    <row r="151" customFormat="false" ht="15" hidden="false" customHeight="true" outlineLevel="0" collapsed="false">
      <c r="A151" s="38" t="s">
        <v>386</v>
      </c>
      <c r="B151" s="38" t="s">
        <v>403</v>
      </c>
      <c r="C151" s="38" t="s">
        <v>208</v>
      </c>
      <c r="D151" s="38" t="s">
        <v>329</v>
      </c>
      <c r="E151" s="38" t="s">
        <v>171</v>
      </c>
      <c r="F151" s="38" t="s">
        <v>169</v>
      </c>
      <c r="G151" s="38" t="s">
        <v>169</v>
      </c>
      <c r="H151" s="38" t="s">
        <v>169</v>
      </c>
      <c r="I151" s="38" t="s">
        <v>170</v>
      </c>
      <c r="J151" s="38" t="s">
        <v>171</v>
      </c>
      <c r="K151" s="38" t="s">
        <v>172</v>
      </c>
      <c r="L151" s="38" t="s">
        <v>171</v>
      </c>
      <c r="M151" s="38" t="s">
        <v>172</v>
      </c>
      <c r="N151" s="38" t="s">
        <v>169</v>
      </c>
      <c r="O151" s="38" t="s">
        <v>170</v>
      </c>
      <c r="P151" s="38" t="s">
        <v>170</v>
      </c>
      <c r="Q151" s="38" t="s">
        <v>172</v>
      </c>
      <c r="R151" s="38" t="s">
        <v>172</v>
      </c>
      <c r="S151" s="38" t="s">
        <v>169</v>
      </c>
      <c r="T151" s="40" t="s">
        <v>176</v>
      </c>
      <c r="U151" s="38" t="s">
        <v>170</v>
      </c>
      <c r="V151" s="38" t="s">
        <v>169</v>
      </c>
      <c r="W151" s="38" t="s">
        <v>169</v>
      </c>
      <c r="X151" s="38" t="s">
        <v>171</v>
      </c>
      <c r="Y151" s="38" t="s">
        <v>172</v>
      </c>
      <c r="Z151" s="38" t="s">
        <v>172</v>
      </c>
      <c r="AA151" s="38" t="s">
        <v>169</v>
      </c>
      <c r="AB151" s="38" t="s">
        <v>169</v>
      </c>
      <c r="AC151" s="38" t="s">
        <v>170</v>
      </c>
      <c r="AD151" s="38" t="s">
        <v>172</v>
      </c>
      <c r="AE151" s="38" t="s">
        <v>172</v>
      </c>
      <c r="AF151" s="38" t="s">
        <v>169</v>
      </c>
      <c r="AG151" s="38" t="s">
        <v>169</v>
      </c>
      <c r="AH151" s="38" t="s">
        <v>169</v>
      </c>
      <c r="AI151" s="38" t="s">
        <v>172</v>
      </c>
      <c r="AJ151" s="38" t="s">
        <v>170</v>
      </c>
      <c r="AK151" s="38" t="s">
        <v>171</v>
      </c>
      <c r="AL151" s="38" t="s">
        <v>171</v>
      </c>
      <c r="AM151" s="38" t="s">
        <v>171</v>
      </c>
      <c r="AN151" s="38" t="s">
        <v>169</v>
      </c>
      <c r="AO151" s="38" t="s">
        <v>172</v>
      </c>
      <c r="AP151" s="38" t="s">
        <v>170</v>
      </c>
      <c r="AQ151" s="38" t="s">
        <v>171</v>
      </c>
      <c r="AR151" s="38" t="s">
        <v>170</v>
      </c>
      <c r="AS151" s="38" t="s">
        <v>170</v>
      </c>
      <c r="AT151" s="38" t="s">
        <v>170</v>
      </c>
      <c r="AU151" s="38" t="s">
        <v>171</v>
      </c>
      <c r="AV151" s="38" t="s">
        <v>170</v>
      </c>
      <c r="AW151" s="38" t="s">
        <v>172</v>
      </c>
      <c r="AX151" s="38" t="s">
        <v>171</v>
      </c>
      <c r="AY151" s="38" t="s">
        <v>169</v>
      </c>
      <c r="AZ151" s="38" t="s">
        <v>170</v>
      </c>
      <c r="BA151" s="38" t="s">
        <v>169</v>
      </c>
      <c r="BB151" s="38" t="s">
        <v>170</v>
      </c>
      <c r="BC151" s="38" t="s">
        <v>170</v>
      </c>
      <c r="BD151" s="38" t="s">
        <v>169</v>
      </c>
      <c r="BE151" s="38" t="s">
        <v>169</v>
      </c>
      <c r="BF151" s="38" t="s">
        <v>171</v>
      </c>
      <c r="BG151" s="38" t="s">
        <v>171</v>
      </c>
      <c r="BH151" s="38" t="s">
        <v>170</v>
      </c>
      <c r="BI151" s="38" t="s">
        <v>169</v>
      </c>
      <c r="BJ151" s="38" t="s">
        <v>172</v>
      </c>
      <c r="BK151" s="38" t="s">
        <v>172</v>
      </c>
      <c r="BL151" s="38" t="s">
        <v>171</v>
      </c>
      <c r="BM151" s="38" t="s">
        <v>170</v>
      </c>
      <c r="BN151" s="38" t="s">
        <v>170</v>
      </c>
      <c r="BO151" s="38" t="s">
        <v>171</v>
      </c>
      <c r="BP151" s="38" t="s">
        <v>169</v>
      </c>
      <c r="BQ151" s="38" t="s">
        <v>170</v>
      </c>
      <c r="BR151" s="38" t="s">
        <v>171</v>
      </c>
      <c r="BS151" s="38" t="s">
        <v>172</v>
      </c>
      <c r="BT151" s="38" t="s">
        <v>169</v>
      </c>
      <c r="BU151" s="38" t="s">
        <v>170</v>
      </c>
      <c r="BV151" s="38" t="s">
        <v>170</v>
      </c>
      <c r="BW151" s="38" t="s">
        <v>170</v>
      </c>
      <c r="BX151" s="38" t="s">
        <v>172</v>
      </c>
    </row>
    <row r="152" customFormat="false" ht="15" hidden="false" customHeight="true" outlineLevel="0" collapsed="false">
      <c r="A152" s="38" t="s">
        <v>386</v>
      </c>
      <c r="B152" s="38" t="s">
        <v>404</v>
      </c>
      <c r="C152" s="38" t="s">
        <v>205</v>
      </c>
      <c r="D152" s="38" t="s">
        <v>168</v>
      </c>
      <c r="E152" s="38" t="s">
        <v>169</v>
      </c>
      <c r="F152" s="38" t="s">
        <v>170</v>
      </c>
      <c r="G152" s="38" t="s">
        <v>170</v>
      </c>
      <c r="H152" s="38" t="s">
        <v>170</v>
      </c>
      <c r="I152" s="38" t="s">
        <v>172</v>
      </c>
      <c r="J152" s="38" t="s">
        <v>171</v>
      </c>
      <c r="K152" s="38" t="s">
        <v>169</v>
      </c>
      <c r="L152" s="38" t="s">
        <v>171</v>
      </c>
      <c r="M152" s="38" t="s">
        <v>172</v>
      </c>
      <c r="N152" s="38" t="s">
        <v>169</v>
      </c>
      <c r="O152" s="38" t="s">
        <v>170</v>
      </c>
      <c r="P152" s="38" t="s">
        <v>171</v>
      </c>
      <c r="Q152" s="38" t="s">
        <v>170</v>
      </c>
      <c r="R152" s="38" t="s">
        <v>172</v>
      </c>
      <c r="S152" s="38" t="s">
        <v>169</v>
      </c>
      <c r="T152" s="38" t="s">
        <v>171</v>
      </c>
      <c r="U152" s="38" t="s">
        <v>172</v>
      </c>
      <c r="V152" s="38" t="s">
        <v>169</v>
      </c>
      <c r="W152" s="38" t="s">
        <v>169</v>
      </c>
      <c r="X152" s="38" t="s">
        <v>172</v>
      </c>
      <c r="Y152" s="38" t="s">
        <v>172</v>
      </c>
      <c r="Z152" s="38" t="s">
        <v>169</v>
      </c>
      <c r="AA152" s="38" t="s">
        <v>172</v>
      </c>
      <c r="AB152" s="38" t="s">
        <v>169</v>
      </c>
      <c r="AC152" s="38" t="s">
        <v>170</v>
      </c>
      <c r="AD152" s="38" t="s">
        <v>172</v>
      </c>
      <c r="AE152" s="38" t="s">
        <v>170</v>
      </c>
      <c r="AF152" s="38" t="s">
        <v>169</v>
      </c>
      <c r="AG152" s="38" t="s">
        <v>170</v>
      </c>
      <c r="AH152" s="38" t="s">
        <v>169</v>
      </c>
      <c r="AI152" s="38" t="s">
        <v>170</v>
      </c>
      <c r="AJ152" s="38" t="s">
        <v>170</v>
      </c>
      <c r="AK152" s="38" t="s">
        <v>171</v>
      </c>
      <c r="AL152" s="38" t="s">
        <v>171</v>
      </c>
      <c r="AM152" s="38" t="s">
        <v>170</v>
      </c>
      <c r="AN152" s="38" t="s">
        <v>171</v>
      </c>
      <c r="AO152" s="38" t="s">
        <v>172</v>
      </c>
      <c r="AP152" s="38" t="s">
        <v>172</v>
      </c>
      <c r="AQ152" s="38" t="s">
        <v>169</v>
      </c>
      <c r="AR152" s="38" t="s">
        <v>170</v>
      </c>
      <c r="AS152" s="38" t="s">
        <v>169</v>
      </c>
      <c r="AT152" s="38" t="s">
        <v>171</v>
      </c>
      <c r="AU152" s="38" t="s">
        <v>169</v>
      </c>
      <c r="AV152" s="38" t="s">
        <v>172</v>
      </c>
      <c r="AW152" s="38" t="s">
        <v>169</v>
      </c>
      <c r="AX152" s="38" t="s">
        <v>169</v>
      </c>
      <c r="AY152" s="38" t="s">
        <v>171</v>
      </c>
      <c r="AZ152" s="38" t="s">
        <v>170</v>
      </c>
      <c r="BA152" s="38" t="s">
        <v>169</v>
      </c>
      <c r="BB152" s="38" t="s">
        <v>169</v>
      </c>
      <c r="BC152" s="38" t="s">
        <v>172</v>
      </c>
      <c r="BD152" s="38" t="s">
        <v>172</v>
      </c>
      <c r="BE152" s="38" t="s">
        <v>169</v>
      </c>
      <c r="BF152" s="38" t="s">
        <v>171</v>
      </c>
      <c r="BG152" s="38" t="s">
        <v>171</v>
      </c>
      <c r="BH152" s="38" t="s">
        <v>170</v>
      </c>
      <c r="BI152" s="38" t="s">
        <v>169</v>
      </c>
      <c r="BJ152" s="38" t="s">
        <v>172</v>
      </c>
      <c r="BK152" s="38" t="s">
        <v>169</v>
      </c>
      <c r="BL152" s="38" t="s">
        <v>170</v>
      </c>
      <c r="BM152" s="38" t="s">
        <v>170</v>
      </c>
      <c r="BN152" s="38" t="s">
        <v>171</v>
      </c>
      <c r="BO152" s="38" t="s">
        <v>171</v>
      </c>
      <c r="BP152" s="38" t="s">
        <v>170</v>
      </c>
      <c r="BQ152" s="38" t="s">
        <v>171</v>
      </c>
      <c r="BR152" s="38" t="s">
        <v>170</v>
      </c>
      <c r="BS152" s="38" t="s">
        <v>169</v>
      </c>
      <c r="BT152" s="38" t="s">
        <v>171</v>
      </c>
      <c r="BU152" s="38" t="s">
        <v>169</v>
      </c>
      <c r="BV152" s="38" t="s">
        <v>169</v>
      </c>
      <c r="BW152" s="38" t="s">
        <v>169</v>
      </c>
      <c r="BX152" s="38" t="s">
        <v>170</v>
      </c>
    </row>
    <row r="153" customFormat="false" ht="15" hidden="false" customHeight="true" outlineLevel="0" collapsed="false">
      <c r="A153" s="38" t="s">
        <v>386</v>
      </c>
      <c r="B153" s="38" t="s">
        <v>405</v>
      </c>
      <c r="C153" s="38" t="s">
        <v>221</v>
      </c>
      <c r="D153" s="38" t="s">
        <v>304</v>
      </c>
      <c r="E153" s="38" t="s">
        <v>169</v>
      </c>
      <c r="F153" s="38" t="s">
        <v>169</v>
      </c>
      <c r="G153" s="38" t="s">
        <v>172</v>
      </c>
      <c r="H153" s="38" t="s">
        <v>172</v>
      </c>
      <c r="I153" s="38" t="s">
        <v>169</v>
      </c>
      <c r="J153" s="38" t="s">
        <v>172</v>
      </c>
      <c r="K153" s="38" t="s">
        <v>171</v>
      </c>
      <c r="L153" s="38" t="s">
        <v>171</v>
      </c>
      <c r="M153" s="38" t="s">
        <v>172</v>
      </c>
      <c r="N153" s="38" t="s">
        <v>170</v>
      </c>
      <c r="O153" s="38" t="s">
        <v>170</v>
      </c>
      <c r="P153" s="38" t="s">
        <v>170</v>
      </c>
      <c r="Q153" s="38" t="s">
        <v>172</v>
      </c>
      <c r="R153" s="38" t="s">
        <v>172</v>
      </c>
      <c r="S153" s="38" t="s">
        <v>169</v>
      </c>
      <c r="T153" s="38" t="s">
        <v>171</v>
      </c>
      <c r="U153" s="38" t="s">
        <v>170</v>
      </c>
      <c r="V153" s="38" t="s">
        <v>169</v>
      </c>
      <c r="W153" s="38" t="s">
        <v>169</v>
      </c>
      <c r="X153" s="38" t="s">
        <v>170</v>
      </c>
      <c r="Y153" s="38" t="s">
        <v>172</v>
      </c>
      <c r="Z153" s="38" t="s">
        <v>172</v>
      </c>
      <c r="AA153" s="38" t="s">
        <v>169</v>
      </c>
      <c r="AB153" s="38" t="s">
        <v>169</v>
      </c>
      <c r="AC153" s="38" t="s">
        <v>169</v>
      </c>
      <c r="AD153" s="38" t="s">
        <v>172</v>
      </c>
      <c r="AE153" s="38" t="s">
        <v>171</v>
      </c>
      <c r="AF153" s="38" t="s">
        <v>170</v>
      </c>
      <c r="AG153" s="38" t="s">
        <v>169</v>
      </c>
      <c r="AH153" s="38" t="s">
        <v>169</v>
      </c>
      <c r="AI153" s="38" t="s">
        <v>171</v>
      </c>
      <c r="AJ153" s="38" t="s">
        <v>170</v>
      </c>
      <c r="AK153" s="38" t="s">
        <v>171</v>
      </c>
      <c r="AL153" s="38" t="s">
        <v>171</v>
      </c>
      <c r="AM153" s="38" t="s">
        <v>169</v>
      </c>
      <c r="AN153" s="38" t="s">
        <v>172</v>
      </c>
      <c r="AO153" s="38" t="s">
        <v>172</v>
      </c>
      <c r="AP153" s="38" t="s">
        <v>172</v>
      </c>
      <c r="AQ153" s="38" t="s">
        <v>172</v>
      </c>
      <c r="AR153" s="38" t="s">
        <v>170</v>
      </c>
      <c r="AS153" s="38" t="s">
        <v>170</v>
      </c>
      <c r="AT153" s="38" t="s">
        <v>169</v>
      </c>
      <c r="AU153" s="38" t="s">
        <v>172</v>
      </c>
      <c r="AV153" s="38" t="s">
        <v>169</v>
      </c>
      <c r="AW153" s="38" t="s">
        <v>172</v>
      </c>
      <c r="AX153" s="38" t="s">
        <v>169</v>
      </c>
      <c r="AY153" s="38" t="s">
        <v>169</v>
      </c>
      <c r="AZ153" s="38" t="s">
        <v>170</v>
      </c>
      <c r="BA153" s="38" t="s">
        <v>169</v>
      </c>
      <c r="BB153" s="38" t="s">
        <v>169</v>
      </c>
      <c r="BC153" s="38" t="s">
        <v>169</v>
      </c>
      <c r="BD153" s="38" t="s">
        <v>169</v>
      </c>
      <c r="BE153" s="38" t="s">
        <v>169</v>
      </c>
      <c r="BF153" s="38" t="s">
        <v>171</v>
      </c>
      <c r="BG153" s="38" t="s">
        <v>171</v>
      </c>
      <c r="BH153" s="38" t="s">
        <v>170</v>
      </c>
      <c r="BI153" s="38" t="s">
        <v>169</v>
      </c>
      <c r="BJ153" s="38" t="s">
        <v>172</v>
      </c>
      <c r="BK153" s="38" t="s">
        <v>172</v>
      </c>
      <c r="BL153" s="38" t="s">
        <v>171</v>
      </c>
      <c r="BM153" s="38" t="s">
        <v>170</v>
      </c>
      <c r="BN153" s="38" t="s">
        <v>170</v>
      </c>
      <c r="BO153" s="38" t="s">
        <v>170</v>
      </c>
      <c r="BP153" s="38" t="s">
        <v>171</v>
      </c>
      <c r="BQ153" s="38" t="s">
        <v>170</v>
      </c>
      <c r="BR153" s="38" t="s">
        <v>172</v>
      </c>
      <c r="BS153" s="38" t="s">
        <v>171</v>
      </c>
      <c r="BT153" s="38" t="s">
        <v>170</v>
      </c>
      <c r="BU153" s="38" t="s">
        <v>171</v>
      </c>
      <c r="BV153" s="38" t="s">
        <v>171</v>
      </c>
      <c r="BW153" s="38" t="s">
        <v>170</v>
      </c>
      <c r="BX153" s="38" t="s">
        <v>170</v>
      </c>
    </row>
    <row r="154" customFormat="false" ht="15" hidden="false" customHeight="true" outlineLevel="0" collapsed="false">
      <c r="A154" s="38" t="s">
        <v>386</v>
      </c>
      <c r="B154" s="38" t="s">
        <v>406</v>
      </c>
      <c r="C154" s="38" t="s">
        <v>224</v>
      </c>
      <c r="D154" s="38" t="s">
        <v>272</v>
      </c>
      <c r="E154" s="38" t="s">
        <v>169</v>
      </c>
      <c r="F154" s="38" t="s">
        <v>170</v>
      </c>
      <c r="G154" s="38" t="s">
        <v>171</v>
      </c>
      <c r="H154" s="38" t="s">
        <v>169</v>
      </c>
      <c r="I154" s="38" t="s">
        <v>172</v>
      </c>
      <c r="J154" s="38" t="s">
        <v>170</v>
      </c>
      <c r="K154" s="38" t="s">
        <v>171</v>
      </c>
      <c r="L154" s="38" t="s">
        <v>171</v>
      </c>
      <c r="M154" s="38" t="s">
        <v>172</v>
      </c>
      <c r="N154" s="38" t="s">
        <v>169</v>
      </c>
      <c r="O154" s="38" t="s">
        <v>170</v>
      </c>
      <c r="P154" s="38" t="s">
        <v>171</v>
      </c>
      <c r="Q154" s="38" t="s">
        <v>170</v>
      </c>
      <c r="R154" s="38" t="s">
        <v>172</v>
      </c>
      <c r="S154" s="38" t="s">
        <v>169</v>
      </c>
      <c r="T154" s="38" t="s">
        <v>171</v>
      </c>
      <c r="U154" s="38" t="s">
        <v>171</v>
      </c>
      <c r="V154" s="38" t="s">
        <v>169</v>
      </c>
      <c r="W154" s="38" t="s">
        <v>169</v>
      </c>
      <c r="X154" s="38" t="s">
        <v>171</v>
      </c>
      <c r="Y154" s="38" t="s">
        <v>172</v>
      </c>
      <c r="Z154" s="38" t="s">
        <v>169</v>
      </c>
      <c r="AA154" s="38" t="s">
        <v>172</v>
      </c>
      <c r="AB154" s="38" t="s">
        <v>169</v>
      </c>
      <c r="AC154" s="38" t="s">
        <v>170</v>
      </c>
      <c r="AD154" s="38" t="s">
        <v>172</v>
      </c>
      <c r="AE154" s="38" t="s">
        <v>172</v>
      </c>
      <c r="AF154" s="38" t="s">
        <v>171</v>
      </c>
      <c r="AG154" s="38" t="s">
        <v>171</v>
      </c>
      <c r="AH154" s="38" t="s">
        <v>169</v>
      </c>
      <c r="AI154" s="38" t="s">
        <v>172</v>
      </c>
      <c r="AJ154" s="38" t="s">
        <v>170</v>
      </c>
      <c r="AK154" s="38" t="s">
        <v>171</v>
      </c>
      <c r="AL154" s="38" t="s">
        <v>172</v>
      </c>
      <c r="AM154" s="38" t="s">
        <v>169</v>
      </c>
      <c r="AN154" s="38" t="s">
        <v>171</v>
      </c>
      <c r="AO154" s="38" t="s">
        <v>172</v>
      </c>
      <c r="AP154" s="38" t="s">
        <v>172</v>
      </c>
      <c r="AQ154" s="38" t="s">
        <v>171</v>
      </c>
      <c r="AR154" s="38" t="s">
        <v>170</v>
      </c>
      <c r="AS154" s="38" t="s">
        <v>172</v>
      </c>
      <c r="AT154" s="38" t="s">
        <v>172</v>
      </c>
      <c r="AU154" s="38" t="s">
        <v>171</v>
      </c>
      <c r="AV154" s="38" t="s">
        <v>172</v>
      </c>
      <c r="AW154" s="38" t="s">
        <v>169</v>
      </c>
      <c r="AX154" s="38" t="s">
        <v>169</v>
      </c>
      <c r="AY154" s="38" t="s">
        <v>171</v>
      </c>
      <c r="AZ154" s="38" t="s">
        <v>170</v>
      </c>
      <c r="BA154" s="38" t="s">
        <v>169</v>
      </c>
      <c r="BB154" s="38" t="s">
        <v>172</v>
      </c>
      <c r="BC154" s="38" t="s">
        <v>172</v>
      </c>
      <c r="BD154" s="38" t="s">
        <v>169</v>
      </c>
      <c r="BE154" s="38" t="s">
        <v>169</v>
      </c>
      <c r="BF154" s="38" t="s">
        <v>171</v>
      </c>
      <c r="BG154" s="38" t="s">
        <v>171</v>
      </c>
      <c r="BH154" s="38" t="s">
        <v>170</v>
      </c>
      <c r="BI154" s="38" t="s">
        <v>172</v>
      </c>
      <c r="BJ154" s="38" t="s">
        <v>172</v>
      </c>
      <c r="BK154" s="38" t="s">
        <v>172</v>
      </c>
      <c r="BL154" s="38" t="s">
        <v>171</v>
      </c>
      <c r="BM154" s="38" t="s">
        <v>170</v>
      </c>
      <c r="BN154" s="38" t="s">
        <v>170</v>
      </c>
      <c r="BO154" s="38" t="s">
        <v>171</v>
      </c>
      <c r="BP154" s="38" t="s">
        <v>171</v>
      </c>
      <c r="BQ154" s="38" t="s">
        <v>171</v>
      </c>
      <c r="BR154" s="38" t="s">
        <v>172</v>
      </c>
      <c r="BS154" s="38" t="s">
        <v>169</v>
      </c>
      <c r="BT154" s="38" t="s">
        <v>171</v>
      </c>
      <c r="BU154" s="38" t="s">
        <v>170</v>
      </c>
      <c r="BV154" s="38" t="s">
        <v>172</v>
      </c>
      <c r="BW154" s="38" t="s">
        <v>169</v>
      </c>
      <c r="BX154" s="38" t="s">
        <v>170</v>
      </c>
    </row>
    <row r="155" customFormat="false" ht="15" hidden="false" customHeight="true" outlineLevel="0" collapsed="false">
      <c r="A155" s="38" t="s">
        <v>386</v>
      </c>
      <c r="B155" s="38" t="s">
        <v>407</v>
      </c>
      <c r="C155" s="38" t="s">
        <v>224</v>
      </c>
      <c r="D155" s="38" t="s">
        <v>307</v>
      </c>
      <c r="E155" s="38" t="s">
        <v>169</v>
      </c>
      <c r="F155" s="38" t="s">
        <v>170</v>
      </c>
      <c r="G155" s="38" t="s">
        <v>171</v>
      </c>
      <c r="H155" s="38" t="s">
        <v>169</v>
      </c>
      <c r="I155" s="38" t="s">
        <v>172</v>
      </c>
      <c r="J155" s="38" t="s">
        <v>170</v>
      </c>
      <c r="K155" s="38" t="s">
        <v>171</v>
      </c>
      <c r="L155" s="38" t="s">
        <v>171</v>
      </c>
      <c r="M155" s="38" t="s">
        <v>172</v>
      </c>
      <c r="N155" s="38" t="s">
        <v>169</v>
      </c>
      <c r="O155" s="38" t="s">
        <v>170</v>
      </c>
      <c r="P155" s="38" t="s">
        <v>171</v>
      </c>
      <c r="Q155" s="38" t="s">
        <v>170</v>
      </c>
      <c r="R155" s="38" t="s">
        <v>172</v>
      </c>
      <c r="S155" s="38" t="s">
        <v>169</v>
      </c>
      <c r="T155" s="38" t="s">
        <v>170</v>
      </c>
      <c r="U155" s="38" t="s">
        <v>172</v>
      </c>
      <c r="V155" s="38" t="s">
        <v>169</v>
      </c>
      <c r="W155" s="38" t="s">
        <v>169</v>
      </c>
      <c r="X155" s="38" t="s">
        <v>170</v>
      </c>
      <c r="Y155" s="38" t="s">
        <v>172</v>
      </c>
      <c r="Z155" s="38" t="s">
        <v>169</v>
      </c>
      <c r="AA155" s="38" t="s">
        <v>172</v>
      </c>
      <c r="AB155" s="38" t="s">
        <v>169</v>
      </c>
      <c r="AC155" s="38" t="s">
        <v>170</v>
      </c>
      <c r="AD155" s="38" t="s">
        <v>172</v>
      </c>
      <c r="AE155" s="38" t="s">
        <v>172</v>
      </c>
      <c r="AF155" s="38" t="s">
        <v>170</v>
      </c>
      <c r="AG155" s="38" t="s">
        <v>171</v>
      </c>
      <c r="AH155" s="38" t="s">
        <v>169</v>
      </c>
      <c r="AI155" s="38" t="s">
        <v>172</v>
      </c>
      <c r="AJ155" s="38" t="s">
        <v>170</v>
      </c>
      <c r="AK155" s="38" t="s">
        <v>171</v>
      </c>
      <c r="AL155" s="38" t="s">
        <v>171</v>
      </c>
      <c r="AM155" s="38" t="s">
        <v>169</v>
      </c>
      <c r="AN155" s="38" t="s">
        <v>171</v>
      </c>
      <c r="AO155" s="38" t="s">
        <v>172</v>
      </c>
      <c r="AP155" s="38" t="s">
        <v>172</v>
      </c>
      <c r="AQ155" s="38" t="s">
        <v>171</v>
      </c>
      <c r="AR155" s="38" t="s">
        <v>170</v>
      </c>
      <c r="AS155" s="38" t="s">
        <v>172</v>
      </c>
      <c r="AT155" s="38" t="s">
        <v>169</v>
      </c>
      <c r="AU155" s="38" t="s">
        <v>171</v>
      </c>
      <c r="AV155" s="38" t="s">
        <v>172</v>
      </c>
      <c r="AW155" s="38" t="s">
        <v>169</v>
      </c>
      <c r="AX155" s="38" t="s">
        <v>169</v>
      </c>
      <c r="AY155" s="38" t="s">
        <v>171</v>
      </c>
      <c r="AZ155" s="38" t="s">
        <v>170</v>
      </c>
      <c r="BA155" s="38" t="s">
        <v>169</v>
      </c>
      <c r="BB155" s="38" t="s">
        <v>171</v>
      </c>
      <c r="BC155" s="38" t="s">
        <v>172</v>
      </c>
      <c r="BD155" s="38" t="s">
        <v>169</v>
      </c>
      <c r="BE155" s="38" t="s">
        <v>169</v>
      </c>
      <c r="BF155" s="38" t="s">
        <v>171</v>
      </c>
      <c r="BG155" s="38" t="s">
        <v>171</v>
      </c>
      <c r="BH155" s="38" t="s">
        <v>170</v>
      </c>
      <c r="BI155" s="38" t="s">
        <v>169</v>
      </c>
      <c r="BJ155" s="38" t="s">
        <v>172</v>
      </c>
      <c r="BK155" s="38" t="s">
        <v>171</v>
      </c>
      <c r="BL155" s="38" t="s">
        <v>171</v>
      </c>
      <c r="BM155" s="38" t="s">
        <v>170</v>
      </c>
      <c r="BN155" s="38" t="s">
        <v>170</v>
      </c>
      <c r="BO155" s="38" t="s">
        <v>171</v>
      </c>
      <c r="BP155" s="38" t="s">
        <v>172</v>
      </c>
      <c r="BQ155" s="38" t="s">
        <v>171</v>
      </c>
      <c r="BR155" s="38" t="s">
        <v>172</v>
      </c>
      <c r="BS155" s="38" t="s">
        <v>169</v>
      </c>
      <c r="BT155" s="38" t="s">
        <v>171</v>
      </c>
      <c r="BU155" s="38" t="s">
        <v>170</v>
      </c>
      <c r="BV155" s="38" t="s">
        <v>172</v>
      </c>
      <c r="BW155" s="38" t="s">
        <v>169</v>
      </c>
      <c r="BX155" s="38" t="s">
        <v>170</v>
      </c>
    </row>
    <row r="156" customFormat="false" ht="15" hidden="false" customHeight="true" outlineLevel="0" collapsed="false">
      <c r="A156" s="38" t="s">
        <v>386</v>
      </c>
      <c r="B156" s="38" t="s">
        <v>408</v>
      </c>
      <c r="C156" s="38" t="s">
        <v>228</v>
      </c>
      <c r="D156" s="38" t="s">
        <v>276</v>
      </c>
      <c r="E156" s="38" t="s">
        <v>169</v>
      </c>
      <c r="F156" s="38" t="s">
        <v>169</v>
      </c>
      <c r="G156" s="38" t="s">
        <v>172</v>
      </c>
      <c r="H156" s="38" t="s">
        <v>169</v>
      </c>
      <c r="I156" s="38" t="s">
        <v>171</v>
      </c>
      <c r="J156" s="38" t="s">
        <v>169</v>
      </c>
      <c r="K156" s="38" t="s">
        <v>171</v>
      </c>
      <c r="L156" s="38" t="s">
        <v>171</v>
      </c>
      <c r="M156" s="38" t="s">
        <v>172</v>
      </c>
      <c r="N156" s="38" t="s">
        <v>169</v>
      </c>
      <c r="O156" s="38" t="s">
        <v>170</v>
      </c>
      <c r="P156" s="38" t="s">
        <v>171</v>
      </c>
      <c r="Q156" s="38" t="s">
        <v>170</v>
      </c>
      <c r="R156" s="38" t="s">
        <v>172</v>
      </c>
      <c r="S156" s="38" t="s">
        <v>169</v>
      </c>
      <c r="T156" s="38" t="s">
        <v>170</v>
      </c>
      <c r="U156" s="38" t="s">
        <v>171</v>
      </c>
      <c r="V156" s="38" t="s">
        <v>169</v>
      </c>
      <c r="W156" s="38" t="s">
        <v>169</v>
      </c>
      <c r="X156" s="38" t="s">
        <v>169</v>
      </c>
      <c r="Y156" s="38" t="s">
        <v>172</v>
      </c>
      <c r="Z156" s="38" t="s">
        <v>169</v>
      </c>
      <c r="AA156" s="38" t="s">
        <v>172</v>
      </c>
      <c r="AB156" s="38" t="s">
        <v>169</v>
      </c>
      <c r="AC156" s="38" t="s">
        <v>170</v>
      </c>
      <c r="AD156" s="38" t="s">
        <v>171</v>
      </c>
      <c r="AE156" s="38" t="s">
        <v>170</v>
      </c>
      <c r="AF156" s="38" t="s">
        <v>170</v>
      </c>
      <c r="AG156" s="38" t="s">
        <v>171</v>
      </c>
      <c r="AH156" s="38" t="s">
        <v>169</v>
      </c>
      <c r="AI156" s="38" t="s">
        <v>170</v>
      </c>
      <c r="AJ156" s="38" t="s">
        <v>170</v>
      </c>
      <c r="AK156" s="38" t="s">
        <v>171</v>
      </c>
      <c r="AL156" s="38" t="s">
        <v>171</v>
      </c>
      <c r="AM156" s="38" t="s">
        <v>172</v>
      </c>
      <c r="AN156" s="38" t="s">
        <v>170</v>
      </c>
      <c r="AO156" s="38" t="s">
        <v>172</v>
      </c>
      <c r="AP156" s="38" t="s">
        <v>172</v>
      </c>
      <c r="AQ156" s="38" t="s">
        <v>169</v>
      </c>
      <c r="AR156" s="38" t="s">
        <v>170</v>
      </c>
      <c r="AS156" s="38" t="s">
        <v>172</v>
      </c>
      <c r="AT156" s="38" t="s">
        <v>169</v>
      </c>
      <c r="AU156" s="38" t="s">
        <v>169</v>
      </c>
      <c r="AV156" s="38" t="s">
        <v>170</v>
      </c>
      <c r="AW156" s="38" t="s">
        <v>169</v>
      </c>
      <c r="AX156" s="38" t="s">
        <v>169</v>
      </c>
      <c r="AY156" s="38" t="s">
        <v>171</v>
      </c>
      <c r="AZ156" s="38" t="s">
        <v>170</v>
      </c>
      <c r="BA156" s="38" t="s">
        <v>172</v>
      </c>
      <c r="BB156" s="38" t="s">
        <v>171</v>
      </c>
      <c r="BC156" s="38" t="s">
        <v>172</v>
      </c>
      <c r="BD156" s="38" t="s">
        <v>169</v>
      </c>
      <c r="BE156" s="38" t="s">
        <v>169</v>
      </c>
      <c r="BF156" s="38" t="s">
        <v>171</v>
      </c>
      <c r="BG156" s="38" t="s">
        <v>171</v>
      </c>
      <c r="BH156" s="38" t="s">
        <v>170</v>
      </c>
      <c r="BI156" s="38" t="s">
        <v>172</v>
      </c>
      <c r="BJ156" s="38" t="s">
        <v>172</v>
      </c>
      <c r="BK156" s="38" t="s">
        <v>169</v>
      </c>
      <c r="BL156" s="38" t="s">
        <v>171</v>
      </c>
      <c r="BM156" s="38" t="s">
        <v>170</v>
      </c>
      <c r="BN156" s="38" t="s">
        <v>170</v>
      </c>
      <c r="BO156" s="38" t="s">
        <v>171</v>
      </c>
      <c r="BP156" s="38" t="s">
        <v>172</v>
      </c>
      <c r="BQ156" s="38" t="s">
        <v>171</v>
      </c>
      <c r="BR156" s="38" t="s">
        <v>172</v>
      </c>
      <c r="BS156" s="38" t="s">
        <v>170</v>
      </c>
      <c r="BT156" s="38" t="s">
        <v>172</v>
      </c>
      <c r="BU156" s="38" t="s">
        <v>170</v>
      </c>
      <c r="BV156" s="38" t="s">
        <v>171</v>
      </c>
      <c r="BW156" s="38" t="s">
        <v>170</v>
      </c>
      <c r="BX156" s="38" t="s">
        <v>170</v>
      </c>
    </row>
    <row r="157" customFormat="false" ht="15" hidden="false" customHeight="true" outlineLevel="0" collapsed="false">
      <c r="A157" s="38" t="s">
        <v>386</v>
      </c>
      <c r="B157" s="38" t="s">
        <v>409</v>
      </c>
      <c r="C157" s="38" t="s">
        <v>228</v>
      </c>
      <c r="D157" s="38" t="s">
        <v>276</v>
      </c>
      <c r="E157" s="38" t="s">
        <v>169</v>
      </c>
      <c r="F157" s="38" t="s">
        <v>169</v>
      </c>
      <c r="G157" s="38" t="s">
        <v>172</v>
      </c>
      <c r="H157" s="38" t="s">
        <v>169</v>
      </c>
      <c r="I157" s="38" t="s">
        <v>171</v>
      </c>
      <c r="J157" s="38" t="s">
        <v>169</v>
      </c>
      <c r="K157" s="38" t="s">
        <v>171</v>
      </c>
      <c r="L157" s="38" t="s">
        <v>171</v>
      </c>
      <c r="M157" s="38" t="s">
        <v>172</v>
      </c>
      <c r="N157" s="38" t="s">
        <v>169</v>
      </c>
      <c r="O157" s="38" t="s">
        <v>170</v>
      </c>
      <c r="P157" s="38" t="s">
        <v>171</v>
      </c>
      <c r="Q157" s="38" t="s">
        <v>170</v>
      </c>
      <c r="R157" s="38" t="s">
        <v>172</v>
      </c>
      <c r="S157" s="38" t="s">
        <v>169</v>
      </c>
      <c r="T157" s="38" t="s">
        <v>170</v>
      </c>
      <c r="U157" s="38" t="s">
        <v>171</v>
      </c>
      <c r="V157" s="38" t="s">
        <v>169</v>
      </c>
      <c r="W157" s="38" t="s">
        <v>169</v>
      </c>
      <c r="X157" s="38" t="s">
        <v>169</v>
      </c>
      <c r="Y157" s="38" t="s">
        <v>172</v>
      </c>
      <c r="Z157" s="38" t="s">
        <v>169</v>
      </c>
      <c r="AA157" s="38" t="s">
        <v>172</v>
      </c>
      <c r="AB157" s="38" t="s">
        <v>169</v>
      </c>
      <c r="AC157" s="38" t="s">
        <v>170</v>
      </c>
      <c r="AD157" s="38" t="s">
        <v>171</v>
      </c>
      <c r="AE157" s="38" t="s">
        <v>170</v>
      </c>
      <c r="AF157" s="38" t="s">
        <v>170</v>
      </c>
      <c r="AG157" s="38" t="s">
        <v>171</v>
      </c>
      <c r="AH157" s="38" t="s">
        <v>169</v>
      </c>
      <c r="AI157" s="38" t="s">
        <v>170</v>
      </c>
      <c r="AJ157" s="38" t="s">
        <v>170</v>
      </c>
      <c r="AK157" s="38" t="s">
        <v>171</v>
      </c>
      <c r="AL157" s="38" t="s">
        <v>171</v>
      </c>
      <c r="AM157" s="38" t="s">
        <v>172</v>
      </c>
      <c r="AN157" s="38" t="s">
        <v>170</v>
      </c>
      <c r="AO157" s="38" t="s">
        <v>172</v>
      </c>
      <c r="AP157" s="38" t="s">
        <v>172</v>
      </c>
      <c r="AQ157" s="38" t="s">
        <v>169</v>
      </c>
      <c r="AR157" s="38" t="s">
        <v>170</v>
      </c>
      <c r="AS157" s="38" t="s">
        <v>172</v>
      </c>
      <c r="AT157" s="38" t="s">
        <v>169</v>
      </c>
      <c r="AU157" s="38" t="s">
        <v>169</v>
      </c>
      <c r="AV157" s="38" t="s">
        <v>170</v>
      </c>
      <c r="AW157" s="38" t="s">
        <v>169</v>
      </c>
      <c r="AX157" s="38" t="s">
        <v>169</v>
      </c>
      <c r="AY157" s="38" t="s">
        <v>171</v>
      </c>
      <c r="AZ157" s="38" t="s">
        <v>170</v>
      </c>
      <c r="BA157" s="38" t="s">
        <v>172</v>
      </c>
      <c r="BB157" s="38" t="s">
        <v>171</v>
      </c>
      <c r="BC157" s="38" t="s">
        <v>172</v>
      </c>
      <c r="BD157" s="38" t="s">
        <v>169</v>
      </c>
      <c r="BE157" s="38" t="s">
        <v>169</v>
      </c>
      <c r="BF157" s="38" t="s">
        <v>171</v>
      </c>
      <c r="BG157" s="38" t="s">
        <v>171</v>
      </c>
      <c r="BH157" s="38" t="s">
        <v>170</v>
      </c>
      <c r="BI157" s="38" t="s">
        <v>172</v>
      </c>
      <c r="BJ157" s="38" t="s">
        <v>172</v>
      </c>
      <c r="BK157" s="38" t="s">
        <v>169</v>
      </c>
      <c r="BL157" s="38" t="s">
        <v>171</v>
      </c>
      <c r="BM157" s="38" t="s">
        <v>170</v>
      </c>
      <c r="BN157" s="38" t="s">
        <v>170</v>
      </c>
      <c r="BO157" s="38" t="s">
        <v>171</v>
      </c>
      <c r="BP157" s="38" t="s">
        <v>172</v>
      </c>
      <c r="BQ157" s="38" t="s">
        <v>171</v>
      </c>
      <c r="BR157" s="38" t="s">
        <v>172</v>
      </c>
      <c r="BS157" s="38" t="s">
        <v>170</v>
      </c>
      <c r="BT157" s="38" t="s">
        <v>172</v>
      </c>
      <c r="BU157" s="38" t="s">
        <v>170</v>
      </c>
      <c r="BV157" s="38" t="s">
        <v>171</v>
      </c>
      <c r="BW157" s="38" t="s">
        <v>170</v>
      </c>
      <c r="BX157" s="38" t="s">
        <v>170</v>
      </c>
    </row>
    <row r="158" customFormat="false" ht="15" hidden="false" customHeight="true" outlineLevel="0" collapsed="false">
      <c r="A158" s="38" t="s">
        <v>386</v>
      </c>
      <c r="B158" s="38" t="s">
        <v>410</v>
      </c>
      <c r="C158" s="38" t="s">
        <v>310</v>
      </c>
      <c r="D158" s="38" t="s">
        <v>311</v>
      </c>
      <c r="E158" s="38" t="s">
        <v>172</v>
      </c>
      <c r="F158" s="38" t="s">
        <v>169</v>
      </c>
      <c r="G158" s="38" t="s">
        <v>169</v>
      </c>
      <c r="H158" s="38" t="s">
        <v>172</v>
      </c>
      <c r="I158" s="38" t="s">
        <v>169</v>
      </c>
      <c r="J158" s="38" t="s">
        <v>172</v>
      </c>
      <c r="K158" s="38" t="s">
        <v>169</v>
      </c>
      <c r="L158" s="38" t="s">
        <v>171</v>
      </c>
      <c r="M158" s="38" t="s">
        <v>172</v>
      </c>
      <c r="N158" s="38" t="s">
        <v>169</v>
      </c>
      <c r="O158" s="38" t="s">
        <v>171</v>
      </c>
      <c r="P158" s="38" t="s">
        <v>171</v>
      </c>
      <c r="Q158" s="38" t="s">
        <v>170</v>
      </c>
      <c r="R158" s="38" t="s">
        <v>172</v>
      </c>
      <c r="S158" s="38" t="s">
        <v>172</v>
      </c>
      <c r="T158" s="40" t="s">
        <v>176</v>
      </c>
      <c r="U158" s="38" t="s">
        <v>171</v>
      </c>
      <c r="V158" s="38" t="s">
        <v>169</v>
      </c>
      <c r="W158" s="38" t="s">
        <v>169</v>
      </c>
      <c r="X158" s="38" t="s">
        <v>171</v>
      </c>
      <c r="Y158" s="38" t="s">
        <v>172</v>
      </c>
      <c r="Z158" s="38" t="s">
        <v>169</v>
      </c>
      <c r="AA158" s="38" t="s">
        <v>172</v>
      </c>
      <c r="AB158" s="38" t="s">
        <v>172</v>
      </c>
      <c r="AC158" s="38" t="s">
        <v>170</v>
      </c>
      <c r="AD158" s="38" t="s">
        <v>169</v>
      </c>
      <c r="AE158" s="38" t="s">
        <v>171</v>
      </c>
      <c r="AF158" s="38" t="s">
        <v>170</v>
      </c>
      <c r="AG158" s="38" t="s">
        <v>169</v>
      </c>
      <c r="AH158" s="38" t="s">
        <v>169</v>
      </c>
      <c r="AI158" s="38" t="s">
        <v>171</v>
      </c>
      <c r="AJ158" s="38" t="s">
        <v>170</v>
      </c>
      <c r="AK158" s="38" t="s">
        <v>171</v>
      </c>
      <c r="AL158" s="38" t="s">
        <v>170</v>
      </c>
      <c r="AM158" s="38" t="s">
        <v>170</v>
      </c>
      <c r="AN158" s="38" t="s">
        <v>172</v>
      </c>
      <c r="AO158" s="38" t="s">
        <v>172</v>
      </c>
      <c r="AP158" s="38" t="s">
        <v>172</v>
      </c>
      <c r="AQ158" s="38" t="s">
        <v>172</v>
      </c>
      <c r="AR158" s="38" t="s">
        <v>170</v>
      </c>
      <c r="AS158" s="38" t="s">
        <v>170</v>
      </c>
      <c r="AT158" s="38" t="s">
        <v>169</v>
      </c>
      <c r="AU158" s="38" t="s">
        <v>172</v>
      </c>
      <c r="AV158" s="38" t="s">
        <v>169</v>
      </c>
      <c r="AW158" s="38" t="s">
        <v>170</v>
      </c>
      <c r="AX158" s="38" t="s">
        <v>169</v>
      </c>
      <c r="AY158" s="38" t="s">
        <v>171</v>
      </c>
      <c r="AZ158" s="38" t="s">
        <v>171</v>
      </c>
      <c r="BA158" s="38" t="s">
        <v>169</v>
      </c>
      <c r="BB158" s="38" t="s">
        <v>172</v>
      </c>
      <c r="BC158" s="38" t="s">
        <v>169</v>
      </c>
      <c r="BD158" s="38" t="s">
        <v>169</v>
      </c>
      <c r="BE158" s="38" t="s">
        <v>169</v>
      </c>
      <c r="BF158" s="38" t="s">
        <v>171</v>
      </c>
      <c r="BG158" s="38" t="s">
        <v>171</v>
      </c>
      <c r="BH158" s="38" t="s">
        <v>170</v>
      </c>
      <c r="BI158" s="38" t="s">
        <v>169</v>
      </c>
      <c r="BJ158" s="38" t="s">
        <v>172</v>
      </c>
      <c r="BK158" s="38" t="s">
        <v>171</v>
      </c>
      <c r="BL158" s="38" t="s">
        <v>171</v>
      </c>
      <c r="BM158" s="38" t="s">
        <v>170</v>
      </c>
      <c r="BN158" s="38" t="s">
        <v>170</v>
      </c>
      <c r="BO158" s="38" t="s">
        <v>171</v>
      </c>
      <c r="BP158" s="38" t="s">
        <v>171</v>
      </c>
      <c r="BQ158" s="38" t="s">
        <v>171</v>
      </c>
      <c r="BR158" s="38" t="s">
        <v>170</v>
      </c>
      <c r="BS158" s="38" t="s">
        <v>171</v>
      </c>
      <c r="BT158" s="38" t="s">
        <v>170</v>
      </c>
      <c r="BU158" s="38" t="s">
        <v>171</v>
      </c>
      <c r="BV158" s="38" t="s">
        <v>170</v>
      </c>
      <c r="BW158" s="38" t="s">
        <v>170</v>
      </c>
      <c r="BX158" s="38" t="s">
        <v>171</v>
      </c>
    </row>
    <row r="159" customFormat="false" ht="15" hidden="false" customHeight="true" outlineLevel="0" collapsed="false">
      <c r="A159" s="38" t="s">
        <v>386</v>
      </c>
      <c r="B159" s="38" t="s">
        <v>411</v>
      </c>
      <c r="C159" s="38" t="s">
        <v>310</v>
      </c>
      <c r="D159" s="38" t="s">
        <v>18</v>
      </c>
      <c r="E159" s="38" t="s">
        <v>172</v>
      </c>
      <c r="F159" s="38" t="s">
        <v>169</v>
      </c>
      <c r="G159" s="38" t="s">
        <v>169</v>
      </c>
      <c r="H159" s="38" t="s">
        <v>169</v>
      </c>
      <c r="I159" s="38" t="s">
        <v>169</v>
      </c>
      <c r="J159" s="38" t="s">
        <v>170</v>
      </c>
      <c r="K159" s="38" t="s">
        <v>172</v>
      </c>
      <c r="L159" s="38" t="s">
        <v>171</v>
      </c>
      <c r="M159" s="38" t="s">
        <v>172</v>
      </c>
      <c r="N159" s="38" t="s">
        <v>169</v>
      </c>
      <c r="O159" s="38" t="s">
        <v>171</v>
      </c>
      <c r="P159" s="38" t="s">
        <v>171</v>
      </c>
      <c r="Q159" s="38" t="s">
        <v>170</v>
      </c>
      <c r="R159" s="38" t="s">
        <v>172</v>
      </c>
      <c r="S159" s="38" t="s">
        <v>169</v>
      </c>
      <c r="T159" s="38" t="s">
        <v>171</v>
      </c>
      <c r="U159" s="38" t="s">
        <v>172</v>
      </c>
      <c r="V159" s="38" t="s">
        <v>169</v>
      </c>
      <c r="W159" s="38" t="s">
        <v>169</v>
      </c>
      <c r="X159" s="38" t="s">
        <v>171</v>
      </c>
      <c r="Y159" s="38" t="s">
        <v>172</v>
      </c>
      <c r="Z159" s="38" t="s">
        <v>169</v>
      </c>
      <c r="AA159" s="38" t="s">
        <v>172</v>
      </c>
      <c r="AB159" s="38" t="s">
        <v>172</v>
      </c>
      <c r="AC159" s="38" t="s">
        <v>170</v>
      </c>
      <c r="AD159" s="38" t="s">
        <v>172</v>
      </c>
      <c r="AE159" s="38" t="s">
        <v>171</v>
      </c>
      <c r="AF159" s="38" t="s">
        <v>170</v>
      </c>
      <c r="AG159" s="38" t="s">
        <v>169</v>
      </c>
      <c r="AH159" s="38" t="s">
        <v>169</v>
      </c>
      <c r="AI159" s="38" t="s">
        <v>171</v>
      </c>
      <c r="AJ159" s="38" t="s">
        <v>170</v>
      </c>
      <c r="AK159" s="38" t="s">
        <v>171</v>
      </c>
      <c r="AL159" s="38" t="s">
        <v>171</v>
      </c>
      <c r="AM159" s="38" t="s">
        <v>170</v>
      </c>
      <c r="AN159" s="38" t="s">
        <v>172</v>
      </c>
      <c r="AO159" s="38" t="s">
        <v>172</v>
      </c>
      <c r="AP159" s="38" t="s">
        <v>172</v>
      </c>
      <c r="AQ159" s="38" t="s">
        <v>172</v>
      </c>
      <c r="AR159" s="38" t="s">
        <v>170</v>
      </c>
      <c r="AS159" s="38" t="s">
        <v>170</v>
      </c>
      <c r="AT159" s="38" t="s">
        <v>169</v>
      </c>
      <c r="AU159" s="38" t="s">
        <v>172</v>
      </c>
      <c r="AV159" s="38" t="s">
        <v>169</v>
      </c>
      <c r="AW159" s="38" t="s">
        <v>171</v>
      </c>
      <c r="AX159" s="38" t="s">
        <v>169</v>
      </c>
      <c r="AY159" s="38" t="s">
        <v>171</v>
      </c>
      <c r="AZ159" s="38" t="s">
        <v>170</v>
      </c>
      <c r="BA159" s="38" t="s">
        <v>172</v>
      </c>
      <c r="BB159" s="38" t="s">
        <v>170</v>
      </c>
      <c r="BC159" s="38" t="s">
        <v>169</v>
      </c>
      <c r="BD159" s="38" t="s">
        <v>172</v>
      </c>
      <c r="BE159" s="38" t="s">
        <v>169</v>
      </c>
      <c r="BF159" s="38" t="s">
        <v>171</v>
      </c>
      <c r="BG159" s="38" t="s">
        <v>171</v>
      </c>
      <c r="BH159" s="38" t="s">
        <v>170</v>
      </c>
      <c r="BI159" s="38" t="s">
        <v>169</v>
      </c>
      <c r="BJ159" s="38" t="s">
        <v>172</v>
      </c>
      <c r="BK159" s="38" t="s">
        <v>169</v>
      </c>
      <c r="BL159" s="38" t="s">
        <v>171</v>
      </c>
      <c r="BM159" s="38" t="s">
        <v>170</v>
      </c>
      <c r="BN159" s="38" t="s">
        <v>171</v>
      </c>
      <c r="BO159" s="38" t="s">
        <v>171</v>
      </c>
      <c r="BP159" s="38" t="s">
        <v>169</v>
      </c>
      <c r="BQ159" s="38" t="s">
        <v>171</v>
      </c>
      <c r="BR159" s="38" t="s">
        <v>171</v>
      </c>
      <c r="BS159" s="38" t="s">
        <v>169</v>
      </c>
      <c r="BT159" s="38" t="s">
        <v>170</v>
      </c>
      <c r="BU159" s="38" t="s">
        <v>170</v>
      </c>
      <c r="BV159" s="38" t="s">
        <v>170</v>
      </c>
      <c r="BW159" s="38" t="s">
        <v>170</v>
      </c>
      <c r="BX159" s="38" t="s">
        <v>171</v>
      </c>
    </row>
    <row r="160" customFormat="false" ht="15" hidden="false" customHeight="true" outlineLevel="0" collapsed="false">
      <c r="A160" s="38" t="s">
        <v>386</v>
      </c>
      <c r="B160" s="38" t="s">
        <v>412</v>
      </c>
      <c r="C160" s="38" t="s">
        <v>216</v>
      </c>
      <c r="D160" s="38" t="s">
        <v>187</v>
      </c>
      <c r="E160" s="38" t="s">
        <v>170</v>
      </c>
      <c r="F160" s="38" t="s">
        <v>169</v>
      </c>
      <c r="G160" s="38" t="s">
        <v>170</v>
      </c>
      <c r="H160" s="38" t="s">
        <v>169</v>
      </c>
      <c r="I160" s="38" t="s">
        <v>169</v>
      </c>
      <c r="J160" s="38" t="s">
        <v>169</v>
      </c>
      <c r="K160" s="38" t="s">
        <v>169</v>
      </c>
      <c r="L160" s="38" t="s">
        <v>171</v>
      </c>
      <c r="M160" s="38" t="s">
        <v>172</v>
      </c>
      <c r="N160" s="38" t="s">
        <v>169</v>
      </c>
      <c r="O160" s="38" t="s">
        <v>172</v>
      </c>
      <c r="P160" s="38" t="s">
        <v>169</v>
      </c>
      <c r="Q160" s="38" t="s">
        <v>170</v>
      </c>
      <c r="R160" s="38" t="s">
        <v>172</v>
      </c>
      <c r="S160" s="38" t="s">
        <v>169</v>
      </c>
      <c r="T160" s="38" t="s">
        <v>171</v>
      </c>
      <c r="U160" s="38" t="s">
        <v>171</v>
      </c>
      <c r="V160" s="38" t="s">
        <v>169</v>
      </c>
      <c r="W160" s="38" t="s">
        <v>169</v>
      </c>
      <c r="X160" s="38" t="s">
        <v>171</v>
      </c>
      <c r="Y160" s="38" t="s">
        <v>172</v>
      </c>
      <c r="Z160" s="38" t="s">
        <v>169</v>
      </c>
      <c r="AA160" s="38" t="s">
        <v>170</v>
      </c>
      <c r="AB160" s="38" t="s">
        <v>171</v>
      </c>
      <c r="AC160" s="38" t="s">
        <v>170</v>
      </c>
      <c r="AD160" s="38" t="s">
        <v>169</v>
      </c>
      <c r="AE160" s="38" t="s">
        <v>170</v>
      </c>
      <c r="AF160" s="38" t="s">
        <v>170</v>
      </c>
      <c r="AG160" s="38" t="s">
        <v>169</v>
      </c>
      <c r="AH160" s="38" t="s">
        <v>169</v>
      </c>
      <c r="AI160" s="38" t="s">
        <v>169</v>
      </c>
      <c r="AJ160" s="38" t="s">
        <v>170</v>
      </c>
      <c r="AK160" s="38" t="s">
        <v>171</v>
      </c>
      <c r="AL160" s="38" t="s">
        <v>170</v>
      </c>
      <c r="AM160" s="38" t="s">
        <v>172</v>
      </c>
      <c r="AN160" s="38" t="s">
        <v>171</v>
      </c>
      <c r="AO160" s="38" t="s">
        <v>172</v>
      </c>
      <c r="AP160" s="38" t="s">
        <v>172</v>
      </c>
      <c r="AQ160" s="38" t="s">
        <v>170</v>
      </c>
      <c r="AR160" s="38" t="s">
        <v>170</v>
      </c>
      <c r="AS160" s="38" t="s">
        <v>170</v>
      </c>
      <c r="AT160" s="38" t="s">
        <v>169</v>
      </c>
      <c r="AU160" s="38" t="s">
        <v>169</v>
      </c>
      <c r="AV160" s="38" t="s">
        <v>172</v>
      </c>
      <c r="AW160" s="38" t="s">
        <v>169</v>
      </c>
      <c r="AX160" s="38" t="s">
        <v>169</v>
      </c>
      <c r="AY160" s="38" t="s">
        <v>171</v>
      </c>
      <c r="AZ160" s="38" t="s">
        <v>170</v>
      </c>
      <c r="BA160" s="38" t="s">
        <v>169</v>
      </c>
      <c r="BB160" s="38" t="s">
        <v>170</v>
      </c>
      <c r="BC160" s="38" t="s">
        <v>172</v>
      </c>
      <c r="BD160" s="38" t="s">
        <v>169</v>
      </c>
      <c r="BE160" s="38" t="s">
        <v>169</v>
      </c>
      <c r="BF160" s="38" t="s">
        <v>171</v>
      </c>
      <c r="BG160" s="38" t="s">
        <v>171</v>
      </c>
      <c r="BH160" s="38" t="s">
        <v>170</v>
      </c>
      <c r="BI160" s="38" t="s">
        <v>169</v>
      </c>
      <c r="BJ160" s="38" t="s">
        <v>172</v>
      </c>
      <c r="BK160" s="38" t="s">
        <v>169</v>
      </c>
      <c r="BL160" s="38" t="s">
        <v>171</v>
      </c>
      <c r="BM160" s="38" t="s">
        <v>170</v>
      </c>
      <c r="BN160" s="38" t="s">
        <v>170</v>
      </c>
      <c r="BO160" s="38" t="s">
        <v>171</v>
      </c>
      <c r="BP160" s="38" t="s">
        <v>169</v>
      </c>
      <c r="BQ160" s="38" t="s">
        <v>170</v>
      </c>
      <c r="BR160" s="38" t="s">
        <v>170</v>
      </c>
      <c r="BS160" s="38" t="s">
        <v>170</v>
      </c>
      <c r="BT160" s="38" t="s">
        <v>170</v>
      </c>
      <c r="BU160" s="38" t="s">
        <v>170</v>
      </c>
      <c r="BV160" s="38" t="s">
        <v>169</v>
      </c>
      <c r="BW160" s="38" t="s">
        <v>170</v>
      </c>
      <c r="BX160" s="38" t="s">
        <v>172</v>
      </c>
    </row>
    <row r="161" customFormat="false" ht="15" hidden="false" customHeight="true" outlineLevel="0" collapsed="false">
      <c r="A161" s="38" t="s">
        <v>386</v>
      </c>
      <c r="B161" s="38" t="s">
        <v>413</v>
      </c>
      <c r="C161" s="38" t="s">
        <v>216</v>
      </c>
      <c r="D161" s="38" t="s">
        <v>187</v>
      </c>
      <c r="E161" s="38" t="s">
        <v>170</v>
      </c>
      <c r="F161" s="38" t="s">
        <v>169</v>
      </c>
      <c r="G161" s="38" t="s">
        <v>170</v>
      </c>
      <c r="H161" s="38" t="s">
        <v>169</v>
      </c>
      <c r="I161" s="38" t="s">
        <v>169</v>
      </c>
      <c r="J161" s="38" t="s">
        <v>169</v>
      </c>
      <c r="K161" s="38" t="s">
        <v>169</v>
      </c>
      <c r="L161" s="38" t="s">
        <v>171</v>
      </c>
      <c r="M161" s="38" t="s">
        <v>172</v>
      </c>
      <c r="N161" s="38" t="s">
        <v>169</v>
      </c>
      <c r="O161" s="38" t="s">
        <v>172</v>
      </c>
      <c r="P161" s="38" t="s">
        <v>169</v>
      </c>
      <c r="Q161" s="38" t="s">
        <v>170</v>
      </c>
      <c r="R161" s="38" t="s">
        <v>172</v>
      </c>
      <c r="S161" s="38" t="s">
        <v>169</v>
      </c>
      <c r="T161" s="38" t="s">
        <v>171</v>
      </c>
      <c r="U161" s="38" t="s">
        <v>171</v>
      </c>
      <c r="V161" s="38" t="s">
        <v>169</v>
      </c>
      <c r="W161" s="38" t="s">
        <v>169</v>
      </c>
      <c r="X161" s="38" t="s">
        <v>171</v>
      </c>
      <c r="Y161" s="38" t="s">
        <v>172</v>
      </c>
      <c r="Z161" s="38" t="s">
        <v>169</v>
      </c>
      <c r="AA161" s="38" t="s">
        <v>170</v>
      </c>
      <c r="AB161" s="38" t="s">
        <v>171</v>
      </c>
      <c r="AC161" s="38" t="s">
        <v>170</v>
      </c>
      <c r="AD161" s="38" t="s">
        <v>169</v>
      </c>
      <c r="AE161" s="38" t="s">
        <v>170</v>
      </c>
      <c r="AF161" s="38" t="s">
        <v>170</v>
      </c>
      <c r="AG161" s="38" t="s">
        <v>169</v>
      </c>
      <c r="AH161" s="38" t="s">
        <v>169</v>
      </c>
      <c r="AI161" s="38" t="s">
        <v>169</v>
      </c>
      <c r="AJ161" s="38" t="s">
        <v>170</v>
      </c>
      <c r="AK161" s="38" t="s">
        <v>171</v>
      </c>
      <c r="AL161" s="38" t="s">
        <v>170</v>
      </c>
      <c r="AM161" s="38" t="s">
        <v>172</v>
      </c>
      <c r="AN161" s="38" t="s">
        <v>171</v>
      </c>
      <c r="AO161" s="38" t="s">
        <v>172</v>
      </c>
      <c r="AP161" s="38" t="s">
        <v>172</v>
      </c>
      <c r="AQ161" s="38" t="s">
        <v>170</v>
      </c>
      <c r="AR161" s="38" t="s">
        <v>170</v>
      </c>
      <c r="AS161" s="38" t="s">
        <v>170</v>
      </c>
      <c r="AT161" s="38" t="s">
        <v>169</v>
      </c>
      <c r="AU161" s="38" t="s">
        <v>169</v>
      </c>
      <c r="AV161" s="38" t="s">
        <v>172</v>
      </c>
      <c r="AW161" s="38" t="s">
        <v>169</v>
      </c>
      <c r="AX161" s="38" t="s">
        <v>169</v>
      </c>
      <c r="AY161" s="38" t="s">
        <v>170</v>
      </c>
      <c r="AZ161" s="38" t="s">
        <v>170</v>
      </c>
      <c r="BA161" s="38" t="s">
        <v>169</v>
      </c>
      <c r="BB161" s="38" t="s">
        <v>170</v>
      </c>
      <c r="BC161" s="38" t="s">
        <v>172</v>
      </c>
      <c r="BD161" s="38" t="s">
        <v>169</v>
      </c>
      <c r="BE161" s="38" t="s">
        <v>169</v>
      </c>
      <c r="BF161" s="38" t="s">
        <v>171</v>
      </c>
      <c r="BG161" s="38" t="s">
        <v>171</v>
      </c>
      <c r="BH161" s="38" t="s">
        <v>170</v>
      </c>
      <c r="BI161" s="38" t="s">
        <v>169</v>
      </c>
      <c r="BJ161" s="38" t="s">
        <v>172</v>
      </c>
      <c r="BK161" s="38" t="s">
        <v>169</v>
      </c>
      <c r="BL161" s="38" t="s">
        <v>171</v>
      </c>
      <c r="BM161" s="38" t="s">
        <v>170</v>
      </c>
      <c r="BN161" s="38" t="s">
        <v>170</v>
      </c>
      <c r="BO161" s="38" t="s">
        <v>171</v>
      </c>
      <c r="BP161" s="38" t="s">
        <v>169</v>
      </c>
      <c r="BQ161" s="38" t="s">
        <v>170</v>
      </c>
      <c r="BR161" s="38" t="s">
        <v>170</v>
      </c>
      <c r="BS161" s="38" t="s">
        <v>170</v>
      </c>
      <c r="BT161" s="38" t="s">
        <v>170</v>
      </c>
      <c r="BU161" s="38" t="s">
        <v>170</v>
      </c>
      <c r="BV161" s="38" t="s">
        <v>169</v>
      </c>
      <c r="BW161" s="38" t="s">
        <v>170</v>
      </c>
      <c r="BX161" s="38" t="s">
        <v>172</v>
      </c>
    </row>
    <row r="162" customFormat="false" ht="15" hidden="false" customHeight="true" outlineLevel="0" collapsed="false">
      <c r="A162" s="38" t="s">
        <v>386</v>
      </c>
      <c r="B162" s="38" t="s">
        <v>414</v>
      </c>
      <c r="C162" s="38" t="s">
        <v>202</v>
      </c>
      <c r="D162" s="38" t="s">
        <v>235</v>
      </c>
      <c r="E162" s="38" t="s">
        <v>169</v>
      </c>
      <c r="F162" s="38" t="s">
        <v>169</v>
      </c>
      <c r="G162" s="38" t="s">
        <v>169</v>
      </c>
      <c r="H162" s="38" t="s">
        <v>170</v>
      </c>
      <c r="I162" s="38" t="s">
        <v>170</v>
      </c>
      <c r="J162" s="38" t="s">
        <v>170</v>
      </c>
      <c r="K162" s="38" t="s">
        <v>171</v>
      </c>
      <c r="L162" s="38" t="s">
        <v>171</v>
      </c>
      <c r="M162" s="38" t="s">
        <v>172</v>
      </c>
      <c r="N162" s="38" t="s">
        <v>169</v>
      </c>
      <c r="O162" s="38" t="s">
        <v>170</v>
      </c>
      <c r="P162" s="38" t="s">
        <v>171</v>
      </c>
      <c r="Q162" s="38" t="s">
        <v>170</v>
      </c>
      <c r="R162" s="38" t="s">
        <v>172</v>
      </c>
      <c r="S162" s="38" t="s">
        <v>169</v>
      </c>
      <c r="T162" s="38" t="s">
        <v>170</v>
      </c>
      <c r="U162" s="38" t="s">
        <v>171</v>
      </c>
      <c r="V162" s="38" t="s">
        <v>169</v>
      </c>
      <c r="W162" s="38" t="s">
        <v>169</v>
      </c>
      <c r="X162" s="38" t="s">
        <v>169</v>
      </c>
      <c r="Y162" s="38" t="s">
        <v>172</v>
      </c>
      <c r="Z162" s="38" t="s">
        <v>169</v>
      </c>
      <c r="AA162" s="38" t="s">
        <v>172</v>
      </c>
      <c r="AB162" s="38" t="s">
        <v>169</v>
      </c>
      <c r="AC162" s="38" t="s">
        <v>170</v>
      </c>
      <c r="AD162" s="38" t="s">
        <v>172</v>
      </c>
      <c r="AE162" s="38" t="s">
        <v>170</v>
      </c>
      <c r="AF162" s="38" t="s">
        <v>170</v>
      </c>
      <c r="AG162" s="38" t="s">
        <v>171</v>
      </c>
      <c r="AH162" s="38" t="s">
        <v>169</v>
      </c>
      <c r="AI162" s="38" t="s">
        <v>170</v>
      </c>
      <c r="AJ162" s="38" t="s">
        <v>170</v>
      </c>
      <c r="AK162" s="38" t="s">
        <v>171</v>
      </c>
      <c r="AL162" s="38" t="s">
        <v>171</v>
      </c>
      <c r="AM162" s="38" t="s">
        <v>169</v>
      </c>
      <c r="AN162" s="38" t="s">
        <v>170</v>
      </c>
      <c r="AO162" s="38" t="s">
        <v>172</v>
      </c>
      <c r="AP162" s="38" t="s">
        <v>170</v>
      </c>
      <c r="AQ162" s="38" t="s">
        <v>169</v>
      </c>
      <c r="AR162" s="38" t="s">
        <v>170</v>
      </c>
      <c r="AS162" s="38" t="s">
        <v>172</v>
      </c>
      <c r="AT162" s="38" t="s">
        <v>169</v>
      </c>
      <c r="AU162" s="38" t="s">
        <v>169</v>
      </c>
      <c r="AV162" s="38" t="s">
        <v>169</v>
      </c>
      <c r="AW162" s="38" t="s">
        <v>169</v>
      </c>
      <c r="AX162" s="38" t="s">
        <v>169</v>
      </c>
      <c r="AY162" s="38" t="s">
        <v>171</v>
      </c>
      <c r="AZ162" s="38" t="s">
        <v>170</v>
      </c>
      <c r="BA162" s="38" t="s">
        <v>169</v>
      </c>
      <c r="BB162" s="38" t="s">
        <v>172</v>
      </c>
      <c r="BC162" s="38" t="s">
        <v>170</v>
      </c>
      <c r="BD162" s="38" t="s">
        <v>169</v>
      </c>
      <c r="BE162" s="38" t="s">
        <v>169</v>
      </c>
      <c r="BF162" s="38" t="s">
        <v>171</v>
      </c>
      <c r="BG162" s="38" t="s">
        <v>171</v>
      </c>
      <c r="BH162" s="38" t="s">
        <v>170</v>
      </c>
      <c r="BI162" s="38" t="s">
        <v>169</v>
      </c>
      <c r="BJ162" s="38" t="s">
        <v>172</v>
      </c>
      <c r="BK162" s="38" t="s">
        <v>171</v>
      </c>
      <c r="BL162" s="38" t="s">
        <v>170</v>
      </c>
      <c r="BM162" s="38" t="s">
        <v>170</v>
      </c>
      <c r="BN162" s="38" t="s">
        <v>170</v>
      </c>
      <c r="BO162" s="38" t="s">
        <v>169</v>
      </c>
      <c r="BP162" s="38" t="s">
        <v>171</v>
      </c>
      <c r="BQ162" s="38" t="s">
        <v>171</v>
      </c>
      <c r="BR162" s="38" t="s">
        <v>172</v>
      </c>
      <c r="BS162" s="38" t="s">
        <v>169</v>
      </c>
      <c r="BT162" s="38" t="s">
        <v>169</v>
      </c>
      <c r="BU162" s="38" t="s">
        <v>169</v>
      </c>
      <c r="BV162" s="38" t="s">
        <v>171</v>
      </c>
      <c r="BW162" s="38" t="s">
        <v>170</v>
      </c>
      <c r="BX162" s="38" t="s">
        <v>170</v>
      </c>
    </row>
    <row r="163" customFormat="false" ht="15" hidden="false" customHeight="true" outlineLevel="0" collapsed="false">
      <c r="A163" s="38" t="s">
        <v>386</v>
      </c>
      <c r="B163" s="38" t="s">
        <v>415</v>
      </c>
      <c r="C163" s="38" t="s">
        <v>211</v>
      </c>
      <c r="D163" s="38" t="s">
        <v>293</v>
      </c>
      <c r="E163" s="38" t="s">
        <v>169</v>
      </c>
      <c r="F163" s="38" t="s">
        <v>170</v>
      </c>
      <c r="G163" s="38" t="s">
        <v>172</v>
      </c>
      <c r="H163" s="38" t="s">
        <v>169</v>
      </c>
      <c r="I163" s="38" t="s">
        <v>169</v>
      </c>
      <c r="J163" s="38" t="s">
        <v>171</v>
      </c>
      <c r="K163" s="38" t="s">
        <v>169</v>
      </c>
      <c r="L163" s="38" t="s">
        <v>171</v>
      </c>
      <c r="M163" s="38" t="s">
        <v>172</v>
      </c>
      <c r="N163" s="38" t="s">
        <v>169</v>
      </c>
      <c r="O163" s="38" t="s">
        <v>171</v>
      </c>
      <c r="P163" s="38" t="s">
        <v>171</v>
      </c>
      <c r="Q163" s="38" t="s">
        <v>171</v>
      </c>
      <c r="R163" s="38" t="s">
        <v>172</v>
      </c>
      <c r="S163" s="38" t="s">
        <v>172</v>
      </c>
      <c r="T163" s="40" t="s">
        <v>176</v>
      </c>
      <c r="U163" s="38" t="s">
        <v>171</v>
      </c>
      <c r="V163" s="38" t="s">
        <v>169</v>
      </c>
      <c r="W163" s="38" t="s">
        <v>169</v>
      </c>
      <c r="X163" s="38" t="s">
        <v>170</v>
      </c>
      <c r="Y163" s="38" t="s">
        <v>172</v>
      </c>
      <c r="Z163" s="38" t="s">
        <v>169</v>
      </c>
      <c r="AA163" s="38" t="s">
        <v>172</v>
      </c>
      <c r="AB163" s="38" t="s">
        <v>172</v>
      </c>
      <c r="AC163" s="38" t="s">
        <v>170</v>
      </c>
      <c r="AD163" s="38" t="s">
        <v>171</v>
      </c>
      <c r="AE163" s="38" t="s">
        <v>171</v>
      </c>
      <c r="AF163" s="38" t="s">
        <v>170</v>
      </c>
      <c r="AG163" s="38" t="s">
        <v>172</v>
      </c>
      <c r="AH163" s="38" t="s">
        <v>169</v>
      </c>
      <c r="AI163" s="38" t="s">
        <v>170</v>
      </c>
      <c r="AJ163" s="38" t="s">
        <v>170</v>
      </c>
      <c r="AK163" s="38" t="s">
        <v>171</v>
      </c>
      <c r="AL163" s="38" t="s">
        <v>171</v>
      </c>
      <c r="AM163" s="38" t="s">
        <v>170</v>
      </c>
      <c r="AN163" s="38" t="s">
        <v>170</v>
      </c>
      <c r="AO163" s="38" t="s">
        <v>172</v>
      </c>
      <c r="AP163" s="38" t="s">
        <v>172</v>
      </c>
      <c r="AQ163" s="38" t="s">
        <v>169</v>
      </c>
      <c r="AR163" s="38" t="s">
        <v>170</v>
      </c>
      <c r="AS163" s="38" t="s">
        <v>171</v>
      </c>
      <c r="AT163" s="38" t="s">
        <v>169</v>
      </c>
      <c r="AU163" s="38" t="s">
        <v>172</v>
      </c>
      <c r="AV163" s="38" t="s">
        <v>171</v>
      </c>
      <c r="AW163" s="38" t="s">
        <v>171</v>
      </c>
      <c r="AX163" s="40" t="s">
        <v>176</v>
      </c>
      <c r="AY163" s="38" t="s">
        <v>169</v>
      </c>
      <c r="AZ163" s="38" t="s">
        <v>171</v>
      </c>
      <c r="BA163" s="38" t="s">
        <v>169</v>
      </c>
      <c r="BB163" s="38" t="s">
        <v>172</v>
      </c>
      <c r="BC163" s="38" t="s">
        <v>169</v>
      </c>
      <c r="BD163" s="38" t="s">
        <v>169</v>
      </c>
      <c r="BE163" s="38" t="s">
        <v>169</v>
      </c>
      <c r="BF163" s="38" t="s">
        <v>171</v>
      </c>
      <c r="BG163" s="38" t="s">
        <v>171</v>
      </c>
      <c r="BH163" s="38" t="s">
        <v>170</v>
      </c>
      <c r="BI163" s="38" t="s">
        <v>169</v>
      </c>
      <c r="BJ163" s="38" t="s">
        <v>172</v>
      </c>
      <c r="BK163" s="38" t="s">
        <v>171</v>
      </c>
      <c r="BL163" s="38" t="s">
        <v>171</v>
      </c>
      <c r="BM163" s="38" t="s">
        <v>170</v>
      </c>
      <c r="BN163" s="38" t="s">
        <v>170</v>
      </c>
      <c r="BO163" s="38" t="s">
        <v>170</v>
      </c>
      <c r="BP163" s="38" t="s">
        <v>171</v>
      </c>
      <c r="BQ163" s="38" t="s">
        <v>171</v>
      </c>
      <c r="BR163" s="38" t="s">
        <v>170</v>
      </c>
      <c r="BS163" s="38" t="s">
        <v>172</v>
      </c>
      <c r="BT163" s="38" t="s">
        <v>170</v>
      </c>
      <c r="BU163" s="38" t="s">
        <v>170</v>
      </c>
      <c r="BV163" s="38" t="s">
        <v>171</v>
      </c>
      <c r="BW163" s="38" t="s">
        <v>169</v>
      </c>
      <c r="BX163" s="38" t="s">
        <v>170</v>
      </c>
    </row>
    <row r="164" customFormat="false" ht="15" hidden="false" customHeight="true" outlineLevel="0" collapsed="false">
      <c r="A164" s="38" t="s">
        <v>386</v>
      </c>
      <c r="B164" s="38" t="s">
        <v>416</v>
      </c>
      <c r="C164" s="38" t="s">
        <v>216</v>
      </c>
      <c r="D164" s="38" t="s">
        <v>217</v>
      </c>
      <c r="E164" s="38" t="s">
        <v>170</v>
      </c>
      <c r="F164" s="38" t="s">
        <v>169</v>
      </c>
      <c r="G164" s="38" t="s">
        <v>169</v>
      </c>
      <c r="H164" s="38" t="s">
        <v>172</v>
      </c>
      <c r="I164" s="38" t="s">
        <v>172</v>
      </c>
      <c r="J164" s="38" t="s">
        <v>171</v>
      </c>
      <c r="K164" s="38" t="s">
        <v>172</v>
      </c>
      <c r="L164" s="38" t="s">
        <v>171</v>
      </c>
      <c r="M164" s="38" t="s">
        <v>172</v>
      </c>
      <c r="N164" s="38" t="s">
        <v>169</v>
      </c>
      <c r="O164" s="38" t="s">
        <v>170</v>
      </c>
      <c r="P164" s="38" t="s">
        <v>171</v>
      </c>
      <c r="Q164" s="38" t="s">
        <v>170</v>
      </c>
      <c r="R164" s="38" t="s">
        <v>172</v>
      </c>
      <c r="S164" s="38" t="s">
        <v>169</v>
      </c>
      <c r="T164" s="38" t="s">
        <v>170</v>
      </c>
      <c r="U164" s="38" t="s">
        <v>171</v>
      </c>
      <c r="V164" s="38" t="s">
        <v>169</v>
      </c>
      <c r="W164" s="38" t="s">
        <v>169</v>
      </c>
      <c r="X164" s="38" t="s">
        <v>171</v>
      </c>
      <c r="Y164" s="38" t="s">
        <v>172</v>
      </c>
      <c r="Z164" s="38" t="s">
        <v>169</v>
      </c>
      <c r="AA164" s="38" t="s">
        <v>172</v>
      </c>
      <c r="AB164" s="38" t="s">
        <v>169</v>
      </c>
      <c r="AC164" s="38" t="s">
        <v>170</v>
      </c>
      <c r="AD164" s="38" t="s">
        <v>172</v>
      </c>
      <c r="AE164" s="38" t="s">
        <v>171</v>
      </c>
      <c r="AF164" s="38" t="s">
        <v>171</v>
      </c>
      <c r="AG164" s="38" t="s">
        <v>170</v>
      </c>
      <c r="AH164" s="38" t="s">
        <v>170</v>
      </c>
      <c r="AI164" s="38" t="s">
        <v>169</v>
      </c>
      <c r="AJ164" s="38" t="s">
        <v>170</v>
      </c>
      <c r="AK164" s="38" t="s">
        <v>171</v>
      </c>
      <c r="AL164" s="38" t="s">
        <v>169</v>
      </c>
      <c r="AM164" s="38" t="s">
        <v>172</v>
      </c>
      <c r="AN164" s="38" t="s">
        <v>171</v>
      </c>
      <c r="AO164" s="38" t="s">
        <v>172</v>
      </c>
      <c r="AP164" s="38" t="s">
        <v>172</v>
      </c>
      <c r="AQ164" s="38" t="s">
        <v>170</v>
      </c>
      <c r="AR164" s="38" t="s">
        <v>169</v>
      </c>
      <c r="AS164" s="38" t="s">
        <v>169</v>
      </c>
      <c r="AT164" s="38" t="s">
        <v>172</v>
      </c>
      <c r="AU164" s="38" t="s">
        <v>169</v>
      </c>
      <c r="AV164" s="38" t="s">
        <v>172</v>
      </c>
      <c r="AW164" s="38" t="s">
        <v>169</v>
      </c>
      <c r="AX164" s="38" t="s">
        <v>169</v>
      </c>
      <c r="AY164" s="38" t="s">
        <v>171</v>
      </c>
      <c r="AZ164" s="38" t="s">
        <v>170</v>
      </c>
      <c r="BA164" s="38" t="s">
        <v>169</v>
      </c>
      <c r="BB164" s="38" t="s">
        <v>171</v>
      </c>
      <c r="BC164" s="38" t="s">
        <v>171</v>
      </c>
      <c r="BD164" s="38" t="s">
        <v>169</v>
      </c>
      <c r="BE164" s="38" t="s">
        <v>169</v>
      </c>
      <c r="BF164" s="38" t="s">
        <v>171</v>
      </c>
      <c r="BG164" s="38" t="s">
        <v>171</v>
      </c>
      <c r="BH164" s="38" t="s">
        <v>170</v>
      </c>
      <c r="BI164" s="38" t="s">
        <v>172</v>
      </c>
      <c r="BJ164" s="38" t="s">
        <v>172</v>
      </c>
      <c r="BK164" s="38" t="s">
        <v>169</v>
      </c>
      <c r="BL164" s="38" t="s">
        <v>171</v>
      </c>
      <c r="BM164" s="38" t="s">
        <v>170</v>
      </c>
      <c r="BN164" s="38" t="s">
        <v>170</v>
      </c>
      <c r="BO164" s="38" t="s">
        <v>172</v>
      </c>
      <c r="BP164" s="38" t="s">
        <v>172</v>
      </c>
      <c r="BQ164" s="38" t="s">
        <v>171</v>
      </c>
      <c r="BR164" s="38" t="s">
        <v>171</v>
      </c>
      <c r="BS164" s="38" t="s">
        <v>172</v>
      </c>
      <c r="BT164" s="38" t="s">
        <v>171</v>
      </c>
      <c r="BU164" s="38" t="s">
        <v>171</v>
      </c>
      <c r="BV164" s="38" t="s">
        <v>170</v>
      </c>
      <c r="BW164" s="38" t="s">
        <v>170</v>
      </c>
      <c r="BX164" s="38" t="s">
        <v>169</v>
      </c>
    </row>
    <row r="165" customFormat="false" ht="15" hidden="false" customHeight="true" outlineLevel="0" collapsed="false">
      <c r="A165" s="38" t="s">
        <v>386</v>
      </c>
      <c r="B165" s="38" t="s">
        <v>417</v>
      </c>
      <c r="C165" s="38" t="s">
        <v>216</v>
      </c>
      <c r="D165" s="38" t="s">
        <v>217</v>
      </c>
      <c r="E165" s="38" t="s">
        <v>170</v>
      </c>
      <c r="F165" s="38" t="s">
        <v>169</v>
      </c>
      <c r="G165" s="38" t="s">
        <v>169</v>
      </c>
      <c r="H165" s="38" t="s">
        <v>172</v>
      </c>
      <c r="I165" s="38" t="s">
        <v>172</v>
      </c>
      <c r="J165" s="38" t="s">
        <v>171</v>
      </c>
      <c r="K165" s="38" t="s">
        <v>172</v>
      </c>
      <c r="L165" s="38" t="s">
        <v>171</v>
      </c>
      <c r="M165" s="38" t="s">
        <v>172</v>
      </c>
      <c r="N165" s="38" t="s">
        <v>169</v>
      </c>
      <c r="O165" s="38" t="s">
        <v>170</v>
      </c>
      <c r="P165" s="38" t="s">
        <v>171</v>
      </c>
      <c r="Q165" s="38" t="s">
        <v>170</v>
      </c>
      <c r="R165" s="38" t="s">
        <v>172</v>
      </c>
      <c r="S165" s="38" t="s">
        <v>169</v>
      </c>
      <c r="T165" s="38" t="s">
        <v>170</v>
      </c>
      <c r="U165" s="38" t="s">
        <v>171</v>
      </c>
      <c r="V165" s="38" t="s">
        <v>169</v>
      </c>
      <c r="W165" s="38" t="s">
        <v>169</v>
      </c>
      <c r="X165" s="38" t="s">
        <v>171</v>
      </c>
      <c r="Y165" s="38" t="s">
        <v>172</v>
      </c>
      <c r="Z165" s="38" t="s">
        <v>169</v>
      </c>
      <c r="AA165" s="38" t="s">
        <v>172</v>
      </c>
      <c r="AB165" s="38" t="s">
        <v>169</v>
      </c>
      <c r="AC165" s="38" t="s">
        <v>170</v>
      </c>
      <c r="AD165" s="38" t="s">
        <v>172</v>
      </c>
      <c r="AE165" s="38" t="s">
        <v>171</v>
      </c>
      <c r="AF165" s="38" t="s">
        <v>171</v>
      </c>
      <c r="AG165" s="38" t="s">
        <v>170</v>
      </c>
      <c r="AH165" s="38" t="s">
        <v>170</v>
      </c>
      <c r="AI165" s="38" t="s">
        <v>169</v>
      </c>
      <c r="AJ165" s="38" t="s">
        <v>170</v>
      </c>
      <c r="AK165" s="38" t="s">
        <v>171</v>
      </c>
      <c r="AL165" s="38" t="s">
        <v>169</v>
      </c>
      <c r="AM165" s="38" t="s">
        <v>172</v>
      </c>
      <c r="AN165" s="38" t="s">
        <v>171</v>
      </c>
      <c r="AO165" s="38" t="s">
        <v>172</v>
      </c>
      <c r="AP165" s="38" t="s">
        <v>172</v>
      </c>
      <c r="AQ165" s="38" t="s">
        <v>170</v>
      </c>
      <c r="AR165" s="38" t="s">
        <v>169</v>
      </c>
      <c r="AS165" s="38" t="s">
        <v>169</v>
      </c>
      <c r="AT165" s="38" t="s">
        <v>172</v>
      </c>
      <c r="AU165" s="38" t="s">
        <v>169</v>
      </c>
      <c r="AV165" s="38" t="s">
        <v>172</v>
      </c>
      <c r="AW165" s="38" t="s">
        <v>169</v>
      </c>
      <c r="AX165" s="38" t="s">
        <v>169</v>
      </c>
      <c r="AY165" s="38" t="s">
        <v>171</v>
      </c>
      <c r="AZ165" s="38" t="s">
        <v>170</v>
      </c>
      <c r="BA165" s="38" t="s">
        <v>169</v>
      </c>
      <c r="BB165" s="38" t="s">
        <v>171</v>
      </c>
      <c r="BC165" s="38" t="s">
        <v>171</v>
      </c>
      <c r="BD165" s="38" t="s">
        <v>169</v>
      </c>
      <c r="BE165" s="38" t="s">
        <v>169</v>
      </c>
      <c r="BF165" s="38" t="s">
        <v>171</v>
      </c>
      <c r="BG165" s="38" t="s">
        <v>171</v>
      </c>
      <c r="BH165" s="38" t="s">
        <v>170</v>
      </c>
      <c r="BI165" s="38" t="s">
        <v>172</v>
      </c>
      <c r="BJ165" s="38" t="s">
        <v>172</v>
      </c>
      <c r="BK165" s="38" t="s">
        <v>169</v>
      </c>
      <c r="BL165" s="38" t="s">
        <v>171</v>
      </c>
      <c r="BM165" s="38" t="s">
        <v>170</v>
      </c>
      <c r="BN165" s="38" t="s">
        <v>170</v>
      </c>
      <c r="BO165" s="38" t="s">
        <v>172</v>
      </c>
      <c r="BP165" s="38" t="s">
        <v>172</v>
      </c>
      <c r="BQ165" s="38" t="s">
        <v>171</v>
      </c>
      <c r="BR165" s="38" t="s">
        <v>171</v>
      </c>
      <c r="BS165" s="38" t="s">
        <v>172</v>
      </c>
      <c r="BT165" s="38" t="s">
        <v>171</v>
      </c>
      <c r="BU165" s="38" t="s">
        <v>171</v>
      </c>
      <c r="BV165" s="38" t="s">
        <v>170</v>
      </c>
      <c r="BW165" s="38" t="s">
        <v>170</v>
      </c>
      <c r="BX165" s="38" t="s">
        <v>169</v>
      </c>
    </row>
    <row r="166" customFormat="false" ht="15" hidden="false" customHeight="true" outlineLevel="0" collapsed="false">
      <c r="A166" s="38" t="s">
        <v>386</v>
      </c>
      <c r="B166" s="38" t="s">
        <v>418</v>
      </c>
      <c r="C166" s="38" t="s">
        <v>219</v>
      </c>
      <c r="D166" s="38" t="s">
        <v>243</v>
      </c>
      <c r="E166" s="38" t="s">
        <v>170</v>
      </c>
      <c r="F166" s="38" t="s">
        <v>169</v>
      </c>
      <c r="G166" s="38" t="s">
        <v>169</v>
      </c>
      <c r="H166" s="38" t="s">
        <v>169</v>
      </c>
      <c r="I166" s="38" t="s">
        <v>172</v>
      </c>
      <c r="J166" s="38" t="s">
        <v>172</v>
      </c>
      <c r="K166" s="38" t="s">
        <v>169</v>
      </c>
      <c r="L166" s="38" t="s">
        <v>171</v>
      </c>
      <c r="M166" s="38" t="s">
        <v>169</v>
      </c>
      <c r="N166" s="38" t="s">
        <v>169</v>
      </c>
      <c r="O166" s="38" t="s">
        <v>170</v>
      </c>
      <c r="P166" s="38" t="s">
        <v>171</v>
      </c>
      <c r="Q166" s="38" t="s">
        <v>170</v>
      </c>
      <c r="R166" s="38" t="s">
        <v>172</v>
      </c>
      <c r="S166" s="38" t="s">
        <v>169</v>
      </c>
      <c r="T166" s="38" t="s">
        <v>171</v>
      </c>
      <c r="U166" s="38" t="s">
        <v>171</v>
      </c>
      <c r="V166" s="38" t="s">
        <v>169</v>
      </c>
      <c r="W166" s="38" t="s">
        <v>169</v>
      </c>
      <c r="X166" s="38" t="s">
        <v>171</v>
      </c>
      <c r="Y166" s="38" t="s">
        <v>172</v>
      </c>
      <c r="Z166" s="38" t="s">
        <v>169</v>
      </c>
      <c r="AA166" s="38" t="s">
        <v>172</v>
      </c>
      <c r="AB166" s="38" t="s">
        <v>169</v>
      </c>
      <c r="AC166" s="38" t="s">
        <v>170</v>
      </c>
      <c r="AD166" s="38" t="s">
        <v>172</v>
      </c>
      <c r="AE166" s="38" t="s">
        <v>171</v>
      </c>
      <c r="AF166" s="38" t="s">
        <v>171</v>
      </c>
      <c r="AG166" s="38" t="s">
        <v>170</v>
      </c>
      <c r="AH166" s="38" t="s">
        <v>169</v>
      </c>
      <c r="AI166" s="38" t="s">
        <v>169</v>
      </c>
      <c r="AJ166" s="38" t="s">
        <v>171</v>
      </c>
      <c r="AK166" s="38" t="s">
        <v>171</v>
      </c>
      <c r="AL166" s="38" t="s">
        <v>171</v>
      </c>
      <c r="AM166" s="38" t="s">
        <v>169</v>
      </c>
      <c r="AN166" s="38" t="s">
        <v>169</v>
      </c>
      <c r="AO166" s="38" t="s">
        <v>169</v>
      </c>
      <c r="AP166" s="38" t="s">
        <v>172</v>
      </c>
      <c r="AQ166" s="38" t="s">
        <v>170</v>
      </c>
      <c r="AR166" s="38" t="s">
        <v>170</v>
      </c>
      <c r="AS166" s="38" t="s">
        <v>169</v>
      </c>
      <c r="AT166" s="38" t="s">
        <v>172</v>
      </c>
      <c r="AU166" s="38" t="s">
        <v>172</v>
      </c>
      <c r="AV166" s="38" t="s">
        <v>169</v>
      </c>
      <c r="AW166" s="38" t="s">
        <v>169</v>
      </c>
      <c r="AX166" s="38" t="s">
        <v>169</v>
      </c>
      <c r="AY166" s="38" t="s">
        <v>171</v>
      </c>
      <c r="AZ166" s="38" t="s">
        <v>170</v>
      </c>
      <c r="BA166" s="38" t="s">
        <v>169</v>
      </c>
      <c r="BB166" s="38" t="s">
        <v>170</v>
      </c>
      <c r="BC166" s="38" t="s">
        <v>172</v>
      </c>
      <c r="BD166" s="38" t="s">
        <v>169</v>
      </c>
      <c r="BE166" s="38" t="s">
        <v>169</v>
      </c>
      <c r="BF166" s="38" t="s">
        <v>171</v>
      </c>
      <c r="BG166" s="38" t="s">
        <v>171</v>
      </c>
      <c r="BH166" s="38" t="s">
        <v>170</v>
      </c>
      <c r="BI166" s="38" t="s">
        <v>172</v>
      </c>
      <c r="BJ166" s="38" t="s">
        <v>172</v>
      </c>
      <c r="BK166" s="38" t="s">
        <v>172</v>
      </c>
      <c r="BL166" s="38" t="s">
        <v>171</v>
      </c>
      <c r="BM166" s="38" t="s">
        <v>170</v>
      </c>
      <c r="BN166" s="38" t="s">
        <v>170</v>
      </c>
      <c r="BO166" s="38" t="s">
        <v>171</v>
      </c>
      <c r="BP166" s="38" t="s">
        <v>169</v>
      </c>
      <c r="BQ166" s="38" t="s">
        <v>171</v>
      </c>
      <c r="BR166" s="38" t="s">
        <v>170</v>
      </c>
      <c r="BS166" s="38" t="s">
        <v>171</v>
      </c>
      <c r="BT166" s="38" t="s">
        <v>171</v>
      </c>
      <c r="BU166" s="38" t="s">
        <v>170</v>
      </c>
      <c r="BV166" s="38" t="s">
        <v>170</v>
      </c>
      <c r="BW166" s="38" t="s">
        <v>170</v>
      </c>
      <c r="BX166" s="38" t="s">
        <v>169</v>
      </c>
    </row>
    <row r="167" customFormat="false" ht="15" hidden="false" customHeight="true" outlineLevel="0" collapsed="false">
      <c r="A167" s="38" t="s">
        <v>419</v>
      </c>
      <c r="B167" s="38" t="s">
        <v>420</v>
      </c>
      <c r="C167" s="38" t="s">
        <v>216</v>
      </c>
      <c r="D167" s="38" t="s">
        <v>187</v>
      </c>
      <c r="E167" s="38" t="s">
        <v>169</v>
      </c>
      <c r="F167" s="38" t="s">
        <v>169</v>
      </c>
      <c r="G167" s="38" t="s">
        <v>169</v>
      </c>
      <c r="H167" s="38" t="s">
        <v>170</v>
      </c>
      <c r="I167" s="38" t="s">
        <v>170</v>
      </c>
      <c r="J167" s="38" t="s">
        <v>170</v>
      </c>
      <c r="K167" s="38" t="s">
        <v>169</v>
      </c>
      <c r="L167" s="38" t="s">
        <v>171</v>
      </c>
      <c r="M167" s="38" t="s">
        <v>172</v>
      </c>
      <c r="N167" s="38" t="s">
        <v>169</v>
      </c>
      <c r="O167" s="38" t="s">
        <v>170</v>
      </c>
      <c r="P167" s="38" t="s">
        <v>171</v>
      </c>
      <c r="Q167" s="38" t="s">
        <v>171</v>
      </c>
      <c r="R167" s="38" t="s">
        <v>172</v>
      </c>
      <c r="S167" s="38" t="s">
        <v>169</v>
      </c>
      <c r="T167" s="38" t="s">
        <v>170</v>
      </c>
      <c r="U167" s="38" t="s">
        <v>170</v>
      </c>
      <c r="V167" s="38" t="s">
        <v>169</v>
      </c>
      <c r="W167" s="38" t="s">
        <v>169</v>
      </c>
      <c r="X167" s="38" t="s">
        <v>171</v>
      </c>
      <c r="Y167" s="38" t="s">
        <v>172</v>
      </c>
      <c r="Z167" s="38" t="s">
        <v>169</v>
      </c>
      <c r="AA167" s="38" t="s">
        <v>172</v>
      </c>
      <c r="AB167" s="38" t="s">
        <v>169</v>
      </c>
      <c r="AC167" s="38" t="s">
        <v>170</v>
      </c>
      <c r="AD167" s="38" t="s">
        <v>169</v>
      </c>
      <c r="AE167" s="38" t="s">
        <v>170</v>
      </c>
      <c r="AF167" s="38" t="s">
        <v>170</v>
      </c>
      <c r="AG167" s="38" t="s">
        <v>170</v>
      </c>
      <c r="AH167" s="38" t="s">
        <v>169</v>
      </c>
      <c r="AI167" s="38" t="s">
        <v>169</v>
      </c>
      <c r="AJ167" s="38" t="s">
        <v>170</v>
      </c>
      <c r="AK167" s="38" t="s">
        <v>171</v>
      </c>
      <c r="AL167" s="38" t="s">
        <v>170</v>
      </c>
      <c r="AM167" s="38" t="s">
        <v>172</v>
      </c>
      <c r="AN167" s="38" t="s">
        <v>171</v>
      </c>
      <c r="AO167" s="38" t="s">
        <v>172</v>
      </c>
      <c r="AP167" s="38" t="s">
        <v>172</v>
      </c>
      <c r="AQ167" s="38" t="s">
        <v>170</v>
      </c>
      <c r="AR167" s="38" t="s">
        <v>170</v>
      </c>
      <c r="AS167" s="38" t="s">
        <v>169</v>
      </c>
      <c r="AT167" s="38" t="s">
        <v>169</v>
      </c>
      <c r="AU167" s="38" t="s">
        <v>169</v>
      </c>
      <c r="AV167" s="38" t="s">
        <v>170</v>
      </c>
      <c r="AW167" s="38" t="s">
        <v>169</v>
      </c>
      <c r="AX167" s="38" t="s">
        <v>169</v>
      </c>
      <c r="AY167" s="38" t="s">
        <v>171</v>
      </c>
      <c r="AZ167" s="38" t="s">
        <v>170</v>
      </c>
      <c r="BA167" s="38" t="s">
        <v>169</v>
      </c>
      <c r="BB167" s="38" t="s">
        <v>172</v>
      </c>
      <c r="BC167" s="38" t="s">
        <v>169</v>
      </c>
      <c r="BD167" s="38" t="s">
        <v>169</v>
      </c>
      <c r="BE167" s="38" t="s">
        <v>169</v>
      </c>
      <c r="BF167" s="38" t="s">
        <v>171</v>
      </c>
      <c r="BG167" s="38" t="s">
        <v>171</v>
      </c>
      <c r="BH167" s="38" t="s">
        <v>170</v>
      </c>
      <c r="BI167" s="38" t="s">
        <v>169</v>
      </c>
      <c r="BJ167" s="38" t="s">
        <v>172</v>
      </c>
      <c r="BK167" s="38" t="s">
        <v>172</v>
      </c>
      <c r="BL167" s="38" t="s">
        <v>171</v>
      </c>
      <c r="BM167" s="38" t="s">
        <v>170</v>
      </c>
      <c r="BN167" s="38" t="s">
        <v>170</v>
      </c>
      <c r="BO167" s="38" t="s">
        <v>170</v>
      </c>
      <c r="BP167" s="38" t="s">
        <v>171</v>
      </c>
      <c r="BQ167" s="38" t="s">
        <v>170</v>
      </c>
      <c r="BR167" s="38" t="s">
        <v>170</v>
      </c>
      <c r="BS167" s="38" t="s">
        <v>169</v>
      </c>
      <c r="BT167" s="38" t="s">
        <v>169</v>
      </c>
      <c r="BU167" s="38" t="s">
        <v>169</v>
      </c>
      <c r="BV167" s="38" t="s">
        <v>170</v>
      </c>
      <c r="BW167" s="38" t="s">
        <v>170</v>
      </c>
      <c r="BX167" s="38" t="s">
        <v>170</v>
      </c>
    </row>
    <row r="168" customFormat="false" ht="15" hidden="false" customHeight="true" outlineLevel="0" collapsed="false">
      <c r="A168" s="38" t="s">
        <v>421</v>
      </c>
      <c r="B168" s="38" t="s">
        <v>422</v>
      </c>
      <c r="C168" s="38" t="s">
        <v>274</v>
      </c>
      <c r="D168" s="38" t="s">
        <v>199</v>
      </c>
      <c r="E168" s="38" t="s">
        <v>170</v>
      </c>
      <c r="F168" s="38" t="s">
        <v>170</v>
      </c>
      <c r="G168" s="38" t="s">
        <v>169</v>
      </c>
      <c r="H168" s="38" t="s">
        <v>169</v>
      </c>
      <c r="I168" s="38" t="s">
        <v>170</v>
      </c>
      <c r="J168" s="38" t="s">
        <v>169</v>
      </c>
      <c r="K168" s="38" t="s">
        <v>169</v>
      </c>
      <c r="L168" s="38" t="s">
        <v>171</v>
      </c>
      <c r="M168" s="38" t="s">
        <v>172</v>
      </c>
      <c r="N168" s="38" t="s">
        <v>169</v>
      </c>
      <c r="O168" s="38" t="s">
        <v>171</v>
      </c>
      <c r="P168" s="38" t="s">
        <v>171</v>
      </c>
      <c r="Q168" s="38" t="s">
        <v>170</v>
      </c>
      <c r="R168" s="38" t="s">
        <v>172</v>
      </c>
      <c r="S168" s="38" t="s">
        <v>169</v>
      </c>
      <c r="T168" s="38" t="s">
        <v>170</v>
      </c>
      <c r="U168" s="38" t="s">
        <v>170</v>
      </c>
      <c r="V168" s="38" t="s">
        <v>169</v>
      </c>
      <c r="W168" s="38" t="s">
        <v>169</v>
      </c>
      <c r="X168" s="38" t="s">
        <v>171</v>
      </c>
      <c r="Y168" s="38" t="s">
        <v>172</v>
      </c>
      <c r="Z168" s="38" t="s">
        <v>169</v>
      </c>
      <c r="AA168" s="38" t="s">
        <v>172</v>
      </c>
      <c r="AB168" s="38" t="s">
        <v>172</v>
      </c>
      <c r="AC168" s="38" t="s">
        <v>170</v>
      </c>
      <c r="AD168" s="38" t="s">
        <v>169</v>
      </c>
      <c r="AE168" s="38" t="s">
        <v>169</v>
      </c>
      <c r="AF168" s="38" t="s">
        <v>170</v>
      </c>
      <c r="AG168" s="38" t="s">
        <v>169</v>
      </c>
      <c r="AH168" s="38" t="s">
        <v>169</v>
      </c>
      <c r="AI168" s="38" t="s">
        <v>172</v>
      </c>
      <c r="AJ168" s="38" t="s">
        <v>170</v>
      </c>
      <c r="AK168" s="38" t="s">
        <v>171</v>
      </c>
      <c r="AL168" s="38" t="s">
        <v>169</v>
      </c>
      <c r="AM168" s="38" t="s">
        <v>171</v>
      </c>
      <c r="AN168" s="38" t="s">
        <v>172</v>
      </c>
      <c r="AO168" s="38" t="s">
        <v>169</v>
      </c>
      <c r="AP168" s="38" t="s">
        <v>172</v>
      </c>
      <c r="AQ168" s="38" t="s">
        <v>171</v>
      </c>
      <c r="AR168" s="38" t="s">
        <v>170</v>
      </c>
      <c r="AS168" s="38" t="s">
        <v>170</v>
      </c>
      <c r="AT168" s="38" t="s">
        <v>169</v>
      </c>
      <c r="AU168" s="38" t="s">
        <v>170</v>
      </c>
      <c r="AV168" s="38" t="s">
        <v>172</v>
      </c>
      <c r="AW168" s="38" t="s">
        <v>171</v>
      </c>
      <c r="AX168" s="38" t="s">
        <v>169</v>
      </c>
      <c r="AY168" s="38" t="s">
        <v>171</v>
      </c>
      <c r="AZ168" s="38" t="s">
        <v>170</v>
      </c>
      <c r="BA168" s="38" t="s">
        <v>169</v>
      </c>
      <c r="BB168" s="38" t="s">
        <v>170</v>
      </c>
      <c r="BC168" s="38" t="s">
        <v>171</v>
      </c>
      <c r="BD168" s="38" t="s">
        <v>169</v>
      </c>
      <c r="BE168" s="38" t="s">
        <v>169</v>
      </c>
      <c r="BF168" s="38" t="s">
        <v>171</v>
      </c>
      <c r="BG168" s="38" t="s">
        <v>171</v>
      </c>
      <c r="BH168" s="38" t="s">
        <v>170</v>
      </c>
      <c r="BI168" s="38" t="s">
        <v>172</v>
      </c>
      <c r="BJ168" s="38" t="s">
        <v>172</v>
      </c>
      <c r="BK168" s="38" t="s">
        <v>172</v>
      </c>
      <c r="BL168" s="38" t="s">
        <v>171</v>
      </c>
      <c r="BM168" s="38" t="s">
        <v>170</v>
      </c>
      <c r="BN168" s="38" t="s">
        <v>170</v>
      </c>
      <c r="BO168" s="38" t="s">
        <v>169</v>
      </c>
      <c r="BP168" s="38" t="s">
        <v>169</v>
      </c>
      <c r="BQ168" s="38" t="s">
        <v>170</v>
      </c>
      <c r="BR168" s="38" t="s">
        <v>170</v>
      </c>
      <c r="BS168" s="38" t="s">
        <v>170</v>
      </c>
      <c r="BT168" s="38" t="s">
        <v>169</v>
      </c>
      <c r="BU168" s="38" t="s">
        <v>170</v>
      </c>
      <c r="BV168" s="38" t="s">
        <v>170</v>
      </c>
      <c r="BW168" s="38" t="s">
        <v>169</v>
      </c>
      <c r="BX168" s="38" t="s">
        <v>169</v>
      </c>
    </row>
    <row r="169" customFormat="false" ht="15" hidden="false" customHeight="true" outlineLevel="0" collapsed="false">
      <c r="A169" s="38" t="s">
        <v>419</v>
      </c>
      <c r="B169" s="38" t="s">
        <v>423</v>
      </c>
      <c r="C169" s="38" t="s">
        <v>290</v>
      </c>
      <c r="D169" s="38" t="s">
        <v>179</v>
      </c>
      <c r="E169" s="38" t="s">
        <v>169</v>
      </c>
      <c r="F169" s="38" t="s">
        <v>170</v>
      </c>
      <c r="G169" s="38" t="s">
        <v>170</v>
      </c>
      <c r="H169" s="38" t="s">
        <v>172</v>
      </c>
      <c r="I169" s="38" t="s">
        <v>169</v>
      </c>
      <c r="J169" s="38" t="s">
        <v>169</v>
      </c>
      <c r="K169" s="38" t="s">
        <v>169</v>
      </c>
      <c r="L169" s="38" t="s">
        <v>171</v>
      </c>
      <c r="M169" s="38" t="s">
        <v>169</v>
      </c>
      <c r="N169" s="38" t="s">
        <v>169</v>
      </c>
      <c r="O169" s="38" t="s">
        <v>170</v>
      </c>
      <c r="P169" s="38" t="s">
        <v>172</v>
      </c>
      <c r="Q169" s="38" t="s">
        <v>169</v>
      </c>
      <c r="R169" s="38" t="s">
        <v>172</v>
      </c>
      <c r="S169" s="38" t="s">
        <v>169</v>
      </c>
      <c r="T169" s="40" t="s">
        <v>176</v>
      </c>
      <c r="U169" s="38" t="s">
        <v>169</v>
      </c>
      <c r="V169" s="38" t="s">
        <v>169</v>
      </c>
      <c r="W169" s="38" t="s">
        <v>169</v>
      </c>
      <c r="X169" s="38" t="s">
        <v>170</v>
      </c>
      <c r="Y169" s="38" t="s">
        <v>171</v>
      </c>
      <c r="Z169" s="38" t="s">
        <v>171</v>
      </c>
      <c r="AA169" s="38" t="s">
        <v>171</v>
      </c>
      <c r="AB169" s="38" t="s">
        <v>169</v>
      </c>
      <c r="AC169" s="38" t="s">
        <v>170</v>
      </c>
      <c r="AD169" s="38" t="s">
        <v>169</v>
      </c>
      <c r="AE169" s="38" t="s">
        <v>169</v>
      </c>
      <c r="AF169" s="38" t="s">
        <v>170</v>
      </c>
      <c r="AG169" s="38" t="s">
        <v>169</v>
      </c>
      <c r="AH169" s="38" t="s">
        <v>169</v>
      </c>
      <c r="AI169" s="38" t="s">
        <v>172</v>
      </c>
      <c r="AJ169" s="38" t="s">
        <v>170</v>
      </c>
      <c r="AK169" s="38" t="s">
        <v>171</v>
      </c>
      <c r="AL169" s="38" t="s">
        <v>169</v>
      </c>
      <c r="AM169" s="38" t="s">
        <v>170</v>
      </c>
      <c r="AN169" s="38" t="s">
        <v>172</v>
      </c>
      <c r="AO169" s="38" t="s">
        <v>169</v>
      </c>
      <c r="AP169" s="38" t="s">
        <v>172</v>
      </c>
      <c r="AQ169" s="38" t="s">
        <v>171</v>
      </c>
      <c r="AR169" s="38" t="s">
        <v>170</v>
      </c>
      <c r="AS169" s="38" t="s">
        <v>170</v>
      </c>
      <c r="AT169" s="38" t="s">
        <v>169</v>
      </c>
      <c r="AU169" s="38" t="s">
        <v>170</v>
      </c>
      <c r="AV169" s="38" t="s">
        <v>171</v>
      </c>
      <c r="AW169" s="38" t="s">
        <v>171</v>
      </c>
      <c r="AX169" s="38" t="s">
        <v>171</v>
      </c>
      <c r="AY169" s="38" t="s">
        <v>172</v>
      </c>
      <c r="AZ169" s="38" t="s">
        <v>170</v>
      </c>
      <c r="BA169" s="38" t="s">
        <v>170</v>
      </c>
      <c r="BB169" s="38" t="s">
        <v>170</v>
      </c>
      <c r="BC169" s="38" t="s">
        <v>170</v>
      </c>
      <c r="BD169" s="38" t="s">
        <v>169</v>
      </c>
      <c r="BE169" s="38" t="s">
        <v>169</v>
      </c>
      <c r="BF169" s="38" t="s">
        <v>171</v>
      </c>
      <c r="BG169" s="38" t="s">
        <v>171</v>
      </c>
      <c r="BH169" s="38" t="s">
        <v>170</v>
      </c>
      <c r="BI169" s="38" t="s">
        <v>169</v>
      </c>
      <c r="BJ169" s="38" t="s">
        <v>172</v>
      </c>
      <c r="BK169" s="38" t="s">
        <v>172</v>
      </c>
      <c r="BL169" s="38" t="s">
        <v>171</v>
      </c>
      <c r="BM169" s="38" t="s">
        <v>170</v>
      </c>
      <c r="BN169" s="38" t="s">
        <v>170</v>
      </c>
      <c r="BO169" s="38" t="s">
        <v>169</v>
      </c>
      <c r="BP169" s="38" t="s">
        <v>169</v>
      </c>
      <c r="BQ169" s="38" t="s">
        <v>169</v>
      </c>
      <c r="BR169" s="38" t="s">
        <v>170</v>
      </c>
      <c r="BS169" s="38" t="s">
        <v>170</v>
      </c>
      <c r="BT169" s="38" t="s">
        <v>170</v>
      </c>
      <c r="BU169" s="38" t="s">
        <v>171</v>
      </c>
      <c r="BV169" s="38" t="s">
        <v>169</v>
      </c>
      <c r="BW169" s="38" t="s">
        <v>169</v>
      </c>
      <c r="BX169" s="38" t="s">
        <v>170</v>
      </c>
    </row>
    <row r="170" customFormat="false" ht="15" hidden="false" customHeight="true" outlineLevel="0" collapsed="false">
      <c r="A170" s="38" t="s">
        <v>421</v>
      </c>
      <c r="B170" s="38" t="s">
        <v>424</v>
      </c>
      <c r="C170" s="38" t="s">
        <v>290</v>
      </c>
      <c r="D170" s="38" t="s">
        <v>179</v>
      </c>
      <c r="E170" s="38" t="s">
        <v>169</v>
      </c>
      <c r="F170" s="38" t="s">
        <v>170</v>
      </c>
      <c r="G170" s="38" t="s">
        <v>170</v>
      </c>
      <c r="H170" s="38" t="s">
        <v>169</v>
      </c>
      <c r="I170" s="38" t="s">
        <v>169</v>
      </c>
      <c r="J170" s="38" t="s">
        <v>169</v>
      </c>
      <c r="K170" s="38" t="s">
        <v>169</v>
      </c>
      <c r="L170" s="38" t="s">
        <v>171</v>
      </c>
      <c r="M170" s="38" t="s">
        <v>172</v>
      </c>
      <c r="N170" s="38" t="s">
        <v>169</v>
      </c>
      <c r="O170" s="38" t="s">
        <v>171</v>
      </c>
      <c r="P170" s="38" t="s">
        <v>170</v>
      </c>
      <c r="Q170" s="38" t="s">
        <v>171</v>
      </c>
      <c r="R170" s="38" t="s">
        <v>172</v>
      </c>
      <c r="S170" s="38" t="s">
        <v>169</v>
      </c>
      <c r="T170" s="40" t="s">
        <v>176</v>
      </c>
      <c r="U170" s="38" t="s">
        <v>169</v>
      </c>
      <c r="V170" s="38" t="s">
        <v>169</v>
      </c>
      <c r="W170" s="38" t="s">
        <v>169</v>
      </c>
      <c r="X170" s="38" t="s">
        <v>170</v>
      </c>
      <c r="Y170" s="38" t="s">
        <v>171</v>
      </c>
      <c r="Z170" s="38" t="s">
        <v>172</v>
      </c>
      <c r="AA170" s="38" t="s">
        <v>169</v>
      </c>
      <c r="AB170" s="38" t="s">
        <v>169</v>
      </c>
      <c r="AC170" s="38" t="s">
        <v>170</v>
      </c>
      <c r="AD170" s="38" t="s">
        <v>172</v>
      </c>
      <c r="AE170" s="38" t="s">
        <v>169</v>
      </c>
      <c r="AF170" s="38" t="s">
        <v>170</v>
      </c>
      <c r="AG170" s="38" t="s">
        <v>169</v>
      </c>
      <c r="AH170" s="38" t="s">
        <v>169</v>
      </c>
      <c r="AI170" s="38" t="s">
        <v>172</v>
      </c>
      <c r="AJ170" s="38" t="s">
        <v>170</v>
      </c>
      <c r="AK170" s="38" t="s">
        <v>171</v>
      </c>
      <c r="AL170" s="38" t="s">
        <v>169</v>
      </c>
      <c r="AM170" s="38" t="s">
        <v>170</v>
      </c>
      <c r="AN170" s="38" t="s">
        <v>172</v>
      </c>
      <c r="AO170" s="38" t="s">
        <v>169</v>
      </c>
      <c r="AP170" s="38" t="s">
        <v>172</v>
      </c>
      <c r="AQ170" s="38" t="s">
        <v>171</v>
      </c>
      <c r="AR170" s="38" t="s">
        <v>170</v>
      </c>
      <c r="AS170" s="38" t="s">
        <v>170</v>
      </c>
      <c r="AT170" s="38" t="s">
        <v>169</v>
      </c>
      <c r="AU170" s="38" t="s">
        <v>170</v>
      </c>
      <c r="AV170" s="38" t="s">
        <v>170</v>
      </c>
      <c r="AW170" s="38" t="s">
        <v>171</v>
      </c>
      <c r="AX170" s="38" t="s">
        <v>171</v>
      </c>
      <c r="AY170" s="38" t="s">
        <v>172</v>
      </c>
      <c r="AZ170" s="38" t="s">
        <v>170</v>
      </c>
      <c r="BA170" s="38" t="s">
        <v>169</v>
      </c>
      <c r="BB170" s="38" t="s">
        <v>171</v>
      </c>
      <c r="BC170" s="38" t="s">
        <v>169</v>
      </c>
      <c r="BD170" s="38" t="s">
        <v>169</v>
      </c>
      <c r="BE170" s="38" t="s">
        <v>169</v>
      </c>
      <c r="BF170" s="38" t="s">
        <v>171</v>
      </c>
      <c r="BG170" s="38" t="s">
        <v>171</v>
      </c>
      <c r="BH170" s="38" t="s">
        <v>170</v>
      </c>
      <c r="BI170" s="38" t="s">
        <v>172</v>
      </c>
      <c r="BJ170" s="38" t="s">
        <v>172</v>
      </c>
      <c r="BK170" s="38" t="s">
        <v>172</v>
      </c>
      <c r="BL170" s="38" t="s">
        <v>171</v>
      </c>
      <c r="BM170" s="38" t="s">
        <v>170</v>
      </c>
      <c r="BN170" s="38" t="s">
        <v>170</v>
      </c>
      <c r="BO170" s="38" t="s">
        <v>170</v>
      </c>
      <c r="BP170" s="38" t="s">
        <v>172</v>
      </c>
      <c r="BQ170" s="38" t="s">
        <v>170</v>
      </c>
      <c r="BR170" s="38" t="s">
        <v>170</v>
      </c>
      <c r="BS170" s="38" t="s">
        <v>170</v>
      </c>
      <c r="BT170" s="38" t="s">
        <v>170</v>
      </c>
      <c r="BU170" s="38" t="s">
        <v>170</v>
      </c>
      <c r="BV170" s="38" t="s">
        <v>169</v>
      </c>
      <c r="BW170" s="38" t="s">
        <v>169</v>
      </c>
      <c r="BX170" s="38" t="s">
        <v>170</v>
      </c>
    </row>
    <row r="171" customFormat="false" ht="15" hidden="false" customHeight="true" outlineLevel="0" collapsed="false">
      <c r="A171" s="38" t="s">
        <v>419</v>
      </c>
      <c r="B171" s="38" t="s">
        <v>425</v>
      </c>
      <c r="C171" s="38" t="s">
        <v>290</v>
      </c>
      <c r="D171" s="38" t="s">
        <v>25</v>
      </c>
      <c r="E171" s="38" t="s">
        <v>169</v>
      </c>
      <c r="F171" s="38" t="s">
        <v>170</v>
      </c>
      <c r="G171" s="38" t="s">
        <v>170</v>
      </c>
      <c r="H171" s="38" t="s">
        <v>172</v>
      </c>
      <c r="I171" s="38" t="s">
        <v>169</v>
      </c>
      <c r="J171" s="38" t="s">
        <v>169</v>
      </c>
      <c r="K171" s="38" t="s">
        <v>169</v>
      </c>
      <c r="L171" s="38" t="s">
        <v>171</v>
      </c>
      <c r="M171" s="38" t="s">
        <v>169</v>
      </c>
      <c r="N171" s="38" t="s">
        <v>169</v>
      </c>
      <c r="O171" s="38" t="s">
        <v>170</v>
      </c>
      <c r="P171" s="38" t="s">
        <v>172</v>
      </c>
      <c r="Q171" s="38" t="s">
        <v>169</v>
      </c>
      <c r="R171" s="38" t="s">
        <v>172</v>
      </c>
      <c r="S171" s="38" t="s">
        <v>169</v>
      </c>
      <c r="T171" s="40" t="s">
        <v>176</v>
      </c>
      <c r="U171" s="38" t="s">
        <v>169</v>
      </c>
      <c r="V171" s="38" t="s">
        <v>169</v>
      </c>
      <c r="W171" s="38" t="s">
        <v>169</v>
      </c>
      <c r="X171" s="38" t="s">
        <v>170</v>
      </c>
      <c r="Y171" s="38" t="s">
        <v>171</v>
      </c>
      <c r="Z171" s="38" t="s">
        <v>171</v>
      </c>
      <c r="AA171" s="38" t="s">
        <v>171</v>
      </c>
      <c r="AB171" s="38" t="s">
        <v>169</v>
      </c>
      <c r="AC171" s="38" t="s">
        <v>170</v>
      </c>
      <c r="AD171" s="38" t="s">
        <v>169</v>
      </c>
      <c r="AE171" s="38" t="s">
        <v>169</v>
      </c>
      <c r="AF171" s="38" t="s">
        <v>170</v>
      </c>
      <c r="AG171" s="38" t="s">
        <v>169</v>
      </c>
      <c r="AH171" s="38" t="s">
        <v>169</v>
      </c>
      <c r="AI171" s="38" t="s">
        <v>172</v>
      </c>
      <c r="AJ171" s="38" t="s">
        <v>170</v>
      </c>
      <c r="AK171" s="38" t="s">
        <v>171</v>
      </c>
      <c r="AL171" s="38" t="s">
        <v>170</v>
      </c>
      <c r="AM171" s="38" t="s">
        <v>171</v>
      </c>
      <c r="AN171" s="38" t="s">
        <v>172</v>
      </c>
      <c r="AO171" s="38" t="s">
        <v>169</v>
      </c>
      <c r="AP171" s="38" t="s">
        <v>172</v>
      </c>
      <c r="AQ171" s="38" t="s">
        <v>171</v>
      </c>
      <c r="AR171" s="38" t="s">
        <v>170</v>
      </c>
      <c r="AS171" s="38" t="s">
        <v>170</v>
      </c>
      <c r="AT171" s="38" t="s">
        <v>169</v>
      </c>
      <c r="AU171" s="38" t="s">
        <v>170</v>
      </c>
      <c r="AV171" s="38" t="s">
        <v>171</v>
      </c>
      <c r="AW171" s="38" t="s">
        <v>171</v>
      </c>
      <c r="AX171" s="38" t="s">
        <v>171</v>
      </c>
      <c r="AY171" s="38" t="s">
        <v>172</v>
      </c>
      <c r="AZ171" s="38" t="s">
        <v>170</v>
      </c>
      <c r="BA171" s="38" t="s">
        <v>170</v>
      </c>
      <c r="BB171" s="38" t="s">
        <v>170</v>
      </c>
      <c r="BC171" s="38" t="s">
        <v>170</v>
      </c>
      <c r="BD171" s="38" t="s">
        <v>169</v>
      </c>
      <c r="BE171" s="38" t="s">
        <v>169</v>
      </c>
      <c r="BF171" s="38" t="s">
        <v>171</v>
      </c>
      <c r="BG171" s="38" t="s">
        <v>171</v>
      </c>
      <c r="BH171" s="38" t="s">
        <v>170</v>
      </c>
      <c r="BI171" s="38" t="s">
        <v>169</v>
      </c>
      <c r="BJ171" s="38" t="s">
        <v>172</v>
      </c>
      <c r="BK171" s="38" t="s">
        <v>172</v>
      </c>
      <c r="BL171" s="38" t="s">
        <v>171</v>
      </c>
      <c r="BM171" s="38" t="s">
        <v>170</v>
      </c>
      <c r="BN171" s="38" t="s">
        <v>170</v>
      </c>
      <c r="BO171" s="38" t="s">
        <v>169</v>
      </c>
      <c r="BP171" s="38" t="s">
        <v>169</v>
      </c>
      <c r="BQ171" s="38" t="s">
        <v>169</v>
      </c>
      <c r="BR171" s="38" t="s">
        <v>170</v>
      </c>
      <c r="BS171" s="38" t="s">
        <v>170</v>
      </c>
      <c r="BT171" s="38" t="s">
        <v>170</v>
      </c>
      <c r="BU171" s="38" t="s">
        <v>171</v>
      </c>
      <c r="BV171" s="38" t="s">
        <v>169</v>
      </c>
      <c r="BW171" s="38" t="s">
        <v>169</v>
      </c>
      <c r="BX171" s="38" t="s">
        <v>170</v>
      </c>
    </row>
    <row r="172" customFormat="false" ht="15" hidden="false" customHeight="true" outlineLevel="0" collapsed="false">
      <c r="A172" s="38" t="s">
        <v>419</v>
      </c>
      <c r="B172" s="38" t="s">
        <v>426</v>
      </c>
      <c r="C172" s="38" t="s">
        <v>290</v>
      </c>
      <c r="D172" s="38" t="s">
        <v>18</v>
      </c>
      <c r="E172" s="38" t="s">
        <v>169</v>
      </c>
      <c r="F172" s="38" t="s">
        <v>170</v>
      </c>
      <c r="G172" s="38" t="s">
        <v>170</v>
      </c>
      <c r="H172" s="38" t="s">
        <v>172</v>
      </c>
      <c r="I172" s="38" t="s">
        <v>169</v>
      </c>
      <c r="J172" s="38" t="s">
        <v>169</v>
      </c>
      <c r="K172" s="38" t="s">
        <v>169</v>
      </c>
      <c r="L172" s="38" t="s">
        <v>171</v>
      </c>
      <c r="M172" s="38" t="s">
        <v>169</v>
      </c>
      <c r="N172" s="38" t="s">
        <v>169</v>
      </c>
      <c r="O172" s="38" t="s">
        <v>170</v>
      </c>
      <c r="P172" s="38" t="s">
        <v>172</v>
      </c>
      <c r="Q172" s="38" t="s">
        <v>169</v>
      </c>
      <c r="R172" s="38" t="s">
        <v>172</v>
      </c>
      <c r="S172" s="38" t="s">
        <v>169</v>
      </c>
      <c r="T172" s="40" t="s">
        <v>176</v>
      </c>
      <c r="U172" s="38" t="s">
        <v>169</v>
      </c>
      <c r="V172" s="38" t="s">
        <v>169</v>
      </c>
      <c r="W172" s="38" t="s">
        <v>169</v>
      </c>
      <c r="X172" s="38" t="s">
        <v>170</v>
      </c>
      <c r="Y172" s="38" t="s">
        <v>171</v>
      </c>
      <c r="Z172" s="38" t="s">
        <v>171</v>
      </c>
      <c r="AA172" s="38" t="s">
        <v>171</v>
      </c>
      <c r="AB172" s="38" t="s">
        <v>169</v>
      </c>
      <c r="AC172" s="38" t="s">
        <v>170</v>
      </c>
      <c r="AD172" s="38" t="s">
        <v>169</v>
      </c>
      <c r="AE172" s="38" t="s">
        <v>169</v>
      </c>
      <c r="AF172" s="38" t="s">
        <v>170</v>
      </c>
      <c r="AG172" s="38" t="s">
        <v>169</v>
      </c>
      <c r="AH172" s="38" t="s">
        <v>169</v>
      </c>
      <c r="AI172" s="38" t="s">
        <v>172</v>
      </c>
      <c r="AJ172" s="38" t="s">
        <v>170</v>
      </c>
      <c r="AK172" s="38" t="s">
        <v>171</v>
      </c>
      <c r="AL172" s="38" t="s">
        <v>171</v>
      </c>
      <c r="AM172" s="38" t="s">
        <v>170</v>
      </c>
      <c r="AN172" s="38" t="s">
        <v>172</v>
      </c>
      <c r="AO172" s="38" t="s">
        <v>169</v>
      </c>
      <c r="AP172" s="38" t="s">
        <v>172</v>
      </c>
      <c r="AQ172" s="38" t="s">
        <v>171</v>
      </c>
      <c r="AR172" s="38" t="s">
        <v>170</v>
      </c>
      <c r="AS172" s="38" t="s">
        <v>170</v>
      </c>
      <c r="AT172" s="38" t="s">
        <v>169</v>
      </c>
      <c r="AU172" s="38" t="s">
        <v>170</v>
      </c>
      <c r="AV172" s="38" t="s">
        <v>171</v>
      </c>
      <c r="AW172" s="38" t="s">
        <v>171</v>
      </c>
      <c r="AX172" s="38" t="s">
        <v>171</v>
      </c>
      <c r="AY172" s="38" t="s">
        <v>172</v>
      </c>
      <c r="AZ172" s="38" t="s">
        <v>170</v>
      </c>
      <c r="BA172" s="38" t="s">
        <v>170</v>
      </c>
      <c r="BB172" s="38" t="s">
        <v>170</v>
      </c>
      <c r="BC172" s="38" t="s">
        <v>170</v>
      </c>
      <c r="BD172" s="38" t="s">
        <v>169</v>
      </c>
      <c r="BE172" s="38" t="s">
        <v>169</v>
      </c>
      <c r="BF172" s="38" t="s">
        <v>171</v>
      </c>
      <c r="BG172" s="38" t="s">
        <v>171</v>
      </c>
      <c r="BH172" s="38" t="s">
        <v>170</v>
      </c>
      <c r="BI172" s="38" t="s">
        <v>169</v>
      </c>
      <c r="BJ172" s="38" t="s">
        <v>172</v>
      </c>
      <c r="BK172" s="38" t="s">
        <v>172</v>
      </c>
      <c r="BL172" s="38" t="s">
        <v>171</v>
      </c>
      <c r="BM172" s="38" t="s">
        <v>170</v>
      </c>
      <c r="BN172" s="38" t="s">
        <v>170</v>
      </c>
      <c r="BO172" s="38" t="s">
        <v>169</v>
      </c>
      <c r="BP172" s="38" t="s">
        <v>169</v>
      </c>
      <c r="BQ172" s="38" t="s">
        <v>169</v>
      </c>
      <c r="BR172" s="38" t="s">
        <v>170</v>
      </c>
      <c r="BS172" s="38" t="s">
        <v>170</v>
      </c>
      <c r="BT172" s="38" t="s">
        <v>170</v>
      </c>
      <c r="BU172" s="38" t="s">
        <v>171</v>
      </c>
      <c r="BV172" s="38" t="s">
        <v>169</v>
      </c>
      <c r="BW172" s="38" t="s">
        <v>169</v>
      </c>
      <c r="BX172" s="38" t="s">
        <v>170</v>
      </c>
    </row>
    <row r="173" customFormat="false" ht="15" hidden="false" customHeight="true" outlineLevel="0" collapsed="false">
      <c r="A173" s="38" t="s">
        <v>427</v>
      </c>
      <c r="B173" s="38" t="s">
        <v>428</v>
      </c>
      <c r="C173" s="38" t="s">
        <v>290</v>
      </c>
      <c r="D173" s="38" t="s">
        <v>179</v>
      </c>
      <c r="E173" s="38" t="s">
        <v>169</v>
      </c>
      <c r="F173" s="38" t="s">
        <v>170</v>
      </c>
      <c r="G173" s="38" t="s">
        <v>170</v>
      </c>
      <c r="H173" s="38" t="s">
        <v>172</v>
      </c>
      <c r="I173" s="38" t="s">
        <v>172</v>
      </c>
      <c r="J173" s="38" t="s">
        <v>169</v>
      </c>
      <c r="K173" s="38" t="s">
        <v>169</v>
      </c>
      <c r="L173" s="38" t="s">
        <v>171</v>
      </c>
      <c r="M173" s="38" t="s">
        <v>169</v>
      </c>
      <c r="N173" s="38" t="s">
        <v>169</v>
      </c>
      <c r="O173" s="38" t="s">
        <v>170</v>
      </c>
      <c r="P173" s="38" t="s">
        <v>172</v>
      </c>
      <c r="Q173" s="38" t="s">
        <v>169</v>
      </c>
      <c r="R173" s="38" t="s">
        <v>172</v>
      </c>
      <c r="S173" s="38" t="s">
        <v>169</v>
      </c>
      <c r="T173" s="38" t="s">
        <v>171</v>
      </c>
      <c r="U173" s="38" t="s">
        <v>171</v>
      </c>
      <c r="V173" s="38" t="s">
        <v>169</v>
      </c>
      <c r="W173" s="38" t="s">
        <v>169</v>
      </c>
      <c r="X173" s="38" t="s">
        <v>170</v>
      </c>
      <c r="Y173" s="38" t="s">
        <v>172</v>
      </c>
      <c r="Z173" s="38" t="s">
        <v>172</v>
      </c>
      <c r="AA173" s="38" t="s">
        <v>170</v>
      </c>
      <c r="AB173" s="38" t="s">
        <v>169</v>
      </c>
      <c r="AC173" s="38" t="s">
        <v>170</v>
      </c>
      <c r="AD173" s="38" t="s">
        <v>172</v>
      </c>
      <c r="AE173" s="38" t="s">
        <v>171</v>
      </c>
      <c r="AF173" s="38" t="s">
        <v>170</v>
      </c>
      <c r="AG173" s="38" t="s">
        <v>170</v>
      </c>
      <c r="AH173" s="38" t="s">
        <v>169</v>
      </c>
      <c r="AI173" s="38" t="s">
        <v>170</v>
      </c>
      <c r="AJ173" s="38" t="s">
        <v>170</v>
      </c>
      <c r="AK173" s="38" t="s">
        <v>171</v>
      </c>
      <c r="AL173" s="38" t="s">
        <v>169</v>
      </c>
      <c r="AM173" s="38" t="s">
        <v>170</v>
      </c>
      <c r="AN173" s="38" t="s">
        <v>172</v>
      </c>
      <c r="AO173" s="38" t="s">
        <v>169</v>
      </c>
      <c r="AP173" s="38" t="s">
        <v>172</v>
      </c>
      <c r="AQ173" s="38" t="s">
        <v>169</v>
      </c>
      <c r="AR173" s="38" t="s">
        <v>170</v>
      </c>
      <c r="AS173" s="38" t="s">
        <v>169</v>
      </c>
      <c r="AT173" s="38" t="s">
        <v>169</v>
      </c>
      <c r="AU173" s="38" t="s">
        <v>172</v>
      </c>
      <c r="AV173" s="38" t="s">
        <v>172</v>
      </c>
      <c r="AW173" s="38" t="s">
        <v>170</v>
      </c>
      <c r="AX173" s="38" t="s">
        <v>170</v>
      </c>
      <c r="AY173" s="38" t="s">
        <v>170</v>
      </c>
      <c r="AZ173" s="38" t="s">
        <v>170</v>
      </c>
      <c r="BA173" s="38" t="s">
        <v>169</v>
      </c>
      <c r="BB173" s="38" t="s">
        <v>170</v>
      </c>
      <c r="BC173" s="38" t="s">
        <v>170</v>
      </c>
      <c r="BD173" s="38" t="s">
        <v>169</v>
      </c>
      <c r="BE173" s="38" t="s">
        <v>169</v>
      </c>
      <c r="BF173" s="38" t="s">
        <v>171</v>
      </c>
      <c r="BG173" s="38" t="s">
        <v>171</v>
      </c>
      <c r="BH173" s="38" t="s">
        <v>170</v>
      </c>
      <c r="BI173" s="38" t="s">
        <v>172</v>
      </c>
      <c r="BJ173" s="38" t="s">
        <v>172</v>
      </c>
      <c r="BK173" s="38" t="s">
        <v>172</v>
      </c>
      <c r="BL173" s="38" t="s">
        <v>171</v>
      </c>
      <c r="BM173" s="38" t="s">
        <v>170</v>
      </c>
      <c r="BN173" s="38" t="s">
        <v>170</v>
      </c>
      <c r="BO173" s="38" t="s">
        <v>169</v>
      </c>
      <c r="BP173" s="38" t="s">
        <v>169</v>
      </c>
      <c r="BQ173" s="38" t="s">
        <v>170</v>
      </c>
      <c r="BR173" s="38" t="s">
        <v>170</v>
      </c>
      <c r="BS173" s="38" t="s">
        <v>170</v>
      </c>
      <c r="BT173" s="38" t="s">
        <v>171</v>
      </c>
      <c r="BU173" s="38" t="s">
        <v>171</v>
      </c>
      <c r="BV173" s="38" t="s">
        <v>169</v>
      </c>
      <c r="BW173" s="38" t="s">
        <v>169</v>
      </c>
      <c r="BX173" s="38" t="s">
        <v>170</v>
      </c>
    </row>
    <row r="174" customFormat="false" ht="15" hidden="false" customHeight="true" outlineLevel="0" collapsed="false">
      <c r="A174" s="38" t="s">
        <v>429</v>
      </c>
      <c r="B174" s="38" t="s">
        <v>430</v>
      </c>
      <c r="C174" s="38" t="s">
        <v>211</v>
      </c>
      <c r="D174" s="38" t="s">
        <v>214</v>
      </c>
      <c r="E174" s="38" t="s">
        <v>169</v>
      </c>
      <c r="F174" s="38" t="s">
        <v>170</v>
      </c>
      <c r="G174" s="38" t="s">
        <v>169</v>
      </c>
      <c r="H174" s="38" t="s">
        <v>169</v>
      </c>
      <c r="I174" s="38" t="s">
        <v>170</v>
      </c>
      <c r="J174" s="38" t="s">
        <v>169</v>
      </c>
      <c r="K174" s="38" t="s">
        <v>171</v>
      </c>
      <c r="L174" s="38" t="s">
        <v>171</v>
      </c>
      <c r="M174" s="38" t="s">
        <v>172</v>
      </c>
      <c r="N174" s="38" t="s">
        <v>169</v>
      </c>
      <c r="O174" s="38" t="s">
        <v>171</v>
      </c>
      <c r="P174" s="38" t="s">
        <v>170</v>
      </c>
      <c r="Q174" s="38" t="s">
        <v>170</v>
      </c>
      <c r="R174" s="38" t="s">
        <v>172</v>
      </c>
      <c r="S174" s="38" t="s">
        <v>171</v>
      </c>
      <c r="T174" s="38" t="s">
        <v>170</v>
      </c>
      <c r="U174" s="38" t="s">
        <v>171</v>
      </c>
      <c r="V174" s="38" t="s">
        <v>169</v>
      </c>
      <c r="W174" s="38" t="s">
        <v>169</v>
      </c>
      <c r="X174" s="38" t="s">
        <v>171</v>
      </c>
      <c r="Y174" s="38" t="s">
        <v>172</v>
      </c>
      <c r="Z174" s="38" t="s">
        <v>172</v>
      </c>
      <c r="AA174" s="38" t="s">
        <v>169</v>
      </c>
      <c r="AB174" s="38" t="s">
        <v>172</v>
      </c>
      <c r="AC174" s="38" t="s">
        <v>170</v>
      </c>
      <c r="AD174" s="38" t="s">
        <v>172</v>
      </c>
      <c r="AE174" s="38" t="s">
        <v>170</v>
      </c>
      <c r="AF174" s="38" t="s">
        <v>171</v>
      </c>
      <c r="AG174" s="38" t="s">
        <v>169</v>
      </c>
      <c r="AH174" s="38" t="s">
        <v>169</v>
      </c>
      <c r="AI174" s="38" t="s">
        <v>170</v>
      </c>
      <c r="AJ174" s="38" t="s">
        <v>170</v>
      </c>
      <c r="AK174" s="38" t="s">
        <v>171</v>
      </c>
      <c r="AL174" s="38" t="s">
        <v>169</v>
      </c>
      <c r="AM174" s="38" t="s">
        <v>170</v>
      </c>
      <c r="AN174" s="38" t="s">
        <v>170</v>
      </c>
      <c r="AO174" s="38" t="s">
        <v>172</v>
      </c>
      <c r="AP174" s="38" t="s">
        <v>170</v>
      </c>
      <c r="AQ174" s="38" t="s">
        <v>169</v>
      </c>
      <c r="AR174" s="38" t="s">
        <v>170</v>
      </c>
      <c r="AS174" s="38" t="s">
        <v>170</v>
      </c>
      <c r="AT174" s="38" t="s">
        <v>172</v>
      </c>
      <c r="AU174" s="38" t="s">
        <v>169</v>
      </c>
      <c r="AV174" s="38" t="s">
        <v>170</v>
      </c>
      <c r="AW174" s="38" t="s">
        <v>169</v>
      </c>
      <c r="AX174" s="40" t="s">
        <v>176</v>
      </c>
      <c r="AY174" s="38" t="s">
        <v>171</v>
      </c>
      <c r="AZ174" s="38" t="s">
        <v>170</v>
      </c>
      <c r="BA174" s="38" t="s">
        <v>170</v>
      </c>
      <c r="BB174" s="38" t="s">
        <v>170</v>
      </c>
      <c r="BC174" s="38" t="s">
        <v>169</v>
      </c>
      <c r="BD174" s="38" t="s">
        <v>169</v>
      </c>
      <c r="BE174" s="38" t="s">
        <v>169</v>
      </c>
      <c r="BF174" s="38" t="s">
        <v>171</v>
      </c>
      <c r="BG174" s="38" t="s">
        <v>171</v>
      </c>
      <c r="BH174" s="38" t="s">
        <v>170</v>
      </c>
      <c r="BI174" s="38" t="s">
        <v>172</v>
      </c>
      <c r="BJ174" s="38" t="s">
        <v>172</v>
      </c>
      <c r="BK174" s="38" t="s">
        <v>172</v>
      </c>
      <c r="BL174" s="38" t="s">
        <v>171</v>
      </c>
      <c r="BM174" s="38" t="s">
        <v>170</v>
      </c>
      <c r="BN174" s="38" t="s">
        <v>170</v>
      </c>
      <c r="BO174" s="38" t="s">
        <v>170</v>
      </c>
      <c r="BP174" s="38" t="s">
        <v>169</v>
      </c>
      <c r="BQ174" s="38" t="s">
        <v>169</v>
      </c>
      <c r="BR174" s="38" t="s">
        <v>172</v>
      </c>
      <c r="BS174" s="38" t="s">
        <v>170</v>
      </c>
      <c r="BT174" s="38" t="s">
        <v>169</v>
      </c>
      <c r="BU174" s="38" t="s">
        <v>170</v>
      </c>
      <c r="BV174" s="38" t="s">
        <v>170</v>
      </c>
      <c r="BW174" s="38" t="s">
        <v>169</v>
      </c>
      <c r="BX174" s="38" t="s">
        <v>170</v>
      </c>
    </row>
    <row r="175" customFormat="false" ht="15" hidden="false" customHeight="true" outlineLevel="0" collapsed="false">
      <c r="A175" s="38" t="s">
        <v>431</v>
      </c>
      <c r="B175" s="38" t="s">
        <v>432</v>
      </c>
      <c r="C175" s="38" t="s">
        <v>216</v>
      </c>
      <c r="D175" s="38" t="s">
        <v>187</v>
      </c>
      <c r="E175" s="38" t="s">
        <v>172</v>
      </c>
      <c r="F175" s="38" t="s">
        <v>169</v>
      </c>
      <c r="G175" s="38" t="s">
        <v>170</v>
      </c>
      <c r="H175" s="38" t="s">
        <v>169</v>
      </c>
      <c r="I175" s="38" t="s">
        <v>169</v>
      </c>
      <c r="J175" s="38" t="s">
        <v>169</v>
      </c>
      <c r="K175" s="38" t="s">
        <v>172</v>
      </c>
      <c r="L175" s="38" t="s">
        <v>171</v>
      </c>
      <c r="M175" s="38" t="s">
        <v>169</v>
      </c>
      <c r="N175" s="38" t="s">
        <v>169</v>
      </c>
      <c r="O175" s="38" t="s">
        <v>169</v>
      </c>
      <c r="P175" s="38" t="s">
        <v>172</v>
      </c>
      <c r="Q175" s="38" t="s">
        <v>171</v>
      </c>
      <c r="R175" s="38" t="s">
        <v>172</v>
      </c>
      <c r="S175" s="38" t="s">
        <v>169</v>
      </c>
      <c r="T175" s="38" t="s">
        <v>170</v>
      </c>
      <c r="U175" s="38" t="s">
        <v>170</v>
      </c>
      <c r="V175" s="38" t="s">
        <v>169</v>
      </c>
      <c r="W175" s="38" t="s">
        <v>169</v>
      </c>
      <c r="X175" s="38" t="s">
        <v>172</v>
      </c>
      <c r="Y175" s="38" t="s">
        <v>172</v>
      </c>
      <c r="Z175" s="38" t="s">
        <v>171</v>
      </c>
      <c r="AA175" s="38" t="s">
        <v>171</v>
      </c>
      <c r="AB175" s="38" t="s">
        <v>170</v>
      </c>
      <c r="AC175" s="38" t="s">
        <v>170</v>
      </c>
      <c r="AD175" s="38" t="s">
        <v>169</v>
      </c>
      <c r="AE175" s="38" t="s">
        <v>169</v>
      </c>
      <c r="AF175" s="38" t="s">
        <v>170</v>
      </c>
      <c r="AG175" s="38" t="s">
        <v>169</v>
      </c>
      <c r="AH175" s="38" t="s">
        <v>169</v>
      </c>
      <c r="AI175" s="38" t="s">
        <v>169</v>
      </c>
      <c r="AJ175" s="38" t="s">
        <v>170</v>
      </c>
      <c r="AK175" s="38" t="s">
        <v>171</v>
      </c>
      <c r="AL175" s="38" t="s">
        <v>170</v>
      </c>
      <c r="AM175" s="38" t="s">
        <v>172</v>
      </c>
      <c r="AN175" s="38" t="s">
        <v>171</v>
      </c>
      <c r="AO175" s="38" t="s">
        <v>172</v>
      </c>
      <c r="AP175" s="38" t="s">
        <v>172</v>
      </c>
      <c r="AQ175" s="38" t="s">
        <v>170</v>
      </c>
      <c r="AR175" s="38" t="s">
        <v>170</v>
      </c>
      <c r="AS175" s="38" t="s">
        <v>170</v>
      </c>
      <c r="AT175" s="38" t="s">
        <v>169</v>
      </c>
      <c r="AU175" s="38" t="s">
        <v>170</v>
      </c>
      <c r="AV175" s="38" t="s">
        <v>172</v>
      </c>
      <c r="AW175" s="38" t="s">
        <v>169</v>
      </c>
      <c r="AX175" s="38" t="s">
        <v>172</v>
      </c>
      <c r="AY175" s="38" t="s">
        <v>171</v>
      </c>
      <c r="AZ175" s="38" t="s">
        <v>170</v>
      </c>
      <c r="BA175" s="38" t="s">
        <v>172</v>
      </c>
      <c r="BB175" s="38" t="s">
        <v>169</v>
      </c>
      <c r="BC175" s="38" t="s">
        <v>171</v>
      </c>
      <c r="BD175" s="38" t="s">
        <v>172</v>
      </c>
      <c r="BE175" s="38" t="s">
        <v>169</v>
      </c>
      <c r="BF175" s="38" t="s">
        <v>172</v>
      </c>
      <c r="BG175" s="38" t="s">
        <v>171</v>
      </c>
      <c r="BH175" s="38" t="s">
        <v>170</v>
      </c>
      <c r="BI175" s="38" t="s">
        <v>172</v>
      </c>
      <c r="BJ175" s="38" t="s">
        <v>172</v>
      </c>
      <c r="BK175" s="38" t="s">
        <v>172</v>
      </c>
      <c r="BL175" s="38" t="s">
        <v>171</v>
      </c>
      <c r="BM175" s="38" t="s">
        <v>170</v>
      </c>
      <c r="BN175" s="38" t="s">
        <v>171</v>
      </c>
      <c r="BO175" s="38" t="s">
        <v>172</v>
      </c>
      <c r="BP175" s="38" t="s">
        <v>170</v>
      </c>
      <c r="BQ175" s="38" t="s">
        <v>171</v>
      </c>
      <c r="BR175" s="38" t="s">
        <v>171</v>
      </c>
      <c r="BS175" s="38" t="s">
        <v>170</v>
      </c>
      <c r="BT175" s="38" t="s">
        <v>170</v>
      </c>
      <c r="BU175" s="38" t="s">
        <v>170</v>
      </c>
      <c r="BV175" s="38" t="s">
        <v>169</v>
      </c>
      <c r="BW175" s="38" t="s">
        <v>170</v>
      </c>
      <c r="BX175" s="38" t="s">
        <v>171</v>
      </c>
    </row>
    <row r="176" customFormat="false" ht="15" hidden="false" customHeight="true" outlineLevel="0" collapsed="false">
      <c r="A176" s="38" t="s">
        <v>433</v>
      </c>
      <c r="B176" s="38" t="s">
        <v>434</v>
      </c>
      <c r="C176" s="38" t="s">
        <v>216</v>
      </c>
      <c r="D176" s="38" t="s">
        <v>187</v>
      </c>
      <c r="E176" s="38" t="s">
        <v>172</v>
      </c>
      <c r="F176" s="38" t="s">
        <v>169</v>
      </c>
      <c r="G176" s="38" t="s">
        <v>170</v>
      </c>
      <c r="H176" s="38" t="s">
        <v>169</v>
      </c>
      <c r="I176" s="38" t="s">
        <v>169</v>
      </c>
      <c r="J176" s="38" t="s">
        <v>170</v>
      </c>
      <c r="K176" s="38" t="s">
        <v>169</v>
      </c>
      <c r="L176" s="38" t="s">
        <v>171</v>
      </c>
      <c r="M176" s="38" t="s">
        <v>172</v>
      </c>
      <c r="N176" s="38" t="s">
        <v>169</v>
      </c>
      <c r="O176" s="38" t="s">
        <v>169</v>
      </c>
      <c r="P176" s="38" t="s">
        <v>169</v>
      </c>
      <c r="Q176" s="38" t="s">
        <v>172</v>
      </c>
      <c r="R176" s="38" t="s">
        <v>172</v>
      </c>
      <c r="S176" s="38" t="s">
        <v>170</v>
      </c>
      <c r="T176" s="38" t="s">
        <v>171</v>
      </c>
      <c r="U176" s="38" t="s">
        <v>169</v>
      </c>
      <c r="V176" s="38" t="s">
        <v>169</v>
      </c>
      <c r="W176" s="38" t="s">
        <v>169</v>
      </c>
      <c r="X176" s="38" t="s">
        <v>172</v>
      </c>
      <c r="Y176" s="38" t="s">
        <v>172</v>
      </c>
      <c r="Z176" s="38" t="s">
        <v>171</v>
      </c>
      <c r="AA176" s="38" t="s">
        <v>170</v>
      </c>
      <c r="AB176" s="38" t="s">
        <v>170</v>
      </c>
      <c r="AC176" s="38" t="s">
        <v>170</v>
      </c>
      <c r="AD176" s="38" t="s">
        <v>169</v>
      </c>
      <c r="AE176" s="38" t="s">
        <v>170</v>
      </c>
      <c r="AF176" s="38" t="s">
        <v>172</v>
      </c>
      <c r="AG176" s="38" t="s">
        <v>169</v>
      </c>
      <c r="AH176" s="38" t="s">
        <v>169</v>
      </c>
      <c r="AI176" s="38" t="s">
        <v>169</v>
      </c>
      <c r="AJ176" s="38" t="s">
        <v>170</v>
      </c>
      <c r="AK176" s="38" t="s">
        <v>171</v>
      </c>
      <c r="AL176" s="38" t="s">
        <v>170</v>
      </c>
      <c r="AM176" s="38" t="s">
        <v>172</v>
      </c>
      <c r="AN176" s="38" t="s">
        <v>171</v>
      </c>
      <c r="AO176" s="38" t="s">
        <v>172</v>
      </c>
      <c r="AP176" s="38" t="s">
        <v>172</v>
      </c>
      <c r="AQ176" s="38" t="s">
        <v>170</v>
      </c>
      <c r="AR176" s="38" t="s">
        <v>170</v>
      </c>
      <c r="AS176" s="38" t="s">
        <v>170</v>
      </c>
      <c r="AT176" s="38" t="s">
        <v>171</v>
      </c>
      <c r="AU176" s="38" t="s">
        <v>169</v>
      </c>
      <c r="AV176" s="38" t="s">
        <v>172</v>
      </c>
      <c r="AW176" s="38" t="s">
        <v>169</v>
      </c>
      <c r="AX176" s="38" t="s">
        <v>169</v>
      </c>
      <c r="AY176" s="38" t="s">
        <v>171</v>
      </c>
      <c r="AZ176" s="38" t="s">
        <v>170</v>
      </c>
      <c r="BA176" s="38" t="s">
        <v>170</v>
      </c>
      <c r="BB176" s="38" t="s">
        <v>170</v>
      </c>
      <c r="BC176" s="38" t="s">
        <v>171</v>
      </c>
      <c r="BD176" s="38" t="s">
        <v>169</v>
      </c>
      <c r="BE176" s="38" t="s">
        <v>169</v>
      </c>
      <c r="BF176" s="38" t="s">
        <v>171</v>
      </c>
      <c r="BG176" s="38" t="s">
        <v>171</v>
      </c>
      <c r="BH176" s="38" t="s">
        <v>170</v>
      </c>
      <c r="BI176" s="38" t="s">
        <v>172</v>
      </c>
      <c r="BJ176" s="38" t="s">
        <v>172</v>
      </c>
      <c r="BK176" s="38" t="s">
        <v>172</v>
      </c>
      <c r="BL176" s="38" t="s">
        <v>171</v>
      </c>
      <c r="BM176" s="38" t="s">
        <v>170</v>
      </c>
      <c r="BN176" s="38" t="s">
        <v>170</v>
      </c>
      <c r="BO176" s="38" t="s">
        <v>172</v>
      </c>
      <c r="BP176" s="38" t="s">
        <v>169</v>
      </c>
      <c r="BQ176" s="38" t="s">
        <v>169</v>
      </c>
      <c r="BR176" s="38" t="s">
        <v>170</v>
      </c>
      <c r="BS176" s="38" t="s">
        <v>169</v>
      </c>
      <c r="BT176" s="38" t="s">
        <v>170</v>
      </c>
      <c r="BU176" s="38" t="s">
        <v>170</v>
      </c>
      <c r="BV176" s="38" t="s">
        <v>169</v>
      </c>
      <c r="BW176" s="38" t="s">
        <v>170</v>
      </c>
      <c r="BX176" s="38" t="s">
        <v>171</v>
      </c>
    </row>
    <row r="177" customFormat="false" ht="15" hidden="false" customHeight="true" outlineLevel="0" collapsed="false">
      <c r="A177" s="38" t="s">
        <v>435</v>
      </c>
      <c r="B177" s="38" t="s">
        <v>436</v>
      </c>
      <c r="C177" s="38" t="s">
        <v>437</v>
      </c>
      <c r="D177" s="38" t="s">
        <v>25</v>
      </c>
      <c r="E177" s="38" t="s">
        <v>169</v>
      </c>
      <c r="F177" s="38" t="s">
        <v>169</v>
      </c>
      <c r="G177" s="38" t="s">
        <v>172</v>
      </c>
      <c r="H177" s="38" t="s">
        <v>172</v>
      </c>
      <c r="I177" s="38" t="s">
        <v>172</v>
      </c>
      <c r="J177" s="38" t="s">
        <v>170</v>
      </c>
      <c r="K177" s="38" t="s">
        <v>170</v>
      </c>
      <c r="L177" s="38" t="s">
        <v>171</v>
      </c>
      <c r="M177" s="40" t="s">
        <v>176</v>
      </c>
      <c r="N177" s="38" t="s">
        <v>169</v>
      </c>
      <c r="O177" s="38" t="s">
        <v>172</v>
      </c>
      <c r="P177" s="38" t="s">
        <v>171</v>
      </c>
      <c r="Q177" s="38" t="s">
        <v>170</v>
      </c>
      <c r="R177" s="38" t="s">
        <v>172</v>
      </c>
      <c r="S177" s="38" t="s">
        <v>171</v>
      </c>
      <c r="T177" s="40" t="s">
        <v>176</v>
      </c>
      <c r="U177" s="40" t="s">
        <v>176</v>
      </c>
      <c r="V177" s="38" t="s">
        <v>169</v>
      </c>
      <c r="W177" s="38" t="s">
        <v>171</v>
      </c>
      <c r="X177" s="40" t="s">
        <v>176</v>
      </c>
      <c r="Y177" s="38" t="s">
        <v>172</v>
      </c>
      <c r="Z177" s="38" t="s">
        <v>169</v>
      </c>
      <c r="AA177" s="38" t="s">
        <v>172</v>
      </c>
      <c r="AB177" s="38" t="s">
        <v>171</v>
      </c>
      <c r="AC177" s="38" t="s">
        <v>170</v>
      </c>
      <c r="AD177" s="38" t="s">
        <v>169</v>
      </c>
      <c r="AE177" s="38" t="s">
        <v>172</v>
      </c>
      <c r="AF177" s="38" t="s">
        <v>172</v>
      </c>
      <c r="AG177" s="38" t="s">
        <v>171</v>
      </c>
      <c r="AH177" s="38" t="s">
        <v>169</v>
      </c>
      <c r="AI177" s="38" t="s">
        <v>169</v>
      </c>
      <c r="AJ177" s="38" t="s">
        <v>170</v>
      </c>
      <c r="AK177" s="38" t="s">
        <v>171</v>
      </c>
      <c r="AL177" s="38" t="s">
        <v>170</v>
      </c>
      <c r="AM177" s="38" t="s">
        <v>171</v>
      </c>
      <c r="AN177" s="38" t="s">
        <v>172</v>
      </c>
      <c r="AO177" s="38" t="s">
        <v>172</v>
      </c>
      <c r="AP177" s="38" t="s">
        <v>172</v>
      </c>
      <c r="AQ177" s="38" t="s">
        <v>170</v>
      </c>
      <c r="AR177" s="38" t="s">
        <v>170</v>
      </c>
      <c r="AS177" s="38" t="s">
        <v>169</v>
      </c>
      <c r="AT177" s="38" t="s">
        <v>171</v>
      </c>
      <c r="AU177" s="38" t="s">
        <v>171</v>
      </c>
      <c r="AV177" s="38" t="s">
        <v>170</v>
      </c>
      <c r="AW177" s="40" t="s">
        <v>176</v>
      </c>
      <c r="AX177" s="40" t="s">
        <v>176</v>
      </c>
      <c r="AY177" s="38" t="s">
        <v>172</v>
      </c>
      <c r="AZ177" s="38" t="s">
        <v>169</v>
      </c>
      <c r="BA177" s="38" t="s">
        <v>170</v>
      </c>
      <c r="BB177" s="38" t="s">
        <v>170</v>
      </c>
      <c r="BC177" s="38" t="s">
        <v>169</v>
      </c>
      <c r="BD177" s="38" t="s">
        <v>169</v>
      </c>
      <c r="BE177" s="38" t="s">
        <v>169</v>
      </c>
      <c r="BF177" s="38" t="s">
        <v>171</v>
      </c>
      <c r="BG177" s="38" t="s">
        <v>171</v>
      </c>
      <c r="BH177" s="38" t="s">
        <v>172</v>
      </c>
      <c r="BI177" s="38" t="s">
        <v>169</v>
      </c>
      <c r="BJ177" s="38" t="s">
        <v>172</v>
      </c>
      <c r="BK177" s="38" t="s">
        <v>171</v>
      </c>
      <c r="BL177" s="38" t="s">
        <v>171</v>
      </c>
      <c r="BM177" s="38" t="s">
        <v>170</v>
      </c>
      <c r="BN177" s="38" t="s">
        <v>170</v>
      </c>
      <c r="BO177" s="38" t="s">
        <v>170</v>
      </c>
      <c r="BP177" s="38" t="s">
        <v>169</v>
      </c>
      <c r="BQ177" s="38" t="s">
        <v>169</v>
      </c>
      <c r="BR177" s="38" t="s">
        <v>169</v>
      </c>
      <c r="BS177" s="38" t="s">
        <v>169</v>
      </c>
      <c r="BT177" s="38" t="s">
        <v>171</v>
      </c>
      <c r="BU177" s="38" t="s">
        <v>171</v>
      </c>
      <c r="BV177" s="38" t="s">
        <v>171</v>
      </c>
      <c r="BW177" s="38" t="s">
        <v>170</v>
      </c>
      <c r="BX177" s="38" t="s">
        <v>170</v>
      </c>
    </row>
    <row r="178" customFormat="false" ht="15" hidden="false" customHeight="true" outlineLevel="0" collapsed="false">
      <c r="A178" s="38" t="s">
        <v>438</v>
      </c>
      <c r="B178" s="38" t="s">
        <v>439</v>
      </c>
      <c r="C178" s="38" t="s">
        <v>257</v>
      </c>
      <c r="D178" s="38" t="s">
        <v>440</v>
      </c>
      <c r="E178" s="38" t="s">
        <v>169</v>
      </c>
      <c r="F178" s="38" t="s">
        <v>170</v>
      </c>
      <c r="G178" s="38" t="s">
        <v>170</v>
      </c>
      <c r="H178" s="38" t="s">
        <v>170</v>
      </c>
      <c r="I178" s="38" t="s">
        <v>170</v>
      </c>
      <c r="J178" s="38" t="s">
        <v>170</v>
      </c>
      <c r="K178" s="38" t="s">
        <v>169</v>
      </c>
      <c r="L178" s="38" t="s">
        <v>171</v>
      </c>
      <c r="M178" s="38" t="s">
        <v>169</v>
      </c>
      <c r="N178" s="38" t="s">
        <v>169</v>
      </c>
      <c r="O178" s="38" t="s">
        <v>171</v>
      </c>
      <c r="P178" s="38" t="s">
        <v>169</v>
      </c>
      <c r="Q178" s="38" t="s">
        <v>171</v>
      </c>
      <c r="R178" s="38" t="s">
        <v>172</v>
      </c>
      <c r="S178" s="38" t="s">
        <v>169</v>
      </c>
      <c r="T178" s="38" t="s">
        <v>170</v>
      </c>
      <c r="U178" s="38" t="s">
        <v>170</v>
      </c>
      <c r="V178" s="38" t="s">
        <v>169</v>
      </c>
      <c r="W178" s="38" t="s">
        <v>169</v>
      </c>
      <c r="X178" s="38" t="s">
        <v>171</v>
      </c>
      <c r="Y178" s="38" t="s">
        <v>172</v>
      </c>
      <c r="Z178" s="38" t="s">
        <v>169</v>
      </c>
      <c r="AA178" s="38" t="s">
        <v>170</v>
      </c>
      <c r="AB178" s="38" t="s">
        <v>172</v>
      </c>
      <c r="AC178" s="38" t="s">
        <v>171</v>
      </c>
      <c r="AD178" s="38" t="s">
        <v>172</v>
      </c>
      <c r="AE178" s="38" t="s">
        <v>170</v>
      </c>
      <c r="AF178" s="38" t="s">
        <v>169</v>
      </c>
      <c r="AG178" s="38" t="s">
        <v>169</v>
      </c>
      <c r="AH178" s="38" t="s">
        <v>169</v>
      </c>
      <c r="AI178" s="38" t="s">
        <v>169</v>
      </c>
      <c r="AJ178" s="38" t="s">
        <v>171</v>
      </c>
      <c r="AK178" s="38" t="s">
        <v>171</v>
      </c>
      <c r="AL178" s="38" t="s">
        <v>170</v>
      </c>
      <c r="AM178" s="38" t="s">
        <v>171</v>
      </c>
      <c r="AN178" s="38" t="s">
        <v>170</v>
      </c>
      <c r="AO178" s="38" t="s">
        <v>169</v>
      </c>
      <c r="AP178" s="38" t="s">
        <v>171</v>
      </c>
      <c r="AQ178" s="38" t="s">
        <v>170</v>
      </c>
      <c r="AR178" s="38" t="s">
        <v>170</v>
      </c>
      <c r="AS178" s="38" t="s">
        <v>170</v>
      </c>
      <c r="AT178" s="38" t="s">
        <v>170</v>
      </c>
      <c r="AU178" s="38" t="s">
        <v>169</v>
      </c>
      <c r="AV178" s="38" t="s">
        <v>171</v>
      </c>
      <c r="AW178" s="38" t="s">
        <v>169</v>
      </c>
      <c r="AX178" s="40" t="s">
        <v>176</v>
      </c>
      <c r="AY178" s="38" t="s">
        <v>172</v>
      </c>
      <c r="AZ178" s="38" t="s">
        <v>170</v>
      </c>
      <c r="BA178" s="38" t="s">
        <v>170</v>
      </c>
      <c r="BB178" s="38" t="s">
        <v>170</v>
      </c>
      <c r="BC178" s="38" t="s">
        <v>169</v>
      </c>
      <c r="BD178" s="38" t="s">
        <v>169</v>
      </c>
      <c r="BE178" s="38" t="s">
        <v>169</v>
      </c>
      <c r="BF178" s="38" t="s">
        <v>171</v>
      </c>
      <c r="BG178" s="38" t="s">
        <v>171</v>
      </c>
      <c r="BH178" s="38" t="s">
        <v>170</v>
      </c>
      <c r="BI178" s="38" t="s">
        <v>172</v>
      </c>
      <c r="BJ178" s="38" t="s">
        <v>172</v>
      </c>
      <c r="BK178" s="38" t="s">
        <v>172</v>
      </c>
      <c r="BL178" s="38" t="s">
        <v>171</v>
      </c>
      <c r="BM178" s="38" t="s">
        <v>170</v>
      </c>
      <c r="BN178" s="38" t="s">
        <v>170</v>
      </c>
      <c r="BO178" s="38" t="s">
        <v>170</v>
      </c>
      <c r="BP178" s="38" t="s">
        <v>169</v>
      </c>
      <c r="BQ178" s="38" t="s">
        <v>169</v>
      </c>
      <c r="BR178" s="38" t="s">
        <v>170</v>
      </c>
      <c r="BS178" s="38" t="s">
        <v>169</v>
      </c>
      <c r="BT178" s="38" t="s">
        <v>169</v>
      </c>
      <c r="BU178" s="38" t="s">
        <v>169</v>
      </c>
      <c r="BV178" s="38" t="s">
        <v>169</v>
      </c>
      <c r="BW178" s="38" t="s">
        <v>169</v>
      </c>
      <c r="BX178" s="38" t="s">
        <v>170</v>
      </c>
    </row>
    <row r="179" customFormat="false" ht="15" hidden="false" customHeight="true" outlineLevel="0" collapsed="false">
      <c r="A179" s="38" t="s">
        <v>438</v>
      </c>
      <c r="B179" s="38" t="s">
        <v>441</v>
      </c>
      <c r="C179" s="38" t="s">
        <v>216</v>
      </c>
      <c r="D179" s="38" t="s">
        <v>187</v>
      </c>
      <c r="E179" s="38" t="s">
        <v>170</v>
      </c>
      <c r="F179" s="38" t="s">
        <v>169</v>
      </c>
      <c r="G179" s="38" t="s">
        <v>170</v>
      </c>
      <c r="H179" s="38" t="s">
        <v>169</v>
      </c>
      <c r="I179" s="38" t="s">
        <v>169</v>
      </c>
      <c r="J179" s="38" t="s">
        <v>169</v>
      </c>
      <c r="K179" s="38" t="s">
        <v>169</v>
      </c>
      <c r="L179" s="38" t="s">
        <v>171</v>
      </c>
      <c r="M179" s="38" t="s">
        <v>169</v>
      </c>
      <c r="N179" s="38" t="s">
        <v>169</v>
      </c>
      <c r="O179" s="38" t="s">
        <v>169</v>
      </c>
      <c r="P179" s="38" t="s">
        <v>169</v>
      </c>
      <c r="Q179" s="38" t="s">
        <v>170</v>
      </c>
      <c r="R179" s="38" t="s">
        <v>172</v>
      </c>
      <c r="S179" s="38" t="s">
        <v>169</v>
      </c>
      <c r="T179" s="38" t="s">
        <v>170</v>
      </c>
      <c r="U179" s="38" t="s">
        <v>170</v>
      </c>
      <c r="V179" s="38" t="s">
        <v>169</v>
      </c>
      <c r="W179" s="38" t="s">
        <v>169</v>
      </c>
      <c r="X179" s="38" t="s">
        <v>172</v>
      </c>
      <c r="Y179" s="38" t="s">
        <v>171</v>
      </c>
      <c r="Z179" s="38" t="s">
        <v>169</v>
      </c>
      <c r="AA179" s="38" t="s">
        <v>170</v>
      </c>
      <c r="AB179" s="38" t="s">
        <v>170</v>
      </c>
      <c r="AC179" s="38" t="s">
        <v>170</v>
      </c>
      <c r="AD179" s="38" t="s">
        <v>169</v>
      </c>
      <c r="AE179" s="38" t="s">
        <v>169</v>
      </c>
      <c r="AF179" s="38" t="s">
        <v>169</v>
      </c>
      <c r="AG179" s="38" t="s">
        <v>169</v>
      </c>
      <c r="AH179" s="38" t="s">
        <v>169</v>
      </c>
      <c r="AI179" s="38" t="s">
        <v>169</v>
      </c>
      <c r="AJ179" s="38" t="s">
        <v>170</v>
      </c>
      <c r="AK179" s="38" t="s">
        <v>171</v>
      </c>
      <c r="AL179" s="38" t="s">
        <v>170</v>
      </c>
      <c r="AM179" s="38" t="s">
        <v>172</v>
      </c>
      <c r="AN179" s="38" t="s">
        <v>171</v>
      </c>
      <c r="AO179" s="38" t="s">
        <v>172</v>
      </c>
      <c r="AP179" s="38" t="s">
        <v>172</v>
      </c>
      <c r="AQ179" s="38" t="s">
        <v>170</v>
      </c>
      <c r="AR179" s="38" t="s">
        <v>170</v>
      </c>
      <c r="AS179" s="38" t="s">
        <v>170</v>
      </c>
      <c r="AT179" s="38" t="s">
        <v>170</v>
      </c>
      <c r="AU179" s="38" t="s">
        <v>170</v>
      </c>
      <c r="AV179" s="38" t="s">
        <v>172</v>
      </c>
      <c r="AW179" s="38" t="s">
        <v>169</v>
      </c>
      <c r="AX179" s="38" t="s">
        <v>169</v>
      </c>
      <c r="AY179" s="38" t="s">
        <v>171</v>
      </c>
      <c r="AZ179" s="38" t="s">
        <v>170</v>
      </c>
      <c r="BA179" s="38" t="s">
        <v>170</v>
      </c>
      <c r="BB179" s="38" t="s">
        <v>170</v>
      </c>
      <c r="BC179" s="38" t="s">
        <v>170</v>
      </c>
      <c r="BD179" s="38" t="s">
        <v>169</v>
      </c>
      <c r="BE179" s="38" t="s">
        <v>169</v>
      </c>
      <c r="BF179" s="38" t="s">
        <v>171</v>
      </c>
      <c r="BG179" s="38" t="s">
        <v>171</v>
      </c>
      <c r="BH179" s="38" t="s">
        <v>170</v>
      </c>
      <c r="BI179" s="38" t="s">
        <v>172</v>
      </c>
      <c r="BJ179" s="38" t="s">
        <v>172</v>
      </c>
      <c r="BK179" s="38" t="s">
        <v>172</v>
      </c>
      <c r="BL179" s="38" t="s">
        <v>171</v>
      </c>
      <c r="BM179" s="38" t="s">
        <v>170</v>
      </c>
      <c r="BN179" s="38" t="s">
        <v>170</v>
      </c>
      <c r="BO179" s="38" t="s">
        <v>169</v>
      </c>
      <c r="BP179" s="38" t="s">
        <v>169</v>
      </c>
      <c r="BQ179" s="38" t="s">
        <v>169</v>
      </c>
      <c r="BR179" s="38" t="s">
        <v>170</v>
      </c>
      <c r="BS179" s="38" t="s">
        <v>170</v>
      </c>
      <c r="BT179" s="38" t="s">
        <v>170</v>
      </c>
      <c r="BU179" s="38" t="s">
        <v>170</v>
      </c>
      <c r="BV179" s="38" t="s">
        <v>169</v>
      </c>
      <c r="BW179" s="38" t="s">
        <v>170</v>
      </c>
      <c r="BX179" s="38" t="s">
        <v>169</v>
      </c>
    </row>
    <row r="180" customFormat="false" ht="15" hidden="false" customHeight="true" outlineLevel="0" collapsed="false">
      <c r="A180" s="38" t="s">
        <v>438</v>
      </c>
      <c r="B180" s="38" t="s">
        <v>442</v>
      </c>
      <c r="C180" s="38" t="s">
        <v>310</v>
      </c>
      <c r="D180" s="38" t="s">
        <v>311</v>
      </c>
      <c r="E180" s="38" t="s">
        <v>169</v>
      </c>
      <c r="F180" s="38" t="s">
        <v>169</v>
      </c>
      <c r="G180" s="38" t="s">
        <v>169</v>
      </c>
      <c r="H180" s="38" t="s">
        <v>169</v>
      </c>
      <c r="I180" s="38" t="s">
        <v>170</v>
      </c>
      <c r="J180" s="38" t="s">
        <v>170</v>
      </c>
      <c r="K180" s="38" t="s">
        <v>169</v>
      </c>
      <c r="L180" s="38" t="s">
        <v>171</v>
      </c>
      <c r="M180" s="38" t="s">
        <v>172</v>
      </c>
      <c r="N180" s="38" t="s">
        <v>169</v>
      </c>
      <c r="O180" s="38" t="s">
        <v>170</v>
      </c>
      <c r="P180" s="38" t="s">
        <v>171</v>
      </c>
      <c r="Q180" s="38" t="s">
        <v>170</v>
      </c>
      <c r="R180" s="38" t="s">
        <v>172</v>
      </c>
      <c r="S180" s="38" t="s">
        <v>169</v>
      </c>
      <c r="T180" s="38" t="s">
        <v>170</v>
      </c>
      <c r="U180" s="38" t="s">
        <v>170</v>
      </c>
      <c r="V180" s="38" t="s">
        <v>169</v>
      </c>
      <c r="W180" s="38" t="s">
        <v>169</v>
      </c>
      <c r="X180" s="38" t="s">
        <v>170</v>
      </c>
      <c r="Y180" s="38" t="s">
        <v>172</v>
      </c>
      <c r="Z180" s="38" t="s">
        <v>169</v>
      </c>
      <c r="AA180" s="38" t="s">
        <v>172</v>
      </c>
      <c r="AB180" s="38" t="s">
        <v>169</v>
      </c>
      <c r="AC180" s="38" t="s">
        <v>170</v>
      </c>
      <c r="AD180" s="38" t="s">
        <v>169</v>
      </c>
      <c r="AE180" s="38" t="s">
        <v>169</v>
      </c>
      <c r="AF180" s="38" t="s">
        <v>170</v>
      </c>
      <c r="AG180" s="38" t="s">
        <v>169</v>
      </c>
      <c r="AH180" s="38" t="s">
        <v>169</v>
      </c>
      <c r="AI180" s="38" t="s">
        <v>169</v>
      </c>
      <c r="AJ180" s="38" t="s">
        <v>170</v>
      </c>
      <c r="AK180" s="38" t="s">
        <v>171</v>
      </c>
      <c r="AL180" s="38" t="s">
        <v>170</v>
      </c>
      <c r="AM180" s="38" t="s">
        <v>170</v>
      </c>
      <c r="AN180" s="38" t="s">
        <v>172</v>
      </c>
      <c r="AO180" s="38" t="s">
        <v>169</v>
      </c>
      <c r="AP180" s="38" t="s">
        <v>172</v>
      </c>
      <c r="AQ180" s="38" t="s">
        <v>170</v>
      </c>
      <c r="AR180" s="38" t="s">
        <v>170</v>
      </c>
      <c r="AS180" s="38" t="s">
        <v>170</v>
      </c>
      <c r="AT180" s="38" t="s">
        <v>169</v>
      </c>
      <c r="AU180" s="38" t="s">
        <v>171</v>
      </c>
      <c r="AV180" s="38" t="s">
        <v>172</v>
      </c>
      <c r="AW180" s="38" t="s">
        <v>169</v>
      </c>
      <c r="AX180" s="38" t="s">
        <v>169</v>
      </c>
      <c r="AY180" s="38" t="s">
        <v>171</v>
      </c>
      <c r="AZ180" s="38" t="s">
        <v>170</v>
      </c>
      <c r="BA180" s="38" t="s">
        <v>169</v>
      </c>
      <c r="BB180" s="38" t="s">
        <v>169</v>
      </c>
      <c r="BC180" s="38" t="s">
        <v>169</v>
      </c>
      <c r="BD180" s="38" t="s">
        <v>169</v>
      </c>
      <c r="BE180" s="38" t="s">
        <v>169</v>
      </c>
      <c r="BF180" s="38" t="s">
        <v>171</v>
      </c>
      <c r="BG180" s="38" t="s">
        <v>171</v>
      </c>
      <c r="BH180" s="38" t="s">
        <v>170</v>
      </c>
      <c r="BI180" s="38" t="s">
        <v>169</v>
      </c>
      <c r="BJ180" s="38" t="s">
        <v>172</v>
      </c>
      <c r="BK180" s="38" t="s">
        <v>172</v>
      </c>
      <c r="BL180" s="38" t="s">
        <v>171</v>
      </c>
      <c r="BM180" s="38" t="s">
        <v>170</v>
      </c>
      <c r="BN180" s="38" t="s">
        <v>170</v>
      </c>
      <c r="BO180" s="38" t="s">
        <v>170</v>
      </c>
      <c r="BP180" s="38" t="s">
        <v>170</v>
      </c>
      <c r="BQ180" s="38" t="s">
        <v>170</v>
      </c>
      <c r="BR180" s="38" t="s">
        <v>170</v>
      </c>
      <c r="BS180" s="38" t="s">
        <v>169</v>
      </c>
      <c r="BT180" s="38" t="s">
        <v>169</v>
      </c>
      <c r="BU180" s="38" t="s">
        <v>170</v>
      </c>
      <c r="BV180" s="38" t="s">
        <v>170</v>
      </c>
      <c r="BW180" s="38" t="s">
        <v>170</v>
      </c>
      <c r="BX180" s="38" t="s">
        <v>170</v>
      </c>
    </row>
    <row r="181" customFormat="false" ht="15" hidden="false" customHeight="true" outlineLevel="0" collapsed="false">
      <c r="A181" s="38" t="s">
        <v>438</v>
      </c>
      <c r="B181" s="38" t="s">
        <v>443</v>
      </c>
      <c r="C181" s="38" t="s">
        <v>267</v>
      </c>
      <c r="D181" s="38" t="s">
        <v>182</v>
      </c>
      <c r="E181" s="38" t="s">
        <v>169</v>
      </c>
      <c r="F181" s="38" t="s">
        <v>169</v>
      </c>
      <c r="G181" s="38" t="s">
        <v>169</v>
      </c>
      <c r="H181" s="38" t="s">
        <v>170</v>
      </c>
      <c r="I181" s="38" t="s">
        <v>170</v>
      </c>
      <c r="J181" s="38" t="s">
        <v>169</v>
      </c>
      <c r="K181" s="38" t="s">
        <v>169</v>
      </c>
      <c r="L181" s="38" t="s">
        <v>171</v>
      </c>
      <c r="M181" s="38" t="s">
        <v>169</v>
      </c>
      <c r="N181" s="38" t="s">
        <v>169</v>
      </c>
      <c r="O181" s="38" t="s">
        <v>170</v>
      </c>
      <c r="P181" s="38" t="s">
        <v>171</v>
      </c>
      <c r="Q181" s="38" t="s">
        <v>170</v>
      </c>
      <c r="R181" s="38" t="s">
        <v>172</v>
      </c>
      <c r="S181" s="38" t="s">
        <v>169</v>
      </c>
      <c r="T181" s="38" t="s">
        <v>170</v>
      </c>
      <c r="U181" s="38" t="s">
        <v>170</v>
      </c>
      <c r="V181" s="38" t="s">
        <v>169</v>
      </c>
      <c r="W181" s="38" t="s">
        <v>169</v>
      </c>
      <c r="X181" s="38" t="s">
        <v>171</v>
      </c>
      <c r="Y181" s="38" t="s">
        <v>172</v>
      </c>
      <c r="Z181" s="38" t="s">
        <v>169</v>
      </c>
      <c r="AA181" s="38" t="s">
        <v>172</v>
      </c>
      <c r="AB181" s="38" t="s">
        <v>169</v>
      </c>
      <c r="AC181" s="38" t="s">
        <v>170</v>
      </c>
      <c r="AD181" s="38" t="s">
        <v>169</v>
      </c>
      <c r="AE181" s="38" t="s">
        <v>169</v>
      </c>
      <c r="AF181" s="38" t="s">
        <v>170</v>
      </c>
      <c r="AG181" s="38" t="s">
        <v>169</v>
      </c>
      <c r="AH181" s="38" t="s">
        <v>169</v>
      </c>
      <c r="AI181" s="38" t="s">
        <v>169</v>
      </c>
      <c r="AJ181" s="38" t="s">
        <v>170</v>
      </c>
      <c r="AK181" s="38" t="s">
        <v>171</v>
      </c>
      <c r="AL181" s="38" t="s">
        <v>170</v>
      </c>
      <c r="AM181" s="38" t="s">
        <v>171</v>
      </c>
      <c r="AN181" s="38" t="s">
        <v>171</v>
      </c>
      <c r="AO181" s="38" t="s">
        <v>172</v>
      </c>
      <c r="AP181" s="38" t="s">
        <v>172</v>
      </c>
      <c r="AQ181" s="38" t="s">
        <v>170</v>
      </c>
      <c r="AR181" s="38" t="s">
        <v>170</v>
      </c>
      <c r="AS181" s="38" t="s">
        <v>170</v>
      </c>
      <c r="AT181" s="38" t="s">
        <v>169</v>
      </c>
      <c r="AU181" s="38" t="s">
        <v>170</v>
      </c>
      <c r="AV181" s="38" t="s">
        <v>172</v>
      </c>
      <c r="AW181" s="38" t="s">
        <v>169</v>
      </c>
      <c r="AX181" s="38" t="s">
        <v>169</v>
      </c>
      <c r="AY181" s="38" t="s">
        <v>171</v>
      </c>
      <c r="AZ181" s="38" t="s">
        <v>170</v>
      </c>
      <c r="BA181" s="38" t="s">
        <v>170</v>
      </c>
      <c r="BB181" s="38" t="s">
        <v>169</v>
      </c>
      <c r="BC181" s="38" t="s">
        <v>169</v>
      </c>
      <c r="BD181" s="38" t="s">
        <v>169</v>
      </c>
      <c r="BE181" s="38" t="s">
        <v>169</v>
      </c>
      <c r="BF181" s="38" t="s">
        <v>171</v>
      </c>
      <c r="BG181" s="38" t="s">
        <v>171</v>
      </c>
      <c r="BH181" s="38" t="s">
        <v>170</v>
      </c>
      <c r="BI181" s="38" t="s">
        <v>169</v>
      </c>
      <c r="BJ181" s="38" t="s">
        <v>172</v>
      </c>
      <c r="BK181" s="38" t="s">
        <v>172</v>
      </c>
      <c r="BL181" s="38" t="s">
        <v>171</v>
      </c>
      <c r="BM181" s="38" t="s">
        <v>170</v>
      </c>
      <c r="BN181" s="38" t="s">
        <v>170</v>
      </c>
      <c r="BO181" s="38" t="s">
        <v>170</v>
      </c>
      <c r="BP181" s="38" t="s">
        <v>170</v>
      </c>
      <c r="BQ181" s="38" t="s">
        <v>169</v>
      </c>
      <c r="BR181" s="38" t="s">
        <v>170</v>
      </c>
      <c r="BS181" s="38" t="s">
        <v>170</v>
      </c>
      <c r="BT181" s="38" t="s">
        <v>169</v>
      </c>
      <c r="BU181" s="38" t="s">
        <v>169</v>
      </c>
      <c r="BV181" s="38" t="s">
        <v>170</v>
      </c>
      <c r="BW181" s="38" t="s">
        <v>170</v>
      </c>
      <c r="BX181" s="38" t="s">
        <v>170</v>
      </c>
    </row>
    <row r="182" customFormat="false" ht="15" hidden="false" customHeight="true" outlineLevel="0" collapsed="false">
      <c r="A182" s="38" t="s">
        <v>438</v>
      </c>
      <c r="B182" s="38" t="s">
        <v>444</v>
      </c>
      <c r="C182" s="38" t="s">
        <v>208</v>
      </c>
      <c r="D182" s="38" t="s">
        <v>329</v>
      </c>
      <c r="E182" s="38" t="s">
        <v>172</v>
      </c>
      <c r="F182" s="38" t="s">
        <v>169</v>
      </c>
      <c r="G182" s="38" t="s">
        <v>170</v>
      </c>
      <c r="H182" s="38" t="s">
        <v>170</v>
      </c>
      <c r="I182" s="38" t="s">
        <v>170</v>
      </c>
      <c r="J182" s="38" t="s">
        <v>170</v>
      </c>
      <c r="K182" s="38" t="s">
        <v>169</v>
      </c>
      <c r="L182" s="38" t="s">
        <v>171</v>
      </c>
      <c r="M182" s="38" t="s">
        <v>169</v>
      </c>
      <c r="N182" s="38" t="s">
        <v>169</v>
      </c>
      <c r="O182" s="38" t="s">
        <v>171</v>
      </c>
      <c r="P182" s="38" t="s">
        <v>169</v>
      </c>
      <c r="Q182" s="38" t="s">
        <v>171</v>
      </c>
      <c r="R182" s="38" t="s">
        <v>172</v>
      </c>
      <c r="S182" s="38" t="s">
        <v>169</v>
      </c>
      <c r="T182" s="38" t="s">
        <v>170</v>
      </c>
      <c r="U182" s="40" t="s">
        <v>176</v>
      </c>
      <c r="V182" s="38" t="s">
        <v>169</v>
      </c>
      <c r="W182" s="38" t="s">
        <v>169</v>
      </c>
      <c r="X182" s="38" t="s">
        <v>170</v>
      </c>
      <c r="Y182" s="38" t="s">
        <v>172</v>
      </c>
      <c r="Z182" s="38" t="s">
        <v>169</v>
      </c>
      <c r="AA182" s="38" t="s">
        <v>170</v>
      </c>
      <c r="AB182" s="38" t="s">
        <v>172</v>
      </c>
      <c r="AC182" s="38" t="s">
        <v>171</v>
      </c>
      <c r="AD182" s="38" t="s">
        <v>169</v>
      </c>
      <c r="AE182" s="38" t="s">
        <v>170</v>
      </c>
      <c r="AF182" s="38" t="s">
        <v>169</v>
      </c>
      <c r="AG182" s="38" t="s">
        <v>169</v>
      </c>
      <c r="AH182" s="38" t="s">
        <v>169</v>
      </c>
      <c r="AI182" s="38" t="s">
        <v>169</v>
      </c>
      <c r="AJ182" s="38" t="s">
        <v>171</v>
      </c>
      <c r="AK182" s="38" t="s">
        <v>171</v>
      </c>
      <c r="AL182" s="38" t="s">
        <v>171</v>
      </c>
      <c r="AM182" s="38" t="s">
        <v>171</v>
      </c>
      <c r="AN182" s="38" t="s">
        <v>169</v>
      </c>
      <c r="AO182" s="38" t="s">
        <v>169</v>
      </c>
      <c r="AP182" s="38" t="s">
        <v>171</v>
      </c>
      <c r="AQ182" s="38" t="s">
        <v>170</v>
      </c>
      <c r="AR182" s="38" t="s">
        <v>170</v>
      </c>
      <c r="AS182" s="38" t="s">
        <v>170</v>
      </c>
      <c r="AT182" s="38" t="s">
        <v>170</v>
      </c>
      <c r="AU182" s="38" t="s">
        <v>169</v>
      </c>
      <c r="AV182" s="38" t="s">
        <v>171</v>
      </c>
      <c r="AW182" s="38" t="s">
        <v>169</v>
      </c>
      <c r="AX182" s="40" t="s">
        <v>176</v>
      </c>
      <c r="AY182" s="38" t="s">
        <v>172</v>
      </c>
      <c r="AZ182" s="38" t="s">
        <v>170</v>
      </c>
      <c r="BA182" s="38" t="s">
        <v>170</v>
      </c>
      <c r="BB182" s="38" t="s">
        <v>170</v>
      </c>
      <c r="BC182" s="38" t="s">
        <v>170</v>
      </c>
      <c r="BD182" s="38" t="s">
        <v>169</v>
      </c>
      <c r="BE182" s="38" t="s">
        <v>169</v>
      </c>
      <c r="BF182" s="38" t="s">
        <v>171</v>
      </c>
      <c r="BG182" s="38" t="s">
        <v>171</v>
      </c>
      <c r="BH182" s="38" t="s">
        <v>170</v>
      </c>
      <c r="BI182" s="38" t="s">
        <v>169</v>
      </c>
      <c r="BJ182" s="38" t="s">
        <v>172</v>
      </c>
      <c r="BK182" s="38" t="s">
        <v>172</v>
      </c>
      <c r="BL182" s="38" t="s">
        <v>171</v>
      </c>
      <c r="BM182" s="38" t="s">
        <v>170</v>
      </c>
      <c r="BN182" s="38" t="s">
        <v>170</v>
      </c>
      <c r="BO182" s="38" t="s">
        <v>169</v>
      </c>
      <c r="BP182" s="38" t="s">
        <v>169</v>
      </c>
      <c r="BQ182" s="38" t="s">
        <v>169</v>
      </c>
      <c r="BR182" s="38" t="s">
        <v>170</v>
      </c>
      <c r="BS182" s="38" t="s">
        <v>169</v>
      </c>
      <c r="BT182" s="38" t="s">
        <v>169</v>
      </c>
      <c r="BU182" s="38" t="s">
        <v>169</v>
      </c>
      <c r="BV182" s="38" t="s">
        <v>169</v>
      </c>
      <c r="BW182" s="38" t="s">
        <v>170</v>
      </c>
      <c r="BX182" s="38" t="s">
        <v>171</v>
      </c>
    </row>
    <row r="183" customFormat="false" ht="15" hidden="false" customHeight="true" outlineLevel="0" collapsed="false">
      <c r="A183" s="38" t="s">
        <v>445</v>
      </c>
      <c r="B183" s="38" t="s">
        <v>446</v>
      </c>
      <c r="C183" s="38" t="s">
        <v>216</v>
      </c>
      <c r="D183" s="38" t="s">
        <v>187</v>
      </c>
      <c r="E183" s="38" t="s">
        <v>169</v>
      </c>
      <c r="F183" s="38" t="s">
        <v>169</v>
      </c>
      <c r="G183" s="38" t="s">
        <v>169</v>
      </c>
      <c r="H183" s="38" t="s">
        <v>170</v>
      </c>
      <c r="I183" s="38" t="s">
        <v>170</v>
      </c>
      <c r="J183" s="38" t="s">
        <v>170</v>
      </c>
      <c r="K183" s="38" t="s">
        <v>171</v>
      </c>
      <c r="L183" s="38" t="s">
        <v>171</v>
      </c>
      <c r="M183" s="38" t="s">
        <v>172</v>
      </c>
      <c r="N183" s="38" t="s">
        <v>169</v>
      </c>
      <c r="O183" s="38" t="s">
        <v>170</v>
      </c>
      <c r="P183" s="38" t="s">
        <v>171</v>
      </c>
      <c r="Q183" s="38" t="s">
        <v>171</v>
      </c>
      <c r="R183" s="38" t="s">
        <v>172</v>
      </c>
      <c r="S183" s="38" t="s">
        <v>169</v>
      </c>
      <c r="T183" s="38" t="s">
        <v>171</v>
      </c>
      <c r="U183" s="38" t="s">
        <v>170</v>
      </c>
      <c r="V183" s="38" t="s">
        <v>169</v>
      </c>
      <c r="W183" s="38" t="s">
        <v>169</v>
      </c>
      <c r="X183" s="38" t="s">
        <v>171</v>
      </c>
      <c r="Y183" s="38" t="s">
        <v>171</v>
      </c>
      <c r="Z183" s="38" t="s">
        <v>172</v>
      </c>
      <c r="AA183" s="38" t="s">
        <v>172</v>
      </c>
      <c r="AB183" s="38" t="s">
        <v>169</v>
      </c>
      <c r="AC183" s="38" t="s">
        <v>170</v>
      </c>
      <c r="AD183" s="38" t="s">
        <v>169</v>
      </c>
      <c r="AE183" s="38" t="s">
        <v>172</v>
      </c>
      <c r="AF183" s="38" t="s">
        <v>171</v>
      </c>
      <c r="AG183" s="38" t="s">
        <v>170</v>
      </c>
      <c r="AH183" s="38" t="s">
        <v>169</v>
      </c>
      <c r="AI183" s="38" t="s">
        <v>169</v>
      </c>
      <c r="AJ183" s="38" t="s">
        <v>170</v>
      </c>
      <c r="AK183" s="38" t="s">
        <v>171</v>
      </c>
      <c r="AL183" s="38" t="s">
        <v>170</v>
      </c>
      <c r="AM183" s="38" t="s">
        <v>172</v>
      </c>
      <c r="AN183" s="38" t="s">
        <v>171</v>
      </c>
      <c r="AO183" s="38" t="s">
        <v>172</v>
      </c>
      <c r="AP183" s="38" t="s">
        <v>172</v>
      </c>
      <c r="AQ183" s="38" t="s">
        <v>170</v>
      </c>
      <c r="AR183" s="38" t="s">
        <v>170</v>
      </c>
      <c r="AS183" s="38" t="s">
        <v>169</v>
      </c>
      <c r="AT183" s="38" t="s">
        <v>172</v>
      </c>
      <c r="AU183" s="38" t="s">
        <v>171</v>
      </c>
      <c r="AV183" s="38" t="s">
        <v>171</v>
      </c>
      <c r="AW183" s="38" t="s">
        <v>169</v>
      </c>
      <c r="AX183" s="38" t="s">
        <v>172</v>
      </c>
      <c r="AY183" s="38" t="s">
        <v>169</v>
      </c>
      <c r="AZ183" s="38" t="s">
        <v>170</v>
      </c>
      <c r="BA183" s="38" t="s">
        <v>169</v>
      </c>
      <c r="BB183" s="38" t="s">
        <v>170</v>
      </c>
      <c r="BC183" s="38" t="s">
        <v>171</v>
      </c>
      <c r="BD183" s="38" t="s">
        <v>169</v>
      </c>
      <c r="BE183" s="38" t="s">
        <v>169</v>
      </c>
      <c r="BF183" s="38" t="s">
        <v>171</v>
      </c>
      <c r="BG183" s="38" t="s">
        <v>171</v>
      </c>
      <c r="BH183" s="38" t="s">
        <v>170</v>
      </c>
      <c r="BI183" s="38" t="s">
        <v>172</v>
      </c>
      <c r="BJ183" s="38" t="s">
        <v>172</v>
      </c>
      <c r="BK183" s="38" t="s">
        <v>172</v>
      </c>
      <c r="BL183" s="38" t="s">
        <v>171</v>
      </c>
      <c r="BM183" s="38" t="s">
        <v>170</v>
      </c>
      <c r="BN183" s="38" t="s">
        <v>170</v>
      </c>
      <c r="BO183" s="38" t="s">
        <v>169</v>
      </c>
      <c r="BP183" s="38" t="s">
        <v>169</v>
      </c>
      <c r="BQ183" s="38" t="s">
        <v>170</v>
      </c>
      <c r="BR183" s="38" t="s">
        <v>172</v>
      </c>
      <c r="BS183" s="38" t="s">
        <v>169</v>
      </c>
      <c r="BT183" s="38" t="s">
        <v>169</v>
      </c>
      <c r="BU183" s="38" t="s">
        <v>169</v>
      </c>
      <c r="BV183" s="38" t="s">
        <v>170</v>
      </c>
      <c r="BW183" s="38" t="s">
        <v>170</v>
      </c>
      <c r="BX183" s="38" t="s">
        <v>170</v>
      </c>
    </row>
    <row r="184" customFormat="false" ht="15" hidden="false" customHeight="true" outlineLevel="0" collapsed="false">
      <c r="A184" s="38" t="s">
        <v>447</v>
      </c>
      <c r="B184" s="38" t="s">
        <v>448</v>
      </c>
      <c r="C184" s="38" t="s">
        <v>228</v>
      </c>
      <c r="D184" s="38" t="s">
        <v>276</v>
      </c>
      <c r="E184" s="38" t="s">
        <v>169</v>
      </c>
      <c r="F184" s="38" t="s">
        <v>169</v>
      </c>
      <c r="G184" s="38" t="s">
        <v>169</v>
      </c>
      <c r="H184" s="38" t="s">
        <v>170</v>
      </c>
      <c r="I184" s="38" t="s">
        <v>170</v>
      </c>
      <c r="J184" s="38" t="s">
        <v>172</v>
      </c>
      <c r="K184" s="38" t="s">
        <v>169</v>
      </c>
      <c r="L184" s="38" t="s">
        <v>171</v>
      </c>
      <c r="M184" s="38" t="s">
        <v>170</v>
      </c>
      <c r="N184" s="38" t="s">
        <v>169</v>
      </c>
      <c r="O184" s="38" t="s">
        <v>171</v>
      </c>
      <c r="P184" s="38" t="s">
        <v>170</v>
      </c>
      <c r="Q184" s="38" t="s">
        <v>171</v>
      </c>
      <c r="R184" s="38" t="s">
        <v>172</v>
      </c>
      <c r="S184" s="38" t="s">
        <v>169</v>
      </c>
      <c r="T184" s="38" t="s">
        <v>170</v>
      </c>
      <c r="U184" s="38" t="s">
        <v>170</v>
      </c>
      <c r="V184" s="38" t="s">
        <v>169</v>
      </c>
      <c r="W184" s="38" t="s">
        <v>169</v>
      </c>
      <c r="X184" s="38" t="s">
        <v>171</v>
      </c>
      <c r="Y184" s="38" t="s">
        <v>172</v>
      </c>
      <c r="Z184" s="38" t="s">
        <v>169</v>
      </c>
      <c r="AA184" s="38" t="s">
        <v>169</v>
      </c>
      <c r="AB184" s="38" t="s">
        <v>172</v>
      </c>
      <c r="AC184" s="38" t="s">
        <v>170</v>
      </c>
      <c r="AD184" s="38" t="s">
        <v>169</v>
      </c>
      <c r="AE184" s="38" t="s">
        <v>170</v>
      </c>
      <c r="AF184" s="38" t="s">
        <v>170</v>
      </c>
      <c r="AG184" s="38" t="s">
        <v>169</v>
      </c>
      <c r="AH184" s="38" t="s">
        <v>170</v>
      </c>
      <c r="AI184" s="38" t="s">
        <v>170</v>
      </c>
      <c r="AJ184" s="38" t="s">
        <v>170</v>
      </c>
      <c r="AK184" s="38" t="s">
        <v>171</v>
      </c>
      <c r="AL184" s="38" t="s">
        <v>171</v>
      </c>
      <c r="AM184" s="38" t="s">
        <v>172</v>
      </c>
      <c r="AN184" s="38" t="s">
        <v>170</v>
      </c>
      <c r="AO184" s="38" t="s">
        <v>172</v>
      </c>
      <c r="AP184" s="38" t="s">
        <v>172</v>
      </c>
      <c r="AQ184" s="38" t="s">
        <v>169</v>
      </c>
      <c r="AR184" s="38" t="s">
        <v>169</v>
      </c>
      <c r="AS184" s="38" t="s">
        <v>170</v>
      </c>
      <c r="AT184" s="38" t="s">
        <v>169</v>
      </c>
      <c r="AU184" s="38" t="s">
        <v>169</v>
      </c>
      <c r="AV184" s="38" t="s">
        <v>172</v>
      </c>
      <c r="AW184" s="38" t="s">
        <v>169</v>
      </c>
      <c r="AX184" s="38" t="s">
        <v>169</v>
      </c>
      <c r="AY184" s="38" t="s">
        <v>171</v>
      </c>
      <c r="AZ184" s="38" t="s">
        <v>170</v>
      </c>
      <c r="BA184" s="38" t="s">
        <v>170</v>
      </c>
      <c r="BB184" s="38" t="s">
        <v>171</v>
      </c>
      <c r="BC184" s="38" t="s">
        <v>169</v>
      </c>
      <c r="BD184" s="38" t="s">
        <v>169</v>
      </c>
      <c r="BE184" s="38" t="s">
        <v>169</v>
      </c>
      <c r="BF184" s="38" t="s">
        <v>171</v>
      </c>
      <c r="BG184" s="38" t="s">
        <v>171</v>
      </c>
      <c r="BH184" s="38" t="s">
        <v>170</v>
      </c>
      <c r="BI184" s="38" t="s">
        <v>172</v>
      </c>
      <c r="BJ184" s="38" t="s">
        <v>172</v>
      </c>
      <c r="BK184" s="38" t="s">
        <v>169</v>
      </c>
      <c r="BL184" s="38" t="s">
        <v>171</v>
      </c>
      <c r="BM184" s="38" t="s">
        <v>170</v>
      </c>
      <c r="BN184" s="38" t="s">
        <v>170</v>
      </c>
      <c r="BO184" s="38" t="s">
        <v>170</v>
      </c>
      <c r="BP184" s="38" t="s">
        <v>172</v>
      </c>
      <c r="BQ184" s="38" t="s">
        <v>169</v>
      </c>
      <c r="BR184" s="38" t="s">
        <v>170</v>
      </c>
      <c r="BS184" s="38" t="s">
        <v>169</v>
      </c>
      <c r="BT184" s="38" t="s">
        <v>169</v>
      </c>
      <c r="BU184" s="38" t="s">
        <v>169</v>
      </c>
      <c r="BV184" s="38" t="s">
        <v>170</v>
      </c>
      <c r="BW184" s="38" t="s">
        <v>170</v>
      </c>
      <c r="BX184" s="38" t="s">
        <v>170</v>
      </c>
    </row>
    <row r="185" customFormat="false" ht="15" hidden="false" customHeight="true" outlineLevel="0" collapsed="false">
      <c r="A185" s="38" t="s">
        <v>447</v>
      </c>
      <c r="B185" s="38" t="s">
        <v>449</v>
      </c>
      <c r="C185" s="38" t="s">
        <v>228</v>
      </c>
      <c r="D185" s="38" t="s">
        <v>229</v>
      </c>
      <c r="E185" s="38" t="s">
        <v>169</v>
      </c>
      <c r="F185" s="38" t="s">
        <v>169</v>
      </c>
      <c r="G185" s="38" t="s">
        <v>169</v>
      </c>
      <c r="H185" s="38" t="s">
        <v>170</v>
      </c>
      <c r="I185" s="38" t="s">
        <v>170</v>
      </c>
      <c r="J185" s="38" t="s">
        <v>172</v>
      </c>
      <c r="K185" s="38" t="s">
        <v>169</v>
      </c>
      <c r="L185" s="38" t="s">
        <v>171</v>
      </c>
      <c r="M185" s="38" t="s">
        <v>170</v>
      </c>
      <c r="N185" s="38" t="s">
        <v>169</v>
      </c>
      <c r="O185" s="38" t="s">
        <v>171</v>
      </c>
      <c r="P185" s="38" t="s">
        <v>170</v>
      </c>
      <c r="Q185" s="38" t="s">
        <v>171</v>
      </c>
      <c r="R185" s="38" t="s">
        <v>172</v>
      </c>
      <c r="S185" s="38" t="s">
        <v>169</v>
      </c>
      <c r="T185" s="38" t="s">
        <v>170</v>
      </c>
      <c r="U185" s="38" t="s">
        <v>170</v>
      </c>
      <c r="V185" s="38" t="s">
        <v>169</v>
      </c>
      <c r="W185" s="38" t="s">
        <v>169</v>
      </c>
      <c r="X185" s="38" t="s">
        <v>171</v>
      </c>
      <c r="Y185" s="38" t="s">
        <v>172</v>
      </c>
      <c r="Z185" s="38" t="s">
        <v>169</v>
      </c>
      <c r="AA185" s="38" t="s">
        <v>169</v>
      </c>
      <c r="AB185" s="38" t="s">
        <v>172</v>
      </c>
      <c r="AC185" s="38" t="s">
        <v>170</v>
      </c>
      <c r="AD185" s="38" t="s">
        <v>169</v>
      </c>
      <c r="AE185" s="38" t="s">
        <v>170</v>
      </c>
      <c r="AF185" s="38" t="s">
        <v>170</v>
      </c>
      <c r="AG185" s="38" t="s">
        <v>169</v>
      </c>
      <c r="AH185" s="38" t="s">
        <v>170</v>
      </c>
      <c r="AI185" s="38" t="s">
        <v>170</v>
      </c>
      <c r="AJ185" s="38" t="s">
        <v>170</v>
      </c>
      <c r="AK185" s="38" t="s">
        <v>171</v>
      </c>
      <c r="AL185" s="38" t="s">
        <v>169</v>
      </c>
      <c r="AM185" s="38" t="s">
        <v>172</v>
      </c>
      <c r="AN185" s="38" t="s">
        <v>170</v>
      </c>
      <c r="AO185" s="38" t="s">
        <v>169</v>
      </c>
      <c r="AP185" s="38" t="s">
        <v>170</v>
      </c>
      <c r="AQ185" s="38" t="s">
        <v>169</v>
      </c>
      <c r="AR185" s="38" t="s">
        <v>169</v>
      </c>
      <c r="AS185" s="38" t="s">
        <v>170</v>
      </c>
      <c r="AT185" s="38" t="s">
        <v>169</v>
      </c>
      <c r="AU185" s="38" t="s">
        <v>169</v>
      </c>
      <c r="AV185" s="38" t="s">
        <v>172</v>
      </c>
      <c r="AW185" s="38" t="s">
        <v>169</v>
      </c>
      <c r="AX185" s="38" t="s">
        <v>169</v>
      </c>
      <c r="AY185" s="38" t="s">
        <v>171</v>
      </c>
      <c r="AZ185" s="38" t="s">
        <v>170</v>
      </c>
      <c r="BA185" s="38" t="s">
        <v>170</v>
      </c>
      <c r="BB185" s="38" t="s">
        <v>171</v>
      </c>
      <c r="BC185" s="38" t="s">
        <v>169</v>
      </c>
      <c r="BD185" s="38" t="s">
        <v>169</v>
      </c>
      <c r="BE185" s="38" t="s">
        <v>169</v>
      </c>
      <c r="BF185" s="38" t="s">
        <v>171</v>
      </c>
      <c r="BG185" s="38" t="s">
        <v>171</v>
      </c>
      <c r="BH185" s="38" t="s">
        <v>170</v>
      </c>
      <c r="BI185" s="38" t="s">
        <v>172</v>
      </c>
      <c r="BJ185" s="38" t="s">
        <v>172</v>
      </c>
      <c r="BK185" s="38" t="s">
        <v>169</v>
      </c>
      <c r="BL185" s="38" t="s">
        <v>171</v>
      </c>
      <c r="BM185" s="38" t="s">
        <v>170</v>
      </c>
      <c r="BN185" s="38" t="s">
        <v>170</v>
      </c>
      <c r="BO185" s="38" t="s">
        <v>170</v>
      </c>
      <c r="BP185" s="38" t="s">
        <v>172</v>
      </c>
      <c r="BQ185" s="38" t="s">
        <v>169</v>
      </c>
      <c r="BR185" s="38" t="s">
        <v>170</v>
      </c>
      <c r="BS185" s="38" t="s">
        <v>169</v>
      </c>
      <c r="BT185" s="38" t="s">
        <v>169</v>
      </c>
      <c r="BU185" s="38" t="s">
        <v>169</v>
      </c>
      <c r="BV185" s="38" t="s">
        <v>170</v>
      </c>
      <c r="BW185" s="38" t="s">
        <v>170</v>
      </c>
      <c r="BX185" s="38" t="s">
        <v>170</v>
      </c>
    </row>
    <row r="186" customFormat="false" ht="15" hidden="false" customHeight="true" outlineLevel="0" collapsed="false">
      <c r="A186" s="38" t="s">
        <v>450</v>
      </c>
      <c r="B186" s="38" t="s">
        <v>451</v>
      </c>
      <c r="C186" s="38" t="s">
        <v>310</v>
      </c>
      <c r="D186" s="38" t="s">
        <v>311</v>
      </c>
      <c r="E186" s="38" t="s">
        <v>169</v>
      </c>
      <c r="F186" s="38" t="s">
        <v>169</v>
      </c>
      <c r="G186" s="38" t="s">
        <v>169</v>
      </c>
      <c r="H186" s="38" t="s">
        <v>169</v>
      </c>
      <c r="I186" s="38" t="s">
        <v>169</v>
      </c>
      <c r="J186" s="38" t="s">
        <v>170</v>
      </c>
      <c r="K186" s="38" t="s">
        <v>169</v>
      </c>
      <c r="L186" s="38" t="s">
        <v>171</v>
      </c>
      <c r="M186" s="38" t="s">
        <v>169</v>
      </c>
      <c r="N186" s="38" t="s">
        <v>169</v>
      </c>
      <c r="O186" s="38" t="s">
        <v>171</v>
      </c>
      <c r="P186" s="38" t="s">
        <v>169</v>
      </c>
      <c r="Q186" s="38" t="s">
        <v>171</v>
      </c>
      <c r="R186" s="38" t="s">
        <v>172</v>
      </c>
      <c r="S186" s="38" t="s">
        <v>169</v>
      </c>
      <c r="T186" s="38" t="s">
        <v>170</v>
      </c>
      <c r="U186" s="38" t="s">
        <v>170</v>
      </c>
      <c r="V186" s="38" t="s">
        <v>169</v>
      </c>
      <c r="W186" s="38" t="s">
        <v>169</v>
      </c>
      <c r="X186" s="38" t="s">
        <v>171</v>
      </c>
      <c r="Y186" s="38" t="s">
        <v>172</v>
      </c>
      <c r="Z186" s="38" t="s">
        <v>171</v>
      </c>
      <c r="AA186" s="38" t="s">
        <v>170</v>
      </c>
      <c r="AB186" s="38" t="s">
        <v>172</v>
      </c>
      <c r="AC186" s="38" t="s">
        <v>171</v>
      </c>
      <c r="AD186" s="38" t="s">
        <v>170</v>
      </c>
      <c r="AE186" s="38" t="s">
        <v>169</v>
      </c>
      <c r="AF186" s="38" t="s">
        <v>170</v>
      </c>
      <c r="AG186" s="38" t="s">
        <v>169</v>
      </c>
      <c r="AH186" s="38" t="s">
        <v>169</v>
      </c>
      <c r="AI186" s="38" t="s">
        <v>169</v>
      </c>
      <c r="AJ186" s="38" t="s">
        <v>170</v>
      </c>
      <c r="AK186" s="38" t="s">
        <v>171</v>
      </c>
      <c r="AL186" s="38" t="s">
        <v>170</v>
      </c>
      <c r="AM186" s="38" t="s">
        <v>170</v>
      </c>
      <c r="AN186" s="38" t="s">
        <v>172</v>
      </c>
      <c r="AO186" s="38" t="s">
        <v>169</v>
      </c>
      <c r="AP186" s="38" t="s">
        <v>172</v>
      </c>
      <c r="AQ186" s="38" t="s">
        <v>170</v>
      </c>
      <c r="AR186" s="38" t="s">
        <v>170</v>
      </c>
      <c r="AS186" s="38" t="s">
        <v>170</v>
      </c>
      <c r="AT186" s="38" t="s">
        <v>169</v>
      </c>
      <c r="AU186" s="38" t="s">
        <v>170</v>
      </c>
      <c r="AV186" s="38" t="s">
        <v>169</v>
      </c>
      <c r="AW186" s="38" t="s">
        <v>169</v>
      </c>
      <c r="AX186" s="40" t="s">
        <v>176</v>
      </c>
      <c r="AY186" s="38" t="s">
        <v>172</v>
      </c>
      <c r="AZ186" s="38" t="s">
        <v>170</v>
      </c>
      <c r="BA186" s="38" t="s">
        <v>170</v>
      </c>
      <c r="BB186" s="38" t="s">
        <v>169</v>
      </c>
      <c r="BC186" s="38" t="s">
        <v>169</v>
      </c>
      <c r="BD186" s="38" t="s">
        <v>169</v>
      </c>
      <c r="BE186" s="38" t="s">
        <v>169</v>
      </c>
      <c r="BF186" s="38" t="s">
        <v>171</v>
      </c>
      <c r="BG186" s="38" t="s">
        <v>171</v>
      </c>
      <c r="BH186" s="38" t="s">
        <v>170</v>
      </c>
      <c r="BI186" s="38" t="s">
        <v>172</v>
      </c>
      <c r="BJ186" s="38" t="s">
        <v>172</v>
      </c>
      <c r="BK186" s="38" t="s">
        <v>172</v>
      </c>
      <c r="BL186" s="38" t="s">
        <v>171</v>
      </c>
      <c r="BM186" s="38" t="s">
        <v>170</v>
      </c>
      <c r="BN186" s="38" t="s">
        <v>170</v>
      </c>
      <c r="BO186" s="38" t="s">
        <v>170</v>
      </c>
      <c r="BP186" s="38" t="s">
        <v>170</v>
      </c>
      <c r="BQ186" s="38" t="s">
        <v>169</v>
      </c>
      <c r="BR186" s="38" t="s">
        <v>170</v>
      </c>
      <c r="BS186" s="38" t="s">
        <v>169</v>
      </c>
      <c r="BT186" s="38" t="s">
        <v>170</v>
      </c>
      <c r="BU186" s="38" t="s">
        <v>170</v>
      </c>
      <c r="BV186" s="38" t="s">
        <v>170</v>
      </c>
      <c r="BW186" s="38" t="s">
        <v>170</v>
      </c>
      <c r="BX186" s="38" t="s">
        <v>170</v>
      </c>
    </row>
    <row r="187" customFormat="false" ht="15" hidden="false" customHeight="true" outlineLevel="0" collapsed="false">
      <c r="A187" s="38" t="s">
        <v>452</v>
      </c>
      <c r="B187" s="38" t="s">
        <v>453</v>
      </c>
      <c r="C187" s="38" t="s">
        <v>202</v>
      </c>
      <c r="D187" s="38" t="s">
        <v>235</v>
      </c>
      <c r="E187" s="38" t="s">
        <v>169</v>
      </c>
      <c r="F187" s="38" t="s">
        <v>169</v>
      </c>
      <c r="G187" s="38" t="s">
        <v>169</v>
      </c>
      <c r="H187" s="38" t="s">
        <v>169</v>
      </c>
      <c r="I187" s="38" t="s">
        <v>169</v>
      </c>
      <c r="J187" s="38" t="s">
        <v>171</v>
      </c>
      <c r="K187" s="38" t="s">
        <v>169</v>
      </c>
      <c r="L187" s="38" t="s">
        <v>171</v>
      </c>
      <c r="M187" s="38" t="s">
        <v>172</v>
      </c>
      <c r="N187" s="38" t="s">
        <v>169</v>
      </c>
      <c r="O187" s="38" t="s">
        <v>170</v>
      </c>
      <c r="P187" s="38" t="s">
        <v>171</v>
      </c>
      <c r="Q187" s="38" t="s">
        <v>170</v>
      </c>
      <c r="R187" s="38" t="s">
        <v>172</v>
      </c>
      <c r="S187" s="38" t="s">
        <v>169</v>
      </c>
      <c r="T187" s="40" t="s">
        <v>176</v>
      </c>
      <c r="U187" s="38" t="s">
        <v>171</v>
      </c>
      <c r="V187" s="38" t="s">
        <v>169</v>
      </c>
      <c r="W187" s="38" t="s">
        <v>169</v>
      </c>
      <c r="X187" s="38" t="s">
        <v>171</v>
      </c>
      <c r="Y187" s="38" t="s">
        <v>172</v>
      </c>
      <c r="Z187" s="38" t="s">
        <v>169</v>
      </c>
      <c r="AA187" s="38" t="s">
        <v>172</v>
      </c>
      <c r="AB187" s="38" t="s">
        <v>169</v>
      </c>
      <c r="AC187" s="38" t="s">
        <v>170</v>
      </c>
      <c r="AD187" s="38" t="s">
        <v>169</v>
      </c>
      <c r="AE187" s="38" t="s">
        <v>170</v>
      </c>
      <c r="AF187" s="38" t="s">
        <v>172</v>
      </c>
      <c r="AG187" s="38" t="s">
        <v>171</v>
      </c>
      <c r="AH187" s="38" t="s">
        <v>169</v>
      </c>
      <c r="AI187" s="38" t="s">
        <v>170</v>
      </c>
      <c r="AJ187" s="38" t="s">
        <v>171</v>
      </c>
      <c r="AK187" s="38" t="s">
        <v>171</v>
      </c>
      <c r="AL187" s="38" t="s">
        <v>171</v>
      </c>
      <c r="AM187" s="38" t="s">
        <v>169</v>
      </c>
      <c r="AN187" s="38" t="s">
        <v>170</v>
      </c>
      <c r="AO187" s="38" t="s">
        <v>172</v>
      </c>
      <c r="AP187" s="38" t="s">
        <v>171</v>
      </c>
      <c r="AQ187" s="38" t="s">
        <v>169</v>
      </c>
      <c r="AR187" s="38" t="s">
        <v>171</v>
      </c>
      <c r="AS187" s="38" t="s">
        <v>172</v>
      </c>
      <c r="AT187" s="38" t="s">
        <v>171</v>
      </c>
      <c r="AU187" s="38" t="s">
        <v>169</v>
      </c>
      <c r="AV187" s="38" t="s">
        <v>172</v>
      </c>
      <c r="AW187" s="38" t="s">
        <v>169</v>
      </c>
      <c r="AX187" s="38" t="s">
        <v>169</v>
      </c>
      <c r="AY187" s="38" t="s">
        <v>170</v>
      </c>
      <c r="AZ187" s="38" t="s">
        <v>170</v>
      </c>
      <c r="BA187" s="38" t="s">
        <v>171</v>
      </c>
      <c r="BB187" s="38" t="s">
        <v>170</v>
      </c>
      <c r="BC187" s="38" t="s">
        <v>169</v>
      </c>
      <c r="BD187" s="38" t="s">
        <v>169</v>
      </c>
      <c r="BE187" s="38" t="s">
        <v>171</v>
      </c>
      <c r="BF187" s="38" t="s">
        <v>171</v>
      </c>
      <c r="BG187" s="38" t="s">
        <v>170</v>
      </c>
      <c r="BH187" s="38" t="s">
        <v>169</v>
      </c>
      <c r="BI187" s="38" t="s">
        <v>172</v>
      </c>
      <c r="BJ187" s="38" t="s">
        <v>171</v>
      </c>
      <c r="BK187" s="38" t="s">
        <v>170</v>
      </c>
      <c r="BL187" s="38" t="s">
        <v>170</v>
      </c>
      <c r="BM187" s="38" t="s">
        <v>170</v>
      </c>
      <c r="BN187" s="38" t="s">
        <v>170</v>
      </c>
      <c r="BO187" s="38" t="s">
        <v>169</v>
      </c>
      <c r="BP187" s="38" t="s">
        <v>172</v>
      </c>
      <c r="BQ187" s="40" t="s">
        <v>176</v>
      </c>
      <c r="BR187" s="38" t="s">
        <v>170</v>
      </c>
      <c r="BS187" s="38" t="s">
        <v>172</v>
      </c>
      <c r="BT187" s="38" t="s">
        <v>170</v>
      </c>
      <c r="BU187" s="38" t="s">
        <v>170</v>
      </c>
      <c r="BV187" s="38" t="s">
        <v>171</v>
      </c>
      <c r="BW187" s="38" t="s">
        <v>170</v>
      </c>
      <c r="BX187" s="38" t="s">
        <v>170</v>
      </c>
    </row>
    <row r="188" customFormat="false" ht="15" hidden="false" customHeight="true" outlineLevel="0" collapsed="false">
      <c r="A188" s="38" t="s">
        <v>452</v>
      </c>
      <c r="B188" s="38" t="s">
        <v>454</v>
      </c>
      <c r="C188" s="38" t="s">
        <v>202</v>
      </c>
      <c r="D188" s="38" t="s">
        <v>235</v>
      </c>
      <c r="E188" s="38" t="s">
        <v>169</v>
      </c>
      <c r="F188" s="38" t="s">
        <v>169</v>
      </c>
      <c r="G188" s="38" t="s">
        <v>169</v>
      </c>
      <c r="H188" s="38" t="s">
        <v>169</v>
      </c>
      <c r="I188" s="38" t="s">
        <v>169</v>
      </c>
      <c r="J188" s="38" t="s">
        <v>171</v>
      </c>
      <c r="K188" s="38" t="s">
        <v>169</v>
      </c>
      <c r="L188" s="38" t="s">
        <v>171</v>
      </c>
      <c r="M188" s="38" t="s">
        <v>172</v>
      </c>
      <c r="N188" s="38" t="s">
        <v>169</v>
      </c>
      <c r="O188" s="38" t="s">
        <v>170</v>
      </c>
      <c r="P188" s="38" t="s">
        <v>171</v>
      </c>
      <c r="Q188" s="38" t="s">
        <v>170</v>
      </c>
      <c r="R188" s="38" t="s">
        <v>172</v>
      </c>
      <c r="S188" s="38" t="s">
        <v>169</v>
      </c>
      <c r="T188" s="40" t="s">
        <v>176</v>
      </c>
      <c r="U188" s="38" t="s">
        <v>171</v>
      </c>
      <c r="V188" s="38" t="s">
        <v>169</v>
      </c>
      <c r="W188" s="38" t="s">
        <v>169</v>
      </c>
      <c r="X188" s="38" t="s">
        <v>171</v>
      </c>
      <c r="Y188" s="38" t="s">
        <v>172</v>
      </c>
      <c r="Z188" s="38" t="s">
        <v>169</v>
      </c>
      <c r="AA188" s="38" t="s">
        <v>172</v>
      </c>
      <c r="AB188" s="38" t="s">
        <v>169</v>
      </c>
      <c r="AC188" s="38" t="s">
        <v>170</v>
      </c>
      <c r="AD188" s="38" t="s">
        <v>169</v>
      </c>
      <c r="AE188" s="38" t="s">
        <v>170</v>
      </c>
      <c r="AF188" s="38" t="s">
        <v>172</v>
      </c>
      <c r="AG188" s="38" t="s">
        <v>171</v>
      </c>
      <c r="AH188" s="38" t="s">
        <v>169</v>
      </c>
      <c r="AI188" s="38" t="s">
        <v>170</v>
      </c>
      <c r="AJ188" s="38" t="s">
        <v>171</v>
      </c>
      <c r="AK188" s="38" t="s">
        <v>171</v>
      </c>
      <c r="AL188" s="38" t="s">
        <v>171</v>
      </c>
      <c r="AM188" s="38" t="s">
        <v>169</v>
      </c>
      <c r="AN188" s="38" t="s">
        <v>170</v>
      </c>
      <c r="AO188" s="38" t="s">
        <v>172</v>
      </c>
      <c r="AP188" s="38" t="s">
        <v>171</v>
      </c>
      <c r="AQ188" s="38" t="s">
        <v>169</v>
      </c>
      <c r="AR188" s="38" t="s">
        <v>171</v>
      </c>
      <c r="AS188" s="38" t="s">
        <v>172</v>
      </c>
      <c r="AT188" s="38" t="s">
        <v>171</v>
      </c>
      <c r="AU188" s="38" t="s">
        <v>169</v>
      </c>
      <c r="AV188" s="38" t="s">
        <v>172</v>
      </c>
      <c r="AW188" s="38" t="s">
        <v>169</v>
      </c>
      <c r="AX188" s="38" t="s">
        <v>169</v>
      </c>
      <c r="AY188" s="38" t="s">
        <v>170</v>
      </c>
      <c r="AZ188" s="38" t="s">
        <v>170</v>
      </c>
      <c r="BA188" s="38" t="s">
        <v>171</v>
      </c>
      <c r="BB188" s="38" t="s">
        <v>170</v>
      </c>
      <c r="BC188" s="38" t="s">
        <v>169</v>
      </c>
      <c r="BD188" s="38" t="s">
        <v>169</v>
      </c>
      <c r="BE188" s="38" t="s">
        <v>169</v>
      </c>
      <c r="BF188" s="38" t="s">
        <v>171</v>
      </c>
      <c r="BG188" s="38" t="s">
        <v>171</v>
      </c>
      <c r="BH188" s="38" t="s">
        <v>170</v>
      </c>
      <c r="BI188" s="38" t="s">
        <v>169</v>
      </c>
      <c r="BJ188" s="38" t="s">
        <v>172</v>
      </c>
      <c r="BK188" s="38" t="s">
        <v>171</v>
      </c>
      <c r="BL188" s="38" t="s">
        <v>170</v>
      </c>
      <c r="BM188" s="38" t="s">
        <v>170</v>
      </c>
      <c r="BN188" s="38" t="s">
        <v>170</v>
      </c>
      <c r="BO188" s="38" t="s">
        <v>170</v>
      </c>
      <c r="BP188" s="38" t="s">
        <v>169</v>
      </c>
      <c r="BQ188" s="38" t="s">
        <v>172</v>
      </c>
      <c r="BR188" s="38" t="s">
        <v>170</v>
      </c>
      <c r="BS188" s="38" t="s">
        <v>172</v>
      </c>
      <c r="BT188" s="38" t="s">
        <v>170</v>
      </c>
      <c r="BU188" s="38" t="s">
        <v>170</v>
      </c>
      <c r="BV188" s="38" t="s">
        <v>171</v>
      </c>
      <c r="BW188" s="38" t="s">
        <v>170</v>
      </c>
      <c r="BX188" s="38" t="s">
        <v>170</v>
      </c>
    </row>
    <row r="189" customFormat="false" ht="15" hidden="false" customHeight="true" outlineLevel="0" collapsed="false">
      <c r="A189" s="38" t="s">
        <v>452</v>
      </c>
      <c r="B189" s="38" t="s">
        <v>455</v>
      </c>
      <c r="C189" s="38" t="s">
        <v>290</v>
      </c>
      <c r="D189" s="38" t="s">
        <v>179</v>
      </c>
      <c r="E189" s="38" t="s">
        <v>169</v>
      </c>
      <c r="F189" s="38" t="s">
        <v>169</v>
      </c>
      <c r="G189" s="38" t="s">
        <v>169</v>
      </c>
      <c r="H189" s="38" t="s">
        <v>169</v>
      </c>
      <c r="I189" s="38" t="s">
        <v>172</v>
      </c>
      <c r="J189" s="38" t="s">
        <v>171</v>
      </c>
      <c r="K189" s="38" t="s">
        <v>169</v>
      </c>
      <c r="L189" s="38" t="s">
        <v>171</v>
      </c>
      <c r="M189" s="38" t="s">
        <v>172</v>
      </c>
      <c r="N189" s="38" t="s">
        <v>169</v>
      </c>
      <c r="O189" s="38" t="s">
        <v>170</v>
      </c>
      <c r="P189" s="38" t="s">
        <v>171</v>
      </c>
      <c r="Q189" s="38" t="s">
        <v>170</v>
      </c>
      <c r="R189" s="38" t="s">
        <v>172</v>
      </c>
      <c r="S189" s="38" t="s">
        <v>169</v>
      </c>
      <c r="T189" s="40" t="s">
        <v>176</v>
      </c>
      <c r="U189" s="38" t="s">
        <v>171</v>
      </c>
      <c r="V189" s="38" t="s">
        <v>169</v>
      </c>
      <c r="W189" s="38" t="s">
        <v>169</v>
      </c>
      <c r="X189" s="38" t="s">
        <v>171</v>
      </c>
      <c r="Y189" s="38" t="s">
        <v>172</v>
      </c>
      <c r="Z189" s="38" t="s">
        <v>169</v>
      </c>
      <c r="AA189" s="38" t="s">
        <v>172</v>
      </c>
      <c r="AB189" s="38" t="s">
        <v>169</v>
      </c>
      <c r="AC189" s="38" t="s">
        <v>170</v>
      </c>
      <c r="AD189" s="38" t="s">
        <v>169</v>
      </c>
      <c r="AE189" s="38" t="s">
        <v>170</v>
      </c>
      <c r="AF189" s="38" t="s">
        <v>169</v>
      </c>
      <c r="AG189" s="38" t="s">
        <v>170</v>
      </c>
      <c r="AH189" s="38" t="s">
        <v>169</v>
      </c>
      <c r="AI189" s="38" t="s">
        <v>170</v>
      </c>
      <c r="AJ189" s="38" t="s">
        <v>171</v>
      </c>
      <c r="AK189" s="38" t="s">
        <v>171</v>
      </c>
      <c r="AL189" s="38" t="s">
        <v>170</v>
      </c>
      <c r="AM189" s="38" t="s">
        <v>169</v>
      </c>
      <c r="AN189" s="38" t="s">
        <v>170</v>
      </c>
      <c r="AO189" s="38" t="s">
        <v>172</v>
      </c>
      <c r="AP189" s="38" t="s">
        <v>171</v>
      </c>
      <c r="AQ189" s="38" t="s">
        <v>169</v>
      </c>
      <c r="AR189" s="38" t="s">
        <v>171</v>
      </c>
      <c r="AS189" s="38" t="s">
        <v>169</v>
      </c>
      <c r="AT189" s="38" t="s">
        <v>171</v>
      </c>
      <c r="AU189" s="38" t="s">
        <v>169</v>
      </c>
      <c r="AV189" s="38" t="s">
        <v>172</v>
      </c>
      <c r="AW189" s="38" t="s">
        <v>169</v>
      </c>
      <c r="AX189" s="38" t="s">
        <v>169</v>
      </c>
      <c r="AY189" s="38" t="s">
        <v>171</v>
      </c>
      <c r="AZ189" s="38" t="s">
        <v>170</v>
      </c>
      <c r="BA189" s="38" t="s">
        <v>170</v>
      </c>
      <c r="BB189" s="38" t="s">
        <v>170</v>
      </c>
      <c r="BC189" s="38" t="s">
        <v>169</v>
      </c>
      <c r="BD189" s="38" t="s">
        <v>169</v>
      </c>
      <c r="BE189" s="38" t="s">
        <v>169</v>
      </c>
      <c r="BF189" s="38" t="s">
        <v>171</v>
      </c>
      <c r="BG189" s="38" t="s">
        <v>171</v>
      </c>
      <c r="BH189" s="38" t="s">
        <v>170</v>
      </c>
      <c r="BI189" s="38" t="s">
        <v>172</v>
      </c>
      <c r="BJ189" s="38" t="s">
        <v>172</v>
      </c>
      <c r="BK189" s="38" t="s">
        <v>171</v>
      </c>
      <c r="BL189" s="38" t="s">
        <v>170</v>
      </c>
      <c r="BM189" s="38" t="s">
        <v>170</v>
      </c>
      <c r="BN189" s="38" t="s">
        <v>170</v>
      </c>
      <c r="BO189" s="38" t="s">
        <v>170</v>
      </c>
      <c r="BP189" s="38" t="s">
        <v>169</v>
      </c>
      <c r="BQ189" s="38" t="s">
        <v>169</v>
      </c>
      <c r="BR189" s="38" t="s">
        <v>170</v>
      </c>
      <c r="BS189" s="38" t="s">
        <v>172</v>
      </c>
      <c r="BT189" s="38" t="s">
        <v>171</v>
      </c>
      <c r="BU189" s="38" t="s">
        <v>170</v>
      </c>
      <c r="BV189" s="38" t="s">
        <v>171</v>
      </c>
      <c r="BW189" s="38" t="s">
        <v>170</v>
      </c>
      <c r="BX189" s="38" t="s">
        <v>170</v>
      </c>
    </row>
    <row r="190" customFormat="false" ht="15" hidden="false" customHeight="true" outlineLevel="0" collapsed="false">
      <c r="A190" s="38" t="s">
        <v>452</v>
      </c>
      <c r="B190" s="38" t="s">
        <v>456</v>
      </c>
      <c r="C190" s="38" t="s">
        <v>255</v>
      </c>
      <c r="D190" s="38" t="s">
        <v>175</v>
      </c>
      <c r="E190" s="38" t="s">
        <v>171</v>
      </c>
      <c r="F190" s="38" t="s">
        <v>170</v>
      </c>
      <c r="G190" s="38" t="s">
        <v>170</v>
      </c>
      <c r="H190" s="38" t="s">
        <v>171</v>
      </c>
      <c r="I190" s="38" t="s">
        <v>170</v>
      </c>
      <c r="J190" s="38" t="s">
        <v>169</v>
      </c>
      <c r="K190" s="38" t="s">
        <v>171</v>
      </c>
      <c r="L190" s="38" t="s">
        <v>171</v>
      </c>
      <c r="M190" s="38" t="s">
        <v>172</v>
      </c>
      <c r="N190" s="38" t="s">
        <v>169</v>
      </c>
      <c r="O190" s="38" t="s">
        <v>171</v>
      </c>
      <c r="P190" s="38" t="s">
        <v>172</v>
      </c>
      <c r="Q190" s="38" t="s">
        <v>171</v>
      </c>
      <c r="R190" s="38" t="s">
        <v>172</v>
      </c>
      <c r="S190" s="38" t="s">
        <v>169</v>
      </c>
      <c r="T190" s="40" t="s">
        <v>176</v>
      </c>
      <c r="U190" s="38" t="s">
        <v>171</v>
      </c>
      <c r="V190" s="38" t="s">
        <v>169</v>
      </c>
      <c r="W190" s="38" t="s">
        <v>169</v>
      </c>
      <c r="X190" s="38" t="s">
        <v>171</v>
      </c>
      <c r="Y190" s="38" t="s">
        <v>171</v>
      </c>
      <c r="Z190" s="38" t="s">
        <v>169</v>
      </c>
      <c r="AA190" s="38" t="s">
        <v>171</v>
      </c>
      <c r="AB190" s="38" t="s">
        <v>172</v>
      </c>
      <c r="AC190" s="38" t="s">
        <v>171</v>
      </c>
      <c r="AD190" s="38" t="s">
        <v>170</v>
      </c>
      <c r="AE190" s="38" t="s">
        <v>170</v>
      </c>
      <c r="AF190" s="38" t="s">
        <v>170</v>
      </c>
      <c r="AG190" s="38" t="s">
        <v>170</v>
      </c>
      <c r="AH190" s="38" t="s">
        <v>169</v>
      </c>
      <c r="AI190" s="38" t="s">
        <v>170</v>
      </c>
      <c r="AJ190" s="38" t="s">
        <v>170</v>
      </c>
      <c r="AK190" s="38" t="s">
        <v>171</v>
      </c>
      <c r="AL190" s="38" t="s">
        <v>169</v>
      </c>
      <c r="AM190" s="38" t="s">
        <v>171</v>
      </c>
      <c r="AN190" s="38" t="s">
        <v>170</v>
      </c>
      <c r="AO190" s="38" t="s">
        <v>172</v>
      </c>
      <c r="AP190" s="38" t="s">
        <v>170</v>
      </c>
      <c r="AQ190" s="38" t="s">
        <v>169</v>
      </c>
      <c r="AR190" s="38" t="s">
        <v>170</v>
      </c>
      <c r="AS190" s="38" t="s">
        <v>169</v>
      </c>
      <c r="AT190" s="38" t="s">
        <v>169</v>
      </c>
      <c r="AU190" s="38" t="s">
        <v>169</v>
      </c>
      <c r="AV190" s="38" t="s">
        <v>172</v>
      </c>
      <c r="AW190" s="38" t="s">
        <v>169</v>
      </c>
      <c r="AX190" s="40" t="s">
        <v>176</v>
      </c>
      <c r="AY190" s="38" t="s">
        <v>172</v>
      </c>
      <c r="AZ190" s="38" t="s">
        <v>170</v>
      </c>
      <c r="BA190" s="38" t="s">
        <v>170</v>
      </c>
      <c r="BB190" s="38" t="s">
        <v>169</v>
      </c>
      <c r="BC190" s="38" t="s">
        <v>169</v>
      </c>
      <c r="BD190" s="38" t="s">
        <v>169</v>
      </c>
      <c r="BE190" s="38" t="s">
        <v>169</v>
      </c>
      <c r="BF190" s="38" t="s">
        <v>171</v>
      </c>
      <c r="BG190" s="38" t="s">
        <v>171</v>
      </c>
      <c r="BH190" s="38" t="s">
        <v>170</v>
      </c>
      <c r="BI190" s="38" t="s">
        <v>172</v>
      </c>
      <c r="BJ190" s="38" t="s">
        <v>172</v>
      </c>
      <c r="BK190" s="38" t="s">
        <v>171</v>
      </c>
      <c r="BL190" s="38" t="s">
        <v>171</v>
      </c>
      <c r="BM190" s="38" t="s">
        <v>170</v>
      </c>
      <c r="BN190" s="38" t="s">
        <v>170</v>
      </c>
      <c r="BO190" s="38" t="s">
        <v>170</v>
      </c>
      <c r="BP190" s="38" t="s">
        <v>170</v>
      </c>
      <c r="BQ190" s="38" t="s">
        <v>169</v>
      </c>
      <c r="BR190" s="38" t="s">
        <v>172</v>
      </c>
      <c r="BS190" s="38" t="s">
        <v>170</v>
      </c>
      <c r="BT190" s="38" t="s">
        <v>169</v>
      </c>
      <c r="BU190" s="38" t="s">
        <v>169</v>
      </c>
      <c r="BV190" s="38" t="s">
        <v>169</v>
      </c>
      <c r="BW190" s="38" t="s">
        <v>169</v>
      </c>
      <c r="BX190" s="38" t="s">
        <v>172</v>
      </c>
    </row>
    <row r="191" customFormat="false" ht="15" hidden="false" customHeight="true" outlineLevel="0" collapsed="false">
      <c r="A191" s="38" t="s">
        <v>452</v>
      </c>
      <c r="B191" s="38" t="s">
        <v>457</v>
      </c>
      <c r="C191" s="38" t="s">
        <v>257</v>
      </c>
      <c r="D191" s="38" t="s">
        <v>258</v>
      </c>
      <c r="E191" s="38" t="s">
        <v>171</v>
      </c>
      <c r="F191" s="38" t="s">
        <v>170</v>
      </c>
      <c r="G191" s="38" t="s">
        <v>170</v>
      </c>
      <c r="H191" s="38" t="s">
        <v>170</v>
      </c>
      <c r="I191" s="38" t="s">
        <v>172</v>
      </c>
      <c r="J191" s="38" t="s">
        <v>171</v>
      </c>
      <c r="K191" s="38" t="s">
        <v>172</v>
      </c>
      <c r="L191" s="38" t="s">
        <v>171</v>
      </c>
      <c r="M191" s="38" t="s">
        <v>169</v>
      </c>
      <c r="N191" s="38" t="s">
        <v>169</v>
      </c>
      <c r="O191" s="38" t="s">
        <v>171</v>
      </c>
      <c r="P191" s="38" t="s">
        <v>170</v>
      </c>
      <c r="Q191" s="38" t="s">
        <v>171</v>
      </c>
      <c r="R191" s="38" t="s">
        <v>172</v>
      </c>
      <c r="S191" s="38" t="s">
        <v>169</v>
      </c>
      <c r="T191" s="40" t="s">
        <v>176</v>
      </c>
      <c r="U191" s="38" t="s">
        <v>170</v>
      </c>
      <c r="V191" s="38" t="s">
        <v>169</v>
      </c>
      <c r="W191" s="38" t="s">
        <v>169</v>
      </c>
      <c r="X191" s="38" t="s">
        <v>171</v>
      </c>
      <c r="Y191" s="38" t="s">
        <v>172</v>
      </c>
      <c r="Z191" s="38" t="s">
        <v>169</v>
      </c>
      <c r="AA191" s="38" t="s">
        <v>169</v>
      </c>
      <c r="AB191" s="38" t="s">
        <v>172</v>
      </c>
      <c r="AC191" s="38" t="s">
        <v>171</v>
      </c>
      <c r="AD191" s="38" t="s">
        <v>171</v>
      </c>
      <c r="AE191" s="38" t="s">
        <v>170</v>
      </c>
      <c r="AF191" s="38" t="s">
        <v>170</v>
      </c>
      <c r="AG191" s="38" t="s">
        <v>171</v>
      </c>
      <c r="AH191" s="38" t="s">
        <v>169</v>
      </c>
      <c r="AI191" s="38" t="s">
        <v>169</v>
      </c>
      <c r="AJ191" s="38" t="s">
        <v>171</v>
      </c>
      <c r="AK191" s="38" t="s">
        <v>171</v>
      </c>
      <c r="AL191" s="38" t="s">
        <v>171</v>
      </c>
      <c r="AM191" s="38" t="s">
        <v>171</v>
      </c>
      <c r="AN191" s="38" t="s">
        <v>170</v>
      </c>
      <c r="AO191" s="38" t="s">
        <v>172</v>
      </c>
      <c r="AP191" s="38" t="s">
        <v>170</v>
      </c>
      <c r="AQ191" s="38" t="s">
        <v>170</v>
      </c>
      <c r="AR191" s="38" t="s">
        <v>170</v>
      </c>
      <c r="AS191" s="38" t="s">
        <v>172</v>
      </c>
      <c r="AT191" s="38" t="s">
        <v>169</v>
      </c>
      <c r="AU191" s="38" t="s">
        <v>169</v>
      </c>
      <c r="AV191" s="38" t="s">
        <v>171</v>
      </c>
      <c r="AW191" s="38" t="s">
        <v>169</v>
      </c>
      <c r="AX191" s="40" t="s">
        <v>176</v>
      </c>
      <c r="AY191" s="38" t="s">
        <v>169</v>
      </c>
      <c r="AZ191" s="38" t="s">
        <v>170</v>
      </c>
      <c r="BA191" s="38" t="s">
        <v>170</v>
      </c>
      <c r="BB191" s="38" t="s">
        <v>170</v>
      </c>
      <c r="BC191" s="38" t="s">
        <v>169</v>
      </c>
      <c r="BD191" s="38" t="s">
        <v>169</v>
      </c>
      <c r="BE191" s="38" t="s">
        <v>169</v>
      </c>
      <c r="BF191" s="38" t="s">
        <v>171</v>
      </c>
      <c r="BG191" s="38" t="s">
        <v>171</v>
      </c>
      <c r="BH191" s="38" t="s">
        <v>170</v>
      </c>
      <c r="BI191" s="38" t="s">
        <v>169</v>
      </c>
      <c r="BJ191" s="38" t="s">
        <v>172</v>
      </c>
      <c r="BK191" s="38" t="s">
        <v>170</v>
      </c>
      <c r="BL191" s="38" t="s">
        <v>171</v>
      </c>
      <c r="BM191" s="38" t="s">
        <v>170</v>
      </c>
      <c r="BN191" s="38" t="s">
        <v>170</v>
      </c>
      <c r="BO191" s="38" t="s">
        <v>170</v>
      </c>
      <c r="BP191" s="38" t="s">
        <v>169</v>
      </c>
      <c r="BQ191" s="38" t="s">
        <v>169</v>
      </c>
      <c r="BR191" s="38" t="s">
        <v>171</v>
      </c>
      <c r="BS191" s="38" t="s">
        <v>172</v>
      </c>
      <c r="BT191" s="38" t="s">
        <v>171</v>
      </c>
      <c r="BU191" s="38" t="s">
        <v>169</v>
      </c>
      <c r="BV191" s="38" t="s">
        <v>169</v>
      </c>
      <c r="BW191" s="38" t="s">
        <v>169</v>
      </c>
      <c r="BX191" s="38" t="s">
        <v>172</v>
      </c>
    </row>
    <row r="192" customFormat="false" ht="15" hidden="false" customHeight="true" outlineLevel="0" collapsed="false">
      <c r="A192" s="38" t="s">
        <v>452</v>
      </c>
      <c r="B192" s="38" t="s">
        <v>458</v>
      </c>
      <c r="C192" s="38" t="s">
        <v>240</v>
      </c>
      <c r="D192" s="38" t="s">
        <v>241</v>
      </c>
      <c r="E192" s="38" t="s">
        <v>169</v>
      </c>
      <c r="F192" s="38" t="s">
        <v>170</v>
      </c>
      <c r="G192" s="38" t="s">
        <v>170</v>
      </c>
      <c r="H192" s="38" t="s">
        <v>169</v>
      </c>
      <c r="I192" s="38" t="s">
        <v>172</v>
      </c>
      <c r="J192" s="38" t="s">
        <v>172</v>
      </c>
      <c r="K192" s="38" t="s">
        <v>172</v>
      </c>
      <c r="L192" s="38" t="s">
        <v>171</v>
      </c>
      <c r="M192" s="38" t="s">
        <v>172</v>
      </c>
      <c r="N192" s="38" t="s">
        <v>169</v>
      </c>
      <c r="O192" s="38" t="s">
        <v>170</v>
      </c>
      <c r="P192" s="38" t="s">
        <v>171</v>
      </c>
      <c r="Q192" s="38" t="s">
        <v>170</v>
      </c>
      <c r="R192" s="38" t="s">
        <v>172</v>
      </c>
      <c r="S192" s="38" t="s">
        <v>169</v>
      </c>
      <c r="T192" s="38" t="s">
        <v>171</v>
      </c>
      <c r="U192" s="38" t="s">
        <v>171</v>
      </c>
      <c r="V192" s="38" t="s">
        <v>169</v>
      </c>
      <c r="W192" s="38" t="s">
        <v>169</v>
      </c>
      <c r="X192" s="38" t="s">
        <v>169</v>
      </c>
      <c r="Y192" s="38" t="s">
        <v>172</v>
      </c>
      <c r="Z192" s="38" t="s">
        <v>169</v>
      </c>
      <c r="AA192" s="38" t="s">
        <v>172</v>
      </c>
      <c r="AB192" s="38" t="s">
        <v>169</v>
      </c>
      <c r="AC192" s="38" t="s">
        <v>170</v>
      </c>
      <c r="AD192" s="38" t="s">
        <v>169</v>
      </c>
      <c r="AE192" s="38" t="s">
        <v>171</v>
      </c>
      <c r="AF192" s="38" t="s">
        <v>171</v>
      </c>
      <c r="AG192" s="38" t="s">
        <v>172</v>
      </c>
      <c r="AH192" s="38" t="s">
        <v>169</v>
      </c>
      <c r="AI192" s="38" t="s">
        <v>172</v>
      </c>
      <c r="AJ192" s="38" t="s">
        <v>170</v>
      </c>
      <c r="AK192" s="38" t="s">
        <v>171</v>
      </c>
      <c r="AL192" s="38" t="s">
        <v>169</v>
      </c>
      <c r="AM192" s="38" t="s">
        <v>172</v>
      </c>
      <c r="AN192" s="38" t="s">
        <v>172</v>
      </c>
      <c r="AO192" s="38" t="s">
        <v>169</v>
      </c>
      <c r="AP192" s="38" t="s">
        <v>172</v>
      </c>
      <c r="AQ192" s="38" t="s">
        <v>171</v>
      </c>
      <c r="AR192" s="38" t="s">
        <v>170</v>
      </c>
      <c r="AS192" s="38" t="s">
        <v>171</v>
      </c>
      <c r="AT192" s="38" t="s">
        <v>172</v>
      </c>
      <c r="AU192" s="38" t="s">
        <v>172</v>
      </c>
      <c r="AV192" s="38" t="s">
        <v>172</v>
      </c>
      <c r="AW192" s="38" t="s">
        <v>169</v>
      </c>
      <c r="AX192" s="38" t="s">
        <v>169</v>
      </c>
      <c r="AY192" s="38" t="s">
        <v>171</v>
      </c>
      <c r="AZ192" s="38" t="s">
        <v>170</v>
      </c>
      <c r="BA192" s="38" t="s">
        <v>170</v>
      </c>
      <c r="BB192" s="38" t="s">
        <v>170</v>
      </c>
      <c r="BC192" s="38" t="s">
        <v>171</v>
      </c>
      <c r="BD192" s="38" t="s">
        <v>169</v>
      </c>
      <c r="BE192" s="38" t="s">
        <v>169</v>
      </c>
      <c r="BF192" s="38" t="s">
        <v>171</v>
      </c>
      <c r="BG192" s="38" t="s">
        <v>171</v>
      </c>
      <c r="BH192" s="38" t="s">
        <v>170</v>
      </c>
      <c r="BI192" s="38" t="s">
        <v>172</v>
      </c>
      <c r="BJ192" s="38" t="s">
        <v>172</v>
      </c>
      <c r="BK192" s="38" t="s">
        <v>171</v>
      </c>
      <c r="BL192" s="38" t="s">
        <v>170</v>
      </c>
      <c r="BM192" s="38" t="s">
        <v>170</v>
      </c>
      <c r="BN192" s="38" t="s">
        <v>170</v>
      </c>
      <c r="BO192" s="38" t="s">
        <v>169</v>
      </c>
      <c r="BP192" s="38" t="s">
        <v>169</v>
      </c>
      <c r="BQ192" s="38" t="s">
        <v>169</v>
      </c>
      <c r="BR192" s="38" t="s">
        <v>171</v>
      </c>
      <c r="BS192" s="38" t="s">
        <v>171</v>
      </c>
      <c r="BT192" s="38" t="s">
        <v>171</v>
      </c>
      <c r="BU192" s="38" t="s">
        <v>170</v>
      </c>
      <c r="BV192" s="38" t="s">
        <v>169</v>
      </c>
      <c r="BW192" s="38" t="s">
        <v>169</v>
      </c>
      <c r="BX192" s="38" t="s">
        <v>170</v>
      </c>
    </row>
    <row r="193" customFormat="false" ht="15" hidden="false" customHeight="true" outlineLevel="0" collapsed="false">
      <c r="A193" s="38" t="s">
        <v>452</v>
      </c>
      <c r="B193" s="38" t="s">
        <v>459</v>
      </c>
      <c r="C193" s="38" t="s">
        <v>260</v>
      </c>
      <c r="D193" s="38" t="s">
        <v>261</v>
      </c>
      <c r="E193" s="38" t="s">
        <v>169</v>
      </c>
      <c r="F193" s="38" t="s">
        <v>170</v>
      </c>
      <c r="G193" s="38" t="s">
        <v>170</v>
      </c>
      <c r="H193" s="38" t="s">
        <v>169</v>
      </c>
      <c r="I193" s="38" t="s">
        <v>171</v>
      </c>
      <c r="J193" s="38" t="s">
        <v>169</v>
      </c>
      <c r="K193" s="38" t="s">
        <v>172</v>
      </c>
      <c r="L193" s="38" t="s">
        <v>171</v>
      </c>
      <c r="M193" s="38" t="s">
        <v>170</v>
      </c>
      <c r="N193" s="38" t="s">
        <v>169</v>
      </c>
      <c r="O193" s="38" t="s">
        <v>171</v>
      </c>
      <c r="P193" s="38" t="s">
        <v>172</v>
      </c>
      <c r="Q193" s="38" t="s">
        <v>171</v>
      </c>
      <c r="R193" s="38" t="s">
        <v>172</v>
      </c>
      <c r="S193" s="38" t="s">
        <v>169</v>
      </c>
      <c r="T193" s="40" t="s">
        <v>176</v>
      </c>
      <c r="U193" s="38" t="s">
        <v>171</v>
      </c>
      <c r="V193" s="38" t="s">
        <v>169</v>
      </c>
      <c r="W193" s="38" t="s">
        <v>169</v>
      </c>
      <c r="X193" s="38" t="s">
        <v>171</v>
      </c>
      <c r="Y193" s="38" t="s">
        <v>172</v>
      </c>
      <c r="Z193" s="38" t="s">
        <v>169</v>
      </c>
      <c r="AA193" s="38" t="s">
        <v>171</v>
      </c>
      <c r="AB193" s="38" t="s">
        <v>172</v>
      </c>
      <c r="AC193" s="38" t="s">
        <v>170</v>
      </c>
      <c r="AD193" s="38" t="s">
        <v>171</v>
      </c>
      <c r="AE193" s="38" t="s">
        <v>170</v>
      </c>
      <c r="AF193" s="38" t="s">
        <v>171</v>
      </c>
      <c r="AG193" s="38" t="s">
        <v>169</v>
      </c>
      <c r="AH193" s="38" t="s">
        <v>170</v>
      </c>
      <c r="AI193" s="38" t="s">
        <v>169</v>
      </c>
      <c r="AJ193" s="38" t="s">
        <v>171</v>
      </c>
      <c r="AK193" s="38" t="s">
        <v>171</v>
      </c>
      <c r="AL193" s="38" t="s">
        <v>169</v>
      </c>
      <c r="AM193" s="38" t="s">
        <v>171</v>
      </c>
      <c r="AN193" s="38" t="s">
        <v>169</v>
      </c>
      <c r="AO193" s="38" t="s">
        <v>169</v>
      </c>
      <c r="AP193" s="38" t="s">
        <v>170</v>
      </c>
      <c r="AQ193" s="38" t="s">
        <v>170</v>
      </c>
      <c r="AR193" s="38" t="s">
        <v>169</v>
      </c>
      <c r="AS193" s="38" t="s">
        <v>170</v>
      </c>
      <c r="AT193" s="38" t="s">
        <v>172</v>
      </c>
      <c r="AU193" s="38" t="s">
        <v>169</v>
      </c>
      <c r="AV193" s="38" t="s">
        <v>170</v>
      </c>
      <c r="AW193" s="38" t="s">
        <v>172</v>
      </c>
      <c r="AX193" s="40" t="s">
        <v>176</v>
      </c>
      <c r="AY193" s="38" t="s">
        <v>172</v>
      </c>
      <c r="AZ193" s="38" t="s">
        <v>170</v>
      </c>
      <c r="BA193" s="38" t="s">
        <v>170</v>
      </c>
      <c r="BB193" s="38" t="s">
        <v>171</v>
      </c>
      <c r="BC193" s="38" t="s">
        <v>170</v>
      </c>
      <c r="BD193" s="38" t="s">
        <v>169</v>
      </c>
      <c r="BE193" s="38" t="s">
        <v>169</v>
      </c>
      <c r="BF193" s="38" t="s">
        <v>171</v>
      </c>
      <c r="BG193" s="38" t="s">
        <v>171</v>
      </c>
      <c r="BH193" s="38" t="s">
        <v>170</v>
      </c>
      <c r="BI193" s="38" t="s">
        <v>169</v>
      </c>
      <c r="BJ193" s="38" t="s">
        <v>172</v>
      </c>
      <c r="BK193" s="38" t="s">
        <v>172</v>
      </c>
      <c r="BL193" s="38" t="s">
        <v>171</v>
      </c>
      <c r="BM193" s="38" t="s">
        <v>170</v>
      </c>
      <c r="BN193" s="38" t="s">
        <v>170</v>
      </c>
      <c r="BO193" s="38" t="s">
        <v>169</v>
      </c>
      <c r="BP193" s="38" t="s">
        <v>172</v>
      </c>
      <c r="BQ193" s="38" t="s">
        <v>169</v>
      </c>
      <c r="BR193" s="38" t="s">
        <v>171</v>
      </c>
      <c r="BS193" s="38" t="s">
        <v>170</v>
      </c>
      <c r="BT193" s="38" t="s">
        <v>172</v>
      </c>
      <c r="BU193" s="38" t="s">
        <v>170</v>
      </c>
      <c r="BV193" s="38" t="s">
        <v>169</v>
      </c>
      <c r="BW193" s="38" t="s">
        <v>169</v>
      </c>
      <c r="BX193" s="38" t="s">
        <v>170</v>
      </c>
    </row>
    <row r="194" customFormat="false" ht="15" hidden="false" customHeight="true" outlineLevel="0" collapsed="false">
      <c r="A194" s="38" t="s">
        <v>452</v>
      </c>
      <c r="B194" s="38" t="s">
        <v>460</v>
      </c>
      <c r="C194" s="38" t="s">
        <v>216</v>
      </c>
      <c r="D194" s="38" t="s">
        <v>265</v>
      </c>
      <c r="E194" s="38" t="s">
        <v>169</v>
      </c>
      <c r="F194" s="38" t="s">
        <v>170</v>
      </c>
      <c r="G194" s="38" t="s">
        <v>171</v>
      </c>
      <c r="H194" s="38" t="s">
        <v>170</v>
      </c>
      <c r="I194" s="38" t="s">
        <v>170</v>
      </c>
      <c r="J194" s="38" t="s">
        <v>172</v>
      </c>
      <c r="K194" s="38" t="s">
        <v>169</v>
      </c>
      <c r="L194" s="38" t="s">
        <v>171</v>
      </c>
      <c r="M194" s="38" t="s">
        <v>169</v>
      </c>
      <c r="N194" s="38" t="s">
        <v>169</v>
      </c>
      <c r="O194" s="38" t="s">
        <v>170</v>
      </c>
      <c r="P194" s="38" t="s">
        <v>169</v>
      </c>
      <c r="Q194" s="38" t="s">
        <v>170</v>
      </c>
      <c r="R194" s="38" t="s">
        <v>172</v>
      </c>
      <c r="S194" s="38" t="s">
        <v>172</v>
      </c>
      <c r="T194" s="38" t="s">
        <v>171</v>
      </c>
      <c r="U194" s="38" t="s">
        <v>170</v>
      </c>
      <c r="V194" s="38" t="s">
        <v>169</v>
      </c>
      <c r="W194" s="38" t="s">
        <v>169</v>
      </c>
      <c r="X194" s="38" t="s">
        <v>171</v>
      </c>
      <c r="Y194" s="38" t="s">
        <v>172</v>
      </c>
      <c r="Z194" s="38" t="s">
        <v>169</v>
      </c>
      <c r="AA194" s="38" t="s">
        <v>170</v>
      </c>
      <c r="AB194" s="38" t="s">
        <v>169</v>
      </c>
      <c r="AC194" s="38" t="s">
        <v>170</v>
      </c>
      <c r="AD194" s="38" t="s">
        <v>169</v>
      </c>
      <c r="AE194" s="38" t="s">
        <v>170</v>
      </c>
      <c r="AF194" s="38" t="s">
        <v>169</v>
      </c>
      <c r="AG194" s="38" t="s">
        <v>169</v>
      </c>
      <c r="AH194" s="38" t="s">
        <v>171</v>
      </c>
      <c r="AI194" s="38" t="s">
        <v>172</v>
      </c>
      <c r="AJ194" s="38" t="s">
        <v>170</v>
      </c>
      <c r="AK194" s="38" t="s">
        <v>171</v>
      </c>
      <c r="AL194" s="38" t="s">
        <v>171</v>
      </c>
      <c r="AM194" s="38" t="s">
        <v>172</v>
      </c>
      <c r="AN194" s="38" t="s">
        <v>171</v>
      </c>
      <c r="AO194" s="38" t="s">
        <v>172</v>
      </c>
      <c r="AP194" s="38" t="s">
        <v>172</v>
      </c>
      <c r="AQ194" s="38" t="s">
        <v>171</v>
      </c>
      <c r="AR194" s="38" t="s">
        <v>169</v>
      </c>
      <c r="AS194" s="38" t="s">
        <v>170</v>
      </c>
      <c r="AT194" s="38" t="s">
        <v>170</v>
      </c>
      <c r="AU194" s="38" t="s">
        <v>169</v>
      </c>
      <c r="AV194" s="38" t="s">
        <v>172</v>
      </c>
      <c r="AW194" s="38" t="s">
        <v>169</v>
      </c>
      <c r="AX194" s="38" t="s">
        <v>169</v>
      </c>
      <c r="AY194" s="38" t="s">
        <v>171</v>
      </c>
      <c r="AZ194" s="38" t="s">
        <v>171</v>
      </c>
      <c r="BA194" s="38" t="s">
        <v>169</v>
      </c>
      <c r="BB194" s="38" t="s">
        <v>171</v>
      </c>
      <c r="BC194" s="38" t="s">
        <v>169</v>
      </c>
      <c r="BD194" s="38" t="s">
        <v>172</v>
      </c>
      <c r="BE194" s="38" t="s">
        <v>169</v>
      </c>
      <c r="BF194" s="38" t="s">
        <v>171</v>
      </c>
      <c r="BG194" s="38" t="s">
        <v>171</v>
      </c>
      <c r="BH194" s="38" t="s">
        <v>170</v>
      </c>
      <c r="BI194" s="38" t="s">
        <v>169</v>
      </c>
      <c r="BJ194" s="38" t="s">
        <v>172</v>
      </c>
      <c r="BK194" s="38" t="s">
        <v>171</v>
      </c>
      <c r="BL194" s="38" t="s">
        <v>170</v>
      </c>
      <c r="BM194" s="38" t="s">
        <v>170</v>
      </c>
      <c r="BN194" s="38" t="s">
        <v>171</v>
      </c>
      <c r="BO194" s="38" t="s">
        <v>170</v>
      </c>
      <c r="BP194" s="38" t="s">
        <v>172</v>
      </c>
      <c r="BQ194" s="38" t="s">
        <v>170</v>
      </c>
      <c r="BR194" s="38" t="s">
        <v>170</v>
      </c>
      <c r="BS194" s="38" t="s">
        <v>171</v>
      </c>
      <c r="BT194" s="38" t="s">
        <v>169</v>
      </c>
      <c r="BU194" s="38" t="s">
        <v>169</v>
      </c>
      <c r="BV194" s="38" t="s">
        <v>172</v>
      </c>
      <c r="BW194" s="38" t="s">
        <v>169</v>
      </c>
      <c r="BX194" s="38" t="s">
        <v>170</v>
      </c>
    </row>
    <row r="195" customFormat="false" ht="15" hidden="false" customHeight="true" outlineLevel="0" collapsed="false">
      <c r="A195" s="38" t="s">
        <v>452</v>
      </c>
      <c r="B195" s="38" t="s">
        <v>461</v>
      </c>
      <c r="C195" s="38" t="s">
        <v>216</v>
      </c>
      <c r="D195" s="38" t="s">
        <v>263</v>
      </c>
      <c r="E195" s="38" t="s">
        <v>169</v>
      </c>
      <c r="F195" s="38" t="s">
        <v>169</v>
      </c>
      <c r="G195" s="38" t="s">
        <v>170</v>
      </c>
      <c r="H195" s="38" t="s">
        <v>170</v>
      </c>
      <c r="I195" s="38" t="s">
        <v>169</v>
      </c>
      <c r="J195" s="38" t="s">
        <v>169</v>
      </c>
      <c r="K195" s="38" t="s">
        <v>171</v>
      </c>
      <c r="L195" s="38" t="s">
        <v>171</v>
      </c>
      <c r="M195" s="38" t="s">
        <v>172</v>
      </c>
      <c r="N195" s="38" t="s">
        <v>169</v>
      </c>
      <c r="O195" s="38" t="s">
        <v>170</v>
      </c>
      <c r="P195" s="38" t="s">
        <v>171</v>
      </c>
      <c r="Q195" s="38" t="s">
        <v>170</v>
      </c>
      <c r="R195" s="38" t="s">
        <v>172</v>
      </c>
      <c r="S195" s="38" t="s">
        <v>169</v>
      </c>
      <c r="T195" s="38" t="s">
        <v>171</v>
      </c>
      <c r="U195" s="38" t="s">
        <v>171</v>
      </c>
      <c r="V195" s="38" t="s">
        <v>169</v>
      </c>
      <c r="W195" s="38" t="s">
        <v>169</v>
      </c>
      <c r="X195" s="38" t="s">
        <v>171</v>
      </c>
      <c r="Y195" s="38" t="s">
        <v>172</v>
      </c>
      <c r="Z195" s="38" t="s">
        <v>169</v>
      </c>
      <c r="AA195" s="38" t="s">
        <v>172</v>
      </c>
      <c r="AB195" s="38" t="s">
        <v>169</v>
      </c>
      <c r="AC195" s="38" t="s">
        <v>170</v>
      </c>
      <c r="AD195" s="38" t="s">
        <v>169</v>
      </c>
      <c r="AE195" s="38" t="s">
        <v>171</v>
      </c>
      <c r="AF195" s="38" t="s">
        <v>169</v>
      </c>
      <c r="AG195" s="38" t="s">
        <v>169</v>
      </c>
      <c r="AH195" s="38" t="s">
        <v>171</v>
      </c>
      <c r="AI195" s="38" t="s">
        <v>169</v>
      </c>
      <c r="AJ195" s="38" t="s">
        <v>170</v>
      </c>
      <c r="AK195" s="38" t="s">
        <v>171</v>
      </c>
      <c r="AL195" s="38" t="s">
        <v>172</v>
      </c>
      <c r="AM195" s="38" t="s">
        <v>172</v>
      </c>
      <c r="AN195" s="38" t="s">
        <v>171</v>
      </c>
      <c r="AO195" s="38" t="s">
        <v>172</v>
      </c>
      <c r="AP195" s="38" t="s">
        <v>172</v>
      </c>
      <c r="AQ195" s="38" t="s">
        <v>170</v>
      </c>
      <c r="AR195" s="38" t="s">
        <v>169</v>
      </c>
      <c r="AS195" s="38" t="s">
        <v>170</v>
      </c>
      <c r="AT195" s="38" t="s">
        <v>170</v>
      </c>
      <c r="AU195" s="38" t="s">
        <v>172</v>
      </c>
      <c r="AV195" s="38" t="s">
        <v>172</v>
      </c>
      <c r="AW195" s="38" t="s">
        <v>169</v>
      </c>
      <c r="AX195" s="38" t="s">
        <v>169</v>
      </c>
      <c r="AY195" s="38" t="s">
        <v>171</v>
      </c>
      <c r="AZ195" s="38" t="s">
        <v>170</v>
      </c>
      <c r="BA195" s="38" t="s">
        <v>169</v>
      </c>
      <c r="BB195" s="38" t="s">
        <v>170</v>
      </c>
      <c r="BC195" s="38" t="s">
        <v>169</v>
      </c>
      <c r="BD195" s="38" t="s">
        <v>169</v>
      </c>
      <c r="BE195" s="38" t="s">
        <v>169</v>
      </c>
      <c r="BF195" s="38" t="s">
        <v>171</v>
      </c>
      <c r="BG195" s="38" t="s">
        <v>171</v>
      </c>
      <c r="BH195" s="38" t="s">
        <v>170</v>
      </c>
      <c r="BI195" s="38" t="s">
        <v>169</v>
      </c>
      <c r="BJ195" s="38" t="s">
        <v>172</v>
      </c>
      <c r="BK195" s="38" t="s">
        <v>172</v>
      </c>
      <c r="BL195" s="38" t="s">
        <v>170</v>
      </c>
      <c r="BM195" s="38" t="s">
        <v>170</v>
      </c>
      <c r="BN195" s="38" t="s">
        <v>170</v>
      </c>
      <c r="BO195" s="38" t="s">
        <v>170</v>
      </c>
      <c r="BP195" s="38" t="s">
        <v>169</v>
      </c>
      <c r="BQ195" s="38" t="s">
        <v>171</v>
      </c>
      <c r="BR195" s="38" t="s">
        <v>172</v>
      </c>
      <c r="BS195" s="38" t="s">
        <v>170</v>
      </c>
      <c r="BT195" s="38" t="s">
        <v>169</v>
      </c>
      <c r="BU195" s="38" t="s">
        <v>169</v>
      </c>
      <c r="BV195" s="38" t="s">
        <v>169</v>
      </c>
      <c r="BW195" s="38" t="s">
        <v>170</v>
      </c>
      <c r="BX195" s="38" t="s">
        <v>170</v>
      </c>
    </row>
    <row r="196" customFormat="false" ht="15" hidden="false" customHeight="true" outlineLevel="0" collapsed="false">
      <c r="A196" s="38" t="s">
        <v>452</v>
      </c>
      <c r="B196" s="38" t="s">
        <v>462</v>
      </c>
      <c r="C196" s="38" t="s">
        <v>267</v>
      </c>
      <c r="D196" s="38" t="s">
        <v>184</v>
      </c>
      <c r="E196" s="38" t="s">
        <v>169</v>
      </c>
      <c r="F196" s="38" t="s">
        <v>170</v>
      </c>
      <c r="G196" s="38" t="s">
        <v>170</v>
      </c>
      <c r="H196" s="38" t="s">
        <v>170</v>
      </c>
      <c r="I196" s="38" t="s">
        <v>169</v>
      </c>
      <c r="J196" s="38" t="s">
        <v>169</v>
      </c>
      <c r="K196" s="38" t="s">
        <v>172</v>
      </c>
      <c r="L196" s="38" t="s">
        <v>171</v>
      </c>
      <c r="M196" s="38" t="s">
        <v>172</v>
      </c>
      <c r="N196" s="38" t="s">
        <v>169</v>
      </c>
      <c r="O196" s="38" t="s">
        <v>170</v>
      </c>
      <c r="P196" s="38" t="s">
        <v>171</v>
      </c>
      <c r="Q196" s="38" t="s">
        <v>170</v>
      </c>
      <c r="R196" s="38" t="s">
        <v>172</v>
      </c>
      <c r="S196" s="38" t="s">
        <v>169</v>
      </c>
      <c r="T196" s="38" t="s">
        <v>171</v>
      </c>
      <c r="U196" s="38" t="s">
        <v>170</v>
      </c>
      <c r="V196" s="38" t="s">
        <v>169</v>
      </c>
      <c r="W196" s="38" t="s">
        <v>169</v>
      </c>
      <c r="X196" s="38" t="s">
        <v>171</v>
      </c>
      <c r="Y196" s="38" t="s">
        <v>172</v>
      </c>
      <c r="Z196" s="38" t="s">
        <v>169</v>
      </c>
      <c r="AA196" s="38" t="s">
        <v>172</v>
      </c>
      <c r="AB196" s="38" t="s">
        <v>169</v>
      </c>
      <c r="AC196" s="38" t="s">
        <v>170</v>
      </c>
      <c r="AD196" s="38" t="s">
        <v>172</v>
      </c>
      <c r="AE196" s="38" t="s">
        <v>171</v>
      </c>
      <c r="AF196" s="38" t="s">
        <v>170</v>
      </c>
      <c r="AG196" s="38" t="s">
        <v>172</v>
      </c>
      <c r="AH196" s="38" t="s">
        <v>169</v>
      </c>
      <c r="AI196" s="38" t="s">
        <v>172</v>
      </c>
      <c r="AJ196" s="38" t="s">
        <v>170</v>
      </c>
      <c r="AK196" s="38" t="s">
        <v>171</v>
      </c>
      <c r="AL196" s="38" t="s">
        <v>171</v>
      </c>
      <c r="AM196" s="38" t="s">
        <v>171</v>
      </c>
      <c r="AN196" s="38" t="s">
        <v>171</v>
      </c>
      <c r="AO196" s="38" t="s">
        <v>172</v>
      </c>
      <c r="AP196" s="38" t="s">
        <v>172</v>
      </c>
      <c r="AQ196" s="38" t="s">
        <v>171</v>
      </c>
      <c r="AR196" s="38" t="s">
        <v>170</v>
      </c>
      <c r="AS196" s="38" t="s">
        <v>171</v>
      </c>
      <c r="AT196" s="38" t="s">
        <v>169</v>
      </c>
      <c r="AU196" s="38" t="s">
        <v>172</v>
      </c>
      <c r="AV196" s="38" t="s">
        <v>169</v>
      </c>
      <c r="AW196" s="38" t="s">
        <v>169</v>
      </c>
      <c r="AX196" s="38" t="s">
        <v>169</v>
      </c>
      <c r="AY196" s="38" t="s">
        <v>171</v>
      </c>
      <c r="AZ196" s="38" t="s">
        <v>170</v>
      </c>
      <c r="BA196" s="38" t="s">
        <v>170</v>
      </c>
      <c r="BB196" s="38" t="s">
        <v>172</v>
      </c>
      <c r="BC196" s="38" t="s">
        <v>169</v>
      </c>
      <c r="BD196" s="38" t="s">
        <v>169</v>
      </c>
      <c r="BE196" s="38" t="s">
        <v>169</v>
      </c>
      <c r="BF196" s="38" t="s">
        <v>171</v>
      </c>
      <c r="BG196" s="38" t="s">
        <v>171</v>
      </c>
      <c r="BH196" s="38" t="s">
        <v>170</v>
      </c>
      <c r="BI196" s="38" t="s">
        <v>172</v>
      </c>
      <c r="BJ196" s="38" t="s">
        <v>172</v>
      </c>
      <c r="BK196" s="38" t="s">
        <v>169</v>
      </c>
      <c r="BL196" s="38" t="s">
        <v>171</v>
      </c>
      <c r="BM196" s="38" t="s">
        <v>170</v>
      </c>
      <c r="BN196" s="38" t="s">
        <v>170</v>
      </c>
      <c r="BO196" s="38" t="s">
        <v>170</v>
      </c>
      <c r="BP196" s="38" t="s">
        <v>171</v>
      </c>
      <c r="BQ196" s="38" t="s">
        <v>169</v>
      </c>
      <c r="BR196" s="38" t="s">
        <v>171</v>
      </c>
      <c r="BS196" s="38" t="s">
        <v>171</v>
      </c>
      <c r="BT196" s="38" t="s">
        <v>170</v>
      </c>
      <c r="BU196" s="38" t="s">
        <v>169</v>
      </c>
      <c r="BV196" s="38" t="s">
        <v>169</v>
      </c>
      <c r="BW196" s="38" t="s">
        <v>169</v>
      </c>
      <c r="BX196" s="38" t="s">
        <v>170</v>
      </c>
    </row>
    <row r="197" customFormat="false" ht="15" hidden="false" customHeight="true" outlineLevel="0" collapsed="false">
      <c r="A197" s="38" t="s">
        <v>452</v>
      </c>
      <c r="B197" s="38" t="s">
        <v>463</v>
      </c>
      <c r="C197" s="38" t="s">
        <v>267</v>
      </c>
      <c r="D197" s="38" t="s">
        <v>182</v>
      </c>
      <c r="E197" s="38" t="s">
        <v>169</v>
      </c>
      <c r="F197" s="38" t="s">
        <v>170</v>
      </c>
      <c r="G197" s="38" t="s">
        <v>170</v>
      </c>
      <c r="H197" s="38" t="s">
        <v>170</v>
      </c>
      <c r="I197" s="38" t="s">
        <v>169</v>
      </c>
      <c r="J197" s="38" t="s">
        <v>169</v>
      </c>
      <c r="K197" s="38" t="s">
        <v>170</v>
      </c>
      <c r="L197" s="38" t="s">
        <v>171</v>
      </c>
      <c r="M197" s="38" t="s">
        <v>172</v>
      </c>
      <c r="N197" s="38" t="s">
        <v>169</v>
      </c>
      <c r="O197" s="38" t="s">
        <v>170</v>
      </c>
      <c r="P197" s="38" t="s">
        <v>171</v>
      </c>
      <c r="Q197" s="38" t="s">
        <v>170</v>
      </c>
      <c r="R197" s="38" t="s">
        <v>172</v>
      </c>
      <c r="S197" s="38" t="s">
        <v>169</v>
      </c>
      <c r="T197" s="38" t="s">
        <v>171</v>
      </c>
      <c r="U197" s="38" t="s">
        <v>170</v>
      </c>
      <c r="V197" s="38" t="s">
        <v>169</v>
      </c>
      <c r="W197" s="38" t="s">
        <v>169</v>
      </c>
      <c r="X197" s="38" t="s">
        <v>171</v>
      </c>
      <c r="Y197" s="38" t="s">
        <v>172</v>
      </c>
      <c r="Z197" s="38" t="s">
        <v>169</v>
      </c>
      <c r="AA197" s="38" t="s">
        <v>172</v>
      </c>
      <c r="AB197" s="38" t="s">
        <v>169</v>
      </c>
      <c r="AC197" s="38" t="s">
        <v>170</v>
      </c>
      <c r="AD197" s="38" t="s">
        <v>172</v>
      </c>
      <c r="AE197" s="38" t="s">
        <v>171</v>
      </c>
      <c r="AF197" s="38" t="s">
        <v>169</v>
      </c>
      <c r="AG197" s="38" t="s">
        <v>169</v>
      </c>
      <c r="AH197" s="38" t="s">
        <v>169</v>
      </c>
      <c r="AI197" s="38" t="s">
        <v>172</v>
      </c>
      <c r="AJ197" s="38" t="s">
        <v>170</v>
      </c>
      <c r="AK197" s="38" t="s">
        <v>171</v>
      </c>
      <c r="AL197" s="38" t="s">
        <v>170</v>
      </c>
      <c r="AM197" s="38" t="s">
        <v>171</v>
      </c>
      <c r="AN197" s="38" t="s">
        <v>171</v>
      </c>
      <c r="AO197" s="38" t="s">
        <v>172</v>
      </c>
      <c r="AP197" s="38" t="s">
        <v>172</v>
      </c>
      <c r="AQ197" s="38" t="s">
        <v>171</v>
      </c>
      <c r="AR197" s="38" t="s">
        <v>170</v>
      </c>
      <c r="AS197" s="38" t="s">
        <v>171</v>
      </c>
      <c r="AT197" s="38" t="s">
        <v>170</v>
      </c>
      <c r="AU197" s="38" t="s">
        <v>172</v>
      </c>
      <c r="AV197" s="38" t="s">
        <v>169</v>
      </c>
      <c r="AW197" s="38" t="s">
        <v>169</v>
      </c>
      <c r="AX197" s="38" t="s">
        <v>169</v>
      </c>
      <c r="AY197" s="38" t="s">
        <v>171</v>
      </c>
      <c r="AZ197" s="38" t="s">
        <v>170</v>
      </c>
      <c r="BA197" s="38" t="s">
        <v>169</v>
      </c>
      <c r="BB197" s="38" t="s">
        <v>171</v>
      </c>
      <c r="BC197" s="38" t="s">
        <v>169</v>
      </c>
      <c r="BD197" s="38" t="s">
        <v>169</v>
      </c>
      <c r="BE197" s="38" t="s">
        <v>169</v>
      </c>
      <c r="BF197" s="38" t="s">
        <v>171</v>
      </c>
      <c r="BG197" s="38" t="s">
        <v>171</v>
      </c>
      <c r="BH197" s="38" t="s">
        <v>170</v>
      </c>
      <c r="BI197" s="38" t="s">
        <v>169</v>
      </c>
      <c r="BJ197" s="38" t="s">
        <v>172</v>
      </c>
      <c r="BK197" s="38" t="s">
        <v>169</v>
      </c>
      <c r="BL197" s="38" t="s">
        <v>170</v>
      </c>
      <c r="BM197" s="38" t="s">
        <v>170</v>
      </c>
      <c r="BN197" s="38" t="s">
        <v>170</v>
      </c>
      <c r="BO197" s="38" t="s">
        <v>170</v>
      </c>
      <c r="BP197" s="38" t="s">
        <v>172</v>
      </c>
      <c r="BQ197" s="38" t="s">
        <v>170</v>
      </c>
      <c r="BR197" s="38" t="s">
        <v>170</v>
      </c>
      <c r="BS197" s="38" t="s">
        <v>171</v>
      </c>
      <c r="BT197" s="38" t="s">
        <v>171</v>
      </c>
      <c r="BU197" s="38" t="s">
        <v>169</v>
      </c>
      <c r="BV197" s="38" t="s">
        <v>169</v>
      </c>
      <c r="BW197" s="38" t="s">
        <v>169</v>
      </c>
      <c r="BX197" s="38" t="s">
        <v>170</v>
      </c>
    </row>
    <row r="198" customFormat="false" ht="15" hidden="false" customHeight="true" outlineLevel="0" collapsed="false">
      <c r="A198" s="38" t="s">
        <v>452</v>
      </c>
      <c r="B198" s="38" t="s">
        <v>464</v>
      </c>
      <c r="C198" s="38" t="s">
        <v>251</v>
      </c>
      <c r="D198" s="38" t="s">
        <v>252</v>
      </c>
      <c r="E198" s="38" t="s">
        <v>169</v>
      </c>
      <c r="F198" s="38" t="s">
        <v>171</v>
      </c>
      <c r="G198" s="38" t="s">
        <v>170</v>
      </c>
      <c r="H198" s="38" t="s">
        <v>171</v>
      </c>
      <c r="I198" s="38" t="s">
        <v>170</v>
      </c>
      <c r="J198" s="38" t="s">
        <v>171</v>
      </c>
      <c r="K198" s="38" t="s">
        <v>169</v>
      </c>
      <c r="L198" s="38" t="s">
        <v>171</v>
      </c>
      <c r="M198" s="38" t="s">
        <v>169</v>
      </c>
      <c r="N198" s="38" t="s">
        <v>169</v>
      </c>
      <c r="O198" s="38" t="s">
        <v>170</v>
      </c>
      <c r="P198" s="38" t="s">
        <v>169</v>
      </c>
      <c r="Q198" s="38" t="s">
        <v>170</v>
      </c>
      <c r="R198" s="38" t="s">
        <v>172</v>
      </c>
      <c r="S198" s="38" t="s">
        <v>172</v>
      </c>
      <c r="T198" s="38" t="s">
        <v>171</v>
      </c>
      <c r="U198" s="38" t="s">
        <v>170</v>
      </c>
      <c r="V198" s="38" t="s">
        <v>169</v>
      </c>
      <c r="W198" s="38" t="s">
        <v>169</v>
      </c>
      <c r="X198" s="38" t="s">
        <v>171</v>
      </c>
      <c r="Y198" s="38" t="s">
        <v>172</v>
      </c>
      <c r="Z198" s="38" t="s">
        <v>169</v>
      </c>
      <c r="AA198" s="38" t="s">
        <v>170</v>
      </c>
      <c r="AB198" s="38" t="s">
        <v>169</v>
      </c>
      <c r="AC198" s="38" t="s">
        <v>170</v>
      </c>
      <c r="AD198" s="38" t="s">
        <v>169</v>
      </c>
      <c r="AE198" s="38" t="s">
        <v>171</v>
      </c>
      <c r="AF198" s="38" t="s">
        <v>171</v>
      </c>
      <c r="AG198" s="38" t="s">
        <v>170</v>
      </c>
      <c r="AH198" s="38" t="s">
        <v>169</v>
      </c>
      <c r="AI198" s="38" t="s">
        <v>169</v>
      </c>
      <c r="AJ198" s="38" t="s">
        <v>170</v>
      </c>
      <c r="AK198" s="38" t="s">
        <v>171</v>
      </c>
      <c r="AL198" s="38" t="s">
        <v>169</v>
      </c>
      <c r="AM198" s="38" t="s">
        <v>171</v>
      </c>
      <c r="AN198" s="38" t="s">
        <v>171</v>
      </c>
      <c r="AO198" s="38" t="s">
        <v>172</v>
      </c>
      <c r="AP198" s="38" t="s">
        <v>172</v>
      </c>
      <c r="AQ198" s="38" t="s">
        <v>170</v>
      </c>
      <c r="AR198" s="38" t="s">
        <v>170</v>
      </c>
      <c r="AS198" s="38" t="s">
        <v>169</v>
      </c>
      <c r="AT198" s="38" t="s">
        <v>172</v>
      </c>
      <c r="AU198" s="38" t="s">
        <v>172</v>
      </c>
      <c r="AV198" s="38" t="s">
        <v>172</v>
      </c>
      <c r="AW198" s="38" t="s">
        <v>169</v>
      </c>
      <c r="AX198" s="38" t="s">
        <v>169</v>
      </c>
      <c r="AY198" s="38" t="s">
        <v>171</v>
      </c>
      <c r="AZ198" s="38" t="s">
        <v>171</v>
      </c>
      <c r="BA198" s="38" t="s">
        <v>169</v>
      </c>
      <c r="BB198" s="38" t="s">
        <v>169</v>
      </c>
      <c r="BC198" s="38" t="s">
        <v>171</v>
      </c>
      <c r="BD198" s="38" t="s">
        <v>169</v>
      </c>
      <c r="BE198" s="38" t="s">
        <v>169</v>
      </c>
      <c r="BF198" s="38" t="s">
        <v>171</v>
      </c>
      <c r="BG198" s="38" t="s">
        <v>171</v>
      </c>
      <c r="BH198" s="38" t="s">
        <v>170</v>
      </c>
      <c r="BI198" s="38" t="s">
        <v>169</v>
      </c>
      <c r="BJ198" s="38" t="s">
        <v>172</v>
      </c>
      <c r="BK198" s="38" t="s">
        <v>169</v>
      </c>
      <c r="BL198" s="38" t="s">
        <v>170</v>
      </c>
      <c r="BM198" s="38" t="s">
        <v>170</v>
      </c>
      <c r="BN198" s="38" t="s">
        <v>170</v>
      </c>
      <c r="BO198" s="38" t="s">
        <v>172</v>
      </c>
      <c r="BP198" s="38" t="s">
        <v>170</v>
      </c>
      <c r="BQ198" s="38" t="s">
        <v>170</v>
      </c>
      <c r="BR198" s="38" t="s">
        <v>170</v>
      </c>
      <c r="BS198" s="38" t="s">
        <v>172</v>
      </c>
      <c r="BT198" s="38" t="s">
        <v>169</v>
      </c>
      <c r="BU198" s="38" t="s">
        <v>169</v>
      </c>
      <c r="BV198" s="38" t="s">
        <v>169</v>
      </c>
      <c r="BW198" s="38" t="s">
        <v>172</v>
      </c>
      <c r="BX198" s="38" t="s">
        <v>170</v>
      </c>
    </row>
    <row r="199" customFormat="false" ht="15" hidden="false" customHeight="true" outlineLevel="0" collapsed="false">
      <c r="A199" s="38" t="s">
        <v>452</v>
      </c>
      <c r="B199" s="38" t="s">
        <v>465</v>
      </c>
      <c r="C199" s="38" t="s">
        <v>221</v>
      </c>
      <c r="D199" s="38" t="s">
        <v>466</v>
      </c>
      <c r="E199" s="38" t="s">
        <v>169</v>
      </c>
      <c r="F199" s="38" t="s">
        <v>169</v>
      </c>
      <c r="G199" s="38" t="s">
        <v>170</v>
      </c>
      <c r="H199" s="38" t="s">
        <v>170</v>
      </c>
      <c r="I199" s="38" t="s">
        <v>169</v>
      </c>
      <c r="J199" s="38" t="s">
        <v>169</v>
      </c>
      <c r="K199" s="38" t="s">
        <v>171</v>
      </c>
      <c r="L199" s="38" t="s">
        <v>171</v>
      </c>
      <c r="M199" s="38" t="s">
        <v>172</v>
      </c>
      <c r="N199" s="38" t="s">
        <v>169</v>
      </c>
      <c r="O199" s="38" t="s">
        <v>170</v>
      </c>
      <c r="P199" s="38" t="s">
        <v>171</v>
      </c>
      <c r="Q199" s="38" t="s">
        <v>170</v>
      </c>
      <c r="R199" s="38" t="s">
        <v>172</v>
      </c>
      <c r="S199" s="38" t="s">
        <v>169</v>
      </c>
      <c r="T199" s="38" t="s">
        <v>171</v>
      </c>
      <c r="U199" s="38" t="s">
        <v>171</v>
      </c>
      <c r="V199" s="38" t="s">
        <v>169</v>
      </c>
      <c r="W199" s="38" t="s">
        <v>169</v>
      </c>
      <c r="X199" s="38" t="s">
        <v>171</v>
      </c>
      <c r="Y199" s="38" t="s">
        <v>172</v>
      </c>
      <c r="Z199" s="38" t="s">
        <v>169</v>
      </c>
      <c r="AA199" s="38" t="s">
        <v>172</v>
      </c>
      <c r="AB199" s="38" t="s">
        <v>169</v>
      </c>
      <c r="AC199" s="38" t="s">
        <v>170</v>
      </c>
      <c r="AD199" s="38" t="s">
        <v>169</v>
      </c>
      <c r="AE199" s="38" t="s">
        <v>171</v>
      </c>
      <c r="AF199" s="38" t="s">
        <v>169</v>
      </c>
      <c r="AG199" s="38" t="s">
        <v>170</v>
      </c>
      <c r="AH199" s="38" t="s">
        <v>171</v>
      </c>
      <c r="AI199" s="38" t="s">
        <v>169</v>
      </c>
      <c r="AJ199" s="38" t="s">
        <v>170</v>
      </c>
      <c r="AK199" s="38" t="s">
        <v>171</v>
      </c>
      <c r="AL199" s="38" t="s">
        <v>172</v>
      </c>
      <c r="AM199" s="38" t="s">
        <v>170</v>
      </c>
      <c r="AN199" s="38" t="s">
        <v>171</v>
      </c>
      <c r="AO199" s="38" t="s">
        <v>172</v>
      </c>
      <c r="AP199" s="38" t="s">
        <v>172</v>
      </c>
      <c r="AQ199" s="38" t="s">
        <v>171</v>
      </c>
      <c r="AR199" s="38" t="s">
        <v>169</v>
      </c>
      <c r="AS199" s="38" t="s">
        <v>170</v>
      </c>
      <c r="AT199" s="38" t="s">
        <v>170</v>
      </c>
      <c r="AU199" s="38" t="s">
        <v>172</v>
      </c>
      <c r="AV199" s="38" t="s">
        <v>169</v>
      </c>
      <c r="AW199" s="38" t="s">
        <v>169</v>
      </c>
      <c r="AX199" s="38" t="s">
        <v>169</v>
      </c>
      <c r="AY199" s="38" t="s">
        <v>171</v>
      </c>
      <c r="AZ199" s="38" t="s">
        <v>170</v>
      </c>
      <c r="BA199" s="38" t="s">
        <v>169</v>
      </c>
      <c r="BB199" s="38" t="s">
        <v>172</v>
      </c>
      <c r="BC199" s="38" t="s">
        <v>169</v>
      </c>
      <c r="BD199" s="38" t="s">
        <v>169</v>
      </c>
      <c r="BE199" s="38" t="s">
        <v>171</v>
      </c>
      <c r="BF199" s="38" t="s">
        <v>171</v>
      </c>
      <c r="BG199" s="38" t="s">
        <v>171</v>
      </c>
      <c r="BH199" s="38" t="s">
        <v>170</v>
      </c>
      <c r="BI199" s="38" t="s">
        <v>169</v>
      </c>
      <c r="BJ199" s="38" t="s">
        <v>172</v>
      </c>
      <c r="BK199" s="38" t="s">
        <v>171</v>
      </c>
      <c r="BL199" s="38" t="s">
        <v>170</v>
      </c>
      <c r="BM199" s="38" t="s">
        <v>170</v>
      </c>
      <c r="BN199" s="38" t="s">
        <v>170</v>
      </c>
      <c r="BO199" s="38" t="s">
        <v>170</v>
      </c>
      <c r="BP199" s="38" t="s">
        <v>169</v>
      </c>
      <c r="BQ199" s="38" t="s">
        <v>171</v>
      </c>
      <c r="BR199" s="38" t="s">
        <v>172</v>
      </c>
      <c r="BS199" s="38" t="s">
        <v>170</v>
      </c>
      <c r="BT199" s="38" t="s">
        <v>169</v>
      </c>
      <c r="BU199" s="38" t="s">
        <v>169</v>
      </c>
      <c r="BV199" s="38" t="s">
        <v>169</v>
      </c>
      <c r="BW199" s="38" t="s">
        <v>170</v>
      </c>
      <c r="BX199" s="38" t="s">
        <v>170</v>
      </c>
    </row>
    <row r="200" customFormat="false" ht="15" hidden="false" customHeight="true" outlineLevel="0" collapsed="false">
      <c r="A200" s="38" t="s">
        <v>452</v>
      </c>
      <c r="B200" s="38" t="s">
        <v>467</v>
      </c>
      <c r="C200" s="38" t="s">
        <v>224</v>
      </c>
      <c r="D200" s="38" t="s">
        <v>196</v>
      </c>
      <c r="E200" s="38" t="s">
        <v>169</v>
      </c>
      <c r="F200" s="38" t="s">
        <v>169</v>
      </c>
      <c r="G200" s="38" t="s">
        <v>170</v>
      </c>
      <c r="H200" s="38" t="s">
        <v>172</v>
      </c>
      <c r="I200" s="38" t="s">
        <v>169</v>
      </c>
      <c r="J200" s="38" t="s">
        <v>172</v>
      </c>
      <c r="K200" s="38" t="s">
        <v>169</v>
      </c>
      <c r="L200" s="38" t="s">
        <v>171</v>
      </c>
      <c r="M200" s="38" t="s">
        <v>169</v>
      </c>
      <c r="N200" s="38" t="s">
        <v>169</v>
      </c>
      <c r="O200" s="38" t="s">
        <v>171</v>
      </c>
      <c r="P200" s="38" t="s">
        <v>169</v>
      </c>
      <c r="Q200" s="38" t="s">
        <v>170</v>
      </c>
      <c r="R200" s="38" t="s">
        <v>172</v>
      </c>
      <c r="S200" s="38" t="s">
        <v>169</v>
      </c>
      <c r="T200" s="40" t="s">
        <v>176</v>
      </c>
      <c r="U200" s="38" t="s">
        <v>170</v>
      </c>
      <c r="V200" s="38" t="s">
        <v>169</v>
      </c>
      <c r="W200" s="38" t="s">
        <v>169</v>
      </c>
      <c r="X200" s="38" t="s">
        <v>172</v>
      </c>
      <c r="Y200" s="38" t="s">
        <v>172</v>
      </c>
      <c r="Z200" s="38" t="s">
        <v>169</v>
      </c>
      <c r="AA200" s="38" t="s">
        <v>170</v>
      </c>
      <c r="AB200" s="38" t="s">
        <v>169</v>
      </c>
      <c r="AC200" s="38" t="s">
        <v>171</v>
      </c>
      <c r="AD200" s="38" t="s">
        <v>169</v>
      </c>
      <c r="AE200" s="38" t="s">
        <v>170</v>
      </c>
      <c r="AF200" s="38" t="s">
        <v>171</v>
      </c>
      <c r="AG200" s="38" t="s">
        <v>169</v>
      </c>
      <c r="AH200" s="38" t="s">
        <v>169</v>
      </c>
      <c r="AI200" s="38" t="s">
        <v>169</v>
      </c>
      <c r="AJ200" s="38" t="s">
        <v>170</v>
      </c>
      <c r="AK200" s="38" t="s">
        <v>170</v>
      </c>
      <c r="AL200" s="38" t="s">
        <v>170</v>
      </c>
      <c r="AM200" s="38" t="s">
        <v>169</v>
      </c>
      <c r="AN200" s="38" t="s">
        <v>171</v>
      </c>
      <c r="AO200" s="38" t="s">
        <v>172</v>
      </c>
      <c r="AP200" s="38" t="s">
        <v>172</v>
      </c>
      <c r="AQ200" s="38" t="s">
        <v>170</v>
      </c>
      <c r="AR200" s="38" t="s">
        <v>170</v>
      </c>
      <c r="AS200" s="38" t="s">
        <v>170</v>
      </c>
      <c r="AT200" s="38" t="s">
        <v>172</v>
      </c>
      <c r="AU200" s="38" t="s">
        <v>169</v>
      </c>
      <c r="AV200" s="38" t="s">
        <v>172</v>
      </c>
      <c r="AW200" s="38" t="s">
        <v>169</v>
      </c>
      <c r="AX200" s="38" t="s">
        <v>169</v>
      </c>
      <c r="AY200" s="38" t="s">
        <v>171</v>
      </c>
      <c r="AZ200" s="38" t="s">
        <v>170</v>
      </c>
      <c r="BA200" s="38" t="s">
        <v>172</v>
      </c>
      <c r="BB200" s="38" t="s">
        <v>172</v>
      </c>
      <c r="BC200" s="38" t="s">
        <v>171</v>
      </c>
      <c r="BD200" s="38" t="s">
        <v>169</v>
      </c>
      <c r="BE200" s="38" t="s">
        <v>169</v>
      </c>
      <c r="BF200" s="38" t="s">
        <v>172</v>
      </c>
      <c r="BG200" s="38" t="s">
        <v>171</v>
      </c>
      <c r="BH200" s="38" t="s">
        <v>170</v>
      </c>
      <c r="BI200" s="38" t="s">
        <v>169</v>
      </c>
      <c r="BJ200" s="38" t="s">
        <v>172</v>
      </c>
      <c r="BK200" s="38" t="s">
        <v>172</v>
      </c>
      <c r="BL200" s="38" t="s">
        <v>169</v>
      </c>
      <c r="BM200" s="38" t="s">
        <v>170</v>
      </c>
      <c r="BN200" s="38" t="s">
        <v>170</v>
      </c>
      <c r="BO200" s="38" t="s">
        <v>172</v>
      </c>
      <c r="BP200" s="38" t="s">
        <v>171</v>
      </c>
      <c r="BQ200" s="38" t="s">
        <v>170</v>
      </c>
      <c r="BR200" s="38" t="s">
        <v>170</v>
      </c>
      <c r="BS200" s="38" t="s">
        <v>171</v>
      </c>
      <c r="BT200" s="38" t="s">
        <v>171</v>
      </c>
      <c r="BU200" s="38" t="s">
        <v>169</v>
      </c>
      <c r="BV200" s="38" t="s">
        <v>169</v>
      </c>
      <c r="BW200" s="38" t="s">
        <v>170</v>
      </c>
      <c r="BX200" s="38" t="s">
        <v>171</v>
      </c>
    </row>
    <row r="201" customFormat="false" ht="15" hidden="false" customHeight="true" outlineLevel="0" collapsed="false">
      <c r="A201" s="38" t="s">
        <v>452</v>
      </c>
      <c r="B201" s="38" t="s">
        <v>468</v>
      </c>
      <c r="C201" s="38" t="s">
        <v>224</v>
      </c>
      <c r="D201" s="38" t="s">
        <v>272</v>
      </c>
      <c r="E201" s="38" t="s">
        <v>169</v>
      </c>
      <c r="F201" s="38" t="s">
        <v>170</v>
      </c>
      <c r="G201" s="38" t="s">
        <v>171</v>
      </c>
      <c r="H201" s="38" t="s">
        <v>170</v>
      </c>
      <c r="I201" s="38" t="s">
        <v>171</v>
      </c>
      <c r="J201" s="38" t="s">
        <v>171</v>
      </c>
      <c r="K201" s="38" t="s">
        <v>169</v>
      </c>
      <c r="L201" s="38" t="s">
        <v>171</v>
      </c>
      <c r="M201" s="38" t="s">
        <v>172</v>
      </c>
      <c r="N201" s="38" t="s">
        <v>169</v>
      </c>
      <c r="O201" s="38" t="s">
        <v>170</v>
      </c>
      <c r="P201" s="38" t="s">
        <v>171</v>
      </c>
      <c r="Q201" s="38" t="s">
        <v>170</v>
      </c>
      <c r="R201" s="38" t="s">
        <v>172</v>
      </c>
      <c r="S201" s="38" t="s">
        <v>169</v>
      </c>
      <c r="T201" s="40" t="s">
        <v>176</v>
      </c>
      <c r="U201" s="38" t="s">
        <v>171</v>
      </c>
      <c r="V201" s="38" t="s">
        <v>169</v>
      </c>
      <c r="W201" s="38" t="s">
        <v>169</v>
      </c>
      <c r="X201" s="38" t="s">
        <v>171</v>
      </c>
      <c r="Y201" s="38" t="s">
        <v>172</v>
      </c>
      <c r="Z201" s="38" t="s">
        <v>169</v>
      </c>
      <c r="AA201" s="38" t="s">
        <v>172</v>
      </c>
      <c r="AB201" s="38" t="s">
        <v>169</v>
      </c>
      <c r="AC201" s="38" t="s">
        <v>170</v>
      </c>
      <c r="AD201" s="38" t="s">
        <v>169</v>
      </c>
      <c r="AE201" s="38" t="s">
        <v>170</v>
      </c>
      <c r="AF201" s="38" t="s">
        <v>171</v>
      </c>
      <c r="AG201" s="38" t="s">
        <v>171</v>
      </c>
      <c r="AH201" s="38" t="s">
        <v>169</v>
      </c>
      <c r="AI201" s="38" t="s">
        <v>170</v>
      </c>
      <c r="AJ201" s="38" t="s">
        <v>170</v>
      </c>
      <c r="AK201" s="38" t="s">
        <v>171</v>
      </c>
      <c r="AL201" s="38" t="s">
        <v>172</v>
      </c>
      <c r="AM201" s="38" t="s">
        <v>169</v>
      </c>
      <c r="AN201" s="38" t="s">
        <v>171</v>
      </c>
      <c r="AO201" s="38" t="s">
        <v>172</v>
      </c>
      <c r="AP201" s="38" t="s">
        <v>172</v>
      </c>
      <c r="AQ201" s="38" t="s">
        <v>169</v>
      </c>
      <c r="AR201" s="38" t="s">
        <v>170</v>
      </c>
      <c r="AS201" s="38" t="s">
        <v>172</v>
      </c>
      <c r="AT201" s="38" t="s">
        <v>172</v>
      </c>
      <c r="AU201" s="38" t="s">
        <v>169</v>
      </c>
      <c r="AV201" s="38" t="s">
        <v>172</v>
      </c>
      <c r="AW201" s="38" t="s">
        <v>169</v>
      </c>
      <c r="AX201" s="38" t="s">
        <v>169</v>
      </c>
      <c r="AY201" s="38" t="s">
        <v>170</v>
      </c>
      <c r="AZ201" s="38" t="s">
        <v>170</v>
      </c>
      <c r="BA201" s="38" t="s">
        <v>170</v>
      </c>
      <c r="BB201" s="38" t="s">
        <v>172</v>
      </c>
      <c r="BC201" s="38" t="s">
        <v>169</v>
      </c>
      <c r="BD201" s="38" t="s">
        <v>171</v>
      </c>
      <c r="BE201" s="38" t="s">
        <v>169</v>
      </c>
      <c r="BF201" s="38" t="s">
        <v>171</v>
      </c>
      <c r="BG201" s="38" t="s">
        <v>171</v>
      </c>
      <c r="BH201" s="38" t="s">
        <v>170</v>
      </c>
      <c r="BI201" s="38" t="s">
        <v>172</v>
      </c>
      <c r="BJ201" s="38" t="s">
        <v>172</v>
      </c>
      <c r="BK201" s="38" t="s">
        <v>169</v>
      </c>
      <c r="BL201" s="38" t="s">
        <v>171</v>
      </c>
      <c r="BM201" s="38" t="s">
        <v>170</v>
      </c>
      <c r="BN201" s="38" t="s">
        <v>172</v>
      </c>
      <c r="BO201" s="38" t="s">
        <v>170</v>
      </c>
      <c r="BP201" s="38" t="s">
        <v>171</v>
      </c>
      <c r="BQ201" s="38" t="s">
        <v>169</v>
      </c>
      <c r="BR201" s="38" t="s">
        <v>170</v>
      </c>
      <c r="BS201" s="38" t="s">
        <v>171</v>
      </c>
      <c r="BT201" s="38" t="s">
        <v>169</v>
      </c>
      <c r="BU201" s="38" t="s">
        <v>169</v>
      </c>
      <c r="BV201" s="38" t="s">
        <v>172</v>
      </c>
      <c r="BW201" s="38" t="s">
        <v>169</v>
      </c>
      <c r="BX201" s="38" t="s">
        <v>170</v>
      </c>
    </row>
    <row r="202" customFormat="false" ht="15" hidden="false" customHeight="true" outlineLevel="0" collapsed="false">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row>
    <row r="203" customFormat="false" ht="15" hidden="false" customHeight="true" outlineLevel="0" collapsed="false">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c r="BF203" s="38"/>
      <c r="BG203" s="38"/>
      <c r="BH203" s="38"/>
      <c r="BI203" s="38"/>
      <c r="BJ203" s="38"/>
      <c r="BK203" s="38"/>
      <c r="BL203" s="38"/>
      <c r="BM203" s="38"/>
      <c r="BN203" s="38"/>
      <c r="BO203" s="38"/>
      <c r="BP203" s="38"/>
      <c r="BQ203" s="38"/>
      <c r="BR203" s="38"/>
      <c r="BS203" s="38"/>
      <c r="BT203" s="38"/>
      <c r="BU203" s="38"/>
      <c r="BV203" s="38"/>
      <c r="BW203" s="38"/>
      <c r="BX203" s="38"/>
    </row>
    <row r="204" customFormat="false" ht="15" hidden="false" customHeight="true" outlineLevel="0" collapsed="false">
      <c r="A204" s="37" t="s">
        <v>469</v>
      </c>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8"/>
    </row>
    <row r="205" customFormat="false" ht="15" hidden="false" customHeight="true" outlineLevel="0" collapsed="false">
      <c r="A205" s="38" t="s">
        <v>470</v>
      </c>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row>
    <row r="206" customFormat="false" ht="15" hidden="false" customHeight="true" outlineLevel="0" collapsed="false">
      <c r="A206" s="38"/>
      <c r="B206" s="38"/>
      <c r="C206" s="38"/>
      <c r="D206" s="41" t="s">
        <v>471</v>
      </c>
      <c r="E206" s="42" t="n">
        <v>1</v>
      </c>
      <c r="F206" s="42" t="n">
        <v>2</v>
      </c>
      <c r="G206" s="42" t="n">
        <v>3</v>
      </c>
      <c r="H206" s="42" t="n">
        <v>4</v>
      </c>
      <c r="I206" s="42" t="n">
        <v>5</v>
      </c>
      <c r="J206" s="42" t="n">
        <v>6</v>
      </c>
      <c r="K206" s="42" t="n">
        <v>7</v>
      </c>
      <c r="L206" s="42" t="n">
        <v>8</v>
      </c>
      <c r="M206" s="42" t="n">
        <v>9</v>
      </c>
      <c r="N206" s="42" t="n">
        <v>10</v>
      </c>
      <c r="O206" s="42" t="n">
        <v>11</v>
      </c>
      <c r="P206" s="42" t="n">
        <v>12</v>
      </c>
      <c r="Q206" s="42" t="n">
        <v>13</v>
      </c>
      <c r="R206" s="42" t="n">
        <v>14</v>
      </c>
      <c r="S206" s="42" t="n">
        <v>15</v>
      </c>
      <c r="T206" s="42" t="n">
        <v>16</v>
      </c>
      <c r="U206" s="42" t="n">
        <v>17</v>
      </c>
      <c r="V206" s="42" t="n">
        <v>18</v>
      </c>
      <c r="W206" s="42" t="n">
        <v>19</v>
      </c>
      <c r="X206" s="42" t="n">
        <v>20</v>
      </c>
      <c r="Y206" s="42" t="n">
        <v>21</v>
      </c>
      <c r="Z206" s="42" t="n">
        <v>22</v>
      </c>
      <c r="AA206" s="42" t="n">
        <v>23</v>
      </c>
      <c r="AB206" s="42" t="n">
        <v>24</v>
      </c>
      <c r="AC206" s="42" t="n">
        <v>25</v>
      </c>
      <c r="AD206" s="42" t="n">
        <v>26</v>
      </c>
      <c r="AE206" s="42" t="n">
        <v>27</v>
      </c>
      <c r="AF206" s="42" t="n">
        <v>28</v>
      </c>
      <c r="AG206" s="42" t="n">
        <v>29</v>
      </c>
      <c r="AH206" s="42" t="n">
        <v>30</v>
      </c>
      <c r="AI206" s="42" t="n">
        <v>31</v>
      </c>
      <c r="AJ206" s="42" t="n">
        <v>32</v>
      </c>
      <c r="AK206" s="42" t="n">
        <v>33</v>
      </c>
      <c r="AL206" s="42" t="n">
        <v>34</v>
      </c>
      <c r="AM206" s="42" t="n">
        <v>35</v>
      </c>
      <c r="AN206" s="42" t="n">
        <v>36</v>
      </c>
      <c r="AO206" s="42" t="n">
        <v>37</v>
      </c>
      <c r="AP206" s="42" t="n">
        <v>38</v>
      </c>
      <c r="AQ206" s="42" t="n">
        <v>39</v>
      </c>
      <c r="AR206" s="42" t="n">
        <v>40</v>
      </c>
      <c r="AS206" s="42" t="n">
        <v>41</v>
      </c>
      <c r="AT206" s="42" t="n">
        <v>42</v>
      </c>
      <c r="AU206" s="42" t="n">
        <v>43</v>
      </c>
      <c r="AV206" s="42" t="n">
        <v>44</v>
      </c>
      <c r="AW206" s="42" t="n">
        <v>45</v>
      </c>
      <c r="AX206" s="42" t="n">
        <v>46</v>
      </c>
      <c r="AY206" s="42" t="n">
        <v>47</v>
      </c>
      <c r="AZ206" s="42" t="n">
        <v>48</v>
      </c>
      <c r="BA206" s="42" t="n">
        <v>49</v>
      </c>
      <c r="BB206" s="42" t="n">
        <v>50</v>
      </c>
      <c r="BC206" s="42" t="n">
        <v>51</v>
      </c>
      <c r="BD206" s="42" t="n">
        <v>52</v>
      </c>
      <c r="BE206" s="42" t="n">
        <v>53</v>
      </c>
      <c r="BF206" s="42" t="n">
        <v>54</v>
      </c>
      <c r="BG206" s="42" t="n">
        <v>55</v>
      </c>
      <c r="BH206" s="42" t="n">
        <v>56</v>
      </c>
      <c r="BI206" s="42" t="n">
        <v>57</v>
      </c>
      <c r="BJ206" s="42" t="n">
        <v>58</v>
      </c>
      <c r="BK206" s="42" t="n">
        <v>59</v>
      </c>
      <c r="BL206" s="42" t="n">
        <v>60</v>
      </c>
      <c r="BM206" s="42" t="n">
        <v>61</v>
      </c>
      <c r="BN206" s="42" t="n">
        <v>62</v>
      </c>
      <c r="BO206" s="42" t="n">
        <v>63</v>
      </c>
      <c r="BP206" s="42" t="n">
        <v>64</v>
      </c>
      <c r="BQ206" s="42" t="n">
        <v>65</v>
      </c>
      <c r="BR206" s="42" t="n">
        <v>66</v>
      </c>
      <c r="BS206" s="42" t="n">
        <v>67</v>
      </c>
      <c r="BT206" s="42" t="n">
        <v>68</v>
      </c>
      <c r="BU206" s="42" t="n">
        <v>69</v>
      </c>
      <c r="BV206" s="42" t="n">
        <v>70</v>
      </c>
      <c r="BW206" s="42" t="n">
        <v>71</v>
      </c>
      <c r="BX206" s="42" t="n">
        <v>72</v>
      </c>
    </row>
    <row r="207" customFormat="false" ht="15" hidden="false" customHeight="true" outlineLevel="0" collapsed="false">
      <c r="A207" s="38"/>
      <c r="B207" s="38"/>
      <c r="C207" s="38"/>
      <c r="D207" s="41" t="s">
        <v>172</v>
      </c>
      <c r="E207" s="43" t="n">
        <v>13</v>
      </c>
      <c r="F207" s="43" t="n">
        <v>6</v>
      </c>
      <c r="G207" s="43" t="n">
        <v>14</v>
      </c>
      <c r="H207" s="43" t="n">
        <v>15</v>
      </c>
      <c r="I207" s="43" t="n">
        <v>30</v>
      </c>
      <c r="J207" s="43" t="n">
        <v>34</v>
      </c>
      <c r="K207" s="43" t="n">
        <v>47</v>
      </c>
      <c r="L207" s="43" t="n">
        <v>1</v>
      </c>
      <c r="M207" s="43" t="n">
        <v>130</v>
      </c>
      <c r="N207" s="43" t="n">
        <v>0</v>
      </c>
      <c r="O207" s="43" t="n">
        <v>7</v>
      </c>
      <c r="P207" s="43" t="n">
        <v>13</v>
      </c>
      <c r="Q207" s="43" t="n">
        <v>13</v>
      </c>
      <c r="R207" s="43" t="n">
        <v>197</v>
      </c>
      <c r="S207" s="43" t="n">
        <v>33</v>
      </c>
      <c r="T207" s="43" t="n">
        <v>3</v>
      </c>
      <c r="U207" s="43" t="n">
        <v>12</v>
      </c>
      <c r="V207" s="43" t="n">
        <v>1</v>
      </c>
      <c r="W207" s="43" t="n">
        <v>1</v>
      </c>
      <c r="X207" s="43" t="n">
        <v>17</v>
      </c>
      <c r="Y207" s="43" t="n">
        <v>178</v>
      </c>
      <c r="Z207" s="43" t="n">
        <v>41</v>
      </c>
      <c r="AA207" s="43" t="n">
        <v>120</v>
      </c>
      <c r="AB207" s="43" t="n">
        <v>37</v>
      </c>
      <c r="AC207" s="43" t="n">
        <v>1</v>
      </c>
      <c r="AD207" s="43" t="n">
        <v>83</v>
      </c>
      <c r="AE207" s="43" t="n">
        <v>24</v>
      </c>
      <c r="AF207" s="43" t="n">
        <v>24</v>
      </c>
      <c r="AG207" s="43" t="n">
        <v>32</v>
      </c>
      <c r="AH207" s="43" t="n">
        <v>0</v>
      </c>
      <c r="AI207" s="43" t="n">
        <v>54</v>
      </c>
      <c r="AJ207" s="43" t="n">
        <v>6</v>
      </c>
      <c r="AK207" s="43" t="n">
        <v>1</v>
      </c>
      <c r="AL207" s="43" t="n">
        <v>9</v>
      </c>
      <c r="AM207" s="43" t="n">
        <v>61</v>
      </c>
      <c r="AN207" s="43" t="n">
        <v>43</v>
      </c>
      <c r="AO207" s="43" t="n">
        <v>150</v>
      </c>
      <c r="AP207" s="43" t="n">
        <v>146</v>
      </c>
      <c r="AQ207" s="43" t="n">
        <v>18</v>
      </c>
      <c r="AR207" s="43" t="n">
        <v>1</v>
      </c>
      <c r="AS207" s="43" t="n">
        <v>54</v>
      </c>
      <c r="AT207" s="43" t="n">
        <v>48</v>
      </c>
      <c r="AU207" s="43" t="n">
        <v>45</v>
      </c>
      <c r="AV207" s="43" t="n">
        <v>99</v>
      </c>
      <c r="AW207" s="43" t="n">
        <v>15</v>
      </c>
      <c r="AX207" s="43" t="n">
        <v>16</v>
      </c>
      <c r="AY207" s="43" t="n">
        <v>26</v>
      </c>
      <c r="AZ207" s="43" t="n">
        <v>1</v>
      </c>
      <c r="BA207" s="43" t="n">
        <v>31</v>
      </c>
      <c r="BB207" s="43" t="n">
        <v>23</v>
      </c>
      <c r="BC207" s="43" t="n">
        <v>28</v>
      </c>
      <c r="BD207" s="43" t="n">
        <v>26</v>
      </c>
      <c r="BE207" s="43" t="n">
        <v>1</v>
      </c>
      <c r="BF207" s="43" t="n">
        <v>2</v>
      </c>
      <c r="BG207" s="43" t="n">
        <v>1</v>
      </c>
      <c r="BH207" s="43" t="n">
        <v>2</v>
      </c>
      <c r="BI207" s="43" t="n">
        <v>76</v>
      </c>
      <c r="BJ207" s="43" t="n">
        <v>197</v>
      </c>
      <c r="BK207" s="43" t="n">
        <v>91</v>
      </c>
      <c r="BL207" s="43" t="n">
        <v>1</v>
      </c>
      <c r="BM207" s="43" t="n">
        <v>0</v>
      </c>
      <c r="BN207" s="43" t="n">
        <v>3</v>
      </c>
      <c r="BO207" s="43" t="n">
        <v>22</v>
      </c>
      <c r="BP207" s="43" t="n">
        <v>32</v>
      </c>
      <c r="BQ207" s="43" t="n">
        <v>9</v>
      </c>
      <c r="BR207" s="43" t="n">
        <v>43</v>
      </c>
      <c r="BS207" s="43" t="n">
        <v>41</v>
      </c>
      <c r="BT207" s="43" t="n">
        <v>15</v>
      </c>
      <c r="BU207" s="43" t="n">
        <v>25</v>
      </c>
      <c r="BV207" s="43" t="n">
        <v>23</v>
      </c>
      <c r="BW207" s="43" t="n">
        <v>5</v>
      </c>
      <c r="BX207" s="43" t="n">
        <v>16</v>
      </c>
    </row>
    <row r="208" customFormat="false" ht="15" hidden="false" customHeight="true" outlineLevel="0" collapsed="false">
      <c r="A208" s="38"/>
      <c r="B208" s="38"/>
      <c r="C208" s="38"/>
      <c r="D208" s="41" t="s">
        <v>170</v>
      </c>
      <c r="E208" s="43" t="n">
        <v>21</v>
      </c>
      <c r="F208" s="43" t="n">
        <v>82</v>
      </c>
      <c r="G208" s="43" t="n">
        <v>77</v>
      </c>
      <c r="H208" s="43" t="n">
        <v>61</v>
      </c>
      <c r="I208" s="43" t="n">
        <v>79</v>
      </c>
      <c r="J208" s="43" t="n">
        <v>65</v>
      </c>
      <c r="K208" s="43" t="n">
        <v>3</v>
      </c>
      <c r="L208" s="43" t="n">
        <v>0</v>
      </c>
      <c r="M208" s="43" t="n">
        <v>7</v>
      </c>
      <c r="N208" s="43" t="n">
        <v>8</v>
      </c>
      <c r="O208" s="43" t="n">
        <v>146</v>
      </c>
      <c r="P208" s="43" t="n">
        <v>29</v>
      </c>
      <c r="Q208" s="43" t="n">
        <v>129</v>
      </c>
      <c r="R208" s="43" t="n">
        <v>1</v>
      </c>
      <c r="S208" s="43" t="n">
        <v>2</v>
      </c>
      <c r="T208" s="43" t="n">
        <v>47</v>
      </c>
      <c r="U208" s="43" t="n">
        <v>63</v>
      </c>
      <c r="V208" s="43" t="n">
        <v>0</v>
      </c>
      <c r="W208" s="43" t="n">
        <v>0</v>
      </c>
      <c r="X208" s="43" t="n">
        <v>45</v>
      </c>
      <c r="Y208" s="43" t="n">
        <v>4</v>
      </c>
      <c r="Z208" s="43" t="n">
        <v>0</v>
      </c>
      <c r="AA208" s="43" t="n">
        <v>38</v>
      </c>
      <c r="AB208" s="43" t="n">
        <v>6</v>
      </c>
      <c r="AC208" s="43" t="n">
        <v>177</v>
      </c>
      <c r="AD208" s="43" t="n">
        <v>5</v>
      </c>
      <c r="AE208" s="43" t="n">
        <v>93</v>
      </c>
      <c r="AF208" s="43" t="n">
        <v>103</v>
      </c>
      <c r="AG208" s="43" t="n">
        <v>35</v>
      </c>
      <c r="AH208" s="43" t="n">
        <v>42</v>
      </c>
      <c r="AI208" s="43" t="n">
        <v>72</v>
      </c>
      <c r="AJ208" s="43" t="n">
        <v>134</v>
      </c>
      <c r="AK208" s="43" t="n">
        <v>1</v>
      </c>
      <c r="AL208" s="43" t="n">
        <v>66</v>
      </c>
      <c r="AM208" s="43" t="n">
        <v>46</v>
      </c>
      <c r="AN208" s="43" t="n">
        <v>53</v>
      </c>
      <c r="AO208" s="43" t="n">
        <v>1</v>
      </c>
      <c r="AP208" s="43" t="n">
        <v>29</v>
      </c>
      <c r="AQ208" s="43" t="n">
        <v>50</v>
      </c>
      <c r="AR208" s="43" t="n">
        <v>143</v>
      </c>
      <c r="AS208" s="43" t="n">
        <v>77</v>
      </c>
      <c r="AT208" s="43" t="n">
        <v>20</v>
      </c>
      <c r="AU208" s="43" t="n">
        <v>23</v>
      </c>
      <c r="AV208" s="43" t="n">
        <v>31</v>
      </c>
      <c r="AW208" s="43" t="n">
        <v>5</v>
      </c>
      <c r="AX208" s="43" t="n">
        <v>4</v>
      </c>
      <c r="AY208" s="43" t="n">
        <v>23</v>
      </c>
      <c r="AZ208" s="43" t="n">
        <v>167</v>
      </c>
      <c r="BA208" s="43" t="n">
        <v>57</v>
      </c>
      <c r="BB208" s="43" t="n">
        <v>87</v>
      </c>
      <c r="BC208" s="43" t="n">
        <v>41</v>
      </c>
      <c r="BD208" s="43" t="n">
        <v>2</v>
      </c>
      <c r="BE208" s="43" t="n">
        <v>1</v>
      </c>
      <c r="BF208" s="43" t="n">
        <v>0</v>
      </c>
      <c r="BG208" s="43" t="n">
        <v>1</v>
      </c>
      <c r="BH208" s="43" t="n">
        <v>195</v>
      </c>
      <c r="BI208" s="43" t="n">
        <v>0</v>
      </c>
      <c r="BJ208" s="43" t="n">
        <v>1</v>
      </c>
      <c r="BK208" s="43" t="n">
        <v>12</v>
      </c>
      <c r="BL208" s="43" t="n">
        <v>40</v>
      </c>
      <c r="BM208" s="43" t="n">
        <v>197</v>
      </c>
      <c r="BN208" s="43" t="n">
        <v>168</v>
      </c>
      <c r="BO208" s="43" t="n">
        <v>97</v>
      </c>
      <c r="BP208" s="43" t="n">
        <v>42</v>
      </c>
      <c r="BQ208" s="43" t="n">
        <v>63</v>
      </c>
      <c r="BR208" s="43" t="n">
        <v>105</v>
      </c>
      <c r="BS208" s="43" t="n">
        <v>45</v>
      </c>
      <c r="BT208" s="43" t="n">
        <v>62</v>
      </c>
      <c r="BU208" s="43" t="n">
        <v>88</v>
      </c>
      <c r="BV208" s="43" t="n">
        <v>71</v>
      </c>
      <c r="BW208" s="43" t="n">
        <v>103</v>
      </c>
      <c r="BX208" s="43" t="n">
        <v>145</v>
      </c>
    </row>
    <row r="209" customFormat="false" ht="15" hidden="false" customHeight="true" outlineLevel="0" collapsed="false">
      <c r="A209" s="38"/>
      <c r="B209" s="38"/>
      <c r="C209" s="38"/>
      <c r="D209" s="41" t="s">
        <v>169</v>
      </c>
      <c r="E209" s="43" t="n">
        <v>152</v>
      </c>
      <c r="F209" s="43" t="n">
        <v>105</v>
      </c>
      <c r="G209" s="43" t="n">
        <v>85</v>
      </c>
      <c r="H209" s="43" t="n">
        <v>89</v>
      </c>
      <c r="I209" s="43" t="n">
        <v>69</v>
      </c>
      <c r="J209" s="43" t="n">
        <v>48</v>
      </c>
      <c r="K209" s="43" t="n">
        <v>105</v>
      </c>
      <c r="L209" s="43" t="n">
        <v>1</v>
      </c>
      <c r="M209" s="43" t="n">
        <v>61</v>
      </c>
      <c r="N209" s="43" t="n">
        <v>191</v>
      </c>
      <c r="O209" s="43" t="n">
        <v>6</v>
      </c>
      <c r="P209" s="43" t="n">
        <v>38</v>
      </c>
      <c r="Q209" s="43" t="n">
        <v>19</v>
      </c>
      <c r="R209" s="43" t="n">
        <v>1</v>
      </c>
      <c r="S209" s="43" t="n">
        <v>161</v>
      </c>
      <c r="T209" s="43" t="n">
        <v>3</v>
      </c>
      <c r="U209" s="43" t="n">
        <v>8</v>
      </c>
      <c r="V209" s="43" t="n">
        <v>198</v>
      </c>
      <c r="W209" s="43" t="n">
        <v>196</v>
      </c>
      <c r="X209" s="43" t="n">
        <v>18</v>
      </c>
      <c r="Y209" s="43" t="n">
        <v>7</v>
      </c>
      <c r="Z209" s="43" t="n">
        <v>144</v>
      </c>
      <c r="AA209" s="43" t="n">
        <v>29</v>
      </c>
      <c r="AB209" s="43" t="n">
        <v>149</v>
      </c>
      <c r="AC209" s="43" t="n">
        <v>7</v>
      </c>
      <c r="AD209" s="43" t="n">
        <v>100</v>
      </c>
      <c r="AE209" s="43" t="n">
        <v>31</v>
      </c>
      <c r="AF209" s="43" t="n">
        <v>22</v>
      </c>
      <c r="AG209" s="43" t="n">
        <v>77</v>
      </c>
      <c r="AH209" s="43" t="n">
        <v>150</v>
      </c>
      <c r="AI209" s="43" t="n">
        <v>54</v>
      </c>
      <c r="AJ209" s="43" t="n">
        <v>0</v>
      </c>
      <c r="AK209" s="43" t="n">
        <v>0</v>
      </c>
      <c r="AL209" s="43" t="n">
        <v>66</v>
      </c>
      <c r="AM209" s="43" t="n">
        <v>51</v>
      </c>
      <c r="AN209" s="43" t="n">
        <v>32</v>
      </c>
      <c r="AO209" s="43" t="n">
        <v>48</v>
      </c>
      <c r="AP209" s="43" t="n">
        <v>1</v>
      </c>
      <c r="AQ209" s="43" t="n">
        <v>72</v>
      </c>
      <c r="AR209" s="43" t="n">
        <v>47</v>
      </c>
      <c r="AS209" s="43" t="n">
        <v>35</v>
      </c>
      <c r="AT209" s="43" t="n">
        <v>105</v>
      </c>
      <c r="AU209" s="43" t="n">
        <v>99</v>
      </c>
      <c r="AV209" s="43" t="n">
        <v>46</v>
      </c>
      <c r="AW209" s="43" t="n">
        <v>149</v>
      </c>
      <c r="AX209" s="43" t="n">
        <v>136</v>
      </c>
      <c r="AY209" s="43" t="n">
        <v>16</v>
      </c>
      <c r="AZ209" s="43" t="n">
        <v>2</v>
      </c>
      <c r="BA209" s="43" t="n">
        <v>100</v>
      </c>
      <c r="BB209" s="43" t="n">
        <v>54</v>
      </c>
      <c r="BC209" s="43" t="n">
        <v>99</v>
      </c>
      <c r="BD209" s="43" t="n">
        <v>167</v>
      </c>
      <c r="BE209" s="43" t="n">
        <v>195</v>
      </c>
      <c r="BF209" s="43" t="n">
        <v>0</v>
      </c>
      <c r="BG209" s="43" t="n">
        <v>1</v>
      </c>
      <c r="BH209" s="43" t="n">
        <v>1</v>
      </c>
      <c r="BI209" s="43" t="n">
        <v>121</v>
      </c>
      <c r="BJ209" s="43" t="n">
        <v>0</v>
      </c>
      <c r="BK209" s="43" t="n">
        <v>46</v>
      </c>
      <c r="BL209" s="43" t="n">
        <v>2</v>
      </c>
      <c r="BM209" s="43" t="n">
        <v>1</v>
      </c>
      <c r="BN209" s="43" t="n">
        <v>2</v>
      </c>
      <c r="BO209" s="43" t="n">
        <v>48</v>
      </c>
      <c r="BP209" s="43" t="n">
        <v>92</v>
      </c>
      <c r="BQ209" s="43" t="n">
        <v>57</v>
      </c>
      <c r="BR209" s="43" t="n">
        <v>2</v>
      </c>
      <c r="BS209" s="43" t="n">
        <v>75</v>
      </c>
      <c r="BT209" s="43" t="n">
        <v>87</v>
      </c>
      <c r="BU209" s="43" t="n">
        <v>70</v>
      </c>
      <c r="BV209" s="43" t="n">
        <v>75</v>
      </c>
      <c r="BW209" s="43" t="n">
        <v>82</v>
      </c>
      <c r="BX209" s="43" t="n">
        <v>17</v>
      </c>
    </row>
    <row r="210" customFormat="false" ht="15" hidden="false" customHeight="true" outlineLevel="0" collapsed="false">
      <c r="A210" s="38"/>
      <c r="B210" s="38"/>
      <c r="C210" s="38"/>
      <c r="D210" s="41" t="s">
        <v>171</v>
      </c>
      <c r="E210" s="43" t="n">
        <v>13</v>
      </c>
      <c r="F210" s="43" t="n">
        <v>6</v>
      </c>
      <c r="G210" s="43" t="n">
        <v>23</v>
      </c>
      <c r="H210" s="43" t="n">
        <v>34</v>
      </c>
      <c r="I210" s="43" t="n">
        <v>21</v>
      </c>
      <c r="J210" s="43" t="n">
        <v>52</v>
      </c>
      <c r="K210" s="43" t="n">
        <v>44</v>
      </c>
      <c r="L210" s="43" t="n">
        <v>197</v>
      </c>
      <c r="M210" s="43" t="n">
        <v>0</v>
      </c>
      <c r="N210" s="43" t="n">
        <v>0</v>
      </c>
      <c r="O210" s="43" t="n">
        <v>40</v>
      </c>
      <c r="P210" s="43" t="n">
        <v>119</v>
      </c>
      <c r="Q210" s="43" t="n">
        <v>38</v>
      </c>
      <c r="R210" s="43" t="n">
        <v>0</v>
      </c>
      <c r="S210" s="43" t="n">
        <v>2</v>
      </c>
      <c r="T210" s="43" t="n">
        <v>79</v>
      </c>
      <c r="U210" s="43" t="n">
        <v>113</v>
      </c>
      <c r="V210" s="43" t="n">
        <v>0</v>
      </c>
      <c r="W210" s="43" t="n">
        <v>2</v>
      </c>
      <c r="X210" s="43" t="n">
        <v>118</v>
      </c>
      <c r="Y210" s="43" t="n">
        <v>10</v>
      </c>
      <c r="Z210" s="43" t="n">
        <v>14</v>
      </c>
      <c r="AA210" s="43" t="n">
        <v>12</v>
      </c>
      <c r="AB210" s="43" t="n">
        <v>7</v>
      </c>
      <c r="AC210" s="43" t="n">
        <v>14</v>
      </c>
      <c r="AD210" s="43" t="n">
        <v>11</v>
      </c>
      <c r="AE210" s="43" t="n">
        <v>51</v>
      </c>
      <c r="AF210" s="43" t="n">
        <v>50</v>
      </c>
      <c r="AG210" s="43" t="n">
        <v>55</v>
      </c>
      <c r="AH210" s="43" t="n">
        <v>7</v>
      </c>
      <c r="AI210" s="43" t="n">
        <v>19</v>
      </c>
      <c r="AJ210" s="43" t="n">
        <v>59</v>
      </c>
      <c r="AK210" s="43" t="n">
        <v>197</v>
      </c>
      <c r="AL210" s="43" t="n">
        <v>58</v>
      </c>
      <c r="AM210" s="43" t="n">
        <v>41</v>
      </c>
      <c r="AN210" s="43" t="n">
        <v>71</v>
      </c>
      <c r="AO210" s="43" t="n">
        <v>0</v>
      </c>
      <c r="AP210" s="43" t="n">
        <v>23</v>
      </c>
      <c r="AQ210" s="43" t="n">
        <v>59</v>
      </c>
      <c r="AR210" s="43" t="n">
        <v>8</v>
      </c>
      <c r="AS210" s="43" t="n">
        <v>33</v>
      </c>
      <c r="AT210" s="43" t="n">
        <v>26</v>
      </c>
      <c r="AU210" s="43" t="n">
        <v>32</v>
      </c>
      <c r="AV210" s="43" t="n">
        <v>23</v>
      </c>
      <c r="AW210" s="43" t="n">
        <v>28</v>
      </c>
      <c r="AX210" s="43" t="n">
        <v>12</v>
      </c>
      <c r="AY210" s="43" t="n">
        <v>134</v>
      </c>
      <c r="AZ210" s="43" t="n">
        <v>29</v>
      </c>
      <c r="BA210" s="43" t="n">
        <v>11</v>
      </c>
      <c r="BB210" s="43" t="n">
        <v>35</v>
      </c>
      <c r="BC210" s="43" t="n">
        <v>30</v>
      </c>
      <c r="BD210" s="43" t="n">
        <v>4</v>
      </c>
      <c r="BE210" s="43" t="n">
        <v>2</v>
      </c>
      <c r="BF210" s="43" t="n">
        <v>197</v>
      </c>
      <c r="BG210" s="43" t="n">
        <v>196</v>
      </c>
      <c r="BH210" s="43" t="n">
        <v>1</v>
      </c>
      <c r="BI210" s="43" t="n">
        <v>1</v>
      </c>
      <c r="BJ210" s="43" t="n">
        <v>1</v>
      </c>
      <c r="BK210" s="43" t="n">
        <v>50</v>
      </c>
      <c r="BL210" s="43" t="n">
        <v>156</v>
      </c>
      <c r="BM210" s="43" t="n">
        <v>1</v>
      </c>
      <c r="BN210" s="43" t="n">
        <v>26</v>
      </c>
      <c r="BO210" s="43" t="n">
        <v>32</v>
      </c>
      <c r="BP210" s="43" t="n">
        <v>33</v>
      </c>
      <c r="BQ210" s="43" t="n">
        <v>69</v>
      </c>
      <c r="BR210" s="43" t="n">
        <v>49</v>
      </c>
      <c r="BS210" s="43" t="n">
        <v>38</v>
      </c>
      <c r="BT210" s="43" t="n">
        <v>35</v>
      </c>
      <c r="BU210" s="43" t="n">
        <v>16</v>
      </c>
      <c r="BV210" s="43" t="n">
        <v>30</v>
      </c>
      <c r="BW210" s="43" t="n">
        <v>9</v>
      </c>
      <c r="BX210" s="43" t="n">
        <v>21</v>
      </c>
    </row>
    <row r="211" customFormat="false" ht="15" hidden="false" customHeight="true" outlineLevel="0" collapsed="false">
      <c r="A211" s="38"/>
      <c r="B211" s="38"/>
      <c r="C211" s="38"/>
      <c r="D211" s="41" t="s">
        <v>472</v>
      </c>
      <c r="E211" s="43" t="n">
        <v>0</v>
      </c>
      <c r="F211" s="43" t="n">
        <v>0</v>
      </c>
      <c r="G211" s="43" t="n">
        <v>0</v>
      </c>
      <c r="H211" s="43" t="n">
        <v>0</v>
      </c>
      <c r="I211" s="43" t="n">
        <v>0</v>
      </c>
      <c r="J211" s="43" t="n">
        <v>0</v>
      </c>
      <c r="K211" s="43" t="n">
        <v>0</v>
      </c>
      <c r="L211" s="43" t="n">
        <v>0</v>
      </c>
      <c r="M211" s="43" t="n">
        <v>1</v>
      </c>
      <c r="N211" s="43" t="n">
        <v>0</v>
      </c>
      <c r="O211" s="43" t="n">
        <v>0</v>
      </c>
      <c r="P211" s="43" t="n">
        <v>0</v>
      </c>
      <c r="Q211" s="43" t="n">
        <v>0</v>
      </c>
      <c r="R211" s="43" t="n">
        <v>0</v>
      </c>
      <c r="S211" s="43" t="n">
        <v>1</v>
      </c>
      <c r="T211" s="43" t="n">
        <v>67</v>
      </c>
      <c r="U211" s="43" t="n">
        <v>3</v>
      </c>
      <c r="V211" s="43" t="n">
        <v>0</v>
      </c>
      <c r="W211" s="43" t="n">
        <v>0</v>
      </c>
      <c r="X211" s="43" t="n">
        <v>1</v>
      </c>
      <c r="Y211" s="43" t="n">
        <v>0</v>
      </c>
      <c r="Z211" s="43" t="n">
        <v>0</v>
      </c>
      <c r="AA211" s="43" t="n">
        <v>0</v>
      </c>
      <c r="AB211" s="43" t="n">
        <v>0</v>
      </c>
      <c r="AC211" s="43" t="n">
        <v>0</v>
      </c>
      <c r="AD211" s="43" t="n">
        <v>0</v>
      </c>
      <c r="AE211" s="43" t="n">
        <v>0</v>
      </c>
      <c r="AF211" s="43" t="n">
        <v>0</v>
      </c>
      <c r="AG211" s="43" t="n">
        <v>0</v>
      </c>
      <c r="AH211" s="43" t="n">
        <v>0</v>
      </c>
      <c r="AI211" s="43" t="n">
        <v>0</v>
      </c>
      <c r="AJ211" s="43" t="n">
        <v>0</v>
      </c>
      <c r="AK211" s="43" t="n">
        <v>0</v>
      </c>
      <c r="AL211" s="43" t="n">
        <v>0</v>
      </c>
      <c r="AM211" s="43" t="n">
        <v>0</v>
      </c>
      <c r="AN211" s="43" t="n">
        <v>0</v>
      </c>
      <c r="AO211" s="43" t="n">
        <v>0</v>
      </c>
      <c r="AP211" s="43" t="n">
        <v>0</v>
      </c>
      <c r="AQ211" s="43" t="n">
        <v>0</v>
      </c>
      <c r="AR211" s="43" t="n">
        <v>0</v>
      </c>
      <c r="AS211" s="43" t="n">
        <v>0</v>
      </c>
      <c r="AT211" s="43" t="n">
        <v>0</v>
      </c>
      <c r="AU211" s="43" t="n">
        <v>0</v>
      </c>
      <c r="AV211" s="43" t="n">
        <v>0</v>
      </c>
      <c r="AW211" s="43" t="n">
        <v>2</v>
      </c>
      <c r="AX211" s="43" t="n">
        <v>31</v>
      </c>
      <c r="AY211" s="43" t="n">
        <v>0</v>
      </c>
      <c r="AZ211" s="43" t="n">
        <v>0</v>
      </c>
      <c r="BA211" s="43" t="n">
        <v>0</v>
      </c>
      <c r="BB211" s="43" t="n">
        <v>0</v>
      </c>
      <c r="BC211" s="43" t="n">
        <v>1</v>
      </c>
      <c r="BD211" s="43" t="n">
        <v>0</v>
      </c>
      <c r="BE211" s="43" t="n">
        <v>0</v>
      </c>
      <c r="BF211" s="43" t="n">
        <v>0</v>
      </c>
      <c r="BG211" s="43" t="n">
        <v>0</v>
      </c>
      <c r="BH211" s="43" t="n">
        <v>0</v>
      </c>
      <c r="BI211" s="43" t="n">
        <v>1</v>
      </c>
      <c r="BJ211" s="43" t="n">
        <v>0</v>
      </c>
      <c r="BK211" s="43" t="n">
        <v>0</v>
      </c>
      <c r="BL211" s="43" t="n">
        <v>0</v>
      </c>
      <c r="BM211" s="43" t="n">
        <v>0</v>
      </c>
      <c r="BN211" s="43" t="n">
        <v>0</v>
      </c>
      <c r="BO211" s="43" t="n">
        <v>0</v>
      </c>
      <c r="BP211" s="43" t="n">
        <v>0</v>
      </c>
      <c r="BQ211" s="43" t="n">
        <v>1</v>
      </c>
      <c r="BR211" s="43" t="n">
        <v>0</v>
      </c>
      <c r="BS211" s="43" t="n">
        <v>0</v>
      </c>
      <c r="BT211" s="43" t="n">
        <v>0</v>
      </c>
      <c r="BU211" s="43" t="n">
        <v>0</v>
      </c>
      <c r="BV211" s="43" t="n">
        <v>0</v>
      </c>
      <c r="BW211" s="43" t="n">
        <v>0</v>
      </c>
      <c r="BX211" s="43" t="n">
        <v>0</v>
      </c>
    </row>
    <row r="212" customFormat="false" ht="15" hidden="false" customHeight="true" outlineLevel="0" collapsed="false">
      <c r="A212" s="38"/>
      <c r="B212" s="38"/>
      <c r="C212" s="38"/>
      <c r="D212" s="41" t="s">
        <v>473</v>
      </c>
      <c r="E212" s="38" t="n">
        <f aca="false">SUM(E207:E210)</f>
        <v>199</v>
      </c>
      <c r="F212" s="38" t="n">
        <f aca="false">SUM(F207:F210)</f>
        <v>199</v>
      </c>
      <c r="G212" s="38" t="n">
        <f aca="false">SUM(G207:G210)</f>
        <v>199</v>
      </c>
      <c r="H212" s="38" t="n">
        <f aca="false">SUM(H207:H210)</f>
        <v>199</v>
      </c>
      <c r="I212" s="38" t="n">
        <f aca="false">SUM(I207:I210)</f>
        <v>199</v>
      </c>
      <c r="J212" s="38" t="n">
        <f aca="false">SUM(J207:J210)</f>
        <v>199</v>
      </c>
      <c r="K212" s="38" t="n">
        <f aca="false">SUM(K207:K210)</f>
        <v>199</v>
      </c>
      <c r="L212" s="38" t="n">
        <f aca="false">SUM(L207:L210)</f>
        <v>199</v>
      </c>
      <c r="M212" s="38" t="n">
        <f aca="false">SUM(M207:M210)</f>
        <v>198</v>
      </c>
      <c r="N212" s="38" t="n">
        <f aca="false">SUM(N207:N210)</f>
        <v>199</v>
      </c>
      <c r="O212" s="38" t="n">
        <f aca="false">SUM(O207:O210)</f>
        <v>199</v>
      </c>
      <c r="P212" s="38" t="n">
        <f aca="false">SUM(P207:P210)</f>
        <v>199</v>
      </c>
      <c r="Q212" s="38" t="n">
        <f aca="false">SUM(Q207:Q210)</f>
        <v>199</v>
      </c>
      <c r="R212" s="38" t="n">
        <f aca="false">SUM(R207:R210)</f>
        <v>199</v>
      </c>
      <c r="S212" s="38" t="n">
        <f aca="false">SUM(S207:S210)</f>
        <v>198</v>
      </c>
      <c r="T212" s="38" t="n">
        <f aca="false">SUM(T207:T210)</f>
        <v>132</v>
      </c>
      <c r="U212" s="38" t="n">
        <f aca="false">SUM(U207:U210)</f>
        <v>196</v>
      </c>
      <c r="V212" s="38" t="n">
        <f aca="false">SUM(V207:V210)</f>
        <v>199</v>
      </c>
      <c r="W212" s="38" t="n">
        <f aca="false">SUM(W207:W210)</f>
        <v>199</v>
      </c>
      <c r="X212" s="38" t="n">
        <f aca="false">SUM(X207:X210)</f>
        <v>198</v>
      </c>
      <c r="Y212" s="38" t="n">
        <f aca="false">SUM(Y207:Y210)</f>
        <v>199</v>
      </c>
      <c r="Z212" s="38" t="n">
        <f aca="false">SUM(Z207:Z210)</f>
        <v>199</v>
      </c>
      <c r="AA212" s="38" t="n">
        <f aca="false">SUM(AA207:AA210)</f>
        <v>199</v>
      </c>
      <c r="AB212" s="38" t="n">
        <f aca="false">SUM(AB207:AB210)</f>
        <v>199</v>
      </c>
      <c r="AC212" s="38" t="n">
        <f aca="false">SUM(AC207:AC210)</f>
        <v>199</v>
      </c>
      <c r="AD212" s="38" t="n">
        <f aca="false">SUM(AD207:AD210)</f>
        <v>199</v>
      </c>
      <c r="AE212" s="38" t="n">
        <f aca="false">SUM(AE207:AE210)</f>
        <v>199</v>
      </c>
      <c r="AF212" s="38" t="n">
        <f aca="false">SUM(AF207:AF210)</f>
        <v>199</v>
      </c>
      <c r="AG212" s="38" t="n">
        <f aca="false">SUM(AG207:AG210)</f>
        <v>199</v>
      </c>
      <c r="AH212" s="38" t="n">
        <f aca="false">SUM(AH207:AH210)</f>
        <v>199</v>
      </c>
      <c r="AI212" s="38" t="n">
        <f aca="false">SUM(AI207:AI210)</f>
        <v>199</v>
      </c>
      <c r="AJ212" s="38" t="n">
        <f aca="false">SUM(AJ207:AJ210)</f>
        <v>199</v>
      </c>
      <c r="AK212" s="38" t="n">
        <f aca="false">SUM(AK207:AK210)</f>
        <v>199</v>
      </c>
      <c r="AL212" s="38" t="n">
        <f aca="false">SUM(AL207:AL210)</f>
        <v>199</v>
      </c>
      <c r="AM212" s="38" t="n">
        <f aca="false">SUM(AM207:AM210)</f>
        <v>199</v>
      </c>
      <c r="AN212" s="38" t="n">
        <f aca="false">SUM(AN207:AN210)</f>
        <v>199</v>
      </c>
      <c r="AO212" s="38" t="n">
        <f aca="false">SUM(AO207:AO210)</f>
        <v>199</v>
      </c>
      <c r="AP212" s="38" t="n">
        <f aca="false">SUM(AP207:AP210)</f>
        <v>199</v>
      </c>
      <c r="AQ212" s="38" t="n">
        <f aca="false">SUM(AQ207:AQ210)</f>
        <v>199</v>
      </c>
      <c r="AR212" s="38" t="n">
        <f aca="false">SUM(AR207:AR210)</f>
        <v>199</v>
      </c>
      <c r="AS212" s="38" t="n">
        <f aca="false">SUM(AS207:AS210)</f>
        <v>199</v>
      </c>
      <c r="AT212" s="38" t="n">
        <f aca="false">SUM(AT207:AT210)</f>
        <v>199</v>
      </c>
      <c r="AU212" s="38" t="n">
        <f aca="false">SUM(AU207:AU210)</f>
        <v>199</v>
      </c>
      <c r="AV212" s="38" t="n">
        <f aca="false">SUM(AV207:AV210)</f>
        <v>199</v>
      </c>
      <c r="AW212" s="38" t="n">
        <f aca="false">SUM(AW207:AW210)</f>
        <v>197</v>
      </c>
      <c r="AX212" s="38" t="n">
        <f aca="false">SUM(AX207:AX210)</f>
        <v>168</v>
      </c>
      <c r="AY212" s="38" t="n">
        <f aca="false">SUM(AY207:AY210)</f>
        <v>199</v>
      </c>
      <c r="AZ212" s="38" t="n">
        <f aca="false">SUM(AZ207:AZ210)</f>
        <v>199</v>
      </c>
      <c r="BA212" s="38" t="n">
        <f aca="false">SUM(BA207:BA210)</f>
        <v>199</v>
      </c>
      <c r="BB212" s="38" t="n">
        <f aca="false">SUM(BB207:BB210)</f>
        <v>199</v>
      </c>
      <c r="BC212" s="38" t="n">
        <f aca="false">SUM(BC207:BC210)</f>
        <v>198</v>
      </c>
      <c r="BD212" s="38" t="n">
        <f aca="false">SUM(BD207:BD210)</f>
        <v>199</v>
      </c>
      <c r="BE212" s="38" t="n">
        <f aca="false">SUM(BE207:BE210)</f>
        <v>199</v>
      </c>
      <c r="BF212" s="38" t="n">
        <f aca="false">SUM(BF207:BF210)</f>
        <v>199</v>
      </c>
      <c r="BG212" s="38" t="n">
        <f aca="false">SUM(BG207:BG210)</f>
        <v>199</v>
      </c>
      <c r="BH212" s="38" t="n">
        <f aca="false">SUM(BH207:BH210)</f>
        <v>199</v>
      </c>
      <c r="BI212" s="38" t="n">
        <f aca="false">SUM(BI207:BI210)</f>
        <v>198</v>
      </c>
      <c r="BJ212" s="38" t="n">
        <f aca="false">SUM(BJ207:BJ210)</f>
        <v>199</v>
      </c>
      <c r="BK212" s="38" t="n">
        <f aca="false">SUM(BK207:BK210)</f>
        <v>199</v>
      </c>
      <c r="BL212" s="38" t="n">
        <f aca="false">SUM(BL207:BL210)</f>
        <v>199</v>
      </c>
      <c r="BM212" s="38" t="n">
        <f aca="false">SUM(BM207:BM210)</f>
        <v>199</v>
      </c>
      <c r="BN212" s="38" t="n">
        <f aca="false">SUM(BN207:BN210)</f>
        <v>199</v>
      </c>
      <c r="BO212" s="38" t="n">
        <f aca="false">SUM(BO207:BO210)</f>
        <v>199</v>
      </c>
      <c r="BP212" s="38" t="n">
        <f aca="false">SUM(BP207:BP210)</f>
        <v>199</v>
      </c>
      <c r="BQ212" s="38" t="n">
        <f aca="false">SUM(BQ207:BQ210)</f>
        <v>198</v>
      </c>
      <c r="BR212" s="38" t="n">
        <f aca="false">SUM(BR207:BR210)</f>
        <v>199</v>
      </c>
      <c r="BS212" s="38" t="n">
        <f aca="false">SUM(BS207:BS210)</f>
        <v>199</v>
      </c>
      <c r="BT212" s="38" t="n">
        <f aca="false">SUM(BT207:BT210)</f>
        <v>199</v>
      </c>
      <c r="BU212" s="38" t="n">
        <f aca="false">SUM(BU207:BU210)</f>
        <v>199</v>
      </c>
      <c r="BV212" s="38" t="n">
        <f aca="false">SUM(BV207:BV210)</f>
        <v>199</v>
      </c>
      <c r="BW212" s="38" t="n">
        <f aca="false">SUM(BW207:BW210)</f>
        <v>199</v>
      </c>
      <c r="BX212" s="38" t="n">
        <f aca="false">SUM(BX207:BX210)</f>
        <v>199</v>
      </c>
    </row>
    <row r="213" customFormat="false" ht="15" hidden="false" customHeight="true" outlineLevel="0" collapsed="false">
      <c r="A213" s="38"/>
      <c r="B213" s="38"/>
      <c r="C213" s="38"/>
      <c r="D213" s="41" t="s">
        <v>474</v>
      </c>
      <c r="E213" s="38" t="n">
        <f aca="false">E211+E212</f>
        <v>199</v>
      </c>
      <c r="F213" s="38" t="n">
        <f aca="false">F211+F212</f>
        <v>199</v>
      </c>
      <c r="G213" s="38" t="n">
        <f aca="false">G211+G212</f>
        <v>199</v>
      </c>
      <c r="H213" s="38" t="n">
        <f aca="false">H211+H212</f>
        <v>199</v>
      </c>
      <c r="I213" s="38" t="n">
        <f aca="false">I211+I212</f>
        <v>199</v>
      </c>
      <c r="J213" s="38" t="n">
        <f aca="false">J211+J212</f>
        <v>199</v>
      </c>
      <c r="K213" s="38" t="n">
        <f aca="false">K211+K212</f>
        <v>199</v>
      </c>
      <c r="L213" s="38" t="n">
        <f aca="false">L211+L212</f>
        <v>199</v>
      </c>
      <c r="M213" s="38" t="n">
        <f aca="false">M211+M212</f>
        <v>199</v>
      </c>
      <c r="N213" s="38" t="n">
        <f aca="false">N211+N212</f>
        <v>199</v>
      </c>
      <c r="O213" s="38" t="n">
        <f aca="false">O211+O212</f>
        <v>199</v>
      </c>
      <c r="P213" s="38" t="n">
        <f aca="false">P211+P212</f>
        <v>199</v>
      </c>
      <c r="Q213" s="38" t="n">
        <f aca="false">Q211+Q212</f>
        <v>199</v>
      </c>
      <c r="R213" s="38" t="n">
        <f aca="false">R211+R212</f>
        <v>199</v>
      </c>
      <c r="S213" s="38" t="n">
        <f aca="false">S211+S212</f>
        <v>199</v>
      </c>
      <c r="T213" s="38" t="n">
        <f aca="false">T211+T212</f>
        <v>199</v>
      </c>
      <c r="U213" s="38" t="n">
        <f aca="false">U211+U212</f>
        <v>199</v>
      </c>
      <c r="V213" s="38" t="n">
        <f aca="false">V211+V212</f>
        <v>199</v>
      </c>
      <c r="W213" s="38" t="n">
        <f aca="false">W211+W212</f>
        <v>199</v>
      </c>
      <c r="X213" s="38" t="n">
        <f aca="false">X211+X212</f>
        <v>199</v>
      </c>
      <c r="Y213" s="38" t="n">
        <f aca="false">Y211+Y212</f>
        <v>199</v>
      </c>
      <c r="Z213" s="38" t="n">
        <f aca="false">Z211+Z212</f>
        <v>199</v>
      </c>
      <c r="AA213" s="38" t="n">
        <f aca="false">AA211+AA212</f>
        <v>199</v>
      </c>
      <c r="AB213" s="38" t="n">
        <f aca="false">AB211+AB212</f>
        <v>199</v>
      </c>
      <c r="AC213" s="38" t="n">
        <f aca="false">AC211+AC212</f>
        <v>199</v>
      </c>
      <c r="AD213" s="38" t="n">
        <f aca="false">AD211+AD212</f>
        <v>199</v>
      </c>
      <c r="AE213" s="38" t="n">
        <f aca="false">AE211+AE212</f>
        <v>199</v>
      </c>
      <c r="AF213" s="38" t="n">
        <f aca="false">AF211+AF212</f>
        <v>199</v>
      </c>
      <c r="AG213" s="38" t="n">
        <f aca="false">AG211+AG212</f>
        <v>199</v>
      </c>
      <c r="AH213" s="38" t="n">
        <f aca="false">AH211+AH212</f>
        <v>199</v>
      </c>
      <c r="AI213" s="38" t="n">
        <f aca="false">AI211+AI212</f>
        <v>199</v>
      </c>
      <c r="AJ213" s="38" t="n">
        <f aca="false">AJ211+AJ212</f>
        <v>199</v>
      </c>
      <c r="AK213" s="38" t="n">
        <f aca="false">AK211+AK212</f>
        <v>199</v>
      </c>
      <c r="AL213" s="38" t="n">
        <f aca="false">AL211+AL212</f>
        <v>199</v>
      </c>
      <c r="AM213" s="38" t="n">
        <f aca="false">AM211+AM212</f>
        <v>199</v>
      </c>
      <c r="AN213" s="38" t="n">
        <f aca="false">AN211+AN212</f>
        <v>199</v>
      </c>
      <c r="AO213" s="38" t="n">
        <f aca="false">AO211+AO212</f>
        <v>199</v>
      </c>
      <c r="AP213" s="38" t="n">
        <f aca="false">AP211+AP212</f>
        <v>199</v>
      </c>
      <c r="AQ213" s="38" t="n">
        <f aca="false">AQ211+AQ212</f>
        <v>199</v>
      </c>
      <c r="AR213" s="38" t="n">
        <f aca="false">AR211+AR212</f>
        <v>199</v>
      </c>
      <c r="AS213" s="38" t="n">
        <f aca="false">AS211+AS212</f>
        <v>199</v>
      </c>
      <c r="AT213" s="38" t="n">
        <f aca="false">AT211+AT212</f>
        <v>199</v>
      </c>
      <c r="AU213" s="38" t="n">
        <f aca="false">AU211+AU212</f>
        <v>199</v>
      </c>
      <c r="AV213" s="38" t="n">
        <f aca="false">AV211+AV212</f>
        <v>199</v>
      </c>
      <c r="AW213" s="38" t="n">
        <f aca="false">AW211+AW212</f>
        <v>199</v>
      </c>
      <c r="AX213" s="38" t="n">
        <f aca="false">AX211+AX212</f>
        <v>199</v>
      </c>
      <c r="AY213" s="38" t="n">
        <f aca="false">AY211+AY212</f>
        <v>199</v>
      </c>
      <c r="AZ213" s="38" t="n">
        <f aca="false">AZ211+AZ212</f>
        <v>199</v>
      </c>
      <c r="BA213" s="38" t="n">
        <f aca="false">BA211+BA212</f>
        <v>199</v>
      </c>
      <c r="BB213" s="38" t="n">
        <f aca="false">BB211+BB212</f>
        <v>199</v>
      </c>
      <c r="BC213" s="38" t="n">
        <f aca="false">BC211+BC212</f>
        <v>199</v>
      </c>
      <c r="BD213" s="38" t="n">
        <f aca="false">BD211+BD212</f>
        <v>199</v>
      </c>
      <c r="BE213" s="38" t="n">
        <f aca="false">BE211+BE212</f>
        <v>199</v>
      </c>
      <c r="BF213" s="38" t="n">
        <f aca="false">BF211+BF212</f>
        <v>199</v>
      </c>
      <c r="BG213" s="38" t="n">
        <f aca="false">BG211+BG212</f>
        <v>199</v>
      </c>
      <c r="BH213" s="38" t="n">
        <f aca="false">BH211+BH212</f>
        <v>199</v>
      </c>
      <c r="BI213" s="38" t="n">
        <f aca="false">BI211+BI212</f>
        <v>199</v>
      </c>
      <c r="BJ213" s="38" t="n">
        <f aca="false">BJ211+BJ212</f>
        <v>199</v>
      </c>
      <c r="BK213" s="38" t="n">
        <f aca="false">BK211+BK212</f>
        <v>199</v>
      </c>
      <c r="BL213" s="38" t="n">
        <f aca="false">BL211+BL212</f>
        <v>199</v>
      </c>
      <c r="BM213" s="38" t="n">
        <f aca="false">BM211+BM212</f>
        <v>199</v>
      </c>
      <c r="BN213" s="38" t="n">
        <f aca="false">BN211+BN212</f>
        <v>199</v>
      </c>
      <c r="BO213" s="38" t="n">
        <f aca="false">BO211+BO212</f>
        <v>199</v>
      </c>
      <c r="BP213" s="38" t="n">
        <f aca="false">BP211+BP212</f>
        <v>199</v>
      </c>
      <c r="BQ213" s="38" t="n">
        <f aca="false">BQ211+BQ212</f>
        <v>199</v>
      </c>
      <c r="BR213" s="38" t="n">
        <f aca="false">BR211+BR212</f>
        <v>199</v>
      </c>
      <c r="BS213" s="38" t="n">
        <f aca="false">BS211+BS212</f>
        <v>199</v>
      </c>
      <c r="BT213" s="38" t="n">
        <f aca="false">BT211+BT212</f>
        <v>199</v>
      </c>
      <c r="BU213" s="38" t="n">
        <f aca="false">BU211+BU212</f>
        <v>199</v>
      </c>
      <c r="BV213" s="38" t="n">
        <f aca="false">BV211+BV212</f>
        <v>199</v>
      </c>
      <c r="BW213" s="38" t="n">
        <f aca="false">BW211+BW212</f>
        <v>199</v>
      </c>
      <c r="BX213" s="38" t="n">
        <f aca="false">BX211+BX212</f>
        <v>199</v>
      </c>
    </row>
    <row r="214" customFormat="false" ht="15" hidden="false" customHeight="true" outlineLevel="0" collapsed="false">
      <c r="A214" s="38"/>
      <c r="B214" s="38"/>
      <c r="C214" s="38"/>
      <c r="D214" s="41" t="s">
        <v>475</v>
      </c>
      <c r="E214" s="38" t="s">
        <v>169</v>
      </c>
      <c r="F214" s="38" t="s">
        <v>169</v>
      </c>
      <c r="G214" s="38" t="s">
        <v>169</v>
      </c>
      <c r="H214" s="38" t="s">
        <v>169</v>
      </c>
      <c r="I214" s="38" t="s">
        <v>170</v>
      </c>
      <c r="J214" s="38" t="s">
        <v>170</v>
      </c>
      <c r="K214" s="38" t="s">
        <v>169</v>
      </c>
      <c r="L214" s="38" t="s">
        <v>171</v>
      </c>
      <c r="M214" s="38" t="s">
        <v>172</v>
      </c>
      <c r="N214" s="38" t="s">
        <v>169</v>
      </c>
      <c r="O214" s="38" t="s">
        <v>170</v>
      </c>
      <c r="P214" s="38" t="s">
        <v>171</v>
      </c>
      <c r="Q214" s="38" t="s">
        <v>170</v>
      </c>
      <c r="R214" s="38" t="s">
        <v>172</v>
      </c>
      <c r="S214" s="38" t="s">
        <v>169</v>
      </c>
      <c r="T214" s="38" t="s">
        <v>171</v>
      </c>
      <c r="U214" s="38" t="s">
        <v>171</v>
      </c>
      <c r="V214" s="38" t="s">
        <v>169</v>
      </c>
      <c r="W214" s="38" t="s">
        <v>169</v>
      </c>
      <c r="X214" s="38" t="s">
        <v>171</v>
      </c>
      <c r="Y214" s="38" t="s">
        <v>172</v>
      </c>
      <c r="Z214" s="38" t="s">
        <v>169</v>
      </c>
      <c r="AA214" s="38" t="s">
        <v>172</v>
      </c>
      <c r="AB214" s="38" t="s">
        <v>169</v>
      </c>
      <c r="AC214" s="38" t="s">
        <v>170</v>
      </c>
      <c r="AD214" s="38" t="s">
        <v>169</v>
      </c>
      <c r="AE214" s="38" t="s">
        <v>170</v>
      </c>
      <c r="AF214" s="38" t="s">
        <v>170</v>
      </c>
      <c r="AG214" s="38" t="s">
        <v>169</v>
      </c>
      <c r="AH214" s="38" t="s">
        <v>169</v>
      </c>
      <c r="AI214" s="38" t="s">
        <v>170</v>
      </c>
      <c r="AJ214" s="38" t="s">
        <v>170</v>
      </c>
      <c r="AK214" s="38" t="s">
        <v>171</v>
      </c>
      <c r="AL214" s="38" t="s">
        <v>476</v>
      </c>
      <c r="AM214" s="38" t="s">
        <v>172</v>
      </c>
      <c r="AN214" s="38" t="s">
        <v>171</v>
      </c>
      <c r="AO214" s="38" t="s">
        <v>172</v>
      </c>
      <c r="AP214" s="38" t="s">
        <v>172</v>
      </c>
      <c r="AQ214" s="38" t="s">
        <v>169</v>
      </c>
      <c r="AR214" s="38" t="s">
        <v>170</v>
      </c>
      <c r="AS214" s="38" t="s">
        <v>170</v>
      </c>
      <c r="AT214" s="38" t="s">
        <v>169</v>
      </c>
      <c r="AU214" s="38" t="s">
        <v>169</v>
      </c>
      <c r="AV214" s="38" t="s">
        <v>172</v>
      </c>
      <c r="AW214" s="38" t="s">
        <v>169</v>
      </c>
      <c r="AX214" s="38" t="s">
        <v>169</v>
      </c>
      <c r="AY214" s="38" t="s">
        <v>171</v>
      </c>
      <c r="AZ214" s="38" t="s">
        <v>170</v>
      </c>
      <c r="BA214" s="38" t="s">
        <v>169</v>
      </c>
      <c r="BB214" s="38" t="s">
        <v>170</v>
      </c>
      <c r="BC214" s="38" t="s">
        <v>169</v>
      </c>
      <c r="BD214" s="38" t="s">
        <v>169</v>
      </c>
      <c r="BE214" s="38" t="s">
        <v>169</v>
      </c>
      <c r="BF214" s="38" t="s">
        <v>171</v>
      </c>
      <c r="BG214" s="38" t="s">
        <v>171</v>
      </c>
      <c r="BH214" s="38" t="s">
        <v>170</v>
      </c>
      <c r="BI214" s="38" t="s">
        <v>169</v>
      </c>
      <c r="BJ214" s="38" t="s">
        <v>172</v>
      </c>
      <c r="BK214" s="38" t="s">
        <v>172</v>
      </c>
      <c r="BL214" s="38" t="s">
        <v>171</v>
      </c>
      <c r="BM214" s="38" t="s">
        <v>170</v>
      </c>
      <c r="BN214" s="38" t="s">
        <v>170</v>
      </c>
      <c r="BO214" s="38" t="s">
        <v>170</v>
      </c>
      <c r="BP214" s="38" t="s">
        <v>169</v>
      </c>
      <c r="BQ214" s="38" t="s">
        <v>171</v>
      </c>
      <c r="BR214" s="38" t="s">
        <v>170</v>
      </c>
      <c r="BS214" s="38" t="s">
        <v>169</v>
      </c>
      <c r="BT214" s="38" t="s">
        <v>169</v>
      </c>
      <c r="BU214" s="38" t="s">
        <v>170</v>
      </c>
      <c r="BV214" s="38" t="s">
        <v>169</v>
      </c>
      <c r="BW214" s="38" t="s">
        <v>170</v>
      </c>
      <c r="BX214" s="38" t="s">
        <v>170</v>
      </c>
    </row>
    <row r="215" customFormat="false" ht="15" hidden="false" customHeight="true" outlineLevel="0" collapsed="false">
      <c r="A215" s="38"/>
      <c r="B215" s="38"/>
      <c r="C215" s="38"/>
      <c r="D215" s="41" t="s">
        <v>477</v>
      </c>
      <c r="E215" s="44" t="n">
        <f aca="false">MAX(E207:E210)/E212</f>
        <v>0.763819095477387</v>
      </c>
      <c r="F215" s="44" t="n">
        <f aca="false">MAX(F207:F210)/F212</f>
        <v>0.527638190954774</v>
      </c>
      <c r="G215" s="44" t="n">
        <f aca="false">MAX(G207:G210)/G212</f>
        <v>0.42713567839196</v>
      </c>
      <c r="H215" s="44" t="n">
        <f aca="false">MAX(H207:H210)/H212</f>
        <v>0.447236180904523</v>
      </c>
      <c r="I215" s="44" t="n">
        <f aca="false">MAX(I207:I210)/I212</f>
        <v>0.396984924623116</v>
      </c>
      <c r="J215" s="44" t="n">
        <f aca="false">MAX(J207:J210)/J212</f>
        <v>0.326633165829146</v>
      </c>
      <c r="K215" s="44" t="n">
        <f aca="false">MAX(K207:K210)/K212</f>
        <v>0.527638190954774</v>
      </c>
      <c r="L215" s="44" t="n">
        <f aca="false">MAX(L207:L210)/L212</f>
        <v>0.989949748743719</v>
      </c>
      <c r="M215" s="44" t="n">
        <f aca="false">MAX(M207:M210)/M212</f>
        <v>0.656565656565657</v>
      </c>
      <c r="N215" s="44" t="n">
        <f aca="false">MAX(N207:N210)/N212</f>
        <v>0.959798994974874</v>
      </c>
      <c r="O215" s="44" t="n">
        <f aca="false">MAX(O207:O210)/O212</f>
        <v>0.733668341708543</v>
      </c>
      <c r="P215" s="44" t="n">
        <f aca="false">MAX(P207:P210)/P212</f>
        <v>0.597989949748744</v>
      </c>
      <c r="Q215" s="44" t="n">
        <f aca="false">MAX(Q207:Q210)/Q212</f>
        <v>0.648241206030151</v>
      </c>
      <c r="R215" s="44" t="n">
        <f aca="false">MAX(R207:R210)/R212</f>
        <v>0.989949748743719</v>
      </c>
      <c r="S215" s="44" t="n">
        <f aca="false">MAX(S207:S210)/S212</f>
        <v>0.813131313131313</v>
      </c>
      <c r="T215" s="44" t="n">
        <f aca="false">MAX(T207:T210)/T212</f>
        <v>0.598484848484849</v>
      </c>
      <c r="U215" s="44" t="n">
        <f aca="false">MAX(U207:U210)/U212</f>
        <v>0.576530612244898</v>
      </c>
      <c r="V215" s="44" t="n">
        <f aca="false">MAX(V207:V210)/V212</f>
        <v>0.994974874371859</v>
      </c>
      <c r="W215" s="44" t="n">
        <f aca="false">MAX(W207:W210)/W212</f>
        <v>0.984924623115578</v>
      </c>
      <c r="X215" s="44" t="n">
        <f aca="false">MAX(X207:X210)/X212</f>
        <v>0.595959595959596</v>
      </c>
      <c r="Y215" s="44" t="n">
        <f aca="false">MAX(Y207:Y210)/Y212</f>
        <v>0.894472361809045</v>
      </c>
      <c r="Z215" s="44" t="n">
        <f aca="false">MAX(Z207:Z210)/Z212</f>
        <v>0.723618090452261</v>
      </c>
      <c r="AA215" s="44" t="n">
        <f aca="false">MAX(AA207:AA210)/AA212</f>
        <v>0.603015075376884</v>
      </c>
      <c r="AB215" s="44" t="n">
        <f aca="false">MAX(AB207:AB210)/AB212</f>
        <v>0.748743718592965</v>
      </c>
      <c r="AC215" s="44" t="n">
        <f aca="false">MAX(AC207:AC210)/AC212</f>
        <v>0.889447236180905</v>
      </c>
      <c r="AD215" s="44" t="n">
        <f aca="false">MAX(AD207:AD210)/AD212</f>
        <v>0.50251256281407</v>
      </c>
      <c r="AE215" s="44" t="n">
        <f aca="false">MAX(AE207:AE210)/AE212</f>
        <v>0.467336683417085</v>
      </c>
      <c r="AF215" s="44" t="n">
        <f aca="false">MAX(AF207:AF210)/AF212</f>
        <v>0.517587939698493</v>
      </c>
      <c r="AG215" s="44" t="n">
        <f aca="false">MAX(AG207:AG210)/AG212</f>
        <v>0.386934673366834</v>
      </c>
      <c r="AH215" s="44" t="n">
        <f aca="false">MAX(AH207:AH210)/AH212</f>
        <v>0.753768844221106</v>
      </c>
      <c r="AI215" s="44" t="n">
        <f aca="false">MAX(AI207:AI210)/AI212</f>
        <v>0.361809045226131</v>
      </c>
      <c r="AJ215" s="44" t="n">
        <f aca="false">MAX(AJ207:AJ210)/AJ212</f>
        <v>0.673366834170854</v>
      </c>
      <c r="AK215" s="44" t="n">
        <f aca="false">MAX(AK207:AK210)/AK212</f>
        <v>0.989949748743719</v>
      </c>
      <c r="AL215" s="44" t="n">
        <f aca="false">MAX(AL207:AL210)/AL212</f>
        <v>0.331658291457286</v>
      </c>
      <c r="AM215" s="44" t="n">
        <f aca="false">MAX(AM207:AM210)/AM212</f>
        <v>0.306532663316583</v>
      </c>
      <c r="AN215" s="44" t="n">
        <f aca="false">MAX(AN207:AN210)/AN212</f>
        <v>0.35678391959799</v>
      </c>
      <c r="AO215" s="44" t="n">
        <f aca="false">MAX(AO207:AO210)/AO212</f>
        <v>0.753768844221106</v>
      </c>
      <c r="AP215" s="44" t="n">
        <f aca="false">MAX(AP207:AP210)/AP212</f>
        <v>0.733668341708543</v>
      </c>
      <c r="AQ215" s="44" t="n">
        <f aca="false">MAX(AQ207:AQ210)/AQ212</f>
        <v>0.361809045226131</v>
      </c>
      <c r="AR215" s="44" t="n">
        <f aca="false">MAX(AR207:AR210)/AR212</f>
        <v>0.718592964824121</v>
      </c>
      <c r="AS215" s="44" t="n">
        <f aca="false">MAX(AS207:AS210)/AS212</f>
        <v>0.386934673366834</v>
      </c>
      <c r="AT215" s="44" t="n">
        <f aca="false">MAX(AT207:AT210)/AT212</f>
        <v>0.527638190954774</v>
      </c>
      <c r="AU215" s="44" t="n">
        <f aca="false">MAX(AU207:AU210)/AU212</f>
        <v>0.49748743718593</v>
      </c>
      <c r="AV215" s="44" t="n">
        <f aca="false">MAX(AV207:AV210)/AV212</f>
        <v>0.49748743718593</v>
      </c>
      <c r="AW215" s="44" t="n">
        <f aca="false">MAX(AW207:AW210)/AW212</f>
        <v>0.756345177664975</v>
      </c>
      <c r="AX215" s="44" t="n">
        <f aca="false">MAX(AX207:AX210)/AX212</f>
        <v>0.80952380952381</v>
      </c>
      <c r="AY215" s="44" t="n">
        <f aca="false">MAX(AY207:AY210)/AY212</f>
        <v>0.673366834170854</v>
      </c>
      <c r="AZ215" s="44" t="n">
        <f aca="false">MAX(AZ207:AZ210)/AZ212</f>
        <v>0.839195979899498</v>
      </c>
      <c r="BA215" s="44" t="n">
        <f aca="false">MAX(BA207:BA210)/BA212</f>
        <v>0.50251256281407</v>
      </c>
      <c r="BB215" s="44" t="n">
        <f aca="false">MAX(BB207:BB210)/BB212</f>
        <v>0.437185929648241</v>
      </c>
      <c r="BC215" s="44" t="n">
        <f aca="false">MAX(BC207:BC210)/BC212</f>
        <v>0.5</v>
      </c>
      <c r="BD215" s="44" t="n">
        <f aca="false">MAX(BD207:BD210)/BD212</f>
        <v>0.839195979899498</v>
      </c>
      <c r="BE215" s="44" t="n">
        <f aca="false">MAX(BE207:BE210)/BE212</f>
        <v>0.979899497487437</v>
      </c>
      <c r="BF215" s="44" t="n">
        <f aca="false">MAX(BF207:BF210)/BF212</f>
        <v>0.989949748743719</v>
      </c>
      <c r="BG215" s="44" t="n">
        <f aca="false">MAX(BG207:BG210)/BG212</f>
        <v>0.984924623115578</v>
      </c>
      <c r="BH215" s="44" t="n">
        <f aca="false">MAX(BH207:BH210)/BH212</f>
        <v>0.979899497487437</v>
      </c>
      <c r="BI215" s="44" t="n">
        <f aca="false">MAX(BI207:BI210)/BI212</f>
        <v>0.611111111111111</v>
      </c>
      <c r="BJ215" s="44" t="n">
        <f aca="false">MAX(BJ207:BJ210)/BJ212</f>
        <v>0.989949748743719</v>
      </c>
      <c r="BK215" s="44" t="n">
        <f aca="false">MAX(BK207:BK210)/BK212</f>
        <v>0.457286432160804</v>
      </c>
      <c r="BL215" s="44" t="n">
        <f aca="false">MAX(BL207:BL210)/BL212</f>
        <v>0.78391959798995</v>
      </c>
      <c r="BM215" s="44" t="n">
        <f aca="false">MAX(BM207:BM210)/BM212</f>
        <v>0.989949748743719</v>
      </c>
      <c r="BN215" s="44" t="n">
        <f aca="false">MAX(BN207:BN210)/BN212</f>
        <v>0.844221105527638</v>
      </c>
      <c r="BO215" s="44" t="n">
        <f aca="false">MAX(BO207:BO210)/BO212</f>
        <v>0.487437185929648</v>
      </c>
      <c r="BP215" s="44" t="n">
        <f aca="false">MAX(BP207:BP210)/BP212</f>
        <v>0.462311557788945</v>
      </c>
      <c r="BQ215" s="44" t="n">
        <f aca="false">MAX(BQ207:BQ210)/BQ212</f>
        <v>0.348484848484849</v>
      </c>
      <c r="BR215" s="44" t="n">
        <f aca="false">MAX(BR207:BR210)/BR212</f>
        <v>0.527638190954774</v>
      </c>
      <c r="BS215" s="44" t="n">
        <f aca="false">MAX(BS207:BS210)/BS212</f>
        <v>0.376884422110553</v>
      </c>
      <c r="BT215" s="44" t="n">
        <f aca="false">MAX(BT207:BT210)/BT212</f>
        <v>0.437185929648241</v>
      </c>
      <c r="BU215" s="44" t="n">
        <f aca="false">MAX(BU207:BU210)/BU212</f>
        <v>0.442211055276382</v>
      </c>
      <c r="BV215" s="44" t="n">
        <f aca="false">MAX(BV207:BV210)/BV212</f>
        <v>0.376884422110553</v>
      </c>
      <c r="BW215" s="44" t="n">
        <f aca="false">MAX(BW207:BW210)/BW212</f>
        <v>0.517587939698493</v>
      </c>
      <c r="BX215" s="44" t="n">
        <f aca="false">MAX(BX207:BX210)/BX212</f>
        <v>0.728643216080402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34"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5" min="2" style="0" width="8"/>
    <col collapsed="false" customWidth="true" hidden="false" outlineLevel="0" max="7" min="6" style="0" width="12"/>
    <col collapsed="false" customWidth="true" hidden="false" outlineLevel="0" max="8" min="8" style="0" width="18"/>
  </cols>
  <sheetData>
    <row r="1" customFormat="false" ht="15" hidden="false" customHeight="true" outlineLevel="0" collapsed="false">
      <c r="A1" s="39" t="s">
        <v>471</v>
      </c>
      <c r="B1" s="39" t="s">
        <v>172</v>
      </c>
      <c r="C1" s="39" t="s">
        <v>170</v>
      </c>
      <c r="D1" s="39" t="s">
        <v>169</v>
      </c>
      <c r="E1" s="39" t="s">
        <v>171</v>
      </c>
      <c r="F1" s="39" t="s">
        <v>472</v>
      </c>
      <c r="G1" s="39" t="s">
        <v>473</v>
      </c>
      <c r="H1" s="39" t="s">
        <v>478</v>
      </c>
    </row>
    <row r="2" customFormat="false" ht="15" hidden="false" customHeight="true" outlineLevel="0" collapsed="false">
      <c r="A2" s="38" t="n">
        <v>1</v>
      </c>
      <c r="B2" s="38" t="n">
        <f aca="false">'Database + Frequency'!E207</f>
        <v>13</v>
      </c>
      <c r="C2" s="38" t="n">
        <f aca="false">'Database + Frequency'!E208</f>
        <v>21</v>
      </c>
      <c r="D2" s="38" t="n">
        <f aca="false">'Database + Frequency'!E209</f>
        <v>152</v>
      </c>
      <c r="E2" s="38" t="n">
        <f aca="false">'Database + Frequency'!E210</f>
        <v>13</v>
      </c>
      <c r="F2" s="38" t="n">
        <f aca="false">'Database + Frequency'!E211</f>
        <v>0</v>
      </c>
      <c r="G2" s="38" t="n">
        <f aca="false">SUM(B2:E2)</f>
        <v>199</v>
      </c>
      <c r="H2" s="38" t="n">
        <f aca="false">F2+G2</f>
        <v>199</v>
      </c>
    </row>
    <row r="3" customFormat="false" ht="15" hidden="false" customHeight="true" outlineLevel="0" collapsed="false">
      <c r="A3" s="38" t="n">
        <v>2</v>
      </c>
      <c r="B3" s="38" t="n">
        <f aca="false">'Database + Frequency'!F207</f>
        <v>6</v>
      </c>
      <c r="C3" s="38" t="n">
        <f aca="false">'Database + Frequency'!F208</f>
        <v>82</v>
      </c>
      <c r="D3" s="38" t="n">
        <f aca="false">'Database + Frequency'!F209</f>
        <v>105</v>
      </c>
      <c r="E3" s="38" t="n">
        <f aca="false">'Database + Frequency'!F210</f>
        <v>6</v>
      </c>
      <c r="F3" s="38" t="n">
        <f aca="false">'Database + Frequency'!F211</f>
        <v>0</v>
      </c>
      <c r="G3" s="38" t="n">
        <f aca="false">SUM(B3:E3)</f>
        <v>199</v>
      </c>
      <c r="H3" s="38" t="n">
        <f aca="false">F3+G3</f>
        <v>199</v>
      </c>
    </row>
    <row r="4" customFormat="false" ht="15" hidden="false" customHeight="true" outlineLevel="0" collapsed="false">
      <c r="A4" s="38" t="n">
        <v>3</v>
      </c>
      <c r="B4" s="38" t="n">
        <f aca="false">'Database + Frequency'!G207</f>
        <v>14</v>
      </c>
      <c r="C4" s="38" t="n">
        <f aca="false">'Database + Frequency'!G208</f>
        <v>77</v>
      </c>
      <c r="D4" s="38" t="n">
        <f aca="false">'Database + Frequency'!G209</f>
        <v>85</v>
      </c>
      <c r="E4" s="38" t="n">
        <f aca="false">'Database + Frequency'!G210</f>
        <v>23</v>
      </c>
      <c r="F4" s="38" t="n">
        <f aca="false">'Database + Frequency'!G211</f>
        <v>0</v>
      </c>
      <c r="G4" s="38" t="n">
        <f aca="false">SUM(B4:E4)</f>
        <v>199</v>
      </c>
      <c r="H4" s="38" t="n">
        <f aca="false">F4+G4</f>
        <v>199</v>
      </c>
    </row>
    <row r="5" customFormat="false" ht="15" hidden="false" customHeight="true" outlineLevel="0" collapsed="false">
      <c r="A5" s="38" t="n">
        <v>4</v>
      </c>
      <c r="B5" s="38" t="n">
        <f aca="false">'Database + Frequency'!H207</f>
        <v>15</v>
      </c>
      <c r="C5" s="38" t="n">
        <f aca="false">'Database + Frequency'!H208</f>
        <v>61</v>
      </c>
      <c r="D5" s="38" t="n">
        <f aca="false">'Database + Frequency'!H209</f>
        <v>89</v>
      </c>
      <c r="E5" s="38" t="n">
        <f aca="false">'Database + Frequency'!H210</f>
        <v>34</v>
      </c>
      <c r="F5" s="38" t="n">
        <f aca="false">'Database + Frequency'!H211</f>
        <v>0</v>
      </c>
      <c r="G5" s="38" t="n">
        <f aca="false">SUM(B5:E5)</f>
        <v>199</v>
      </c>
      <c r="H5" s="38" t="n">
        <f aca="false">F5+G5</f>
        <v>199</v>
      </c>
    </row>
    <row r="6" customFormat="false" ht="15" hidden="false" customHeight="true" outlineLevel="0" collapsed="false">
      <c r="A6" s="38" t="n">
        <v>5</v>
      </c>
      <c r="B6" s="38" t="n">
        <f aca="false">'Database + Frequency'!I207</f>
        <v>30</v>
      </c>
      <c r="C6" s="38" t="n">
        <f aca="false">'Database + Frequency'!I208</f>
        <v>79</v>
      </c>
      <c r="D6" s="38" t="n">
        <f aca="false">'Database + Frequency'!I209</f>
        <v>69</v>
      </c>
      <c r="E6" s="38" t="n">
        <f aca="false">'Database + Frequency'!I210</f>
        <v>21</v>
      </c>
      <c r="F6" s="38" t="n">
        <f aca="false">'Database + Frequency'!I211</f>
        <v>0</v>
      </c>
      <c r="G6" s="38" t="n">
        <f aca="false">SUM(B6:E6)</f>
        <v>199</v>
      </c>
      <c r="H6" s="38" t="n">
        <f aca="false">F6+G6</f>
        <v>199</v>
      </c>
    </row>
    <row r="7" customFormat="false" ht="15" hidden="false" customHeight="true" outlineLevel="0" collapsed="false">
      <c r="A7" s="38" t="n">
        <v>6</v>
      </c>
      <c r="B7" s="38" t="n">
        <f aca="false">'Database + Frequency'!J207</f>
        <v>34</v>
      </c>
      <c r="C7" s="38" t="n">
        <f aca="false">'Database + Frequency'!J208</f>
        <v>65</v>
      </c>
      <c r="D7" s="38" t="n">
        <f aca="false">'Database + Frequency'!J209</f>
        <v>48</v>
      </c>
      <c r="E7" s="38" t="n">
        <f aca="false">'Database + Frequency'!J210</f>
        <v>52</v>
      </c>
      <c r="F7" s="38" t="n">
        <f aca="false">'Database + Frequency'!J211</f>
        <v>0</v>
      </c>
      <c r="G7" s="38" t="n">
        <f aca="false">SUM(B7:E7)</f>
        <v>199</v>
      </c>
      <c r="H7" s="38" t="n">
        <f aca="false">F7+G7</f>
        <v>199</v>
      </c>
    </row>
    <row r="8" customFormat="false" ht="15" hidden="false" customHeight="true" outlineLevel="0" collapsed="false">
      <c r="A8" s="38" t="n">
        <v>7</v>
      </c>
      <c r="B8" s="38" t="n">
        <f aca="false">'Database + Frequency'!K207</f>
        <v>47</v>
      </c>
      <c r="C8" s="38" t="n">
        <f aca="false">'Database + Frequency'!K208</f>
        <v>3</v>
      </c>
      <c r="D8" s="38" t="n">
        <f aca="false">'Database + Frequency'!K209</f>
        <v>105</v>
      </c>
      <c r="E8" s="38" t="n">
        <f aca="false">'Database + Frequency'!K210</f>
        <v>44</v>
      </c>
      <c r="F8" s="38" t="n">
        <f aca="false">'Database + Frequency'!K211</f>
        <v>0</v>
      </c>
      <c r="G8" s="38" t="n">
        <f aca="false">SUM(B8:E8)</f>
        <v>199</v>
      </c>
      <c r="H8" s="38" t="n">
        <f aca="false">F8+G8</f>
        <v>199</v>
      </c>
    </row>
    <row r="9" customFormat="false" ht="15" hidden="false" customHeight="true" outlineLevel="0" collapsed="false">
      <c r="A9" s="38" t="n">
        <v>8</v>
      </c>
      <c r="B9" s="38" t="n">
        <f aca="false">'Database + Frequency'!L207</f>
        <v>1</v>
      </c>
      <c r="C9" s="38" t="n">
        <f aca="false">'Database + Frequency'!L208</f>
        <v>0</v>
      </c>
      <c r="D9" s="38" t="n">
        <f aca="false">'Database + Frequency'!L209</f>
        <v>1</v>
      </c>
      <c r="E9" s="38" t="n">
        <f aca="false">'Database + Frequency'!L210</f>
        <v>197</v>
      </c>
      <c r="F9" s="38" t="n">
        <f aca="false">'Database + Frequency'!L211</f>
        <v>0</v>
      </c>
      <c r="G9" s="38" t="n">
        <f aca="false">SUM(B9:E9)</f>
        <v>199</v>
      </c>
      <c r="H9" s="38" t="n">
        <f aca="false">F9+G9</f>
        <v>199</v>
      </c>
    </row>
    <row r="10" customFormat="false" ht="15" hidden="false" customHeight="true" outlineLevel="0" collapsed="false">
      <c r="A10" s="38" t="n">
        <v>9</v>
      </c>
      <c r="B10" s="38" t="n">
        <f aca="false">'Database + Frequency'!M207</f>
        <v>130</v>
      </c>
      <c r="C10" s="38" t="n">
        <f aca="false">'Database + Frequency'!M208</f>
        <v>7</v>
      </c>
      <c r="D10" s="38" t="n">
        <f aca="false">'Database + Frequency'!M209</f>
        <v>61</v>
      </c>
      <c r="E10" s="38" t="n">
        <f aca="false">'Database + Frequency'!M210</f>
        <v>0</v>
      </c>
      <c r="F10" s="38" t="n">
        <f aca="false">'Database + Frequency'!M211</f>
        <v>1</v>
      </c>
      <c r="G10" s="38" t="n">
        <f aca="false">SUM(B10:E10)</f>
        <v>198</v>
      </c>
      <c r="H10" s="38" t="n">
        <f aca="false">F10+G10</f>
        <v>199</v>
      </c>
    </row>
    <row r="11" customFormat="false" ht="15" hidden="false" customHeight="true" outlineLevel="0" collapsed="false">
      <c r="A11" s="38" t="n">
        <v>10</v>
      </c>
      <c r="B11" s="38" t="n">
        <f aca="false">'Database + Frequency'!N207</f>
        <v>0</v>
      </c>
      <c r="C11" s="38" t="n">
        <f aca="false">'Database + Frequency'!N208</f>
        <v>8</v>
      </c>
      <c r="D11" s="38" t="n">
        <f aca="false">'Database + Frequency'!N209</f>
        <v>191</v>
      </c>
      <c r="E11" s="38" t="n">
        <f aca="false">'Database + Frequency'!N210</f>
        <v>0</v>
      </c>
      <c r="F11" s="38" t="n">
        <f aca="false">'Database + Frequency'!N211</f>
        <v>0</v>
      </c>
      <c r="G11" s="38" t="n">
        <f aca="false">SUM(B11:E11)</f>
        <v>199</v>
      </c>
      <c r="H11" s="38" t="n">
        <f aca="false">F11+G11</f>
        <v>199</v>
      </c>
    </row>
    <row r="12" customFormat="false" ht="15" hidden="false" customHeight="true" outlineLevel="0" collapsed="false">
      <c r="A12" s="38" t="n">
        <v>11</v>
      </c>
      <c r="B12" s="38" t="n">
        <f aca="false">'Database + Frequency'!O207</f>
        <v>7</v>
      </c>
      <c r="C12" s="38" t="n">
        <f aca="false">'Database + Frequency'!O208</f>
        <v>146</v>
      </c>
      <c r="D12" s="38" t="n">
        <f aca="false">'Database + Frequency'!O209</f>
        <v>6</v>
      </c>
      <c r="E12" s="38" t="n">
        <f aca="false">'Database + Frequency'!O210</f>
        <v>40</v>
      </c>
      <c r="F12" s="38" t="n">
        <f aca="false">'Database + Frequency'!O211</f>
        <v>0</v>
      </c>
      <c r="G12" s="38" t="n">
        <f aca="false">SUM(B12:E12)</f>
        <v>199</v>
      </c>
      <c r="H12" s="38" t="n">
        <f aca="false">F12+G12</f>
        <v>199</v>
      </c>
    </row>
    <row r="13" customFormat="false" ht="15" hidden="false" customHeight="true" outlineLevel="0" collapsed="false">
      <c r="A13" s="38" t="n">
        <v>12</v>
      </c>
      <c r="B13" s="38" t="n">
        <f aca="false">'Database + Frequency'!P207</f>
        <v>13</v>
      </c>
      <c r="C13" s="38" t="n">
        <f aca="false">'Database + Frequency'!P208</f>
        <v>29</v>
      </c>
      <c r="D13" s="38" t="n">
        <f aca="false">'Database + Frequency'!P209</f>
        <v>38</v>
      </c>
      <c r="E13" s="38" t="n">
        <f aca="false">'Database + Frequency'!P210</f>
        <v>119</v>
      </c>
      <c r="F13" s="38" t="n">
        <f aca="false">'Database + Frequency'!P211</f>
        <v>0</v>
      </c>
      <c r="G13" s="38" t="n">
        <f aca="false">SUM(B13:E13)</f>
        <v>199</v>
      </c>
      <c r="H13" s="38" t="n">
        <f aca="false">F13+G13</f>
        <v>199</v>
      </c>
    </row>
    <row r="14" customFormat="false" ht="15" hidden="false" customHeight="true" outlineLevel="0" collapsed="false">
      <c r="A14" s="38" t="n">
        <v>13</v>
      </c>
      <c r="B14" s="38" t="n">
        <f aca="false">'Database + Frequency'!Q207</f>
        <v>13</v>
      </c>
      <c r="C14" s="38" t="n">
        <f aca="false">'Database + Frequency'!Q208</f>
        <v>129</v>
      </c>
      <c r="D14" s="38" t="n">
        <f aca="false">'Database + Frequency'!Q209</f>
        <v>19</v>
      </c>
      <c r="E14" s="38" t="n">
        <f aca="false">'Database + Frequency'!Q210</f>
        <v>38</v>
      </c>
      <c r="F14" s="38" t="n">
        <f aca="false">'Database + Frequency'!Q211</f>
        <v>0</v>
      </c>
      <c r="G14" s="38" t="n">
        <f aca="false">SUM(B14:E14)</f>
        <v>199</v>
      </c>
      <c r="H14" s="38" t="n">
        <f aca="false">F14+G14</f>
        <v>199</v>
      </c>
    </row>
    <row r="15" customFormat="false" ht="15" hidden="false" customHeight="true" outlineLevel="0" collapsed="false">
      <c r="A15" s="38" t="n">
        <v>14</v>
      </c>
      <c r="B15" s="38" t="n">
        <f aca="false">'Database + Frequency'!R207</f>
        <v>197</v>
      </c>
      <c r="C15" s="38" t="n">
        <f aca="false">'Database + Frequency'!R208</f>
        <v>1</v>
      </c>
      <c r="D15" s="38" t="n">
        <f aca="false">'Database + Frequency'!R209</f>
        <v>1</v>
      </c>
      <c r="E15" s="38" t="n">
        <f aca="false">'Database + Frequency'!R210</f>
        <v>0</v>
      </c>
      <c r="F15" s="38" t="n">
        <f aca="false">'Database + Frequency'!R211</f>
        <v>0</v>
      </c>
      <c r="G15" s="38" t="n">
        <f aca="false">SUM(B15:E15)</f>
        <v>199</v>
      </c>
      <c r="H15" s="38" t="n">
        <f aca="false">F15+G15</f>
        <v>199</v>
      </c>
    </row>
    <row r="16" customFormat="false" ht="15" hidden="false" customHeight="true" outlineLevel="0" collapsed="false">
      <c r="A16" s="38" t="n">
        <v>15</v>
      </c>
      <c r="B16" s="38" t="n">
        <f aca="false">'Database + Frequency'!S207</f>
        <v>33</v>
      </c>
      <c r="C16" s="38" t="n">
        <f aca="false">'Database + Frequency'!S208</f>
        <v>2</v>
      </c>
      <c r="D16" s="38" t="n">
        <f aca="false">'Database + Frequency'!S209</f>
        <v>161</v>
      </c>
      <c r="E16" s="38" t="n">
        <f aca="false">'Database + Frequency'!S210</f>
        <v>2</v>
      </c>
      <c r="F16" s="38" t="n">
        <f aca="false">'Database + Frequency'!S211</f>
        <v>1</v>
      </c>
      <c r="G16" s="38" t="n">
        <f aca="false">SUM(B16:E16)</f>
        <v>198</v>
      </c>
      <c r="H16" s="38" t="n">
        <f aca="false">F16+G16</f>
        <v>199</v>
      </c>
    </row>
    <row r="17" customFormat="false" ht="15" hidden="false" customHeight="true" outlineLevel="0" collapsed="false">
      <c r="A17" s="38" t="n">
        <v>16</v>
      </c>
      <c r="B17" s="38" t="n">
        <f aca="false">'Database + Frequency'!T207</f>
        <v>3</v>
      </c>
      <c r="C17" s="38" t="n">
        <f aca="false">'Database + Frequency'!T208</f>
        <v>47</v>
      </c>
      <c r="D17" s="38" t="n">
        <f aca="false">'Database + Frequency'!T209</f>
        <v>3</v>
      </c>
      <c r="E17" s="38" t="n">
        <f aca="false">'Database + Frequency'!T210</f>
        <v>79</v>
      </c>
      <c r="F17" s="38" t="n">
        <f aca="false">'Database + Frequency'!T211</f>
        <v>67</v>
      </c>
      <c r="G17" s="38" t="n">
        <f aca="false">SUM(B17:E17)</f>
        <v>132</v>
      </c>
      <c r="H17" s="38" t="n">
        <f aca="false">F17+G17</f>
        <v>199</v>
      </c>
    </row>
    <row r="18" customFormat="false" ht="15" hidden="false" customHeight="true" outlineLevel="0" collapsed="false">
      <c r="A18" s="38" t="n">
        <v>17</v>
      </c>
      <c r="B18" s="38" t="n">
        <f aca="false">'Database + Frequency'!U207</f>
        <v>12</v>
      </c>
      <c r="C18" s="38" t="n">
        <f aca="false">'Database + Frequency'!U208</f>
        <v>63</v>
      </c>
      <c r="D18" s="38" t="n">
        <f aca="false">'Database + Frequency'!U209</f>
        <v>8</v>
      </c>
      <c r="E18" s="38" t="n">
        <f aca="false">'Database + Frequency'!U210</f>
        <v>113</v>
      </c>
      <c r="F18" s="38" t="n">
        <f aca="false">'Database + Frequency'!U211</f>
        <v>3</v>
      </c>
      <c r="G18" s="38" t="n">
        <f aca="false">SUM(B18:E18)</f>
        <v>196</v>
      </c>
      <c r="H18" s="38" t="n">
        <f aca="false">F18+G18</f>
        <v>199</v>
      </c>
    </row>
    <row r="19" customFormat="false" ht="15" hidden="false" customHeight="true" outlineLevel="0" collapsed="false">
      <c r="A19" s="38" t="n">
        <v>18</v>
      </c>
      <c r="B19" s="38" t="n">
        <f aca="false">'Database + Frequency'!V207</f>
        <v>1</v>
      </c>
      <c r="C19" s="38" t="n">
        <f aca="false">'Database + Frequency'!V208</f>
        <v>0</v>
      </c>
      <c r="D19" s="38" t="n">
        <f aca="false">'Database + Frequency'!V209</f>
        <v>198</v>
      </c>
      <c r="E19" s="38" t="n">
        <f aca="false">'Database + Frequency'!V210</f>
        <v>0</v>
      </c>
      <c r="F19" s="38" t="n">
        <f aca="false">'Database + Frequency'!V211</f>
        <v>0</v>
      </c>
      <c r="G19" s="38" t="n">
        <f aca="false">SUM(B19:E19)</f>
        <v>199</v>
      </c>
      <c r="H19" s="38" t="n">
        <f aca="false">F19+G19</f>
        <v>199</v>
      </c>
    </row>
    <row r="20" customFormat="false" ht="15" hidden="false" customHeight="true" outlineLevel="0" collapsed="false">
      <c r="A20" s="38" t="n">
        <v>19</v>
      </c>
      <c r="B20" s="38" t="n">
        <f aca="false">'Database + Frequency'!W207</f>
        <v>1</v>
      </c>
      <c r="C20" s="38" t="n">
        <f aca="false">'Database + Frequency'!W208</f>
        <v>0</v>
      </c>
      <c r="D20" s="38" t="n">
        <f aca="false">'Database + Frequency'!W209</f>
        <v>196</v>
      </c>
      <c r="E20" s="38" t="n">
        <f aca="false">'Database + Frequency'!W210</f>
        <v>2</v>
      </c>
      <c r="F20" s="38" t="n">
        <f aca="false">'Database + Frequency'!W211</f>
        <v>0</v>
      </c>
      <c r="G20" s="38" t="n">
        <f aca="false">SUM(B20:E20)</f>
        <v>199</v>
      </c>
      <c r="H20" s="38" t="n">
        <f aca="false">F20+G20</f>
        <v>199</v>
      </c>
    </row>
    <row r="21" customFormat="false" ht="15" hidden="false" customHeight="true" outlineLevel="0" collapsed="false">
      <c r="A21" s="38" t="n">
        <v>20</v>
      </c>
      <c r="B21" s="38" t="n">
        <f aca="false">'Database + Frequency'!X207</f>
        <v>17</v>
      </c>
      <c r="C21" s="38" t="n">
        <f aca="false">'Database + Frequency'!X208</f>
        <v>45</v>
      </c>
      <c r="D21" s="38" t="n">
        <f aca="false">'Database + Frequency'!X209</f>
        <v>18</v>
      </c>
      <c r="E21" s="38" t="n">
        <f aca="false">'Database + Frequency'!X210</f>
        <v>118</v>
      </c>
      <c r="F21" s="38" t="n">
        <f aca="false">'Database + Frequency'!X211</f>
        <v>1</v>
      </c>
      <c r="G21" s="38" t="n">
        <f aca="false">SUM(B21:E21)</f>
        <v>198</v>
      </c>
      <c r="H21" s="38" t="n">
        <f aca="false">F21+G21</f>
        <v>199</v>
      </c>
    </row>
    <row r="22" customFormat="false" ht="15" hidden="false" customHeight="true" outlineLevel="0" collapsed="false">
      <c r="A22" s="38" t="n">
        <v>21</v>
      </c>
      <c r="B22" s="38" t="n">
        <f aca="false">'Database + Frequency'!Y207</f>
        <v>178</v>
      </c>
      <c r="C22" s="38" t="n">
        <f aca="false">'Database + Frequency'!Y208</f>
        <v>4</v>
      </c>
      <c r="D22" s="38" t="n">
        <f aca="false">'Database + Frequency'!Y209</f>
        <v>7</v>
      </c>
      <c r="E22" s="38" t="n">
        <f aca="false">'Database + Frequency'!Y210</f>
        <v>10</v>
      </c>
      <c r="F22" s="38" t="n">
        <f aca="false">'Database + Frequency'!Y211</f>
        <v>0</v>
      </c>
      <c r="G22" s="38" t="n">
        <f aca="false">SUM(B22:E22)</f>
        <v>199</v>
      </c>
      <c r="H22" s="38" t="n">
        <f aca="false">F22+G22</f>
        <v>199</v>
      </c>
    </row>
    <row r="23" customFormat="false" ht="15" hidden="false" customHeight="true" outlineLevel="0" collapsed="false">
      <c r="A23" s="38" t="n">
        <v>22</v>
      </c>
      <c r="B23" s="38" t="n">
        <f aca="false">'Database + Frequency'!Z207</f>
        <v>41</v>
      </c>
      <c r="C23" s="38" t="n">
        <f aca="false">'Database + Frequency'!Z208</f>
        <v>0</v>
      </c>
      <c r="D23" s="38" t="n">
        <f aca="false">'Database + Frequency'!Z209</f>
        <v>144</v>
      </c>
      <c r="E23" s="38" t="n">
        <f aca="false">'Database + Frequency'!Z210</f>
        <v>14</v>
      </c>
      <c r="F23" s="38" t="n">
        <f aca="false">'Database + Frequency'!Z211</f>
        <v>0</v>
      </c>
      <c r="G23" s="38" t="n">
        <f aca="false">SUM(B23:E23)</f>
        <v>199</v>
      </c>
      <c r="H23" s="38" t="n">
        <f aca="false">F23+G23</f>
        <v>199</v>
      </c>
    </row>
    <row r="24" customFormat="false" ht="15" hidden="false" customHeight="true" outlineLevel="0" collapsed="false">
      <c r="A24" s="38" t="n">
        <v>23</v>
      </c>
      <c r="B24" s="38" t="n">
        <f aca="false">'Database + Frequency'!AA207</f>
        <v>120</v>
      </c>
      <c r="C24" s="38" t="n">
        <f aca="false">'Database + Frequency'!AA208</f>
        <v>38</v>
      </c>
      <c r="D24" s="38" t="n">
        <f aca="false">'Database + Frequency'!AA209</f>
        <v>29</v>
      </c>
      <c r="E24" s="38" t="n">
        <f aca="false">'Database + Frequency'!AA210</f>
        <v>12</v>
      </c>
      <c r="F24" s="38" t="n">
        <f aca="false">'Database + Frequency'!AA211</f>
        <v>0</v>
      </c>
      <c r="G24" s="38" t="n">
        <f aca="false">SUM(B24:E24)</f>
        <v>199</v>
      </c>
      <c r="H24" s="38" t="n">
        <f aca="false">F24+G24</f>
        <v>199</v>
      </c>
    </row>
    <row r="25" customFormat="false" ht="15" hidden="false" customHeight="true" outlineLevel="0" collapsed="false">
      <c r="A25" s="38" t="n">
        <v>24</v>
      </c>
      <c r="B25" s="38" t="n">
        <f aca="false">'Database + Frequency'!AB207</f>
        <v>37</v>
      </c>
      <c r="C25" s="38" t="n">
        <f aca="false">'Database + Frequency'!AB208</f>
        <v>6</v>
      </c>
      <c r="D25" s="38" t="n">
        <f aca="false">'Database + Frequency'!AB209</f>
        <v>149</v>
      </c>
      <c r="E25" s="38" t="n">
        <f aca="false">'Database + Frequency'!AB210</f>
        <v>7</v>
      </c>
      <c r="F25" s="38" t="n">
        <f aca="false">'Database + Frequency'!AB211</f>
        <v>0</v>
      </c>
      <c r="G25" s="38" t="n">
        <f aca="false">SUM(B25:E25)</f>
        <v>199</v>
      </c>
      <c r="H25" s="38" t="n">
        <f aca="false">F25+G25</f>
        <v>199</v>
      </c>
    </row>
    <row r="26" customFormat="false" ht="15" hidden="false" customHeight="true" outlineLevel="0" collapsed="false">
      <c r="A26" s="38" t="n">
        <v>25</v>
      </c>
      <c r="B26" s="38" t="n">
        <f aca="false">'Database + Frequency'!AC207</f>
        <v>1</v>
      </c>
      <c r="C26" s="38" t="n">
        <f aca="false">'Database + Frequency'!AC208</f>
        <v>177</v>
      </c>
      <c r="D26" s="38" t="n">
        <f aca="false">'Database + Frequency'!AC209</f>
        <v>7</v>
      </c>
      <c r="E26" s="38" t="n">
        <f aca="false">'Database + Frequency'!AC210</f>
        <v>14</v>
      </c>
      <c r="F26" s="38" t="n">
        <f aca="false">'Database + Frequency'!AC211</f>
        <v>0</v>
      </c>
      <c r="G26" s="38" t="n">
        <f aca="false">SUM(B26:E26)</f>
        <v>199</v>
      </c>
      <c r="H26" s="38" t="n">
        <f aca="false">F26+G26</f>
        <v>199</v>
      </c>
    </row>
    <row r="27" customFormat="false" ht="15" hidden="false" customHeight="true" outlineLevel="0" collapsed="false">
      <c r="A27" s="38" t="n">
        <v>26</v>
      </c>
      <c r="B27" s="38" t="n">
        <f aca="false">'Database + Frequency'!AD207</f>
        <v>83</v>
      </c>
      <c r="C27" s="38" t="n">
        <f aca="false">'Database + Frequency'!AD208</f>
        <v>5</v>
      </c>
      <c r="D27" s="38" t="n">
        <f aca="false">'Database + Frequency'!AD209</f>
        <v>100</v>
      </c>
      <c r="E27" s="38" t="n">
        <f aca="false">'Database + Frequency'!AD210</f>
        <v>11</v>
      </c>
      <c r="F27" s="38" t="n">
        <f aca="false">'Database + Frequency'!AD211</f>
        <v>0</v>
      </c>
      <c r="G27" s="38" t="n">
        <f aca="false">SUM(B27:E27)</f>
        <v>199</v>
      </c>
      <c r="H27" s="38" t="n">
        <f aca="false">F27+G27</f>
        <v>199</v>
      </c>
    </row>
    <row r="28" customFormat="false" ht="15" hidden="false" customHeight="true" outlineLevel="0" collapsed="false">
      <c r="A28" s="38" t="n">
        <v>27</v>
      </c>
      <c r="B28" s="38" t="n">
        <f aca="false">'Database + Frequency'!AE207</f>
        <v>24</v>
      </c>
      <c r="C28" s="38" t="n">
        <f aca="false">'Database + Frequency'!AE208</f>
        <v>93</v>
      </c>
      <c r="D28" s="38" t="n">
        <f aca="false">'Database + Frequency'!AE209</f>
        <v>31</v>
      </c>
      <c r="E28" s="38" t="n">
        <f aca="false">'Database + Frequency'!AE210</f>
        <v>51</v>
      </c>
      <c r="F28" s="38" t="n">
        <f aca="false">'Database + Frequency'!AE211</f>
        <v>0</v>
      </c>
      <c r="G28" s="38" t="n">
        <f aca="false">SUM(B28:E28)</f>
        <v>199</v>
      </c>
      <c r="H28" s="38" t="n">
        <f aca="false">F28+G28</f>
        <v>199</v>
      </c>
    </row>
    <row r="29" customFormat="false" ht="15" hidden="false" customHeight="true" outlineLevel="0" collapsed="false">
      <c r="A29" s="38" t="n">
        <v>28</v>
      </c>
      <c r="B29" s="38" t="n">
        <f aca="false">'Database + Frequency'!AF207</f>
        <v>24</v>
      </c>
      <c r="C29" s="38" t="n">
        <f aca="false">'Database + Frequency'!AF208</f>
        <v>103</v>
      </c>
      <c r="D29" s="38" t="n">
        <f aca="false">'Database + Frequency'!AF209</f>
        <v>22</v>
      </c>
      <c r="E29" s="38" t="n">
        <f aca="false">'Database + Frequency'!AF210</f>
        <v>50</v>
      </c>
      <c r="F29" s="38" t="n">
        <f aca="false">'Database + Frequency'!AF211</f>
        <v>0</v>
      </c>
      <c r="G29" s="38" t="n">
        <f aca="false">SUM(B29:E29)</f>
        <v>199</v>
      </c>
      <c r="H29" s="38" t="n">
        <f aca="false">F29+G29</f>
        <v>199</v>
      </c>
    </row>
    <row r="30" customFormat="false" ht="15" hidden="false" customHeight="true" outlineLevel="0" collapsed="false">
      <c r="A30" s="38" t="n">
        <v>29</v>
      </c>
      <c r="B30" s="38" t="n">
        <f aca="false">'Database + Frequency'!AG207</f>
        <v>32</v>
      </c>
      <c r="C30" s="38" t="n">
        <f aca="false">'Database + Frequency'!AG208</f>
        <v>35</v>
      </c>
      <c r="D30" s="38" t="n">
        <f aca="false">'Database + Frequency'!AG209</f>
        <v>77</v>
      </c>
      <c r="E30" s="38" t="n">
        <f aca="false">'Database + Frequency'!AG210</f>
        <v>55</v>
      </c>
      <c r="F30" s="38" t="n">
        <f aca="false">'Database + Frequency'!AG211</f>
        <v>0</v>
      </c>
      <c r="G30" s="38" t="n">
        <f aca="false">SUM(B30:E30)</f>
        <v>199</v>
      </c>
      <c r="H30" s="38" t="n">
        <f aca="false">F30+G30</f>
        <v>199</v>
      </c>
    </row>
    <row r="31" customFormat="false" ht="15" hidden="false" customHeight="true" outlineLevel="0" collapsed="false">
      <c r="A31" s="38" t="n">
        <v>30</v>
      </c>
      <c r="B31" s="38" t="n">
        <f aca="false">'Database + Frequency'!AH207</f>
        <v>0</v>
      </c>
      <c r="C31" s="38" t="n">
        <f aca="false">'Database + Frequency'!AH208</f>
        <v>42</v>
      </c>
      <c r="D31" s="38" t="n">
        <f aca="false">'Database + Frequency'!AH209</f>
        <v>150</v>
      </c>
      <c r="E31" s="38" t="n">
        <f aca="false">'Database + Frequency'!AH210</f>
        <v>7</v>
      </c>
      <c r="F31" s="38" t="n">
        <f aca="false">'Database + Frequency'!AH211</f>
        <v>0</v>
      </c>
      <c r="G31" s="38" t="n">
        <f aca="false">SUM(B31:E31)</f>
        <v>199</v>
      </c>
      <c r="H31" s="38" t="n">
        <f aca="false">F31+G31</f>
        <v>199</v>
      </c>
    </row>
    <row r="32" customFormat="false" ht="15" hidden="false" customHeight="true" outlineLevel="0" collapsed="false">
      <c r="A32" s="38" t="n">
        <v>31</v>
      </c>
      <c r="B32" s="38" t="n">
        <f aca="false">'Database + Frequency'!AI207</f>
        <v>54</v>
      </c>
      <c r="C32" s="38" t="n">
        <f aca="false">'Database + Frequency'!AI208</f>
        <v>72</v>
      </c>
      <c r="D32" s="38" t="n">
        <f aca="false">'Database + Frequency'!AI209</f>
        <v>54</v>
      </c>
      <c r="E32" s="38" t="n">
        <f aca="false">'Database + Frequency'!AI210</f>
        <v>19</v>
      </c>
      <c r="F32" s="38" t="n">
        <f aca="false">'Database + Frequency'!AI211</f>
        <v>0</v>
      </c>
      <c r="G32" s="38" t="n">
        <f aca="false">SUM(B32:E32)</f>
        <v>199</v>
      </c>
      <c r="H32" s="38" t="n">
        <f aca="false">F32+G32</f>
        <v>199</v>
      </c>
    </row>
    <row r="33" customFormat="false" ht="15" hidden="false" customHeight="true" outlineLevel="0" collapsed="false">
      <c r="A33" s="38" t="n">
        <v>32</v>
      </c>
      <c r="B33" s="38" t="n">
        <f aca="false">'Database + Frequency'!AJ207</f>
        <v>6</v>
      </c>
      <c r="C33" s="38" t="n">
        <f aca="false">'Database + Frequency'!AJ208</f>
        <v>134</v>
      </c>
      <c r="D33" s="38" t="n">
        <f aca="false">'Database + Frequency'!AJ209</f>
        <v>0</v>
      </c>
      <c r="E33" s="38" t="n">
        <f aca="false">'Database + Frequency'!AJ210</f>
        <v>59</v>
      </c>
      <c r="F33" s="38" t="n">
        <f aca="false">'Database + Frequency'!AJ211</f>
        <v>0</v>
      </c>
      <c r="G33" s="38" t="n">
        <f aca="false">SUM(B33:E33)</f>
        <v>199</v>
      </c>
      <c r="H33" s="38" t="n">
        <f aca="false">F33+G33</f>
        <v>199</v>
      </c>
    </row>
    <row r="34" customFormat="false" ht="15" hidden="false" customHeight="true" outlineLevel="0" collapsed="false">
      <c r="A34" s="38" t="n">
        <v>33</v>
      </c>
      <c r="B34" s="38" t="n">
        <f aca="false">'Database + Frequency'!AK207</f>
        <v>1</v>
      </c>
      <c r="C34" s="38" t="n">
        <f aca="false">'Database + Frequency'!AK208</f>
        <v>1</v>
      </c>
      <c r="D34" s="38" t="n">
        <f aca="false">'Database + Frequency'!AK209</f>
        <v>0</v>
      </c>
      <c r="E34" s="38" t="n">
        <f aca="false">'Database + Frequency'!AK210</f>
        <v>197</v>
      </c>
      <c r="F34" s="38" t="n">
        <f aca="false">'Database + Frequency'!AK211</f>
        <v>0</v>
      </c>
      <c r="G34" s="38" t="n">
        <f aca="false">SUM(B34:E34)</f>
        <v>199</v>
      </c>
      <c r="H34" s="38" t="n">
        <f aca="false">F34+G34</f>
        <v>199</v>
      </c>
    </row>
    <row r="35" customFormat="false" ht="15" hidden="false" customHeight="true" outlineLevel="0" collapsed="false">
      <c r="A35" s="38" t="n">
        <v>34</v>
      </c>
      <c r="B35" s="38" t="n">
        <f aca="false">'Database + Frequency'!AL207</f>
        <v>9</v>
      </c>
      <c r="C35" s="38" t="n">
        <f aca="false">'Database + Frequency'!AL208</f>
        <v>66</v>
      </c>
      <c r="D35" s="38" t="n">
        <f aca="false">'Database + Frequency'!AL209</f>
        <v>66</v>
      </c>
      <c r="E35" s="38" t="n">
        <f aca="false">'Database + Frequency'!AL210</f>
        <v>58</v>
      </c>
      <c r="F35" s="38" t="n">
        <f aca="false">'Database + Frequency'!AL211</f>
        <v>0</v>
      </c>
      <c r="G35" s="38" t="n">
        <f aca="false">SUM(B35:E35)</f>
        <v>199</v>
      </c>
      <c r="H35" s="38" t="n">
        <f aca="false">F35+G35</f>
        <v>199</v>
      </c>
    </row>
    <row r="36" customFormat="false" ht="15" hidden="false" customHeight="true" outlineLevel="0" collapsed="false">
      <c r="A36" s="38" t="n">
        <v>35</v>
      </c>
      <c r="B36" s="38" t="n">
        <f aca="false">'Database + Frequency'!AM207</f>
        <v>61</v>
      </c>
      <c r="C36" s="38" t="n">
        <f aca="false">'Database + Frequency'!AM208</f>
        <v>46</v>
      </c>
      <c r="D36" s="38" t="n">
        <f aca="false">'Database + Frequency'!AM209</f>
        <v>51</v>
      </c>
      <c r="E36" s="38" t="n">
        <f aca="false">'Database + Frequency'!AM210</f>
        <v>41</v>
      </c>
      <c r="F36" s="38" t="n">
        <f aca="false">'Database + Frequency'!AM211</f>
        <v>0</v>
      </c>
      <c r="G36" s="38" t="n">
        <f aca="false">SUM(B36:E36)</f>
        <v>199</v>
      </c>
      <c r="H36" s="38" t="n">
        <f aca="false">F36+G36</f>
        <v>199</v>
      </c>
    </row>
    <row r="37" customFormat="false" ht="15" hidden="false" customHeight="true" outlineLevel="0" collapsed="false">
      <c r="A37" s="38" t="n">
        <v>36</v>
      </c>
      <c r="B37" s="38" t="n">
        <f aca="false">'Database + Frequency'!AN207</f>
        <v>43</v>
      </c>
      <c r="C37" s="38" t="n">
        <f aca="false">'Database + Frequency'!AN208</f>
        <v>53</v>
      </c>
      <c r="D37" s="38" t="n">
        <f aca="false">'Database + Frequency'!AN209</f>
        <v>32</v>
      </c>
      <c r="E37" s="38" t="n">
        <f aca="false">'Database + Frequency'!AN210</f>
        <v>71</v>
      </c>
      <c r="F37" s="38" t="n">
        <f aca="false">'Database + Frequency'!AN211</f>
        <v>0</v>
      </c>
      <c r="G37" s="38" t="n">
        <f aca="false">SUM(B37:E37)</f>
        <v>199</v>
      </c>
      <c r="H37" s="38" t="n">
        <f aca="false">F37+G37</f>
        <v>199</v>
      </c>
    </row>
    <row r="38" customFormat="false" ht="15" hidden="false" customHeight="true" outlineLevel="0" collapsed="false">
      <c r="A38" s="38" t="n">
        <v>37</v>
      </c>
      <c r="B38" s="38" t="n">
        <f aca="false">'Database + Frequency'!AO207</f>
        <v>150</v>
      </c>
      <c r="C38" s="38" t="n">
        <f aca="false">'Database + Frequency'!AO208</f>
        <v>1</v>
      </c>
      <c r="D38" s="38" t="n">
        <f aca="false">'Database + Frequency'!AO209</f>
        <v>48</v>
      </c>
      <c r="E38" s="38" t="n">
        <f aca="false">'Database + Frequency'!AO210</f>
        <v>0</v>
      </c>
      <c r="F38" s="38" t="n">
        <f aca="false">'Database + Frequency'!AO211</f>
        <v>0</v>
      </c>
      <c r="G38" s="38" t="n">
        <f aca="false">SUM(B38:E38)</f>
        <v>199</v>
      </c>
      <c r="H38" s="38" t="n">
        <f aca="false">F38+G38</f>
        <v>199</v>
      </c>
    </row>
    <row r="39" customFormat="false" ht="15" hidden="false" customHeight="true" outlineLevel="0" collapsed="false">
      <c r="A39" s="38" t="n">
        <v>38</v>
      </c>
      <c r="B39" s="38" t="n">
        <f aca="false">'Database + Frequency'!AP207</f>
        <v>146</v>
      </c>
      <c r="C39" s="38" t="n">
        <f aca="false">'Database + Frequency'!AP208</f>
        <v>29</v>
      </c>
      <c r="D39" s="38" t="n">
        <f aca="false">'Database + Frequency'!AP209</f>
        <v>1</v>
      </c>
      <c r="E39" s="38" t="n">
        <f aca="false">'Database + Frequency'!AP210</f>
        <v>23</v>
      </c>
      <c r="F39" s="38" t="n">
        <f aca="false">'Database + Frequency'!AP211</f>
        <v>0</v>
      </c>
      <c r="G39" s="38" t="n">
        <f aca="false">SUM(B39:E39)</f>
        <v>199</v>
      </c>
      <c r="H39" s="38" t="n">
        <f aca="false">F39+G39</f>
        <v>199</v>
      </c>
    </row>
    <row r="40" customFormat="false" ht="15" hidden="false" customHeight="true" outlineLevel="0" collapsed="false">
      <c r="A40" s="38" t="n">
        <v>39</v>
      </c>
      <c r="B40" s="38" t="n">
        <f aca="false">'Database + Frequency'!AQ207</f>
        <v>18</v>
      </c>
      <c r="C40" s="38" t="n">
        <f aca="false">'Database + Frequency'!AQ208</f>
        <v>50</v>
      </c>
      <c r="D40" s="38" t="n">
        <f aca="false">'Database + Frequency'!AQ209</f>
        <v>72</v>
      </c>
      <c r="E40" s="38" t="n">
        <f aca="false">'Database + Frequency'!AQ210</f>
        <v>59</v>
      </c>
      <c r="F40" s="38" t="n">
        <f aca="false">'Database + Frequency'!AQ211</f>
        <v>0</v>
      </c>
      <c r="G40" s="38" t="n">
        <f aca="false">SUM(B40:E40)</f>
        <v>199</v>
      </c>
      <c r="H40" s="38" t="n">
        <f aca="false">F40+G40</f>
        <v>199</v>
      </c>
    </row>
    <row r="41" customFormat="false" ht="15" hidden="false" customHeight="true" outlineLevel="0" collapsed="false">
      <c r="A41" s="38" t="n">
        <v>40</v>
      </c>
      <c r="B41" s="38" t="n">
        <f aca="false">'Database + Frequency'!AR207</f>
        <v>1</v>
      </c>
      <c r="C41" s="38" t="n">
        <f aca="false">'Database + Frequency'!AR208</f>
        <v>143</v>
      </c>
      <c r="D41" s="38" t="n">
        <f aca="false">'Database + Frequency'!AR209</f>
        <v>47</v>
      </c>
      <c r="E41" s="38" t="n">
        <f aca="false">'Database + Frequency'!AR210</f>
        <v>8</v>
      </c>
      <c r="F41" s="38" t="n">
        <f aca="false">'Database + Frequency'!AR211</f>
        <v>0</v>
      </c>
      <c r="G41" s="38" t="n">
        <f aca="false">SUM(B41:E41)</f>
        <v>199</v>
      </c>
      <c r="H41" s="38" t="n">
        <f aca="false">F41+G41</f>
        <v>199</v>
      </c>
    </row>
    <row r="42" customFormat="false" ht="15" hidden="false" customHeight="true" outlineLevel="0" collapsed="false">
      <c r="A42" s="38" t="n">
        <v>41</v>
      </c>
      <c r="B42" s="38" t="n">
        <f aca="false">'Database + Frequency'!AS207</f>
        <v>54</v>
      </c>
      <c r="C42" s="38" t="n">
        <f aca="false">'Database + Frequency'!AS208</f>
        <v>77</v>
      </c>
      <c r="D42" s="38" t="n">
        <f aca="false">'Database + Frequency'!AS209</f>
        <v>35</v>
      </c>
      <c r="E42" s="38" t="n">
        <f aca="false">'Database + Frequency'!AS210</f>
        <v>33</v>
      </c>
      <c r="F42" s="38" t="n">
        <f aca="false">'Database + Frequency'!AS211</f>
        <v>0</v>
      </c>
      <c r="G42" s="38" t="n">
        <f aca="false">SUM(B42:E42)</f>
        <v>199</v>
      </c>
      <c r="H42" s="38" t="n">
        <f aca="false">F42+G42</f>
        <v>199</v>
      </c>
    </row>
    <row r="43" customFormat="false" ht="15" hidden="false" customHeight="true" outlineLevel="0" collapsed="false">
      <c r="A43" s="38" t="n">
        <v>42</v>
      </c>
      <c r="B43" s="38" t="n">
        <f aca="false">'Database + Frequency'!AT207</f>
        <v>48</v>
      </c>
      <c r="C43" s="38" t="n">
        <f aca="false">'Database + Frequency'!AT208</f>
        <v>20</v>
      </c>
      <c r="D43" s="38" t="n">
        <f aca="false">'Database + Frequency'!AT209</f>
        <v>105</v>
      </c>
      <c r="E43" s="38" t="n">
        <f aca="false">'Database + Frequency'!AT210</f>
        <v>26</v>
      </c>
      <c r="F43" s="38" t="n">
        <f aca="false">'Database + Frequency'!AT211</f>
        <v>0</v>
      </c>
      <c r="G43" s="38" t="n">
        <f aca="false">SUM(B43:E43)</f>
        <v>199</v>
      </c>
      <c r="H43" s="38" t="n">
        <f aca="false">F43+G43</f>
        <v>199</v>
      </c>
    </row>
    <row r="44" customFormat="false" ht="15" hidden="false" customHeight="true" outlineLevel="0" collapsed="false">
      <c r="A44" s="38" t="n">
        <v>43</v>
      </c>
      <c r="B44" s="38" t="n">
        <f aca="false">'Database + Frequency'!AU207</f>
        <v>45</v>
      </c>
      <c r="C44" s="38" t="n">
        <f aca="false">'Database + Frequency'!AU208</f>
        <v>23</v>
      </c>
      <c r="D44" s="38" t="n">
        <f aca="false">'Database + Frequency'!AU209</f>
        <v>99</v>
      </c>
      <c r="E44" s="38" t="n">
        <f aca="false">'Database + Frequency'!AU210</f>
        <v>32</v>
      </c>
      <c r="F44" s="38" t="n">
        <f aca="false">'Database + Frequency'!AU211</f>
        <v>0</v>
      </c>
      <c r="G44" s="38" t="n">
        <f aca="false">SUM(B44:E44)</f>
        <v>199</v>
      </c>
      <c r="H44" s="38" t="n">
        <f aca="false">F44+G44</f>
        <v>199</v>
      </c>
    </row>
    <row r="45" customFormat="false" ht="15" hidden="false" customHeight="true" outlineLevel="0" collapsed="false">
      <c r="A45" s="38" t="n">
        <v>44</v>
      </c>
      <c r="B45" s="38" t="n">
        <f aca="false">'Database + Frequency'!AV207</f>
        <v>99</v>
      </c>
      <c r="C45" s="38" t="n">
        <f aca="false">'Database + Frequency'!AV208</f>
        <v>31</v>
      </c>
      <c r="D45" s="38" t="n">
        <f aca="false">'Database + Frequency'!AV209</f>
        <v>46</v>
      </c>
      <c r="E45" s="38" t="n">
        <f aca="false">'Database + Frequency'!AV210</f>
        <v>23</v>
      </c>
      <c r="F45" s="38" t="n">
        <f aca="false">'Database + Frequency'!AV211</f>
        <v>0</v>
      </c>
      <c r="G45" s="38" t="n">
        <f aca="false">SUM(B45:E45)</f>
        <v>199</v>
      </c>
      <c r="H45" s="38" t="n">
        <f aca="false">F45+G45</f>
        <v>199</v>
      </c>
    </row>
    <row r="46" customFormat="false" ht="15" hidden="false" customHeight="true" outlineLevel="0" collapsed="false">
      <c r="A46" s="38" t="n">
        <v>45</v>
      </c>
      <c r="B46" s="38" t="n">
        <f aca="false">'Database + Frequency'!AW207</f>
        <v>15</v>
      </c>
      <c r="C46" s="38" t="n">
        <f aca="false">'Database + Frequency'!AW208</f>
        <v>5</v>
      </c>
      <c r="D46" s="38" t="n">
        <f aca="false">'Database + Frequency'!AW209</f>
        <v>149</v>
      </c>
      <c r="E46" s="38" t="n">
        <f aca="false">'Database + Frequency'!AW210</f>
        <v>28</v>
      </c>
      <c r="F46" s="38" t="n">
        <f aca="false">'Database + Frequency'!AW211</f>
        <v>2</v>
      </c>
      <c r="G46" s="38" t="n">
        <f aca="false">SUM(B46:E46)</f>
        <v>197</v>
      </c>
      <c r="H46" s="38" t="n">
        <f aca="false">F46+G46</f>
        <v>199</v>
      </c>
    </row>
    <row r="47" customFormat="false" ht="15" hidden="false" customHeight="true" outlineLevel="0" collapsed="false">
      <c r="A47" s="38" t="n">
        <v>46</v>
      </c>
      <c r="B47" s="38" t="n">
        <f aca="false">'Database + Frequency'!AX207</f>
        <v>16</v>
      </c>
      <c r="C47" s="38" t="n">
        <f aca="false">'Database + Frequency'!AX208</f>
        <v>4</v>
      </c>
      <c r="D47" s="38" t="n">
        <f aca="false">'Database + Frequency'!AX209</f>
        <v>136</v>
      </c>
      <c r="E47" s="38" t="n">
        <f aca="false">'Database + Frequency'!AX210</f>
        <v>12</v>
      </c>
      <c r="F47" s="38" t="n">
        <f aca="false">'Database + Frequency'!AX211</f>
        <v>31</v>
      </c>
      <c r="G47" s="38" t="n">
        <f aca="false">SUM(B47:E47)</f>
        <v>168</v>
      </c>
      <c r="H47" s="38" t="n">
        <f aca="false">F47+G47</f>
        <v>199</v>
      </c>
    </row>
    <row r="48" customFormat="false" ht="15" hidden="false" customHeight="true" outlineLevel="0" collapsed="false">
      <c r="A48" s="38" t="n">
        <v>47</v>
      </c>
      <c r="B48" s="38" t="n">
        <f aca="false">'Database + Frequency'!AY207</f>
        <v>26</v>
      </c>
      <c r="C48" s="38" t="n">
        <f aca="false">'Database + Frequency'!AY208</f>
        <v>23</v>
      </c>
      <c r="D48" s="38" t="n">
        <f aca="false">'Database + Frequency'!AY209</f>
        <v>16</v>
      </c>
      <c r="E48" s="38" t="n">
        <f aca="false">'Database + Frequency'!AY210</f>
        <v>134</v>
      </c>
      <c r="F48" s="38" t="n">
        <f aca="false">'Database + Frequency'!AY211</f>
        <v>0</v>
      </c>
      <c r="G48" s="38" t="n">
        <f aca="false">SUM(B48:E48)</f>
        <v>199</v>
      </c>
      <c r="H48" s="38" t="n">
        <f aca="false">F48+G48</f>
        <v>199</v>
      </c>
    </row>
    <row r="49" customFormat="false" ht="15" hidden="false" customHeight="true" outlineLevel="0" collapsed="false">
      <c r="A49" s="38" t="n">
        <v>48</v>
      </c>
      <c r="B49" s="38" t="n">
        <f aca="false">'Database + Frequency'!AZ207</f>
        <v>1</v>
      </c>
      <c r="C49" s="38" t="n">
        <f aca="false">'Database + Frequency'!AZ208</f>
        <v>167</v>
      </c>
      <c r="D49" s="38" t="n">
        <f aca="false">'Database + Frequency'!AZ209</f>
        <v>2</v>
      </c>
      <c r="E49" s="38" t="n">
        <f aca="false">'Database + Frequency'!AZ210</f>
        <v>29</v>
      </c>
      <c r="F49" s="38" t="n">
        <f aca="false">'Database + Frequency'!AZ211</f>
        <v>0</v>
      </c>
      <c r="G49" s="38" t="n">
        <f aca="false">SUM(B49:E49)</f>
        <v>199</v>
      </c>
      <c r="H49" s="38" t="n">
        <f aca="false">F49+G49</f>
        <v>199</v>
      </c>
    </row>
    <row r="50" customFormat="false" ht="15" hidden="false" customHeight="true" outlineLevel="0" collapsed="false">
      <c r="A50" s="38" t="n">
        <v>49</v>
      </c>
      <c r="B50" s="38" t="n">
        <f aca="false">'Database + Frequency'!BA207</f>
        <v>31</v>
      </c>
      <c r="C50" s="38" t="n">
        <f aca="false">'Database + Frequency'!BA208</f>
        <v>57</v>
      </c>
      <c r="D50" s="38" t="n">
        <f aca="false">'Database + Frequency'!BA209</f>
        <v>100</v>
      </c>
      <c r="E50" s="38" t="n">
        <f aca="false">'Database + Frequency'!BA210</f>
        <v>11</v>
      </c>
      <c r="F50" s="38" t="n">
        <f aca="false">'Database + Frequency'!BA211</f>
        <v>0</v>
      </c>
      <c r="G50" s="38" t="n">
        <f aca="false">SUM(B50:E50)</f>
        <v>199</v>
      </c>
      <c r="H50" s="38" t="n">
        <f aca="false">F50+G50</f>
        <v>199</v>
      </c>
    </row>
    <row r="51" customFormat="false" ht="15" hidden="false" customHeight="true" outlineLevel="0" collapsed="false">
      <c r="A51" s="38" t="n">
        <v>50</v>
      </c>
      <c r="B51" s="38" t="n">
        <f aca="false">'Database + Frequency'!BB207</f>
        <v>23</v>
      </c>
      <c r="C51" s="38" t="n">
        <f aca="false">'Database + Frequency'!BB208</f>
        <v>87</v>
      </c>
      <c r="D51" s="38" t="n">
        <f aca="false">'Database + Frequency'!BB209</f>
        <v>54</v>
      </c>
      <c r="E51" s="38" t="n">
        <f aca="false">'Database + Frequency'!BB210</f>
        <v>35</v>
      </c>
      <c r="F51" s="38" t="n">
        <f aca="false">'Database + Frequency'!BB211</f>
        <v>0</v>
      </c>
      <c r="G51" s="38" t="n">
        <f aca="false">SUM(B51:E51)</f>
        <v>199</v>
      </c>
      <c r="H51" s="38" t="n">
        <f aca="false">F51+G51</f>
        <v>199</v>
      </c>
    </row>
    <row r="52" customFormat="false" ht="15" hidden="false" customHeight="true" outlineLevel="0" collapsed="false">
      <c r="A52" s="38" t="n">
        <v>51</v>
      </c>
      <c r="B52" s="38" t="n">
        <f aca="false">'Database + Frequency'!BC207</f>
        <v>28</v>
      </c>
      <c r="C52" s="38" t="n">
        <f aca="false">'Database + Frequency'!BC208</f>
        <v>41</v>
      </c>
      <c r="D52" s="38" t="n">
        <f aca="false">'Database + Frequency'!BC209</f>
        <v>99</v>
      </c>
      <c r="E52" s="38" t="n">
        <f aca="false">'Database + Frequency'!BC210</f>
        <v>30</v>
      </c>
      <c r="F52" s="38" t="n">
        <f aca="false">'Database + Frequency'!BC211</f>
        <v>1</v>
      </c>
      <c r="G52" s="38" t="n">
        <f aca="false">SUM(B52:E52)</f>
        <v>198</v>
      </c>
      <c r="H52" s="38" t="n">
        <f aca="false">F52+G52</f>
        <v>199</v>
      </c>
    </row>
    <row r="53" customFormat="false" ht="15" hidden="false" customHeight="true" outlineLevel="0" collapsed="false">
      <c r="A53" s="38" t="n">
        <v>52</v>
      </c>
      <c r="B53" s="38" t="n">
        <f aca="false">'Database + Frequency'!BD207</f>
        <v>26</v>
      </c>
      <c r="C53" s="38" t="n">
        <f aca="false">'Database + Frequency'!BD208</f>
        <v>2</v>
      </c>
      <c r="D53" s="38" t="n">
        <f aca="false">'Database + Frequency'!BD209</f>
        <v>167</v>
      </c>
      <c r="E53" s="38" t="n">
        <f aca="false">'Database + Frequency'!BD210</f>
        <v>4</v>
      </c>
      <c r="F53" s="38" t="n">
        <f aca="false">'Database + Frequency'!BD211</f>
        <v>0</v>
      </c>
      <c r="G53" s="38" t="n">
        <f aca="false">SUM(B53:E53)</f>
        <v>199</v>
      </c>
      <c r="H53" s="38" t="n">
        <f aca="false">F53+G53</f>
        <v>199</v>
      </c>
    </row>
    <row r="54" customFormat="false" ht="15" hidden="false" customHeight="true" outlineLevel="0" collapsed="false">
      <c r="A54" s="38" t="n">
        <v>53</v>
      </c>
      <c r="B54" s="38" t="n">
        <f aca="false">'Database + Frequency'!BE207</f>
        <v>1</v>
      </c>
      <c r="C54" s="38" t="n">
        <f aca="false">'Database + Frequency'!BE208</f>
        <v>1</v>
      </c>
      <c r="D54" s="38" t="n">
        <f aca="false">'Database + Frequency'!BE209</f>
        <v>195</v>
      </c>
      <c r="E54" s="38" t="n">
        <f aca="false">'Database + Frequency'!BE210</f>
        <v>2</v>
      </c>
      <c r="F54" s="38" t="n">
        <f aca="false">'Database + Frequency'!BE211</f>
        <v>0</v>
      </c>
      <c r="G54" s="38" t="n">
        <f aca="false">SUM(B54:E54)</f>
        <v>199</v>
      </c>
      <c r="H54" s="38" t="n">
        <f aca="false">F54+G54</f>
        <v>199</v>
      </c>
    </row>
    <row r="55" customFormat="false" ht="15" hidden="false" customHeight="true" outlineLevel="0" collapsed="false">
      <c r="A55" s="38" t="n">
        <v>54</v>
      </c>
      <c r="B55" s="38" t="n">
        <f aca="false">'Database + Frequency'!BF207</f>
        <v>2</v>
      </c>
      <c r="C55" s="38" t="n">
        <f aca="false">'Database + Frequency'!BF208</f>
        <v>0</v>
      </c>
      <c r="D55" s="38" t="n">
        <f aca="false">'Database + Frequency'!BF209</f>
        <v>0</v>
      </c>
      <c r="E55" s="38" t="n">
        <f aca="false">'Database + Frequency'!BF210</f>
        <v>197</v>
      </c>
      <c r="F55" s="38" t="n">
        <f aca="false">'Database + Frequency'!BF211</f>
        <v>0</v>
      </c>
      <c r="G55" s="38" t="n">
        <f aca="false">SUM(B55:E55)</f>
        <v>199</v>
      </c>
      <c r="H55" s="38" t="n">
        <f aca="false">F55+G55</f>
        <v>199</v>
      </c>
    </row>
    <row r="56" customFormat="false" ht="15" hidden="false" customHeight="true" outlineLevel="0" collapsed="false">
      <c r="A56" s="38" t="n">
        <v>55</v>
      </c>
      <c r="B56" s="38" t="n">
        <f aca="false">'Database + Frequency'!BG207</f>
        <v>1</v>
      </c>
      <c r="C56" s="38" t="n">
        <f aca="false">'Database + Frequency'!BG208</f>
        <v>1</v>
      </c>
      <c r="D56" s="38" t="n">
        <f aca="false">'Database + Frequency'!BG209</f>
        <v>1</v>
      </c>
      <c r="E56" s="38" t="n">
        <f aca="false">'Database + Frequency'!BG210</f>
        <v>196</v>
      </c>
      <c r="F56" s="38" t="n">
        <f aca="false">'Database + Frequency'!BG211</f>
        <v>0</v>
      </c>
      <c r="G56" s="38" t="n">
        <f aca="false">SUM(B56:E56)</f>
        <v>199</v>
      </c>
      <c r="H56" s="38" t="n">
        <f aca="false">F56+G56</f>
        <v>199</v>
      </c>
    </row>
    <row r="57" customFormat="false" ht="15" hidden="false" customHeight="true" outlineLevel="0" collapsed="false">
      <c r="A57" s="38" t="n">
        <v>56</v>
      </c>
      <c r="B57" s="38" t="n">
        <f aca="false">'Database + Frequency'!BH207</f>
        <v>2</v>
      </c>
      <c r="C57" s="38" t="n">
        <f aca="false">'Database + Frequency'!BH208</f>
        <v>195</v>
      </c>
      <c r="D57" s="38" t="n">
        <f aca="false">'Database + Frequency'!BH209</f>
        <v>1</v>
      </c>
      <c r="E57" s="38" t="n">
        <f aca="false">'Database + Frequency'!BH210</f>
        <v>1</v>
      </c>
      <c r="F57" s="38" t="n">
        <f aca="false">'Database + Frequency'!BH211</f>
        <v>0</v>
      </c>
      <c r="G57" s="38" t="n">
        <f aca="false">SUM(B57:E57)</f>
        <v>199</v>
      </c>
      <c r="H57" s="38" t="n">
        <f aca="false">F57+G57</f>
        <v>199</v>
      </c>
    </row>
    <row r="58" customFormat="false" ht="15" hidden="false" customHeight="true" outlineLevel="0" collapsed="false">
      <c r="A58" s="38" t="n">
        <v>57</v>
      </c>
      <c r="B58" s="38" t="n">
        <f aca="false">'Database + Frequency'!BI207</f>
        <v>76</v>
      </c>
      <c r="C58" s="38" t="n">
        <f aca="false">'Database + Frequency'!BI208</f>
        <v>0</v>
      </c>
      <c r="D58" s="38" t="n">
        <f aca="false">'Database + Frequency'!BI209</f>
        <v>121</v>
      </c>
      <c r="E58" s="38" t="n">
        <f aca="false">'Database + Frequency'!BI210</f>
        <v>1</v>
      </c>
      <c r="F58" s="38" t="n">
        <f aca="false">'Database + Frequency'!BI211</f>
        <v>1</v>
      </c>
      <c r="G58" s="38" t="n">
        <f aca="false">SUM(B58:E58)</f>
        <v>198</v>
      </c>
      <c r="H58" s="38" t="n">
        <f aca="false">F58+G58</f>
        <v>199</v>
      </c>
    </row>
    <row r="59" customFormat="false" ht="15" hidden="false" customHeight="true" outlineLevel="0" collapsed="false">
      <c r="A59" s="38" t="n">
        <v>58</v>
      </c>
      <c r="B59" s="38" t="n">
        <f aca="false">'Database + Frequency'!BJ207</f>
        <v>197</v>
      </c>
      <c r="C59" s="38" t="n">
        <f aca="false">'Database + Frequency'!BJ208</f>
        <v>1</v>
      </c>
      <c r="D59" s="38" t="n">
        <f aca="false">'Database + Frequency'!BJ209</f>
        <v>0</v>
      </c>
      <c r="E59" s="38" t="n">
        <f aca="false">'Database + Frequency'!BJ210</f>
        <v>1</v>
      </c>
      <c r="F59" s="38" t="n">
        <f aca="false">'Database + Frequency'!BJ211</f>
        <v>0</v>
      </c>
      <c r="G59" s="38" t="n">
        <f aca="false">SUM(B59:E59)</f>
        <v>199</v>
      </c>
      <c r="H59" s="38" t="n">
        <f aca="false">F59+G59</f>
        <v>199</v>
      </c>
    </row>
    <row r="60" customFormat="false" ht="15" hidden="false" customHeight="true" outlineLevel="0" collapsed="false">
      <c r="A60" s="38" t="n">
        <v>59</v>
      </c>
      <c r="B60" s="38" t="n">
        <f aca="false">'Database + Frequency'!BK207</f>
        <v>91</v>
      </c>
      <c r="C60" s="38" t="n">
        <f aca="false">'Database + Frequency'!BK208</f>
        <v>12</v>
      </c>
      <c r="D60" s="38" t="n">
        <f aca="false">'Database + Frequency'!BK209</f>
        <v>46</v>
      </c>
      <c r="E60" s="38" t="n">
        <f aca="false">'Database + Frequency'!BK210</f>
        <v>50</v>
      </c>
      <c r="F60" s="38" t="n">
        <f aca="false">'Database + Frequency'!BK211</f>
        <v>0</v>
      </c>
      <c r="G60" s="38" t="n">
        <f aca="false">SUM(B60:E60)</f>
        <v>199</v>
      </c>
      <c r="H60" s="38" t="n">
        <f aca="false">F60+G60</f>
        <v>199</v>
      </c>
    </row>
    <row r="61" customFormat="false" ht="15" hidden="false" customHeight="true" outlineLevel="0" collapsed="false">
      <c r="A61" s="38" t="n">
        <v>60</v>
      </c>
      <c r="B61" s="38" t="n">
        <f aca="false">'Database + Frequency'!BL207</f>
        <v>1</v>
      </c>
      <c r="C61" s="38" t="n">
        <f aca="false">'Database + Frequency'!BL208</f>
        <v>40</v>
      </c>
      <c r="D61" s="38" t="n">
        <f aca="false">'Database + Frequency'!BL209</f>
        <v>2</v>
      </c>
      <c r="E61" s="38" t="n">
        <f aca="false">'Database + Frequency'!BL210</f>
        <v>156</v>
      </c>
      <c r="F61" s="38" t="n">
        <f aca="false">'Database + Frequency'!BL211</f>
        <v>0</v>
      </c>
      <c r="G61" s="38" t="n">
        <f aca="false">SUM(B61:E61)</f>
        <v>199</v>
      </c>
      <c r="H61" s="38" t="n">
        <f aca="false">F61+G61</f>
        <v>199</v>
      </c>
    </row>
    <row r="62" customFormat="false" ht="15" hidden="false" customHeight="true" outlineLevel="0" collapsed="false">
      <c r="A62" s="38" t="n">
        <v>61</v>
      </c>
      <c r="B62" s="38" t="n">
        <f aca="false">'Database + Frequency'!BM207</f>
        <v>0</v>
      </c>
      <c r="C62" s="38" t="n">
        <f aca="false">'Database + Frequency'!BM208</f>
        <v>197</v>
      </c>
      <c r="D62" s="38" t="n">
        <f aca="false">'Database + Frequency'!BM209</f>
        <v>1</v>
      </c>
      <c r="E62" s="38" t="n">
        <f aca="false">'Database + Frequency'!BM210</f>
        <v>1</v>
      </c>
      <c r="F62" s="38" t="n">
        <f aca="false">'Database + Frequency'!BM211</f>
        <v>0</v>
      </c>
      <c r="G62" s="38" t="n">
        <f aca="false">SUM(B62:E62)</f>
        <v>199</v>
      </c>
      <c r="H62" s="38" t="n">
        <f aca="false">F62+G62</f>
        <v>199</v>
      </c>
    </row>
    <row r="63" customFormat="false" ht="15" hidden="false" customHeight="true" outlineLevel="0" collapsed="false">
      <c r="A63" s="38" t="n">
        <v>62</v>
      </c>
      <c r="B63" s="38" t="n">
        <f aca="false">'Database + Frequency'!BN207</f>
        <v>3</v>
      </c>
      <c r="C63" s="38" t="n">
        <f aca="false">'Database + Frequency'!BN208</f>
        <v>168</v>
      </c>
      <c r="D63" s="38" t="n">
        <f aca="false">'Database + Frequency'!BN209</f>
        <v>2</v>
      </c>
      <c r="E63" s="38" t="n">
        <f aca="false">'Database + Frequency'!BN210</f>
        <v>26</v>
      </c>
      <c r="F63" s="38" t="n">
        <f aca="false">'Database + Frequency'!BN211</f>
        <v>0</v>
      </c>
      <c r="G63" s="38" t="n">
        <f aca="false">SUM(B63:E63)</f>
        <v>199</v>
      </c>
      <c r="H63" s="38" t="n">
        <f aca="false">F63+G63</f>
        <v>199</v>
      </c>
    </row>
    <row r="64" customFormat="false" ht="15" hidden="false" customHeight="true" outlineLevel="0" collapsed="false">
      <c r="A64" s="38" t="n">
        <v>63</v>
      </c>
      <c r="B64" s="38" t="n">
        <f aca="false">'Database + Frequency'!BO207</f>
        <v>22</v>
      </c>
      <c r="C64" s="38" t="n">
        <f aca="false">'Database + Frequency'!BO208</f>
        <v>97</v>
      </c>
      <c r="D64" s="38" t="n">
        <f aca="false">'Database + Frequency'!BO209</f>
        <v>48</v>
      </c>
      <c r="E64" s="38" t="n">
        <f aca="false">'Database + Frequency'!BO210</f>
        <v>32</v>
      </c>
      <c r="F64" s="38" t="n">
        <f aca="false">'Database + Frequency'!BO211</f>
        <v>0</v>
      </c>
      <c r="G64" s="38" t="n">
        <f aca="false">SUM(B64:E64)</f>
        <v>199</v>
      </c>
      <c r="H64" s="38" t="n">
        <f aca="false">F64+G64</f>
        <v>199</v>
      </c>
    </row>
    <row r="65" customFormat="false" ht="15" hidden="false" customHeight="true" outlineLevel="0" collapsed="false">
      <c r="A65" s="38" t="n">
        <v>64</v>
      </c>
      <c r="B65" s="38" t="n">
        <f aca="false">'Database + Frequency'!BP207</f>
        <v>32</v>
      </c>
      <c r="C65" s="38" t="n">
        <f aca="false">'Database + Frequency'!BP208</f>
        <v>42</v>
      </c>
      <c r="D65" s="38" t="n">
        <f aca="false">'Database + Frequency'!BP209</f>
        <v>92</v>
      </c>
      <c r="E65" s="38" t="n">
        <f aca="false">'Database + Frequency'!BP210</f>
        <v>33</v>
      </c>
      <c r="F65" s="38" t="n">
        <f aca="false">'Database + Frequency'!BP211</f>
        <v>0</v>
      </c>
      <c r="G65" s="38" t="n">
        <f aca="false">SUM(B65:E65)</f>
        <v>199</v>
      </c>
      <c r="H65" s="38" t="n">
        <f aca="false">F65+G65</f>
        <v>199</v>
      </c>
    </row>
    <row r="66" customFormat="false" ht="15" hidden="false" customHeight="true" outlineLevel="0" collapsed="false">
      <c r="A66" s="38" t="n">
        <v>65</v>
      </c>
      <c r="B66" s="38" t="n">
        <f aca="false">'Database + Frequency'!BQ207</f>
        <v>9</v>
      </c>
      <c r="C66" s="38" t="n">
        <f aca="false">'Database + Frequency'!BQ208</f>
        <v>63</v>
      </c>
      <c r="D66" s="38" t="n">
        <f aca="false">'Database + Frequency'!BQ209</f>
        <v>57</v>
      </c>
      <c r="E66" s="38" t="n">
        <f aca="false">'Database + Frequency'!BQ210</f>
        <v>69</v>
      </c>
      <c r="F66" s="38" t="n">
        <f aca="false">'Database + Frequency'!BQ211</f>
        <v>1</v>
      </c>
      <c r="G66" s="38" t="n">
        <f aca="false">SUM(B66:E66)</f>
        <v>198</v>
      </c>
      <c r="H66" s="38" t="n">
        <f aca="false">F66+G66</f>
        <v>199</v>
      </c>
    </row>
    <row r="67" customFormat="false" ht="15" hidden="false" customHeight="true" outlineLevel="0" collapsed="false">
      <c r="A67" s="38" t="n">
        <v>66</v>
      </c>
      <c r="B67" s="38" t="n">
        <f aca="false">'Database + Frequency'!BR207</f>
        <v>43</v>
      </c>
      <c r="C67" s="38" t="n">
        <f aca="false">'Database + Frequency'!BR208</f>
        <v>105</v>
      </c>
      <c r="D67" s="38" t="n">
        <f aca="false">'Database + Frequency'!BR209</f>
        <v>2</v>
      </c>
      <c r="E67" s="38" t="n">
        <f aca="false">'Database + Frequency'!BR210</f>
        <v>49</v>
      </c>
      <c r="F67" s="38" t="n">
        <f aca="false">'Database + Frequency'!BR211</f>
        <v>0</v>
      </c>
      <c r="G67" s="38" t="n">
        <f aca="false">SUM(B67:E67)</f>
        <v>199</v>
      </c>
      <c r="H67" s="38" t="n">
        <f aca="false">F67+G67</f>
        <v>199</v>
      </c>
    </row>
    <row r="68" customFormat="false" ht="15" hidden="false" customHeight="true" outlineLevel="0" collapsed="false">
      <c r="A68" s="38" t="n">
        <v>67</v>
      </c>
      <c r="B68" s="38" t="n">
        <f aca="false">'Database + Frequency'!BS207</f>
        <v>41</v>
      </c>
      <c r="C68" s="38" t="n">
        <f aca="false">'Database + Frequency'!BS208</f>
        <v>45</v>
      </c>
      <c r="D68" s="38" t="n">
        <f aca="false">'Database + Frequency'!BS209</f>
        <v>75</v>
      </c>
      <c r="E68" s="38" t="n">
        <f aca="false">'Database + Frequency'!BS210</f>
        <v>38</v>
      </c>
      <c r="F68" s="38" t="n">
        <f aca="false">'Database + Frequency'!BS211</f>
        <v>0</v>
      </c>
      <c r="G68" s="38" t="n">
        <f aca="false">SUM(B68:E68)</f>
        <v>199</v>
      </c>
      <c r="H68" s="38" t="n">
        <f aca="false">F68+G68</f>
        <v>199</v>
      </c>
    </row>
    <row r="69" customFormat="false" ht="15" hidden="false" customHeight="true" outlineLevel="0" collapsed="false">
      <c r="A69" s="38" t="n">
        <v>68</v>
      </c>
      <c r="B69" s="38" t="n">
        <f aca="false">'Database + Frequency'!BT207</f>
        <v>15</v>
      </c>
      <c r="C69" s="38" t="n">
        <f aca="false">'Database + Frequency'!BT208</f>
        <v>62</v>
      </c>
      <c r="D69" s="38" t="n">
        <f aca="false">'Database + Frequency'!BT209</f>
        <v>87</v>
      </c>
      <c r="E69" s="38" t="n">
        <f aca="false">'Database + Frequency'!BT210</f>
        <v>35</v>
      </c>
      <c r="F69" s="38" t="n">
        <f aca="false">'Database + Frequency'!BT211</f>
        <v>0</v>
      </c>
      <c r="G69" s="38" t="n">
        <f aca="false">SUM(B69:E69)</f>
        <v>199</v>
      </c>
      <c r="H69" s="38" t="n">
        <f aca="false">F69+G69</f>
        <v>199</v>
      </c>
    </row>
    <row r="70" customFormat="false" ht="15" hidden="false" customHeight="true" outlineLevel="0" collapsed="false">
      <c r="A70" s="38" t="n">
        <v>69</v>
      </c>
      <c r="B70" s="38" t="n">
        <f aca="false">'Database + Frequency'!BU207</f>
        <v>25</v>
      </c>
      <c r="C70" s="38" t="n">
        <f aca="false">'Database + Frequency'!BU208</f>
        <v>88</v>
      </c>
      <c r="D70" s="38" t="n">
        <f aca="false">'Database + Frequency'!BU209</f>
        <v>70</v>
      </c>
      <c r="E70" s="38" t="n">
        <f aca="false">'Database + Frequency'!BU210</f>
        <v>16</v>
      </c>
      <c r="F70" s="38" t="n">
        <f aca="false">'Database + Frequency'!BU211</f>
        <v>0</v>
      </c>
      <c r="G70" s="38" t="n">
        <f aca="false">SUM(B70:E70)</f>
        <v>199</v>
      </c>
      <c r="H70" s="38" t="n">
        <f aca="false">F70+G70</f>
        <v>199</v>
      </c>
    </row>
    <row r="71" customFormat="false" ht="15" hidden="false" customHeight="true" outlineLevel="0" collapsed="false">
      <c r="A71" s="38" t="n">
        <v>70</v>
      </c>
      <c r="B71" s="38" t="n">
        <f aca="false">'Database + Frequency'!BV207</f>
        <v>23</v>
      </c>
      <c r="C71" s="38" t="n">
        <f aca="false">'Database + Frequency'!BV208</f>
        <v>71</v>
      </c>
      <c r="D71" s="38" t="n">
        <f aca="false">'Database + Frequency'!BV209</f>
        <v>75</v>
      </c>
      <c r="E71" s="38" t="n">
        <f aca="false">'Database + Frequency'!BV210</f>
        <v>30</v>
      </c>
      <c r="F71" s="38" t="n">
        <f aca="false">'Database + Frequency'!BV211</f>
        <v>0</v>
      </c>
      <c r="G71" s="38" t="n">
        <f aca="false">SUM(B71:E71)</f>
        <v>199</v>
      </c>
      <c r="H71" s="38" t="n">
        <f aca="false">F71+G71</f>
        <v>199</v>
      </c>
    </row>
    <row r="72" customFormat="false" ht="15" hidden="false" customHeight="true" outlineLevel="0" collapsed="false">
      <c r="A72" s="38" t="n">
        <v>71</v>
      </c>
      <c r="B72" s="38" t="n">
        <f aca="false">'Database + Frequency'!BW207</f>
        <v>5</v>
      </c>
      <c r="C72" s="38" t="n">
        <f aca="false">'Database + Frequency'!BW208</f>
        <v>103</v>
      </c>
      <c r="D72" s="38" t="n">
        <f aca="false">'Database + Frequency'!BW209</f>
        <v>82</v>
      </c>
      <c r="E72" s="38" t="n">
        <f aca="false">'Database + Frequency'!BW210</f>
        <v>9</v>
      </c>
      <c r="F72" s="38" t="n">
        <f aca="false">'Database + Frequency'!BW211</f>
        <v>0</v>
      </c>
      <c r="G72" s="38" t="n">
        <f aca="false">SUM(B72:E72)</f>
        <v>199</v>
      </c>
      <c r="H72" s="38" t="n">
        <f aca="false">F72+G72</f>
        <v>199</v>
      </c>
    </row>
    <row r="73" customFormat="false" ht="15" hidden="false" customHeight="true" outlineLevel="0" collapsed="false">
      <c r="A73" s="38" t="n">
        <v>72</v>
      </c>
      <c r="B73" s="38" t="n">
        <f aca="false">'Database + Frequency'!BX207</f>
        <v>16</v>
      </c>
      <c r="C73" s="38" t="n">
        <f aca="false">'Database + Frequency'!BX208</f>
        <v>145</v>
      </c>
      <c r="D73" s="38" t="n">
        <f aca="false">'Database + Frequency'!BX209</f>
        <v>17</v>
      </c>
      <c r="E73" s="38" t="n">
        <f aca="false">'Database + Frequency'!BX210</f>
        <v>21</v>
      </c>
      <c r="F73" s="38" t="n">
        <f aca="false">'Database + Frequency'!BX211</f>
        <v>0</v>
      </c>
      <c r="G73" s="38" t="n">
        <f aca="false">SUM(B73:E73)</f>
        <v>199</v>
      </c>
      <c r="H73" s="38" t="n">
        <f aca="false">F73+G73</f>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2" min="1" style="0" width="10"/>
    <col collapsed="false" customWidth="true" hidden="false" outlineLevel="0" max="3" min="3" style="0" width="20"/>
    <col collapsed="false" customWidth="true" hidden="false" outlineLevel="0" max="5" min="4" style="0" width="18"/>
  </cols>
  <sheetData>
    <row r="1" customFormat="false" ht="15" hidden="false" customHeight="true" outlineLevel="0" collapsed="false">
      <c r="A1" s="37" t="s">
        <v>479</v>
      </c>
      <c r="B1" s="38"/>
      <c r="C1" s="38"/>
      <c r="D1" s="38"/>
    </row>
    <row r="2" customFormat="false" ht="15" hidden="false" customHeight="true" outlineLevel="0" collapsed="false">
      <c r="A2" s="38"/>
      <c r="B2" s="38"/>
      <c r="C2" s="38"/>
      <c r="D2" s="38"/>
    </row>
    <row r="3" customFormat="false" ht="23.25" hidden="false" customHeight="true" outlineLevel="0" collapsed="false">
      <c r="A3" s="39" t="s">
        <v>480</v>
      </c>
      <c r="B3" s="39" t="s">
        <v>481</v>
      </c>
      <c r="C3" s="39" t="s">
        <v>482</v>
      </c>
      <c r="D3" s="38"/>
    </row>
    <row r="4" customFormat="false" ht="15" hidden="false" customHeight="true" outlineLevel="0" collapsed="false">
      <c r="A4" s="38" t="s">
        <v>172</v>
      </c>
      <c r="B4" s="38" t="n">
        <f aca="false">SUM('Frequency 1-72'!B2:B73)</f>
        <v>2633</v>
      </c>
      <c r="C4" s="45" t="n">
        <f aca="false">B4/$B$8</f>
        <v>0.185174766157958</v>
      </c>
      <c r="D4" s="38"/>
    </row>
    <row r="5" customFormat="false" ht="15" hidden="false" customHeight="true" outlineLevel="0" collapsed="false">
      <c r="A5" s="38" t="s">
        <v>170</v>
      </c>
      <c r="B5" s="38" t="n">
        <f aca="false">SUM('Frequency 1-72'!C2:C73)</f>
        <v>3936</v>
      </c>
      <c r="C5" s="45" t="n">
        <f aca="false">B5/$B$8</f>
        <v>0.276812715380828</v>
      </c>
      <c r="D5" s="38"/>
    </row>
    <row r="6" customFormat="false" ht="15" hidden="false" customHeight="true" outlineLevel="0" collapsed="false">
      <c r="A6" s="38" t="s">
        <v>169</v>
      </c>
      <c r="B6" s="38" t="n">
        <f aca="false">SUM('Frequency 1-72'!D2:D73)</f>
        <v>4623</v>
      </c>
      <c r="C6" s="45" t="n">
        <f aca="false">B6/$B$8</f>
        <v>0.325128349391659</v>
      </c>
      <c r="D6" s="38"/>
    </row>
    <row r="7" customFormat="false" ht="15" hidden="false" customHeight="true" outlineLevel="0" collapsed="false">
      <c r="A7" s="38" t="s">
        <v>171</v>
      </c>
      <c r="B7" s="38" t="n">
        <f aca="false">SUM('Frequency 1-72'!E2:E73)</f>
        <v>3027</v>
      </c>
      <c r="C7" s="45" t="n">
        <f aca="false">B7/$B$8</f>
        <v>0.212884169069555</v>
      </c>
      <c r="D7" s="38"/>
    </row>
    <row r="8" customFormat="false" ht="15" hidden="false" customHeight="true" outlineLevel="0" collapsed="false">
      <c r="A8" s="41" t="s">
        <v>483</v>
      </c>
      <c r="B8" s="41" t="n">
        <f aca="false">SUM(B4:B7)</f>
        <v>14219</v>
      </c>
      <c r="C8" s="38"/>
      <c r="D8" s="38"/>
    </row>
    <row r="9" customFormat="false" ht="15" hidden="false" customHeight="true" outlineLevel="0" collapsed="false">
      <c r="A9" s="41" t="s">
        <v>484</v>
      </c>
      <c r="B9" s="46" t="n">
        <f aca="false">(B5+B6)/B8</f>
        <v>0.601941064772488</v>
      </c>
      <c r="C9" s="38"/>
      <c r="D9" s="38"/>
    </row>
    <row r="10" customFormat="false" ht="15" hidden="false" customHeight="true" outlineLevel="0" collapsed="false">
      <c r="A10" s="38"/>
      <c r="B10" s="38"/>
      <c r="C10" s="38"/>
      <c r="D10" s="38"/>
    </row>
    <row r="11" customFormat="false" ht="15" hidden="false" customHeight="true" outlineLevel="0" collapsed="false">
      <c r="A11" s="39" t="s">
        <v>485</v>
      </c>
      <c r="B11" s="39" t="s">
        <v>486</v>
      </c>
      <c r="C11" s="39" t="s">
        <v>487</v>
      </c>
      <c r="D11" s="39" t="s">
        <v>488</v>
      </c>
      <c r="E11" s="39" t="s">
        <v>489</v>
      </c>
    </row>
    <row r="12" customFormat="false" ht="15" hidden="false" customHeight="true" outlineLevel="0" collapsed="false">
      <c r="A12" s="38" t="s">
        <v>172</v>
      </c>
      <c r="B12" s="38" t="s">
        <v>172</v>
      </c>
      <c r="C12" s="38" t="n">
        <f aca="false">SUMIFS('Transition Stepwise'!$F$2:$F$1137,'Transition Stepwise'!$C$2:$C$1137,A12,'Transition Stepwise'!$D$2:$D$1137,B12)</f>
        <v>569</v>
      </c>
      <c r="D12" s="45" t="n">
        <f aca="false">(C12+1)/(SUMIF($A$12:$A$27,A12,$C$12:$C$27)+4*1)</f>
        <v>0.219568567026194</v>
      </c>
      <c r="E12" s="38" t="str">
        <f aca="false">A12&amp;B12</f>
        <v>AA</v>
      </c>
    </row>
    <row r="13" customFormat="false" ht="15" hidden="false" customHeight="true" outlineLevel="0" collapsed="false">
      <c r="A13" s="38" t="s">
        <v>172</v>
      </c>
      <c r="B13" s="38" t="s">
        <v>170</v>
      </c>
      <c r="C13" s="38" t="n">
        <f aca="false">SUMIFS('Transition Stepwise'!$F$2:$F$1137,'Transition Stepwise'!$C$2:$C$1137,A13,'Transition Stepwise'!$D$2:$D$1137,B13)</f>
        <v>417</v>
      </c>
      <c r="D13" s="45" t="n">
        <f aca="false">(C13+1)/(SUMIF($A$12:$A$27,A13,$C$12:$C$27)+4*1)</f>
        <v>0.161016949152542</v>
      </c>
      <c r="E13" s="38" t="str">
        <f aca="false">A13&amp;B13</f>
        <v>AC</v>
      </c>
    </row>
    <row r="14" customFormat="false" ht="15" hidden="false" customHeight="true" outlineLevel="0" collapsed="false">
      <c r="A14" s="38" t="s">
        <v>172</v>
      </c>
      <c r="B14" s="38" t="s">
        <v>169</v>
      </c>
      <c r="C14" s="38" t="n">
        <f aca="false">SUMIFS('Transition Stepwise'!$F$2:$F$1137,'Transition Stepwise'!$C$2:$C$1137,A14,'Transition Stepwise'!$D$2:$D$1137,B14)</f>
        <v>1102</v>
      </c>
      <c r="D14" s="45" t="n">
        <f aca="false">(C14+1)/(SUMIF($A$12:$A$27,A14,$C$12:$C$27)+4*1)</f>
        <v>0.424884437596302</v>
      </c>
      <c r="E14" s="38" t="str">
        <f aca="false">A14&amp;B14</f>
        <v>AG</v>
      </c>
    </row>
    <row r="15" customFormat="false" ht="15" hidden="false" customHeight="true" outlineLevel="0" collapsed="false">
      <c r="A15" s="38" t="s">
        <v>172</v>
      </c>
      <c r="B15" s="38" t="s">
        <v>171</v>
      </c>
      <c r="C15" s="38" t="n">
        <f aca="false">SUMIFS('Transition Stepwise'!$F$2:$F$1137,'Transition Stepwise'!$C$2:$C$1137,A15,'Transition Stepwise'!$D$2:$D$1137,B15)</f>
        <v>504</v>
      </c>
      <c r="D15" s="45" t="n">
        <f aca="false">(C15+1)/(SUMIF($A$12:$A$27,A15,$C$12:$C$27)+4*1)</f>
        <v>0.194530046224961</v>
      </c>
      <c r="E15" s="38" t="str">
        <f aca="false">A15&amp;B15</f>
        <v>AU</v>
      </c>
    </row>
    <row r="16" customFormat="false" ht="15" hidden="false" customHeight="true" outlineLevel="0" collapsed="false">
      <c r="A16" s="38" t="s">
        <v>170</v>
      </c>
      <c r="B16" s="38" t="s">
        <v>172</v>
      </c>
      <c r="C16" s="38" t="n">
        <f aca="false">SUMIFS('Transition Stepwise'!$F$2:$F$1137,'Transition Stepwise'!$C$2:$C$1137,A16,'Transition Stepwise'!$D$2:$D$1137,B16)</f>
        <v>738</v>
      </c>
      <c r="D16" s="45" t="n">
        <f aca="false">(C16+1)/(SUMIF($A$12:$A$27,A16,$C$12:$C$27)+4*1)</f>
        <v>0.194883966244726</v>
      </c>
      <c r="E16" s="38" t="str">
        <f aca="false">A16&amp;B16</f>
        <v>CA</v>
      </c>
    </row>
    <row r="17" customFormat="false" ht="15" hidden="false" customHeight="true" outlineLevel="0" collapsed="false">
      <c r="A17" s="38" t="s">
        <v>170</v>
      </c>
      <c r="B17" s="38" t="s">
        <v>170</v>
      </c>
      <c r="C17" s="38" t="n">
        <f aca="false">SUMIFS('Transition Stepwise'!$F$2:$F$1137,'Transition Stepwise'!$C$2:$C$1137,A17,'Transition Stepwise'!$D$2:$D$1137,B17)</f>
        <v>1183</v>
      </c>
      <c r="D17" s="45" t="n">
        <f aca="false">(C17+1)/(SUMIF($A$12:$A$27,A17,$C$12:$C$27)+4*1)</f>
        <v>0.312236286919831</v>
      </c>
      <c r="E17" s="38" t="str">
        <f aca="false">A17&amp;B17</f>
        <v>CC</v>
      </c>
    </row>
    <row r="18" customFormat="false" ht="15" hidden="false" customHeight="true" outlineLevel="0" collapsed="false">
      <c r="A18" s="38" t="s">
        <v>170</v>
      </c>
      <c r="B18" s="38" t="s">
        <v>169</v>
      </c>
      <c r="C18" s="38" t="n">
        <f aca="false">SUMIFS('Transition Stepwise'!$F$2:$F$1137,'Transition Stepwise'!$C$2:$C$1137,A18,'Transition Stepwise'!$D$2:$D$1137,B18)</f>
        <v>1123</v>
      </c>
      <c r="D18" s="45" t="n">
        <f aca="false">(C18+1)/(SUMIF($A$12:$A$27,A18,$C$12:$C$27)+4*1)</f>
        <v>0.296413502109705</v>
      </c>
      <c r="E18" s="38" t="str">
        <f aca="false">A18&amp;B18</f>
        <v>CG</v>
      </c>
    </row>
    <row r="19" customFormat="false" ht="15" hidden="false" customHeight="true" outlineLevel="0" collapsed="false">
      <c r="A19" s="38" t="s">
        <v>170</v>
      </c>
      <c r="B19" s="38" t="s">
        <v>171</v>
      </c>
      <c r="C19" s="38" t="n">
        <f aca="false">SUMIFS('Transition Stepwise'!$F$2:$F$1137,'Transition Stepwise'!$C$2:$C$1137,A19,'Transition Stepwise'!$D$2:$D$1137,B19)</f>
        <v>744</v>
      </c>
      <c r="D19" s="45" t="n">
        <f aca="false">(C19+1)/(SUMIF($A$12:$A$27,A19,$C$12:$C$27)+4*1)</f>
        <v>0.196466244725738</v>
      </c>
      <c r="E19" s="38" t="str">
        <f aca="false">A19&amp;B19</f>
        <v>CU</v>
      </c>
    </row>
    <row r="20" customFormat="false" ht="15" hidden="false" customHeight="true" outlineLevel="0" collapsed="false">
      <c r="A20" s="38" t="s">
        <v>169</v>
      </c>
      <c r="B20" s="38" t="s">
        <v>172</v>
      </c>
      <c r="C20" s="38" t="n">
        <f aca="false">SUMIFS('Transition Stepwise'!$F$2:$F$1137,'Transition Stepwise'!$C$2:$C$1137,A20,'Transition Stepwise'!$D$2:$D$1137,B20)</f>
        <v>746</v>
      </c>
      <c r="D20" s="45" t="n">
        <f aca="false">(C20+1)/(SUMIF($A$12:$A$27,A20,$C$12:$C$27)+4*1)</f>
        <v>0.164356435643564</v>
      </c>
      <c r="E20" s="38" t="str">
        <f aca="false">A20&amp;B20</f>
        <v>GA</v>
      </c>
    </row>
    <row r="21" customFormat="false" ht="15" hidden="false" customHeight="true" outlineLevel="0" collapsed="false">
      <c r="A21" s="38" t="s">
        <v>169</v>
      </c>
      <c r="B21" s="38" t="s">
        <v>170</v>
      </c>
      <c r="C21" s="38" t="n">
        <f aca="false">SUMIFS('Transition Stepwise'!$F$2:$F$1137,'Transition Stepwise'!$C$2:$C$1137,A21,'Transition Stepwise'!$D$2:$D$1137,B21)</f>
        <v>1163</v>
      </c>
      <c r="D21" s="45" t="n">
        <f aca="false">(C21+1)/(SUMIF($A$12:$A$27,A21,$C$12:$C$27)+4*1)</f>
        <v>0.256105610561056</v>
      </c>
      <c r="E21" s="38" t="str">
        <f aca="false">A21&amp;B21</f>
        <v>GC</v>
      </c>
    </row>
    <row r="22" customFormat="false" ht="15" hidden="false" customHeight="true" outlineLevel="0" collapsed="false">
      <c r="A22" s="38" t="s">
        <v>169</v>
      </c>
      <c r="B22" s="38" t="s">
        <v>169</v>
      </c>
      <c r="C22" s="38" t="n">
        <f aca="false">SUMIFS('Transition Stepwise'!$F$2:$F$1137,'Transition Stepwise'!$C$2:$C$1137,A22,'Transition Stepwise'!$D$2:$D$1137,B22)</f>
        <v>1566</v>
      </c>
      <c r="D22" s="45" t="n">
        <f aca="false">(C22+1)/(SUMIF($A$12:$A$27,A22,$C$12:$C$27)+4*1)</f>
        <v>0.344774477447745</v>
      </c>
      <c r="E22" s="38" t="str">
        <f aca="false">A22&amp;B22</f>
        <v>GG</v>
      </c>
    </row>
    <row r="23" customFormat="false" ht="15" hidden="false" customHeight="true" outlineLevel="0" collapsed="false">
      <c r="A23" s="38" t="s">
        <v>169</v>
      </c>
      <c r="B23" s="38" t="s">
        <v>171</v>
      </c>
      <c r="C23" s="38" t="n">
        <f aca="false">SUMIFS('Transition Stepwise'!$F$2:$F$1137,'Transition Stepwise'!$C$2:$C$1137,A23,'Transition Stepwise'!$D$2:$D$1137,B23)</f>
        <v>1066</v>
      </c>
      <c r="D23" s="45" t="n">
        <f aca="false">(C23+1)/(SUMIF($A$12:$A$27,A23,$C$12:$C$27)+4*1)</f>
        <v>0.234763476347635</v>
      </c>
      <c r="E23" s="38" t="str">
        <f aca="false">A23&amp;B23</f>
        <v>GU</v>
      </c>
    </row>
    <row r="24" customFormat="false" ht="15" hidden="false" customHeight="true" outlineLevel="0" collapsed="false">
      <c r="A24" s="38" t="s">
        <v>171</v>
      </c>
      <c r="B24" s="38" t="s">
        <v>172</v>
      </c>
      <c r="C24" s="38" t="n">
        <f aca="false">SUMIFS('Transition Stepwise'!$F$2:$F$1137,'Transition Stepwise'!$C$2:$C$1137,A24,'Transition Stepwise'!$D$2:$D$1137,B24)</f>
        <v>541</v>
      </c>
      <c r="D24" s="45" t="n">
        <f aca="false">(C24+1)/(SUMIF($A$12:$A$27,A24,$C$12:$C$27)+4*1)</f>
        <v>0.180787191460974</v>
      </c>
      <c r="E24" s="38" t="str">
        <f aca="false">A24&amp;B24</f>
        <v>UA</v>
      </c>
    </row>
    <row r="25" customFormat="false" ht="15" hidden="false" customHeight="true" outlineLevel="0" collapsed="false">
      <c r="A25" s="38" t="s">
        <v>171</v>
      </c>
      <c r="B25" s="38" t="s">
        <v>170</v>
      </c>
      <c r="C25" s="38" t="n">
        <f aca="false">SUMIFS('Transition Stepwise'!$F$2:$F$1137,'Transition Stepwise'!$C$2:$C$1137,A25,'Transition Stepwise'!$D$2:$D$1137,B25)</f>
        <v>1130</v>
      </c>
      <c r="D25" s="45" t="n">
        <f aca="false">(C25+1)/(SUMIF($A$12:$A$27,A25,$C$12:$C$27)+4*1)</f>
        <v>0.377251501000667</v>
      </c>
      <c r="E25" s="38" t="str">
        <f aca="false">A25&amp;B25</f>
        <v>UC</v>
      </c>
    </row>
    <row r="26" customFormat="false" ht="15" hidden="false" customHeight="true" outlineLevel="0" collapsed="false">
      <c r="A26" s="38" t="s">
        <v>171</v>
      </c>
      <c r="B26" s="38" t="s">
        <v>169</v>
      </c>
      <c r="C26" s="38" t="n">
        <f aca="false">SUMIFS('Transition Stepwise'!$F$2:$F$1137,'Transition Stepwise'!$C$2:$C$1137,A26,'Transition Stepwise'!$D$2:$D$1137,B26)</f>
        <v>663</v>
      </c>
      <c r="D26" s="45" t="n">
        <f aca="false">(C26+1)/(SUMIF($A$12:$A$27,A26,$C$12:$C$27)+4*1)</f>
        <v>0.221480987324883</v>
      </c>
      <c r="E26" s="38" t="str">
        <f aca="false">A26&amp;B26</f>
        <v>UG</v>
      </c>
    </row>
    <row r="27" customFormat="false" ht="15" hidden="false" customHeight="true" outlineLevel="0" collapsed="false">
      <c r="A27" s="38" t="s">
        <v>171</v>
      </c>
      <c r="B27" s="38" t="s">
        <v>171</v>
      </c>
      <c r="C27" s="38" t="n">
        <f aca="false">SUMIFS('Transition Stepwise'!$F$2:$F$1137,'Transition Stepwise'!$C$2:$C$1137,A27,'Transition Stepwise'!$D$2:$D$1137,B27)</f>
        <v>660</v>
      </c>
      <c r="D27" s="45" t="n">
        <f aca="false">(C27+1)/(SUMIF($A$12:$A$27,A27,$C$12:$C$27)+4*1)</f>
        <v>0.220480320213476</v>
      </c>
      <c r="E27" s="38" t="str">
        <f aca="false">A27&amp;B27</f>
        <v>UU</v>
      </c>
    </row>
    <row r="29" customFormat="false" ht="15" hidden="false" customHeight="true" outlineLevel="0" collapsed="false">
      <c r="A29" s="38"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6"/>
    <col collapsed="false" customWidth="true" hidden="false" outlineLevel="0" max="4" min="4" style="0" width="48"/>
    <col collapsed="false" customWidth="true" hidden="false" outlineLevel="0" max="5" min="5" style="0" width="30"/>
  </cols>
  <sheetData>
    <row r="1" customFormat="false" ht="15" hidden="false" customHeight="true" outlineLevel="0" collapsed="false">
      <c r="A1" s="37" t="s">
        <v>491</v>
      </c>
      <c r="B1" s="38"/>
      <c r="C1" s="38"/>
      <c r="D1" s="38"/>
      <c r="E1" s="38"/>
    </row>
    <row r="2" customFormat="false" ht="15" hidden="false" customHeight="true" outlineLevel="0" collapsed="false">
      <c r="A2" s="38" t="s">
        <v>492</v>
      </c>
      <c r="B2" s="38"/>
      <c r="C2" s="38"/>
      <c r="D2" s="38"/>
      <c r="E2" s="38"/>
    </row>
    <row r="3" customFormat="false" ht="15" hidden="false" customHeight="true" outlineLevel="0" collapsed="false">
      <c r="A3" s="38"/>
      <c r="B3" s="38"/>
      <c r="C3" s="38"/>
      <c r="D3" s="38"/>
      <c r="E3" s="38"/>
    </row>
    <row r="4" customFormat="false" ht="23.25" hidden="false" customHeight="true" outlineLevel="0" collapsed="false">
      <c r="A4" s="39" t="s">
        <v>493</v>
      </c>
      <c r="B4" s="39" t="s">
        <v>494</v>
      </c>
      <c r="C4" s="39" t="s">
        <v>495</v>
      </c>
      <c r="D4" s="39" t="s">
        <v>496</v>
      </c>
      <c r="E4" s="39" t="s">
        <v>497</v>
      </c>
    </row>
    <row r="5" customFormat="false" ht="15" hidden="false" customHeight="true" outlineLevel="0" collapsed="false">
      <c r="A5" s="38" t="n">
        <v>1</v>
      </c>
      <c r="B5" s="38" t="s">
        <v>498</v>
      </c>
      <c r="C5" s="47" t="s">
        <v>499</v>
      </c>
      <c r="D5" s="47" t="s">
        <v>500</v>
      </c>
      <c r="E5" s="38" t="s">
        <v>501</v>
      </c>
    </row>
    <row r="6" customFormat="false" ht="15" hidden="false" customHeight="true" outlineLevel="0" collapsed="false">
      <c r="A6" s="38" t="n">
        <v>2</v>
      </c>
      <c r="B6" s="38" t="s">
        <v>473</v>
      </c>
      <c r="C6" s="47" t="s">
        <v>502</v>
      </c>
      <c r="D6" s="47" t="s">
        <v>503</v>
      </c>
      <c r="E6" s="38" t="s">
        <v>504</v>
      </c>
    </row>
    <row r="7" customFormat="false" ht="15" hidden="false" customHeight="true" outlineLevel="0" collapsed="false">
      <c r="A7" s="38" t="n">
        <v>3</v>
      </c>
      <c r="B7" s="38" t="s">
        <v>505</v>
      </c>
      <c r="C7" s="47" t="s">
        <v>506</v>
      </c>
      <c r="D7" s="47" t="s">
        <v>507</v>
      </c>
      <c r="E7" s="38" t="s">
        <v>508</v>
      </c>
    </row>
    <row r="8" customFormat="false" ht="15" hidden="false" customHeight="true" outlineLevel="0" collapsed="false">
      <c r="A8" s="38" t="n">
        <v>4</v>
      </c>
      <c r="B8" s="38" t="s">
        <v>509</v>
      </c>
      <c r="C8" s="47" t="s">
        <v>510</v>
      </c>
      <c r="D8" s="47" t="s">
        <v>511</v>
      </c>
      <c r="E8" s="38" t="s">
        <v>512</v>
      </c>
    </row>
    <row r="9" customFormat="false" ht="15" hidden="false" customHeight="true" outlineLevel="0" collapsed="false">
      <c r="A9" s="38" t="n">
        <v>5</v>
      </c>
      <c r="B9" s="38" t="s">
        <v>513</v>
      </c>
      <c r="C9" s="47" t="s">
        <v>514</v>
      </c>
      <c r="D9" s="47" t="s">
        <v>515</v>
      </c>
      <c r="E9" s="38" t="s">
        <v>516</v>
      </c>
    </row>
    <row r="10" customFormat="false" ht="15" hidden="false" customHeight="true" outlineLevel="0" collapsed="false">
      <c r="A10" s="38" t="n">
        <v>6</v>
      </c>
      <c r="B10" s="38" t="s">
        <v>517</v>
      </c>
      <c r="C10" s="47" t="s">
        <v>518</v>
      </c>
      <c r="D10" s="47" t="s">
        <v>519</v>
      </c>
      <c r="E10" s="38" t="s">
        <v>520</v>
      </c>
    </row>
    <row r="11" customFormat="false" ht="15" hidden="false" customHeight="true" outlineLevel="0" collapsed="false">
      <c r="A11" s="38" t="n">
        <v>7</v>
      </c>
      <c r="B11" s="38" t="s">
        <v>521</v>
      </c>
      <c r="C11" s="47" t="s">
        <v>522</v>
      </c>
      <c r="D11" s="47" t="s">
        <v>500</v>
      </c>
      <c r="E11" s="38" t="s">
        <v>523</v>
      </c>
    </row>
    <row r="12" customFormat="false" ht="15" hidden="false" customHeight="true" outlineLevel="0" collapsed="false">
      <c r="A12" s="38" t="n">
        <v>8</v>
      </c>
      <c r="B12" s="38" t="s">
        <v>524</v>
      </c>
      <c r="C12" s="47" t="s">
        <v>525</v>
      </c>
      <c r="D12" s="47" t="s">
        <v>526</v>
      </c>
      <c r="E12" s="38" t="s">
        <v>527</v>
      </c>
    </row>
    <row r="13" customFormat="false" ht="15" hidden="false" customHeight="true" outlineLevel="0" collapsed="false">
      <c r="A13" s="38" t="n">
        <v>9</v>
      </c>
      <c r="B13" s="38" t="s">
        <v>528</v>
      </c>
      <c r="C13" s="47" t="s">
        <v>529</v>
      </c>
      <c r="D13" s="47" t="s">
        <v>530</v>
      </c>
      <c r="E13" s="38" t="s">
        <v>531</v>
      </c>
    </row>
    <row r="14" customFormat="false" ht="15" hidden="false" customHeight="true" outlineLevel="0" collapsed="false">
      <c r="A14" s="38" t="n">
        <v>10</v>
      </c>
      <c r="B14" s="38" t="s">
        <v>532</v>
      </c>
      <c r="C14" s="47" t="s">
        <v>533</v>
      </c>
      <c r="D14" s="47" t="s">
        <v>534</v>
      </c>
      <c r="E14" s="38" t="s">
        <v>535</v>
      </c>
    </row>
    <row r="15" customFormat="false" ht="15" hidden="false" customHeight="true" outlineLevel="0" collapsed="false">
      <c r="A15" s="38" t="n">
        <v>11</v>
      </c>
      <c r="B15" s="38" t="s">
        <v>536</v>
      </c>
      <c r="C15" s="47" t="s">
        <v>537</v>
      </c>
      <c r="D15" s="47" t="s">
        <v>538</v>
      </c>
      <c r="E15" s="38" t="s">
        <v>539</v>
      </c>
    </row>
    <row r="16" customFormat="false" ht="15" hidden="false" customHeight="true" outlineLevel="0" collapsed="false">
      <c r="A16" s="38" t="n">
        <v>12</v>
      </c>
      <c r="B16" s="38" t="s">
        <v>540</v>
      </c>
      <c r="C16" s="47" t="s">
        <v>541</v>
      </c>
      <c r="D16" s="47" t="s">
        <v>542</v>
      </c>
      <c r="E16" s="38" t="s">
        <v>543</v>
      </c>
    </row>
    <row r="17" customFormat="false" ht="15" hidden="false" customHeight="true" outlineLevel="0" collapsed="false">
      <c r="A17" s="38" t="n">
        <v>13</v>
      </c>
      <c r="B17" s="38" t="s">
        <v>544</v>
      </c>
      <c r="C17" s="47" t="s">
        <v>545</v>
      </c>
      <c r="D17" s="47" t="s">
        <v>546</v>
      </c>
      <c r="E17" s="38" t="s">
        <v>547</v>
      </c>
    </row>
    <row r="18" customFormat="false" ht="15" hidden="false" customHeight="true" outlineLevel="0" collapsed="false">
      <c r="A18" s="38" t="n">
        <v>14</v>
      </c>
      <c r="B18" s="38" t="s">
        <v>548</v>
      </c>
      <c r="C18" s="47" t="s">
        <v>549</v>
      </c>
      <c r="D18" s="47" t="s">
        <v>550</v>
      </c>
      <c r="E18" s="38" t="s">
        <v>551</v>
      </c>
    </row>
    <row r="19" customFormat="false" ht="15" hidden="false" customHeight="true" outlineLevel="0" collapsed="false">
      <c r="A19" s="38" t="n">
        <v>15</v>
      </c>
      <c r="B19" s="38" t="s">
        <v>552</v>
      </c>
      <c r="C19" s="47" t="s">
        <v>553</v>
      </c>
      <c r="D19" s="47" t="s">
        <v>554</v>
      </c>
      <c r="E19" s="38" t="s">
        <v>555</v>
      </c>
    </row>
    <row r="20" customFormat="false" ht="15" hidden="false" customHeight="true" outlineLevel="0" collapsed="false">
      <c r="A20" s="38" t="n">
        <v>16</v>
      </c>
      <c r="B20" s="38" t="s">
        <v>556</v>
      </c>
      <c r="C20" s="47" t="s">
        <v>557</v>
      </c>
      <c r="D20" s="47" t="s">
        <v>558</v>
      </c>
      <c r="E20" s="38" t="s">
        <v>555</v>
      </c>
    </row>
    <row r="21" customFormat="false" ht="15" hidden="false" customHeight="true" outlineLevel="0" collapsed="false">
      <c r="A21" s="38" t="n">
        <v>17</v>
      </c>
      <c r="B21" s="38" t="s">
        <v>559</v>
      </c>
      <c r="C21" s="47" t="s">
        <v>560</v>
      </c>
      <c r="D21" s="47" t="s">
        <v>561</v>
      </c>
      <c r="E21" s="38" t="s">
        <v>555</v>
      </c>
    </row>
    <row r="22" customFormat="false" ht="15" hidden="false" customHeight="true" outlineLevel="0" collapsed="false">
      <c r="A22" s="38" t="n">
        <v>18</v>
      </c>
      <c r="B22" s="38" t="s">
        <v>562</v>
      </c>
      <c r="C22" s="47" t="s">
        <v>563</v>
      </c>
      <c r="D22" s="47" t="s">
        <v>564</v>
      </c>
      <c r="E22" s="38" t="s">
        <v>565</v>
      </c>
    </row>
    <row r="23" customFormat="false" ht="15" hidden="false" customHeight="true" outlineLevel="0" collapsed="false">
      <c r="A23" s="38" t="n">
        <v>19</v>
      </c>
      <c r="B23" s="38" t="s">
        <v>566</v>
      </c>
      <c r="C23" s="47" t="s">
        <v>567</v>
      </c>
      <c r="D23" s="47" t="s">
        <v>568</v>
      </c>
      <c r="E23" s="38" t="s">
        <v>565</v>
      </c>
    </row>
    <row r="24" customFormat="false" ht="15" hidden="false" customHeight="true" outlineLevel="0" collapsed="false">
      <c r="A24" s="38" t="n">
        <v>20</v>
      </c>
      <c r="B24" s="38" t="s">
        <v>569</v>
      </c>
      <c r="C24" s="47" t="s">
        <v>570</v>
      </c>
      <c r="D24" s="47" t="s">
        <v>571</v>
      </c>
      <c r="E24" s="38" t="s">
        <v>572</v>
      </c>
    </row>
    <row r="25" customFormat="false" ht="15" hidden="false" customHeight="true" outlineLevel="0" collapsed="false">
      <c r="A25" s="38" t="n">
        <v>21</v>
      </c>
      <c r="B25" s="38" t="s">
        <v>573</v>
      </c>
      <c r="C25" s="47" t="s">
        <v>574</v>
      </c>
      <c r="D25" s="47" t="s">
        <v>575</v>
      </c>
      <c r="E25" s="38" t="s">
        <v>572</v>
      </c>
    </row>
    <row r="26" customFormat="false" ht="23.25" hidden="false" customHeight="true" outlineLevel="0" collapsed="false">
      <c r="A26" s="38" t="n">
        <v>22</v>
      </c>
      <c r="B26" s="38" t="s">
        <v>576</v>
      </c>
      <c r="C26" s="47" t="s">
        <v>577</v>
      </c>
      <c r="D26" s="47" t="s">
        <v>578</v>
      </c>
      <c r="E26" s="38" t="s">
        <v>579</v>
      </c>
    </row>
    <row r="27" customFormat="false" ht="15" hidden="false" customHeight="true" outlineLevel="0" collapsed="false">
      <c r="A27" s="38" t="n">
        <v>23</v>
      </c>
      <c r="B27" s="38" t="s">
        <v>580</v>
      </c>
      <c r="C27" s="47" t="s">
        <v>581</v>
      </c>
      <c r="D27" s="47" t="s">
        <v>582</v>
      </c>
      <c r="E27" s="38" t="s">
        <v>583</v>
      </c>
    </row>
    <row r="28" customFormat="false" ht="15" hidden="false" customHeight="true" outlineLevel="0" collapsed="false">
      <c r="A28" s="38" t="n">
        <v>24</v>
      </c>
      <c r="B28" s="38" t="s">
        <v>584</v>
      </c>
      <c r="C28" s="47" t="s">
        <v>585</v>
      </c>
      <c r="D28" s="47" t="s">
        <v>582</v>
      </c>
      <c r="E28" s="38" t="s">
        <v>579</v>
      </c>
    </row>
    <row r="29" customFormat="false" ht="15" hidden="false" customHeight="true" outlineLevel="0" collapsed="false">
      <c r="A29" s="38" t="n">
        <v>25</v>
      </c>
      <c r="B29" s="38" t="s">
        <v>586</v>
      </c>
      <c r="C29" s="47" t="s">
        <v>587</v>
      </c>
      <c r="D29" s="47" t="s">
        <v>588</v>
      </c>
      <c r="E29" s="38" t="s">
        <v>579</v>
      </c>
    </row>
    <row r="30" customFormat="false" ht="15" hidden="false" customHeight="true" outlineLevel="0" collapsed="false">
      <c r="A30" s="38" t="n">
        <v>26</v>
      </c>
      <c r="B30" s="38" t="s">
        <v>589</v>
      </c>
      <c r="C30" s="47" t="s">
        <v>590</v>
      </c>
      <c r="D30" s="47" t="s">
        <v>568</v>
      </c>
      <c r="E30" s="38" t="s">
        <v>591</v>
      </c>
    </row>
    <row r="31" customFormat="false" ht="15" hidden="false" customHeight="true" outlineLevel="0" collapsed="false">
      <c r="A31" s="38"/>
      <c r="B31" s="38"/>
      <c r="C31" s="38"/>
      <c r="D31" s="38"/>
      <c r="E31" s="38"/>
    </row>
    <row r="32" customFormat="false" ht="15" hidden="false" customHeight="true" outlineLevel="0" collapsed="false">
      <c r="A32" s="38"/>
      <c r="B32" s="38"/>
      <c r="C32" s="38"/>
      <c r="D32" s="38"/>
      <c r="E32" s="38"/>
    </row>
    <row r="33" customFormat="false" ht="15" hidden="false" customHeight="true" outlineLevel="0" collapsed="false">
      <c r="A33" s="38" t="s">
        <v>592</v>
      </c>
      <c r="B33" s="38"/>
      <c r="C33" s="38"/>
      <c r="D33" s="38"/>
      <c r="E33"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9"/>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4" min="3" style="0" width="12"/>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16"/>
    <col collapsed="false" customWidth="true" hidden="false" outlineLevel="0" max="9" min="9" style="0" width="10"/>
    <col collapsed="false" customWidth="true" hidden="false" outlineLevel="0" max="10" min="10" style="0" width="12"/>
    <col collapsed="false" customWidth="true" hidden="false" outlineLevel="0" max="11" min="11" style="0" width="24"/>
    <col collapsed="false" customWidth="true" hidden="false" outlineLevel="0" max="12" min="12" style="0" width="12"/>
  </cols>
  <sheetData>
    <row r="1" customFormat="false" ht="15" hidden="false" customHeight="true" outlineLevel="0" collapsed="false">
      <c r="A1" s="39" t="s">
        <v>471</v>
      </c>
      <c r="B1" s="39" t="s">
        <v>480</v>
      </c>
      <c r="C1" s="39" t="s">
        <v>593</v>
      </c>
      <c r="D1" s="39" t="s">
        <v>594</v>
      </c>
      <c r="E1" s="39" t="s">
        <v>595</v>
      </c>
      <c r="F1" s="39" t="s">
        <v>596</v>
      </c>
      <c r="G1" s="39" t="s">
        <v>597</v>
      </c>
      <c r="H1" s="39" t="s">
        <v>598</v>
      </c>
      <c r="I1" s="39" t="s">
        <v>599</v>
      </c>
      <c r="J1" s="39" t="s">
        <v>600</v>
      </c>
      <c r="K1" s="39" t="s">
        <v>601</v>
      </c>
      <c r="L1" s="39" t="s">
        <v>602</v>
      </c>
    </row>
    <row r="2" customFormat="false" ht="15" hidden="false" customHeight="true" outlineLevel="0" collapsed="false">
      <c r="A2" s="38" t="n">
        <v>1</v>
      </c>
      <c r="B2" s="38" t="s">
        <v>172</v>
      </c>
      <c r="C2" s="38" t="str">
        <f aca="false">A2&amp;"|"&amp;B2</f>
        <v>1|A</v>
      </c>
      <c r="D2" s="38" t="n">
        <f aca="false">INDEX('Frequency 1-72'!$B$2:$E$73,A2,MATCH(B2,{"A","C","G","U"},0))</f>
        <v>13</v>
      </c>
      <c r="E2" s="38" t="n">
        <f aca="false">'Frequency 1-72'!G2</f>
        <v>199</v>
      </c>
      <c r="F2" s="43" t="n">
        <v>1</v>
      </c>
      <c r="G2" s="45" t="n">
        <f aca="false">IF(E2=0,"",D2/E2)</f>
        <v>0.0653266331658292</v>
      </c>
      <c r="H2" s="45" t="n">
        <f aca="false">I2/J2</f>
        <v>0.0689655172413793</v>
      </c>
      <c r="I2" s="38" t="n">
        <f aca="false">D2+F2</f>
        <v>14</v>
      </c>
      <c r="J2" s="38" t="n">
        <f aca="false">E2+4*F2</f>
        <v>203</v>
      </c>
      <c r="K2" s="38" t="s">
        <v>603</v>
      </c>
      <c r="L2" s="38" t="n">
        <f aca="false">ROUND(SUMIF($A$2:$A$289,A2,$H$2:$H$289),9)</f>
        <v>1</v>
      </c>
    </row>
    <row r="3" customFormat="false" ht="15" hidden="false" customHeight="true" outlineLevel="0" collapsed="false">
      <c r="A3" s="38" t="n">
        <v>1</v>
      </c>
      <c r="B3" s="38" t="s">
        <v>170</v>
      </c>
      <c r="C3" s="38" t="str">
        <f aca="false">A3&amp;"|"&amp;B3</f>
        <v>1|C</v>
      </c>
      <c r="D3" s="38" t="n">
        <f aca="false">INDEX('Frequency 1-72'!$B$2:$E$73,A3,MATCH(B3,{"A","C","G","U"},0))</f>
        <v>21</v>
      </c>
      <c r="E3" s="38" t="n">
        <f aca="false">'Frequency 1-72'!G2</f>
        <v>199</v>
      </c>
      <c r="F3" s="43" t="n">
        <v>1</v>
      </c>
      <c r="G3" s="45" t="n">
        <f aca="false">IF(E3=0,"",D3/E3)</f>
        <v>0.105527638190955</v>
      </c>
      <c r="H3" s="45" t="n">
        <f aca="false">I3/J3</f>
        <v>0.108374384236453</v>
      </c>
      <c r="I3" s="38" t="n">
        <f aca="false">D3+F3</f>
        <v>22</v>
      </c>
      <c r="J3" s="38" t="n">
        <f aca="false">E3+4*F3</f>
        <v>203</v>
      </c>
      <c r="K3" s="38" t="s">
        <v>603</v>
      </c>
      <c r="L3" s="38" t="n">
        <f aca="false">ROUND(SUMIF($A$2:$A$289,A3,$H$2:$H$289),9)</f>
        <v>1</v>
      </c>
    </row>
    <row r="4" customFormat="false" ht="15" hidden="false" customHeight="true" outlineLevel="0" collapsed="false">
      <c r="A4" s="38" t="n">
        <v>1</v>
      </c>
      <c r="B4" s="38" t="s">
        <v>169</v>
      </c>
      <c r="C4" s="38" t="str">
        <f aca="false">A4&amp;"|"&amp;B4</f>
        <v>1|G</v>
      </c>
      <c r="D4" s="38" t="n">
        <f aca="false">INDEX('Frequency 1-72'!$B$2:$E$73,A4,MATCH(B4,{"A","C","G","U"},0))</f>
        <v>152</v>
      </c>
      <c r="E4" s="38" t="n">
        <f aca="false">'Frequency 1-72'!G2</f>
        <v>199</v>
      </c>
      <c r="F4" s="43" t="n">
        <v>1</v>
      </c>
      <c r="G4" s="45" t="n">
        <f aca="false">IF(E4=0,"",D4/E4)</f>
        <v>0.763819095477387</v>
      </c>
      <c r="H4" s="45" t="n">
        <f aca="false">I4/J4</f>
        <v>0.753694581280788</v>
      </c>
      <c r="I4" s="38" t="n">
        <f aca="false">D4+F4</f>
        <v>153</v>
      </c>
      <c r="J4" s="38" t="n">
        <f aca="false">E4+4*F4</f>
        <v>203</v>
      </c>
      <c r="K4" s="38" t="s">
        <v>603</v>
      </c>
      <c r="L4" s="38" t="n">
        <f aca="false">ROUND(SUMIF($A$2:$A$289,A4,$H$2:$H$289),9)</f>
        <v>1</v>
      </c>
    </row>
    <row r="5" customFormat="false" ht="15" hidden="false" customHeight="true" outlineLevel="0" collapsed="false">
      <c r="A5" s="38" t="n">
        <v>1</v>
      </c>
      <c r="B5" s="38" t="s">
        <v>171</v>
      </c>
      <c r="C5" s="38" t="str">
        <f aca="false">A5&amp;"|"&amp;B5</f>
        <v>1|U</v>
      </c>
      <c r="D5" s="38" t="n">
        <f aca="false">INDEX('Frequency 1-72'!$B$2:$E$73,A5,MATCH(B5,{"A","C","G","U"},0))</f>
        <v>13</v>
      </c>
      <c r="E5" s="38" t="n">
        <f aca="false">'Frequency 1-72'!G2</f>
        <v>199</v>
      </c>
      <c r="F5" s="43" t="n">
        <v>1</v>
      </c>
      <c r="G5" s="45" t="n">
        <f aca="false">IF(E5=0,"",D5/E5)</f>
        <v>0.0653266331658292</v>
      </c>
      <c r="H5" s="45" t="n">
        <f aca="false">I5/J5</f>
        <v>0.0689655172413793</v>
      </c>
      <c r="I5" s="38" t="n">
        <f aca="false">D5+F5</f>
        <v>14</v>
      </c>
      <c r="J5" s="38" t="n">
        <f aca="false">E5+4*F5</f>
        <v>203</v>
      </c>
      <c r="K5" s="38" t="s">
        <v>603</v>
      </c>
      <c r="L5" s="38" t="n">
        <f aca="false">ROUND(SUMIF($A$2:$A$289,A5,$H$2:$H$289),9)</f>
        <v>1</v>
      </c>
    </row>
    <row r="6" customFormat="false" ht="15" hidden="false" customHeight="true" outlineLevel="0" collapsed="false">
      <c r="A6" s="38" t="n">
        <v>2</v>
      </c>
      <c r="B6" s="38" t="s">
        <v>172</v>
      </c>
      <c r="C6" s="38" t="str">
        <f aca="false">A6&amp;"|"&amp;B6</f>
        <v>2|A</v>
      </c>
      <c r="D6" s="38" t="n">
        <f aca="false">INDEX('Frequency 1-72'!$B$2:$E$73,A6,MATCH(B6,{"A","C","G","U"},0))</f>
        <v>6</v>
      </c>
      <c r="E6" s="38" t="n">
        <f aca="false">'Frequency 1-72'!G3</f>
        <v>199</v>
      </c>
      <c r="F6" s="43" t="n">
        <v>1</v>
      </c>
      <c r="G6" s="45" t="n">
        <f aca="false">IF(E6=0,"",D6/E6)</f>
        <v>0.0301507537688442</v>
      </c>
      <c r="H6" s="45" t="n">
        <f aca="false">I6/J6</f>
        <v>0.0344827586206897</v>
      </c>
      <c r="I6" s="38" t="n">
        <f aca="false">D6+F6</f>
        <v>7</v>
      </c>
      <c r="J6" s="38" t="n">
        <f aca="false">E6+4*F6</f>
        <v>203</v>
      </c>
      <c r="K6" s="38" t="s">
        <v>603</v>
      </c>
      <c r="L6" s="38" t="n">
        <f aca="false">ROUND(SUMIF($A$2:$A$289,A6,$H$2:$H$289),9)</f>
        <v>1</v>
      </c>
    </row>
    <row r="7" customFormat="false" ht="15" hidden="false" customHeight="true" outlineLevel="0" collapsed="false">
      <c r="A7" s="38" t="n">
        <v>2</v>
      </c>
      <c r="B7" s="38" t="s">
        <v>170</v>
      </c>
      <c r="C7" s="38" t="str">
        <f aca="false">A7&amp;"|"&amp;B7</f>
        <v>2|C</v>
      </c>
      <c r="D7" s="38" t="n">
        <f aca="false">INDEX('Frequency 1-72'!$B$2:$E$73,A7,MATCH(B7,{"A","C","G","U"},0))</f>
        <v>82</v>
      </c>
      <c r="E7" s="38" t="n">
        <f aca="false">'Frequency 1-72'!G3</f>
        <v>199</v>
      </c>
      <c r="F7" s="43" t="n">
        <v>1</v>
      </c>
      <c r="G7" s="45" t="n">
        <f aca="false">IF(E7=0,"",D7/E7)</f>
        <v>0.412060301507538</v>
      </c>
      <c r="H7" s="45" t="n">
        <f aca="false">I7/J7</f>
        <v>0.408866995073892</v>
      </c>
      <c r="I7" s="38" t="n">
        <f aca="false">D7+F7</f>
        <v>83</v>
      </c>
      <c r="J7" s="38" t="n">
        <f aca="false">E7+4*F7</f>
        <v>203</v>
      </c>
      <c r="K7" s="38" t="s">
        <v>603</v>
      </c>
      <c r="L7" s="38" t="n">
        <f aca="false">ROUND(SUMIF($A$2:$A$289,A7,$H$2:$H$289),9)</f>
        <v>1</v>
      </c>
    </row>
    <row r="8" customFormat="false" ht="15" hidden="false" customHeight="true" outlineLevel="0" collapsed="false">
      <c r="A8" s="38" t="n">
        <v>2</v>
      </c>
      <c r="B8" s="38" t="s">
        <v>169</v>
      </c>
      <c r="C8" s="38" t="str">
        <f aca="false">A8&amp;"|"&amp;B8</f>
        <v>2|G</v>
      </c>
      <c r="D8" s="38" t="n">
        <f aca="false">INDEX('Frequency 1-72'!$B$2:$E$73,A8,MATCH(B8,{"A","C","G","U"},0))</f>
        <v>105</v>
      </c>
      <c r="E8" s="38" t="n">
        <f aca="false">'Frequency 1-72'!G3</f>
        <v>199</v>
      </c>
      <c r="F8" s="43" t="n">
        <v>1</v>
      </c>
      <c r="G8" s="45" t="n">
        <f aca="false">IF(E8=0,"",D8/E8)</f>
        <v>0.527638190954774</v>
      </c>
      <c r="H8" s="45" t="n">
        <f aca="false">I8/J8</f>
        <v>0.522167487684729</v>
      </c>
      <c r="I8" s="38" t="n">
        <f aca="false">D8+F8</f>
        <v>106</v>
      </c>
      <c r="J8" s="38" t="n">
        <f aca="false">E8+4*F8</f>
        <v>203</v>
      </c>
      <c r="K8" s="38" t="s">
        <v>603</v>
      </c>
      <c r="L8" s="38" t="n">
        <f aca="false">ROUND(SUMIF($A$2:$A$289,A8,$H$2:$H$289),9)</f>
        <v>1</v>
      </c>
    </row>
    <row r="9" customFormat="false" ht="15" hidden="false" customHeight="true" outlineLevel="0" collapsed="false">
      <c r="A9" s="38" t="n">
        <v>2</v>
      </c>
      <c r="B9" s="38" t="s">
        <v>171</v>
      </c>
      <c r="C9" s="38" t="str">
        <f aca="false">A9&amp;"|"&amp;B9</f>
        <v>2|U</v>
      </c>
      <c r="D9" s="38" t="n">
        <f aca="false">INDEX('Frequency 1-72'!$B$2:$E$73,A9,MATCH(B9,{"A","C","G","U"},0))</f>
        <v>6</v>
      </c>
      <c r="E9" s="38" t="n">
        <f aca="false">'Frequency 1-72'!G3</f>
        <v>199</v>
      </c>
      <c r="F9" s="43" t="n">
        <v>1</v>
      </c>
      <c r="G9" s="45" t="n">
        <f aca="false">IF(E9=0,"",D9/E9)</f>
        <v>0.0301507537688442</v>
      </c>
      <c r="H9" s="45" t="n">
        <f aca="false">I9/J9</f>
        <v>0.0344827586206897</v>
      </c>
      <c r="I9" s="38" t="n">
        <f aca="false">D9+F9</f>
        <v>7</v>
      </c>
      <c r="J9" s="38" t="n">
        <f aca="false">E9+4*F9</f>
        <v>203</v>
      </c>
      <c r="K9" s="38" t="s">
        <v>603</v>
      </c>
      <c r="L9" s="38" t="n">
        <f aca="false">ROUND(SUMIF($A$2:$A$289,A9,$H$2:$H$289),9)</f>
        <v>1</v>
      </c>
    </row>
    <row r="10" customFormat="false" ht="15" hidden="false" customHeight="true" outlineLevel="0" collapsed="false">
      <c r="A10" s="38" t="n">
        <v>3</v>
      </c>
      <c r="B10" s="38" t="s">
        <v>172</v>
      </c>
      <c r="C10" s="38" t="str">
        <f aca="false">A10&amp;"|"&amp;B10</f>
        <v>3|A</v>
      </c>
      <c r="D10" s="38" t="n">
        <f aca="false">INDEX('Frequency 1-72'!$B$2:$E$73,A10,MATCH(B10,{"A","C","G","U"},0))</f>
        <v>14</v>
      </c>
      <c r="E10" s="38" t="n">
        <f aca="false">'Frequency 1-72'!G4</f>
        <v>199</v>
      </c>
      <c r="F10" s="43" t="n">
        <v>1</v>
      </c>
      <c r="G10" s="45" t="n">
        <f aca="false">IF(E10=0,"",D10/E10)</f>
        <v>0.0703517587939699</v>
      </c>
      <c r="H10" s="45" t="n">
        <f aca="false">I10/J10</f>
        <v>0.0738916256157636</v>
      </c>
      <c r="I10" s="38" t="n">
        <f aca="false">D10+F10</f>
        <v>15</v>
      </c>
      <c r="J10" s="38" t="n">
        <f aca="false">E10+4*F10</f>
        <v>203</v>
      </c>
      <c r="K10" s="38" t="s">
        <v>603</v>
      </c>
      <c r="L10" s="38" t="n">
        <f aca="false">ROUND(SUMIF($A$2:$A$289,A10,$H$2:$H$289),9)</f>
        <v>1</v>
      </c>
    </row>
    <row r="11" customFormat="false" ht="15" hidden="false" customHeight="true" outlineLevel="0" collapsed="false">
      <c r="A11" s="38" t="n">
        <v>3</v>
      </c>
      <c r="B11" s="38" t="s">
        <v>170</v>
      </c>
      <c r="C11" s="38" t="str">
        <f aca="false">A11&amp;"|"&amp;B11</f>
        <v>3|C</v>
      </c>
      <c r="D11" s="38" t="n">
        <f aca="false">INDEX('Frequency 1-72'!$B$2:$E$73,A11,MATCH(B11,{"A","C","G","U"},0))</f>
        <v>77</v>
      </c>
      <c r="E11" s="38" t="n">
        <f aca="false">'Frequency 1-72'!G4</f>
        <v>199</v>
      </c>
      <c r="F11" s="43" t="n">
        <v>1</v>
      </c>
      <c r="G11" s="45" t="n">
        <f aca="false">IF(E11=0,"",D11/E11)</f>
        <v>0.386934673366834</v>
      </c>
      <c r="H11" s="45" t="n">
        <f aca="false">I11/J11</f>
        <v>0.38423645320197</v>
      </c>
      <c r="I11" s="38" t="n">
        <f aca="false">D11+F11</f>
        <v>78</v>
      </c>
      <c r="J11" s="38" t="n">
        <f aca="false">E11+4*F11</f>
        <v>203</v>
      </c>
      <c r="K11" s="38" t="s">
        <v>603</v>
      </c>
      <c r="L11" s="38" t="n">
        <f aca="false">ROUND(SUMIF($A$2:$A$289,A11,$H$2:$H$289),9)</f>
        <v>1</v>
      </c>
    </row>
    <row r="12" customFormat="false" ht="15" hidden="false" customHeight="true" outlineLevel="0" collapsed="false">
      <c r="A12" s="38" t="n">
        <v>3</v>
      </c>
      <c r="B12" s="38" t="s">
        <v>169</v>
      </c>
      <c r="C12" s="38" t="str">
        <f aca="false">A12&amp;"|"&amp;B12</f>
        <v>3|G</v>
      </c>
      <c r="D12" s="38" t="n">
        <f aca="false">INDEX('Frequency 1-72'!$B$2:$E$73,A12,MATCH(B12,{"A","C","G","U"},0))</f>
        <v>85</v>
      </c>
      <c r="E12" s="38" t="n">
        <f aca="false">'Frequency 1-72'!G4</f>
        <v>199</v>
      </c>
      <c r="F12" s="43" t="n">
        <v>1</v>
      </c>
      <c r="G12" s="45" t="n">
        <f aca="false">IF(E12=0,"",D12/E12)</f>
        <v>0.42713567839196</v>
      </c>
      <c r="H12" s="45" t="n">
        <f aca="false">I12/J12</f>
        <v>0.423645320197044</v>
      </c>
      <c r="I12" s="38" t="n">
        <f aca="false">D12+F12</f>
        <v>86</v>
      </c>
      <c r="J12" s="38" t="n">
        <f aca="false">E12+4*F12</f>
        <v>203</v>
      </c>
      <c r="K12" s="38" t="s">
        <v>603</v>
      </c>
      <c r="L12" s="38" t="n">
        <f aca="false">ROUND(SUMIF($A$2:$A$289,A12,$H$2:$H$289),9)</f>
        <v>1</v>
      </c>
    </row>
    <row r="13" customFormat="false" ht="15" hidden="false" customHeight="true" outlineLevel="0" collapsed="false">
      <c r="A13" s="38" t="n">
        <v>3</v>
      </c>
      <c r="B13" s="38" t="s">
        <v>171</v>
      </c>
      <c r="C13" s="38" t="str">
        <f aca="false">A13&amp;"|"&amp;B13</f>
        <v>3|U</v>
      </c>
      <c r="D13" s="38" t="n">
        <f aca="false">INDEX('Frequency 1-72'!$B$2:$E$73,A13,MATCH(B13,{"A","C","G","U"},0))</f>
        <v>23</v>
      </c>
      <c r="E13" s="38" t="n">
        <f aca="false">'Frequency 1-72'!G4</f>
        <v>199</v>
      </c>
      <c r="F13" s="43" t="n">
        <v>1</v>
      </c>
      <c r="G13" s="45" t="n">
        <f aca="false">IF(E13=0,"",D13/E13)</f>
        <v>0.115577889447236</v>
      </c>
      <c r="H13" s="45" t="n">
        <f aca="false">I13/J13</f>
        <v>0.118226600985222</v>
      </c>
      <c r="I13" s="38" t="n">
        <f aca="false">D13+F13</f>
        <v>24</v>
      </c>
      <c r="J13" s="38" t="n">
        <f aca="false">E13+4*F13</f>
        <v>203</v>
      </c>
      <c r="K13" s="38" t="s">
        <v>603</v>
      </c>
      <c r="L13" s="38" t="n">
        <f aca="false">ROUND(SUMIF($A$2:$A$289,A13,$H$2:$H$289),9)</f>
        <v>1</v>
      </c>
    </row>
    <row r="14" customFormat="false" ht="15" hidden="false" customHeight="true" outlineLevel="0" collapsed="false">
      <c r="A14" s="38" t="n">
        <v>4</v>
      </c>
      <c r="B14" s="38" t="s">
        <v>172</v>
      </c>
      <c r="C14" s="38" t="str">
        <f aca="false">A14&amp;"|"&amp;B14</f>
        <v>4|A</v>
      </c>
      <c r="D14" s="38" t="n">
        <f aca="false">INDEX('Frequency 1-72'!$B$2:$E$73,A14,MATCH(B14,{"A","C","G","U"},0))</f>
        <v>15</v>
      </c>
      <c r="E14" s="38" t="n">
        <f aca="false">'Frequency 1-72'!G5</f>
        <v>199</v>
      </c>
      <c r="F14" s="43" t="n">
        <v>1</v>
      </c>
      <c r="G14" s="45" t="n">
        <f aca="false">IF(E14=0,"",D14/E14)</f>
        <v>0.0753768844221106</v>
      </c>
      <c r="H14" s="45" t="n">
        <f aca="false">I14/J14</f>
        <v>0.0788177339901478</v>
      </c>
      <c r="I14" s="38" t="n">
        <f aca="false">D14+F14</f>
        <v>16</v>
      </c>
      <c r="J14" s="38" t="n">
        <f aca="false">E14+4*F14</f>
        <v>203</v>
      </c>
      <c r="K14" s="38" t="s">
        <v>603</v>
      </c>
      <c r="L14" s="38" t="n">
        <f aca="false">ROUND(SUMIF($A$2:$A$289,A14,$H$2:$H$289),9)</f>
        <v>1</v>
      </c>
    </row>
    <row r="15" customFormat="false" ht="15" hidden="false" customHeight="true" outlineLevel="0" collapsed="false">
      <c r="A15" s="38" t="n">
        <v>4</v>
      </c>
      <c r="B15" s="38" t="s">
        <v>170</v>
      </c>
      <c r="C15" s="38" t="str">
        <f aca="false">A15&amp;"|"&amp;B15</f>
        <v>4|C</v>
      </c>
      <c r="D15" s="38" t="n">
        <f aca="false">INDEX('Frequency 1-72'!$B$2:$E$73,A15,MATCH(B15,{"A","C","G","U"},0))</f>
        <v>61</v>
      </c>
      <c r="E15" s="38" t="n">
        <f aca="false">'Frequency 1-72'!G5</f>
        <v>199</v>
      </c>
      <c r="F15" s="43" t="n">
        <v>1</v>
      </c>
      <c r="G15" s="45" t="n">
        <f aca="false">IF(E15=0,"",D15/E15)</f>
        <v>0.306532663316583</v>
      </c>
      <c r="H15" s="45" t="n">
        <f aca="false">I15/J15</f>
        <v>0.305418719211823</v>
      </c>
      <c r="I15" s="38" t="n">
        <f aca="false">D15+F15</f>
        <v>62</v>
      </c>
      <c r="J15" s="38" t="n">
        <f aca="false">E15+4*F15</f>
        <v>203</v>
      </c>
      <c r="K15" s="38" t="s">
        <v>603</v>
      </c>
      <c r="L15" s="38" t="n">
        <f aca="false">ROUND(SUMIF($A$2:$A$289,A15,$H$2:$H$289),9)</f>
        <v>1</v>
      </c>
    </row>
    <row r="16" customFormat="false" ht="15" hidden="false" customHeight="true" outlineLevel="0" collapsed="false">
      <c r="A16" s="38" t="n">
        <v>4</v>
      </c>
      <c r="B16" s="38" t="s">
        <v>169</v>
      </c>
      <c r="C16" s="38" t="str">
        <f aca="false">A16&amp;"|"&amp;B16</f>
        <v>4|G</v>
      </c>
      <c r="D16" s="38" t="n">
        <f aca="false">INDEX('Frequency 1-72'!$B$2:$E$73,A16,MATCH(B16,{"A","C","G","U"},0))</f>
        <v>89</v>
      </c>
      <c r="E16" s="38" t="n">
        <f aca="false">'Frequency 1-72'!G5</f>
        <v>199</v>
      </c>
      <c r="F16" s="43" t="n">
        <v>1</v>
      </c>
      <c r="G16" s="45" t="n">
        <f aca="false">IF(E16=0,"",D16/E16)</f>
        <v>0.447236180904523</v>
      </c>
      <c r="H16" s="45" t="n">
        <f aca="false">I16/J16</f>
        <v>0.443349753694581</v>
      </c>
      <c r="I16" s="38" t="n">
        <f aca="false">D16+F16</f>
        <v>90</v>
      </c>
      <c r="J16" s="38" t="n">
        <f aca="false">E16+4*F16</f>
        <v>203</v>
      </c>
      <c r="K16" s="38" t="s">
        <v>603</v>
      </c>
      <c r="L16" s="38" t="n">
        <f aca="false">ROUND(SUMIF($A$2:$A$289,A16,$H$2:$H$289),9)</f>
        <v>1</v>
      </c>
    </row>
    <row r="17" customFormat="false" ht="15" hidden="false" customHeight="true" outlineLevel="0" collapsed="false">
      <c r="A17" s="38" t="n">
        <v>4</v>
      </c>
      <c r="B17" s="38" t="s">
        <v>171</v>
      </c>
      <c r="C17" s="38" t="str">
        <f aca="false">A17&amp;"|"&amp;B17</f>
        <v>4|U</v>
      </c>
      <c r="D17" s="38" t="n">
        <f aca="false">INDEX('Frequency 1-72'!$B$2:$E$73,A17,MATCH(B17,{"A","C","G","U"},0))</f>
        <v>34</v>
      </c>
      <c r="E17" s="38" t="n">
        <f aca="false">'Frequency 1-72'!G5</f>
        <v>199</v>
      </c>
      <c r="F17" s="43" t="n">
        <v>1</v>
      </c>
      <c r="G17" s="45" t="n">
        <f aca="false">IF(E17=0,"",D17/E17)</f>
        <v>0.170854271356784</v>
      </c>
      <c r="H17" s="45" t="n">
        <f aca="false">I17/J17</f>
        <v>0.172413793103448</v>
      </c>
      <c r="I17" s="38" t="n">
        <f aca="false">D17+F17</f>
        <v>35</v>
      </c>
      <c r="J17" s="38" t="n">
        <f aca="false">E17+4*F17</f>
        <v>203</v>
      </c>
      <c r="K17" s="38" t="s">
        <v>603</v>
      </c>
      <c r="L17" s="38" t="n">
        <f aca="false">ROUND(SUMIF($A$2:$A$289,A17,$H$2:$H$289),9)</f>
        <v>1</v>
      </c>
    </row>
    <row r="18" customFormat="false" ht="15" hidden="false" customHeight="true" outlineLevel="0" collapsed="false">
      <c r="A18" s="38" t="n">
        <v>5</v>
      </c>
      <c r="B18" s="38" t="s">
        <v>172</v>
      </c>
      <c r="C18" s="38" t="str">
        <f aca="false">A18&amp;"|"&amp;B18</f>
        <v>5|A</v>
      </c>
      <c r="D18" s="38" t="n">
        <f aca="false">INDEX('Frequency 1-72'!$B$2:$E$73,A18,MATCH(B18,{"A","C","G","U"},0))</f>
        <v>30</v>
      </c>
      <c r="E18" s="38" t="n">
        <f aca="false">'Frequency 1-72'!G6</f>
        <v>199</v>
      </c>
      <c r="F18" s="43" t="n">
        <v>1</v>
      </c>
      <c r="G18" s="45" t="n">
        <f aca="false">IF(E18=0,"",D18/E18)</f>
        <v>0.150753768844221</v>
      </c>
      <c r="H18" s="45" t="n">
        <f aca="false">I18/J18</f>
        <v>0.152709359605911</v>
      </c>
      <c r="I18" s="38" t="n">
        <f aca="false">D18+F18</f>
        <v>31</v>
      </c>
      <c r="J18" s="38" t="n">
        <f aca="false">E18+4*F18</f>
        <v>203</v>
      </c>
      <c r="K18" s="38" t="s">
        <v>603</v>
      </c>
      <c r="L18" s="38" t="n">
        <f aca="false">ROUND(SUMIF($A$2:$A$289,A18,$H$2:$H$289),9)</f>
        <v>1</v>
      </c>
    </row>
    <row r="19" customFormat="false" ht="15" hidden="false" customHeight="true" outlineLevel="0" collapsed="false">
      <c r="A19" s="38" t="n">
        <v>5</v>
      </c>
      <c r="B19" s="38" t="s">
        <v>170</v>
      </c>
      <c r="C19" s="38" t="str">
        <f aca="false">A19&amp;"|"&amp;B19</f>
        <v>5|C</v>
      </c>
      <c r="D19" s="38" t="n">
        <f aca="false">INDEX('Frequency 1-72'!$B$2:$E$73,A19,MATCH(B19,{"A","C","G","U"},0))</f>
        <v>79</v>
      </c>
      <c r="E19" s="38" t="n">
        <f aca="false">'Frequency 1-72'!G6</f>
        <v>199</v>
      </c>
      <c r="F19" s="43" t="n">
        <v>1</v>
      </c>
      <c r="G19" s="45" t="n">
        <f aca="false">IF(E19=0,"",D19/E19)</f>
        <v>0.396984924623116</v>
      </c>
      <c r="H19" s="45" t="n">
        <f aca="false">I19/J19</f>
        <v>0.394088669950739</v>
      </c>
      <c r="I19" s="38" t="n">
        <f aca="false">D19+F19</f>
        <v>80</v>
      </c>
      <c r="J19" s="38" t="n">
        <f aca="false">E19+4*F19</f>
        <v>203</v>
      </c>
      <c r="K19" s="38" t="s">
        <v>603</v>
      </c>
      <c r="L19" s="38" t="n">
        <f aca="false">ROUND(SUMIF($A$2:$A$289,A19,$H$2:$H$289),9)</f>
        <v>1</v>
      </c>
    </row>
    <row r="20" customFormat="false" ht="15" hidden="false" customHeight="true" outlineLevel="0" collapsed="false">
      <c r="A20" s="38" t="n">
        <v>5</v>
      </c>
      <c r="B20" s="38" t="s">
        <v>169</v>
      </c>
      <c r="C20" s="38" t="str">
        <f aca="false">A20&amp;"|"&amp;B20</f>
        <v>5|G</v>
      </c>
      <c r="D20" s="38" t="n">
        <f aca="false">INDEX('Frequency 1-72'!$B$2:$E$73,A20,MATCH(B20,{"A","C","G","U"},0))</f>
        <v>69</v>
      </c>
      <c r="E20" s="38" t="n">
        <f aca="false">'Frequency 1-72'!G6</f>
        <v>199</v>
      </c>
      <c r="F20" s="43" t="n">
        <v>1</v>
      </c>
      <c r="G20" s="45" t="n">
        <f aca="false">IF(E20=0,"",D20/E20)</f>
        <v>0.346733668341709</v>
      </c>
      <c r="H20" s="45" t="n">
        <f aca="false">I20/J20</f>
        <v>0.344827586206897</v>
      </c>
      <c r="I20" s="38" t="n">
        <f aca="false">D20+F20</f>
        <v>70</v>
      </c>
      <c r="J20" s="38" t="n">
        <f aca="false">E20+4*F20</f>
        <v>203</v>
      </c>
      <c r="K20" s="38" t="s">
        <v>603</v>
      </c>
      <c r="L20" s="38" t="n">
        <f aca="false">ROUND(SUMIF($A$2:$A$289,A20,$H$2:$H$289),9)</f>
        <v>1</v>
      </c>
    </row>
    <row r="21" customFormat="false" ht="15" hidden="false" customHeight="true" outlineLevel="0" collapsed="false">
      <c r="A21" s="38" t="n">
        <v>5</v>
      </c>
      <c r="B21" s="38" t="s">
        <v>171</v>
      </c>
      <c r="C21" s="38" t="str">
        <f aca="false">A21&amp;"|"&amp;B21</f>
        <v>5|U</v>
      </c>
      <c r="D21" s="38" t="n">
        <f aca="false">INDEX('Frequency 1-72'!$B$2:$E$73,A21,MATCH(B21,{"A","C","G","U"},0))</f>
        <v>21</v>
      </c>
      <c r="E21" s="38" t="n">
        <f aca="false">'Frequency 1-72'!G6</f>
        <v>199</v>
      </c>
      <c r="F21" s="43" t="n">
        <v>1</v>
      </c>
      <c r="G21" s="45" t="n">
        <f aca="false">IF(E21=0,"",D21/E21)</f>
        <v>0.105527638190955</v>
      </c>
      <c r="H21" s="45" t="n">
        <f aca="false">I21/J21</f>
        <v>0.108374384236453</v>
      </c>
      <c r="I21" s="38" t="n">
        <f aca="false">D21+F21</f>
        <v>22</v>
      </c>
      <c r="J21" s="38" t="n">
        <f aca="false">E21+4*F21</f>
        <v>203</v>
      </c>
      <c r="K21" s="38" t="s">
        <v>603</v>
      </c>
      <c r="L21" s="38" t="n">
        <f aca="false">ROUND(SUMIF($A$2:$A$289,A21,$H$2:$H$289),9)</f>
        <v>1</v>
      </c>
    </row>
    <row r="22" customFormat="false" ht="15" hidden="false" customHeight="true" outlineLevel="0" collapsed="false">
      <c r="A22" s="38" t="n">
        <v>6</v>
      </c>
      <c r="B22" s="38" t="s">
        <v>172</v>
      </c>
      <c r="C22" s="38" t="str">
        <f aca="false">A22&amp;"|"&amp;B22</f>
        <v>6|A</v>
      </c>
      <c r="D22" s="38" t="n">
        <f aca="false">INDEX('Frequency 1-72'!$B$2:$E$73,A22,MATCH(B22,{"A","C","G","U"},0))</f>
        <v>34</v>
      </c>
      <c r="E22" s="38" t="n">
        <f aca="false">'Frequency 1-72'!G7</f>
        <v>199</v>
      </c>
      <c r="F22" s="43" t="n">
        <v>1</v>
      </c>
      <c r="G22" s="45" t="n">
        <f aca="false">IF(E22=0,"",D22/E22)</f>
        <v>0.170854271356784</v>
      </c>
      <c r="H22" s="45" t="n">
        <f aca="false">I22/J22</f>
        <v>0.172413793103448</v>
      </c>
      <c r="I22" s="38" t="n">
        <f aca="false">D22+F22</f>
        <v>35</v>
      </c>
      <c r="J22" s="38" t="n">
        <f aca="false">E22+4*F22</f>
        <v>203</v>
      </c>
      <c r="K22" s="38" t="s">
        <v>603</v>
      </c>
      <c r="L22" s="38" t="n">
        <f aca="false">ROUND(SUMIF($A$2:$A$289,A22,$H$2:$H$289),9)</f>
        <v>1</v>
      </c>
    </row>
    <row r="23" customFormat="false" ht="15" hidden="false" customHeight="true" outlineLevel="0" collapsed="false">
      <c r="A23" s="38" t="n">
        <v>6</v>
      </c>
      <c r="B23" s="38" t="s">
        <v>170</v>
      </c>
      <c r="C23" s="38" t="str">
        <f aca="false">A23&amp;"|"&amp;B23</f>
        <v>6|C</v>
      </c>
      <c r="D23" s="38" t="n">
        <f aca="false">INDEX('Frequency 1-72'!$B$2:$E$73,A23,MATCH(B23,{"A","C","G","U"},0))</f>
        <v>65</v>
      </c>
      <c r="E23" s="38" t="n">
        <f aca="false">'Frequency 1-72'!G7</f>
        <v>199</v>
      </c>
      <c r="F23" s="43" t="n">
        <v>1</v>
      </c>
      <c r="G23" s="45" t="n">
        <f aca="false">IF(E23=0,"",D23/E23)</f>
        <v>0.326633165829146</v>
      </c>
      <c r="H23" s="45" t="n">
        <f aca="false">I23/J23</f>
        <v>0.32512315270936</v>
      </c>
      <c r="I23" s="38" t="n">
        <f aca="false">D23+F23</f>
        <v>66</v>
      </c>
      <c r="J23" s="38" t="n">
        <f aca="false">E23+4*F23</f>
        <v>203</v>
      </c>
      <c r="K23" s="38" t="s">
        <v>603</v>
      </c>
      <c r="L23" s="38" t="n">
        <f aca="false">ROUND(SUMIF($A$2:$A$289,A23,$H$2:$H$289),9)</f>
        <v>1</v>
      </c>
    </row>
    <row r="24" customFormat="false" ht="15" hidden="false" customHeight="true" outlineLevel="0" collapsed="false">
      <c r="A24" s="38" t="n">
        <v>6</v>
      </c>
      <c r="B24" s="38" t="s">
        <v>169</v>
      </c>
      <c r="C24" s="38" t="str">
        <f aca="false">A24&amp;"|"&amp;B24</f>
        <v>6|G</v>
      </c>
      <c r="D24" s="38" t="n">
        <f aca="false">INDEX('Frequency 1-72'!$B$2:$E$73,A24,MATCH(B24,{"A","C","G","U"},0))</f>
        <v>48</v>
      </c>
      <c r="E24" s="38" t="n">
        <f aca="false">'Frequency 1-72'!G7</f>
        <v>199</v>
      </c>
      <c r="F24" s="43" t="n">
        <v>1</v>
      </c>
      <c r="G24" s="45" t="n">
        <f aca="false">IF(E24=0,"",D24/E24)</f>
        <v>0.241206030150754</v>
      </c>
      <c r="H24" s="45" t="n">
        <f aca="false">I24/J24</f>
        <v>0.241379310344828</v>
      </c>
      <c r="I24" s="38" t="n">
        <f aca="false">D24+F24</f>
        <v>49</v>
      </c>
      <c r="J24" s="38" t="n">
        <f aca="false">E24+4*F24</f>
        <v>203</v>
      </c>
      <c r="K24" s="38" t="s">
        <v>603</v>
      </c>
      <c r="L24" s="38" t="n">
        <f aca="false">ROUND(SUMIF($A$2:$A$289,A24,$H$2:$H$289),9)</f>
        <v>1</v>
      </c>
    </row>
    <row r="25" customFormat="false" ht="15" hidden="false" customHeight="true" outlineLevel="0" collapsed="false">
      <c r="A25" s="38" t="n">
        <v>6</v>
      </c>
      <c r="B25" s="38" t="s">
        <v>171</v>
      </c>
      <c r="C25" s="38" t="str">
        <f aca="false">A25&amp;"|"&amp;B25</f>
        <v>6|U</v>
      </c>
      <c r="D25" s="38" t="n">
        <f aca="false">INDEX('Frequency 1-72'!$B$2:$E$73,A25,MATCH(B25,{"A","C","G","U"},0))</f>
        <v>52</v>
      </c>
      <c r="E25" s="38" t="n">
        <f aca="false">'Frequency 1-72'!G7</f>
        <v>199</v>
      </c>
      <c r="F25" s="43" t="n">
        <v>1</v>
      </c>
      <c r="G25" s="45" t="n">
        <f aca="false">IF(E25=0,"",D25/E25)</f>
        <v>0.261306532663317</v>
      </c>
      <c r="H25" s="45" t="n">
        <f aca="false">I25/J25</f>
        <v>0.261083743842365</v>
      </c>
      <c r="I25" s="38" t="n">
        <f aca="false">D25+F25</f>
        <v>53</v>
      </c>
      <c r="J25" s="38" t="n">
        <f aca="false">E25+4*F25</f>
        <v>203</v>
      </c>
      <c r="K25" s="38" t="s">
        <v>603</v>
      </c>
      <c r="L25" s="38" t="n">
        <f aca="false">ROUND(SUMIF($A$2:$A$289,A25,$H$2:$H$289),9)</f>
        <v>1</v>
      </c>
    </row>
    <row r="26" customFormat="false" ht="15" hidden="false" customHeight="true" outlineLevel="0" collapsed="false">
      <c r="A26" s="38" t="n">
        <v>7</v>
      </c>
      <c r="B26" s="38" t="s">
        <v>172</v>
      </c>
      <c r="C26" s="38" t="str">
        <f aca="false">A26&amp;"|"&amp;B26</f>
        <v>7|A</v>
      </c>
      <c r="D26" s="38" t="n">
        <f aca="false">INDEX('Frequency 1-72'!$B$2:$E$73,A26,MATCH(B26,{"A","C","G","U"},0))</f>
        <v>47</v>
      </c>
      <c r="E26" s="38" t="n">
        <f aca="false">'Frequency 1-72'!G8</f>
        <v>199</v>
      </c>
      <c r="F26" s="43" t="n">
        <v>1</v>
      </c>
      <c r="G26" s="45" t="n">
        <f aca="false">IF(E26=0,"",D26/E26)</f>
        <v>0.236180904522613</v>
      </c>
      <c r="H26" s="45" t="n">
        <f aca="false">I26/J26</f>
        <v>0.236453201970443</v>
      </c>
      <c r="I26" s="38" t="n">
        <f aca="false">D26+F26</f>
        <v>48</v>
      </c>
      <c r="J26" s="38" t="n">
        <f aca="false">E26+4*F26</f>
        <v>203</v>
      </c>
      <c r="K26" s="38" t="s">
        <v>603</v>
      </c>
      <c r="L26" s="38" t="n">
        <f aca="false">ROUND(SUMIF($A$2:$A$289,A26,$H$2:$H$289),9)</f>
        <v>1</v>
      </c>
    </row>
    <row r="27" customFormat="false" ht="15" hidden="false" customHeight="true" outlineLevel="0" collapsed="false">
      <c r="A27" s="38" t="n">
        <v>7</v>
      </c>
      <c r="B27" s="38" t="s">
        <v>170</v>
      </c>
      <c r="C27" s="38" t="str">
        <f aca="false">A27&amp;"|"&amp;B27</f>
        <v>7|C</v>
      </c>
      <c r="D27" s="38" t="n">
        <f aca="false">INDEX('Frequency 1-72'!$B$2:$E$73,A27,MATCH(B27,{"A","C","G","U"},0))</f>
        <v>3</v>
      </c>
      <c r="E27" s="38" t="n">
        <f aca="false">'Frequency 1-72'!G8</f>
        <v>199</v>
      </c>
      <c r="F27" s="43" t="n">
        <v>1</v>
      </c>
      <c r="G27" s="45" t="n">
        <f aca="false">IF(E27=0,"",D27/E27)</f>
        <v>0.0150753768844221</v>
      </c>
      <c r="H27" s="45" t="n">
        <f aca="false">I27/J27</f>
        <v>0.0197044334975369</v>
      </c>
      <c r="I27" s="38" t="n">
        <f aca="false">D27+F27</f>
        <v>4</v>
      </c>
      <c r="J27" s="38" t="n">
        <f aca="false">E27+4*F27</f>
        <v>203</v>
      </c>
      <c r="K27" s="38" t="s">
        <v>603</v>
      </c>
      <c r="L27" s="38" t="n">
        <f aca="false">ROUND(SUMIF($A$2:$A$289,A27,$H$2:$H$289),9)</f>
        <v>1</v>
      </c>
    </row>
    <row r="28" customFormat="false" ht="15" hidden="false" customHeight="true" outlineLevel="0" collapsed="false">
      <c r="A28" s="38" t="n">
        <v>7</v>
      </c>
      <c r="B28" s="38" t="s">
        <v>169</v>
      </c>
      <c r="C28" s="38" t="str">
        <f aca="false">A28&amp;"|"&amp;B28</f>
        <v>7|G</v>
      </c>
      <c r="D28" s="38" t="n">
        <f aca="false">INDEX('Frequency 1-72'!$B$2:$E$73,A28,MATCH(B28,{"A","C","G","U"},0))</f>
        <v>105</v>
      </c>
      <c r="E28" s="38" t="n">
        <f aca="false">'Frequency 1-72'!G8</f>
        <v>199</v>
      </c>
      <c r="F28" s="43" t="n">
        <v>1</v>
      </c>
      <c r="G28" s="45" t="n">
        <f aca="false">IF(E28=0,"",D28/E28)</f>
        <v>0.527638190954774</v>
      </c>
      <c r="H28" s="45" t="n">
        <f aca="false">I28/J28</f>
        <v>0.522167487684729</v>
      </c>
      <c r="I28" s="38" t="n">
        <f aca="false">D28+F28</f>
        <v>106</v>
      </c>
      <c r="J28" s="38" t="n">
        <f aca="false">E28+4*F28</f>
        <v>203</v>
      </c>
      <c r="K28" s="38" t="s">
        <v>603</v>
      </c>
      <c r="L28" s="38" t="n">
        <f aca="false">ROUND(SUMIF($A$2:$A$289,A28,$H$2:$H$289),9)</f>
        <v>1</v>
      </c>
    </row>
    <row r="29" customFormat="false" ht="15" hidden="false" customHeight="true" outlineLevel="0" collapsed="false">
      <c r="A29" s="38" t="n">
        <v>7</v>
      </c>
      <c r="B29" s="38" t="s">
        <v>171</v>
      </c>
      <c r="C29" s="38" t="str">
        <f aca="false">A29&amp;"|"&amp;B29</f>
        <v>7|U</v>
      </c>
      <c r="D29" s="38" t="n">
        <f aca="false">INDEX('Frequency 1-72'!$B$2:$E$73,A29,MATCH(B29,{"A","C","G","U"},0))</f>
        <v>44</v>
      </c>
      <c r="E29" s="38" t="n">
        <f aca="false">'Frequency 1-72'!G8</f>
        <v>199</v>
      </c>
      <c r="F29" s="43" t="n">
        <v>1</v>
      </c>
      <c r="G29" s="45" t="n">
        <f aca="false">IF(E29=0,"",D29/E29)</f>
        <v>0.221105527638191</v>
      </c>
      <c r="H29" s="45" t="n">
        <f aca="false">I29/J29</f>
        <v>0.221674876847291</v>
      </c>
      <c r="I29" s="38" t="n">
        <f aca="false">D29+F29</f>
        <v>45</v>
      </c>
      <c r="J29" s="38" t="n">
        <f aca="false">E29+4*F29</f>
        <v>203</v>
      </c>
      <c r="K29" s="38" t="s">
        <v>603</v>
      </c>
      <c r="L29" s="38" t="n">
        <f aca="false">ROUND(SUMIF($A$2:$A$289,A29,$H$2:$H$289),9)</f>
        <v>1</v>
      </c>
    </row>
    <row r="30" customFormat="false" ht="15" hidden="false" customHeight="true" outlineLevel="0" collapsed="false">
      <c r="A30" s="38" t="n">
        <v>8</v>
      </c>
      <c r="B30" s="38" t="s">
        <v>172</v>
      </c>
      <c r="C30" s="38" t="str">
        <f aca="false">A30&amp;"|"&amp;B30</f>
        <v>8|A</v>
      </c>
      <c r="D30" s="38" t="n">
        <f aca="false">INDEX('Frequency 1-72'!$B$2:$E$73,A30,MATCH(B30,{"A","C","G","U"},0))</f>
        <v>1</v>
      </c>
      <c r="E30" s="38" t="n">
        <f aca="false">'Frequency 1-72'!G9</f>
        <v>199</v>
      </c>
      <c r="F30" s="43" t="n">
        <v>1</v>
      </c>
      <c r="G30" s="45" t="n">
        <f aca="false">IF(E30=0,"",D30/E30)</f>
        <v>0.0050251256281407</v>
      </c>
      <c r="H30" s="45" t="n">
        <f aca="false">I30/J30</f>
        <v>0.00985221674876847</v>
      </c>
      <c r="I30" s="38" t="n">
        <f aca="false">D30+F30</f>
        <v>2</v>
      </c>
      <c r="J30" s="38" t="n">
        <f aca="false">E30+4*F30</f>
        <v>203</v>
      </c>
      <c r="K30" s="38" t="s">
        <v>603</v>
      </c>
      <c r="L30" s="38" t="n">
        <f aca="false">ROUND(SUMIF($A$2:$A$289,A30,$H$2:$H$289),9)</f>
        <v>1</v>
      </c>
    </row>
    <row r="31" customFormat="false" ht="15" hidden="false" customHeight="true" outlineLevel="0" collapsed="false">
      <c r="A31" s="38" t="n">
        <v>8</v>
      </c>
      <c r="B31" s="38" t="s">
        <v>170</v>
      </c>
      <c r="C31" s="38" t="str">
        <f aca="false">A31&amp;"|"&amp;B31</f>
        <v>8|C</v>
      </c>
      <c r="D31" s="38" t="n">
        <f aca="false">INDEX('Frequency 1-72'!$B$2:$E$73,A31,MATCH(B31,{"A","C","G","U"},0))</f>
        <v>0</v>
      </c>
      <c r="E31" s="38" t="n">
        <f aca="false">'Frequency 1-72'!G9</f>
        <v>199</v>
      </c>
      <c r="F31" s="43" t="n">
        <v>1</v>
      </c>
      <c r="G31" s="45" t="n">
        <f aca="false">IF(E31=0,"",D31/E31)</f>
        <v>0</v>
      </c>
      <c r="H31" s="45" t="n">
        <f aca="false">I31/J31</f>
        <v>0.00492610837438424</v>
      </c>
      <c r="I31" s="38" t="n">
        <f aca="false">D31+F31</f>
        <v>1</v>
      </c>
      <c r="J31" s="38" t="n">
        <f aca="false">E31+4*F31</f>
        <v>203</v>
      </c>
      <c r="K31" s="38" t="s">
        <v>603</v>
      </c>
      <c r="L31" s="38" t="n">
        <f aca="false">ROUND(SUMIF($A$2:$A$289,A31,$H$2:$H$289),9)</f>
        <v>1</v>
      </c>
    </row>
    <row r="32" customFormat="false" ht="15" hidden="false" customHeight="true" outlineLevel="0" collapsed="false">
      <c r="A32" s="38" t="n">
        <v>8</v>
      </c>
      <c r="B32" s="38" t="s">
        <v>169</v>
      </c>
      <c r="C32" s="38" t="str">
        <f aca="false">A32&amp;"|"&amp;B32</f>
        <v>8|G</v>
      </c>
      <c r="D32" s="38" t="n">
        <f aca="false">INDEX('Frequency 1-72'!$B$2:$E$73,A32,MATCH(B32,{"A","C","G","U"},0))</f>
        <v>1</v>
      </c>
      <c r="E32" s="38" t="n">
        <f aca="false">'Frequency 1-72'!G9</f>
        <v>199</v>
      </c>
      <c r="F32" s="43" t="n">
        <v>1</v>
      </c>
      <c r="G32" s="45" t="n">
        <f aca="false">IF(E32=0,"",D32/E32)</f>
        <v>0.0050251256281407</v>
      </c>
      <c r="H32" s="45" t="n">
        <f aca="false">I32/J32</f>
        <v>0.00985221674876847</v>
      </c>
      <c r="I32" s="38" t="n">
        <f aca="false">D32+F32</f>
        <v>2</v>
      </c>
      <c r="J32" s="38" t="n">
        <f aca="false">E32+4*F32</f>
        <v>203</v>
      </c>
      <c r="K32" s="38" t="s">
        <v>603</v>
      </c>
      <c r="L32" s="38" t="n">
        <f aca="false">ROUND(SUMIF($A$2:$A$289,A32,$H$2:$H$289),9)</f>
        <v>1</v>
      </c>
    </row>
    <row r="33" customFormat="false" ht="15" hidden="false" customHeight="true" outlineLevel="0" collapsed="false">
      <c r="A33" s="38" t="n">
        <v>8</v>
      </c>
      <c r="B33" s="38" t="s">
        <v>171</v>
      </c>
      <c r="C33" s="38" t="str">
        <f aca="false">A33&amp;"|"&amp;B33</f>
        <v>8|U</v>
      </c>
      <c r="D33" s="38" t="n">
        <f aca="false">INDEX('Frequency 1-72'!$B$2:$E$73,A33,MATCH(B33,{"A","C","G","U"},0))</f>
        <v>197</v>
      </c>
      <c r="E33" s="38" t="n">
        <f aca="false">'Frequency 1-72'!G9</f>
        <v>199</v>
      </c>
      <c r="F33" s="43" t="n">
        <v>1</v>
      </c>
      <c r="G33" s="45" t="n">
        <f aca="false">IF(E33=0,"",D33/E33)</f>
        <v>0.989949748743719</v>
      </c>
      <c r="H33" s="45" t="n">
        <f aca="false">I33/J33</f>
        <v>0.975369458128079</v>
      </c>
      <c r="I33" s="38" t="n">
        <f aca="false">D33+F33</f>
        <v>198</v>
      </c>
      <c r="J33" s="38" t="n">
        <f aca="false">E33+4*F33</f>
        <v>203</v>
      </c>
      <c r="K33" s="38" t="s">
        <v>603</v>
      </c>
      <c r="L33" s="38" t="n">
        <f aca="false">ROUND(SUMIF($A$2:$A$289,A33,$H$2:$H$289),9)</f>
        <v>1</v>
      </c>
    </row>
    <row r="34" customFormat="false" ht="15" hidden="false" customHeight="true" outlineLevel="0" collapsed="false">
      <c r="A34" s="38" t="n">
        <v>9</v>
      </c>
      <c r="B34" s="38" t="s">
        <v>172</v>
      </c>
      <c r="C34" s="38" t="str">
        <f aca="false">A34&amp;"|"&amp;B34</f>
        <v>9|A</v>
      </c>
      <c r="D34" s="38" t="n">
        <f aca="false">INDEX('Frequency 1-72'!$B$2:$E$73,A34,MATCH(B34,{"A","C","G","U"},0))</f>
        <v>130</v>
      </c>
      <c r="E34" s="38" t="n">
        <f aca="false">'Frequency 1-72'!G10</f>
        <v>198</v>
      </c>
      <c r="F34" s="43" t="n">
        <v>1</v>
      </c>
      <c r="G34" s="45" t="n">
        <f aca="false">IF(E34=0,"",D34/E34)</f>
        <v>0.656565656565657</v>
      </c>
      <c r="H34" s="45" t="n">
        <f aca="false">I34/J34</f>
        <v>0.648514851485149</v>
      </c>
      <c r="I34" s="38" t="n">
        <f aca="false">D34+F34</f>
        <v>131</v>
      </c>
      <c r="J34" s="38" t="n">
        <f aca="false">E34+4*F34</f>
        <v>202</v>
      </c>
      <c r="K34" s="38" t="s">
        <v>603</v>
      </c>
      <c r="L34" s="38" t="n">
        <f aca="false">ROUND(SUMIF($A$2:$A$289,A34,$H$2:$H$289),9)</f>
        <v>1</v>
      </c>
    </row>
    <row r="35" customFormat="false" ht="15" hidden="false" customHeight="true" outlineLevel="0" collapsed="false">
      <c r="A35" s="38" t="n">
        <v>9</v>
      </c>
      <c r="B35" s="38" t="s">
        <v>170</v>
      </c>
      <c r="C35" s="38" t="str">
        <f aca="false">A35&amp;"|"&amp;B35</f>
        <v>9|C</v>
      </c>
      <c r="D35" s="38" t="n">
        <f aca="false">INDEX('Frequency 1-72'!$B$2:$E$73,A35,MATCH(B35,{"A","C","G","U"},0))</f>
        <v>7</v>
      </c>
      <c r="E35" s="38" t="n">
        <f aca="false">'Frequency 1-72'!G10</f>
        <v>198</v>
      </c>
      <c r="F35" s="43" t="n">
        <v>1</v>
      </c>
      <c r="G35" s="45" t="n">
        <f aca="false">IF(E35=0,"",D35/E35)</f>
        <v>0.0353535353535354</v>
      </c>
      <c r="H35" s="45" t="n">
        <f aca="false">I35/J35</f>
        <v>0.0396039603960396</v>
      </c>
      <c r="I35" s="38" t="n">
        <f aca="false">D35+F35</f>
        <v>8</v>
      </c>
      <c r="J35" s="38" t="n">
        <f aca="false">E35+4*F35</f>
        <v>202</v>
      </c>
      <c r="K35" s="38" t="s">
        <v>603</v>
      </c>
      <c r="L35" s="38" t="n">
        <f aca="false">ROUND(SUMIF($A$2:$A$289,A35,$H$2:$H$289),9)</f>
        <v>1</v>
      </c>
    </row>
    <row r="36" customFormat="false" ht="15" hidden="false" customHeight="true" outlineLevel="0" collapsed="false">
      <c r="A36" s="38" t="n">
        <v>9</v>
      </c>
      <c r="B36" s="38" t="s">
        <v>169</v>
      </c>
      <c r="C36" s="38" t="str">
        <f aca="false">A36&amp;"|"&amp;B36</f>
        <v>9|G</v>
      </c>
      <c r="D36" s="38" t="n">
        <f aca="false">INDEX('Frequency 1-72'!$B$2:$E$73,A36,MATCH(B36,{"A","C","G","U"},0))</f>
        <v>61</v>
      </c>
      <c r="E36" s="38" t="n">
        <f aca="false">'Frequency 1-72'!G10</f>
        <v>198</v>
      </c>
      <c r="F36" s="43" t="n">
        <v>1</v>
      </c>
      <c r="G36" s="45" t="n">
        <f aca="false">IF(E36=0,"",D36/E36)</f>
        <v>0.308080808080808</v>
      </c>
      <c r="H36" s="45" t="n">
        <f aca="false">I36/J36</f>
        <v>0.306930693069307</v>
      </c>
      <c r="I36" s="38" t="n">
        <f aca="false">D36+F36</f>
        <v>62</v>
      </c>
      <c r="J36" s="38" t="n">
        <f aca="false">E36+4*F36</f>
        <v>202</v>
      </c>
      <c r="K36" s="38" t="s">
        <v>603</v>
      </c>
      <c r="L36" s="38" t="n">
        <f aca="false">ROUND(SUMIF($A$2:$A$289,A36,$H$2:$H$289),9)</f>
        <v>1</v>
      </c>
    </row>
    <row r="37" customFormat="false" ht="15" hidden="false" customHeight="true" outlineLevel="0" collapsed="false">
      <c r="A37" s="38" t="n">
        <v>9</v>
      </c>
      <c r="B37" s="38" t="s">
        <v>171</v>
      </c>
      <c r="C37" s="38" t="str">
        <f aca="false">A37&amp;"|"&amp;B37</f>
        <v>9|U</v>
      </c>
      <c r="D37" s="38" t="n">
        <f aca="false">INDEX('Frequency 1-72'!$B$2:$E$73,A37,MATCH(B37,{"A","C","G","U"},0))</f>
        <v>0</v>
      </c>
      <c r="E37" s="38" t="n">
        <f aca="false">'Frequency 1-72'!G10</f>
        <v>198</v>
      </c>
      <c r="F37" s="43" t="n">
        <v>1</v>
      </c>
      <c r="G37" s="45" t="n">
        <f aca="false">IF(E37=0,"",D37/E37)</f>
        <v>0</v>
      </c>
      <c r="H37" s="45" t="n">
        <f aca="false">I37/J37</f>
        <v>0.00495049504950495</v>
      </c>
      <c r="I37" s="38" t="n">
        <f aca="false">D37+F37</f>
        <v>1</v>
      </c>
      <c r="J37" s="38" t="n">
        <f aca="false">E37+4*F37</f>
        <v>202</v>
      </c>
      <c r="K37" s="38" t="s">
        <v>603</v>
      </c>
      <c r="L37" s="38" t="n">
        <f aca="false">ROUND(SUMIF($A$2:$A$289,A37,$H$2:$H$289),9)</f>
        <v>1</v>
      </c>
    </row>
    <row r="38" customFormat="false" ht="15" hidden="false" customHeight="true" outlineLevel="0" collapsed="false">
      <c r="A38" s="38" t="n">
        <v>10</v>
      </c>
      <c r="B38" s="38" t="s">
        <v>172</v>
      </c>
      <c r="C38" s="38" t="str">
        <f aca="false">A38&amp;"|"&amp;B38</f>
        <v>10|A</v>
      </c>
      <c r="D38" s="38" t="n">
        <f aca="false">INDEX('Frequency 1-72'!$B$2:$E$73,A38,MATCH(B38,{"A","C","G","U"},0))</f>
        <v>0</v>
      </c>
      <c r="E38" s="38" t="n">
        <f aca="false">'Frequency 1-72'!G11</f>
        <v>199</v>
      </c>
      <c r="F38" s="43" t="n">
        <v>1</v>
      </c>
      <c r="G38" s="45" t="n">
        <f aca="false">IF(E38=0,"",D38/E38)</f>
        <v>0</v>
      </c>
      <c r="H38" s="45" t="n">
        <f aca="false">I38/J38</f>
        <v>0.00492610837438424</v>
      </c>
      <c r="I38" s="38" t="n">
        <f aca="false">D38+F38</f>
        <v>1</v>
      </c>
      <c r="J38" s="38" t="n">
        <f aca="false">E38+4*F38</f>
        <v>203</v>
      </c>
      <c r="K38" s="38" t="s">
        <v>603</v>
      </c>
      <c r="L38" s="38" t="n">
        <f aca="false">ROUND(SUMIF($A$2:$A$289,A38,$H$2:$H$289),9)</f>
        <v>1</v>
      </c>
    </row>
    <row r="39" customFormat="false" ht="15" hidden="false" customHeight="true" outlineLevel="0" collapsed="false">
      <c r="A39" s="38" t="n">
        <v>10</v>
      </c>
      <c r="B39" s="38" t="s">
        <v>170</v>
      </c>
      <c r="C39" s="38" t="str">
        <f aca="false">A39&amp;"|"&amp;B39</f>
        <v>10|C</v>
      </c>
      <c r="D39" s="38" t="n">
        <f aca="false">INDEX('Frequency 1-72'!$B$2:$E$73,A39,MATCH(B39,{"A","C","G","U"},0))</f>
        <v>8</v>
      </c>
      <c r="E39" s="38" t="n">
        <f aca="false">'Frequency 1-72'!G11</f>
        <v>199</v>
      </c>
      <c r="F39" s="43" t="n">
        <v>1</v>
      </c>
      <c r="G39" s="45" t="n">
        <f aca="false">IF(E39=0,"",D39/E39)</f>
        <v>0.0402010050251256</v>
      </c>
      <c r="H39" s="45" t="n">
        <f aca="false">I39/J39</f>
        <v>0.0443349753694581</v>
      </c>
      <c r="I39" s="38" t="n">
        <f aca="false">D39+F39</f>
        <v>9</v>
      </c>
      <c r="J39" s="38" t="n">
        <f aca="false">E39+4*F39</f>
        <v>203</v>
      </c>
      <c r="K39" s="38" t="s">
        <v>603</v>
      </c>
      <c r="L39" s="38" t="n">
        <f aca="false">ROUND(SUMIF($A$2:$A$289,A39,$H$2:$H$289),9)</f>
        <v>1</v>
      </c>
    </row>
    <row r="40" customFormat="false" ht="15" hidden="false" customHeight="true" outlineLevel="0" collapsed="false">
      <c r="A40" s="38" t="n">
        <v>10</v>
      </c>
      <c r="B40" s="38" t="s">
        <v>169</v>
      </c>
      <c r="C40" s="38" t="str">
        <f aca="false">A40&amp;"|"&amp;B40</f>
        <v>10|G</v>
      </c>
      <c r="D40" s="38" t="n">
        <f aca="false">INDEX('Frequency 1-72'!$B$2:$E$73,A40,MATCH(B40,{"A","C","G","U"},0))</f>
        <v>191</v>
      </c>
      <c r="E40" s="38" t="n">
        <f aca="false">'Frequency 1-72'!G11</f>
        <v>199</v>
      </c>
      <c r="F40" s="43" t="n">
        <v>1</v>
      </c>
      <c r="G40" s="45" t="n">
        <f aca="false">IF(E40=0,"",D40/E40)</f>
        <v>0.959798994974874</v>
      </c>
      <c r="H40" s="45" t="n">
        <f aca="false">I40/J40</f>
        <v>0.945812807881773</v>
      </c>
      <c r="I40" s="38" t="n">
        <f aca="false">D40+F40</f>
        <v>192</v>
      </c>
      <c r="J40" s="38" t="n">
        <f aca="false">E40+4*F40</f>
        <v>203</v>
      </c>
      <c r="K40" s="38" t="s">
        <v>603</v>
      </c>
      <c r="L40" s="38" t="n">
        <f aca="false">ROUND(SUMIF($A$2:$A$289,A40,$H$2:$H$289),9)</f>
        <v>1</v>
      </c>
    </row>
    <row r="41" customFormat="false" ht="15" hidden="false" customHeight="true" outlineLevel="0" collapsed="false">
      <c r="A41" s="38" t="n">
        <v>10</v>
      </c>
      <c r="B41" s="38" t="s">
        <v>171</v>
      </c>
      <c r="C41" s="38" t="str">
        <f aca="false">A41&amp;"|"&amp;B41</f>
        <v>10|U</v>
      </c>
      <c r="D41" s="38" t="n">
        <f aca="false">INDEX('Frequency 1-72'!$B$2:$E$73,A41,MATCH(B41,{"A","C","G","U"},0))</f>
        <v>0</v>
      </c>
      <c r="E41" s="38" t="n">
        <f aca="false">'Frequency 1-72'!G11</f>
        <v>199</v>
      </c>
      <c r="F41" s="43" t="n">
        <v>1</v>
      </c>
      <c r="G41" s="45" t="n">
        <f aca="false">IF(E41=0,"",D41/E41)</f>
        <v>0</v>
      </c>
      <c r="H41" s="45" t="n">
        <f aca="false">I41/J41</f>
        <v>0.00492610837438424</v>
      </c>
      <c r="I41" s="38" t="n">
        <f aca="false">D41+F41</f>
        <v>1</v>
      </c>
      <c r="J41" s="38" t="n">
        <f aca="false">E41+4*F41</f>
        <v>203</v>
      </c>
      <c r="K41" s="38" t="s">
        <v>603</v>
      </c>
      <c r="L41" s="38" t="n">
        <f aca="false">ROUND(SUMIF($A$2:$A$289,A41,$H$2:$H$289),9)</f>
        <v>1</v>
      </c>
    </row>
    <row r="42" customFormat="false" ht="15" hidden="false" customHeight="true" outlineLevel="0" collapsed="false">
      <c r="A42" s="38" t="n">
        <v>11</v>
      </c>
      <c r="B42" s="38" t="s">
        <v>172</v>
      </c>
      <c r="C42" s="38" t="str">
        <f aca="false">A42&amp;"|"&amp;B42</f>
        <v>11|A</v>
      </c>
      <c r="D42" s="38" t="n">
        <f aca="false">INDEX('Frequency 1-72'!$B$2:$E$73,A42,MATCH(B42,{"A","C","G","U"},0))</f>
        <v>7</v>
      </c>
      <c r="E42" s="38" t="n">
        <f aca="false">'Frequency 1-72'!G12</f>
        <v>199</v>
      </c>
      <c r="F42" s="43" t="n">
        <v>1</v>
      </c>
      <c r="G42" s="45" t="n">
        <f aca="false">IF(E42=0,"",D42/E42)</f>
        <v>0.0351758793969849</v>
      </c>
      <c r="H42" s="45" t="n">
        <f aca="false">I42/J42</f>
        <v>0.0394088669950739</v>
      </c>
      <c r="I42" s="38" t="n">
        <f aca="false">D42+F42</f>
        <v>8</v>
      </c>
      <c r="J42" s="38" t="n">
        <f aca="false">E42+4*F42</f>
        <v>203</v>
      </c>
      <c r="K42" s="38" t="s">
        <v>603</v>
      </c>
      <c r="L42" s="38" t="n">
        <f aca="false">ROUND(SUMIF($A$2:$A$289,A42,$H$2:$H$289),9)</f>
        <v>1</v>
      </c>
    </row>
    <row r="43" customFormat="false" ht="15" hidden="false" customHeight="true" outlineLevel="0" collapsed="false">
      <c r="A43" s="38" t="n">
        <v>11</v>
      </c>
      <c r="B43" s="38" t="s">
        <v>170</v>
      </c>
      <c r="C43" s="38" t="str">
        <f aca="false">A43&amp;"|"&amp;B43</f>
        <v>11|C</v>
      </c>
      <c r="D43" s="38" t="n">
        <f aca="false">INDEX('Frequency 1-72'!$B$2:$E$73,A43,MATCH(B43,{"A","C","G","U"},0))</f>
        <v>146</v>
      </c>
      <c r="E43" s="38" t="n">
        <f aca="false">'Frequency 1-72'!G12</f>
        <v>199</v>
      </c>
      <c r="F43" s="43" t="n">
        <v>1</v>
      </c>
      <c r="G43" s="45" t="n">
        <f aca="false">IF(E43=0,"",D43/E43)</f>
        <v>0.733668341708543</v>
      </c>
      <c r="H43" s="45" t="n">
        <f aca="false">I43/J43</f>
        <v>0.724137931034483</v>
      </c>
      <c r="I43" s="38" t="n">
        <f aca="false">D43+F43</f>
        <v>147</v>
      </c>
      <c r="J43" s="38" t="n">
        <f aca="false">E43+4*F43</f>
        <v>203</v>
      </c>
      <c r="K43" s="38" t="s">
        <v>603</v>
      </c>
      <c r="L43" s="38" t="n">
        <f aca="false">ROUND(SUMIF($A$2:$A$289,A43,$H$2:$H$289),9)</f>
        <v>1</v>
      </c>
    </row>
    <row r="44" customFormat="false" ht="15" hidden="false" customHeight="true" outlineLevel="0" collapsed="false">
      <c r="A44" s="38" t="n">
        <v>11</v>
      </c>
      <c r="B44" s="38" t="s">
        <v>169</v>
      </c>
      <c r="C44" s="38" t="str">
        <f aca="false">A44&amp;"|"&amp;B44</f>
        <v>11|G</v>
      </c>
      <c r="D44" s="38" t="n">
        <f aca="false">INDEX('Frequency 1-72'!$B$2:$E$73,A44,MATCH(B44,{"A","C","G","U"},0))</f>
        <v>6</v>
      </c>
      <c r="E44" s="38" t="n">
        <f aca="false">'Frequency 1-72'!G12</f>
        <v>199</v>
      </c>
      <c r="F44" s="43" t="n">
        <v>1</v>
      </c>
      <c r="G44" s="45" t="n">
        <f aca="false">IF(E44=0,"",D44/E44)</f>
        <v>0.0301507537688442</v>
      </c>
      <c r="H44" s="45" t="n">
        <f aca="false">I44/J44</f>
        <v>0.0344827586206897</v>
      </c>
      <c r="I44" s="38" t="n">
        <f aca="false">D44+F44</f>
        <v>7</v>
      </c>
      <c r="J44" s="38" t="n">
        <f aca="false">E44+4*F44</f>
        <v>203</v>
      </c>
      <c r="K44" s="38" t="s">
        <v>603</v>
      </c>
      <c r="L44" s="38" t="n">
        <f aca="false">ROUND(SUMIF($A$2:$A$289,A44,$H$2:$H$289),9)</f>
        <v>1</v>
      </c>
    </row>
    <row r="45" customFormat="false" ht="15" hidden="false" customHeight="true" outlineLevel="0" collapsed="false">
      <c r="A45" s="38" t="n">
        <v>11</v>
      </c>
      <c r="B45" s="38" t="s">
        <v>171</v>
      </c>
      <c r="C45" s="38" t="str">
        <f aca="false">A45&amp;"|"&amp;B45</f>
        <v>11|U</v>
      </c>
      <c r="D45" s="38" t="n">
        <f aca="false">INDEX('Frequency 1-72'!$B$2:$E$73,A45,MATCH(B45,{"A","C","G","U"},0))</f>
        <v>40</v>
      </c>
      <c r="E45" s="38" t="n">
        <f aca="false">'Frequency 1-72'!G12</f>
        <v>199</v>
      </c>
      <c r="F45" s="43" t="n">
        <v>1</v>
      </c>
      <c r="G45" s="45" t="n">
        <f aca="false">IF(E45=0,"",D45/E45)</f>
        <v>0.201005025125628</v>
      </c>
      <c r="H45" s="45" t="n">
        <f aca="false">I45/J45</f>
        <v>0.201970443349754</v>
      </c>
      <c r="I45" s="38" t="n">
        <f aca="false">D45+F45</f>
        <v>41</v>
      </c>
      <c r="J45" s="38" t="n">
        <f aca="false">E45+4*F45</f>
        <v>203</v>
      </c>
      <c r="K45" s="38" t="s">
        <v>603</v>
      </c>
      <c r="L45" s="38" t="n">
        <f aca="false">ROUND(SUMIF($A$2:$A$289,A45,$H$2:$H$289),9)</f>
        <v>1</v>
      </c>
    </row>
    <row r="46" customFormat="false" ht="15" hidden="false" customHeight="true" outlineLevel="0" collapsed="false">
      <c r="A46" s="38" t="n">
        <v>12</v>
      </c>
      <c r="B46" s="38" t="s">
        <v>172</v>
      </c>
      <c r="C46" s="38" t="str">
        <f aca="false">A46&amp;"|"&amp;B46</f>
        <v>12|A</v>
      </c>
      <c r="D46" s="38" t="n">
        <f aca="false">INDEX('Frequency 1-72'!$B$2:$E$73,A46,MATCH(B46,{"A","C","G","U"},0))</f>
        <v>13</v>
      </c>
      <c r="E46" s="38" t="n">
        <f aca="false">'Frequency 1-72'!G13</f>
        <v>199</v>
      </c>
      <c r="F46" s="43" t="n">
        <v>1</v>
      </c>
      <c r="G46" s="45" t="n">
        <f aca="false">IF(E46=0,"",D46/E46)</f>
        <v>0.0653266331658292</v>
      </c>
      <c r="H46" s="45" t="n">
        <f aca="false">I46/J46</f>
        <v>0.0689655172413793</v>
      </c>
      <c r="I46" s="38" t="n">
        <f aca="false">D46+F46</f>
        <v>14</v>
      </c>
      <c r="J46" s="38" t="n">
        <f aca="false">E46+4*F46</f>
        <v>203</v>
      </c>
      <c r="K46" s="38" t="s">
        <v>603</v>
      </c>
      <c r="L46" s="38" t="n">
        <f aca="false">ROUND(SUMIF($A$2:$A$289,A46,$H$2:$H$289),9)</f>
        <v>1</v>
      </c>
    </row>
    <row r="47" customFormat="false" ht="15" hidden="false" customHeight="true" outlineLevel="0" collapsed="false">
      <c r="A47" s="38" t="n">
        <v>12</v>
      </c>
      <c r="B47" s="38" t="s">
        <v>170</v>
      </c>
      <c r="C47" s="38" t="str">
        <f aca="false">A47&amp;"|"&amp;B47</f>
        <v>12|C</v>
      </c>
      <c r="D47" s="38" t="n">
        <f aca="false">INDEX('Frequency 1-72'!$B$2:$E$73,A47,MATCH(B47,{"A","C","G","U"},0))</f>
        <v>29</v>
      </c>
      <c r="E47" s="38" t="n">
        <f aca="false">'Frequency 1-72'!G13</f>
        <v>199</v>
      </c>
      <c r="F47" s="43" t="n">
        <v>1</v>
      </c>
      <c r="G47" s="45" t="n">
        <f aca="false">IF(E47=0,"",D47/E47)</f>
        <v>0.14572864321608</v>
      </c>
      <c r="H47" s="45" t="n">
        <f aca="false">I47/J47</f>
        <v>0.147783251231527</v>
      </c>
      <c r="I47" s="38" t="n">
        <f aca="false">D47+F47</f>
        <v>30</v>
      </c>
      <c r="J47" s="38" t="n">
        <f aca="false">E47+4*F47</f>
        <v>203</v>
      </c>
      <c r="K47" s="38" t="s">
        <v>603</v>
      </c>
      <c r="L47" s="38" t="n">
        <f aca="false">ROUND(SUMIF($A$2:$A$289,A47,$H$2:$H$289),9)</f>
        <v>1</v>
      </c>
    </row>
    <row r="48" customFormat="false" ht="15" hidden="false" customHeight="true" outlineLevel="0" collapsed="false">
      <c r="A48" s="38" t="n">
        <v>12</v>
      </c>
      <c r="B48" s="38" t="s">
        <v>169</v>
      </c>
      <c r="C48" s="38" t="str">
        <f aca="false">A48&amp;"|"&amp;B48</f>
        <v>12|G</v>
      </c>
      <c r="D48" s="38" t="n">
        <f aca="false">INDEX('Frequency 1-72'!$B$2:$E$73,A48,MATCH(B48,{"A","C","G","U"},0))</f>
        <v>38</v>
      </c>
      <c r="E48" s="38" t="n">
        <f aca="false">'Frequency 1-72'!G13</f>
        <v>199</v>
      </c>
      <c r="F48" s="43" t="n">
        <v>1</v>
      </c>
      <c r="G48" s="45" t="n">
        <f aca="false">IF(E48=0,"",D48/E48)</f>
        <v>0.190954773869347</v>
      </c>
      <c r="H48" s="45" t="n">
        <f aca="false">I48/J48</f>
        <v>0.192118226600985</v>
      </c>
      <c r="I48" s="38" t="n">
        <f aca="false">D48+F48</f>
        <v>39</v>
      </c>
      <c r="J48" s="38" t="n">
        <f aca="false">E48+4*F48</f>
        <v>203</v>
      </c>
      <c r="K48" s="38" t="s">
        <v>603</v>
      </c>
      <c r="L48" s="38" t="n">
        <f aca="false">ROUND(SUMIF($A$2:$A$289,A48,$H$2:$H$289),9)</f>
        <v>1</v>
      </c>
    </row>
    <row r="49" customFormat="false" ht="15" hidden="false" customHeight="true" outlineLevel="0" collapsed="false">
      <c r="A49" s="38" t="n">
        <v>12</v>
      </c>
      <c r="B49" s="38" t="s">
        <v>171</v>
      </c>
      <c r="C49" s="38" t="str">
        <f aca="false">A49&amp;"|"&amp;B49</f>
        <v>12|U</v>
      </c>
      <c r="D49" s="38" t="n">
        <f aca="false">INDEX('Frequency 1-72'!$B$2:$E$73,A49,MATCH(B49,{"A","C","G","U"},0))</f>
        <v>119</v>
      </c>
      <c r="E49" s="38" t="n">
        <f aca="false">'Frequency 1-72'!G13</f>
        <v>199</v>
      </c>
      <c r="F49" s="43" t="n">
        <v>1</v>
      </c>
      <c r="G49" s="45" t="n">
        <f aca="false">IF(E49=0,"",D49/E49)</f>
        <v>0.597989949748744</v>
      </c>
      <c r="H49" s="45" t="n">
        <f aca="false">I49/J49</f>
        <v>0.591133004926108</v>
      </c>
      <c r="I49" s="38" t="n">
        <f aca="false">D49+F49</f>
        <v>120</v>
      </c>
      <c r="J49" s="38" t="n">
        <f aca="false">E49+4*F49</f>
        <v>203</v>
      </c>
      <c r="K49" s="38" t="s">
        <v>603</v>
      </c>
      <c r="L49" s="38" t="n">
        <f aca="false">ROUND(SUMIF($A$2:$A$289,A49,$H$2:$H$289),9)</f>
        <v>1</v>
      </c>
    </row>
    <row r="50" customFormat="false" ht="15" hidden="false" customHeight="true" outlineLevel="0" collapsed="false">
      <c r="A50" s="38" t="n">
        <v>13</v>
      </c>
      <c r="B50" s="38" t="s">
        <v>172</v>
      </c>
      <c r="C50" s="38" t="str">
        <f aca="false">A50&amp;"|"&amp;B50</f>
        <v>13|A</v>
      </c>
      <c r="D50" s="38" t="n">
        <f aca="false">INDEX('Frequency 1-72'!$B$2:$E$73,A50,MATCH(B50,{"A","C","G","U"},0))</f>
        <v>13</v>
      </c>
      <c r="E50" s="38" t="n">
        <f aca="false">'Frequency 1-72'!G14</f>
        <v>199</v>
      </c>
      <c r="F50" s="43" t="n">
        <v>1</v>
      </c>
      <c r="G50" s="45" t="n">
        <f aca="false">IF(E50=0,"",D50/E50)</f>
        <v>0.0653266331658292</v>
      </c>
      <c r="H50" s="45" t="n">
        <f aca="false">I50/J50</f>
        <v>0.0689655172413793</v>
      </c>
      <c r="I50" s="38" t="n">
        <f aca="false">D50+F50</f>
        <v>14</v>
      </c>
      <c r="J50" s="38" t="n">
        <f aca="false">E50+4*F50</f>
        <v>203</v>
      </c>
      <c r="K50" s="38" t="s">
        <v>603</v>
      </c>
      <c r="L50" s="38" t="n">
        <f aca="false">ROUND(SUMIF($A$2:$A$289,A50,$H$2:$H$289),9)</f>
        <v>1</v>
      </c>
    </row>
    <row r="51" customFormat="false" ht="15" hidden="false" customHeight="true" outlineLevel="0" collapsed="false">
      <c r="A51" s="38" t="n">
        <v>13</v>
      </c>
      <c r="B51" s="38" t="s">
        <v>170</v>
      </c>
      <c r="C51" s="38" t="str">
        <f aca="false">A51&amp;"|"&amp;B51</f>
        <v>13|C</v>
      </c>
      <c r="D51" s="38" t="n">
        <f aca="false">INDEX('Frequency 1-72'!$B$2:$E$73,A51,MATCH(B51,{"A","C","G","U"},0))</f>
        <v>129</v>
      </c>
      <c r="E51" s="38" t="n">
        <f aca="false">'Frequency 1-72'!G14</f>
        <v>199</v>
      </c>
      <c r="F51" s="43" t="n">
        <v>1</v>
      </c>
      <c r="G51" s="45" t="n">
        <f aca="false">IF(E51=0,"",D51/E51)</f>
        <v>0.648241206030151</v>
      </c>
      <c r="H51" s="45" t="n">
        <f aca="false">I51/J51</f>
        <v>0.640394088669951</v>
      </c>
      <c r="I51" s="38" t="n">
        <f aca="false">D51+F51</f>
        <v>130</v>
      </c>
      <c r="J51" s="38" t="n">
        <f aca="false">E51+4*F51</f>
        <v>203</v>
      </c>
      <c r="K51" s="38" t="s">
        <v>603</v>
      </c>
      <c r="L51" s="38" t="n">
        <f aca="false">ROUND(SUMIF($A$2:$A$289,A51,$H$2:$H$289),9)</f>
        <v>1</v>
      </c>
    </row>
    <row r="52" customFormat="false" ht="15" hidden="false" customHeight="true" outlineLevel="0" collapsed="false">
      <c r="A52" s="38" t="n">
        <v>13</v>
      </c>
      <c r="B52" s="38" t="s">
        <v>169</v>
      </c>
      <c r="C52" s="38" t="str">
        <f aca="false">A52&amp;"|"&amp;B52</f>
        <v>13|G</v>
      </c>
      <c r="D52" s="38" t="n">
        <f aca="false">INDEX('Frequency 1-72'!$B$2:$E$73,A52,MATCH(B52,{"A","C","G","U"},0))</f>
        <v>19</v>
      </c>
      <c r="E52" s="38" t="n">
        <f aca="false">'Frequency 1-72'!G14</f>
        <v>199</v>
      </c>
      <c r="F52" s="43" t="n">
        <v>1</v>
      </c>
      <c r="G52" s="45" t="n">
        <f aca="false">IF(E52=0,"",D52/E52)</f>
        <v>0.0954773869346734</v>
      </c>
      <c r="H52" s="45" t="n">
        <f aca="false">I52/J52</f>
        <v>0.0985221674876847</v>
      </c>
      <c r="I52" s="38" t="n">
        <f aca="false">D52+F52</f>
        <v>20</v>
      </c>
      <c r="J52" s="38" t="n">
        <f aca="false">E52+4*F52</f>
        <v>203</v>
      </c>
      <c r="K52" s="38" t="s">
        <v>603</v>
      </c>
      <c r="L52" s="38" t="n">
        <f aca="false">ROUND(SUMIF($A$2:$A$289,A52,$H$2:$H$289),9)</f>
        <v>1</v>
      </c>
    </row>
    <row r="53" customFormat="false" ht="15" hidden="false" customHeight="true" outlineLevel="0" collapsed="false">
      <c r="A53" s="38" t="n">
        <v>13</v>
      </c>
      <c r="B53" s="38" t="s">
        <v>171</v>
      </c>
      <c r="C53" s="38" t="str">
        <f aca="false">A53&amp;"|"&amp;B53</f>
        <v>13|U</v>
      </c>
      <c r="D53" s="38" t="n">
        <f aca="false">INDEX('Frequency 1-72'!$B$2:$E$73,A53,MATCH(B53,{"A","C","G","U"},0))</f>
        <v>38</v>
      </c>
      <c r="E53" s="38" t="n">
        <f aca="false">'Frequency 1-72'!G14</f>
        <v>199</v>
      </c>
      <c r="F53" s="43" t="n">
        <v>1</v>
      </c>
      <c r="G53" s="45" t="n">
        <f aca="false">IF(E53=0,"",D53/E53)</f>
        <v>0.190954773869347</v>
      </c>
      <c r="H53" s="45" t="n">
        <f aca="false">I53/J53</f>
        <v>0.192118226600985</v>
      </c>
      <c r="I53" s="38" t="n">
        <f aca="false">D53+F53</f>
        <v>39</v>
      </c>
      <c r="J53" s="38" t="n">
        <f aca="false">E53+4*F53</f>
        <v>203</v>
      </c>
      <c r="K53" s="38" t="s">
        <v>603</v>
      </c>
      <c r="L53" s="38" t="n">
        <f aca="false">ROUND(SUMIF($A$2:$A$289,A53,$H$2:$H$289),9)</f>
        <v>1</v>
      </c>
    </row>
    <row r="54" customFormat="false" ht="15" hidden="false" customHeight="true" outlineLevel="0" collapsed="false">
      <c r="A54" s="38" t="n">
        <v>14</v>
      </c>
      <c r="B54" s="38" t="s">
        <v>172</v>
      </c>
      <c r="C54" s="38" t="str">
        <f aca="false">A54&amp;"|"&amp;B54</f>
        <v>14|A</v>
      </c>
      <c r="D54" s="38" t="n">
        <f aca="false">INDEX('Frequency 1-72'!$B$2:$E$73,A54,MATCH(B54,{"A","C","G","U"},0))</f>
        <v>197</v>
      </c>
      <c r="E54" s="38" t="n">
        <f aca="false">'Frequency 1-72'!G15</f>
        <v>199</v>
      </c>
      <c r="F54" s="43" t="n">
        <v>1</v>
      </c>
      <c r="G54" s="45" t="n">
        <f aca="false">IF(E54=0,"",D54/E54)</f>
        <v>0.989949748743719</v>
      </c>
      <c r="H54" s="45" t="n">
        <f aca="false">I54/J54</f>
        <v>0.975369458128079</v>
      </c>
      <c r="I54" s="38" t="n">
        <f aca="false">D54+F54</f>
        <v>198</v>
      </c>
      <c r="J54" s="38" t="n">
        <f aca="false">E54+4*F54</f>
        <v>203</v>
      </c>
      <c r="K54" s="38" t="s">
        <v>603</v>
      </c>
      <c r="L54" s="38" t="n">
        <f aca="false">ROUND(SUMIF($A$2:$A$289,A54,$H$2:$H$289),9)</f>
        <v>1</v>
      </c>
    </row>
    <row r="55" customFormat="false" ht="15" hidden="false" customHeight="true" outlineLevel="0" collapsed="false">
      <c r="A55" s="38" t="n">
        <v>14</v>
      </c>
      <c r="B55" s="38" t="s">
        <v>170</v>
      </c>
      <c r="C55" s="38" t="str">
        <f aca="false">A55&amp;"|"&amp;B55</f>
        <v>14|C</v>
      </c>
      <c r="D55" s="38" t="n">
        <f aca="false">INDEX('Frequency 1-72'!$B$2:$E$73,A55,MATCH(B55,{"A","C","G","U"},0))</f>
        <v>1</v>
      </c>
      <c r="E55" s="38" t="n">
        <f aca="false">'Frequency 1-72'!G15</f>
        <v>199</v>
      </c>
      <c r="F55" s="43" t="n">
        <v>1</v>
      </c>
      <c r="G55" s="45" t="n">
        <f aca="false">IF(E55=0,"",D55/E55)</f>
        <v>0.0050251256281407</v>
      </c>
      <c r="H55" s="45" t="n">
        <f aca="false">I55/J55</f>
        <v>0.00985221674876847</v>
      </c>
      <c r="I55" s="38" t="n">
        <f aca="false">D55+F55</f>
        <v>2</v>
      </c>
      <c r="J55" s="38" t="n">
        <f aca="false">E55+4*F55</f>
        <v>203</v>
      </c>
      <c r="K55" s="38" t="s">
        <v>603</v>
      </c>
      <c r="L55" s="38" t="n">
        <f aca="false">ROUND(SUMIF($A$2:$A$289,A55,$H$2:$H$289),9)</f>
        <v>1</v>
      </c>
    </row>
    <row r="56" customFormat="false" ht="15" hidden="false" customHeight="true" outlineLevel="0" collapsed="false">
      <c r="A56" s="38" t="n">
        <v>14</v>
      </c>
      <c r="B56" s="38" t="s">
        <v>169</v>
      </c>
      <c r="C56" s="38" t="str">
        <f aca="false">A56&amp;"|"&amp;B56</f>
        <v>14|G</v>
      </c>
      <c r="D56" s="38" t="n">
        <f aca="false">INDEX('Frequency 1-72'!$B$2:$E$73,A56,MATCH(B56,{"A","C","G","U"},0))</f>
        <v>1</v>
      </c>
      <c r="E56" s="38" t="n">
        <f aca="false">'Frequency 1-72'!G15</f>
        <v>199</v>
      </c>
      <c r="F56" s="43" t="n">
        <v>1</v>
      </c>
      <c r="G56" s="45" t="n">
        <f aca="false">IF(E56=0,"",D56/E56)</f>
        <v>0.0050251256281407</v>
      </c>
      <c r="H56" s="45" t="n">
        <f aca="false">I56/J56</f>
        <v>0.00985221674876847</v>
      </c>
      <c r="I56" s="38" t="n">
        <f aca="false">D56+F56</f>
        <v>2</v>
      </c>
      <c r="J56" s="38" t="n">
        <f aca="false">E56+4*F56</f>
        <v>203</v>
      </c>
      <c r="K56" s="38" t="s">
        <v>603</v>
      </c>
      <c r="L56" s="38" t="n">
        <f aca="false">ROUND(SUMIF($A$2:$A$289,A56,$H$2:$H$289),9)</f>
        <v>1</v>
      </c>
    </row>
    <row r="57" customFormat="false" ht="15" hidden="false" customHeight="true" outlineLevel="0" collapsed="false">
      <c r="A57" s="38" t="n">
        <v>14</v>
      </c>
      <c r="B57" s="38" t="s">
        <v>171</v>
      </c>
      <c r="C57" s="38" t="str">
        <f aca="false">A57&amp;"|"&amp;B57</f>
        <v>14|U</v>
      </c>
      <c r="D57" s="38" t="n">
        <f aca="false">INDEX('Frequency 1-72'!$B$2:$E$73,A57,MATCH(B57,{"A","C","G","U"},0))</f>
        <v>0</v>
      </c>
      <c r="E57" s="38" t="n">
        <f aca="false">'Frequency 1-72'!G15</f>
        <v>199</v>
      </c>
      <c r="F57" s="43" t="n">
        <v>1</v>
      </c>
      <c r="G57" s="45" t="n">
        <f aca="false">IF(E57=0,"",D57/E57)</f>
        <v>0</v>
      </c>
      <c r="H57" s="45" t="n">
        <f aca="false">I57/J57</f>
        <v>0.00492610837438424</v>
      </c>
      <c r="I57" s="38" t="n">
        <f aca="false">D57+F57</f>
        <v>1</v>
      </c>
      <c r="J57" s="38" t="n">
        <f aca="false">E57+4*F57</f>
        <v>203</v>
      </c>
      <c r="K57" s="38" t="s">
        <v>603</v>
      </c>
      <c r="L57" s="38" t="n">
        <f aca="false">ROUND(SUMIF($A$2:$A$289,A57,$H$2:$H$289),9)</f>
        <v>1</v>
      </c>
    </row>
    <row r="58" customFormat="false" ht="15" hidden="false" customHeight="true" outlineLevel="0" collapsed="false">
      <c r="A58" s="38" t="n">
        <v>15</v>
      </c>
      <c r="B58" s="38" t="s">
        <v>172</v>
      </c>
      <c r="C58" s="38" t="str">
        <f aca="false">A58&amp;"|"&amp;B58</f>
        <v>15|A</v>
      </c>
      <c r="D58" s="38" t="n">
        <f aca="false">INDEX('Frequency 1-72'!$B$2:$E$73,A58,MATCH(B58,{"A","C","G","U"},0))</f>
        <v>33</v>
      </c>
      <c r="E58" s="38" t="n">
        <f aca="false">'Frequency 1-72'!G16</f>
        <v>198</v>
      </c>
      <c r="F58" s="43" t="n">
        <v>1</v>
      </c>
      <c r="G58" s="45" t="n">
        <f aca="false">IF(E58=0,"",D58/E58)</f>
        <v>0.166666666666667</v>
      </c>
      <c r="H58" s="45" t="n">
        <f aca="false">I58/J58</f>
        <v>0.168316831683168</v>
      </c>
      <c r="I58" s="38" t="n">
        <f aca="false">D58+F58</f>
        <v>34</v>
      </c>
      <c r="J58" s="38" t="n">
        <f aca="false">E58+4*F58</f>
        <v>202</v>
      </c>
      <c r="K58" s="38" t="s">
        <v>603</v>
      </c>
      <c r="L58" s="38" t="n">
        <f aca="false">ROUND(SUMIF($A$2:$A$289,A58,$H$2:$H$289),9)</f>
        <v>1</v>
      </c>
    </row>
    <row r="59" customFormat="false" ht="15" hidden="false" customHeight="true" outlineLevel="0" collapsed="false">
      <c r="A59" s="38" t="n">
        <v>15</v>
      </c>
      <c r="B59" s="38" t="s">
        <v>170</v>
      </c>
      <c r="C59" s="38" t="str">
        <f aca="false">A59&amp;"|"&amp;B59</f>
        <v>15|C</v>
      </c>
      <c r="D59" s="38" t="n">
        <f aca="false">INDEX('Frequency 1-72'!$B$2:$E$73,A59,MATCH(B59,{"A","C","G","U"},0))</f>
        <v>2</v>
      </c>
      <c r="E59" s="38" t="n">
        <f aca="false">'Frequency 1-72'!G16</f>
        <v>198</v>
      </c>
      <c r="F59" s="43" t="n">
        <v>1</v>
      </c>
      <c r="G59" s="45" t="n">
        <f aca="false">IF(E59=0,"",D59/E59)</f>
        <v>0.0101010101010101</v>
      </c>
      <c r="H59" s="45" t="n">
        <f aca="false">I59/J59</f>
        <v>0.0148514851485149</v>
      </c>
      <c r="I59" s="38" t="n">
        <f aca="false">D59+F59</f>
        <v>3</v>
      </c>
      <c r="J59" s="38" t="n">
        <f aca="false">E59+4*F59</f>
        <v>202</v>
      </c>
      <c r="K59" s="38" t="s">
        <v>603</v>
      </c>
      <c r="L59" s="38" t="n">
        <f aca="false">ROUND(SUMIF($A$2:$A$289,A59,$H$2:$H$289),9)</f>
        <v>1</v>
      </c>
    </row>
    <row r="60" customFormat="false" ht="15" hidden="false" customHeight="true" outlineLevel="0" collapsed="false">
      <c r="A60" s="38" t="n">
        <v>15</v>
      </c>
      <c r="B60" s="38" t="s">
        <v>169</v>
      </c>
      <c r="C60" s="38" t="str">
        <f aca="false">A60&amp;"|"&amp;B60</f>
        <v>15|G</v>
      </c>
      <c r="D60" s="38" t="n">
        <f aca="false">INDEX('Frequency 1-72'!$B$2:$E$73,A60,MATCH(B60,{"A","C","G","U"},0))</f>
        <v>161</v>
      </c>
      <c r="E60" s="38" t="n">
        <f aca="false">'Frequency 1-72'!G16</f>
        <v>198</v>
      </c>
      <c r="F60" s="43" t="n">
        <v>1</v>
      </c>
      <c r="G60" s="45" t="n">
        <f aca="false">IF(E60=0,"",D60/E60)</f>
        <v>0.813131313131313</v>
      </c>
      <c r="H60" s="45" t="n">
        <f aca="false">I60/J60</f>
        <v>0.801980198019802</v>
      </c>
      <c r="I60" s="38" t="n">
        <f aca="false">D60+F60</f>
        <v>162</v>
      </c>
      <c r="J60" s="38" t="n">
        <f aca="false">E60+4*F60</f>
        <v>202</v>
      </c>
      <c r="K60" s="38" t="s">
        <v>603</v>
      </c>
      <c r="L60" s="38" t="n">
        <f aca="false">ROUND(SUMIF($A$2:$A$289,A60,$H$2:$H$289),9)</f>
        <v>1</v>
      </c>
    </row>
    <row r="61" customFormat="false" ht="15" hidden="false" customHeight="true" outlineLevel="0" collapsed="false">
      <c r="A61" s="38" t="n">
        <v>15</v>
      </c>
      <c r="B61" s="38" t="s">
        <v>171</v>
      </c>
      <c r="C61" s="38" t="str">
        <f aca="false">A61&amp;"|"&amp;B61</f>
        <v>15|U</v>
      </c>
      <c r="D61" s="38" t="n">
        <f aca="false">INDEX('Frequency 1-72'!$B$2:$E$73,A61,MATCH(B61,{"A","C","G","U"},0))</f>
        <v>2</v>
      </c>
      <c r="E61" s="38" t="n">
        <f aca="false">'Frequency 1-72'!G16</f>
        <v>198</v>
      </c>
      <c r="F61" s="43" t="n">
        <v>1</v>
      </c>
      <c r="G61" s="45" t="n">
        <f aca="false">IF(E61=0,"",D61/E61)</f>
        <v>0.0101010101010101</v>
      </c>
      <c r="H61" s="45" t="n">
        <f aca="false">I61/J61</f>
        <v>0.0148514851485149</v>
      </c>
      <c r="I61" s="38" t="n">
        <f aca="false">D61+F61</f>
        <v>3</v>
      </c>
      <c r="J61" s="38" t="n">
        <f aca="false">E61+4*F61</f>
        <v>202</v>
      </c>
      <c r="K61" s="38" t="s">
        <v>603</v>
      </c>
      <c r="L61" s="38" t="n">
        <f aca="false">ROUND(SUMIF($A$2:$A$289,A61,$H$2:$H$289),9)</f>
        <v>1</v>
      </c>
    </row>
    <row r="62" customFormat="false" ht="15" hidden="false" customHeight="true" outlineLevel="0" collapsed="false">
      <c r="A62" s="38" t="n">
        <v>16</v>
      </c>
      <c r="B62" s="38" t="s">
        <v>172</v>
      </c>
      <c r="C62" s="38" t="str">
        <f aca="false">A62&amp;"|"&amp;B62</f>
        <v>16|A</v>
      </c>
      <c r="D62" s="38" t="n">
        <f aca="false">INDEX('Frequency 1-72'!$B$2:$E$73,A62,MATCH(B62,{"A","C","G","U"},0))</f>
        <v>3</v>
      </c>
      <c r="E62" s="38" t="n">
        <f aca="false">'Frequency 1-72'!G17</f>
        <v>132</v>
      </c>
      <c r="F62" s="43" t="n">
        <v>1</v>
      </c>
      <c r="G62" s="45" t="n">
        <f aca="false">IF(E62=0,"",D62/E62)</f>
        <v>0.0227272727272727</v>
      </c>
      <c r="H62" s="45" t="n">
        <f aca="false">I62/J62</f>
        <v>0.0294117647058824</v>
      </c>
      <c r="I62" s="38" t="n">
        <f aca="false">D62+F62</f>
        <v>4</v>
      </c>
      <c r="J62" s="38" t="n">
        <f aca="false">E62+4*F62</f>
        <v>136</v>
      </c>
      <c r="K62" s="38" t="s">
        <v>603</v>
      </c>
      <c r="L62" s="38" t="n">
        <f aca="false">ROUND(SUMIF($A$2:$A$289,A62,$H$2:$H$289),9)</f>
        <v>1</v>
      </c>
    </row>
    <row r="63" customFormat="false" ht="15" hidden="false" customHeight="true" outlineLevel="0" collapsed="false">
      <c r="A63" s="38" t="n">
        <v>16</v>
      </c>
      <c r="B63" s="38" t="s">
        <v>170</v>
      </c>
      <c r="C63" s="38" t="str">
        <f aca="false">A63&amp;"|"&amp;B63</f>
        <v>16|C</v>
      </c>
      <c r="D63" s="38" t="n">
        <f aca="false">INDEX('Frequency 1-72'!$B$2:$E$73,A63,MATCH(B63,{"A","C","G","U"},0))</f>
        <v>47</v>
      </c>
      <c r="E63" s="38" t="n">
        <f aca="false">'Frequency 1-72'!G17</f>
        <v>132</v>
      </c>
      <c r="F63" s="43" t="n">
        <v>1</v>
      </c>
      <c r="G63" s="45" t="n">
        <f aca="false">IF(E63=0,"",D63/E63)</f>
        <v>0.356060606060606</v>
      </c>
      <c r="H63" s="45" t="n">
        <f aca="false">I63/J63</f>
        <v>0.352941176470588</v>
      </c>
      <c r="I63" s="38" t="n">
        <f aca="false">D63+F63</f>
        <v>48</v>
      </c>
      <c r="J63" s="38" t="n">
        <f aca="false">E63+4*F63</f>
        <v>136</v>
      </c>
      <c r="K63" s="38" t="s">
        <v>603</v>
      </c>
      <c r="L63" s="38" t="n">
        <f aca="false">ROUND(SUMIF($A$2:$A$289,A63,$H$2:$H$289),9)</f>
        <v>1</v>
      </c>
    </row>
    <row r="64" customFormat="false" ht="15" hidden="false" customHeight="true" outlineLevel="0" collapsed="false">
      <c r="A64" s="38" t="n">
        <v>16</v>
      </c>
      <c r="B64" s="38" t="s">
        <v>169</v>
      </c>
      <c r="C64" s="38" t="str">
        <f aca="false">A64&amp;"|"&amp;B64</f>
        <v>16|G</v>
      </c>
      <c r="D64" s="38" t="n">
        <f aca="false">INDEX('Frequency 1-72'!$B$2:$E$73,A64,MATCH(B64,{"A","C","G","U"},0))</f>
        <v>3</v>
      </c>
      <c r="E64" s="38" t="n">
        <f aca="false">'Frequency 1-72'!G17</f>
        <v>132</v>
      </c>
      <c r="F64" s="43" t="n">
        <v>1</v>
      </c>
      <c r="G64" s="45" t="n">
        <f aca="false">IF(E64=0,"",D64/E64)</f>
        <v>0.0227272727272727</v>
      </c>
      <c r="H64" s="45" t="n">
        <f aca="false">I64/J64</f>
        <v>0.0294117647058824</v>
      </c>
      <c r="I64" s="38" t="n">
        <f aca="false">D64+F64</f>
        <v>4</v>
      </c>
      <c r="J64" s="38" t="n">
        <f aca="false">E64+4*F64</f>
        <v>136</v>
      </c>
      <c r="K64" s="38" t="s">
        <v>603</v>
      </c>
      <c r="L64" s="38" t="n">
        <f aca="false">ROUND(SUMIF($A$2:$A$289,A64,$H$2:$H$289),9)</f>
        <v>1</v>
      </c>
    </row>
    <row r="65" customFormat="false" ht="15" hidden="false" customHeight="true" outlineLevel="0" collapsed="false">
      <c r="A65" s="38" t="n">
        <v>16</v>
      </c>
      <c r="B65" s="38" t="s">
        <v>171</v>
      </c>
      <c r="C65" s="38" t="str">
        <f aca="false">A65&amp;"|"&amp;B65</f>
        <v>16|U</v>
      </c>
      <c r="D65" s="38" t="n">
        <f aca="false">INDEX('Frequency 1-72'!$B$2:$E$73,A65,MATCH(B65,{"A","C","G","U"},0))</f>
        <v>79</v>
      </c>
      <c r="E65" s="38" t="n">
        <f aca="false">'Frequency 1-72'!G17</f>
        <v>132</v>
      </c>
      <c r="F65" s="43" t="n">
        <v>1</v>
      </c>
      <c r="G65" s="45" t="n">
        <f aca="false">IF(E65=0,"",D65/E65)</f>
        <v>0.598484848484849</v>
      </c>
      <c r="H65" s="45" t="n">
        <f aca="false">I65/J65</f>
        <v>0.588235294117647</v>
      </c>
      <c r="I65" s="38" t="n">
        <f aca="false">D65+F65</f>
        <v>80</v>
      </c>
      <c r="J65" s="38" t="n">
        <f aca="false">E65+4*F65</f>
        <v>136</v>
      </c>
      <c r="K65" s="38" t="s">
        <v>603</v>
      </c>
      <c r="L65" s="38" t="n">
        <f aca="false">ROUND(SUMIF($A$2:$A$289,A65,$H$2:$H$289),9)</f>
        <v>1</v>
      </c>
    </row>
    <row r="66" customFormat="false" ht="15" hidden="false" customHeight="true" outlineLevel="0" collapsed="false">
      <c r="A66" s="38" t="n">
        <v>17</v>
      </c>
      <c r="B66" s="38" t="s">
        <v>172</v>
      </c>
      <c r="C66" s="38" t="str">
        <f aca="false">A66&amp;"|"&amp;B66</f>
        <v>17|A</v>
      </c>
      <c r="D66" s="38" t="n">
        <f aca="false">INDEX('Frequency 1-72'!$B$2:$E$73,A66,MATCH(B66,{"A","C","G","U"},0))</f>
        <v>12</v>
      </c>
      <c r="E66" s="38" t="n">
        <f aca="false">'Frequency 1-72'!G18</f>
        <v>196</v>
      </c>
      <c r="F66" s="43" t="n">
        <v>1</v>
      </c>
      <c r="G66" s="45" t="n">
        <f aca="false">IF(E66=0,"",D66/E66)</f>
        <v>0.0612244897959184</v>
      </c>
      <c r="H66" s="45" t="n">
        <f aca="false">I66/J66</f>
        <v>0.065</v>
      </c>
      <c r="I66" s="38" t="n">
        <f aca="false">D66+F66</f>
        <v>13</v>
      </c>
      <c r="J66" s="38" t="n">
        <f aca="false">E66+4*F66</f>
        <v>200</v>
      </c>
      <c r="K66" s="38" t="s">
        <v>603</v>
      </c>
      <c r="L66" s="38" t="n">
        <f aca="false">ROUND(SUMIF($A$2:$A$289,A66,$H$2:$H$289),9)</f>
        <v>1</v>
      </c>
    </row>
    <row r="67" customFormat="false" ht="15" hidden="false" customHeight="true" outlineLevel="0" collapsed="false">
      <c r="A67" s="38" t="n">
        <v>17</v>
      </c>
      <c r="B67" s="38" t="s">
        <v>170</v>
      </c>
      <c r="C67" s="38" t="str">
        <f aca="false">A67&amp;"|"&amp;B67</f>
        <v>17|C</v>
      </c>
      <c r="D67" s="38" t="n">
        <f aca="false">INDEX('Frequency 1-72'!$B$2:$E$73,A67,MATCH(B67,{"A","C","G","U"},0))</f>
        <v>63</v>
      </c>
      <c r="E67" s="38" t="n">
        <f aca="false">'Frequency 1-72'!G18</f>
        <v>196</v>
      </c>
      <c r="F67" s="43" t="n">
        <v>1</v>
      </c>
      <c r="G67" s="45" t="n">
        <f aca="false">IF(E67=0,"",D67/E67)</f>
        <v>0.321428571428571</v>
      </c>
      <c r="H67" s="45" t="n">
        <f aca="false">I67/J67</f>
        <v>0.32</v>
      </c>
      <c r="I67" s="38" t="n">
        <f aca="false">D67+F67</f>
        <v>64</v>
      </c>
      <c r="J67" s="38" t="n">
        <f aca="false">E67+4*F67</f>
        <v>200</v>
      </c>
      <c r="K67" s="38" t="s">
        <v>603</v>
      </c>
      <c r="L67" s="38" t="n">
        <f aca="false">ROUND(SUMIF($A$2:$A$289,A67,$H$2:$H$289),9)</f>
        <v>1</v>
      </c>
    </row>
    <row r="68" customFormat="false" ht="15" hidden="false" customHeight="true" outlineLevel="0" collapsed="false">
      <c r="A68" s="38" t="n">
        <v>17</v>
      </c>
      <c r="B68" s="38" t="s">
        <v>169</v>
      </c>
      <c r="C68" s="38" t="str">
        <f aca="false">A68&amp;"|"&amp;B68</f>
        <v>17|G</v>
      </c>
      <c r="D68" s="38" t="n">
        <f aca="false">INDEX('Frequency 1-72'!$B$2:$E$73,A68,MATCH(B68,{"A","C","G","U"},0))</f>
        <v>8</v>
      </c>
      <c r="E68" s="38" t="n">
        <f aca="false">'Frequency 1-72'!G18</f>
        <v>196</v>
      </c>
      <c r="F68" s="43" t="n">
        <v>1</v>
      </c>
      <c r="G68" s="45" t="n">
        <f aca="false">IF(E68=0,"",D68/E68)</f>
        <v>0.0408163265306122</v>
      </c>
      <c r="H68" s="45" t="n">
        <f aca="false">I68/J68</f>
        <v>0.045</v>
      </c>
      <c r="I68" s="38" t="n">
        <f aca="false">D68+F68</f>
        <v>9</v>
      </c>
      <c r="J68" s="38" t="n">
        <f aca="false">E68+4*F68</f>
        <v>200</v>
      </c>
      <c r="K68" s="38" t="s">
        <v>603</v>
      </c>
      <c r="L68" s="38" t="n">
        <f aca="false">ROUND(SUMIF($A$2:$A$289,A68,$H$2:$H$289),9)</f>
        <v>1</v>
      </c>
    </row>
    <row r="69" customFormat="false" ht="15" hidden="false" customHeight="true" outlineLevel="0" collapsed="false">
      <c r="A69" s="38" t="n">
        <v>17</v>
      </c>
      <c r="B69" s="38" t="s">
        <v>171</v>
      </c>
      <c r="C69" s="38" t="str">
        <f aca="false">A69&amp;"|"&amp;B69</f>
        <v>17|U</v>
      </c>
      <c r="D69" s="38" t="n">
        <f aca="false">INDEX('Frequency 1-72'!$B$2:$E$73,A69,MATCH(B69,{"A","C","G","U"},0))</f>
        <v>113</v>
      </c>
      <c r="E69" s="38" t="n">
        <f aca="false">'Frequency 1-72'!G18</f>
        <v>196</v>
      </c>
      <c r="F69" s="43" t="n">
        <v>1</v>
      </c>
      <c r="G69" s="45" t="n">
        <f aca="false">IF(E69=0,"",D69/E69)</f>
        <v>0.576530612244898</v>
      </c>
      <c r="H69" s="45" t="n">
        <f aca="false">I69/J69</f>
        <v>0.57</v>
      </c>
      <c r="I69" s="38" t="n">
        <f aca="false">D69+F69</f>
        <v>114</v>
      </c>
      <c r="J69" s="38" t="n">
        <f aca="false">E69+4*F69</f>
        <v>200</v>
      </c>
      <c r="K69" s="38" t="s">
        <v>603</v>
      </c>
      <c r="L69" s="38" t="n">
        <f aca="false">ROUND(SUMIF($A$2:$A$289,A69,$H$2:$H$289),9)</f>
        <v>1</v>
      </c>
    </row>
    <row r="70" customFormat="false" ht="15" hidden="false" customHeight="true" outlineLevel="0" collapsed="false">
      <c r="A70" s="38" t="n">
        <v>18</v>
      </c>
      <c r="B70" s="38" t="s">
        <v>172</v>
      </c>
      <c r="C70" s="38" t="str">
        <f aca="false">A70&amp;"|"&amp;B70</f>
        <v>18|A</v>
      </c>
      <c r="D70" s="38" t="n">
        <f aca="false">INDEX('Frequency 1-72'!$B$2:$E$73,A70,MATCH(B70,{"A","C","G","U"},0))</f>
        <v>1</v>
      </c>
      <c r="E70" s="38" t="n">
        <f aca="false">'Frequency 1-72'!G19</f>
        <v>199</v>
      </c>
      <c r="F70" s="43" t="n">
        <v>1</v>
      </c>
      <c r="G70" s="45" t="n">
        <f aca="false">IF(E70=0,"",D70/E70)</f>
        <v>0.0050251256281407</v>
      </c>
      <c r="H70" s="45" t="n">
        <f aca="false">I70/J70</f>
        <v>0.00985221674876847</v>
      </c>
      <c r="I70" s="38" t="n">
        <f aca="false">D70+F70</f>
        <v>2</v>
      </c>
      <c r="J70" s="38" t="n">
        <f aca="false">E70+4*F70</f>
        <v>203</v>
      </c>
      <c r="K70" s="38" t="s">
        <v>603</v>
      </c>
      <c r="L70" s="38" t="n">
        <f aca="false">ROUND(SUMIF($A$2:$A$289,A70,$H$2:$H$289),9)</f>
        <v>1</v>
      </c>
    </row>
    <row r="71" customFormat="false" ht="15" hidden="false" customHeight="true" outlineLevel="0" collapsed="false">
      <c r="A71" s="38" t="n">
        <v>18</v>
      </c>
      <c r="B71" s="38" t="s">
        <v>170</v>
      </c>
      <c r="C71" s="38" t="str">
        <f aca="false">A71&amp;"|"&amp;B71</f>
        <v>18|C</v>
      </c>
      <c r="D71" s="38" t="n">
        <f aca="false">INDEX('Frequency 1-72'!$B$2:$E$73,A71,MATCH(B71,{"A","C","G","U"},0))</f>
        <v>0</v>
      </c>
      <c r="E71" s="38" t="n">
        <f aca="false">'Frequency 1-72'!G19</f>
        <v>199</v>
      </c>
      <c r="F71" s="43" t="n">
        <v>1</v>
      </c>
      <c r="G71" s="45" t="n">
        <f aca="false">IF(E71=0,"",D71/E71)</f>
        <v>0</v>
      </c>
      <c r="H71" s="45" t="n">
        <f aca="false">I71/J71</f>
        <v>0.00492610837438424</v>
      </c>
      <c r="I71" s="38" t="n">
        <f aca="false">D71+F71</f>
        <v>1</v>
      </c>
      <c r="J71" s="38" t="n">
        <f aca="false">E71+4*F71</f>
        <v>203</v>
      </c>
      <c r="K71" s="38" t="s">
        <v>603</v>
      </c>
      <c r="L71" s="38" t="n">
        <f aca="false">ROUND(SUMIF($A$2:$A$289,A71,$H$2:$H$289),9)</f>
        <v>1</v>
      </c>
    </row>
    <row r="72" customFormat="false" ht="15" hidden="false" customHeight="true" outlineLevel="0" collapsed="false">
      <c r="A72" s="38" t="n">
        <v>18</v>
      </c>
      <c r="B72" s="38" t="s">
        <v>169</v>
      </c>
      <c r="C72" s="38" t="str">
        <f aca="false">A72&amp;"|"&amp;B72</f>
        <v>18|G</v>
      </c>
      <c r="D72" s="38" t="n">
        <f aca="false">INDEX('Frequency 1-72'!$B$2:$E$73,A72,MATCH(B72,{"A","C","G","U"},0))</f>
        <v>198</v>
      </c>
      <c r="E72" s="38" t="n">
        <f aca="false">'Frequency 1-72'!G19</f>
        <v>199</v>
      </c>
      <c r="F72" s="43" t="n">
        <v>1</v>
      </c>
      <c r="G72" s="45" t="n">
        <f aca="false">IF(E72=0,"",D72/E72)</f>
        <v>0.994974874371859</v>
      </c>
      <c r="H72" s="45" t="n">
        <f aca="false">I72/J72</f>
        <v>0.980295566502463</v>
      </c>
      <c r="I72" s="38" t="n">
        <f aca="false">D72+F72</f>
        <v>199</v>
      </c>
      <c r="J72" s="38" t="n">
        <f aca="false">E72+4*F72</f>
        <v>203</v>
      </c>
      <c r="K72" s="38" t="s">
        <v>603</v>
      </c>
      <c r="L72" s="38" t="n">
        <f aca="false">ROUND(SUMIF($A$2:$A$289,A72,$H$2:$H$289),9)</f>
        <v>1</v>
      </c>
    </row>
    <row r="73" customFormat="false" ht="15" hidden="false" customHeight="true" outlineLevel="0" collapsed="false">
      <c r="A73" s="38" t="n">
        <v>18</v>
      </c>
      <c r="B73" s="38" t="s">
        <v>171</v>
      </c>
      <c r="C73" s="38" t="str">
        <f aca="false">A73&amp;"|"&amp;B73</f>
        <v>18|U</v>
      </c>
      <c r="D73" s="38" t="n">
        <f aca="false">INDEX('Frequency 1-72'!$B$2:$E$73,A73,MATCH(B73,{"A","C","G","U"},0))</f>
        <v>0</v>
      </c>
      <c r="E73" s="38" t="n">
        <f aca="false">'Frequency 1-72'!G19</f>
        <v>199</v>
      </c>
      <c r="F73" s="43" t="n">
        <v>1</v>
      </c>
      <c r="G73" s="45" t="n">
        <f aca="false">IF(E73=0,"",D73/E73)</f>
        <v>0</v>
      </c>
      <c r="H73" s="45" t="n">
        <f aca="false">I73/J73</f>
        <v>0.00492610837438424</v>
      </c>
      <c r="I73" s="38" t="n">
        <f aca="false">D73+F73</f>
        <v>1</v>
      </c>
      <c r="J73" s="38" t="n">
        <f aca="false">E73+4*F73</f>
        <v>203</v>
      </c>
      <c r="K73" s="38" t="s">
        <v>603</v>
      </c>
      <c r="L73" s="38" t="n">
        <f aca="false">ROUND(SUMIF($A$2:$A$289,A73,$H$2:$H$289),9)</f>
        <v>1</v>
      </c>
    </row>
    <row r="74" customFormat="false" ht="15" hidden="false" customHeight="true" outlineLevel="0" collapsed="false">
      <c r="A74" s="38" t="n">
        <v>19</v>
      </c>
      <c r="B74" s="38" t="s">
        <v>172</v>
      </c>
      <c r="C74" s="38" t="str">
        <f aca="false">A74&amp;"|"&amp;B74</f>
        <v>19|A</v>
      </c>
      <c r="D74" s="38" t="n">
        <f aca="false">INDEX('Frequency 1-72'!$B$2:$E$73,A74,MATCH(B74,{"A","C","G","U"},0))</f>
        <v>1</v>
      </c>
      <c r="E74" s="38" t="n">
        <f aca="false">'Frequency 1-72'!G20</f>
        <v>199</v>
      </c>
      <c r="F74" s="43" t="n">
        <v>1</v>
      </c>
      <c r="G74" s="45" t="n">
        <f aca="false">IF(E74=0,"",D74/E74)</f>
        <v>0.0050251256281407</v>
      </c>
      <c r="H74" s="45" t="n">
        <f aca="false">I74/J74</f>
        <v>0.00985221674876847</v>
      </c>
      <c r="I74" s="38" t="n">
        <f aca="false">D74+F74</f>
        <v>2</v>
      </c>
      <c r="J74" s="38" t="n">
        <f aca="false">E74+4*F74</f>
        <v>203</v>
      </c>
      <c r="K74" s="38" t="s">
        <v>603</v>
      </c>
      <c r="L74" s="38" t="n">
        <f aca="false">ROUND(SUMIF($A$2:$A$289,A74,$H$2:$H$289),9)</f>
        <v>1</v>
      </c>
    </row>
    <row r="75" customFormat="false" ht="15" hidden="false" customHeight="true" outlineLevel="0" collapsed="false">
      <c r="A75" s="38" t="n">
        <v>19</v>
      </c>
      <c r="B75" s="38" t="s">
        <v>170</v>
      </c>
      <c r="C75" s="38" t="str">
        <f aca="false">A75&amp;"|"&amp;B75</f>
        <v>19|C</v>
      </c>
      <c r="D75" s="38" t="n">
        <f aca="false">INDEX('Frequency 1-72'!$B$2:$E$73,A75,MATCH(B75,{"A","C","G","U"},0))</f>
        <v>0</v>
      </c>
      <c r="E75" s="38" t="n">
        <f aca="false">'Frequency 1-72'!G20</f>
        <v>199</v>
      </c>
      <c r="F75" s="43" t="n">
        <v>1</v>
      </c>
      <c r="G75" s="45" t="n">
        <f aca="false">IF(E75=0,"",D75/E75)</f>
        <v>0</v>
      </c>
      <c r="H75" s="45" t="n">
        <f aca="false">I75/J75</f>
        <v>0.00492610837438424</v>
      </c>
      <c r="I75" s="38" t="n">
        <f aca="false">D75+F75</f>
        <v>1</v>
      </c>
      <c r="J75" s="38" t="n">
        <f aca="false">E75+4*F75</f>
        <v>203</v>
      </c>
      <c r="K75" s="38" t="s">
        <v>603</v>
      </c>
      <c r="L75" s="38" t="n">
        <f aca="false">ROUND(SUMIF($A$2:$A$289,A75,$H$2:$H$289),9)</f>
        <v>1</v>
      </c>
    </row>
    <row r="76" customFormat="false" ht="15" hidden="false" customHeight="true" outlineLevel="0" collapsed="false">
      <c r="A76" s="38" t="n">
        <v>19</v>
      </c>
      <c r="B76" s="38" t="s">
        <v>169</v>
      </c>
      <c r="C76" s="38" t="str">
        <f aca="false">A76&amp;"|"&amp;B76</f>
        <v>19|G</v>
      </c>
      <c r="D76" s="38" t="n">
        <f aca="false">INDEX('Frequency 1-72'!$B$2:$E$73,A76,MATCH(B76,{"A","C","G","U"},0))</f>
        <v>196</v>
      </c>
      <c r="E76" s="38" t="n">
        <f aca="false">'Frequency 1-72'!G20</f>
        <v>199</v>
      </c>
      <c r="F76" s="43" t="n">
        <v>1</v>
      </c>
      <c r="G76" s="45" t="n">
        <f aca="false">IF(E76=0,"",D76/E76)</f>
        <v>0.984924623115578</v>
      </c>
      <c r="H76" s="45" t="n">
        <f aca="false">I76/J76</f>
        <v>0.970443349753695</v>
      </c>
      <c r="I76" s="38" t="n">
        <f aca="false">D76+F76</f>
        <v>197</v>
      </c>
      <c r="J76" s="38" t="n">
        <f aca="false">E76+4*F76</f>
        <v>203</v>
      </c>
      <c r="K76" s="38" t="s">
        <v>603</v>
      </c>
      <c r="L76" s="38" t="n">
        <f aca="false">ROUND(SUMIF($A$2:$A$289,A76,$H$2:$H$289),9)</f>
        <v>1</v>
      </c>
    </row>
    <row r="77" customFormat="false" ht="15" hidden="false" customHeight="true" outlineLevel="0" collapsed="false">
      <c r="A77" s="38" t="n">
        <v>19</v>
      </c>
      <c r="B77" s="38" t="s">
        <v>171</v>
      </c>
      <c r="C77" s="38" t="str">
        <f aca="false">A77&amp;"|"&amp;B77</f>
        <v>19|U</v>
      </c>
      <c r="D77" s="38" t="n">
        <f aca="false">INDEX('Frequency 1-72'!$B$2:$E$73,A77,MATCH(B77,{"A","C","G","U"},0))</f>
        <v>2</v>
      </c>
      <c r="E77" s="38" t="n">
        <f aca="false">'Frequency 1-72'!G20</f>
        <v>199</v>
      </c>
      <c r="F77" s="43" t="n">
        <v>1</v>
      </c>
      <c r="G77" s="45" t="n">
        <f aca="false">IF(E77=0,"",D77/E77)</f>
        <v>0.0100502512562814</v>
      </c>
      <c r="H77" s="45" t="n">
        <f aca="false">I77/J77</f>
        <v>0.0147783251231527</v>
      </c>
      <c r="I77" s="38" t="n">
        <f aca="false">D77+F77</f>
        <v>3</v>
      </c>
      <c r="J77" s="38" t="n">
        <f aca="false">E77+4*F77</f>
        <v>203</v>
      </c>
      <c r="K77" s="38" t="s">
        <v>603</v>
      </c>
      <c r="L77" s="38" t="n">
        <f aca="false">ROUND(SUMIF($A$2:$A$289,A77,$H$2:$H$289),9)</f>
        <v>1</v>
      </c>
    </row>
    <row r="78" customFormat="false" ht="15" hidden="false" customHeight="true" outlineLevel="0" collapsed="false">
      <c r="A78" s="38" t="n">
        <v>20</v>
      </c>
      <c r="B78" s="38" t="s">
        <v>172</v>
      </c>
      <c r="C78" s="38" t="str">
        <f aca="false">A78&amp;"|"&amp;B78</f>
        <v>20|A</v>
      </c>
      <c r="D78" s="38" t="n">
        <f aca="false">INDEX('Frequency 1-72'!$B$2:$E$73,A78,MATCH(B78,{"A","C","G","U"},0))</f>
        <v>17</v>
      </c>
      <c r="E78" s="38" t="n">
        <f aca="false">'Frequency 1-72'!G21</f>
        <v>198</v>
      </c>
      <c r="F78" s="43" t="n">
        <v>1</v>
      </c>
      <c r="G78" s="45" t="n">
        <f aca="false">IF(E78=0,"",D78/E78)</f>
        <v>0.0858585858585859</v>
      </c>
      <c r="H78" s="45" t="n">
        <f aca="false">I78/J78</f>
        <v>0.0891089108910891</v>
      </c>
      <c r="I78" s="38" t="n">
        <f aca="false">D78+F78</f>
        <v>18</v>
      </c>
      <c r="J78" s="38" t="n">
        <f aca="false">E78+4*F78</f>
        <v>202</v>
      </c>
      <c r="K78" s="38" t="s">
        <v>603</v>
      </c>
      <c r="L78" s="38" t="n">
        <f aca="false">ROUND(SUMIF($A$2:$A$289,A78,$H$2:$H$289),9)</f>
        <v>1</v>
      </c>
    </row>
    <row r="79" customFormat="false" ht="15" hidden="false" customHeight="true" outlineLevel="0" collapsed="false">
      <c r="A79" s="38" t="n">
        <v>20</v>
      </c>
      <c r="B79" s="38" t="s">
        <v>170</v>
      </c>
      <c r="C79" s="38" t="str">
        <f aca="false">A79&amp;"|"&amp;B79</f>
        <v>20|C</v>
      </c>
      <c r="D79" s="38" t="n">
        <f aca="false">INDEX('Frequency 1-72'!$B$2:$E$73,A79,MATCH(B79,{"A","C","G","U"},0))</f>
        <v>45</v>
      </c>
      <c r="E79" s="38" t="n">
        <f aca="false">'Frequency 1-72'!G21</f>
        <v>198</v>
      </c>
      <c r="F79" s="43" t="n">
        <v>1</v>
      </c>
      <c r="G79" s="45" t="n">
        <f aca="false">IF(E79=0,"",D79/E79)</f>
        <v>0.227272727272727</v>
      </c>
      <c r="H79" s="45" t="n">
        <f aca="false">I79/J79</f>
        <v>0.227722772277228</v>
      </c>
      <c r="I79" s="38" t="n">
        <f aca="false">D79+F79</f>
        <v>46</v>
      </c>
      <c r="J79" s="38" t="n">
        <f aca="false">E79+4*F79</f>
        <v>202</v>
      </c>
      <c r="K79" s="38" t="s">
        <v>603</v>
      </c>
      <c r="L79" s="38" t="n">
        <f aca="false">ROUND(SUMIF($A$2:$A$289,A79,$H$2:$H$289),9)</f>
        <v>1</v>
      </c>
    </row>
    <row r="80" customFormat="false" ht="15" hidden="false" customHeight="true" outlineLevel="0" collapsed="false">
      <c r="A80" s="38" t="n">
        <v>20</v>
      </c>
      <c r="B80" s="38" t="s">
        <v>169</v>
      </c>
      <c r="C80" s="38" t="str">
        <f aca="false">A80&amp;"|"&amp;B80</f>
        <v>20|G</v>
      </c>
      <c r="D80" s="38" t="n">
        <f aca="false">INDEX('Frequency 1-72'!$B$2:$E$73,A80,MATCH(B80,{"A","C","G","U"},0))</f>
        <v>18</v>
      </c>
      <c r="E80" s="38" t="n">
        <f aca="false">'Frequency 1-72'!G21</f>
        <v>198</v>
      </c>
      <c r="F80" s="43" t="n">
        <v>1</v>
      </c>
      <c r="G80" s="45" t="n">
        <f aca="false">IF(E80=0,"",D80/E80)</f>
        <v>0.0909090909090909</v>
      </c>
      <c r="H80" s="45" t="n">
        <f aca="false">I80/J80</f>
        <v>0.0940594059405941</v>
      </c>
      <c r="I80" s="38" t="n">
        <f aca="false">D80+F80</f>
        <v>19</v>
      </c>
      <c r="J80" s="38" t="n">
        <f aca="false">E80+4*F80</f>
        <v>202</v>
      </c>
      <c r="K80" s="38" t="s">
        <v>603</v>
      </c>
      <c r="L80" s="38" t="n">
        <f aca="false">ROUND(SUMIF($A$2:$A$289,A80,$H$2:$H$289),9)</f>
        <v>1</v>
      </c>
    </row>
    <row r="81" customFormat="false" ht="15" hidden="false" customHeight="true" outlineLevel="0" collapsed="false">
      <c r="A81" s="38" t="n">
        <v>20</v>
      </c>
      <c r="B81" s="38" t="s">
        <v>171</v>
      </c>
      <c r="C81" s="38" t="str">
        <f aca="false">A81&amp;"|"&amp;B81</f>
        <v>20|U</v>
      </c>
      <c r="D81" s="38" t="n">
        <f aca="false">INDEX('Frequency 1-72'!$B$2:$E$73,A81,MATCH(B81,{"A","C","G","U"},0))</f>
        <v>118</v>
      </c>
      <c r="E81" s="38" t="n">
        <f aca="false">'Frequency 1-72'!G21</f>
        <v>198</v>
      </c>
      <c r="F81" s="43" t="n">
        <v>1</v>
      </c>
      <c r="G81" s="45" t="n">
        <f aca="false">IF(E81=0,"",D81/E81)</f>
        <v>0.595959595959596</v>
      </c>
      <c r="H81" s="45" t="n">
        <f aca="false">I81/J81</f>
        <v>0.589108910891089</v>
      </c>
      <c r="I81" s="38" t="n">
        <f aca="false">D81+F81</f>
        <v>119</v>
      </c>
      <c r="J81" s="38" t="n">
        <f aca="false">E81+4*F81</f>
        <v>202</v>
      </c>
      <c r="K81" s="38" t="s">
        <v>603</v>
      </c>
      <c r="L81" s="38" t="n">
        <f aca="false">ROUND(SUMIF($A$2:$A$289,A81,$H$2:$H$289),9)</f>
        <v>1</v>
      </c>
    </row>
    <row r="82" customFormat="false" ht="15" hidden="false" customHeight="true" outlineLevel="0" collapsed="false">
      <c r="A82" s="38" t="n">
        <v>21</v>
      </c>
      <c r="B82" s="38" t="s">
        <v>172</v>
      </c>
      <c r="C82" s="38" t="str">
        <f aca="false">A82&amp;"|"&amp;B82</f>
        <v>21|A</v>
      </c>
      <c r="D82" s="38" t="n">
        <f aca="false">INDEX('Frequency 1-72'!$B$2:$E$73,A82,MATCH(B82,{"A","C","G","U"},0))</f>
        <v>178</v>
      </c>
      <c r="E82" s="38" t="n">
        <f aca="false">'Frequency 1-72'!G22</f>
        <v>199</v>
      </c>
      <c r="F82" s="43" t="n">
        <v>1</v>
      </c>
      <c r="G82" s="45" t="n">
        <f aca="false">IF(E82=0,"",D82/E82)</f>
        <v>0.894472361809045</v>
      </c>
      <c r="H82" s="45" t="n">
        <f aca="false">I82/J82</f>
        <v>0.881773399014778</v>
      </c>
      <c r="I82" s="38" t="n">
        <f aca="false">D82+F82</f>
        <v>179</v>
      </c>
      <c r="J82" s="38" t="n">
        <f aca="false">E82+4*F82</f>
        <v>203</v>
      </c>
      <c r="K82" s="38" t="s">
        <v>603</v>
      </c>
      <c r="L82" s="38" t="n">
        <f aca="false">ROUND(SUMIF($A$2:$A$289,A82,$H$2:$H$289),9)</f>
        <v>1</v>
      </c>
    </row>
    <row r="83" customFormat="false" ht="15" hidden="false" customHeight="true" outlineLevel="0" collapsed="false">
      <c r="A83" s="38" t="n">
        <v>21</v>
      </c>
      <c r="B83" s="38" t="s">
        <v>170</v>
      </c>
      <c r="C83" s="38" t="str">
        <f aca="false">A83&amp;"|"&amp;B83</f>
        <v>21|C</v>
      </c>
      <c r="D83" s="38" t="n">
        <f aca="false">INDEX('Frequency 1-72'!$B$2:$E$73,A83,MATCH(B83,{"A","C","G","U"},0))</f>
        <v>4</v>
      </c>
      <c r="E83" s="38" t="n">
        <f aca="false">'Frequency 1-72'!G22</f>
        <v>199</v>
      </c>
      <c r="F83" s="43" t="n">
        <v>1</v>
      </c>
      <c r="G83" s="45" t="n">
        <f aca="false">IF(E83=0,"",D83/E83)</f>
        <v>0.0201005025125628</v>
      </c>
      <c r="H83" s="45" t="n">
        <f aca="false">I83/J83</f>
        <v>0.0246305418719212</v>
      </c>
      <c r="I83" s="38" t="n">
        <f aca="false">D83+F83</f>
        <v>5</v>
      </c>
      <c r="J83" s="38" t="n">
        <f aca="false">E83+4*F83</f>
        <v>203</v>
      </c>
      <c r="K83" s="38" t="s">
        <v>603</v>
      </c>
      <c r="L83" s="38" t="n">
        <f aca="false">ROUND(SUMIF($A$2:$A$289,A83,$H$2:$H$289),9)</f>
        <v>1</v>
      </c>
    </row>
    <row r="84" customFormat="false" ht="15" hidden="false" customHeight="true" outlineLevel="0" collapsed="false">
      <c r="A84" s="38" t="n">
        <v>21</v>
      </c>
      <c r="B84" s="38" t="s">
        <v>169</v>
      </c>
      <c r="C84" s="38" t="str">
        <f aca="false">A84&amp;"|"&amp;B84</f>
        <v>21|G</v>
      </c>
      <c r="D84" s="38" t="n">
        <f aca="false">INDEX('Frequency 1-72'!$B$2:$E$73,A84,MATCH(B84,{"A","C","G","U"},0))</f>
        <v>7</v>
      </c>
      <c r="E84" s="38" t="n">
        <f aca="false">'Frequency 1-72'!G22</f>
        <v>199</v>
      </c>
      <c r="F84" s="43" t="n">
        <v>1</v>
      </c>
      <c r="G84" s="45" t="n">
        <f aca="false">IF(E84=0,"",D84/E84)</f>
        <v>0.0351758793969849</v>
      </c>
      <c r="H84" s="45" t="n">
        <f aca="false">I84/J84</f>
        <v>0.0394088669950739</v>
      </c>
      <c r="I84" s="38" t="n">
        <f aca="false">D84+F84</f>
        <v>8</v>
      </c>
      <c r="J84" s="38" t="n">
        <f aca="false">E84+4*F84</f>
        <v>203</v>
      </c>
      <c r="K84" s="38" t="s">
        <v>603</v>
      </c>
      <c r="L84" s="38" t="n">
        <f aca="false">ROUND(SUMIF($A$2:$A$289,A84,$H$2:$H$289),9)</f>
        <v>1</v>
      </c>
    </row>
    <row r="85" customFormat="false" ht="15" hidden="false" customHeight="true" outlineLevel="0" collapsed="false">
      <c r="A85" s="38" t="n">
        <v>21</v>
      </c>
      <c r="B85" s="38" t="s">
        <v>171</v>
      </c>
      <c r="C85" s="38" t="str">
        <f aca="false">A85&amp;"|"&amp;B85</f>
        <v>21|U</v>
      </c>
      <c r="D85" s="38" t="n">
        <f aca="false">INDEX('Frequency 1-72'!$B$2:$E$73,A85,MATCH(B85,{"A","C","G","U"},0))</f>
        <v>10</v>
      </c>
      <c r="E85" s="38" t="n">
        <f aca="false">'Frequency 1-72'!G22</f>
        <v>199</v>
      </c>
      <c r="F85" s="43" t="n">
        <v>1</v>
      </c>
      <c r="G85" s="45" t="n">
        <f aca="false">IF(E85=0,"",D85/E85)</f>
        <v>0.050251256281407</v>
      </c>
      <c r="H85" s="45" t="n">
        <f aca="false">I85/J85</f>
        <v>0.0541871921182266</v>
      </c>
      <c r="I85" s="38" t="n">
        <f aca="false">D85+F85</f>
        <v>11</v>
      </c>
      <c r="J85" s="38" t="n">
        <f aca="false">E85+4*F85</f>
        <v>203</v>
      </c>
      <c r="K85" s="38" t="s">
        <v>603</v>
      </c>
      <c r="L85" s="38" t="n">
        <f aca="false">ROUND(SUMIF($A$2:$A$289,A85,$H$2:$H$289),9)</f>
        <v>1</v>
      </c>
    </row>
    <row r="86" customFormat="false" ht="15" hidden="false" customHeight="true" outlineLevel="0" collapsed="false">
      <c r="A86" s="38" t="n">
        <v>22</v>
      </c>
      <c r="B86" s="38" t="s">
        <v>172</v>
      </c>
      <c r="C86" s="38" t="str">
        <f aca="false">A86&amp;"|"&amp;B86</f>
        <v>22|A</v>
      </c>
      <c r="D86" s="38" t="n">
        <f aca="false">INDEX('Frequency 1-72'!$B$2:$E$73,A86,MATCH(B86,{"A","C","G","U"},0))</f>
        <v>41</v>
      </c>
      <c r="E86" s="38" t="n">
        <f aca="false">'Frequency 1-72'!G23</f>
        <v>199</v>
      </c>
      <c r="F86" s="43" t="n">
        <v>1</v>
      </c>
      <c r="G86" s="45" t="n">
        <f aca="false">IF(E86=0,"",D86/E86)</f>
        <v>0.206030150753769</v>
      </c>
      <c r="H86" s="45" t="n">
        <f aca="false">I86/J86</f>
        <v>0.206896551724138</v>
      </c>
      <c r="I86" s="38" t="n">
        <f aca="false">D86+F86</f>
        <v>42</v>
      </c>
      <c r="J86" s="38" t="n">
        <f aca="false">E86+4*F86</f>
        <v>203</v>
      </c>
      <c r="K86" s="38" t="s">
        <v>603</v>
      </c>
      <c r="L86" s="38" t="n">
        <f aca="false">ROUND(SUMIF($A$2:$A$289,A86,$H$2:$H$289),9)</f>
        <v>1</v>
      </c>
    </row>
    <row r="87" customFormat="false" ht="15" hidden="false" customHeight="true" outlineLevel="0" collapsed="false">
      <c r="A87" s="38" t="n">
        <v>22</v>
      </c>
      <c r="B87" s="38" t="s">
        <v>170</v>
      </c>
      <c r="C87" s="38" t="str">
        <f aca="false">A87&amp;"|"&amp;B87</f>
        <v>22|C</v>
      </c>
      <c r="D87" s="38" t="n">
        <f aca="false">INDEX('Frequency 1-72'!$B$2:$E$73,A87,MATCH(B87,{"A","C","G","U"},0))</f>
        <v>0</v>
      </c>
      <c r="E87" s="38" t="n">
        <f aca="false">'Frequency 1-72'!G23</f>
        <v>199</v>
      </c>
      <c r="F87" s="43" t="n">
        <v>1</v>
      </c>
      <c r="G87" s="45" t="n">
        <f aca="false">IF(E87=0,"",D87/E87)</f>
        <v>0</v>
      </c>
      <c r="H87" s="45" t="n">
        <f aca="false">I87/J87</f>
        <v>0.00492610837438424</v>
      </c>
      <c r="I87" s="38" t="n">
        <f aca="false">D87+F87</f>
        <v>1</v>
      </c>
      <c r="J87" s="38" t="n">
        <f aca="false">E87+4*F87</f>
        <v>203</v>
      </c>
      <c r="K87" s="38" t="s">
        <v>603</v>
      </c>
      <c r="L87" s="38" t="n">
        <f aca="false">ROUND(SUMIF($A$2:$A$289,A87,$H$2:$H$289),9)</f>
        <v>1</v>
      </c>
    </row>
    <row r="88" customFormat="false" ht="15" hidden="false" customHeight="true" outlineLevel="0" collapsed="false">
      <c r="A88" s="38" t="n">
        <v>22</v>
      </c>
      <c r="B88" s="38" t="s">
        <v>169</v>
      </c>
      <c r="C88" s="38" t="str">
        <f aca="false">A88&amp;"|"&amp;B88</f>
        <v>22|G</v>
      </c>
      <c r="D88" s="38" t="n">
        <f aca="false">INDEX('Frequency 1-72'!$B$2:$E$73,A88,MATCH(B88,{"A","C","G","U"},0))</f>
        <v>144</v>
      </c>
      <c r="E88" s="38" t="n">
        <f aca="false">'Frequency 1-72'!G23</f>
        <v>199</v>
      </c>
      <c r="F88" s="43" t="n">
        <v>1</v>
      </c>
      <c r="G88" s="45" t="n">
        <f aca="false">IF(E88=0,"",D88/E88)</f>
        <v>0.723618090452261</v>
      </c>
      <c r="H88" s="45" t="n">
        <f aca="false">I88/J88</f>
        <v>0.714285714285714</v>
      </c>
      <c r="I88" s="38" t="n">
        <f aca="false">D88+F88</f>
        <v>145</v>
      </c>
      <c r="J88" s="38" t="n">
        <f aca="false">E88+4*F88</f>
        <v>203</v>
      </c>
      <c r="K88" s="38" t="s">
        <v>603</v>
      </c>
      <c r="L88" s="38" t="n">
        <f aca="false">ROUND(SUMIF($A$2:$A$289,A88,$H$2:$H$289),9)</f>
        <v>1</v>
      </c>
    </row>
    <row r="89" customFormat="false" ht="15" hidden="false" customHeight="true" outlineLevel="0" collapsed="false">
      <c r="A89" s="38" t="n">
        <v>22</v>
      </c>
      <c r="B89" s="38" t="s">
        <v>171</v>
      </c>
      <c r="C89" s="38" t="str">
        <f aca="false">A89&amp;"|"&amp;B89</f>
        <v>22|U</v>
      </c>
      <c r="D89" s="38" t="n">
        <f aca="false">INDEX('Frequency 1-72'!$B$2:$E$73,A89,MATCH(B89,{"A","C","G","U"},0))</f>
        <v>14</v>
      </c>
      <c r="E89" s="38" t="n">
        <f aca="false">'Frequency 1-72'!G23</f>
        <v>199</v>
      </c>
      <c r="F89" s="43" t="n">
        <v>1</v>
      </c>
      <c r="G89" s="45" t="n">
        <f aca="false">IF(E89=0,"",D89/E89)</f>
        <v>0.0703517587939699</v>
      </c>
      <c r="H89" s="45" t="n">
        <f aca="false">I89/J89</f>
        <v>0.0738916256157636</v>
      </c>
      <c r="I89" s="38" t="n">
        <f aca="false">D89+F89</f>
        <v>15</v>
      </c>
      <c r="J89" s="38" t="n">
        <f aca="false">E89+4*F89</f>
        <v>203</v>
      </c>
      <c r="K89" s="38" t="s">
        <v>603</v>
      </c>
      <c r="L89" s="38" t="n">
        <f aca="false">ROUND(SUMIF($A$2:$A$289,A89,$H$2:$H$289),9)</f>
        <v>1</v>
      </c>
    </row>
    <row r="90" customFormat="false" ht="15" hidden="false" customHeight="true" outlineLevel="0" collapsed="false">
      <c r="A90" s="38" t="n">
        <v>23</v>
      </c>
      <c r="B90" s="38" t="s">
        <v>172</v>
      </c>
      <c r="C90" s="38" t="str">
        <f aca="false">A90&amp;"|"&amp;B90</f>
        <v>23|A</v>
      </c>
      <c r="D90" s="38" t="n">
        <f aca="false">INDEX('Frequency 1-72'!$B$2:$E$73,A90,MATCH(B90,{"A","C","G","U"},0))</f>
        <v>120</v>
      </c>
      <c r="E90" s="38" t="n">
        <f aca="false">'Frequency 1-72'!G24</f>
        <v>199</v>
      </c>
      <c r="F90" s="43" t="n">
        <v>1</v>
      </c>
      <c r="G90" s="45" t="n">
        <f aca="false">IF(E90=0,"",D90/E90)</f>
        <v>0.603015075376884</v>
      </c>
      <c r="H90" s="45" t="n">
        <f aca="false">I90/J90</f>
        <v>0.596059113300493</v>
      </c>
      <c r="I90" s="38" t="n">
        <f aca="false">D90+F90</f>
        <v>121</v>
      </c>
      <c r="J90" s="38" t="n">
        <f aca="false">E90+4*F90</f>
        <v>203</v>
      </c>
      <c r="K90" s="38" t="s">
        <v>603</v>
      </c>
      <c r="L90" s="38" t="n">
        <f aca="false">ROUND(SUMIF($A$2:$A$289,A90,$H$2:$H$289),9)</f>
        <v>1</v>
      </c>
    </row>
    <row r="91" customFormat="false" ht="15" hidden="false" customHeight="true" outlineLevel="0" collapsed="false">
      <c r="A91" s="38" t="n">
        <v>23</v>
      </c>
      <c r="B91" s="38" t="s">
        <v>170</v>
      </c>
      <c r="C91" s="38" t="str">
        <f aca="false">A91&amp;"|"&amp;B91</f>
        <v>23|C</v>
      </c>
      <c r="D91" s="38" t="n">
        <f aca="false">INDEX('Frequency 1-72'!$B$2:$E$73,A91,MATCH(B91,{"A","C","G","U"},0))</f>
        <v>38</v>
      </c>
      <c r="E91" s="38" t="n">
        <f aca="false">'Frequency 1-72'!G24</f>
        <v>199</v>
      </c>
      <c r="F91" s="43" t="n">
        <v>1</v>
      </c>
      <c r="G91" s="45" t="n">
        <f aca="false">IF(E91=0,"",D91/E91)</f>
        <v>0.190954773869347</v>
      </c>
      <c r="H91" s="45" t="n">
        <f aca="false">I91/J91</f>
        <v>0.192118226600985</v>
      </c>
      <c r="I91" s="38" t="n">
        <f aca="false">D91+F91</f>
        <v>39</v>
      </c>
      <c r="J91" s="38" t="n">
        <f aca="false">E91+4*F91</f>
        <v>203</v>
      </c>
      <c r="K91" s="38" t="s">
        <v>603</v>
      </c>
      <c r="L91" s="38" t="n">
        <f aca="false">ROUND(SUMIF($A$2:$A$289,A91,$H$2:$H$289),9)</f>
        <v>1</v>
      </c>
    </row>
    <row r="92" customFormat="false" ht="15" hidden="false" customHeight="true" outlineLevel="0" collapsed="false">
      <c r="A92" s="38" t="n">
        <v>23</v>
      </c>
      <c r="B92" s="38" t="s">
        <v>169</v>
      </c>
      <c r="C92" s="38" t="str">
        <f aca="false">A92&amp;"|"&amp;B92</f>
        <v>23|G</v>
      </c>
      <c r="D92" s="38" t="n">
        <f aca="false">INDEX('Frequency 1-72'!$B$2:$E$73,A92,MATCH(B92,{"A","C","G","U"},0))</f>
        <v>29</v>
      </c>
      <c r="E92" s="38" t="n">
        <f aca="false">'Frequency 1-72'!G24</f>
        <v>199</v>
      </c>
      <c r="F92" s="43" t="n">
        <v>1</v>
      </c>
      <c r="G92" s="45" t="n">
        <f aca="false">IF(E92=0,"",D92/E92)</f>
        <v>0.14572864321608</v>
      </c>
      <c r="H92" s="45" t="n">
        <f aca="false">I92/J92</f>
        <v>0.147783251231527</v>
      </c>
      <c r="I92" s="38" t="n">
        <f aca="false">D92+F92</f>
        <v>30</v>
      </c>
      <c r="J92" s="38" t="n">
        <f aca="false">E92+4*F92</f>
        <v>203</v>
      </c>
      <c r="K92" s="38" t="s">
        <v>603</v>
      </c>
      <c r="L92" s="38" t="n">
        <f aca="false">ROUND(SUMIF($A$2:$A$289,A92,$H$2:$H$289),9)</f>
        <v>1</v>
      </c>
    </row>
    <row r="93" customFormat="false" ht="15" hidden="false" customHeight="true" outlineLevel="0" collapsed="false">
      <c r="A93" s="38" t="n">
        <v>23</v>
      </c>
      <c r="B93" s="38" t="s">
        <v>171</v>
      </c>
      <c r="C93" s="38" t="str">
        <f aca="false">A93&amp;"|"&amp;B93</f>
        <v>23|U</v>
      </c>
      <c r="D93" s="38" t="n">
        <f aca="false">INDEX('Frequency 1-72'!$B$2:$E$73,A93,MATCH(B93,{"A","C","G","U"},0))</f>
        <v>12</v>
      </c>
      <c r="E93" s="38" t="n">
        <f aca="false">'Frequency 1-72'!G24</f>
        <v>199</v>
      </c>
      <c r="F93" s="43" t="n">
        <v>1</v>
      </c>
      <c r="G93" s="45" t="n">
        <f aca="false">IF(E93=0,"",D93/E93)</f>
        <v>0.0603015075376884</v>
      </c>
      <c r="H93" s="45" t="n">
        <f aca="false">I93/J93</f>
        <v>0.0640394088669951</v>
      </c>
      <c r="I93" s="38" t="n">
        <f aca="false">D93+F93</f>
        <v>13</v>
      </c>
      <c r="J93" s="38" t="n">
        <f aca="false">E93+4*F93</f>
        <v>203</v>
      </c>
      <c r="K93" s="38" t="s">
        <v>603</v>
      </c>
      <c r="L93" s="38" t="n">
        <f aca="false">ROUND(SUMIF($A$2:$A$289,A93,$H$2:$H$289),9)</f>
        <v>1</v>
      </c>
    </row>
    <row r="94" customFormat="false" ht="15" hidden="false" customHeight="true" outlineLevel="0" collapsed="false">
      <c r="A94" s="38" t="n">
        <v>24</v>
      </c>
      <c r="B94" s="38" t="s">
        <v>172</v>
      </c>
      <c r="C94" s="38" t="str">
        <f aca="false">A94&amp;"|"&amp;B94</f>
        <v>24|A</v>
      </c>
      <c r="D94" s="38" t="n">
        <f aca="false">INDEX('Frequency 1-72'!$B$2:$E$73,A94,MATCH(B94,{"A","C","G","U"},0))</f>
        <v>37</v>
      </c>
      <c r="E94" s="38" t="n">
        <f aca="false">'Frequency 1-72'!G25</f>
        <v>199</v>
      </c>
      <c r="F94" s="43" t="n">
        <v>1</v>
      </c>
      <c r="G94" s="45" t="n">
        <f aca="false">IF(E94=0,"",D94/E94)</f>
        <v>0.185929648241206</v>
      </c>
      <c r="H94" s="45" t="n">
        <f aca="false">I94/J94</f>
        <v>0.187192118226601</v>
      </c>
      <c r="I94" s="38" t="n">
        <f aca="false">D94+F94</f>
        <v>38</v>
      </c>
      <c r="J94" s="38" t="n">
        <f aca="false">E94+4*F94</f>
        <v>203</v>
      </c>
      <c r="K94" s="38" t="s">
        <v>603</v>
      </c>
      <c r="L94" s="38" t="n">
        <f aca="false">ROUND(SUMIF($A$2:$A$289,A94,$H$2:$H$289),9)</f>
        <v>1</v>
      </c>
    </row>
    <row r="95" customFormat="false" ht="15" hidden="false" customHeight="true" outlineLevel="0" collapsed="false">
      <c r="A95" s="38" t="n">
        <v>24</v>
      </c>
      <c r="B95" s="38" t="s">
        <v>170</v>
      </c>
      <c r="C95" s="38" t="str">
        <f aca="false">A95&amp;"|"&amp;B95</f>
        <v>24|C</v>
      </c>
      <c r="D95" s="38" t="n">
        <f aca="false">INDEX('Frequency 1-72'!$B$2:$E$73,A95,MATCH(B95,{"A","C","G","U"},0))</f>
        <v>6</v>
      </c>
      <c r="E95" s="38" t="n">
        <f aca="false">'Frequency 1-72'!G25</f>
        <v>199</v>
      </c>
      <c r="F95" s="43" t="n">
        <v>1</v>
      </c>
      <c r="G95" s="45" t="n">
        <f aca="false">IF(E95=0,"",D95/E95)</f>
        <v>0.0301507537688442</v>
      </c>
      <c r="H95" s="45" t="n">
        <f aca="false">I95/J95</f>
        <v>0.0344827586206897</v>
      </c>
      <c r="I95" s="38" t="n">
        <f aca="false">D95+F95</f>
        <v>7</v>
      </c>
      <c r="J95" s="38" t="n">
        <f aca="false">E95+4*F95</f>
        <v>203</v>
      </c>
      <c r="K95" s="38" t="s">
        <v>603</v>
      </c>
      <c r="L95" s="38" t="n">
        <f aca="false">ROUND(SUMIF($A$2:$A$289,A95,$H$2:$H$289),9)</f>
        <v>1</v>
      </c>
    </row>
    <row r="96" customFormat="false" ht="15" hidden="false" customHeight="true" outlineLevel="0" collapsed="false">
      <c r="A96" s="38" t="n">
        <v>24</v>
      </c>
      <c r="B96" s="38" t="s">
        <v>169</v>
      </c>
      <c r="C96" s="38" t="str">
        <f aca="false">A96&amp;"|"&amp;B96</f>
        <v>24|G</v>
      </c>
      <c r="D96" s="38" t="n">
        <f aca="false">INDEX('Frequency 1-72'!$B$2:$E$73,A96,MATCH(B96,{"A","C","G","U"},0))</f>
        <v>149</v>
      </c>
      <c r="E96" s="38" t="n">
        <f aca="false">'Frequency 1-72'!G25</f>
        <v>199</v>
      </c>
      <c r="F96" s="43" t="n">
        <v>1</v>
      </c>
      <c r="G96" s="45" t="n">
        <f aca="false">IF(E96=0,"",D96/E96)</f>
        <v>0.748743718592965</v>
      </c>
      <c r="H96" s="45" t="n">
        <f aca="false">I96/J96</f>
        <v>0.738916256157636</v>
      </c>
      <c r="I96" s="38" t="n">
        <f aca="false">D96+F96</f>
        <v>150</v>
      </c>
      <c r="J96" s="38" t="n">
        <f aca="false">E96+4*F96</f>
        <v>203</v>
      </c>
      <c r="K96" s="38" t="s">
        <v>603</v>
      </c>
      <c r="L96" s="38" t="n">
        <f aca="false">ROUND(SUMIF($A$2:$A$289,A96,$H$2:$H$289),9)</f>
        <v>1</v>
      </c>
    </row>
    <row r="97" customFormat="false" ht="15" hidden="false" customHeight="true" outlineLevel="0" collapsed="false">
      <c r="A97" s="38" t="n">
        <v>24</v>
      </c>
      <c r="B97" s="38" t="s">
        <v>171</v>
      </c>
      <c r="C97" s="38" t="str">
        <f aca="false">A97&amp;"|"&amp;B97</f>
        <v>24|U</v>
      </c>
      <c r="D97" s="38" t="n">
        <f aca="false">INDEX('Frequency 1-72'!$B$2:$E$73,A97,MATCH(B97,{"A","C","G","U"},0))</f>
        <v>7</v>
      </c>
      <c r="E97" s="38" t="n">
        <f aca="false">'Frequency 1-72'!G25</f>
        <v>199</v>
      </c>
      <c r="F97" s="43" t="n">
        <v>1</v>
      </c>
      <c r="G97" s="45" t="n">
        <f aca="false">IF(E97=0,"",D97/E97)</f>
        <v>0.0351758793969849</v>
      </c>
      <c r="H97" s="45" t="n">
        <f aca="false">I97/J97</f>
        <v>0.0394088669950739</v>
      </c>
      <c r="I97" s="38" t="n">
        <f aca="false">D97+F97</f>
        <v>8</v>
      </c>
      <c r="J97" s="38" t="n">
        <f aca="false">E97+4*F97</f>
        <v>203</v>
      </c>
      <c r="K97" s="38" t="s">
        <v>603</v>
      </c>
      <c r="L97" s="38" t="n">
        <f aca="false">ROUND(SUMIF($A$2:$A$289,A97,$H$2:$H$289),9)</f>
        <v>1</v>
      </c>
    </row>
    <row r="98" customFormat="false" ht="15" hidden="false" customHeight="true" outlineLevel="0" collapsed="false">
      <c r="A98" s="38" t="n">
        <v>25</v>
      </c>
      <c r="B98" s="38" t="s">
        <v>172</v>
      </c>
      <c r="C98" s="38" t="str">
        <f aca="false">A98&amp;"|"&amp;B98</f>
        <v>25|A</v>
      </c>
      <c r="D98" s="38" t="n">
        <f aca="false">INDEX('Frequency 1-72'!$B$2:$E$73,A98,MATCH(B98,{"A","C","G","U"},0))</f>
        <v>1</v>
      </c>
      <c r="E98" s="38" t="n">
        <f aca="false">'Frequency 1-72'!G26</f>
        <v>199</v>
      </c>
      <c r="F98" s="43" t="n">
        <v>1</v>
      </c>
      <c r="G98" s="45" t="n">
        <f aca="false">IF(E98=0,"",D98/E98)</f>
        <v>0.0050251256281407</v>
      </c>
      <c r="H98" s="45" t="n">
        <f aca="false">I98/J98</f>
        <v>0.00985221674876847</v>
      </c>
      <c r="I98" s="38" t="n">
        <f aca="false">D98+F98</f>
        <v>2</v>
      </c>
      <c r="J98" s="38" t="n">
        <f aca="false">E98+4*F98</f>
        <v>203</v>
      </c>
      <c r="K98" s="38" t="s">
        <v>603</v>
      </c>
      <c r="L98" s="38" t="n">
        <f aca="false">ROUND(SUMIF($A$2:$A$289,A98,$H$2:$H$289),9)</f>
        <v>1</v>
      </c>
    </row>
    <row r="99" customFormat="false" ht="15" hidden="false" customHeight="true" outlineLevel="0" collapsed="false">
      <c r="A99" s="38" t="n">
        <v>25</v>
      </c>
      <c r="B99" s="38" t="s">
        <v>170</v>
      </c>
      <c r="C99" s="38" t="str">
        <f aca="false">A99&amp;"|"&amp;B99</f>
        <v>25|C</v>
      </c>
      <c r="D99" s="38" t="n">
        <f aca="false">INDEX('Frequency 1-72'!$B$2:$E$73,A99,MATCH(B99,{"A","C","G","U"},0))</f>
        <v>177</v>
      </c>
      <c r="E99" s="38" t="n">
        <f aca="false">'Frequency 1-72'!G26</f>
        <v>199</v>
      </c>
      <c r="F99" s="43" t="n">
        <v>1</v>
      </c>
      <c r="G99" s="45" t="n">
        <f aca="false">IF(E99=0,"",D99/E99)</f>
        <v>0.889447236180905</v>
      </c>
      <c r="H99" s="45" t="n">
        <f aca="false">I99/J99</f>
        <v>0.876847290640394</v>
      </c>
      <c r="I99" s="38" t="n">
        <f aca="false">D99+F99</f>
        <v>178</v>
      </c>
      <c r="J99" s="38" t="n">
        <f aca="false">E99+4*F99</f>
        <v>203</v>
      </c>
      <c r="K99" s="38" t="s">
        <v>603</v>
      </c>
      <c r="L99" s="38" t="n">
        <f aca="false">ROUND(SUMIF($A$2:$A$289,A99,$H$2:$H$289),9)</f>
        <v>1</v>
      </c>
    </row>
    <row r="100" customFormat="false" ht="15" hidden="false" customHeight="true" outlineLevel="0" collapsed="false">
      <c r="A100" s="38" t="n">
        <v>25</v>
      </c>
      <c r="B100" s="38" t="s">
        <v>169</v>
      </c>
      <c r="C100" s="38" t="str">
        <f aca="false">A100&amp;"|"&amp;B100</f>
        <v>25|G</v>
      </c>
      <c r="D100" s="38" t="n">
        <f aca="false">INDEX('Frequency 1-72'!$B$2:$E$73,A100,MATCH(B100,{"A","C","G","U"},0))</f>
        <v>7</v>
      </c>
      <c r="E100" s="38" t="n">
        <f aca="false">'Frequency 1-72'!G26</f>
        <v>199</v>
      </c>
      <c r="F100" s="43" t="n">
        <v>1</v>
      </c>
      <c r="G100" s="45" t="n">
        <f aca="false">IF(E100=0,"",D100/E100)</f>
        <v>0.0351758793969849</v>
      </c>
      <c r="H100" s="45" t="n">
        <f aca="false">I100/J100</f>
        <v>0.0394088669950739</v>
      </c>
      <c r="I100" s="38" t="n">
        <f aca="false">D100+F100</f>
        <v>8</v>
      </c>
      <c r="J100" s="38" t="n">
        <f aca="false">E100+4*F100</f>
        <v>203</v>
      </c>
      <c r="K100" s="38" t="s">
        <v>603</v>
      </c>
      <c r="L100" s="38" t="n">
        <f aca="false">ROUND(SUMIF($A$2:$A$289,A100,$H$2:$H$289),9)</f>
        <v>1</v>
      </c>
    </row>
    <row r="101" customFormat="false" ht="15" hidden="false" customHeight="true" outlineLevel="0" collapsed="false">
      <c r="A101" s="38" t="n">
        <v>25</v>
      </c>
      <c r="B101" s="38" t="s">
        <v>171</v>
      </c>
      <c r="C101" s="38" t="str">
        <f aca="false">A101&amp;"|"&amp;B101</f>
        <v>25|U</v>
      </c>
      <c r="D101" s="38" t="n">
        <f aca="false">INDEX('Frequency 1-72'!$B$2:$E$73,A101,MATCH(B101,{"A","C","G","U"},0))</f>
        <v>14</v>
      </c>
      <c r="E101" s="38" t="n">
        <f aca="false">'Frequency 1-72'!G26</f>
        <v>199</v>
      </c>
      <c r="F101" s="43" t="n">
        <v>1</v>
      </c>
      <c r="G101" s="45" t="n">
        <f aca="false">IF(E101=0,"",D101/E101)</f>
        <v>0.0703517587939699</v>
      </c>
      <c r="H101" s="45" t="n">
        <f aca="false">I101/J101</f>
        <v>0.0738916256157636</v>
      </c>
      <c r="I101" s="38" t="n">
        <f aca="false">D101+F101</f>
        <v>15</v>
      </c>
      <c r="J101" s="38" t="n">
        <f aca="false">E101+4*F101</f>
        <v>203</v>
      </c>
      <c r="K101" s="38" t="s">
        <v>603</v>
      </c>
      <c r="L101" s="38" t="n">
        <f aca="false">ROUND(SUMIF($A$2:$A$289,A101,$H$2:$H$289),9)</f>
        <v>1</v>
      </c>
    </row>
    <row r="102" customFormat="false" ht="15" hidden="false" customHeight="true" outlineLevel="0" collapsed="false">
      <c r="A102" s="38" t="n">
        <v>26</v>
      </c>
      <c r="B102" s="38" t="s">
        <v>172</v>
      </c>
      <c r="C102" s="38" t="str">
        <f aca="false">A102&amp;"|"&amp;B102</f>
        <v>26|A</v>
      </c>
      <c r="D102" s="38" t="n">
        <f aca="false">INDEX('Frequency 1-72'!$B$2:$E$73,A102,MATCH(B102,{"A","C","G","U"},0))</f>
        <v>83</v>
      </c>
      <c r="E102" s="38" t="n">
        <f aca="false">'Frequency 1-72'!G27</f>
        <v>199</v>
      </c>
      <c r="F102" s="43" t="n">
        <v>1</v>
      </c>
      <c r="G102" s="45" t="n">
        <f aca="false">IF(E102=0,"",D102/E102)</f>
        <v>0.417085427135678</v>
      </c>
      <c r="H102" s="45" t="n">
        <f aca="false">I102/J102</f>
        <v>0.413793103448276</v>
      </c>
      <c r="I102" s="38" t="n">
        <f aca="false">D102+F102</f>
        <v>84</v>
      </c>
      <c r="J102" s="38" t="n">
        <f aca="false">E102+4*F102</f>
        <v>203</v>
      </c>
      <c r="K102" s="38" t="s">
        <v>603</v>
      </c>
      <c r="L102" s="38" t="n">
        <f aca="false">ROUND(SUMIF($A$2:$A$289,A102,$H$2:$H$289),9)</f>
        <v>1</v>
      </c>
    </row>
    <row r="103" customFormat="false" ht="15" hidden="false" customHeight="true" outlineLevel="0" collapsed="false">
      <c r="A103" s="38" t="n">
        <v>26</v>
      </c>
      <c r="B103" s="38" t="s">
        <v>170</v>
      </c>
      <c r="C103" s="38" t="str">
        <f aca="false">A103&amp;"|"&amp;B103</f>
        <v>26|C</v>
      </c>
      <c r="D103" s="38" t="n">
        <f aca="false">INDEX('Frequency 1-72'!$B$2:$E$73,A103,MATCH(B103,{"A","C","G","U"},0))</f>
        <v>5</v>
      </c>
      <c r="E103" s="38" t="n">
        <f aca="false">'Frequency 1-72'!G27</f>
        <v>199</v>
      </c>
      <c r="F103" s="43" t="n">
        <v>1</v>
      </c>
      <c r="G103" s="45" t="n">
        <f aca="false">IF(E103=0,"",D103/E103)</f>
        <v>0.0251256281407035</v>
      </c>
      <c r="H103" s="45" t="n">
        <f aca="false">I103/J103</f>
        <v>0.0295566502463054</v>
      </c>
      <c r="I103" s="38" t="n">
        <f aca="false">D103+F103</f>
        <v>6</v>
      </c>
      <c r="J103" s="38" t="n">
        <f aca="false">E103+4*F103</f>
        <v>203</v>
      </c>
      <c r="K103" s="38" t="s">
        <v>603</v>
      </c>
      <c r="L103" s="38" t="n">
        <f aca="false">ROUND(SUMIF($A$2:$A$289,A103,$H$2:$H$289),9)</f>
        <v>1</v>
      </c>
    </row>
    <row r="104" customFormat="false" ht="15" hidden="false" customHeight="true" outlineLevel="0" collapsed="false">
      <c r="A104" s="38" t="n">
        <v>26</v>
      </c>
      <c r="B104" s="38" t="s">
        <v>169</v>
      </c>
      <c r="C104" s="38" t="str">
        <f aca="false">A104&amp;"|"&amp;B104</f>
        <v>26|G</v>
      </c>
      <c r="D104" s="38" t="n">
        <f aca="false">INDEX('Frequency 1-72'!$B$2:$E$73,A104,MATCH(B104,{"A","C","G","U"},0))</f>
        <v>100</v>
      </c>
      <c r="E104" s="38" t="n">
        <f aca="false">'Frequency 1-72'!G27</f>
        <v>199</v>
      </c>
      <c r="F104" s="43" t="n">
        <v>1</v>
      </c>
      <c r="G104" s="45" t="n">
        <f aca="false">IF(E104=0,"",D104/E104)</f>
        <v>0.50251256281407</v>
      </c>
      <c r="H104" s="45" t="n">
        <f aca="false">I104/J104</f>
        <v>0.497536945812808</v>
      </c>
      <c r="I104" s="38" t="n">
        <f aca="false">D104+F104</f>
        <v>101</v>
      </c>
      <c r="J104" s="38" t="n">
        <f aca="false">E104+4*F104</f>
        <v>203</v>
      </c>
      <c r="K104" s="38" t="s">
        <v>603</v>
      </c>
      <c r="L104" s="38" t="n">
        <f aca="false">ROUND(SUMIF($A$2:$A$289,A104,$H$2:$H$289),9)</f>
        <v>1</v>
      </c>
    </row>
    <row r="105" customFormat="false" ht="15" hidden="false" customHeight="true" outlineLevel="0" collapsed="false">
      <c r="A105" s="38" t="n">
        <v>26</v>
      </c>
      <c r="B105" s="38" t="s">
        <v>171</v>
      </c>
      <c r="C105" s="38" t="str">
        <f aca="false">A105&amp;"|"&amp;B105</f>
        <v>26|U</v>
      </c>
      <c r="D105" s="38" t="n">
        <f aca="false">INDEX('Frequency 1-72'!$B$2:$E$73,A105,MATCH(B105,{"A","C","G","U"},0))</f>
        <v>11</v>
      </c>
      <c r="E105" s="38" t="n">
        <f aca="false">'Frequency 1-72'!G27</f>
        <v>199</v>
      </c>
      <c r="F105" s="43" t="n">
        <v>1</v>
      </c>
      <c r="G105" s="45" t="n">
        <f aca="false">IF(E105=0,"",D105/E105)</f>
        <v>0.0552763819095477</v>
      </c>
      <c r="H105" s="45" t="n">
        <f aca="false">I105/J105</f>
        <v>0.0591133004926108</v>
      </c>
      <c r="I105" s="38" t="n">
        <f aca="false">D105+F105</f>
        <v>12</v>
      </c>
      <c r="J105" s="38" t="n">
        <f aca="false">E105+4*F105</f>
        <v>203</v>
      </c>
      <c r="K105" s="38" t="s">
        <v>603</v>
      </c>
      <c r="L105" s="38" t="n">
        <f aca="false">ROUND(SUMIF($A$2:$A$289,A105,$H$2:$H$289),9)</f>
        <v>1</v>
      </c>
    </row>
    <row r="106" customFormat="false" ht="15" hidden="false" customHeight="true" outlineLevel="0" collapsed="false">
      <c r="A106" s="38" t="n">
        <v>27</v>
      </c>
      <c r="B106" s="38" t="s">
        <v>172</v>
      </c>
      <c r="C106" s="38" t="str">
        <f aca="false">A106&amp;"|"&amp;B106</f>
        <v>27|A</v>
      </c>
      <c r="D106" s="38" t="n">
        <f aca="false">INDEX('Frequency 1-72'!$B$2:$E$73,A106,MATCH(B106,{"A","C","G","U"},0))</f>
        <v>24</v>
      </c>
      <c r="E106" s="38" t="n">
        <f aca="false">'Frequency 1-72'!G28</f>
        <v>199</v>
      </c>
      <c r="F106" s="43" t="n">
        <v>1</v>
      </c>
      <c r="G106" s="45" t="n">
        <f aca="false">IF(E106=0,"",D106/E106)</f>
        <v>0.120603015075377</v>
      </c>
      <c r="H106" s="45" t="n">
        <f aca="false">I106/J106</f>
        <v>0.123152709359606</v>
      </c>
      <c r="I106" s="38" t="n">
        <f aca="false">D106+F106</f>
        <v>25</v>
      </c>
      <c r="J106" s="38" t="n">
        <f aca="false">E106+4*F106</f>
        <v>203</v>
      </c>
      <c r="K106" s="38" t="s">
        <v>603</v>
      </c>
      <c r="L106" s="38" t="n">
        <f aca="false">ROUND(SUMIF($A$2:$A$289,A106,$H$2:$H$289),9)</f>
        <v>1</v>
      </c>
    </row>
    <row r="107" customFormat="false" ht="15" hidden="false" customHeight="true" outlineLevel="0" collapsed="false">
      <c r="A107" s="38" t="n">
        <v>27</v>
      </c>
      <c r="B107" s="38" t="s">
        <v>170</v>
      </c>
      <c r="C107" s="38" t="str">
        <f aca="false">A107&amp;"|"&amp;B107</f>
        <v>27|C</v>
      </c>
      <c r="D107" s="38" t="n">
        <f aca="false">INDEX('Frequency 1-72'!$B$2:$E$73,A107,MATCH(B107,{"A","C","G","U"},0))</f>
        <v>93</v>
      </c>
      <c r="E107" s="38" t="n">
        <f aca="false">'Frequency 1-72'!G28</f>
        <v>199</v>
      </c>
      <c r="F107" s="43" t="n">
        <v>1</v>
      </c>
      <c r="G107" s="45" t="n">
        <f aca="false">IF(E107=0,"",D107/E107)</f>
        <v>0.467336683417085</v>
      </c>
      <c r="H107" s="45" t="n">
        <f aca="false">I107/J107</f>
        <v>0.463054187192118</v>
      </c>
      <c r="I107" s="38" t="n">
        <f aca="false">D107+F107</f>
        <v>94</v>
      </c>
      <c r="J107" s="38" t="n">
        <f aca="false">E107+4*F107</f>
        <v>203</v>
      </c>
      <c r="K107" s="38" t="s">
        <v>603</v>
      </c>
      <c r="L107" s="38" t="n">
        <f aca="false">ROUND(SUMIF($A$2:$A$289,A107,$H$2:$H$289),9)</f>
        <v>1</v>
      </c>
    </row>
    <row r="108" customFormat="false" ht="15" hidden="false" customHeight="true" outlineLevel="0" collapsed="false">
      <c r="A108" s="38" t="n">
        <v>27</v>
      </c>
      <c r="B108" s="38" t="s">
        <v>169</v>
      </c>
      <c r="C108" s="38" t="str">
        <f aca="false">A108&amp;"|"&amp;B108</f>
        <v>27|G</v>
      </c>
      <c r="D108" s="38" t="n">
        <f aca="false">INDEX('Frequency 1-72'!$B$2:$E$73,A108,MATCH(B108,{"A","C","G","U"},0))</f>
        <v>31</v>
      </c>
      <c r="E108" s="38" t="n">
        <f aca="false">'Frequency 1-72'!G28</f>
        <v>199</v>
      </c>
      <c r="F108" s="43" t="n">
        <v>1</v>
      </c>
      <c r="G108" s="45" t="n">
        <f aca="false">IF(E108=0,"",D108/E108)</f>
        <v>0.155778894472362</v>
      </c>
      <c r="H108" s="45" t="n">
        <f aca="false">I108/J108</f>
        <v>0.157635467980296</v>
      </c>
      <c r="I108" s="38" t="n">
        <f aca="false">D108+F108</f>
        <v>32</v>
      </c>
      <c r="J108" s="38" t="n">
        <f aca="false">E108+4*F108</f>
        <v>203</v>
      </c>
      <c r="K108" s="38" t="s">
        <v>603</v>
      </c>
      <c r="L108" s="38" t="n">
        <f aca="false">ROUND(SUMIF($A$2:$A$289,A108,$H$2:$H$289),9)</f>
        <v>1</v>
      </c>
    </row>
    <row r="109" customFormat="false" ht="15" hidden="false" customHeight="true" outlineLevel="0" collapsed="false">
      <c r="A109" s="38" t="n">
        <v>27</v>
      </c>
      <c r="B109" s="38" t="s">
        <v>171</v>
      </c>
      <c r="C109" s="38" t="str">
        <f aca="false">A109&amp;"|"&amp;B109</f>
        <v>27|U</v>
      </c>
      <c r="D109" s="38" t="n">
        <f aca="false">INDEX('Frequency 1-72'!$B$2:$E$73,A109,MATCH(B109,{"A","C","G","U"},0))</f>
        <v>51</v>
      </c>
      <c r="E109" s="38" t="n">
        <f aca="false">'Frequency 1-72'!G28</f>
        <v>199</v>
      </c>
      <c r="F109" s="43" t="n">
        <v>1</v>
      </c>
      <c r="G109" s="45" t="n">
        <f aca="false">IF(E109=0,"",D109/E109)</f>
        <v>0.256281407035176</v>
      </c>
      <c r="H109" s="45" t="n">
        <f aca="false">I109/J109</f>
        <v>0.25615763546798</v>
      </c>
      <c r="I109" s="38" t="n">
        <f aca="false">D109+F109</f>
        <v>52</v>
      </c>
      <c r="J109" s="38" t="n">
        <f aca="false">E109+4*F109</f>
        <v>203</v>
      </c>
      <c r="K109" s="38" t="s">
        <v>603</v>
      </c>
      <c r="L109" s="38" t="n">
        <f aca="false">ROUND(SUMIF($A$2:$A$289,A109,$H$2:$H$289),9)</f>
        <v>1</v>
      </c>
    </row>
    <row r="110" customFormat="false" ht="15" hidden="false" customHeight="true" outlineLevel="0" collapsed="false">
      <c r="A110" s="38" t="n">
        <v>28</v>
      </c>
      <c r="B110" s="38" t="s">
        <v>172</v>
      </c>
      <c r="C110" s="38" t="str">
        <f aca="false">A110&amp;"|"&amp;B110</f>
        <v>28|A</v>
      </c>
      <c r="D110" s="38" t="n">
        <f aca="false">INDEX('Frequency 1-72'!$B$2:$E$73,A110,MATCH(B110,{"A","C","G","U"},0))</f>
        <v>24</v>
      </c>
      <c r="E110" s="38" t="n">
        <f aca="false">'Frequency 1-72'!G29</f>
        <v>199</v>
      </c>
      <c r="F110" s="43" t="n">
        <v>1</v>
      </c>
      <c r="G110" s="45" t="n">
        <f aca="false">IF(E110=0,"",D110/E110)</f>
        <v>0.120603015075377</v>
      </c>
      <c r="H110" s="45" t="n">
        <f aca="false">I110/J110</f>
        <v>0.123152709359606</v>
      </c>
      <c r="I110" s="38" t="n">
        <f aca="false">D110+F110</f>
        <v>25</v>
      </c>
      <c r="J110" s="38" t="n">
        <f aca="false">E110+4*F110</f>
        <v>203</v>
      </c>
      <c r="K110" s="38" t="s">
        <v>603</v>
      </c>
      <c r="L110" s="38" t="n">
        <f aca="false">ROUND(SUMIF($A$2:$A$289,A110,$H$2:$H$289),9)</f>
        <v>1</v>
      </c>
    </row>
    <row r="111" customFormat="false" ht="15" hidden="false" customHeight="true" outlineLevel="0" collapsed="false">
      <c r="A111" s="38" t="n">
        <v>28</v>
      </c>
      <c r="B111" s="38" t="s">
        <v>170</v>
      </c>
      <c r="C111" s="38" t="str">
        <f aca="false">A111&amp;"|"&amp;B111</f>
        <v>28|C</v>
      </c>
      <c r="D111" s="38" t="n">
        <f aca="false">INDEX('Frequency 1-72'!$B$2:$E$73,A111,MATCH(B111,{"A","C","G","U"},0))</f>
        <v>103</v>
      </c>
      <c r="E111" s="38" t="n">
        <f aca="false">'Frequency 1-72'!G29</f>
        <v>199</v>
      </c>
      <c r="F111" s="43" t="n">
        <v>1</v>
      </c>
      <c r="G111" s="45" t="n">
        <f aca="false">IF(E111=0,"",D111/E111)</f>
        <v>0.517587939698493</v>
      </c>
      <c r="H111" s="45" t="n">
        <f aca="false">I111/J111</f>
        <v>0.512315270935961</v>
      </c>
      <c r="I111" s="38" t="n">
        <f aca="false">D111+F111</f>
        <v>104</v>
      </c>
      <c r="J111" s="38" t="n">
        <f aca="false">E111+4*F111</f>
        <v>203</v>
      </c>
      <c r="K111" s="38" t="s">
        <v>603</v>
      </c>
      <c r="L111" s="38" t="n">
        <f aca="false">ROUND(SUMIF($A$2:$A$289,A111,$H$2:$H$289),9)</f>
        <v>1</v>
      </c>
    </row>
    <row r="112" customFormat="false" ht="15" hidden="false" customHeight="true" outlineLevel="0" collapsed="false">
      <c r="A112" s="38" t="n">
        <v>28</v>
      </c>
      <c r="B112" s="38" t="s">
        <v>169</v>
      </c>
      <c r="C112" s="38" t="str">
        <f aca="false">A112&amp;"|"&amp;B112</f>
        <v>28|G</v>
      </c>
      <c r="D112" s="38" t="n">
        <f aca="false">INDEX('Frequency 1-72'!$B$2:$E$73,A112,MATCH(B112,{"A","C","G","U"},0))</f>
        <v>22</v>
      </c>
      <c r="E112" s="38" t="n">
        <f aca="false">'Frequency 1-72'!G29</f>
        <v>199</v>
      </c>
      <c r="F112" s="43" t="n">
        <v>1</v>
      </c>
      <c r="G112" s="45" t="n">
        <f aca="false">IF(E112=0,"",D112/E112)</f>
        <v>0.110552763819095</v>
      </c>
      <c r="H112" s="45" t="n">
        <f aca="false">I112/J112</f>
        <v>0.113300492610837</v>
      </c>
      <c r="I112" s="38" t="n">
        <f aca="false">D112+F112</f>
        <v>23</v>
      </c>
      <c r="J112" s="38" t="n">
        <f aca="false">E112+4*F112</f>
        <v>203</v>
      </c>
      <c r="K112" s="38" t="s">
        <v>603</v>
      </c>
      <c r="L112" s="38" t="n">
        <f aca="false">ROUND(SUMIF($A$2:$A$289,A112,$H$2:$H$289),9)</f>
        <v>1</v>
      </c>
    </row>
    <row r="113" customFormat="false" ht="15" hidden="false" customHeight="true" outlineLevel="0" collapsed="false">
      <c r="A113" s="38" t="n">
        <v>28</v>
      </c>
      <c r="B113" s="38" t="s">
        <v>171</v>
      </c>
      <c r="C113" s="38" t="str">
        <f aca="false">A113&amp;"|"&amp;B113</f>
        <v>28|U</v>
      </c>
      <c r="D113" s="38" t="n">
        <f aca="false">INDEX('Frequency 1-72'!$B$2:$E$73,A113,MATCH(B113,{"A","C","G","U"},0))</f>
        <v>50</v>
      </c>
      <c r="E113" s="38" t="n">
        <f aca="false">'Frequency 1-72'!G29</f>
        <v>199</v>
      </c>
      <c r="F113" s="43" t="n">
        <v>1</v>
      </c>
      <c r="G113" s="45" t="n">
        <f aca="false">IF(E113=0,"",D113/E113)</f>
        <v>0.251256281407035</v>
      </c>
      <c r="H113" s="45" t="n">
        <f aca="false">I113/J113</f>
        <v>0.251231527093596</v>
      </c>
      <c r="I113" s="38" t="n">
        <f aca="false">D113+F113</f>
        <v>51</v>
      </c>
      <c r="J113" s="38" t="n">
        <f aca="false">E113+4*F113</f>
        <v>203</v>
      </c>
      <c r="K113" s="38" t="s">
        <v>603</v>
      </c>
      <c r="L113" s="38" t="n">
        <f aca="false">ROUND(SUMIF($A$2:$A$289,A113,$H$2:$H$289),9)</f>
        <v>1</v>
      </c>
    </row>
    <row r="114" customFormat="false" ht="15" hidden="false" customHeight="true" outlineLevel="0" collapsed="false">
      <c r="A114" s="38" t="n">
        <v>29</v>
      </c>
      <c r="B114" s="38" t="s">
        <v>172</v>
      </c>
      <c r="C114" s="38" t="str">
        <f aca="false">A114&amp;"|"&amp;B114</f>
        <v>29|A</v>
      </c>
      <c r="D114" s="38" t="n">
        <f aca="false">INDEX('Frequency 1-72'!$B$2:$E$73,A114,MATCH(B114,{"A","C","G","U"},0))</f>
        <v>32</v>
      </c>
      <c r="E114" s="38" t="n">
        <f aca="false">'Frequency 1-72'!G30</f>
        <v>199</v>
      </c>
      <c r="F114" s="43" t="n">
        <v>1</v>
      </c>
      <c r="G114" s="45" t="n">
        <f aca="false">IF(E114=0,"",D114/E114)</f>
        <v>0.160804020100503</v>
      </c>
      <c r="H114" s="45" t="n">
        <f aca="false">I114/J114</f>
        <v>0.16256157635468</v>
      </c>
      <c r="I114" s="38" t="n">
        <f aca="false">D114+F114</f>
        <v>33</v>
      </c>
      <c r="J114" s="38" t="n">
        <f aca="false">E114+4*F114</f>
        <v>203</v>
      </c>
      <c r="K114" s="38" t="s">
        <v>603</v>
      </c>
      <c r="L114" s="38" t="n">
        <f aca="false">ROUND(SUMIF($A$2:$A$289,A114,$H$2:$H$289),9)</f>
        <v>1</v>
      </c>
    </row>
    <row r="115" customFormat="false" ht="15" hidden="false" customHeight="true" outlineLevel="0" collapsed="false">
      <c r="A115" s="38" t="n">
        <v>29</v>
      </c>
      <c r="B115" s="38" t="s">
        <v>170</v>
      </c>
      <c r="C115" s="38" t="str">
        <f aca="false">A115&amp;"|"&amp;B115</f>
        <v>29|C</v>
      </c>
      <c r="D115" s="38" t="n">
        <f aca="false">INDEX('Frequency 1-72'!$B$2:$E$73,A115,MATCH(B115,{"A","C","G","U"},0))</f>
        <v>35</v>
      </c>
      <c r="E115" s="38" t="n">
        <f aca="false">'Frequency 1-72'!G30</f>
        <v>199</v>
      </c>
      <c r="F115" s="43" t="n">
        <v>1</v>
      </c>
      <c r="G115" s="45" t="n">
        <f aca="false">IF(E115=0,"",D115/E115)</f>
        <v>0.175879396984925</v>
      </c>
      <c r="H115" s="45" t="n">
        <f aca="false">I115/J115</f>
        <v>0.177339901477833</v>
      </c>
      <c r="I115" s="38" t="n">
        <f aca="false">D115+F115</f>
        <v>36</v>
      </c>
      <c r="J115" s="38" t="n">
        <f aca="false">E115+4*F115</f>
        <v>203</v>
      </c>
      <c r="K115" s="38" t="s">
        <v>603</v>
      </c>
      <c r="L115" s="38" t="n">
        <f aca="false">ROUND(SUMIF($A$2:$A$289,A115,$H$2:$H$289),9)</f>
        <v>1</v>
      </c>
    </row>
    <row r="116" customFormat="false" ht="15" hidden="false" customHeight="true" outlineLevel="0" collapsed="false">
      <c r="A116" s="38" t="n">
        <v>29</v>
      </c>
      <c r="B116" s="38" t="s">
        <v>169</v>
      </c>
      <c r="C116" s="38" t="str">
        <f aca="false">A116&amp;"|"&amp;B116</f>
        <v>29|G</v>
      </c>
      <c r="D116" s="38" t="n">
        <f aca="false">INDEX('Frequency 1-72'!$B$2:$E$73,A116,MATCH(B116,{"A","C","G","U"},0))</f>
        <v>77</v>
      </c>
      <c r="E116" s="38" t="n">
        <f aca="false">'Frequency 1-72'!G30</f>
        <v>199</v>
      </c>
      <c r="F116" s="43" t="n">
        <v>1</v>
      </c>
      <c r="G116" s="45" t="n">
        <f aca="false">IF(E116=0,"",D116/E116)</f>
        <v>0.386934673366834</v>
      </c>
      <c r="H116" s="45" t="n">
        <f aca="false">I116/J116</f>
        <v>0.38423645320197</v>
      </c>
      <c r="I116" s="38" t="n">
        <f aca="false">D116+F116</f>
        <v>78</v>
      </c>
      <c r="J116" s="38" t="n">
        <f aca="false">E116+4*F116</f>
        <v>203</v>
      </c>
      <c r="K116" s="38" t="s">
        <v>603</v>
      </c>
      <c r="L116" s="38" t="n">
        <f aca="false">ROUND(SUMIF($A$2:$A$289,A116,$H$2:$H$289),9)</f>
        <v>1</v>
      </c>
    </row>
    <row r="117" customFormat="false" ht="15" hidden="false" customHeight="true" outlineLevel="0" collapsed="false">
      <c r="A117" s="38" t="n">
        <v>29</v>
      </c>
      <c r="B117" s="38" t="s">
        <v>171</v>
      </c>
      <c r="C117" s="38" t="str">
        <f aca="false">A117&amp;"|"&amp;B117</f>
        <v>29|U</v>
      </c>
      <c r="D117" s="38" t="n">
        <f aca="false">INDEX('Frequency 1-72'!$B$2:$E$73,A117,MATCH(B117,{"A","C","G","U"},0))</f>
        <v>55</v>
      </c>
      <c r="E117" s="38" t="n">
        <f aca="false">'Frequency 1-72'!G30</f>
        <v>199</v>
      </c>
      <c r="F117" s="43" t="n">
        <v>1</v>
      </c>
      <c r="G117" s="45" t="n">
        <f aca="false">IF(E117=0,"",D117/E117)</f>
        <v>0.276381909547739</v>
      </c>
      <c r="H117" s="45" t="n">
        <f aca="false">I117/J117</f>
        <v>0.275862068965517</v>
      </c>
      <c r="I117" s="38" t="n">
        <f aca="false">D117+F117</f>
        <v>56</v>
      </c>
      <c r="J117" s="38" t="n">
        <f aca="false">E117+4*F117</f>
        <v>203</v>
      </c>
      <c r="K117" s="38" t="s">
        <v>603</v>
      </c>
      <c r="L117" s="38" t="n">
        <f aca="false">ROUND(SUMIF($A$2:$A$289,A117,$H$2:$H$289),9)</f>
        <v>1</v>
      </c>
    </row>
    <row r="118" customFormat="false" ht="15" hidden="false" customHeight="true" outlineLevel="0" collapsed="false">
      <c r="A118" s="38" t="n">
        <v>30</v>
      </c>
      <c r="B118" s="38" t="s">
        <v>172</v>
      </c>
      <c r="C118" s="38" t="str">
        <f aca="false">A118&amp;"|"&amp;B118</f>
        <v>30|A</v>
      </c>
      <c r="D118" s="38" t="n">
        <f aca="false">INDEX('Frequency 1-72'!$B$2:$E$73,A118,MATCH(B118,{"A","C","G","U"},0))</f>
        <v>0</v>
      </c>
      <c r="E118" s="38" t="n">
        <f aca="false">'Frequency 1-72'!G31</f>
        <v>199</v>
      </c>
      <c r="F118" s="43" t="n">
        <v>1</v>
      </c>
      <c r="G118" s="45" t="n">
        <f aca="false">IF(E118=0,"",D118/E118)</f>
        <v>0</v>
      </c>
      <c r="H118" s="45" t="n">
        <f aca="false">I118/J118</f>
        <v>0.00492610837438424</v>
      </c>
      <c r="I118" s="38" t="n">
        <f aca="false">D118+F118</f>
        <v>1</v>
      </c>
      <c r="J118" s="38" t="n">
        <f aca="false">E118+4*F118</f>
        <v>203</v>
      </c>
      <c r="K118" s="38" t="s">
        <v>603</v>
      </c>
      <c r="L118" s="38" t="n">
        <f aca="false">ROUND(SUMIF($A$2:$A$289,A118,$H$2:$H$289),9)</f>
        <v>1</v>
      </c>
    </row>
    <row r="119" customFormat="false" ht="15" hidden="false" customHeight="true" outlineLevel="0" collapsed="false">
      <c r="A119" s="38" t="n">
        <v>30</v>
      </c>
      <c r="B119" s="38" t="s">
        <v>170</v>
      </c>
      <c r="C119" s="38" t="str">
        <f aca="false">A119&amp;"|"&amp;B119</f>
        <v>30|C</v>
      </c>
      <c r="D119" s="38" t="n">
        <f aca="false">INDEX('Frequency 1-72'!$B$2:$E$73,A119,MATCH(B119,{"A","C","G","U"},0))</f>
        <v>42</v>
      </c>
      <c r="E119" s="38" t="n">
        <f aca="false">'Frequency 1-72'!G31</f>
        <v>199</v>
      </c>
      <c r="F119" s="43" t="n">
        <v>1</v>
      </c>
      <c r="G119" s="45" t="n">
        <f aca="false">IF(E119=0,"",D119/E119)</f>
        <v>0.21105527638191</v>
      </c>
      <c r="H119" s="45" t="n">
        <f aca="false">I119/J119</f>
        <v>0.211822660098522</v>
      </c>
      <c r="I119" s="38" t="n">
        <f aca="false">D119+F119</f>
        <v>43</v>
      </c>
      <c r="J119" s="38" t="n">
        <f aca="false">E119+4*F119</f>
        <v>203</v>
      </c>
      <c r="K119" s="38" t="s">
        <v>603</v>
      </c>
      <c r="L119" s="38" t="n">
        <f aca="false">ROUND(SUMIF($A$2:$A$289,A119,$H$2:$H$289),9)</f>
        <v>1</v>
      </c>
    </row>
    <row r="120" customFormat="false" ht="15" hidden="false" customHeight="true" outlineLevel="0" collapsed="false">
      <c r="A120" s="38" t="n">
        <v>30</v>
      </c>
      <c r="B120" s="38" t="s">
        <v>169</v>
      </c>
      <c r="C120" s="38" t="str">
        <f aca="false">A120&amp;"|"&amp;B120</f>
        <v>30|G</v>
      </c>
      <c r="D120" s="38" t="n">
        <f aca="false">INDEX('Frequency 1-72'!$B$2:$E$73,A120,MATCH(B120,{"A","C","G","U"},0))</f>
        <v>150</v>
      </c>
      <c r="E120" s="38" t="n">
        <f aca="false">'Frequency 1-72'!G31</f>
        <v>199</v>
      </c>
      <c r="F120" s="43" t="n">
        <v>1</v>
      </c>
      <c r="G120" s="45" t="n">
        <f aca="false">IF(E120=0,"",D120/E120)</f>
        <v>0.753768844221106</v>
      </c>
      <c r="H120" s="45" t="n">
        <f aca="false">I120/J120</f>
        <v>0.74384236453202</v>
      </c>
      <c r="I120" s="38" t="n">
        <f aca="false">D120+F120</f>
        <v>151</v>
      </c>
      <c r="J120" s="38" t="n">
        <f aca="false">E120+4*F120</f>
        <v>203</v>
      </c>
      <c r="K120" s="38" t="s">
        <v>603</v>
      </c>
      <c r="L120" s="38" t="n">
        <f aca="false">ROUND(SUMIF($A$2:$A$289,A120,$H$2:$H$289),9)</f>
        <v>1</v>
      </c>
    </row>
    <row r="121" customFormat="false" ht="15" hidden="false" customHeight="true" outlineLevel="0" collapsed="false">
      <c r="A121" s="38" t="n">
        <v>30</v>
      </c>
      <c r="B121" s="38" t="s">
        <v>171</v>
      </c>
      <c r="C121" s="38" t="str">
        <f aca="false">A121&amp;"|"&amp;B121</f>
        <v>30|U</v>
      </c>
      <c r="D121" s="38" t="n">
        <f aca="false">INDEX('Frequency 1-72'!$B$2:$E$73,A121,MATCH(B121,{"A","C","G","U"},0))</f>
        <v>7</v>
      </c>
      <c r="E121" s="38" t="n">
        <f aca="false">'Frequency 1-72'!G31</f>
        <v>199</v>
      </c>
      <c r="F121" s="43" t="n">
        <v>1</v>
      </c>
      <c r="G121" s="45" t="n">
        <f aca="false">IF(E121=0,"",D121/E121)</f>
        <v>0.0351758793969849</v>
      </c>
      <c r="H121" s="45" t="n">
        <f aca="false">I121/J121</f>
        <v>0.0394088669950739</v>
      </c>
      <c r="I121" s="38" t="n">
        <f aca="false">D121+F121</f>
        <v>8</v>
      </c>
      <c r="J121" s="38" t="n">
        <f aca="false">E121+4*F121</f>
        <v>203</v>
      </c>
      <c r="K121" s="38" t="s">
        <v>603</v>
      </c>
      <c r="L121" s="38" t="n">
        <f aca="false">ROUND(SUMIF($A$2:$A$289,A121,$H$2:$H$289),9)</f>
        <v>1</v>
      </c>
    </row>
    <row r="122" customFormat="false" ht="15" hidden="false" customHeight="true" outlineLevel="0" collapsed="false">
      <c r="A122" s="38" t="n">
        <v>31</v>
      </c>
      <c r="B122" s="38" t="s">
        <v>172</v>
      </c>
      <c r="C122" s="38" t="str">
        <f aca="false">A122&amp;"|"&amp;B122</f>
        <v>31|A</v>
      </c>
      <c r="D122" s="38" t="n">
        <f aca="false">INDEX('Frequency 1-72'!$B$2:$E$73,A122,MATCH(B122,{"A","C","G","U"},0))</f>
        <v>54</v>
      </c>
      <c r="E122" s="38" t="n">
        <f aca="false">'Frequency 1-72'!G32</f>
        <v>199</v>
      </c>
      <c r="F122" s="43" t="n">
        <v>1</v>
      </c>
      <c r="G122" s="45" t="n">
        <f aca="false">IF(E122=0,"",D122/E122)</f>
        <v>0.271356783919598</v>
      </c>
      <c r="H122" s="45" t="n">
        <f aca="false">I122/J122</f>
        <v>0.270935960591133</v>
      </c>
      <c r="I122" s="38" t="n">
        <f aca="false">D122+F122</f>
        <v>55</v>
      </c>
      <c r="J122" s="38" t="n">
        <f aca="false">E122+4*F122</f>
        <v>203</v>
      </c>
      <c r="K122" s="38" t="s">
        <v>603</v>
      </c>
      <c r="L122" s="38" t="n">
        <f aca="false">ROUND(SUMIF($A$2:$A$289,A122,$H$2:$H$289),9)</f>
        <v>1</v>
      </c>
    </row>
    <row r="123" customFormat="false" ht="15" hidden="false" customHeight="true" outlineLevel="0" collapsed="false">
      <c r="A123" s="38" t="n">
        <v>31</v>
      </c>
      <c r="B123" s="38" t="s">
        <v>170</v>
      </c>
      <c r="C123" s="38" t="str">
        <f aca="false">A123&amp;"|"&amp;B123</f>
        <v>31|C</v>
      </c>
      <c r="D123" s="38" t="n">
        <f aca="false">INDEX('Frequency 1-72'!$B$2:$E$73,A123,MATCH(B123,{"A","C","G","U"},0))</f>
        <v>72</v>
      </c>
      <c r="E123" s="38" t="n">
        <f aca="false">'Frequency 1-72'!G32</f>
        <v>199</v>
      </c>
      <c r="F123" s="43" t="n">
        <v>1</v>
      </c>
      <c r="G123" s="45" t="n">
        <f aca="false">IF(E123=0,"",D123/E123)</f>
        <v>0.361809045226131</v>
      </c>
      <c r="H123" s="45" t="n">
        <f aca="false">I123/J123</f>
        <v>0.359605911330049</v>
      </c>
      <c r="I123" s="38" t="n">
        <f aca="false">D123+F123</f>
        <v>73</v>
      </c>
      <c r="J123" s="38" t="n">
        <f aca="false">E123+4*F123</f>
        <v>203</v>
      </c>
      <c r="K123" s="38" t="s">
        <v>603</v>
      </c>
      <c r="L123" s="38" t="n">
        <f aca="false">ROUND(SUMIF($A$2:$A$289,A123,$H$2:$H$289),9)</f>
        <v>1</v>
      </c>
    </row>
    <row r="124" customFormat="false" ht="15" hidden="false" customHeight="true" outlineLevel="0" collapsed="false">
      <c r="A124" s="38" t="n">
        <v>31</v>
      </c>
      <c r="B124" s="38" t="s">
        <v>169</v>
      </c>
      <c r="C124" s="38" t="str">
        <f aca="false">A124&amp;"|"&amp;B124</f>
        <v>31|G</v>
      </c>
      <c r="D124" s="38" t="n">
        <f aca="false">INDEX('Frequency 1-72'!$B$2:$E$73,A124,MATCH(B124,{"A","C","G","U"},0))</f>
        <v>54</v>
      </c>
      <c r="E124" s="38" t="n">
        <f aca="false">'Frequency 1-72'!G32</f>
        <v>199</v>
      </c>
      <c r="F124" s="43" t="n">
        <v>1</v>
      </c>
      <c r="G124" s="45" t="n">
        <f aca="false">IF(E124=0,"",D124/E124)</f>
        <v>0.271356783919598</v>
      </c>
      <c r="H124" s="45" t="n">
        <f aca="false">I124/J124</f>
        <v>0.270935960591133</v>
      </c>
      <c r="I124" s="38" t="n">
        <f aca="false">D124+F124</f>
        <v>55</v>
      </c>
      <c r="J124" s="38" t="n">
        <f aca="false">E124+4*F124</f>
        <v>203</v>
      </c>
      <c r="K124" s="38" t="s">
        <v>603</v>
      </c>
      <c r="L124" s="38" t="n">
        <f aca="false">ROUND(SUMIF($A$2:$A$289,A124,$H$2:$H$289),9)</f>
        <v>1</v>
      </c>
    </row>
    <row r="125" customFormat="false" ht="15" hidden="false" customHeight="true" outlineLevel="0" collapsed="false">
      <c r="A125" s="38" t="n">
        <v>31</v>
      </c>
      <c r="B125" s="38" t="s">
        <v>171</v>
      </c>
      <c r="C125" s="38" t="str">
        <f aca="false">A125&amp;"|"&amp;B125</f>
        <v>31|U</v>
      </c>
      <c r="D125" s="38" t="n">
        <f aca="false">INDEX('Frequency 1-72'!$B$2:$E$73,A125,MATCH(B125,{"A","C","G","U"},0))</f>
        <v>19</v>
      </c>
      <c r="E125" s="38" t="n">
        <f aca="false">'Frequency 1-72'!G32</f>
        <v>199</v>
      </c>
      <c r="F125" s="43" t="n">
        <v>1</v>
      </c>
      <c r="G125" s="45" t="n">
        <f aca="false">IF(E125=0,"",D125/E125)</f>
        <v>0.0954773869346734</v>
      </c>
      <c r="H125" s="45" t="n">
        <f aca="false">I125/J125</f>
        <v>0.0985221674876847</v>
      </c>
      <c r="I125" s="38" t="n">
        <f aca="false">D125+F125</f>
        <v>20</v>
      </c>
      <c r="J125" s="38" t="n">
        <f aca="false">E125+4*F125</f>
        <v>203</v>
      </c>
      <c r="K125" s="38" t="s">
        <v>603</v>
      </c>
      <c r="L125" s="38" t="n">
        <f aca="false">ROUND(SUMIF($A$2:$A$289,A125,$H$2:$H$289),9)</f>
        <v>1</v>
      </c>
    </row>
    <row r="126" customFormat="false" ht="15" hidden="false" customHeight="true" outlineLevel="0" collapsed="false">
      <c r="A126" s="38" t="n">
        <v>32</v>
      </c>
      <c r="B126" s="38" t="s">
        <v>172</v>
      </c>
      <c r="C126" s="38" t="str">
        <f aca="false">A126&amp;"|"&amp;B126</f>
        <v>32|A</v>
      </c>
      <c r="D126" s="38" t="n">
        <f aca="false">INDEX('Frequency 1-72'!$B$2:$E$73,A126,MATCH(B126,{"A","C","G","U"},0))</f>
        <v>6</v>
      </c>
      <c r="E126" s="38" t="n">
        <f aca="false">'Frequency 1-72'!G33</f>
        <v>199</v>
      </c>
      <c r="F126" s="43" t="n">
        <v>1</v>
      </c>
      <c r="G126" s="45" t="n">
        <f aca="false">IF(E126=0,"",D126/E126)</f>
        <v>0.0301507537688442</v>
      </c>
      <c r="H126" s="45" t="n">
        <f aca="false">I126/J126</f>
        <v>0.0344827586206897</v>
      </c>
      <c r="I126" s="38" t="n">
        <f aca="false">D126+F126</f>
        <v>7</v>
      </c>
      <c r="J126" s="38" t="n">
        <f aca="false">E126+4*F126</f>
        <v>203</v>
      </c>
      <c r="K126" s="38" t="s">
        <v>603</v>
      </c>
      <c r="L126" s="38" t="n">
        <f aca="false">ROUND(SUMIF($A$2:$A$289,A126,$H$2:$H$289),9)</f>
        <v>1</v>
      </c>
    </row>
    <row r="127" customFormat="false" ht="15" hidden="false" customHeight="true" outlineLevel="0" collapsed="false">
      <c r="A127" s="38" t="n">
        <v>32</v>
      </c>
      <c r="B127" s="38" t="s">
        <v>170</v>
      </c>
      <c r="C127" s="38" t="str">
        <f aca="false">A127&amp;"|"&amp;B127</f>
        <v>32|C</v>
      </c>
      <c r="D127" s="38" t="n">
        <f aca="false">INDEX('Frequency 1-72'!$B$2:$E$73,A127,MATCH(B127,{"A","C","G","U"},0))</f>
        <v>134</v>
      </c>
      <c r="E127" s="38" t="n">
        <f aca="false">'Frequency 1-72'!G33</f>
        <v>199</v>
      </c>
      <c r="F127" s="43" t="n">
        <v>1</v>
      </c>
      <c r="G127" s="45" t="n">
        <f aca="false">IF(E127=0,"",D127/E127)</f>
        <v>0.673366834170854</v>
      </c>
      <c r="H127" s="45" t="n">
        <f aca="false">I127/J127</f>
        <v>0.665024630541872</v>
      </c>
      <c r="I127" s="38" t="n">
        <f aca="false">D127+F127</f>
        <v>135</v>
      </c>
      <c r="J127" s="38" t="n">
        <f aca="false">E127+4*F127</f>
        <v>203</v>
      </c>
      <c r="K127" s="38" t="s">
        <v>603</v>
      </c>
      <c r="L127" s="38" t="n">
        <f aca="false">ROUND(SUMIF($A$2:$A$289,A127,$H$2:$H$289),9)</f>
        <v>1</v>
      </c>
    </row>
    <row r="128" customFormat="false" ht="15" hidden="false" customHeight="true" outlineLevel="0" collapsed="false">
      <c r="A128" s="38" t="n">
        <v>32</v>
      </c>
      <c r="B128" s="38" t="s">
        <v>169</v>
      </c>
      <c r="C128" s="38" t="str">
        <f aca="false">A128&amp;"|"&amp;B128</f>
        <v>32|G</v>
      </c>
      <c r="D128" s="38" t="n">
        <f aca="false">INDEX('Frequency 1-72'!$B$2:$E$73,A128,MATCH(B128,{"A","C","G","U"},0))</f>
        <v>0</v>
      </c>
      <c r="E128" s="38" t="n">
        <f aca="false">'Frequency 1-72'!G33</f>
        <v>199</v>
      </c>
      <c r="F128" s="43" t="n">
        <v>1</v>
      </c>
      <c r="G128" s="45" t="n">
        <f aca="false">IF(E128=0,"",D128/E128)</f>
        <v>0</v>
      </c>
      <c r="H128" s="45" t="n">
        <f aca="false">I128/J128</f>
        <v>0.00492610837438424</v>
      </c>
      <c r="I128" s="38" t="n">
        <f aca="false">D128+F128</f>
        <v>1</v>
      </c>
      <c r="J128" s="38" t="n">
        <f aca="false">E128+4*F128</f>
        <v>203</v>
      </c>
      <c r="K128" s="38" t="s">
        <v>603</v>
      </c>
      <c r="L128" s="38" t="n">
        <f aca="false">ROUND(SUMIF($A$2:$A$289,A128,$H$2:$H$289),9)</f>
        <v>1</v>
      </c>
    </row>
    <row r="129" customFormat="false" ht="15" hidden="false" customHeight="true" outlineLevel="0" collapsed="false">
      <c r="A129" s="38" t="n">
        <v>32</v>
      </c>
      <c r="B129" s="38" t="s">
        <v>171</v>
      </c>
      <c r="C129" s="38" t="str">
        <f aca="false">A129&amp;"|"&amp;B129</f>
        <v>32|U</v>
      </c>
      <c r="D129" s="38" t="n">
        <f aca="false">INDEX('Frequency 1-72'!$B$2:$E$73,A129,MATCH(B129,{"A","C","G","U"},0))</f>
        <v>59</v>
      </c>
      <c r="E129" s="38" t="n">
        <f aca="false">'Frequency 1-72'!G33</f>
        <v>199</v>
      </c>
      <c r="F129" s="43" t="n">
        <v>1</v>
      </c>
      <c r="G129" s="45" t="n">
        <f aca="false">IF(E129=0,"",D129/E129)</f>
        <v>0.296482412060302</v>
      </c>
      <c r="H129" s="45" t="n">
        <f aca="false">I129/J129</f>
        <v>0.295566502463054</v>
      </c>
      <c r="I129" s="38" t="n">
        <f aca="false">D129+F129</f>
        <v>60</v>
      </c>
      <c r="J129" s="38" t="n">
        <f aca="false">E129+4*F129</f>
        <v>203</v>
      </c>
      <c r="K129" s="38" t="s">
        <v>603</v>
      </c>
      <c r="L129" s="38" t="n">
        <f aca="false">ROUND(SUMIF($A$2:$A$289,A129,$H$2:$H$289),9)</f>
        <v>1</v>
      </c>
    </row>
    <row r="130" customFormat="false" ht="15" hidden="false" customHeight="true" outlineLevel="0" collapsed="false">
      <c r="A130" s="38" t="n">
        <v>33</v>
      </c>
      <c r="B130" s="38" t="s">
        <v>172</v>
      </c>
      <c r="C130" s="38" t="str">
        <f aca="false">A130&amp;"|"&amp;B130</f>
        <v>33|A</v>
      </c>
      <c r="D130" s="38" t="n">
        <f aca="false">INDEX('Frequency 1-72'!$B$2:$E$73,A130,MATCH(B130,{"A","C","G","U"},0))</f>
        <v>1</v>
      </c>
      <c r="E130" s="38" t="n">
        <f aca="false">'Frequency 1-72'!G34</f>
        <v>199</v>
      </c>
      <c r="F130" s="43" t="n">
        <v>1</v>
      </c>
      <c r="G130" s="45" t="n">
        <f aca="false">IF(E130=0,"",D130/E130)</f>
        <v>0.0050251256281407</v>
      </c>
      <c r="H130" s="45" t="n">
        <f aca="false">I130/J130</f>
        <v>0.00985221674876847</v>
      </c>
      <c r="I130" s="38" t="n">
        <f aca="false">D130+F130</f>
        <v>2</v>
      </c>
      <c r="J130" s="38" t="n">
        <f aca="false">E130+4*F130</f>
        <v>203</v>
      </c>
      <c r="K130" s="38" t="s">
        <v>603</v>
      </c>
      <c r="L130" s="38" t="n">
        <f aca="false">ROUND(SUMIF($A$2:$A$289,A130,$H$2:$H$289),9)</f>
        <v>1</v>
      </c>
    </row>
    <row r="131" customFormat="false" ht="15" hidden="false" customHeight="true" outlineLevel="0" collapsed="false">
      <c r="A131" s="38" t="n">
        <v>33</v>
      </c>
      <c r="B131" s="38" t="s">
        <v>170</v>
      </c>
      <c r="C131" s="38" t="str">
        <f aca="false">A131&amp;"|"&amp;B131</f>
        <v>33|C</v>
      </c>
      <c r="D131" s="38" t="n">
        <f aca="false">INDEX('Frequency 1-72'!$B$2:$E$73,A131,MATCH(B131,{"A","C","G","U"},0))</f>
        <v>1</v>
      </c>
      <c r="E131" s="38" t="n">
        <f aca="false">'Frequency 1-72'!G34</f>
        <v>199</v>
      </c>
      <c r="F131" s="43" t="n">
        <v>1</v>
      </c>
      <c r="G131" s="45" t="n">
        <f aca="false">IF(E131=0,"",D131/E131)</f>
        <v>0.0050251256281407</v>
      </c>
      <c r="H131" s="45" t="n">
        <f aca="false">I131/J131</f>
        <v>0.00985221674876847</v>
      </c>
      <c r="I131" s="38" t="n">
        <f aca="false">D131+F131</f>
        <v>2</v>
      </c>
      <c r="J131" s="38" t="n">
        <f aca="false">E131+4*F131</f>
        <v>203</v>
      </c>
      <c r="K131" s="38" t="s">
        <v>603</v>
      </c>
      <c r="L131" s="38" t="n">
        <f aca="false">ROUND(SUMIF($A$2:$A$289,A131,$H$2:$H$289),9)</f>
        <v>1</v>
      </c>
    </row>
    <row r="132" customFormat="false" ht="15" hidden="false" customHeight="true" outlineLevel="0" collapsed="false">
      <c r="A132" s="38" t="n">
        <v>33</v>
      </c>
      <c r="B132" s="38" t="s">
        <v>169</v>
      </c>
      <c r="C132" s="38" t="str">
        <f aca="false">A132&amp;"|"&amp;B132</f>
        <v>33|G</v>
      </c>
      <c r="D132" s="38" t="n">
        <f aca="false">INDEX('Frequency 1-72'!$B$2:$E$73,A132,MATCH(B132,{"A","C","G","U"},0))</f>
        <v>0</v>
      </c>
      <c r="E132" s="38" t="n">
        <f aca="false">'Frequency 1-72'!G34</f>
        <v>199</v>
      </c>
      <c r="F132" s="43" t="n">
        <v>1</v>
      </c>
      <c r="G132" s="45" t="n">
        <f aca="false">IF(E132=0,"",D132/E132)</f>
        <v>0</v>
      </c>
      <c r="H132" s="45" t="n">
        <f aca="false">I132/J132</f>
        <v>0.00492610837438424</v>
      </c>
      <c r="I132" s="38" t="n">
        <f aca="false">D132+F132</f>
        <v>1</v>
      </c>
      <c r="J132" s="38" t="n">
        <f aca="false">E132+4*F132</f>
        <v>203</v>
      </c>
      <c r="K132" s="38" t="s">
        <v>603</v>
      </c>
      <c r="L132" s="38" t="n">
        <f aca="false">ROUND(SUMIF($A$2:$A$289,A132,$H$2:$H$289),9)</f>
        <v>1</v>
      </c>
    </row>
    <row r="133" customFormat="false" ht="15" hidden="false" customHeight="true" outlineLevel="0" collapsed="false">
      <c r="A133" s="38" t="n">
        <v>33</v>
      </c>
      <c r="B133" s="38" t="s">
        <v>171</v>
      </c>
      <c r="C133" s="38" t="str">
        <f aca="false">A133&amp;"|"&amp;B133</f>
        <v>33|U</v>
      </c>
      <c r="D133" s="38" t="n">
        <f aca="false">INDEX('Frequency 1-72'!$B$2:$E$73,A133,MATCH(B133,{"A","C","G","U"},0))</f>
        <v>197</v>
      </c>
      <c r="E133" s="38" t="n">
        <f aca="false">'Frequency 1-72'!G34</f>
        <v>199</v>
      </c>
      <c r="F133" s="43" t="n">
        <v>1</v>
      </c>
      <c r="G133" s="45" t="n">
        <f aca="false">IF(E133=0,"",D133/E133)</f>
        <v>0.989949748743719</v>
      </c>
      <c r="H133" s="45" t="n">
        <f aca="false">I133/J133</f>
        <v>0.975369458128079</v>
      </c>
      <c r="I133" s="38" t="n">
        <f aca="false">D133+F133</f>
        <v>198</v>
      </c>
      <c r="J133" s="38" t="n">
        <f aca="false">E133+4*F133</f>
        <v>203</v>
      </c>
      <c r="K133" s="38" t="s">
        <v>603</v>
      </c>
      <c r="L133" s="38" t="n">
        <f aca="false">ROUND(SUMIF($A$2:$A$289,A133,$H$2:$H$289),9)</f>
        <v>1</v>
      </c>
    </row>
    <row r="134" customFormat="false" ht="15" hidden="false" customHeight="true" outlineLevel="0" collapsed="false">
      <c r="A134" s="38" t="n">
        <v>34</v>
      </c>
      <c r="B134" s="38" t="s">
        <v>172</v>
      </c>
      <c r="C134" s="38" t="str">
        <f aca="false">A134&amp;"|"&amp;B134</f>
        <v>34|A</v>
      </c>
      <c r="D134" s="38" t="n">
        <f aca="false">INDEX('Frequency 1-72'!$B$2:$E$73,A134,MATCH(B134,{"A","C","G","U"},0))</f>
        <v>9</v>
      </c>
      <c r="E134" s="38" t="n">
        <f aca="false">'Frequency 1-72'!G35</f>
        <v>199</v>
      </c>
      <c r="F134" s="43" t="n">
        <v>1</v>
      </c>
      <c r="G134" s="45" t="n">
        <f aca="false">IF(E134=0,"",D134/E134)</f>
        <v>0.0452261306532663</v>
      </c>
      <c r="H134" s="45" t="n">
        <f aca="false">I134/J134</f>
        <v>0.0492610837438424</v>
      </c>
      <c r="I134" s="38" t="n">
        <f aca="false">D134+F134</f>
        <v>10</v>
      </c>
      <c r="J134" s="38" t="n">
        <f aca="false">E134+4*F134</f>
        <v>203</v>
      </c>
      <c r="K134" s="38" t="s">
        <v>603</v>
      </c>
      <c r="L134" s="38" t="n">
        <f aca="false">ROUND(SUMIF($A$2:$A$289,A134,$H$2:$H$289),9)</f>
        <v>1</v>
      </c>
    </row>
    <row r="135" customFormat="false" ht="15" hidden="false" customHeight="true" outlineLevel="0" collapsed="false">
      <c r="A135" s="38" t="n">
        <v>34</v>
      </c>
      <c r="B135" s="38" t="s">
        <v>170</v>
      </c>
      <c r="C135" s="38" t="str">
        <f aca="false">A135&amp;"|"&amp;B135</f>
        <v>34|C</v>
      </c>
      <c r="D135" s="38" t="n">
        <f aca="false">INDEX('Frequency 1-72'!$B$2:$E$73,A135,MATCH(B135,{"A","C","G","U"},0))</f>
        <v>66</v>
      </c>
      <c r="E135" s="38" t="n">
        <f aca="false">'Frequency 1-72'!G35</f>
        <v>199</v>
      </c>
      <c r="F135" s="43" t="n">
        <v>1</v>
      </c>
      <c r="G135" s="45" t="n">
        <f aca="false">IF(E135=0,"",D135/E135)</f>
        <v>0.331658291457286</v>
      </c>
      <c r="H135" s="45" t="n">
        <f aca="false">I135/J135</f>
        <v>0.330049261083744</v>
      </c>
      <c r="I135" s="38" t="n">
        <f aca="false">D135+F135</f>
        <v>67</v>
      </c>
      <c r="J135" s="38" t="n">
        <f aca="false">E135+4*F135</f>
        <v>203</v>
      </c>
      <c r="K135" s="38" t="s">
        <v>603</v>
      </c>
      <c r="L135" s="38" t="n">
        <f aca="false">ROUND(SUMIF($A$2:$A$289,A135,$H$2:$H$289),9)</f>
        <v>1</v>
      </c>
    </row>
    <row r="136" customFormat="false" ht="15" hidden="false" customHeight="true" outlineLevel="0" collapsed="false">
      <c r="A136" s="38" t="n">
        <v>34</v>
      </c>
      <c r="B136" s="38" t="s">
        <v>169</v>
      </c>
      <c r="C136" s="38" t="str">
        <f aca="false">A136&amp;"|"&amp;B136</f>
        <v>34|G</v>
      </c>
      <c r="D136" s="38" t="n">
        <f aca="false">INDEX('Frequency 1-72'!$B$2:$E$73,A136,MATCH(B136,{"A","C","G","U"},0))</f>
        <v>66</v>
      </c>
      <c r="E136" s="38" t="n">
        <f aca="false">'Frequency 1-72'!G35</f>
        <v>199</v>
      </c>
      <c r="F136" s="43" t="n">
        <v>1</v>
      </c>
      <c r="G136" s="45" t="n">
        <f aca="false">IF(E136=0,"",D136/E136)</f>
        <v>0.331658291457286</v>
      </c>
      <c r="H136" s="45" t="n">
        <f aca="false">I136/J136</f>
        <v>0.330049261083744</v>
      </c>
      <c r="I136" s="38" t="n">
        <f aca="false">D136+F136</f>
        <v>67</v>
      </c>
      <c r="J136" s="38" t="n">
        <f aca="false">E136+4*F136</f>
        <v>203</v>
      </c>
      <c r="K136" s="38" t="s">
        <v>603</v>
      </c>
      <c r="L136" s="38" t="n">
        <f aca="false">ROUND(SUMIF($A$2:$A$289,A136,$H$2:$H$289),9)</f>
        <v>1</v>
      </c>
    </row>
    <row r="137" customFormat="false" ht="15" hidden="false" customHeight="true" outlineLevel="0" collapsed="false">
      <c r="A137" s="38" t="n">
        <v>34</v>
      </c>
      <c r="B137" s="38" t="s">
        <v>171</v>
      </c>
      <c r="C137" s="38" t="str">
        <f aca="false">A137&amp;"|"&amp;B137</f>
        <v>34|U</v>
      </c>
      <c r="D137" s="38" t="n">
        <f aca="false">INDEX('Frequency 1-72'!$B$2:$E$73,A137,MATCH(B137,{"A","C","G","U"},0))</f>
        <v>58</v>
      </c>
      <c r="E137" s="38" t="n">
        <f aca="false">'Frequency 1-72'!G35</f>
        <v>199</v>
      </c>
      <c r="F137" s="43" t="n">
        <v>1</v>
      </c>
      <c r="G137" s="45" t="n">
        <f aca="false">IF(E137=0,"",D137/E137)</f>
        <v>0.291457286432161</v>
      </c>
      <c r="H137" s="45" t="n">
        <f aca="false">I137/J137</f>
        <v>0.29064039408867</v>
      </c>
      <c r="I137" s="38" t="n">
        <f aca="false">D137+F137</f>
        <v>59</v>
      </c>
      <c r="J137" s="38" t="n">
        <f aca="false">E137+4*F137</f>
        <v>203</v>
      </c>
      <c r="K137" s="38" t="s">
        <v>603</v>
      </c>
      <c r="L137" s="38" t="n">
        <f aca="false">ROUND(SUMIF($A$2:$A$289,A137,$H$2:$H$289),9)</f>
        <v>1</v>
      </c>
    </row>
    <row r="138" customFormat="false" ht="15" hidden="false" customHeight="true" outlineLevel="0" collapsed="false">
      <c r="A138" s="38" t="n">
        <v>35</v>
      </c>
      <c r="B138" s="38" t="s">
        <v>172</v>
      </c>
      <c r="C138" s="38" t="str">
        <f aca="false">A138&amp;"|"&amp;B138</f>
        <v>35|A</v>
      </c>
      <c r="D138" s="38" t="n">
        <f aca="false">INDEX('Frequency 1-72'!$B$2:$E$73,A138,MATCH(B138,{"A","C","G","U"},0))</f>
        <v>61</v>
      </c>
      <c r="E138" s="38" t="n">
        <f aca="false">'Frequency 1-72'!G36</f>
        <v>199</v>
      </c>
      <c r="F138" s="43" t="n">
        <v>1</v>
      </c>
      <c r="G138" s="45" t="n">
        <f aca="false">IF(E138=0,"",D138/E138)</f>
        <v>0.306532663316583</v>
      </c>
      <c r="H138" s="45" t="n">
        <f aca="false">I138/J138</f>
        <v>0.305418719211823</v>
      </c>
      <c r="I138" s="38" t="n">
        <f aca="false">D138+F138</f>
        <v>62</v>
      </c>
      <c r="J138" s="38" t="n">
        <f aca="false">E138+4*F138</f>
        <v>203</v>
      </c>
      <c r="K138" s="38" t="s">
        <v>603</v>
      </c>
      <c r="L138" s="38" t="n">
        <f aca="false">ROUND(SUMIF($A$2:$A$289,A138,$H$2:$H$289),9)</f>
        <v>1</v>
      </c>
    </row>
    <row r="139" customFormat="false" ht="15" hidden="false" customHeight="true" outlineLevel="0" collapsed="false">
      <c r="A139" s="38" t="n">
        <v>35</v>
      </c>
      <c r="B139" s="38" t="s">
        <v>170</v>
      </c>
      <c r="C139" s="38" t="str">
        <f aca="false">A139&amp;"|"&amp;B139</f>
        <v>35|C</v>
      </c>
      <c r="D139" s="38" t="n">
        <f aca="false">INDEX('Frequency 1-72'!$B$2:$E$73,A139,MATCH(B139,{"A","C","G","U"},0))</f>
        <v>46</v>
      </c>
      <c r="E139" s="38" t="n">
        <f aca="false">'Frequency 1-72'!G36</f>
        <v>199</v>
      </c>
      <c r="F139" s="43" t="n">
        <v>1</v>
      </c>
      <c r="G139" s="45" t="n">
        <f aca="false">IF(E139=0,"",D139/E139)</f>
        <v>0.231155778894472</v>
      </c>
      <c r="H139" s="45" t="n">
        <f aca="false">I139/J139</f>
        <v>0.231527093596059</v>
      </c>
      <c r="I139" s="38" t="n">
        <f aca="false">D139+F139</f>
        <v>47</v>
      </c>
      <c r="J139" s="38" t="n">
        <f aca="false">E139+4*F139</f>
        <v>203</v>
      </c>
      <c r="K139" s="38" t="s">
        <v>603</v>
      </c>
      <c r="L139" s="38" t="n">
        <f aca="false">ROUND(SUMIF($A$2:$A$289,A139,$H$2:$H$289),9)</f>
        <v>1</v>
      </c>
    </row>
    <row r="140" customFormat="false" ht="15" hidden="false" customHeight="true" outlineLevel="0" collapsed="false">
      <c r="A140" s="38" t="n">
        <v>35</v>
      </c>
      <c r="B140" s="38" t="s">
        <v>169</v>
      </c>
      <c r="C140" s="38" t="str">
        <f aca="false">A140&amp;"|"&amp;B140</f>
        <v>35|G</v>
      </c>
      <c r="D140" s="38" t="n">
        <f aca="false">INDEX('Frequency 1-72'!$B$2:$E$73,A140,MATCH(B140,{"A","C","G","U"},0))</f>
        <v>51</v>
      </c>
      <c r="E140" s="38" t="n">
        <f aca="false">'Frequency 1-72'!G36</f>
        <v>199</v>
      </c>
      <c r="F140" s="43" t="n">
        <v>1</v>
      </c>
      <c r="G140" s="45" t="n">
        <f aca="false">IF(E140=0,"",D140/E140)</f>
        <v>0.256281407035176</v>
      </c>
      <c r="H140" s="45" t="n">
        <f aca="false">I140/J140</f>
        <v>0.25615763546798</v>
      </c>
      <c r="I140" s="38" t="n">
        <f aca="false">D140+F140</f>
        <v>52</v>
      </c>
      <c r="J140" s="38" t="n">
        <f aca="false">E140+4*F140</f>
        <v>203</v>
      </c>
      <c r="K140" s="38" t="s">
        <v>603</v>
      </c>
      <c r="L140" s="38" t="n">
        <f aca="false">ROUND(SUMIF($A$2:$A$289,A140,$H$2:$H$289),9)</f>
        <v>1</v>
      </c>
    </row>
    <row r="141" customFormat="false" ht="15" hidden="false" customHeight="true" outlineLevel="0" collapsed="false">
      <c r="A141" s="38" t="n">
        <v>35</v>
      </c>
      <c r="B141" s="38" t="s">
        <v>171</v>
      </c>
      <c r="C141" s="38" t="str">
        <f aca="false">A141&amp;"|"&amp;B141</f>
        <v>35|U</v>
      </c>
      <c r="D141" s="38" t="n">
        <f aca="false">INDEX('Frequency 1-72'!$B$2:$E$73,A141,MATCH(B141,{"A","C","G","U"},0))</f>
        <v>41</v>
      </c>
      <c r="E141" s="38" t="n">
        <f aca="false">'Frequency 1-72'!G36</f>
        <v>199</v>
      </c>
      <c r="F141" s="43" t="n">
        <v>1</v>
      </c>
      <c r="G141" s="45" t="n">
        <f aca="false">IF(E141=0,"",D141/E141)</f>
        <v>0.206030150753769</v>
      </c>
      <c r="H141" s="45" t="n">
        <f aca="false">I141/J141</f>
        <v>0.206896551724138</v>
      </c>
      <c r="I141" s="38" t="n">
        <f aca="false">D141+F141</f>
        <v>42</v>
      </c>
      <c r="J141" s="38" t="n">
        <f aca="false">E141+4*F141</f>
        <v>203</v>
      </c>
      <c r="K141" s="38" t="s">
        <v>603</v>
      </c>
      <c r="L141" s="38" t="n">
        <f aca="false">ROUND(SUMIF($A$2:$A$289,A141,$H$2:$H$289),9)</f>
        <v>1</v>
      </c>
    </row>
    <row r="142" customFormat="false" ht="15" hidden="false" customHeight="true" outlineLevel="0" collapsed="false">
      <c r="A142" s="38" t="n">
        <v>36</v>
      </c>
      <c r="B142" s="38" t="s">
        <v>172</v>
      </c>
      <c r="C142" s="38" t="str">
        <f aca="false">A142&amp;"|"&amp;B142</f>
        <v>36|A</v>
      </c>
      <c r="D142" s="38" t="n">
        <f aca="false">INDEX('Frequency 1-72'!$B$2:$E$73,A142,MATCH(B142,{"A","C","G","U"},0))</f>
        <v>43</v>
      </c>
      <c r="E142" s="38" t="n">
        <f aca="false">'Frequency 1-72'!G37</f>
        <v>199</v>
      </c>
      <c r="F142" s="43" t="n">
        <v>1</v>
      </c>
      <c r="G142" s="45" t="n">
        <f aca="false">IF(E142=0,"",D142/E142)</f>
        <v>0.21608040201005</v>
      </c>
      <c r="H142" s="45" t="n">
        <f aca="false">I142/J142</f>
        <v>0.216748768472906</v>
      </c>
      <c r="I142" s="38" t="n">
        <f aca="false">D142+F142</f>
        <v>44</v>
      </c>
      <c r="J142" s="38" t="n">
        <f aca="false">E142+4*F142</f>
        <v>203</v>
      </c>
      <c r="K142" s="38" t="s">
        <v>603</v>
      </c>
      <c r="L142" s="38" t="n">
        <f aca="false">ROUND(SUMIF($A$2:$A$289,A142,$H$2:$H$289),9)</f>
        <v>1</v>
      </c>
    </row>
    <row r="143" customFormat="false" ht="15" hidden="false" customHeight="true" outlineLevel="0" collapsed="false">
      <c r="A143" s="38" t="n">
        <v>36</v>
      </c>
      <c r="B143" s="38" t="s">
        <v>170</v>
      </c>
      <c r="C143" s="38" t="str">
        <f aca="false">A143&amp;"|"&amp;B143</f>
        <v>36|C</v>
      </c>
      <c r="D143" s="38" t="n">
        <f aca="false">INDEX('Frequency 1-72'!$B$2:$E$73,A143,MATCH(B143,{"A","C","G","U"},0))</f>
        <v>53</v>
      </c>
      <c r="E143" s="38" t="n">
        <f aca="false">'Frequency 1-72'!G37</f>
        <v>199</v>
      </c>
      <c r="F143" s="43" t="n">
        <v>1</v>
      </c>
      <c r="G143" s="45" t="n">
        <f aca="false">IF(E143=0,"",D143/E143)</f>
        <v>0.266331658291457</v>
      </c>
      <c r="H143" s="45" t="n">
        <f aca="false">I143/J143</f>
        <v>0.266009852216749</v>
      </c>
      <c r="I143" s="38" t="n">
        <f aca="false">D143+F143</f>
        <v>54</v>
      </c>
      <c r="J143" s="38" t="n">
        <f aca="false">E143+4*F143</f>
        <v>203</v>
      </c>
      <c r="K143" s="38" t="s">
        <v>603</v>
      </c>
      <c r="L143" s="38" t="n">
        <f aca="false">ROUND(SUMIF($A$2:$A$289,A143,$H$2:$H$289),9)</f>
        <v>1</v>
      </c>
    </row>
    <row r="144" customFormat="false" ht="15" hidden="false" customHeight="true" outlineLevel="0" collapsed="false">
      <c r="A144" s="38" t="n">
        <v>36</v>
      </c>
      <c r="B144" s="38" t="s">
        <v>169</v>
      </c>
      <c r="C144" s="38" t="str">
        <f aca="false">A144&amp;"|"&amp;B144</f>
        <v>36|G</v>
      </c>
      <c r="D144" s="38" t="n">
        <f aca="false">INDEX('Frequency 1-72'!$B$2:$E$73,A144,MATCH(B144,{"A","C","G","U"},0))</f>
        <v>32</v>
      </c>
      <c r="E144" s="38" t="n">
        <f aca="false">'Frequency 1-72'!G37</f>
        <v>199</v>
      </c>
      <c r="F144" s="43" t="n">
        <v>1</v>
      </c>
      <c r="G144" s="45" t="n">
        <f aca="false">IF(E144=0,"",D144/E144)</f>
        <v>0.160804020100503</v>
      </c>
      <c r="H144" s="45" t="n">
        <f aca="false">I144/J144</f>
        <v>0.16256157635468</v>
      </c>
      <c r="I144" s="38" t="n">
        <f aca="false">D144+F144</f>
        <v>33</v>
      </c>
      <c r="J144" s="38" t="n">
        <f aca="false">E144+4*F144</f>
        <v>203</v>
      </c>
      <c r="K144" s="38" t="s">
        <v>603</v>
      </c>
      <c r="L144" s="38" t="n">
        <f aca="false">ROUND(SUMIF($A$2:$A$289,A144,$H$2:$H$289),9)</f>
        <v>1</v>
      </c>
    </row>
    <row r="145" customFormat="false" ht="15" hidden="false" customHeight="true" outlineLevel="0" collapsed="false">
      <c r="A145" s="38" t="n">
        <v>36</v>
      </c>
      <c r="B145" s="38" t="s">
        <v>171</v>
      </c>
      <c r="C145" s="38" t="str">
        <f aca="false">A145&amp;"|"&amp;B145</f>
        <v>36|U</v>
      </c>
      <c r="D145" s="38" t="n">
        <f aca="false">INDEX('Frequency 1-72'!$B$2:$E$73,A145,MATCH(B145,{"A","C","G","U"},0))</f>
        <v>71</v>
      </c>
      <c r="E145" s="38" t="n">
        <f aca="false">'Frequency 1-72'!G37</f>
        <v>199</v>
      </c>
      <c r="F145" s="43" t="n">
        <v>1</v>
      </c>
      <c r="G145" s="45" t="n">
        <f aca="false">IF(E145=0,"",D145/E145)</f>
        <v>0.35678391959799</v>
      </c>
      <c r="H145" s="45" t="n">
        <f aca="false">I145/J145</f>
        <v>0.354679802955665</v>
      </c>
      <c r="I145" s="38" t="n">
        <f aca="false">D145+F145</f>
        <v>72</v>
      </c>
      <c r="J145" s="38" t="n">
        <f aca="false">E145+4*F145</f>
        <v>203</v>
      </c>
      <c r="K145" s="38" t="s">
        <v>603</v>
      </c>
      <c r="L145" s="38" t="n">
        <f aca="false">ROUND(SUMIF($A$2:$A$289,A145,$H$2:$H$289),9)</f>
        <v>1</v>
      </c>
    </row>
    <row r="146" customFormat="false" ht="15" hidden="false" customHeight="true" outlineLevel="0" collapsed="false">
      <c r="A146" s="38" t="n">
        <v>37</v>
      </c>
      <c r="B146" s="38" t="s">
        <v>172</v>
      </c>
      <c r="C146" s="38" t="str">
        <f aca="false">A146&amp;"|"&amp;B146</f>
        <v>37|A</v>
      </c>
      <c r="D146" s="38" t="n">
        <f aca="false">INDEX('Frequency 1-72'!$B$2:$E$73,A146,MATCH(B146,{"A","C","G","U"},0))</f>
        <v>150</v>
      </c>
      <c r="E146" s="38" t="n">
        <f aca="false">'Frequency 1-72'!G38</f>
        <v>199</v>
      </c>
      <c r="F146" s="43" t="n">
        <v>1</v>
      </c>
      <c r="G146" s="45" t="n">
        <f aca="false">IF(E146=0,"",D146/E146)</f>
        <v>0.753768844221106</v>
      </c>
      <c r="H146" s="45" t="n">
        <f aca="false">I146/J146</f>
        <v>0.74384236453202</v>
      </c>
      <c r="I146" s="38" t="n">
        <f aca="false">D146+F146</f>
        <v>151</v>
      </c>
      <c r="J146" s="38" t="n">
        <f aca="false">E146+4*F146</f>
        <v>203</v>
      </c>
      <c r="K146" s="38" t="s">
        <v>603</v>
      </c>
      <c r="L146" s="38" t="n">
        <f aca="false">ROUND(SUMIF($A$2:$A$289,A146,$H$2:$H$289),9)</f>
        <v>1</v>
      </c>
    </row>
    <row r="147" customFormat="false" ht="15" hidden="false" customHeight="true" outlineLevel="0" collapsed="false">
      <c r="A147" s="38" t="n">
        <v>37</v>
      </c>
      <c r="B147" s="38" t="s">
        <v>170</v>
      </c>
      <c r="C147" s="38" t="str">
        <f aca="false">A147&amp;"|"&amp;B147</f>
        <v>37|C</v>
      </c>
      <c r="D147" s="38" t="n">
        <f aca="false">INDEX('Frequency 1-72'!$B$2:$E$73,A147,MATCH(B147,{"A","C","G","U"},0))</f>
        <v>1</v>
      </c>
      <c r="E147" s="38" t="n">
        <f aca="false">'Frequency 1-72'!G38</f>
        <v>199</v>
      </c>
      <c r="F147" s="43" t="n">
        <v>1</v>
      </c>
      <c r="G147" s="45" t="n">
        <f aca="false">IF(E147=0,"",D147/E147)</f>
        <v>0.0050251256281407</v>
      </c>
      <c r="H147" s="45" t="n">
        <f aca="false">I147/J147</f>
        <v>0.00985221674876847</v>
      </c>
      <c r="I147" s="38" t="n">
        <f aca="false">D147+F147</f>
        <v>2</v>
      </c>
      <c r="J147" s="38" t="n">
        <f aca="false">E147+4*F147</f>
        <v>203</v>
      </c>
      <c r="K147" s="38" t="s">
        <v>603</v>
      </c>
      <c r="L147" s="38" t="n">
        <f aca="false">ROUND(SUMIF($A$2:$A$289,A147,$H$2:$H$289),9)</f>
        <v>1</v>
      </c>
    </row>
    <row r="148" customFormat="false" ht="15" hidden="false" customHeight="true" outlineLevel="0" collapsed="false">
      <c r="A148" s="38" t="n">
        <v>37</v>
      </c>
      <c r="B148" s="38" t="s">
        <v>169</v>
      </c>
      <c r="C148" s="38" t="str">
        <f aca="false">A148&amp;"|"&amp;B148</f>
        <v>37|G</v>
      </c>
      <c r="D148" s="38" t="n">
        <f aca="false">INDEX('Frequency 1-72'!$B$2:$E$73,A148,MATCH(B148,{"A","C","G","U"},0))</f>
        <v>48</v>
      </c>
      <c r="E148" s="38" t="n">
        <f aca="false">'Frequency 1-72'!G38</f>
        <v>199</v>
      </c>
      <c r="F148" s="43" t="n">
        <v>1</v>
      </c>
      <c r="G148" s="45" t="n">
        <f aca="false">IF(E148=0,"",D148/E148)</f>
        <v>0.241206030150754</v>
      </c>
      <c r="H148" s="45" t="n">
        <f aca="false">I148/J148</f>
        <v>0.241379310344828</v>
      </c>
      <c r="I148" s="38" t="n">
        <f aca="false">D148+F148</f>
        <v>49</v>
      </c>
      <c r="J148" s="38" t="n">
        <f aca="false">E148+4*F148</f>
        <v>203</v>
      </c>
      <c r="K148" s="38" t="s">
        <v>603</v>
      </c>
      <c r="L148" s="38" t="n">
        <f aca="false">ROUND(SUMIF($A$2:$A$289,A148,$H$2:$H$289),9)</f>
        <v>1</v>
      </c>
    </row>
    <row r="149" customFormat="false" ht="15" hidden="false" customHeight="true" outlineLevel="0" collapsed="false">
      <c r="A149" s="38" t="n">
        <v>37</v>
      </c>
      <c r="B149" s="38" t="s">
        <v>171</v>
      </c>
      <c r="C149" s="38" t="str">
        <f aca="false">A149&amp;"|"&amp;B149</f>
        <v>37|U</v>
      </c>
      <c r="D149" s="38" t="n">
        <f aca="false">INDEX('Frequency 1-72'!$B$2:$E$73,A149,MATCH(B149,{"A","C","G","U"},0))</f>
        <v>0</v>
      </c>
      <c r="E149" s="38" t="n">
        <f aca="false">'Frequency 1-72'!G38</f>
        <v>199</v>
      </c>
      <c r="F149" s="43" t="n">
        <v>1</v>
      </c>
      <c r="G149" s="45" t="n">
        <f aca="false">IF(E149=0,"",D149/E149)</f>
        <v>0</v>
      </c>
      <c r="H149" s="45" t="n">
        <f aca="false">I149/J149</f>
        <v>0.00492610837438424</v>
      </c>
      <c r="I149" s="38" t="n">
        <f aca="false">D149+F149</f>
        <v>1</v>
      </c>
      <c r="J149" s="38" t="n">
        <f aca="false">E149+4*F149</f>
        <v>203</v>
      </c>
      <c r="K149" s="38" t="s">
        <v>603</v>
      </c>
      <c r="L149" s="38" t="n">
        <f aca="false">ROUND(SUMIF($A$2:$A$289,A149,$H$2:$H$289),9)</f>
        <v>1</v>
      </c>
    </row>
    <row r="150" customFormat="false" ht="15" hidden="false" customHeight="true" outlineLevel="0" collapsed="false">
      <c r="A150" s="38" t="n">
        <v>38</v>
      </c>
      <c r="B150" s="38" t="s">
        <v>172</v>
      </c>
      <c r="C150" s="38" t="str">
        <f aca="false">A150&amp;"|"&amp;B150</f>
        <v>38|A</v>
      </c>
      <c r="D150" s="38" t="n">
        <f aca="false">INDEX('Frequency 1-72'!$B$2:$E$73,A150,MATCH(B150,{"A","C","G","U"},0))</f>
        <v>146</v>
      </c>
      <c r="E150" s="38" t="n">
        <f aca="false">'Frequency 1-72'!G39</f>
        <v>199</v>
      </c>
      <c r="F150" s="43" t="n">
        <v>1</v>
      </c>
      <c r="G150" s="45" t="n">
        <f aca="false">IF(E150=0,"",D150/E150)</f>
        <v>0.733668341708543</v>
      </c>
      <c r="H150" s="45" t="n">
        <f aca="false">I150/J150</f>
        <v>0.724137931034483</v>
      </c>
      <c r="I150" s="38" t="n">
        <f aca="false">D150+F150</f>
        <v>147</v>
      </c>
      <c r="J150" s="38" t="n">
        <f aca="false">E150+4*F150</f>
        <v>203</v>
      </c>
      <c r="K150" s="38" t="s">
        <v>603</v>
      </c>
      <c r="L150" s="38" t="n">
        <f aca="false">ROUND(SUMIF($A$2:$A$289,A150,$H$2:$H$289),9)</f>
        <v>1</v>
      </c>
    </row>
    <row r="151" customFormat="false" ht="15" hidden="false" customHeight="true" outlineLevel="0" collapsed="false">
      <c r="A151" s="38" t="n">
        <v>38</v>
      </c>
      <c r="B151" s="38" t="s">
        <v>170</v>
      </c>
      <c r="C151" s="38" t="str">
        <f aca="false">A151&amp;"|"&amp;B151</f>
        <v>38|C</v>
      </c>
      <c r="D151" s="38" t="n">
        <f aca="false">INDEX('Frequency 1-72'!$B$2:$E$73,A151,MATCH(B151,{"A","C","G","U"},0))</f>
        <v>29</v>
      </c>
      <c r="E151" s="38" t="n">
        <f aca="false">'Frequency 1-72'!G39</f>
        <v>199</v>
      </c>
      <c r="F151" s="43" t="n">
        <v>1</v>
      </c>
      <c r="G151" s="45" t="n">
        <f aca="false">IF(E151=0,"",D151/E151)</f>
        <v>0.14572864321608</v>
      </c>
      <c r="H151" s="45" t="n">
        <f aca="false">I151/J151</f>
        <v>0.147783251231527</v>
      </c>
      <c r="I151" s="38" t="n">
        <f aca="false">D151+F151</f>
        <v>30</v>
      </c>
      <c r="J151" s="38" t="n">
        <f aca="false">E151+4*F151</f>
        <v>203</v>
      </c>
      <c r="K151" s="38" t="s">
        <v>603</v>
      </c>
      <c r="L151" s="38" t="n">
        <f aca="false">ROUND(SUMIF($A$2:$A$289,A151,$H$2:$H$289),9)</f>
        <v>1</v>
      </c>
    </row>
    <row r="152" customFormat="false" ht="15" hidden="false" customHeight="true" outlineLevel="0" collapsed="false">
      <c r="A152" s="38" t="n">
        <v>38</v>
      </c>
      <c r="B152" s="38" t="s">
        <v>169</v>
      </c>
      <c r="C152" s="38" t="str">
        <f aca="false">A152&amp;"|"&amp;B152</f>
        <v>38|G</v>
      </c>
      <c r="D152" s="38" t="n">
        <f aca="false">INDEX('Frequency 1-72'!$B$2:$E$73,A152,MATCH(B152,{"A","C","G","U"},0))</f>
        <v>1</v>
      </c>
      <c r="E152" s="38" t="n">
        <f aca="false">'Frequency 1-72'!G39</f>
        <v>199</v>
      </c>
      <c r="F152" s="43" t="n">
        <v>1</v>
      </c>
      <c r="G152" s="45" t="n">
        <f aca="false">IF(E152=0,"",D152/E152)</f>
        <v>0.0050251256281407</v>
      </c>
      <c r="H152" s="45" t="n">
        <f aca="false">I152/J152</f>
        <v>0.00985221674876847</v>
      </c>
      <c r="I152" s="38" t="n">
        <f aca="false">D152+F152</f>
        <v>2</v>
      </c>
      <c r="J152" s="38" t="n">
        <f aca="false">E152+4*F152</f>
        <v>203</v>
      </c>
      <c r="K152" s="38" t="s">
        <v>603</v>
      </c>
      <c r="L152" s="38" t="n">
        <f aca="false">ROUND(SUMIF($A$2:$A$289,A152,$H$2:$H$289),9)</f>
        <v>1</v>
      </c>
    </row>
    <row r="153" customFormat="false" ht="15" hidden="false" customHeight="true" outlineLevel="0" collapsed="false">
      <c r="A153" s="38" t="n">
        <v>38</v>
      </c>
      <c r="B153" s="38" t="s">
        <v>171</v>
      </c>
      <c r="C153" s="38" t="str">
        <f aca="false">A153&amp;"|"&amp;B153</f>
        <v>38|U</v>
      </c>
      <c r="D153" s="38" t="n">
        <f aca="false">INDEX('Frequency 1-72'!$B$2:$E$73,A153,MATCH(B153,{"A","C","G","U"},0))</f>
        <v>23</v>
      </c>
      <c r="E153" s="38" t="n">
        <f aca="false">'Frequency 1-72'!G39</f>
        <v>199</v>
      </c>
      <c r="F153" s="43" t="n">
        <v>1</v>
      </c>
      <c r="G153" s="45" t="n">
        <f aca="false">IF(E153=0,"",D153/E153)</f>
        <v>0.115577889447236</v>
      </c>
      <c r="H153" s="45" t="n">
        <f aca="false">I153/J153</f>
        <v>0.118226600985222</v>
      </c>
      <c r="I153" s="38" t="n">
        <f aca="false">D153+F153</f>
        <v>24</v>
      </c>
      <c r="J153" s="38" t="n">
        <f aca="false">E153+4*F153</f>
        <v>203</v>
      </c>
      <c r="K153" s="38" t="s">
        <v>603</v>
      </c>
      <c r="L153" s="38" t="n">
        <f aca="false">ROUND(SUMIF($A$2:$A$289,A153,$H$2:$H$289),9)</f>
        <v>1</v>
      </c>
    </row>
    <row r="154" customFormat="false" ht="15" hidden="false" customHeight="true" outlineLevel="0" collapsed="false">
      <c r="A154" s="38" t="n">
        <v>39</v>
      </c>
      <c r="B154" s="38" t="s">
        <v>172</v>
      </c>
      <c r="C154" s="38" t="str">
        <f aca="false">A154&amp;"|"&amp;B154</f>
        <v>39|A</v>
      </c>
      <c r="D154" s="38" t="n">
        <f aca="false">INDEX('Frequency 1-72'!$B$2:$E$73,A154,MATCH(B154,{"A","C","G","U"},0))</f>
        <v>18</v>
      </c>
      <c r="E154" s="38" t="n">
        <f aca="false">'Frequency 1-72'!G40</f>
        <v>199</v>
      </c>
      <c r="F154" s="43" t="n">
        <v>1</v>
      </c>
      <c r="G154" s="45" t="n">
        <f aca="false">IF(E154=0,"",D154/E154)</f>
        <v>0.0904522613065327</v>
      </c>
      <c r="H154" s="45" t="n">
        <f aca="false">I154/J154</f>
        <v>0.0935960591133005</v>
      </c>
      <c r="I154" s="38" t="n">
        <f aca="false">D154+F154</f>
        <v>19</v>
      </c>
      <c r="J154" s="38" t="n">
        <f aca="false">E154+4*F154</f>
        <v>203</v>
      </c>
      <c r="K154" s="38" t="s">
        <v>603</v>
      </c>
      <c r="L154" s="38" t="n">
        <f aca="false">ROUND(SUMIF($A$2:$A$289,A154,$H$2:$H$289),9)</f>
        <v>1</v>
      </c>
    </row>
    <row r="155" customFormat="false" ht="15" hidden="false" customHeight="true" outlineLevel="0" collapsed="false">
      <c r="A155" s="38" t="n">
        <v>39</v>
      </c>
      <c r="B155" s="38" t="s">
        <v>170</v>
      </c>
      <c r="C155" s="38" t="str">
        <f aca="false">A155&amp;"|"&amp;B155</f>
        <v>39|C</v>
      </c>
      <c r="D155" s="38" t="n">
        <f aca="false">INDEX('Frequency 1-72'!$B$2:$E$73,A155,MATCH(B155,{"A","C","G","U"},0))</f>
        <v>50</v>
      </c>
      <c r="E155" s="38" t="n">
        <f aca="false">'Frequency 1-72'!G40</f>
        <v>199</v>
      </c>
      <c r="F155" s="43" t="n">
        <v>1</v>
      </c>
      <c r="G155" s="45" t="n">
        <f aca="false">IF(E155=0,"",D155/E155)</f>
        <v>0.251256281407035</v>
      </c>
      <c r="H155" s="45" t="n">
        <f aca="false">I155/J155</f>
        <v>0.251231527093596</v>
      </c>
      <c r="I155" s="38" t="n">
        <f aca="false">D155+F155</f>
        <v>51</v>
      </c>
      <c r="J155" s="38" t="n">
        <f aca="false">E155+4*F155</f>
        <v>203</v>
      </c>
      <c r="K155" s="38" t="s">
        <v>603</v>
      </c>
      <c r="L155" s="38" t="n">
        <f aca="false">ROUND(SUMIF($A$2:$A$289,A155,$H$2:$H$289),9)</f>
        <v>1</v>
      </c>
    </row>
    <row r="156" customFormat="false" ht="15" hidden="false" customHeight="true" outlineLevel="0" collapsed="false">
      <c r="A156" s="38" t="n">
        <v>39</v>
      </c>
      <c r="B156" s="38" t="s">
        <v>169</v>
      </c>
      <c r="C156" s="38" t="str">
        <f aca="false">A156&amp;"|"&amp;B156</f>
        <v>39|G</v>
      </c>
      <c r="D156" s="38" t="n">
        <f aca="false">INDEX('Frequency 1-72'!$B$2:$E$73,A156,MATCH(B156,{"A","C","G","U"},0))</f>
        <v>72</v>
      </c>
      <c r="E156" s="38" t="n">
        <f aca="false">'Frequency 1-72'!G40</f>
        <v>199</v>
      </c>
      <c r="F156" s="43" t="n">
        <v>1</v>
      </c>
      <c r="G156" s="45" t="n">
        <f aca="false">IF(E156=0,"",D156/E156)</f>
        <v>0.361809045226131</v>
      </c>
      <c r="H156" s="45" t="n">
        <f aca="false">I156/J156</f>
        <v>0.359605911330049</v>
      </c>
      <c r="I156" s="38" t="n">
        <f aca="false">D156+F156</f>
        <v>73</v>
      </c>
      <c r="J156" s="38" t="n">
        <f aca="false">E156+4*F156</f>
        <v>203</v>
      </c>
      <c r="K156" s="38" t="s">
        <v>603</v>
      </c>
      <c r="L156" s="38" t="n">
        <f aca="false">ROUND(SUMIF($A$2:$A$289,A156,$H$2:$H$289),9)</f>
        <v>1</v>
      </c>
    </row>
    <row r="157" customFormat="false" ht="15" hidden="false" customHeight="true" outlineLevel="0" collapsed="false">
      <c r="A157" s="38" t="n">
        <v>39</v>
      </c>
      <c r="B157" s="38" t="s">
        <v>171</v>
      </c>
      <c r="C157" s="38" t="str">
        <f aca="false">A157&amp;"|"&amp;B157</f>
        <v>39|U</v>
      </c>
      <c r="D157" s="38" t="n">
        <f aca="false">INDEX('Frequency 1-72'!$B$2:$E$73,A157,MATCH(B157,{"A","C","G","U"},0))</f>
        <v>59</v>
      </c>
      <c r="E157" s="38" t="n">
        <f aca="false">'Frequency 1-72'!G40</f>
        <v>199</v>
      </c>
      <c r="F157" s="43" t="n">
        <v>1</v>
      </c>
      <c r="G157" s="45" t="n">
        <f aca="false">IF(E157=0,"",D157/E157)</f>
        <v>0.296482412060302</v>
      </c>
      <c r="H157" s="45" t="n">
        <f aca="false">I157/J157</f>
        <v>0.295566502463054</v>
      </c>
      <c r="I157" s="38" t="n">
        <f aca="false">D157+F157</f>
        <v>60</v>
      </c>
      <c r="J157" s="38" t="n">
        <f aca="false">E157+4*F157</f>
        <v>203</v>
      </c>
      <c r="K157" s="38" t="s">
        <v>603</v>
      </c>
      <c r="L157" s="38" t="n">
        <f aca="false">ROUND(SUMIF($A$2:$A$289,A157,$H$2:$H$289),9)</f>
        <v>1</v>
      </c>
    </row>
    <row r="158" customFormat="false" ht="15" hidden="false" customHeight="true" outlineLevel="0" collapsed="false">
      <c r="A158" s="38" t="n">
        <v>40</v>
      </c>
      <c r="B158" s="38" t="s">
        <v>172</v>
      </c>
      <c r="C158" s="38" t="str">
        <f aca="false">A158&amp;"|"&amp;B158</f>
        <v>40|A</v>
      </c>
      <c r="D158" s="38" t="n">
        <f aca="false">INDEX('Frequency 1-72'!$B$2:$E$73,A158,MATCH(B158,{"A","C","G","U"},0))</f>
        <v>1</v>
      </c>
      <c r="E158" s="38" t="n">
        <f aca="false">'Frequency 1-72'!G41</f>
        <v>199</v>
      </c>
      <c r="F158" s="43" t="n">
        <v>1</v>
      </c>
      <c r="G158" s="45" t="n">
        <f aca="false">IF(E158=0,"",D158/E158)</f>
        <v>0.0050251256281407</v>
      </c>
      <c r="H158" s="45" t="n">
        <f aca="false">I158/J158</f>
        <v>0.00985221674876847</v>
      </c>
      <c r="I158" s="38" t="n">
        <f aca="false">D158+F158</f>
        <v>2</v>
      </c>
      <c r="J158" s="38" t="n">
        <f aca="false">E158+4*F158</f>
        <v>203</v>
      </c>
      <c r="K158" s="38" t="s">
        <v>603</v>
      </c>
      <c r="L158" s="38" t="n">
        <f aca="false">ROUND(SUMIF($A$2:$A$289,A158,$H$2:$H$289),9)</f>
        <v>1</v>
      </c>
    </row>
    <row r="159" customFormat="false" ht="15" hidden="false" customHeight="true" outlineLevel="0" collapsed="false">
      <c r="A159" s="38" t="n">
        <v>40</v>
      </c>
      <c r="B159" s="38" t="s">
        <v>170</v>
      </c>
      <c r="C159" s="38" t="str">
        <f aca="false">A159&amp;"|"&amp;B159</f>
        <v>40|C</v>
      </c>
      <c r="D159" s="38" t="n">
        <f aca="false">INDEX('Frequency 1-72'!$B$2:$E$73,A159,MATCH(B159,{"A","C","G","U"},0))</f>
        <v>143</v>
      </c>
      <c r="E159" s="38" t="n">
        <f aca="false">'Frequency 1-72'!G41</f>
        <v>199</v>
      </c>
      <c r="F159" s="43" t="n">
        <v>1</v>
      </c>
      <c r="G159" s="45" t="n">
        <f aca="false">IF(E159=0,"",D159/E159)</f>
        <v>0.718592964824121</v>
      </c>
      <c r="H159" s="45" t="n">
        <f aca="false">I159/J159</f>
        <v>0.70935960591133</v>
      </c>
      <c r="I159" s="38" t="n">
        <f aca="false">D159+F159</f>
        <v>144</v>
      </c>
      <c r="J159" s="38" t="n">
        <f aca="false">E159+4*F159</f>
        <v>203</v>
      </c>
      <c r="K159" s="38" t="s">
        <v>603</v>
      </c>
      <c r="L159" s="38" t="n">
        <f aca="false">ROUND(SUMIF($A$2:$A$289,A159,$H$2:$H$289),9)</f>
        <v>1</v>
      </c>
    </row>
    <row r="160" customFormat="false" ht="15" hidden="false" customHeight="true" outlineLevel="0" collapsed="false">
      <c r="A160" s="38" t="n">
        <v>40</v>
      </c>
      <c r="B160" s="38" t="s">
        <v>169</v>
      </c>
      <c r="C160" s="38" t="str">
        <f aca="false">A160&amp;"|"&amp;B160</f>
        <v>40|G</v>
      </c>
      <c r="D160" s="38" t="n">
        <f aca="false">INDEX('Frequency 1-72'!$B$2:$E$73,A160,MATCH(B160,{"A","C","G","U"},0))</f>
        <v>47</v>
      </c>
      <c r="E160" s="38" t="n">
        <f aca="false">'Frequency 1-72'!G41</f>
        <v>199</v>
      </c>
      <c r="F160" s="43" t="n">
        <v>1</v>
      </c>
      <c r="G160" s="45" t="n">
        <f aca="false">IF(E160=0,"",D160/E160)</f>
        <v>0.236180904522613</v>
      </c>
      <c r="H160" s="45" t="n">
        <f aca="false">I160/J160</f>
        <v>0.236453201970443</v>
      </c>
      <c r="I160" s="38" t="n">
        <f aca="false">D160+F160</f>
        <v>48</v>
      </c>
      <c r="J160" s="38" t="n">
        <f aca="false">E160+4*F160</f>
        <v>203</v>
      </c>
      <c r="K160" s="38" t="s">
        <v>603</v>
      </c>
      <c r="L160" s="38" t="n">
        <f aca="false">ROUND(SUMIF($A$2:$A$289,A160,$H$2:$H$289),9)</f>
        <v>1</v>
      </c>
    </row>
    <row r="161" customFormat="false" ht="15" hidden="false" customHeight="true" outlineLevel="0" collapsed="false">
      <c r="A161" s="38" t="n">
        <v>40</v>
      </c>
      <c r="B161" s="38" t="s">
        <v>171</v>
      </c>
      <c r="C161" s="38" t="str">
        <f aca="false">A161&amp;"|"&amp;B161</f>
        <v>40|U</v>
      </c>
      <c r="D161" s="38" t="n">
        <f aca="false">INDEX('Frequency 1-72'!$B$2:$E$73,A161,MATCH(B161,{"A","C","G","U"},0))</f>
        <v>8</v>
      </c>
      <c r="E161" s="38" t="n">
        <f aca="false">'Frequency 1-72'!G41</f>
        <v>199</v>
      </c>
      <c r="F161" s="43" t="n">
        <v>1</v>
      </c>
      <c r="G161" s="45" t="n">
        <f aca="false">IF(E161=0,"",D161/E161)</f>
        <v>0.0402010050251256</v>
      </c>
      <c r="H161" s="45" t="n">
        <f aca="false">I161/J161</f>
        <v>0.0443349753694581</v>
      </c>
      <c r="I161" s="38" t="n">
        <f aca="false">D161+F161</f>
        <v>9</v>
      </c>
      <c r="J161" s="38" t="n">
        <f aca="false">E161+4*F161</f>
        <v>203</v>
      </c>
      <c r="K161" s="38" t="s">
        <v>603</v>
      </c>
      <c r="L161" s="38" t="n">
        <f aca="false">ROUND(SUMIF($A$2:$A$289,A161,$H$2:$H$289),9)</f>
        <v>1</v>
      </c>
    </row>
    <row r="162" customFormat="false" ht="15" hidden="false" customHeight="true" outlineLevel="0" collapsed="false">
      <c r="A162" s="38" t="n">
        <v>41</v>
      </c>
      <c r="B162" s="38" t="s">
        <v>172</v>
      </c>
      <c r="C162" s="38" t="str">
        <f aca="false">A162&amp;"|"&amp;B162</f>
        <v>41|A</v>
      </c>
      <c r="D162" s="38" t="n">
        <f aca="false">INDEX('Frequency 1-72'!$B$2:$E$73,A162,MATCH(B162,{"A","C","G","U"},0))</f>
        <v>54</v>
      </c>
      <c r="E162" s="38" t="n">
        <f aca="false">'Frequency 1-72'!G42</f>
        <v>199</v>
      </c>
      <c r="F162" s="43" t="n">
        <v>1</v>
      </c>
      <c r="G162" s="45" t="n">
        <f aca="false">IF(E162=0,"",D162/E162)</f>
        <v>0.271356783919598</v>
      </c>
      <c r="H162" s="45" t="n">
        <f aca="false">I162/J162</f>
        <v>0.270935960591133</v>
      </c>
      <c r="I162" s="38" t="n">
        <f aca="false">D162+F162</f>
        <v>55</v>
      </c>
      <c r="J162" s="38" t="n">
        <f aca="false">E162+4*F162</f>
        <v>203</v>
      </c>
      <c r="K162" s="38" t="s">
        <v>603</v>
      </c>
      <c r="L162" s="38" t="n">
        <f aca="false">ROUND(SUMIF($A$2:$A$289,A162,$H$2:$H$289),9)</f>
        <v>1</v>
      </c>
    </row>
    <row r="163" customFormat="false" ht="15" hidden="false" customHeight="true" outlineLevel="0" collapsed="false">
      <c r="A163" s="38" t="n">
        <v>41</v>
      </c>
      <c r="B163" s="38" t="s">
        <v>170</v>
      </c>
      <c r="C163" s="38" t="str">
        <f aca="false">A163&amp;"|"&amp;B163</f>
        <v>41|C</v>
      </c>
      <c r="D163" s="38" t="n">
        <f aca="false">INDEX('Frequency 1-72'!$B$2:$E$73,A163,MATCH(B163,{"A","C","G","U"},0))</f>
        <v>77</v>
      </c>
      <c r="E163" s="38" t="n">
        <f aca="false">'Frequency 1-72'!G42</f>
        <v>199</v>
      </c>
      <c r="F163" s="43" t="n">
        <v>1</v>
      </c>
      <c r="G163" s="45" t="n">
        <f aca="false">IF(E163=0,"",D163/E163)</f>
        <v>0.386934673366834</v>
      </c>
      <c r="H163" s="45" t="n">
        <f aca="false">I163/J163</f>
        <v>0.38423645320197</v>
      </c>
      <c r="I163" s="38" t="n">
        <f aca="false">D163+F163</f>
        <v>78</v>
      </c>
      <c r="J163" s="38" t="n">
        <f aca="false">E163+4*F163</f>
        <v>203</v>
      </c>
      <c r="K163" s="38" t="s">
        <v>603</v>
      </c>
      <c r="L163" s="38" t="n">
        <f aca="false">ROUND(SUMIF($A$2:$A$289,A163,$H$2:$H$289),9)</f>
        <v>1</v>
      </c>
    </row>
    <row r="164" customFormat="false" ht="15" hidden="false" customHeight="true" outlineLevel="0" collapsed="false">
      <c r="A164" s="38" t="n">
        <v>41</v>
      </c>
      <c r="B164" s="38" t="s">
        <v>169</v>
      </c>
      <c r="C164" s="38" t="str">
        <f aca="false">A164&amp;"|"&amp;B164</f>
        <v>41|G</v>
      </c>
      <c r="D164" s="38" t="n">
        <f aca="false">INDEX('Frequency 1-72'!$B$2:$E$73,A164,MATCH(B164,{"A","C","G","U"},0))</f>
        <v>35</v>
      </c>
      <c r="E164" s="38" t="n">
        <f aca="false">'Frequency 1-72'!G42</f>
        <v>199</v>
      </c>
      <c r="F164" s="43" t="n">
        <v>1</v>
      </c>
      <c r="G164" s="45" t="n">
        <f aca="false">IF(E164=0,"",D164/E164)</f>
        <v>0.175879396984925</v>
      </c>
      <c r="H164" s="45" t="n">
        <f aca="false">I164/J164</f>
        <v>0.177339901477833</v>
      </c>
      <c r="I164" s="38" t="n">
        <f aca="false">D164+F164</f>
        <v>36</v>
      </c>
      <c r="J164" s="38" t="n">
        <f aca="false">E164+4*F164</f>
        <v>203</v>
      </c>
      <c r="K164" s="38" t="s">
        <v>603</v>
      </c>
      <c r="L164" s="38" t="n">
        <f aca="false">ROUND(SUMIF($A$2:$A$289,A164,$H$2:$H$289),9)</f>
        <v>1</v>
      </c>
    </row>
    <row r="165" customFormat="false" ht="15" hidden="false" customHeight="true" outlineLevel="0" collapsed="false">
      <c r="A165" s="38" t="n">
        <v>41</v>
      </c>
      <c r="B165" s="38" t="s">
        <v>171</v>
      </c>
      <c r="C165" s="38" t="str">
        <f aca="false">A165&amp;"|"&amp;B165</f>
        <v>41|U</v>
      </c>
      <c r="D165" s="38" t="n">
        <f aca="false">INDEX('Frequency 1-72'!$B$2:$E$73,A165,MATCH(B165,{"A","C","G","U"},0))</f>
        <v>33</v>
      </c>
      <c r="E165" s="38" t="n">
        <f aca="false">'Frequency 1-72'!G42</f>
        <v>199</v>
      </c>
      <c r="F165" s="43" t="n">
        <v>1</v>
      </c>
      <c r="G165" s="45" t="n">
        <f aca="false">IF(E165=0,"",D165/E165)</f>
        <v>0.165829145728643</v>
      </c>
      <c r="H165" s="45" t="n">
        <f aca="false">I165/J165</f>
        <v>0.167487684729064</v>
      </c>
      <c r="I165" s="38" t="n">
        <f aca="false">D165+F165</f>
        <v>34</v>
      </c>
      <c r="J165" s="38" t="n">
        <f aca="false">E165+4*F165</f>
        <v>203</v>
      </c>
      <c r="K165" s="38" t="s">
        <v>603</v>
      </c>
      <c r="L165" s="38" t="n">
        <f aca="false">ROUND(SUMIF($A$2:$A$289,A165,$H$2:$H$289),9)</f>
        <v>1</v>
      </c>
    </row>
    <row r="166" customFormat="false" ht="15" hidden="false" customHeight="true" outlineLevel="0" collapsed="false">
      <c r="A166" s="38" t="n">
        <v>42</v>
      </c>
      <c r="B166" s="38" t="s">
        <v>172</v>
      </c>
      <c r="C166" s="38" t="str">
        <f aca="false">A166&amp;"|"&amp;B166</f>
        <v>42|A</v>
      </c>
      <c r="D166" s="38" t="n">
        <f aca="false">INDEX('Frequency 1-72'!$B$2:$E$73,A166,MATCH(B166,{"A","C","G","U"},0))</f>
        <v>48</v>
      </c>
      <c r="E166" s="38" t="n">
        <f aca="false">'Frequency 1-72'!G43</f>
        <v>199</v>
      </c>
      <c r="F166" s="43" t="n">
        <v>1</v>
      </c>
      <c r="G166" s="45" t="n">
        <f aca="false">IF(E166=0,"",D166/E166)</f>
        <v>0.241206030150754</v>
      </c>
      <c r="H166" s="45" t="n">
        <f aca="false">I166/J166</f>
        <v>0.241379310344828</v>
      </c>
      <c r="I166" s="38" t="n">
        <f aca="false">D166+F166</f>
        <v>49</v>
      </c>
      <c r="J166" s="38" t="n">
        <f aca="false">E166+4*F166</f>
        <v>203</v>
      </c>
      <c r="K166" s="38" t="s">
        <v>603</v>
      </c>
      <c r="L166" s="38" t="n">
        <f aca="false">ROUND(SUMIF($A$2:$A$289,A166,$H$2:$H$289),9)</f>
        <v>1</v>
      </c>
    </row>
    <row r="167" customFormat="false" ht="15" hidden="false" customHeight="true" outlineLevel="0" collapsed="false">
      <c r="A167" s="38" t="n">
        <v>42</v>
      </c>
      <c r="B167" s="38" t="s">
        <v>170</v>
      </c>
      <c r="C167" s="38" t="str">
        <f aca="false">A167&amp;"|"&amp;B167</f>
        <v>42|C</v>
      </c>
      <c r="D167" s="38" t="n">
        <f aca="false">INDEX('Frequency 1-72'!$B$2:$E$73,A167,MATCH(B167,{"A","C","G","U"},0))</f>
        <v>20</v>
      </c>
      <c r="E167" s="38" t="n">
        <f aca="false">'Frequency 1-72'!G43</f>
        <v>199</v>
      </c>
      <c r="F167" s="43" t="n">
        <v>1</v>
      </c>
      <c r="G167" s="45" t="n">
        <f aca="false">IF(E167=0,"",D167/E167)</f>
        <v>0.100502512562814</v>
      </c>
      <c r="H167" s="45" t="n">
        <f aca="false">I167/J167</f>
        <v>0.103448275862069</v>
      </c>
      <c r="I167" s="38" t="n">
        <f aca="false">D167+F167</f>
        <v>21</v>
      </c>
      <c r="J167" s="38" t="n">
        <f aca="false">E167+4*F167</f>
        <v>203</v>
      </c>
      <c r="K167" s="38" t="s">
        <v>603</v>
      </c>
      <c r="L167" s="38" t="n">
        <f aca="false">ROUND(SUMIF($A$2:$A$289,A167,$H$2:$H$289),9)</f>
        <v>1</v>
      </c>
    </row>
    <row r="168" customFormat="false" ht="15" hidden="false" customHeight="true" outlineLevel="0" collapsed="false">
      <c r="A168" s="38" t="n">
        <v>42</v>
      </c>
      <c r="B168" s="38" t="s">
        <v>169</v>
      </c>
      <c r="C168" s="38" t="str">
        <f aca="false">A168&amp;"|"&amp;B168</f>
        <v>42|G</v>
      </c>
      <c r="D168" s="38" t="n">
        <f aca="false">INDEX('Frequency 1-72'!$B$2:$E$73,A168,MATCH(B168,{"A","C","G","U"},0))</f>
        <v>105</v>
      </c>
      <c r="E168" s="38" t="n">
        <f aca="false">'Frequency 1-72'!G43</f>
        <v>199</v>
      </c>
      <c r="F168" s="43" t="n">
        <v>1</v>
      </c>
      <c r="G168" s="45" t="n">
        <f aca="false">IF(E168=0,"",D168/E168)</f>
        <v>0.527638190954774</v>
      </c>
      <c r="H168" s="45" t="n">
        <f aca="false">I168/J168</f>
        <v>0.522167487684729</v>
      </c>
      <c r="I168" s="38" t="n">
        <f aca="false">D168+F168</f>
        <v>106</v>
      </c>
      <c r="J168" s="38" t="n">
        <f aca="false">E168+4*F168</f>
        <v>203</v>
      </c>
      <c r="K168" s="38" t="s">
        <v>603</v>
      </c>
      <c r="L168" s="38" t="n">
        <f aca="false">ROUND(SUMIF($A$2:$A$289,A168,$H$2:$H$289),9)</f>
        <v>1</v>
      </c>
    </row>
    <row r="169" customFormat="false" ht="15" hidden="false" customHeight="true" outlineLevel="0" collapsed="false">
      <c r="A169" s="38" t="n">
        <v>42</v>
      </c>
      <c r="B169" s="38" t="s">
        <v>171</v>
      </c>
      <c r="C169" s="38" t="str">
        <f aca="false">A169&amp;"|"&amp;B169</f>
        <v>42|U</v>
      </c>
      <c r="D169" s="38" t="n">
        <f aca="false">INDEX('Frequency 1-72'!$B$2:$E$73,A169,MATCH(B169,{"A","C","G","U"},0))</f>
        <v>26</v>
      </c>
      <c r="E169" s="38" t="n">
        <f aca="false">'Frequency 1-72'!G43</f>
        <v>199</v>
      </c>
      <c r="F169" s="43" t="n">
        <v>1</v>
      </c>
      <c r="G169" s="45" t="n">
        <f aca="false">IF(E169=0,"",D169/E169)</f>
        <v>0.130653266331658</v>
      </c>
      <c r="H169" s="45" t="n">
        <f aca="false">I169/J169</f>
        <v>0.133004926108374</v>
      </c>
      <c r="I169" s="38" t="n">
        <f aca="false">D169+F169</f>
        <v>27</v>
      </c>
      <c r="J169" s="38" t="n">
        <f aca="false">E169+4*F169</f>
        <v>203</v>
      </c>
      <c r="K169" s="38" t="s">
        <v>603</v>
      </c>
      <c r="L169" s="38" t="n">
        <f aca="false">ROUND(SUMIF($A$2:$A$289,A169,$H$2:$H$289),9)</f>
        <v>1</v>
      </c>
    </row>
    <row r="170" customFormat="false" ht="15" hidden="false" customHeight="true" outlineLevel="0" collapsed="false">
      <c r="A170" s="38" t="n">
        <v>43</v>
      </c>
      <c r="B170" s="38" t="s">
        <v>172</v>
      </c>
      <c r="C170" s="38" t="str">
        <f aca="false">A170&amp;"|"&amp;B170</f>
        <v>43|A</v>
      </c>
      <c r="D170" s="38" t="n">
        <f aca="false">INDEX('Frequency 1-72'!$B$2:$E$73,A170,MATCH(B170,{"A","C","G","U"},0))</f>
        <v>45</v>
      </c>
      <c r="E170" s="38" t="n">
        <f aca="false">'Frequency 1-72'!G44</f>
        <v>199</v>
      </c>
      <c r="F170" s="43" t="n">
        <v>1</v>
      </c>
      <c r="G170" s="45" t="n">
        <f aca="false">IF(E170=0,"",D170/E170)</f>
        <v>0.226130653266332</v>
      </c>
      <c r="H170" s="45" t="n">
        <f aca="false">I170/J170</f>
        <v>0.226600985221675</v>
      </c>
      <c r="I170" s="38" t="n">
        <f aca="false">D170+F170</f>
        <v>46</v>
      </c>
      <c r="J170" s="38" t="n">
        <f aca="false">E170+4*F170</f>
        <v>203</v>
      </c>
      <c r="K170" s="38" t="s">
        <v>603</v>
      </c>
      <c r="L170" s="38" t="n">
        <f aca="false">ROUND(SUMIF($A$2:$A$289,A170,$H$2:$H$289),9)</f>
        <v>1</v>
      </c>
    </row>
    <row r="171" customFormat="false" ht="15" hidden="false" customHeight="true" outlineLevel="0" collapsed="false">
      <c r="A171" s="38" t="n">
        <v>43</v>
      </c>
      <c r="B171" s="38" t="s">
        <v>170</v>
      </c>
      <c r="C171" s="38" t="str">
        <f aca="false">A171&amp;"|"&amp;B171</f>
        <v>43|C</v>
      </c>
      <c r="D171" s="38" t="n">
        <f aca="false">INDEX('Frequency 1-72'!$B$2:$E$73,A171,MATCH(B171,{"A","C","G","U"},0))</f>
        <v>23</v>
      </c>
      <c r="E171" s="38" t="n">
        <f aca="false">'Frequency 1-72'!G44</f>
        <v>199</v>
      </c>
      <c r="F171" s="43" t="n">
        <v>1</v>
      </c>
      <c r="G171" s="45" t="n">
        <f aca="false">IF(E171=0,"",D171/E171)</f>
        <v>0.115577889447236</v>
      </c>
      <c r="H171" s="45" t="n">
        <f aca="false">I171/J171</f>
        <v>0.118226600985222</v>
      </c>
      <c r="I171" s="38" t="n">
        <f aca="false">D171+F171</f>
        <v>24</v>
      </c>
      <c r="J171" s="38" t="n">
        <f aca="false">E171+4*F171</f>
        <v>203</v>
      </c>
      <c r="K171" s="38" t="s">
        <v>603</v>
      </c>
      <c r="L171" s="38" t="n">
        <f aca="false">ROUND(SUMIF($A$2:$A$289,A171,$H$2:$H$289),9)</f>
        <v>1</v>
      </c>
    </row>
    <row r="172" customFormat="false" ht="15" hidden="false" customHeight="true" outlineLevel="0" collapsed="false">
      <c r="A172" s="38" t="n">
        <v>43</v>
      </c>
      <c r="B172" s="38" t="s">
        <v>169</v>
      </c>
      <c r="C172" s="38" t="str">
        <f aca="false">A172&amp;"|"&amp;B172</f>
        <v>43|G</v>
      </c>
      <c r="D172" s="38" t="n">
        <f aca="false">INDEX('Frequency 1-72'!$B$2:$E$73,A172,MATCH(B172,{"A","C","G","U"},0))</f>
        <v>99</v>
      </c>
      <c r="E172" s="38" t="n">
        <f aca="false">'Frequency 1-72'!G44</f>
        <v>199</v>
      </c>
      <c r="F172" s="43" t="n">
        <v>1</v>
      </c>
      <c r="G172" s="45" t="n">
        <f aca="false">IF(E172=0,"",D172/E172)</f>
        <v>0.49748743718593</v>
      </c>
      <c r="H172" s="45" t="n">
        <f aca="false">I172/J172</f>
        <v>0.492610837438424</v>
      </c>
      <c r="I172" s="38" t="n">
        <f aca="false">D172+F172</f>
        <v>100</v>
      </c>
      <c r="J172" s="38" t="n">
        <f aca="false">E172+4*F172</f>
        <v>203</v>
      </c>
      <c r="K172" s="38" t="s">
        <v>603</v>
      </c>
      <c r="L172" s="38" t="n">
        <f aca="false">ROUND(SUMIF($A$2:$A$289,A172,$H$2:$H$289),9)</f>
        <v>1</v>
      </c>
    </row>
    <row r="173" customFormat="false" ht="15" hidden="false" customHeight="true" outlineLevel="0" collapsed="false">
      <c r="A173" s="38" t="n">
        <v>43</v>
      </c>
      <c r="B173" s="38" t="s">
        <v>171</v>
      </c>
      <c r="C173" s="38" t="str">
        <f aca="false">A173&amp;"|"&amp;B173</f>
        <v>43|U</v>
      </c>
      <c r="D173" s="38" t="n">
        <f aca="false">INDEX('Frequency 1-72'!$B$2:$E$73,A173,MATCH(B173,{"A","C","G","U"},0))</f>
        <v>32</v>
      </c>
      <c r="E173" s="38" t="n">
        <f aca="false">'Frequency 1-72'!G44</f>
        <v>199</v>
      </c>
      <c r="F173" s="43" t="n">
        <v>1</v>
      </c>
      <c r="G173" s="45" t="n">
        <f aca="false">IF(E173=0,"",D173/E173)</f>
        <v>0.160804020100503</v>
      </c>
      <c r="H173" s="45" t="n">
        <f aca="false">I173/J173</f>
        <v>0.16256157635468</v>
      </c>
      <c r="I173" s="38" t="n">
        <f aca="false">D173+F173</f>
        <v>33</v>
      </c>
      <c r="J173" s="38" t="n">
        <f aca="false">E173+4*F173</f>
        <v>203</v>
      </c>
      <c r="K173" s="38" t="s">
        <v>603</v>
      </c>
      <c r="L173" s="38" t="n">
        <f aca="false">ROUND(SUMIF($A$2:$A$289,A173,$H$2:$H$289),9)</f>
        <v>1</v>
      </c>
    </row>
    <row r="174" customFormat="false" ht="15" hidden="false" customHeight="true" outlineLevel="0" collapsed="false">
      <c r="A174" s="38" t="n">
        <v>44</v>
      </c>
      <c r="B174" s="38" t="s">
        <v>172</v>
      </c>
      <c r="C174" s="38" t="str">
        <f aca="false">A174&amp;"|"&amp;B174</f>
        <v>44|A</v>
      </c>
      <c r="D174" s="38" t="n">
        <f aca="false">INDEX('Frequency 1-72'!$B$2:$E$73,A174,MATCH(B174,{"A","C","G","U"},0))</f>
        <v>99</v>
      </c>
      <c r="E174" s="38" t="n">
        <f aca="false">'Frequency 1-72'!G45</f>
        <v>199</v>
      </c>
      <c r="F174" s="43" t="n">
        <v>1</v>
      </c>
      <c r="G174" s="45" t="n">
        <f aca="false">IF(E174=0,"",D174/E174)</f>
        <v>0.49748743718593</v>
      </c>
      <c r="H174" s="45" t="n">
        <f aca="false">I174/J174</f>
        <v>0.492610837438424</v>
      </c>
      <c r="I174" s="38" t="n">
        <f aca="false">D174+F174</f>
        <v>100</v>
      </c>
      <c r="J174" s="38" t="n">
        <f aca="false">E174+4*F174</f>
        <v>203</v>
      </c>
      <c r="K174" s="38" t="s">
        <v>603</v>
      </c>
      <c r="L174" s="38" t="n">
        <f aca="false">ROUND(SUMIF($A$2:$A$289,A174,$H$2:$H$289),9)</f>
        <v>1</v>
      </c>
    </row>
    <row r="175" customFormat="false" ht="15" hidden="false" customHeight="true" outlineLevel="0" collapsed="false">
      <c r="A175" s="38" t="n">
        <v>44</v>
      </c>
      <c r="B175" s="38" t="s">
        <v>170</v>
      </c>
      <c r="C175" s="38" t="str">
        <f aca="false">A175&amp;"|"&amp;B175</f>
        <v>44|C</v>
      </c>
      <c r="D175" s="38" t="n">
        <f aca="false">INDEX('Frequency 1-72'!$B$2:$E$73,A175,MATCH(B175,{"A","C","G","U"},0))</f>
        <v>31</v>
      </c>
      <c r="E175" s="38" t="n">
        <f aca="false">'Frequency 1-72'!G45</f>
        <v>199</v>
      </c>
      <c r="F175" s="43" t="n">
        <v>1</v>
      </c>
      <c r="G175" s="45" t="n">
        <f aca="false">IF(E175=0,"",D175/E175)</f>
        <v>0.155778894472362</v>
      </c>
      <c r="H175" s="45" t="n">
        <f aca="false">I175/J175</f>
        <v>0.157635467980296</v>
      </c>
      <c r="I175" s="38" t="n">
        <f aca="false">D175+F175</f>
        <v>32</v>
      </c>
      <c r="J175" s="38" t="n">
        <f aca="false">E175+4*F175</f>
        <v>203</v>
      </c>
      <c r="K175" s="38" t="s">
        <v>603</v>
      </c>
      <c r="L175" s="38" t="n">
        <f aca="false">ROUND(SUMIF($A$2:$A$289,A175,$H$2:$H$289),9)</f>
        <v>1</v>
      </c>
    </row>
    <row r="176" customFormat="false" ht="15" hidden="false" customHeight="true" outlineLevel="0" collapsed="false">
      <c r="A176" s="38" t="n">
        <v>44</v>
      </c>
      <c r="B176" s="38" t="s">
        <v>169</v>
      </c>
      <c r="C176" s="38" t="str">
        <f aca="false">A176&amp;"|"&amp;B176</f>
        <v>44|G</v>
      </c>
      <c r="D176" s="38" t="n">
        <f aca="false">INDEX('Frequency 1-72'!$B$2:$E$73,A176,MATCH(B176,{"A","C","G","U"},0))</f>
        <v>46</v>
      </c>
      <c r="E176" s="38" t="n">
        <f aca="false">'Frequency 1-72'!G45</f>
        <v>199</v>
      </c>
      <c r="F176" s="43" t="n">
        <v>1</v>
      </c>
      <c r="G176" s="45" t="n">
        <f aca="false">IF(E176=0,"",D176/E176)</f>
        <v>0.231155778894472</v>
      </c>
      <c r="H176" s="45" t="n">
        <f aca="false">I176/J176</f>
        <v>0.231527093596059</v>
      </c>
      <c r="I176" s="38" t="n">
        <f aca="false">D176+F176</f>
        <v>47</v>
      </c>
      <c r="J176" s="38" t="n">
        <f aca="false">E176+4*F176</f>
        <v>203</v>
      </c>
      <c r="K176" s="38" t="s">
        <v>603</v>
      </c>
      <c r="L176" s="38" t="n">
        <f aca="false">ROUND(SUMIF($A$2:$A$289,A176,$H$2:$H$289),9)</f>
        <v>1</v>
      </c>
    </row>
    <row r="177" customFormat="false" ht="15" hidden="false" customHeight="true" outlineLevel="0" collapsed="false">
      <c r="A177" s="38" t="n">
        <v>44</v>
      </c>
      <c r="B177" s="38" t="s">
        <v>171</v>
      </c>
      <c r="C177" s="38" t="str">
        <f aca="false">A177&amp;"|"&amp;B177</f>
        <v>44|U</v>
      </c>
      <c r="D177" s="38" t="n">
        <f aca="false">INDEX('Frequency 1-72'!$B$2:$E$73,A177,MATCH(B177,{"A","C","G","U"},0))</f>
        <v>23</v>
      </c>
      <c r="E177" s="38" t="n">
        <f aca="false">'Frequency 1-72'!G45</f>
        <v>199</v>
      </c>
      <c r="F177" s="43" t="n">
        <v>1</v>
      </c>
      <c r="G177" s="45" t="n">
        <f aca="false">IF(E177=0,"",D177/E177)</f>
        <v>0.115577889447236</v>
      </c>
      <c r="H177" s="45" t="n">
        <f aca="false">I177/J177</f>
        <v>0.118226600985222</v>
      </c>
      <c r="I177" s="38" t="n">
        <f aca="false">D177+F177</f>
        <v>24</v>
      </c>
      <c r="J177" s="38" t="n">
        <f aca="false">E177+4*F177</f>
        <v>203</v>
      </c>
      <c r="K177" s="38" t="s">
        <v>603</v>
      </c>
      <c r="L177" s="38" t="n">
        <f aca="false">ROUND(SUMIF($A$2:$A$289,A177,$H$2:$H$289),9)</f>
        <v>1</v>
      </c>
    </row>
    <row r="178" customFormat="false" ht="15" hidden="false" customHeight="true" outlineLevel="0" collapsed="false">
      <c r="A178" s="38" t="n">
        <v>45</v>
      </c>
      <c r="B178" s="38" t="s">
        <v>172</v>
      </c>
      <c r="C178" s="38" t="str">
        <f aca="false">A178&amp;"|"&amp;B178</f>
        <v>45|A</v>
      </c>
      <c r="D178" s="38" t="n">
        <f aca="false">INDEX('Frequency 1-72'!$B$2:$E$73,A178,MATCH(B178,{"A","C","G","U"},0))</f>
        <v>15</v>
      </c>
      <c r="E178" s="38" t="n">
        <f aca="false">'Frequency 1-72'!G46</f>
        <v>197</v>
      </c>
      <c r="F178" s="43" t="n">
        <v>1</v>
      </c>
      <c r="G178" s="45" t="n">
        <f aca="false">IF(E178=0,"",D178/E178)</f>
        <v>0.0761421319796954</v>
      </c>
      <c r="H178" s="45" t="n">
        <f aca="false">I178/J178</f>
        <v>0.0796019900497512</v>
      </c>
      <c r="I178" s="38" t="n">
        <f aca="false">D178+F178</f>
        <v>16</v>
      </c>
      <c r="J178" s="38" t="n">
        <f aca="false">E178+4*F178</f>
        <v>201</v>
      </c>
      <c r="K178" s="38" t="s">
        <v>603</v>
      </c>
      <c r="L178" s="38" t="n">
        <f aca="false">ROUND(SUMIF($A$2:$A$289,A178,$H$2:$H$289),9)</f>
        <v>1</v>
      </c>
    </row>
    <row r="179" customFormat="false" ht="15" hidden="false" customHeight="true" outlineLevel="0" collapsed="false">
      <c r="A179" s="38" t="n">
        <v>45</v>
      </c>
      <c r="B179" s="38" t="s">
        <v>170</v>
      </c>
      <c r="C179" s="38" t="str">
        <f aca="false">A179&amp;"|"&amp;B179</f>
        <v>45|C</v>
      </c>
      <c r="D179" s="38" t="n">
        <f aca="false">INDEX('Frequency 1-72'!$B$2:$E$73,A179,MATCH(B179,{"A","C","G","U"},0))</f>
        <v>5</v>
      </c>
      <c r="E179" s="38" t="n">
        <f aca="false">'Frequency 1-72'!G46</f>
        <v>197</v>
      </c>
      <c r="F179" s="43" t="n">
        <v>1</v>
      </c>
      <c r="G179" s="45" t="n">
        <f aca="false">IF(E179=0,"",D179/E179)</f>
        <v>0.0253807106598985</v>
      </c>
      <c r="H179" s="45" t="n">
        <f aca="false">I179/J179</f>
        <v>0.0298507462686567</v>
      </c>
      <c r="I179" s="38" t="n">
        <f aca="false">D179+F179</f>
        <v>6</v>
      </c>
      <c r="J179" s="38" t="n">
        <f aca="false">E179+4*F179</f>
        <v>201</v>
      </c>
      <c r="K179" s="38" t="s">
        <v>603</v>
      </c>
      <c r="L179" s="38" t="n">
        <f aca="false">ROUND(SUMIF($A$2:$A$289,A179,$H$2:$H$289),9)</f>
        <v>1</v>
      </c>
    </row>
    <row r="180" customFormat="false" ht="15" hidden="false" customHeight="true" outlineLevel="0" collapsed="false">
      <c r="A180" s="38" t="n">
        <v>45</v>
      </c>
      <c r="B180" s="38" t="s">
        <v>169</v>
      </c>
      <c r="C180" s="38" t="str">
        <f aca="false">A180&amp;"|"&amp;B180</f>
        <v>45|G</v>
      </c>
      <c r="D180" s="38" t="n">
        <f aca="false">INDEX('Frequency 1-72'!$B$2:$E$73,A180,MATCH(B180,{"A","C","G","U"},0))</f>
        <v>149</v>
      </c>
      <c r="E180" s="38" t="n">
        <f aca="false">'Frequency 1-72'!G46</f>
        <v>197</v>
      </c>
      <c r="F180" s="43" t="n">
        <v>1</v>
      </c>
      <c r="G180" s="45" t="n">
        <f aca="false">IF(E180=0,"",D180/E180)</f>
        <v>0.756345177664975</v>
      </c>
      <c r="H180" s="45" t="n">
        <f aca="false">I180/J180</f>
        <v>0.746268656716418</v>
      </c>
      <c r="I180" s="38" t="n">
        <f aca="false">D180+F180</f>
        <v>150</v>
      </c>
      <c r="J180" s="38" t="n">
        <f aca="false">E180+4*F180</f>
        <v>201</v>
      </c>
      <c r="K180" s="38" t="s">
        <v>603</v>
      </c>
      <c r="L180" s="38" t="n">
        <f aca="false">ROUND(SUMIF($A$2:$A$289,A180,$H$2:$H$289),9)</f>
        <v>1</v>
      </c>
    </row>
    <row r="181" customFormat="false" ht="15" hidden="false" customHeight="true" outlineLevel="0" collapsed="false">
      <c r="A181" s="38" t="n">
        <v>45</v>
      </c>
      <c r="B181" s="38" t="s">
        <v>171</v>
      </c>
      <c r="C181" s="38" t="str">
        <f aca="false">A181&amp;"|"&amp;B181</f>
        <v>45|U</v>
      </c>
      <c r="D181" s="38" t="n">
        <f aca="false">INDEX('Frequency 1-72'!$B$2:$E$73,A181,MATCH(B181,{"A","C","G","U"},0))</f>
        <v>28</v>
      </c>
      <c r="E181" s="38" t="n">
        <f aca="false">'Frequency 1-72'!G46</f>
        <v>197</v>
      </c>
      <c r="F181" s="43" t="n">
        <v>1</v>
      </c>
      <c r="G181" s="45" t="n">
        <f aca="false">IF(E181=0,"",D181/E181)</f>
        <v>0.142131979695431</v>
      </c>
      <c r="H181" s="45" t="n">
        <f aca="false">I181/J181</f>
        <v>0.144278606965174</v>
      </c>
      <c r="I181" s="38" t="n">
        <f aca="false">D181+F181</f>
        <v>29</v>
      </c>
      <c r="J181" s="38" t="n">
        <f aca="false">E181+4*F181</f>
        <v>201</v>
      </c>
      <c r="K181" s="38" t="s">
        <v>603</v>
      </c>
      <c r="L181" s="38" t="n">
        <f aca="false">ROUND(SUMIF($A$2:$A$289,A181,$H$2:$H$289),9)</f>
        <v>1</v>
      </c>
    </row>
    <row r="182" customFormat="false" ht="15" hidden="false" customHeight="true" outlineLevel="0" collapsed="false">
      <c r="A182" s="38" t="n">
        <v>46</v>
      </c>
      <c r="B182" s="38" t="s">
        <v>172</v>
      </c>
      <c r="C182" s="38" t="str">
        <f aca="false">A182&amp;"|"&amp;B182</f>
        <v>46|A</v>
      </c>
      <c r="D182" s="38" t="n">
        <f aca="false">INDEX('Frequency 1-72'!$B$2:$E$73,A182,MATCH(B182,{"A","C","G","U"},0))</f>
        <v>16</v>
      </c>
      <c r="E182" s="38" t="n">
        <f aca="false">'Frequency 1-72'!G47</f>
        <v>168</v>
      </c>
      <c r="F182" s="43" t="n">
        <v>1</v>
      </c>
      <c r="G182" s="45" t="n">
        <f aca="false">IF(E182=0,"",D182/E182)</f>
        <v>0.0952380952380952</v>
      </c>
      <c r="H182" s="45" t="n">
        <f aca="false">I182/J182</f>
        <v>0.0988372093023256</v>
      </c>
      <c r="I182" s="38" t="n">
        <f aca="false">D182+F182</f>
        <v>17</v>
      </c>
      <c r="J182" s="38" t="n">
        <f aca="false">E182+4*F182</f>
        <v>172</v>
      </c>
      <c r="K182" s="38" t="s">
        <v>603</v>
      </c>
      <c r="L182" s="38" t="n">
        <f aca="false">ROUND(SUMIF($A$2:$A$289,A182,$H$2:$H$289),9)</f>
        <v>1</v>
      </c>
    </row>
    <row r="183" customFormat="false" ht="15" hidden="false" customHeight="true" outlineLevel="0" collapsed="false">
      <c r="A183" s="38" t="n">
        <v>46</v>
      </c>
      <c r="B183" s="38" t="s">
        <v>170</v>
      </c>
      <c r="C183" s="38" t="str">
        <f aca="false">A183&amp;"|"&amp;B183</f>
        <v>46|C</v>
      </c>
      <c r="D183" s="38" t="n">
        <f aca="false">INDEX('Frequency 1-72'!$B$2:$E$73,A183,MATCH(B183,{"A","C","G","U"},0))</f>
        <v>4</v>
      </c>
      <c r="E183" s="38" t="n">
        <f aca="false">'Frequency 1-72'!G47</f>
        <v>168</v>
      </c>
      <c r="F183" s="43" t="n">
        <v>1</v>
      </c>
      <c r="G183" s="45" t="n">
        <f aca="false">IF(E183=0,"",D183/E183)</f>
        <v>0.0238095238095238</v>
      </c>
      <c r="H183" s="45" t="n">
        <f aca="false">I183/J183</f>
        <v>0.0290697674418605</v>
      </c>
      <c r="I183" s="38" t="n">
        <f aca="false">D183+F183</f>
        <v>5</v>
      </c>
      <c r="J183" s="38" t="n">
        <f aca="false">E183+4*F183</f>
        <v>172</v>
      </c>
      <c r="K183" s="38" t="s">
        <v>603</v>
      </c>
      <c r="L183" s="38" t="n">
        <f aca="false">ROUND(SUMIF($A$2:$A$289,A183,$H$2:$H$289),9)</f>
        <v>1</v>
      </c>
    </row>
    <row r="184" customFormat="false" ht="15" hidden="false" customHeight="true" outlineLevel="0" collapsed="false">
      <c r="A184" s="38" t="n">
        <v>46</v>
      </c>
      <c r="B184" s="38" t="s">
        <v>169</v>
      </c>
      <c r="C184" s="38" t="str">
        <f aca="false">A184&amp;"|"&amp;B184</f>
        <v>46|G</v>
      </c>
      <c r="D184" s="38" t="n">
        <f aca="false">INDEX('Frequency 1-72'!$B$2:$E$73,A184,MATCH(B184,{"A","C","G","U"},0))</f>
        <v>136</v>
      </c>
      <c r="E184" s="38" t="n">
        <f aca="false">'Frequency 1-72'!G47</f>
        <v>168</v>
      </c>
      <c r="F184" s="43" t="n">
        <v>1</v>
      </c>
      <c r="G184" s="45" t="n">
        <f aca="false">IF(E184=0,"",D184/E184)</f>
        <v>0.80952380952381</v>
      </c>
      <c r="H184" s="45" t="n">
        <f aca="false">I184/J184</f>
        <v>0.796511627906977</v>
      </c>
      <c r="I184" s="38" t="n">
        <f aca="false">D184+F184</f>
        <v>137</v>
      </c>
      <c r="J184" s="38" t="n">
        <f aca="false">E184+4*F184</f>
        <v>172</v>
      </c>
      <c r="K184" s="38" t="s">
        <v>603</v>
      </c>
      <c r="L184" s="38" t="n">
        <f aca="false">ROUND(SUMIF($A$2:$A$289,A184,$H$2:$H$289),9)</f>
        <v>1</v>
      </c>
    </row>
    <row r="185" customFormat="false" ht="15" hidden="false" customHeight="true" outlineLevel="0" collapsed="false">
      <c r="A185" s="38" t="n">
        <v>46</v>
      </c>
      <c r="B185" s="38" t="s">
        <v>171</v>
      </c>
      <c r="C185" s="38" t="str">
        <f aca="false">A185&amp;"|"&amp;B185</f>
        <v>46|U</v>
      </c>
      <c r="D185" s="38" t="n">
        <f aca="false">INDEX('Frequency 1-72'!$B$2:$E$73,A185,MATCH(B185,{"A","C","G","U"},0))</f>
        <v>12</v>
      </c>
      <c r="E185" s="38" t="n">
        <f aca="false">'Frequency 1-72'!G47</f>
        <v>168</v>
      </c>
      <c r="F185" s="43" t="n">
        <v>1</v>
      </c>
      <c r="G185" s="45" t="n">
        <f aca="false">IF(E185=0,"",D185/E185)</f>
        <v>0.0714285714285714</v>
      </c>
      <c r="H185" s="45" t="n">
        <f aca="false">I185/J185</f>
        <v>0.0755813953488372</v>
      </c>
      <c r="I185" s="38" t="n">
        <f aca="false">D185+F185</f>
        <v>13</v>
      </c>
      <c r="J185" s="38" t="n">
        <f aca="false">E185+4*F185</f>
        <v>172</v>
      </c>
      <c r="K185" s="38" t="s">
        <v>603</v>
      </c>
      <c r="L185" s="38" t="n">
        <f aca="false">ROUND(SUMIF($A$2:$A$289,A185,$H$2:$H$289),9)</f>
        <v>1</v>
      </c>
    </row>
    <row r="186" customFormat="false" ht="15" hidden="false" customHeight="true" outlineLevel="0" collapsed="false">
      <c r="A186" s="38" t="n">
        <v>47</v>
      </c>
      <c r="B186" s="38" t="s">
        <v>172</v>
      </c>
      <c r="C186" s="38" t="str">
        <f aca="false">A186&amp;"|"&amp;B186</f>
        <v>47|A</v>
      </c>
      <c r="D186" s="38" t="n">
        <f aca="false">INDEX('Frequency 1-72'!$B$2:$E$73,A186,MATCH(B186,{"A","C","G","U"},0))</f>
        <v>26</v>
      </c>
      <c r="E186" s="38" t="n">
        <f aca="false">'Frequency 1-72'!G48</f>
        <v>199</v>
      </c>
      <c r="F186" s="43" t="n">
        <v>1</v>
      </c>
      <c r="G186" s="45" t="n">
        <f aca="false">IF(E186=0,"",D186/E186)</f>
        <v>0.130653266331658</v>
      </c>
      <c r="H186" s="45" t="n">
        <f aca="false">I186/J186</f>
        <v>0.133004926108374</v>
      </c>
      <c r="I186" s="38" t="n">
        <f aca="false">D186+F186</f>
        <v>27</v>
      </c>
      <c r="J186" s="38" t="n">
        <f aca="false">E186+4*F186</f>
        <v>203</v>
      </c>
      <c r="K186" s="38" t="s">
        <v>603</v>
      </c>
      <c r="L186" s="38" t="n">
        <f aca="false">ROUND(SUMIF($A$2:$A$289,A186,$H$2:$H$289),9)</f>
        <v>1</v>
      </c>
    </row>
    <row r="187" customFormat="false" ht="15" hidden="false" customHeight="true" outlineLevel="0" collapsed="false">
      <c r="A187" s="38" t="n">
        <v>47</v>
      </c>
      <c r="B187" s="38" t="s">
        <v>170</v>
      </c>
      <c r="C187" s="38" t="str">
        <f aca="false">A187&amp;"|"&amp;B187</f>
        <v>47|C</v>
      </c>
      <c r="D187" s="38" t="n">
        <f aca="false">INDEX('Frequency 1-72'!$B$2:$E$73,A187,MATCH(B187,{"A","C","G","U"},0))</f>
        <v>23</v>
      </c>
      <c r="E187" s="38" t="n">
        <f aca="false">'Frequency 1-72'!G48</f>
        <v>199</v>
      </c>
      <c r="F187" s="43" t="n">
        <v>1</v>
      </c>
      <c r="G187" s="45" t="n">
        <f aca="false">IF(E187=0,"",D187/E187)</f>
        <v>0.115577889447236</v>
      </c>
      <c r="H187" s="45" t="n">
        <f aca="false">I187/J187</f>
        <v>0.118226600985222</v>
      </c>
      <c r="I187" s="38" t="n">
        <f aca="false">D187+F187</f>
        <v>24</v>
      </c>
      <c r="J187" s="38" t="n">
        <f aca="false">E187+4*F187</f>
        <v>203</v>
      </c>
      <c r="K187" s="38" t="s">
        <v>603</v>
      </c>
      <c r="L187" s="38" t="n">
        <f aca="false">ROUND(SUMIF($A$2:$A$289,A187,$H$2:$H$289),9)</f>
        <v>1</v>
      </c>
    </row>
    <row r="188" customFormat="false" ht="15" hidden="false" customHeight="true" outlineLevel="0" collapsed="false">
      <c r="A188" s="38" t="n">
        <v>47</v>
      </c>
      <c r="B188" s="38" t="s">
        <v>169</v>
      </c>
      <c r="C188" s="38" t="str">
        <f aca="false">A188&amp;"|"&amp;B188</f>
        <v>47|G</v>
      </c>
      <c r="D188" s="38" t="n">
        <f aca="false">INDEX('Frequency 1-72'!$B$2:$E$73,A188,MATCH(B188,{"A","C","G","U"},0))</f>
        <v>16</v>
      </c>
      <c r="E188" s="38" t="n">
        <f aca="false">'Frequency 1-72'!G48</f>
        <v>199</v>
      </c>
      <c r="F188" s="43" t="n">
        <v>1</v>
      </c>
      <c r="G188" s="45" t="n">
        <f aca="false">IF(E188=0,"",D188/E188)</f>
        <v>0.0804020100502513</v>
      </c>
      <c r="H188" s="45" t="n">
        <f aca="false">I188/J188</f>
        <v>0.083743842364532</v>
      </c>
      <c r="I188" s="38" t="n">
        <f aca="false">D188+F188</f>
        <v>17</v>
      </c>
      <c r="J188" s="38" t="n">
        <f aca="false">E188+4*F188</f>
        <v>203</v>
      </c>
      <c r="K188" s="38" t="s">
        <v>603</v>
      </c>
      <c r="L188" s="38" t="n">
        <f aca="false">ROUND(SUMIF($A$2:$A$289,A188,$H$2:$H$289),9)</f>
        <v>1</v>
      </c>
    </row>
    <row r="189" customFormat="false" ht="15" hidden="false" customHeight="true" outlineLevel="0" collapsed="false">
      <c r="A189" s="38" t="n">
        <v>47</v>
      </c>
      <c r="B189" s="38" t="s">
        <v>171</v>
      </c>
      <c r="C189" s="38" t="str">
        <f aca="false">A189&amp;"|"&amp;B189</f>
        <v>47|U</v>
      </c>
      <c r="D189" s="38" t="n">
        <f aca="false">INDEX('Frequency 1-72'!$B$2:$E$73,A189,MATCH(B189,{"A","C","G","U"},0))</f>
        <v>134</v>
      </c>
      <c r="E189" s="38" t="n">
        <f aca="false">'Frequency 1-72'!G48</f>
        <v>199</v>
      </c>
      <c r="F189" s="43" t="n">
        <v>1</v>
      </c>
      <c r="G189" s="45" t="n">
        <f aca="false">IF(E189=0,"",D189/E189)</f>
        <v>0.673366834170854</v>
      </c>
      <c r="H189" s="45" t="n">
        <f aca="false">I189/J189</f>
        <v>0.665024630541872</v>
      </c>
      <c r="I189" s="38" t="n">
        <f aca="false">D189+F189</f>
        <v>135</v>
      </c>
      <c r="J189" s="38" t="n">
        <f aca="false">E189+4*F189</f>
        <v>203</v>
      </c>
      <c r="K189" s="38" t="s">
        <v>603</v>
      </c>
      <c r="L189" s="38" t="n">
        <f aca="false">ROUND(SUMIF($A$2:$A$289,A189,$H$2:$H$289),9)</f>
        <v>1</v>
      </c>
    </row>
    <row r="190" customFormat="false" ht="15" hidden="false" customHeight="true" outlineLevel="0" collapsed="false">
      <c r="A190" s="38" t="n">
        <v>48</v>
      </c>
      <c r="B190" s="38" t="s">
        <v>172</v>
      </c>
      <c r="C190" s="38" t="str">
        <f aca="false">A190&amp;"|"&amp;B190</f>
        <v>48|A</v>
      </c>
      <c r="D190" s="38" t="n">
        <f aca="false">INDEX('Frequency 1-72'!$B$2:$E$73,A190,MATCH(B190,{"A","C","G","U"},0))</f>
        <v>1</v>
      </c>
      <c r="E190" s="38" t="n">
        <f aca="false">'Frequency 1-72'!G49</f>
        <v>199</v>
      </c>
      <c r="F190" s="43" t="n">
        <v>1</v>
      </c>
      <c r="G190" s="45" t="n">
        <f aca="false">IF(E190=0,"",D190/E190)</f>
        <v>0.0050251256281407</v>
      </c>
      <c r="H190" s="45" t="n">
        <f aca="false">I190/J190</f>
        <v>0.00985221674876847</v>
      </c>
      <c r="I190" s="38" t="n">
        <f aca="false">D190+F190</f>
        <v>2</v>
      </c>
      <c r="J190" s="38" t="n">
        <f aca="false">E190+4*F190</f>
        <v>203</v>
      </c>
      <c r="K190" s="38" t="s">
        <v>603</v>
      </c>
      <c r="L190" s="38" t="n">
        <f aca="false">ROUND(SUMIF($A$2:$A$289,A190,$H$2:$H$289),9)</f>
        <v>1</v>
      </c>
    </row>
    <row r="191" customFormat="false" ht="15" hidden="false" customHeight="true" outlineLevel="0" collapsed="false">
      <c r="A191" s="38" t="n">
        <v>48</v>
      </c>
      <c r="B191" s="38" t="s">
        <v>170</v>
      </c>
      <c r="C191" s="38" t="str">
        <f aca="false">A191&amp;"|"&amp;B191</f>
        <v>48|C</v>
      </c>
      <c r="D191" s="38" t="n">
        <f aca="false">INDEX('Frequency 1-72'!$B$2:$E$73,A191,MATCH(B191,{"A","C","G","U"},0))</f>
        <v>167</v>
      </c>
      <c r="E191" s="38" t="n">
        <f aca="false">'Frequency 1-72'!G49</f>
        <v>199</v>
      </c>
      <c r="F191" s="43" t="n">
        <v>1</v>
      </c>
      <c r="G191" s="45" t="n">
        <f aca="false">IF(E191=0,"",D191/E191)</f>
        <v>0.839195979899498</v>
      </c>
      <c r="H191" s="45" t="n">
        <f aca="false">I191/J191</f>
        <v>0.827586206896552</v>
      </c>
      <c r="I191" s="38" t="n">
        <f aca="false">D191+F191</f>
        <v>168</v>
      </c>
      <c r="J191" s="38" t="n">
        <f aca="false">E191+4*F191</f>
        <v>203</v>
      </c>
      <c r="K191" s="38" t="s">
        <v>603</v>
      </c>
      <c r="L191" s="38" t="n">
        <f aca="false">ROUND(SUMIF($A$2:$A$289,A191,$H$2:$H$289),9)</f>
        <v>1</v>
      </c>
    </row>
    <row r="192" customFormat="false" ht="15" hidden="false" customHeight="true" outlineLevel="0" collapsed="false">
      <c r="A192" s="38" t="n">
        <v>48</v>
      </c>
      <c r="B192" s="38" t="s">
        <v>169</v>
      </c>
      <c r="C192" s="38" t="str">
        <f aca="false">A192&amp;"|"&amp;B192</f>
        <v>48|G</v>
      </c>
      <c r="D192" s="38" t="n">
        <f aca="false">INDEX('Frequency 1-72'!$B$2:$E$73,A192,MATCH(B192,{"A","C","G","U"},0))</f>
        <v>2</v>
      </c>
      <c r="E192" s="38" t="n">
        <f aca="false">'Frequency 1-72'!G49</f>
        <v>199</v>
      </c>
      <c r="F192" s="43" t="n">
        <v>1</v>
      </c>
      <c r="G192" s="45" t="n">
        <f aca="false">IF(E192=0,"",D192/E192)</f>
        <v>0.0100502512562814</v>
      </c>
      <c r="H192" s="45" t="n">
        <f aca="false">I192/J192</f>
        <v>0.0147783251231527</v>
      </c>
      <c r="I192" s="38" t="n">
        <f aca="false">D192+F192</f>
        <v>3</v>
      </c>
      <c r="J192" s="38" t="n">
        <f aca="false">E192+4*F192</f>
        <v>203</v>
      </c>
      <c r="K192" s="38" t="s">
        <v>603</v>
      </c>
      <c r="L192" s="38" t="n">
        <f aca="false">ROUND(SUMIF($A$2:$A$289,A192,$H$2:$H$289),9)</f>
        <v>1</v>
      </c>
    </row>
    <row r="193" customFormat="false" ht="15" hidden="false" customHeight="true" outlineLevel="0" collapsed="false">
      <c r="A193" s="38" t="n">
        <v>48</v>
      </c>
      <c r="B193" s="38" t="s">
        <v>171</v>
      </c>
      <c r="C193" s="38" t="str">
        <f aca="false">A193&amp;"|"&amp;B193</f>
        <v>48|U</v>
      </c>
      <c r="D193" s="38" t="n">
        <f aca="false">INDEX('Frequency 1-72'!$B$2:$E$73,A193,MATCH(B193,{"A","C","G","U"},0))</f>
        <v>29</v>
      </c>
      <c r="E193" s="38" t="n">
        <f aca="false">'Frequency 1-72'!G49</f>
        <v>199</v>
      </c>
      <c r="F193" s="43" t="n">
        <v>1</v>
      </c>
      <c r="G193" s="45" t="n">
        <f aca="false">IF(E193=0,"",D193/E193)</f>
        <v>0.14572864321608</v>
      </c>
      <c r="H193" s="45" t="n">
        <f aca="false">I193/J193</f>
        <v>0.147783251231527</v>
      </c>
      <c r="I193" s="38" t="n">
        <f aca="false">D193+F193</f>
        <v>30</v>
      </c>
      <c r="J193" s="38" t="n">
        <f aca="false">E193+4*F193</f>
        <v>203</v>
      </c>
      <c r="K193" s="38" t="s">
        <v>603</v>
      </c>
      <c r="L193" s="38" t="n">
        <f aca="false">ROUND(SUMIF($A$2:$A$289,A193,$H$2:$H$289),9)</f>
        <v>1</v>
      </c>
    </row>
    <row r="194" customFormat="false" ht="15" hidden="false" customHeight="true" outlineLevel="0" collapsed="false">
      <c r="A194" s="38" t="n">
        <v>49</v>
      </c>
      <c r="B194" s="38" t="s">
        <v>172</v>
      </c>
      <c r="C194" s="38" t="str">
        <f aca="false">A194&amp;"|"&amp;B194</f>
        <v>49|A</v>
      </c>
      <c r="D194" s="38" t="n">
        <f aca="false">INDEX('Frequency 1-72'!$B$2:$E$73,A194,MATCH(B194,{"A","C","G","U"},0))</f>
        <v>31</v>
      </c>
      <c r="E194" s="38" t="n">
        <f aca="false">'Frequency 1-72'!G50</f>
        <v>199</v>
      </c>
      <c r="F194" s="43" t="n">
        <v>1</v>
      </c>
      <c r="G194" s="45" t="n">
        <f aca="false">IF(E194=0,"",D194/E194)</f>
        <v>0.155778894472362</v>
      </c>
      <c r="H194" s="45" t="n">
        <f aca="false">I194/J194</f>
        <v>0.157635467980296</v>
      </c>
      <c r="I194" s="38" t="n">
        <f aca="false">D194+F194</f>
        <v>32</v>
      </c>
      <c r="J194" s="38" t="n">
        <f aca="false">E194+4*F194</f>
        <v>203</v>
      </c>
      <c r="K194" s="38" t="s">
        <v>603</v>
      </c>
      <c r="L194" s="38" t="n">
        <f aca="false">ROUND(SUMIF($A$2:$A$289,A194,$H$2:$H$289),9)</f>
        <v>1</v>
      </c>
    </row>
    <row r="195" customFormat="false" ht="15" hidden="false" customHeight="true" outlineLevel="0" collapsed="false">
      <c r="A195" s="38" t="n">
        <v>49</v>
      </c>
      <c r="B195" s="38" t="s">
        <v>170</v>
      </c>
      <c r="C195" s="38" t="str">
        <f aca="false">A195&amp;"|"&amp;B195</f>
        <v>49|C</v>
      </c>
      <c r="D195" s="38" t="n">
        <f aca="false">INDEX('Frequency 1-72'!$B$2:$E$73,A195,MATCH(B195,{"A","C","G","U"},0))</f>
        <v>57</v>
      </c>
      <c r="E195" s="38" t="n">
        <f aca="false">'Frequency 1-72'!G50</f>
        <v>199</v>
      </c>
      <c r="F195" s="43" t="n">
        <v>1</v>
      </c>
      <c r="G195" s="45" t="n">
        <f aca="false">IF(E195=0,"",D195/E195)</f>
        <v>0.28643216080402</v>
      </c>
      <c r="H195" s="45" t="n">
        <f aca="false">I195/J195</f>
        <v>0.285714285714286</v>
      </c>
      <c r="I195" s="38" t="n">
        <f aca="false">D195+F195</f>
        <v>58</v>
      </c>
      <c r="J195" s="38" t="n">
        <f aca="false">E195+4*F195</f>
        <v>203</v>
      </c>
      <c r="K195" s="38" t="s">
        <v>603</v>
      </c>
      <c r="L195" s="38" t="n">
        <f aca="false">ROUND(SUMIF($A$2:$A$289,A195,$H$2:$H$289),9)</f>
        <v>1</v>
      </c>
    </row>
    <row r="196" customFormat="false" ht="15" hidden="false" customHeight="true" outlineLevel="0" collapsed="false">
      <c r="A196" s="38" t="n">
        <v>49</v>
      </c>
      <c r="B196" s="38" t="s">
        <v>169</v>
      </c>
      <c r="C196" s="38" t="str">
        <f aca="false">A196&amp;"|"&amp;B196</f>
        <v>49|G</v>
      </c>
      <c r="D196" s="38" t="n">
        <f aca="false">INDEX('Frequency 1-72'!$B$2:$E$73,A196,MATCH(B196,{"A","C","G","U"},0))</f>
        <v>100</v>
      </c>
      <c r="E196" s="38" t="n">
        <f aca="false">'Frequency 1-72'!G50</f>
        <v>199</v>
      </c>
      <c r="F196" s="43" t="n">
        <v>1</v>
      </c>
      <c r="G196" s="45" t="n">
        <f aca="false">IF(E196=0,"",D196/E196)</f>
        <v>0.50251256281407</v>
      </c>
      <c r="H196" s="45" t="n">
        <f aca="false">I196/J196</f>
        <v>0.497536945812808</v>
      </c>
      <c r="I196" s="38" t="n">
        <f aca="false">D196+F196</f>
        <v>101</v>
      </c>
      <c r="J196" s="38" t="n">
        <f aca="false">E196+4*F196</f>
        <v>203</v>
      </c>
      <c r="K196" s="38" t="s">
        <v>603</v>
      </c>
      <c r="L196" s="38" t="n">
        <f aca="false">ROUND(SUMIF($A$2:$A$289,A196,$H$2:$H$289),9)</f>
        <v>1</v>
      </c>
    </row>
    <row r="197" customFormat="false" ht="15" hidden="false" customHeight="true" outlineLevel="0" collapsed="false">
      <c r="A197" s="38" t="n">
        <v>49</v>
      </c>
      <c r="B197" s="38" t="s">
        <v>171</v>
      </c>
      <c r="C197" s="38" t="str">
        <f aca="false">A197&amp;"|"&amp;B197</f>
        <v>49|U</v>
      </c>
      <c r="D197" s="38" t="n">
        <f aca="false">INDEX('Frequency 1-72'!$B$2:$E$73,A197,MATCH(B197,{"A","C","G","U"},0))</f>
        <v>11</v>
      </c>
      <c r="E197" s="38" t="n">
        <f aca="false">'Frequency 1-72'!G50</f>
        <v>199</v>
      </c>
      <c r="F197" s="43" t="n">
        <v>1</v>
      </c>
      <c r="G197" s="45" t="n">
        <f aca="false">IF(E197=0,"",D197/E197)</f>
        <v>0.0552763819095477</v>
      </c>
      <c r="H197" s="45" t="n">
        <f aca="false">I197/J197</f>
        <v>0.0591133004926108</v>
      </c>
      <c r="I197" s="38" t="n">
        <f aca="false">D197+F197</f>
        <v>12</v>
      </c>
      <c r="J197" s="38" t="n">
        <f aca="false">E197+4*F197</f>
        <v>203</v>
      </c>
      <c r="K197" s="38" t="s">
        <v>603</v>
      </c>
      <c r="L197" s="38" t="n">
        <f aca="false">ROUND(SUMIF($A$2:$A$289,A197,$H$2:$H$289),9)</f>
        <v>1</v>
      </c>
    </row>
    <row r="198" customFormat="false" ht="15" hidden="false" customHeight="true" outlineLevel="0" collapsed="false">
      <c r="A198" s="38" t="n">
        <v>50</v>
      </c>
      <c r="B198" s="38" t="s">
        <v>172</v>
      </c>
      <c r="C198" s="38" t="str">
        <f aca="false">A198&amp;"|"&amp;B198</f>
        <v>50|A</v>
      </c>
      <c r="D198" s="38" t="n">
        <f aca="false">INDEX('Frequency 1-72'!$B$2:$E$73,A198,MATCH(B198,{"A","C","G","U"},0))</f>
        <v>23</v>
      </c>
      <c r="E198" s="38" t="n">
        <f aca="false">'Frequency 1-72'!G51</f>
        <v>199</v>
      </c>
      <c r="F198" s="43" t="n">
        <v>1</v>
      </c>
      <c r="G198" s="45" t="n">
        <f aca="false">IF(E198=0,"",D198/E198)</f>
        <v>0.115577889447236</v>
      </c>
      <c r="H198" s="45" t="n">
        <f aca="false">I198/J198</f>
        <v>0.118226600985222</v>
      </c>
      <c r="I198" s="38" t="n">
        <f aca="false">D198+F198</f>
        <v>24</v>
      </c>
      <c r="J198" s="38" t="n">
        <f aca="false">E198+4*F198</f>
        <v>203</v>
      </c>
      <c r="K198" s="38" t="s">
        <v>603</v>
      </c>
      <c r="L198" s="38" t="n">
        <f aca="false">ROUND(SUMIF($A$2:$A$289,A198,$H$2:$H$289),9)</f>
        <v>1</v>
      </c>
    </row>
    <row r="199" customFormat="false" ht="15" hidden="false" customHeight="true" outlineLevel="0" collapsed="false">
      <c r="A199" s="38" t="n">
        <v>50</v>
      </c>
      <c r="B199" s="38" t="s">
        <v>170</v>
      </c>
      <c r="C199" s="38" t="str">
        <f aca="false">A199&amp;"|"&amp;B199</f>
        <v>50|C</v>
      </c>
      <c r="D199" s="38" t="n">
        <f aca="false">INDEX('Frequency 1-72'!$B$2:$E$73,A199,MATCH(B199,{"A","C","G","U"},0))</f>
        <v>87</v>
      </c>
      <c r="E199" s="38" t="n">
        <f aca="false">'Frequency 1-72'!G51</f>
        <v>199</v>
      </c>
      <c r="F199" s="43" t="n">
        <v>1</v>
      </c>
      <c r="G199" s="45" t="n">
        <f aca="false">IF(E199=0,"",D199/E199)</f>
        <v>0.437185929648241</v>
      </c>
      <c r="H199" s="45" t="n">
        <f aca="false">I199/J199</f>
        <v>0.433497536945813</v>
      </c>
      <c r="I199" s="38" t="n">
        <f aca="false">D199+F199</f>
        <v>88</v>
      </c>
      <c r="J199" s="38" t="n">
        <f aca="false">E199+4*F199</f>
        <v>203</v>
      </c>
      <c r="K199" s="38" t="s">
        <v>603</v>
      </c>
      <c r="L199" s="38" t="n">
        <f aca="false">ROUND(SUMIF($A$2:$A$289,A199,$H$2:$H$289),9)</f>
        <v>1</v>
      </c>
    </row>
    <row r="200" customFormat="false" ht="15" hidden="false" customHeight="true" outlineLevel="0" collapsed="false">
      <c r="A200" s="38" t="n">
        <v>50</v>
      </c>
      <c r="B200" s="38" t="s">
        <v>169</v>
      </c>
      <c r="C200" s="38" t="str">
        <f aca="false">A200&amp;"|"&amp;B200</f>
        <v>50|G</v>
      </c>
      <c r="D200" s="38" t="n">
        <f aca="false">INDEX('Frequency 1-72'!$B$2:$E$73,A200,MATCH(B200,{"A","C","G","U"},0))</f>
        <v>54</v>
      </c>
      <c r="E200" s="38" t="n">
        <f aca="false">'Frequency 1-72'!G51</f>
        <v>199</v>
      </c>
      <c r="F200" s="43" t="n">
        <v>1</v>
      </c>
      <c r="G200" s="45" t="n">
        <f aca="false">IF(E200=0,"",D200/E200)</f>
        <v>0.271356783919598</v>
      </c>
      <c r="H200" s="45" t="n">
        <f aca="false">I200/J200</f>
        <v>0.270935960591133</v>
      </c>
      <c r="I200" s="38" t="n">
        <f aca="false">D200+F200</f>
        <v>55</v>
      </c>
      <c r="J200" s="38" t="n">
        <f aca="false">E200+4*F200</f>
        <v>203</v>
      </c>
      <c r="K200" s="38" t="s">
        <v>603</v>
      </c>
      <c r="L200" s="38" t="n">
        <f aca="false">ROUND(SUMIF($A$2:$A$289,A200,$H$2:$H$289),9)</f>
        <v>1</v>
      </c>
    </row>
    <row r="201" customFormat="false" ht="15" hidden="false" customHeight="true" outlineLevel="0" collapsed="false">
      <c r="A201" s="38" t="n">
        <v>50</v>
      </c>
      <c r="B201" s="38" t="s">
        <v>171</v>
      </c>
      <c r="C201" s="38" t="str">
        <f aca="false">A201&amp;"|"&amp;B201</f>
        <v>50|U</v>
      </c>
      <c r="D201" s="38" t="n">
        <f aca="false">INDEX('Frequency 1-72'!$B$2:$E$73,A201,MATCH(B201,{"A","C","G","U"},0))</f>
        <v>35</v>
      </c>
      <c r="E201" s="38" t="n">
        <f aca="false">'Frequency 1-72'!G51</f>
        <v>199</v>
      </c>
      <c r="F201" s="43" t="n">
        <v>1</v>
      </c>
      <c r="G201" s="45" t="n">
        <f aca="false">IF(E201=0,"",D201/E201)</f>
        <v>0.175879396984925</v>
      </c>
      <c r="H201" s="45" t="n">
        <f aca="false">I201/J201</f>
        <v>0.177339901477833</v>
      </c>
      <c r="I201" s="38" t="n">
        <f aca="false">D201+F201</f>
        <v>36</v>
      </c>
      <c r="J201" s="38" t="n">
        <f aca="false">E201+4*F201</f>
        <v>203</v>
      </c>
      <c r="K201" s="38" t="s">
        <v>603</v>
      </c>
      <c r="L201" s="38" t="n">
        <f aca="false">ROUND(SUMIF($A$2:$A$289,A201,$H$2:$H$289),9)</f>
        <v>1</v>
      </c>
    </row>
    <row r="202" customFormat="false" ht="15" hidden="false" customHeight="true" outlineLevel="0" collapsed="false">
      <c r="A202" s="38" t="n">
        <v>51</v>
      </c>
      <c r="B202" s="38" t="s">
        <v>172</v>
      </c>
      <c r="C202" s="38" t="str">
        <f aca="false">A202&amp;"|"&amp;B202</f>
        <v>51|A</v>
      </c>
      <c r="D202" s="38" t="n">
        <f aca="false">INDEX('Frequency 1-72'!$B$2:$E$73,A202,MATCH(B202,{"A","C","G","U"},0))</f>
        <v>28</v>
      </c>
      <c r="E202" s="38" t="n">
        <f aca="false">'Frequency 1-72'!G52</f>
        <v>198</v>
      </c>
      <c r="F202" s="43" t="n">
        <v>1</v>
      </c>
      <c r="G202" s="45" t="n">
        <f aca="false">IF(E202=0,"",D202/E202)</f>
        <v>0.141414141414141</v>
      </c>
      <c r="H202" s="45" t="n">
        <f aca="false">I202/J202</f>
        <v>0.143564356435644</v>
      </c>
      <c r="I202" s="38" t="n">
        <f aca="false">D202+F202</f>
        <v>29</v>
      </c>
      <c r="J202" s="38" t="n">
        <f aca="false">E202+4*F202</f>
        <v>202</v>
      </c>
      <c r="K202" s="38" t="s">
        <v>603</v>
      </c>
      <c r="L202" s="38" t="n">
        <f aca="false">ROUND(SUMIF($A$2:$A$289,A202,$H$2:$H$289),9)</f>
        <v>1</v>
      </c>
    </row>
    <row r="203" customFormat="false" ht="15" hidden="false" customHeight="true" outlineLevel="0" collapsed="false">
      <c r="A203" s="38" t="n">
        <v>51</v>
      </c>
      <c r="B203" s="38" t="s">
        <v>170</v>
      </c>
      <c r="C203" s="38" t="str">
        <f aca="false">A203&amp;"|"&amp;B203</f>
        <v>51|C</v>
      </c>
      <c r="D203" s="38" t="n">
        <f aca="false">INDEX('Frequency 1-72'!$B$2:$E$73,A203,MATCH(B203,{"A","C","G","U"},0))</f>
        <v>41</v>
      </c>
      <c r="E203" s="38" t="n">
        <f aca="false">'Frequency 1-72'!G52</f>
        <v>198</v>
      </c>
      <c r="F203" s="43" t="n">
        <v>1</v>
      </c>
      <c r="G203" s="45" t="n">
        <f aca="false">IF(E203=0,"",D203/E203)</f>
        <v>0.207070707070707</v>
      </c>
      <c r="H203" s="45" t="n">
        <f aca="false">I203/J203</f>
        <v>0.207920792079208</v>
      </c>
      <c r="I203" s="38" t="n">
        <f aca="false">D203+F203</f>
        <v>42</v>
      </c>
      <c r="J203" s="38" t="n">
        <f aca="false">E203+4*F203</f>
        <v>202</v>
      </c>
      <c r="K203" s="38" t="s">
        <v>603</v>
      </c>
      <c r="L203" s="38" t="n">
        <f aca="false">ROUND(SUMIF($A$2:$A$289,A203,$H$2:$H$289),9)</f>
        <v>1</v>
      </c>
    </row>
    <row r="204" customFormat="false" ht="15" hidden="false" customHeight="true" outlineLevel="0" collapsed="false">
      <c r="A204" s="38" t="n">
        <v>51</v>
      </c>
      <c r="B204" s="38" t="s">
        <v>169</v>
      </c>
      <c r="C204" s="38" t="str">
        <f aca="false">A204&amp;"|"&amp;B204</f>
        <v>51|G</v>
      </c>
      <c r="D204" s="38" t="n">
        <f aca="false">INDEX('Frequency 1-72'!$B$2:$E$73,A204,MATCH(B204,{"A","C","G","U"},0))</f>
        <v>99</v>
      </c>
      <c r="E204" s="38" t="n">
        <f aca="false">'Frequency 1-72'!G52</f>
        <v>198</v>
      </c>
      <c r="F204" s="43" t="n">
        <v>1</v>
      </c>
      <c r="G204" s="45" t="n">
        <f aca="false">IF(E204=0,"",D204/E204)</f>
        <v>0.5</v>
      </c>
      <c r="H204" s="45" t="n">
        <f aca="false">I204/J204</f>
        <v>0.495049504950495</v>
      </c>
      <c r="I204" s="38" t="n">
        <f aca="false">D204+F204</f>
        <v>100</v>
      </c>
      <c r="J204" s="38" t="n">
        <f aca="false">E204+4*F204</f>
        <v>202</v>
      </c>
      <c r="K204" s="38" t="s">
        <v>603</v>
      </c>
      <c r="L204" s="38" t="n">
        <f aca="false">ROUND(SUMIF($A$2:$A$289,A204,$H$2:$H$289),9)</f>
        <v>1</v>
      </c>
    </row>
    <row r="205" customFormat="false" ht="15" hidden="false" customHeight="true" outlineLevel="0" collapsed="false">
      <c r="A205" s="38" t="n">
        <v>51</v>
      </c>
      <c r="B205" s="38" t="s">
        <v>171</v>
      </c>
      <c r="C205" s="38" t="str">
        <f aca="false">A205&amp;"|"&amp;B205</f>
        <v>51|U</v>
      </c>
      <c r="D205" s="38" t="n">
        <f aca="false">INDEX('Frequency 1-72'!$B$2:$E$73,A205,MATCH(B205,{"A","C","G","U"},0))</f>
        <v>30</v>
      </c>
      <c r="E205" s="38" t="n">
        <f aca="false">'Frequency 1-72'!G52</f>
        <v>198</v>
      </c>
      <c r="F205" s="43" t="n">
        <v>1</v>
      </c>
      <c r="G205" s="45" t="n">
        <f aca="false">IF(E205=0,"",D205/E205)</f>
        <v>0.151515151515152</v>
      </c>
      <c r="H205" s="45" t="n">
        <f aca="false">I205/J205</f>
        <v>0.153465346534653</v>
      </c>
      <c r="I205" s="38" t="n">
        <f aca="false">D205+F205</f>
        <v>31</v>
      </c>
      <c r="J205" s="38" t="n">
        <f aca="false">E205+4*F205</f>
        <v>202</v>
      </c>
      <c r="K205" s="38" t="s">
        <v>603</v>
      </c>
      <c r="L205" s="38" t="n">
        <f aca="false">ROUND(SUMIF($A$2:$A$289,A205,$H$2:$H$289),9)</f>
        <v>1</v>
      </c>
    </row>
    <row r="206" customFormat="false" ht="15" hidden="false" customHeight="true" outlineLevel="0" collapsed="false">
      <c r="A206" s="38" t="n">
        <v>52</v>
      </c>
      <c r="B206" s="38" t="s">
        <v>172</v>
      </c>
      <c r="C206" s="38" t="str">
        <f aca="false">A206&amp;"|"&amp;B206</f>
        <v>52|A</v>
      </c>
      <c r="D206" s="38" t="n">
        <f aca="false">INDEX('Frequency 1-72'!$B$2:$E$73,A206,MATCH(B206,{"A","C","G","U"},0))</f>
        <v>26</v>
      </c>
      <c r="E206" s="38" t="n">
        <f aca="false">'Frequency 1-72'!G53</f>
        <v>199</v>
      </c>
      <c r="F206" s="43" t="n">
        <v>1</v>
      </c>
      <c r="G206" s="45" t="n">
        <f aca="false">IF(E206=0,"",D206/E206)</f>
        <v>0.130653266331658</v>
      </c>
      <c r="H206" s="45" t="n">
        <f aca="false">I206/J206</f>
        <v>0.133004926108374</v>
      </c>
      <c r="I206" s="38" t="n">
        <f aca="false">D206+F206</f>
        <v>27</v>
      </c>
      <c r="J206" s="38" t="n">
        <f aca="false">E206+4*F206</f>
        <v>203</v>
      </c>
      <c r="K206" s="38" t="s">
        <v>603</v>
      </c>
      <c r="L206" s="38" t="n">
        <f aca="false">ROUND(SUMIF($A$2:$A$289,A206,$H$2:$H$289),9)</f>
        <v>1</v>
      </c>
    </row>
    <row r="207" customFormat="false" ht="15" hidden="false" customHeight="true" outlineLevel="0" collapsed="false">
      <c r="A207" s="38" t="n">
        <v>52</v>
      </c>
      <c r="B207" s="38" t="s">
        <v>170</v>
      </c>
      <c r="C207" s="38" t="str">
        <f aca="false">A207&amp;"|"&amp;B207</f>
        <v>52|C</v>
      </c>
      <c r="D207" s="38" t="n">
        <f aca="false">INDEX('Frequency 1-72'!$B$2:$E$73,A207,MATCH(B207,{"A","C","G","U"},0))</f>
        <v>2</v>
      </c>
      <c r="E207" s="38" t="n">
        <f aca="false">'Frequency 1-72'!G53</f>
        <v>199</v>
      </c>
      <c r="F207" s="43" t="n">
        <v>1</v>
      </c>
      <c r="G207" s="45" t="n">
        <f aca="false">IF(E207=0,"",D207/E207)</f>
        <v>0.0100502512562814</v>
      </c>
      <c r="H207" s="45" t="n">
        <f aca="false">I207/J207</f>
        <v>0.0147783251231527</v>
      </c>
      <c r="I207" s="38" t="n">
        <f aca="false">D207+F207</f>
        <v>3</v>
      </c>
      <c r="J207" s="38" t="n">
        <f aca="false">E207+4*F207</f>
        <v>203</v>
      </c>
      <c r="K207" s="38" t="s">
        <v>603</v>
      </c>
      <c r="L207" s="38" t="n">
        <f aca="false">ROUND(SUMIF($A$2:$A$289,A207,$H$2:$H$289),9)</f>
        <v>1</v>
      </c>
    </row>
    <row r="208" customFormat="false" ht="15" hidden="false" customHeight="true" outlineLevel="0" collapsed="false">
      <c r="A208" s="38" t="n">
        <v>52</v>
      </c>
      <c r="B208" s="38" t="s">
        <v>169</v>
      </c>
      <c r="C208" s="38" t="str">
        <f aca="false">A208&amp;"|"&amp;B208</f>
        <v>52|G</v>
      </c>
      <c r="D208" s="38" t="n">
        <f aca="false">INDEX('Frequency 1-72'!$B$2:$E$73,A208,MATCH(B208,{"A","C","G","U"},0))</f>
        <v>167</v>
      </c>
      <c r="E208" s="38" t="n">
        <f aca="false">'Frequency 1-72'!G53</f>
        <v>199</v>
      </c>
      <c r="F208" s="43" t="n">
        <v>1</v>
      </c>
      <c r="G208" s="45" t="n">
        <f aca="false">IF(E208=0,"",D208/E208)</f>
        <v>0.839195979899498</v>
      </c>
      <c r="H208" s="45" t="n">
        <f aca="false">I208/J208</f>
        <v>0.827586206896552</v>
      </c>
      <c r="I208" s="38" t="n">
        <f aca="false">D208+F208</f>
        <v>168</v>
      </c>
      <c r="J208" s="38" t="n">
        <f aca="false">E208+4*F208</f>
        <v>203</v>
      </c>
      <c r="K208" s="38" t="s">
        <v>603</v>
      </c>
      <c r="L208" s="38" t="n">
        <f aca="false">ROUND(SUMIF($A$2:$A$289,A208,$H$2:$H$289),9)</f>
        <v>1</v>
      </c>
    </row>
    <row r="209" customFormat="false" ht="15" hidden="false" customHeight="true" outlineLevel="0" collapsed="false">
      <c r="A209" s="38" t="n">
        <v>52</v>
      </c>
      <c r="B209" s="38" t="s">
        <v>171</v>
      </c>
      <c r="C209" s="38" t="str">
        <f aca="false">A209&amp;"|"&amp;B209</f>
        <v>52|U</v>
      </c>
      <c r="D209" s="38" t="n">
        <f aca="false">INDEX('Frequency 1-72'!$B$2:$E$73,A209,MATCH(B209,{"A","C","G","U"},0))</f>
        <v>4</v>
      </c>
      <c r="E209" s="38" t="n">
        <f aca="false">'Frequency 1-72'!G53</f>
        <v>199</v>
      </c>
      <c r="F209" s="43" t="n">
        <v>1</v>
      </c>
      <c r="G209" s="45" t="n">
        <f aca="false">IF(E209=0,"",D209/E209)</f>
        <v>0.0201005025125628</v>
      </c>
      <c r="H209" s="45" t="n">
        <f aca="false">I209/J209</f>
        <v>0.0246305418719212</v>
      </c>
      <c r="I209" s="38" t="n">
        <f aca="false">D209+F209</f>
        <v>5</v>
      </c>
      <c r="J209" s="38" t="n">
        <f aca="false">E209+4*F209</f>
        <v>203</v>
      </c>
      <c r="K209" s="38" t="s">
        <v>603</v>
      </c>
      <c r="L209" s="38" t="n">
        <f aca="false">ROUND(SUMIF($A$2:$A$289,A209,$H$2:$H$289),9)</f>
        <v>1</v>
      </c>
    </row>
    <row r="210" customFormat="false" ht="15" hidden="false" customHeight="true" outlineLevel="0" collapsed="false">
      <c r="A210" s="38" t="n">
        <v>53</v>
      </c>
      <c r="B210" s="38" t="s">
        <v>172</v>
      </c>
      <c r="C210" s="38" t="str">
        <f aca="false">A210&amp;"|"&amp;B210</f>
        <v>53|A</v>
      </c>
      <c r="D210" s="38" t="n">
        <f aca="false">INDEX('Frequency 1-72'!$B$2:$E$73,A210,MATCH(B210,{"A","C","G","U"},0))</f>
        <v>1</v>
      </c>
      <c r="E210" s="38" t="n">
        <f aca="false">'Frequency 1-72'!G54</f>
        <v>199</v>
      </c>
      <c r="F210" s="43" t="n">
        <v>1</v>
      </c>
      <c r="G210" s="45" t="n">
        <f aca="false">IF(E210=0,"",D210/E210)</f>
        <v>0.0050251256281407</v>
      </c>
      <c r="H210" s="45" t="n">
        <f aca="false">I210/J210</f>
        <v>0.00985221674876847</v>
      </c>
      <c r="I210" s="38" t="n">
        <f aca="false">D210+F210</f>
        <v>2</v>
      </c>
      <c r="J210" s="38" t="n">
        <f aca="false">E210+4*F210</f>
        <v>203</v>
      </c>
      <c r="K210" s="38" t="s">
        <v>603</v>
      </c>
      <c r="L210" s="38" t="n">
        <f aca="false">ROUND(SUMIF($A$2:$A$289,A210,$H$2:$H$289),9)</f>
        <v>1</v>
      </c>
    </row>
    <row r="211" customFormat="false" ht="15" hidden="false" customHeight="true" outlineLevel="0" collapsed="false">
      <c r="A211" s="38" t="n">
        <v>53</v>
      </c>
      <c r="B211" s="38" t="s">
        <v>170</v>
      </c>
      <c r="C211" s="38" t="str">
        <f aca="false">A211&amp;"|"&amp;B211</f>
        <v>53|C</v>
      </c>
      <c r="D211" s="38" t="n">
        <f aca="false">INDEX('Frequency 1-72'!$B$2:$E$73,A211,MATCH(B211,{"A","C","G","U"},0))</f>
        <v>1</v>
      </c>
      <c r="E211" s="38" t="n">
        <f aca="false">'Frequency 1-72'!G54</f>
        <v>199</v>
      </c>
      <c r="F211" s="43" t="n">
        <v>1</v>
      </c>
      <c r="G211" s="45" t="n">
        <f aca="false">IF(E211=0,"",D211/E211)</f>
        <v>0.0050251256281407</v>
      </c>
      <c r="H211" s="45" t="n">
        <f aca="false">I211/J211</f>
        <v>0.00985221674876847</v>
      </c>
      <c r="I211" s="38" t="n">
        <f aca="false">D211+F211</f>
        <v>2</v>
      </c>
      <c r="J211" s="38" t="n">
        <f aca="false">E211+4*F211</f>
        <v>203</v>
      </c>
      <c r="K211" s="38" t="s">
        <v>603</v>
      </c>
      <c r="L211" s="38" t="n">
        <f aca="false">ROUND(SUMIF($A$2:$A$289,A211,$H$2:$H$289),9)</f>
        <v>1</v>
      </c>
    </row>
    <row r="212" customFormat="false" ht="15" hidden="false" customHeight="true" outlineLevel="0" collapsed="false">
      <c r="A212" s="38" t="n">
        <v>53</v>
      </c>
      <c r="B212" s="38" t="s">
        <v>169</v>
      </c>
      <c r="C212" s="38" t="str">
        <f aca="false">A212&amp;"|"&amp;B212</f>
        <v>53|G</v>
      </c>
      <c r="D212" s="38" t="n">
        <f aca="false">INDEX('Frequency 1-72'!$B$2:$E$73,A212,MATCH(B212,{"A","C","G","U"},0))</f>
        <v>195</v>
      </c>
      <c r="E212" s="38" t="n">
        <f aca="false">'Frequency 1-72'!G54</f>
        <v>199</v>
      </c>
      <c r="F212" s="43" t="n">
        <v>1</v>
      </c>
      <c r="G212" s="45" t="n">
        <f aca="false">IF(E212=0,"",D212/E212)</f>
        <v>0.979899497487437</v>
      </c>
      <c r="H212" s="45" t="n">
        <f aca="false">I212/J212</f>
        <v>0.96551724137931</v>
      </c>
      <c r="I212" s="38" t="n">
        <f aca="false">D212+F212</f>
        <v>196</v>
      </c>
      <c r="J212" s="38" t="n">
        <f aca="false">E212+4*F212</f>
        <v>203</v>
      </c>
      <c r="K212" s="38" t="s">
        <v>603</v>
      </c>
      <c r="L212" s="38" t="n">
        <f aca="false">ROUND(SUMIF($A$2:$A$289,A212,$H$2:$H$289),9)</f>
        <v>1</v>
      </c>
    </row>
    <row r="213" customFormat="false" ht="15" hidden="false" customHeight="true" outlineLevel="0" collapsed="false">
      <c r="A213" s="38" t="n">
        <v>53</v>
      </c>
      <c r="B213" s="38" t="s">
        <v>171</v>
      </c>
      <c r="C213" s="38" t="str">
        <f aca="false">A213&amp;"|"&amp;B213</f>
        <v>53|U</v>
      </c>
      <c r="D213" s="38" t="n">
        <f aca="false">INDEX('Frequency 1-72'!$B$2:$E$73,A213,MATCH(B213,{"A","C","G","U"},0))</f>
        <v>2</v>
      </c>
      <c r="E213" s="38" t="n">
        <f aca="false">'Frequency 1-72'!G54</f>
        <v>199</v>
      </c>
      <c r="F213" s="43" t="n">
        <v>1</v>
      </c>
      <c r="G213" s="45" t="n">
        <f aca="false">IF(E213=0,"",D213/E213)</f>
        <v>0.0100502512562814</v>
      </c>
      <c r="H213" s="45" t="n">
        <f aca="false">I213/J213</f>
        <v>0.0147783251231527</v>
      </c>
      <c r="I213" s="38" t="n">
        <f aca="false">D213+F213</f>
        <v>3</v>
      </c>
      <c r="J213" s="38" t="n">
        <f aca="false">E213+4*F213</f>
        <v>203</v>
      </c>
      <c r="K213" s="38" t="s">
        <v>603</v>
      </c>
      <c r="L213" s="38" t="n">
        <f aca="false">ROUND(SUMIF($A$2:$A$289,A213,$H$2:$H$289),9)</f>
        <v>1</v>
      </c>
    </row>
    <row r="214" customFormat="false" ht="15" hidden="false" customHeight="true" outlineLevel="0" collapsed="false">
      <c r="A214" s="38" t="n">
        <v>54</v>
      </c>
      <c r="B214" s="38" t="s">
        <v>172</v>
      </c>
      <c r="C214" s="38" t="str">
        <f aca="false">A214&amp;"|"&amp;B214</f>
        <v>54|A</v>
      </c>
      <c r="D214" s="38" t="n">
        <f aca="false">INDEX('Frequency 1-72'!$B$2:$E$73,A214,MATCH(B214,{"A","C","G","U"},0))</f>
        <v>2</v>
      </c>
      <c r="E214" s="38" t="n">
        <f aca="false">'Frequency 1-72'!G55</f>
        <v>199</v>
      </c>
      <c r="F214" s="43" t="n">
        <v>1</v>
      </c>
      <c r="G214" s="45" t="n">
        <f aca="false">IF(E214=0,"",D214/E214)</f>
        <v>0.0100502512562814</v>
      </c>
      <c r="H214" s="45" t="n">
        <f aca="false">I214/J214</f>
        <v>0.0147783251231527</v>
      </c>
      <c r="I214" s="38" t="n">
        <f aca="false">D214+F214</f>
        <v>3</v>
      </c>
      <c r="J214" s="38" t="n">
        <f aca="false">E214+4*F214</f>
        <v>203</v>
      </c>
      <c r="K214" s="38" t="s">
        <v>603</v>
      </c>
      <c r="L214" s="38" t="n">
        <f aca="false">ROUND(SUMIF($A$2:$A$289,A214,$H$2:$H$289),9)</f>
        <v>1</v>
      </c>
    </row>
    <row r="215" customFormat="false" ht="15" hidden="false" customHeight="true" outlineLevel="0" collapsed="false">
      <c r="A215" s="38" t="n">
        <v>54</v>
      </c>
      <c r="B215" s="38" t="s">
        <v>170</v>
      </c>
      <c r="C215" s="38" t="str">
        <f aca="false">A215&amp;"|"&amp;B215</f>
        <v>54|C</v>
      </c>
      <c r="D215" s="38" t="n">
        <f aca="false">INDEX('Frequency 1-72'!$B$2:$E$73,A215,MATCH(B215,{"A","C","G","U"},0))</f>
        <v>0</v>
      </c>
      <c r="E215" s="38" t="n">
        <f aca="false">'Frequency 1-72'!G55</f>
        <v>199</v>
      </c>
      <c r="F215" s="43" t="n">
        <v>1</v>
      </c>
      <c r="G215" s="45" t="n">
        <f aca="false">IF(E215=0,"",D215/E215)</f>
        <v>0</v>
      </c>
      <c r="H215" s="45" t="n">
        <f aca="false">I215/J215</f>
        <v>0.00492610837438424</v>
      </c>
      <c r="I215" s="38" t="n">
        <f aca="false">D215+F215</f>
        <v>1</v>
      </c>
      <c r="J215" s="38" t="n">
        <f aca="false">E215+4*F215</f>
        <v>203</v>
      </c>
      <c r="K215" s="38" t="s">
        <v>603</v>
      </c>
      <c r="L215" s="38" t="n">
        <f aca="false">ROUND(SUMIF($A$2:$A$289,A215,$H$2:$H$289),9)</f>
        <v>1</v>
      </c>
    </row>
    <row r="216" customFormat="false" ht="15" hidden="false" customHeight="true" outlineLevel="0" collapsed="false">
      <c r="A216" s="38" t="n">
        <v>54</v>
      </c>
      <c r="B216" s="38" t="s">
        <v>169</v>
      </c>
      <c r="C216" s="38" t="str">
        <f aca="false">A216&amp;"|"&amp;B216</f>
        <v>54|G</v>
      </c>
      <c r="D216" s="38" t="n">
        <f aca="false">INDEX('Frequency 1-72'!$B$2:$E$73,A216,MATCH(B216,{"A","C","G","U"},0))</f>
        <v>0</v>
      </c>
      <c r="E216" s="38" t="n">
        <f aca="false">'Frequency 1-72'!G55</f>
        <v>199</v>
      </c>
      <c r="F216" s="43" t="n">
        <v>1</v>
      </c>
      <c r="G216" s="45" t="n">
        <f aca="false">IF(E216=0,"",D216/E216)</f>
        <v>0</v>
      </c>
      <c r="H216" s="45" t="n">
        <f aca="false">I216/J216</f>
        <v>0.00492610837438424</v>
      </c>
      <c r="I216" s="38" t="n">
        <f aca="false">D216+F216</f>
        <v>1</v>
      </c>
      <c r="J216" s="38" t="n">
        <f aca="false">E216+4*F216</f>
        <v>203</v>
      </c>
      <c r="K216" s="38" t="s">
        <v>603</v>
      </c>
      <c r="L216" s="38" t="n">
        <f aca="false">ROUND(SUMIF($A$2:$A$289,A216,$H$2:$H$289),9)</f>
        <v>1</v>
      </c>
    </row>
    <row r="217" customFormat="false" ht="15" hidden="false" customHeight="true" outlineLevel="0" collapsed="false">
      <c r="A217" s="38" t="n">
        <v>54</v>
      </c>
      <c r="B217" s="38" t="s">
        <v>171</v>
      </c>
      <c r="C217" s="38" t="str">
        <f aca="false">A217&amp;"|"&amp;B217</f>
        <v>54|U</v>
      </c>
      <c r="D217" s="38" t="n">
        <f aca="false">INDEX('Frequency 1-72'!$B$2:$E$73,A217,MATCH(B217,{"A","C","G","U"},0))</f>
        <v>197</v>
      </c>
      <c r="E217" s="38" t="n">
        <f aca="false">'Frequency 1-72'!G55</f>
        <v>199</v>
      </c>
      <c r="F217" s="43" t="n">
        <v>1</v>
      </c>
      <c r="G217" s="45" t="n">
        <f aca="false">IF(E217=0,"",D217/E217)</f>
        <v>0.989949748743719</v>
      </c>
      <c r="H217" s="45" t="n">
        <f aca="false">I217/J217</f>
        <v>0.975369458128079</v>
      </c>
      <c r="I217" s="38" t="n">
        <f aca="false">D217+F217</f>
        <v>198</v>
      </c>
      <c r="J217" s="38" t="n">
        <f aca="false">E217+4*F217</f>
        <v>203</v>
      </c>
      <c r="K217" s="38" t="s">
        <v>603</v>
      </c>
      <c r="L217" s="38" t="n">
        <f aca="false">ROUND(SUMIF($A$2:$A$289,A217,$H$2:$H$289),9)</f>
        <v>1</v>
      </c>
    </row>
    <row r="218" customFormat="false" ht="15" hidden="false" customHeight="true" outlineLevel="0" collapsed="false">
      <c r="A218" s="38" t="n">
        <v>55</v>
      </c>
      <c r="B218" s="38" t="s">
        <v>172</v>
      </c>
      <c r="C218" s="38" t="str">
        <f aca="false">A218&amp;"|"&amp;B218</f>
        <v>55|A</v>
      </c>
      <c r="D218" s="38" t="n">
        <f aca="false">INDEX('Frequency 1-72'!$B$2:$E$73,A218,MATCH(B218,{"A","C","G","U"},0))</f>
        <v>1</v>
      </c>
      <c r="E218" s="38" t="n">
        <f aca="false">'Frequency 1-72'!G56</f>
        <v>199</v>
      </c>
      <c r="F218" s="43" t="n">
        <v>1</v>
      </c>
      <c r="G218" s="45" t="n">
        <f aca="false">IF(E218=0,"",D218/E218)</f>
        <v>0.0050251256281407</v>
      </c>
      <c r="H218" s="45" t="n">
        <f aca="false">I218/J218</f>
        <v>0.00985221674876847</v>
      </c>
      <c r="I218" s="38" t="n">
        <f aca="false">D218+F218</f>
        <v>2</v>
      </c>
      <c r="J218" s="38" t="n">
        <f aca="false">E218+4*F218</f>
        <v>203</v>
      </c>
      <c r="K218" s="38" t="s">
        <v>603</v>
      </c>
      <c r="L218" s="38" t="n">
        <f aca="false">ROUND(SUMIF($A$2:$A$289,A218,$H$2:$H$289),9)</f>
        <v>1</v>
      </c>
    </row>
    <row r="219" customFormat="false" ht="15" hidden="false" customHeight="true" outlineLevel="0" collapsed="false">
      <c r="A219" s="38" t="n">
        <v>55</v>
      </c>
      <c r="B219" s="38" t="s">
        <v>170</v>
      </c>
      <c r="C219" s="38" t="str">
        <f aca="false">A219&amp;"|"&amp;B219</f>
        <v>55|C</v>
      </c>
      <c r="D219" s="38" t="n">
        <f aca="false">INDEX('Frequency 1-72'!$B$2:$E$73,A219,MATCH(B219,{"A","C","G","U"},0))</f>
        <v>1</v>
      </c>
      <c r="E219" s="38" t="n">
        <f aca="false">'Frequency 1-72'!G56</f>
        <v>199</v>
      </c>
      <c r="F219" s="43" t="n">
        <v>1</v>
      </c>
      <c r="G219" s="45" t="n">
        <f aca="false">IF(E219=0,"",D219/E219)</f>
        <v>0.0050251256281407</v>
      </c>
      <c r="H219" s="45" t="n">
        <f aca="false">I219/J219</f>
        <v>0.00985221674876847</v>
      </c>
      <c r="I219" s="38" t="n">
        <f aca="false">D219+F219</f>
        <v>2</v>
      </c>
      <c r="J219" s="38" t="n">
        <f aca="false">E219+4*F219</f>
        <v>203</v>
      </c>
      <c r="K219" s="38" t="s">
        <v>603</v>
      </c>
      <c r="L219" s="38" t="n">
        <f aca="false">ROUND(SUMIF($A$2:$A$289,A219,$H$2:$H$289),9)</f>
        <v>1</v>
      </c>
    </row>
    <row r="220" customFormat="false" ht="15" hidden="false" customHeight="true" outlineLevel="0" collapsed="false">
      <c r="A220" s="38" t="n">
        <v>55</v>
      </c>
      <c r="B220" s="38" t="s">
        <v>169</v>
      </c>
      <c r="C220" s="38" t="str">
        <f aca="false">A220&amp;"|"&amp;B220</f>
        <v>55|G</v>
      </c>
      <c r="D220" s="38" t="n">
        <f aca="false">INDEX('Frequency 1-72'!$B$2:$E$73,A220,MATCH(B220,{"A","C","G","U"},0))</f>
        <v>1</v>
      </c>
      <c r="E220" s="38" t="n">
        <f aca="false">'Frequency 1-72'!G56</f>
        <v>199</v>
      </c>
      <c r="F220" s="43" t="n">
        <v>1</v>
      </c>
      <c r="G220" s="45" t="n">
        <f aca="false">IF(E220=0,"",D220/E220)</f>
        <v>0.0050251256281407</v>
      </c>
      <c r="H220" s="45" t="n">
        <f aca="false">I220/J220</f>
        <v>0.00985221674876847</v>
      </c>
      <c r="I220" s="38" t="n">
        <f aca="false">D220+F220</f>
        <v>2</v>
      </c>
      <c r="J220" s="38" t="n">
        <f aca="false">E220+4*F220</f>
        <v>203</v>
      </c>
      <c r="K220" s="38" t="s">
        <v>603</v>
      </c>
      <c r="L220" s="38" t="n">
        <f aca="false">ROUND(SUMIF($A$2:$A$289,A220,$H$2:$H$289),9)</f>
        <v>1</v>
      </c>
    </row>
    <row r="221" customFormat="false" ht="15" hidden="false" customHeight="true" outlineLevel="0" collapsed="false">
      <c r="A221" s="38" t="n">
        <v>55</v>
      </c>
      <c r="B221" s="38" t="s">
        <v>171</v>
      </c>
      <c r="C221" s="38" t="str">
        <f aca="false">A221&amp;"|"&amp;B221</f>
        <v>55|U</v>
      </c>
      <c r="D221" s="38" t="n">
        <f aca="false">INDEX('Frequency 1-72'!$B$2:$E$73,A221,MATCH(B221,{"A","C","G","U"},0))</f>
        <v>196</v>
      </c>
      <c r="E221" s="38" t="n">
        <f aca="false">'Frequency 1-72'!G56</f>
        <v>199</v>
      </c>
      <c r="F221" s="43" t="n">
        <v>1</v>
      </c>
      <c r="G221" s="45" t="n">
        <f aca="false">IF(E221=0,"",D221/E221)</f>
        <v>0.984924623115578</v>
      </c>
      <c r="H221" s="45" t="n">
        <f aca="false">I221/J221</f>
        <v>0.970443349753695</v>
      </c>
      <c r="I221" s="38" t="n">
        <f aca="false">D221+F221</f>
        <v>197</v>
      </c>
      <c r="J221" s="38" t="n">
        <f aca="false">E221+4*F221</f>
        <v>203</v>
      </c>
      <c r="K221" s="38" t="s">
        <v>603</v>
      </c>
      <c r="L221" s="38" t="n">
        <f aca="false">ROUND(SUMIF($A$2:$A$289,A221,$H$2:$H$289),9)</f>
        <v>1</v>
      </c>
    </row>
    <row r="222" customFormat="false" ht="15" hidden="false" customHeight="true" outlineLevel="0" collapsed="false">
      <c r="A222" s="38" t="n">
        <v>56</v>
      </c>
      <c r="B222" s="38" t="s">
        <v>172</v>
      </c>
      <c r="C222" s="38" t="str">
        <f aca="false">A222&amp;"|"&amp;B222</f>
        <v>56|A</v>
      </c>
      <c r="D222" s="38" t="n">
        <f aca="false">INDEX('Frequency 1-72'!$B$2:$E$73,A222,MATCH(B222,{"A","C","G","U"},0))</f>
        <v>2</v>
      </c>
      <c r="E222" s="38" t="n">
        <f aca="false">'Frequency 1-72'!G57</f>
        <v>199</v>
      </c>
      <c r="F222" s="43" t="n">
        <v>1</v>
      </c>
      <c r="G222" s="45" t="n">
        <f aca="false">IF(E222=0,"",D222/E222)</f>
        <v>0.0100502512562814</v>
      </c>
      <c r="H222" s="45" t="n">
        <f aca="false">I222/J222</f>
        <v>0.0147783251231527</v>
      </c>
      <c r="I222" s="38" t="n">
        <f aca="false">D222+F222</f>
        <v>3</v>
      </c>
      <c r="J222" s="38" t="n">
        <f aca="false">E222+4*F222</f>
        <v>203</v>
      </c>
      <c r="K222" s="38" t="s">
        <v>603</v>
      </c>
      <c r="L222" s="38" t="n">
        <f aca="false">ROUND(SUMIF($A$2:$A$289,A222,$H$2:$H$289),9)</f>
        <v>1</v>
      </c>
    </row>
    <row r="223" customFormat="false" ht="15" hidden="false" customHeight="true" outlineLevel="0" collapsed="false">
      <c r="A223" s="38" t="n">
        <v>56</v>
      </c>
      <c r="B223" s="38" t="s">
        <v>170</v>
      </c>
      <c r="C223" s="38" t="str">
        <f aca="false">A223&amp;"|"&amp;B223</f>
        <v>56|C</v>
      </c>
      <c r="D223" s="38" t="n">
        <f aca="false">INDEX('Frequency 1-72'!$B$2:$E$73,A223,MATCH(B223,{"A","C","G","U"},0))</f>
        <v>195</v>
      </c>
      <c r="E223" s="38" t="n">
        <f aca="false">'Frequency 1-72'!G57</f>
        <v>199</v>
      </c>
      <c r="F223" s="43" t="n">
        <v>1</v>
      </c>
      <c r="G223" s="45" t="n">
        <f aca="false">IF(E223=0,"",D223/E223)</f>
        <v>0.979899497487437</v>
      </c>
      <c r="H223" s="45" t="n">
        <f aca="false">I223/J223</f>
        <v>0.96551724137931</v>
      </c>
      <c r="I223" s="38" t="n">
        <f aca="false">D223+F223</f>
        <v>196</v>
      </c>
      <c r="J223" s="38" t="n">
        <f aca="false">E223+4*F223</f>
        <v>203</v>
      </c>
      <c r="K223" s="38" t="s">
        <v>603</v>
      </c>
      <c r="L223" s="38" t="n">
        <f aca="false">ROUND(SUMIF($A$2:$A$289,A223,$H$2:$H$289),9)</f>
        <v>1</v>
      </c>
    </row>
    <row r="224" customFormat="false" ht="15" hidden="false" customHeight="true" outlineLevel="0" collapsed="false">
      <c r="A224" s="38" t="n">
        <v>56</v>
      </c>
      <c r="B224" s="38" t="s">
        <v>169</v>
      </c>
      <c r="C224" s="38" t="str">
        <f aca="false">A224&amp;"|"&amp;B224</f>
        <v>56|G</v>
      </c>
      <c r="D224" s="38" t="n">
        <f aca="false">INDEX('Frequency 1-72'!$B$2:$E$73,A224,MATCH(B224,{"A","C","G","U"},0))</f>
        <v>1</v>
      </c>
      <c r="E224" s="38" t="n">
        <f aca="false">'Frequency 1-72'!G57</f>
        <v>199</v>
      </c>
      <c r="F224" s="43" t="n">
        <v>1</v>
      </c>
      <c r="G224" s="45" t="n">
        <f aca="false">IF(E224=0,"",D224/E224)</f>
        <v>0.0050251256281407</v>
      </c>
      <c r="H224" s="45" t="n">
        <f aca="false">I224/J224</f>
        <v>0.00985221674876847</v>
      </c>
      <c r="I224" s="38" t="n">
        <f aca="false">D224+F224</f>
        <v>2</v>
      </c>
      <c r="J224" s="38" t="n">
        <f aca="false">E224+4*F224</f>
        <v>203</v>
      </c>
      <c r="K224" s="38" t="s">
        <v>603</v>
      </c>
      <c r="L224" s="38" t="n">
        <f aca="false">ROUND(SUMIF($A$2:$A$289,A224,$H$2:$H$289),9)</f>
        <v>1</v>
      </c>
    </row>
    <row r="225" customFormat="false" ht="15" hidden="false" customHeight="true" outlineLevel="0" collapsed="false">
      <c r="A225" s="38" t="n">
        <v>56</v>
      </c>
      <c r="B225" s="38" t="s">
        <v>171</v>
      </c>
      <c r="C225" s="38" t="str">
        <f aca="false">A225&amp;"|"&amp;B225</f>
        <v>56|U</v>
      </c>
      <c r="D225" s="38" t="n">
        <f aca="false">INDEX('Frequency 1-72'!$B$2:$E$73,A225,MATCH(B225,{"A","C","G","U"},0))</f>
        <v>1</v>
      </c>
      <c r="E225" s="38" t="n">
        <f aca="false">'Frequency 1-72'!G57</f>
        <v>199</v>
      </c>
      <c r="F225" s="43" t="n">
        <v>1</v>
      </c>
      <c r="G225" s="45" t="n">
        <f aca="false">IF(E225=0,"",D225/E225)</f>
        <v>0.0050251256281407</v>
      </c>
      <c r="H225" s="45" t="n">
        <f aca="false">I225/J225</f>
        <v>0.00985221674876847</v>
      </c>
      <c r="I225" s="38" t="n">
        <f aca="false">D225+F225</f>
        <v>2</v>
      </c>
      <c r="J225" s="38" t="n">
        <f aca="false">E225+4*F225</f>
        <v>203</v>
      </c>
      <c r="K225" s="38" t="s">
        <v>603</v>
      </c>
      <c r="L225" s="38" t="n">
        <f aca="false">ROUND(SUMIF($A$2:$A$289,A225,$H$2:$H$289),9)</f>
        <v>1</v>
      </c>
    </row>
    <row r="226" customFormat="false" ht="15" hidden="false" customHeight="true" outlineLevel="0" collapsed="false">
      <c r="A226" s="38" t="n">
        <v>57</v>
      </c>
      <c r="B226" s="38" t="s">
        <v>172</v>
      </c>
      <c r="C226" s="38" t="str">
        <f aca="false">A226&amp;"|"&amp;B226</f>
        <v>57|A</v>
      </c>
      <c r="D226" s="38" t="n">
        <f aca="false">INDEX('Frequency 1-72'!$B$2:$E$73,A226,MATCH(B226,{"A","C","G","U"},0))</f>
        <v>76</v>
      </c>
      <c r="E226" s="38" t="n">
        <f aca="false">'Frequency 1-72'!G58</f>
        <v>198</v>
      </c>
      <c r="F226" s="43" t="n">
        <v>1</v>
      </c>
      <c r="G226" s="45" t="n">
        <f aca="false">IF(E226=0,"",D226/E226)</f>
        <v>0.383838383838384</v>
      </c>
      <c r="H226" s="45" t="n">
        <f aca="false">I226/J226</f>
        <v>0.381188118811881</v>
      </c>
      <c r="I226" s="38" t="n">
        <f aca="false">D226+F226</f>
        <v>77</v>
      </c>
      <c r="J226" s="38" t="n">
        <f aca="false">E226+4*F226</f>
        <v>202</v>
      </c>
      <c r="K226" s="38" t="s">
        <v>603</v>
      </c>
      <c r="L226" s="38" t="n">
        <f aca="false">ROUND(SUMIF($A$2:$A$289,A226,$H$2:$H$289),9)</f>
        <v>1</v>
      </c>
    </row>
    <row r="227" customFormat="false" ht="15" hidden="false" customHeight="true" outlineLevel="0" collapsed="false">
      <c r="A227" s="38" t="n">
        <v>57</v>
      </c>
      <c r="B227" s="38" t="s">
        <v>170</v>
      </c>
      <c r="C227" s="38" t="str">
        <f aca="false">A227&amp;"|"&amp;B227</f>
        <v>57|C</v>
      </c>
      <c r="D227" s="38" t="n">
        <f aca="false">INDEX('Frequency 1-72'!$B$2:$E$73,A227,MATCH(B227,{"A","C","G","U"},0))</f>
        <v>0</v>
      </c>
      <c r="E227" s="38" t="n">
        <f aca="false">'Frequency 1-72'!G58</f>
        <v>198</v>
      </c>
      <c r="F227" s="43" t="n">
        <v>1</v>
      </c>
      <c r="G227" s="45" t="n">
        <f aca="false">IF(E227=0,"",D227/E227)</f>
        <v>0</v>
      </c>
      <c r="H227" s="45" t="n">
        <f aca="false">I227/J227</f>
        <v>0.00495049504950495</v>
      </c>
      <c r="I227" s="38" t="n">
        <f aca="false">D227+F227</f>
        <v>1</v>
      </c>
      <c r="J227" s="38" t="n">
        <f aca="false">E227+4*F227</f>
        <v>202</v>
      </c>
      <c r="K227" s="38" t="s">
        <v>603</v>
      </c>
      <c r="L227" s="38" t="n">
        <f aca="false">ROUND(SUMIF($A$2:$A$289,A227,$H$2:$H$289),9)</f>
        <v>1</v>
      </c>
    </row>
    <row r="228" customFormat="false" ht="15" hidden="false" customHeight="true" outlineLevel="0" collapsed="false">
      <c r="A228" s="38" t="n">
        <v>57</v>
      </c>
      <c r="B228" s="38" t="s">
        <v>169</v>
      </c>
      <c r="C228" s="38" t="str">
        <f aca="false">A228&amp;"|"&amp;B228</f>
        <v>57|G</v>
      </c>
      <c r="D228" s="38" t="n">
        <f aca="false">INDEX('Frequency 1-72'!$B$2:$E$73,A228,MATCH(B228,{"A","C","G","U"},0))</f>
        <v>121</v>
      </c>
      <c r="E228" s="38" t="n">
        <f aca="false">'Frequency 1-72'!G58</f>
        <v>198</v>
      </c>
      <c r="F228" s="43" t="n">
        <v>1</v>
      </c>
      <c r="G228" s="45" t="n">
        <f aca="false">IF(E228=0,"",D228/E228)</f>
        <v>0.611111111111111</v>
      </c>
      <c r="H228" s="45" t="n">
        <f aca="false">I228/J228</f>
        <v>0.603960396039604</v>
      </c>
      <c r="I228" s="38" t="n">
        <f aca="false">D228+F228</f>
        <v>122</v>
      </c>
      <c r="J228" s="38" t="n">
        <f aca="false">E228+4*F228</f>
        <v>202</v>
      </c>
      <c r="K228" s="38" t="s">
        <v>603</v>
      </c>
      <c r="L228" s="38" t="n">
        <f aca="false">ROUND(SUMIF($A$2:$A$289,A228,$H$2:$H$289),9)</f>
        <v>1</v>
      </c>
    </row>
    <row r="229" customFormat="false" ht="15" hidden="false" customHeight="true" outlineLevel="0" collapsed="false">
      <c r="A229" s="38" t="n">
        <v>57</v>
      </c>
      <c r="B229" s="38" t="s">
        <v>171</v>
      </c>
      <c r="C229" s="38" t="str">
        <f aca="false">A229&amp;"|"&amp;B229</f>
        <v>57|U</v>
      </c>
      <c r="D229" s="38" t="n">
        <f aca="false">INDEX('Frequency 1-72'!$B$2:$E$73,A229,MATCH(B229,{"A","C","G","U"},0))</f>
        <v>1</v>
      </c>
      <c r="E229" s="38" t="n">
        <f aca="false">'Frequency 1-72'!G58</f>
        <v>198</v>
      </c>
      <c r="F229" s="43" t="n">
        <v>1</v>
      </c>
      <c r="G229" s="45" t="n">
        <f aca="false">IF(E229=0,"",D229/E229)</f>
        <v>0.00505050505050505</v>
      </c>
      <c r="H229" s="45" t="n">
        <f aca="false">I229/J229</f>
        <v>0.0099009900990099</v>
      </c>
      <c r="I229" s="38" t="n">
        <f aca="false">D229+F229</f>
        <v>2</v>
      </c>
      <c r="J229" s="38" t="n">
        <f aca="false">E229+4*F229</f>
        <v>202</v>
      </c>
      <c r="K229" s="38" t="s">
        <v>603</v>
      </c>
      <c r="L229" s="38" t="n">
        <f aca="false">ROUND(SUMIF($A$2:$A$289,A229,$H$2:$H$289),9)</f>
        <v>1</v>
      </c>
    </row>
    <row r="230" customFormat="false" ht="15" hidden="false" customHeight="true" outlineLevel="0" collapsed="false">
      <c r="A230" s="38" t="n">
        <v>58</v>
      </c>
      <c r="B230" s="38" t="s">
        <v>172</v>
      </c>
      <c r="C230" s="38" t="str">
        <f aca="false">A230&amp;"|"&amp;B230</f>
        <v>58|A</v>
      </c>
      <c r="D230" s="38" t="n">
        <f aca="false">INDEX('Frequency 1-72'!$B$2:$E$73,A230,MATCH(B230,{"A","C","G","U"},0))</f>
        <v>197</v>
      </c>
      <c r="E230" s="38" t="n">
        <f aca="false">'Frequency 1-72'!G59</f>
        <v>199</v>
      </c>
      <c r="F230" s="43" t="n">
        <v>1</v>
      </c>
      <c r="G230" s="45" t="n">
        <f aca="false">IF(E230=0,"",D230/E230)</f>
        <v>0.989949748743719</v>
      </c>
      <c r="H230" s="45" t="n">
        <f aca="false">I230/J230</f>
        <v>0.975369458128079</v>
      </c>
      <c r="I230" s="38" t="n">
        <f aca="false">D230+F230</f>
        <v>198</v>
      </c>
      <c r="J230" s="38" t="n">
        <f aca="false">E230+4*F230</f>
        <v>203</v>
      </c>
      <c r="K230" s="38" t="s">
        <v>603</v>
      </c>
      <c r="L230" s="38" t="n">
        <f aca="false">ROUND(SUMIF($A$2:$A$289,A230,$H$2:$H$289),9)</f>
        <v>1</v>
      </c>
    </row>
    <row r="231" customFormat="false" ht="15" hidden="false" customHeight="true" outlineLevel="0" collapsed="false">
      <c r="A231" s="38" t="n">
        <v>58</v>
      </c>
      <c r="B231" s="38" t="s">
        <v>170</v>
      </c>
      <c r="C231" s="38" t="str">
        <f aca="false">A231&amp;"|"&amp;B231</f>
        <v>58|C</v>
      </c>
      <c r="D231" s="38" t="n">
        <f aca="false">INDEX('Frequency 1-72'!$B$2:$E$73,A231,MATCH(B231,{"A","C","G","U"},0))</f>
        <v>1</v>
      </c>
      <c r="E231" s="38" t="n">
        <f aca="false">'Frequency 1-72'!G59</f>
        <v>199</v>
      </c>
      <c r="F231" s="43" t="n">
        <v>1</v>
      </c>
      <c r="G231" s="45" t="n">
        <f aca="false">IF(E231=0,"",D231/E231)</f>
        <v>0.0050251256281407</v>
      </c>
      <c r="H231" s="45" t="n">
        <f aca="false">I231/J231</f>
        <v>0.00985221674876847</v>
      </c>
      <c r="I231" s="38" t="n">
        <f aca="false">D231+F231</f>
        <v>2</v>
      </c>
      <c r="J231" s="38" t="n">
        <f aca="false">E231+4*F231</f>
        <v>203</v>
      </c>
      <c r="K231" s="38" t="s">
        <v>603</v>
      </c>
      <c r="L231" s="38" t="n">
        <f aca="false">ROUND(SUMIF($A$2:$A$289,A231,$H$2:$H$289),9)</f>
        <v>1</v>
      </c>
    </row>
    <row r="232" customFormat="false" ht="15" hidden="false" customHeight="true" outlineLevel="0" collapsed="false">
      <c r="A232" s="38" t="n">
        <v>58</v>
      </c>
      <c r="B232" s="38" t="s">
        <v>169</v>
      </c>
      <c r="C232" s="38" t="str">
        <f aca="false">A232&amp;"|"&amp;B232</f>
        <v>58|G</v>
      </c>
      <c r="D232" s="38" t="n">
        <f aca="false">INDEX('Frequency 1-72'!$B$2:$E$73,A232,MATCH(B232,{"A","C","G","U"},0))</f>
        <v>0</v>
      </c>
      <c r="E232" s="38" t="n">
        <f aca="false">'Frequency 1-72'!G59</f>
        <v>199</v>
      </c>
      <c r="F232" s="43" t="n">
        <v>1</v>
      </c>
      <c r="G232" s="45" t="n">
        <f aca="false">IF(E232=0,"",D232/E232)</f>
        <v>0</v>
      </c>
      <c r="H232" s="45" t="n">
        <f aca="false">I232/J232</f>
        <v>0.00492610837438424</v>
      </c>
      <c r="I232" s="38" t="n">
        <f aca="false">D232+F232</f>
        <v>1</v>
      </c>
      <c r="J232" s="38" t="n">
        <f aca="false">E232+4*F232</f>
        <v>203</v>
      </c>
      <c r="K232" s="38" t="s">
        <v>603</v>
      </c>
      <c r="L232" s="38" t="n">
        <f aca="false">ROUND(SUMIF($A$2:$A$289,A232,$H$2:$H$289),9)</f>
        <v>1</v>
      </c>
    </row>
    <row r="233" customFormat="false" ht="15" hidden="false" customHeight="true" outlineLevel="0" collapsed="false">
      <c r="A233" s="38" t="n">
        <v>58</v>
      </c>
      <c r="B233" s="38" t="s">
        <v>171</v>
      </c>
      <c r="C233" s="38" t="str">
        <f aca="false">A233&amp;"|"&amp;B233</f>
        <v>58|U</v>
      </c>
      <c r="D233" s="38" t="n">
        <f aca="false">INDEX('Frequency 1-72'!$B$2:$E$73,A233,MATCH(B233,{"A","C","G","U"},0))</f>
        <v>1</v>
      </c>
      <c r="E233" s="38" t="n">
        <f aca="false">'Frequency 1-72'!G59</f>
        <v>199</v>
      </c>
      <c r="F233" s="43" t="n">
        <v>1</v>
      </c>
      <c r="G233" s="45" t="n">
        <f aca="false">IF(E233=0,"",D233/E233)</f>
        <v>0.0050251256281407</v>
      </c>
      <c r="H233" s="45" t="n">
        <f aca="false">I233/J233</f>
        <v>0.00985221674876847</v>
      </c>
      <c r="I233" s="38" t="n">
        <f aca="false">D233+F233</f>
        <v>2</v>
      </c>
      <c r="J233" s="38" t="n">
        <f aca="false">E233+4*F233</f>
        <v>203</v>
      </c>
      <c r="K233" s="38" t="s">
        <v>603</v>
      </c>
      <c r="L233" s="38" t="n">
        <f aca="false">ROUND(SUMIF($A$2:$A$289,A233,$H$2:$H$289),9)</f>
        <v>1</v>
      </c>
    </row>
    <row r="234" customFormat="false" ht="15" hidden="false" customHeight="true" outlineLevel="0" collapsed="false">
      <c r="A234" s="38" t="n">
        <v>59</v>
      </c>
      <c r="B234" s="38" t="s">
        <v>172</v>
      </c>
      <c r="C234" s="38" t="str">
        <f aca="false">A234&amp;"|"&amp;B234</f>
        <v>59|A</v>
      </c>
      <c r="D234" s="38" t="n">
        <f aca="false">INDEX('Frequency 1-72'!$B$2:$E$73,A234,MATCH(B234,{"A","C","G","U"},0))</f>
        <v>91</v>
      </c>
      <c r="E234" s="38" t="n">
        <f aca="false">'Frequency 1-72'!G60</f>
        <v>199</v>
      </c>
      <c r="F234" s="43" t="n">
        <v>1</v>
      </c>
      <c r="G234" s="45" t="n">
        <f aca="false">IF(E234=0,"",D234/E234)</f>
        <v>0.457286432160804</v>
      </c>
      <c r="H234" s="45" t="n">
        <f aca="false">I234/J234</f>
        <v>0.45320197044335</v>
      </c>
      <c r="I234" s="38" t="n">
        <f aca="false">D234+F234</f>
        <v>92</v>
      </c>
      <c r="J234" s="38" t="n">
        <f aca="false">E234+4*F234</f>
        <v>203</v>
      </c>
      <c r="K234" s="38" t="s">
        <v>603</v>
      </c>
      <c r="L234" s="38" t="n">
        <f aca="false">ROUND(SUMIF($A$2:$A$289,A234,$H$2:$H$289),9)</f>
        <v>1</v>
      </c>
    </row>
    <row r="235" customFormat="false" ht="15" hidden="false" customHeight="true" outlineLevel="0" collapsed="false">
      <c r="A235" s="38" t="n">
        <v>59</v>
      </c>
      <c r="B235" s="38" t="s">
        <v>170</v>
      </c>
      <c r="C235" s="38" t="str">
        <f aca="false">A235&amp;"|"&amp;B235</f>
        <v>59|C</v>
      </c>
      <c r="D235" s="38" t="n">
        <f aca="false">INDEX('Frequency 1-72'!$B$2:$E$73,A235,MATCH(B235,{"A","C","G","U"},0))</f>
        <v>12</v>
      </c>
      <c r="E235" s="38" t="n">
        <f aca="false">'Frequency 1-72'!G60</f>
        <v>199</v>
      </c>
      <c r="F235" s="43" t="n">
        <v>1</v>
      </c>
      <c r="G235" s="45" t="n">
        <f aca="false">IF(E235=0,"",D235/E235)</f>
        <v>0.0603015075376884</v>
      </c>
      <c r="H235" s="45" t="n">
        <f aca="false">I235/J235</f>
        <v>0.0640394088669951</v>
      </c>
      <c r="I235" s="38" t="n">
        <f aca="false">D235+F235</f>
        <v>13</v>
      </c>
      <c r="J235" s="38" t="n">
        <f aca="false">E235+4*F235</f>
        <v>203</v>
      </c>
      <c r="K235" s="38" t="s">
        <v>603</v>
      </c>
      <c r="L235" s="38" t="n">
        <f aca="false">ROUND(SUMIF($A$2:$A$289,A235,$H$2:$H$289),9)</f>
        <v>1</v>
      </c>
    </row>
    <row r="236" customFormat="false" ht="15" hidden="false" customHeight="true" outlineLevel="0" collapsed="false">
      <c r="A236" s="38" t="n">
        <v>59</v>
      </c>
      <c r="B236" s="38" t="s">
        <v>169</v>
      </c>
      <c r="C236" s="38" t="str">
        <f aca="false">A236&amp;"|"&amp;B236</f>
        <v>59|G</v>
      </c>
      <c r="D236" s="38" t="n">
        <f aca="false">INDEX('Frequency 1-72'!$B$2:$E$73,A236,MATCH(B236,{"A","C","G","U"},0))</f>
        <v>46</v>
      </c>
      <c r="E236" s="38" t="n">
        <f aca="false">'Frequency 1-72'!G60</f>
        <v>199</v>
      </c>
      <c r="F236" s="43" t="n">
        <v>1</v>
      </c>
      <c r="G236" s="45" t="n">
        <f aca="false">IF(E236=0,"",D236/E236)</f>
        <v>0.231155778894472</v>
      </c>
      <c r="H236" s="45" t="n">
        <f aca="false">I236/J236</f>
        <v>0.231527093596059</v>
      </c>
      <c r="I236" s="38" t="n">
        <f aca="false">D236+F236</f>
        <v>47</v>
      </c>
      <c r="J236" s="38" t="n">
        <f aca="false">E236+4*F236</f>
        <v>203</v>
      </c>
      <c r="K236" s="38" t="s">
        <v>603</v>
      </c>
      <c r="L236" s="38" t="n">
        <f aca="false">ROUND(SUMIF($A$2:$A$289,A236,$H$2:$H$289),9)</f>
        <v>1</v>
      </c>
    </row>
    <row r="237" customFormat="false" ht="15" hidden="false" customHeight="true" outlineLevel="0" collapsed="false">
      <c r="A237" s="38" t="n">
        <v>59</v>
      </c>
      <c r="B237" s="38" t="s">
        <v>171</v>
      </c>
      <c r="C237" s="38" t="str">
        <f aca="false">A237&amp;"|"&amp;B237</f>
        <v>59|U</v>
      </c>
      <c r="D237" s="38" t="n">
        <f aca="false">INDEX('Frequency 1-72'!$B$2:$E$73,A237,MATCH(B237,{"A","C","G","U"},0))</f>
        <v>50</v>
      </c>
      <c r="E237" s="38" t="n">
        <f aca="false">'Frequency 1-72'!G60</f>
        <v>199</v>
      </c>
      <c r="F237" s="43" t="n">
        <v>1</v>
      </c>
      <c r="G237" s="45" t="n">
        <f aca="false">IF(E237=0,"",D237/E237)</f>
        <v>0.251256281407035</v>
      </c>
      <c r="H237" s="45" t="n">
        <f aca="false">I237/J237</f>
        <v>0.251231527093596</v>
      </c>
      <c r="I237" s="38" t="n">
        <f aca="false">D237+F237</f>
        <v>51</v>
      </c>
      <c r="J237" s="38" t="n">
        <f aca="false">E237+4*F237</f>
        <v>203</v>
      </c>
      <c r="K237" s="38" t="s">
        <v>603</v>
      </c>
      <c r="L237" s="38" t="n">
        <f aca="false">ROUND(SUMIF($A$2:$A$289,A237,$H$2:$H$289),9)</f>
        <v>1</v>
      </c>
    </row>
    <row r="238" customFormat="false" ht="15" hidden="false" customHeight="true" outlineLevel="0" collapsed="false">
      <c r="A238" s="38" t="n">
        <v>60</v>
      </c>
      <c r="B238" s="38" t="s">
        <v>172</v>
      </c>
      <c r="C238" s="38" t="str">
        <f aca="false">A238&amp;"|"&amp;B238</f>
        <v>60|A</v>
      </c>
      <c r="D238" s="38" t="n">
        <f aca="false">INDEX('Frequency 1-72'!$B$2:$E$73,A238,MATCH(B238,{"A","C","G","U"},0))</f>
        <v>1</v>
      </c>
      <c r="E238" s="38" t="n">
        <f aca="false">'Frequency 1-72'!G61</f>
        <v>199</v>
      </c>
      <c r="F238" s="43" t="n">
        <v>1</v>
      </c>
      <c r="G238" s="45" t="n">
        <f aca="false">IF(E238=0,"",D238/E238)</f>
        <v>0.0050251256281407</v>
      </c>
      <c r="H238" s="45" t="n">
        <f aca="false">I238/J238</f>
        <v>0.00985221674876847</v>
      </c>
      <c r="I238" s="38" t="n">
        <f aca="false">D238+F238</f>
        <v>2</v>
      </c>
      <c r="J238" s="38" t="n">
        <f aca="false">E238+4*F238</f>
        <v>203</v>
      </c>
      <c r="K238" s="38" t="s">
        <v>603</v>
      </c>
      <c r="L238" s="38" t="n">
        <f aca="false">ROUND(SUMIF($A$2:$A$289,A238,$H$2:$H$289),9)</f>
        <v>1</v>
      </c>
    </row>
    <row r="239" customFormat="false" ht="15" hidden="false" customHeight="true" outlineLevel="0" collapsed="false">
      <c r="A239" s="38" t="n">
        <v>60</v>
      </c>
      <c r="B239" s="38" t="s">
        <v>170</v>
      </c>
      <c r="C239" s="38" t="str">
        <f aca="false">A239&amp;"|"&amp;B239</f>
        <v>60|C</v>
      </c>
      <c r="D239" s="38" t="n">
        <f aca="false">INDEX('Frequency 1-72'!$B$2:$E$73,A239,MATCH(B239,{"A","C","G","U"},0))</f>
        <v>40</v>
      </c>
      <c r="E239" s="38" t="n">
        <f aca="false">'Frequency 1-72'!G61</f>
        <v>199</v>
      </c>
      <c r="F239" s="43" t="n">
        <v>1</v>
      </c>
      <c r="G239" s="45" t="n">
        <f aca="false">IF(E239=0,"",D239/E239)</f>
        <v>0.201005025125628</v>
      </c>
      <c r="H239" s="45" t="n">
        <f aca="false">I239/J239</f>
        <v>0.201970443349754</v>
      </c>
      <c r="I239" s="38" t="n">
        <f aca="false">D239+F239</f>
        <v>41</v>
      </c>
      <c r="J239" s="38" t="n">
        <f aca="false">E239+4*F239</f>
        <v>203</v>
      </c>
      <c r="K239" s="38" t="s">
        <v>603</v>
      </c>
      <c r="L239" s="38" t="n">
        <f aca="false">ROUND(SUMIF($A$2:$A$289,A239,$H$2:$H$289),9)</f>
        <v>1</v>
      </c>
    </row>
    <row r="240" customFormat="false" ht="15" hidden="false" customHeight="true" outlineLevel="0" collapsed="false">
      <c r="A240" s="38" t="n">
        <v>60</v>
      </c>
      <c r="B240" s="38" t="s">
        <v>169</v>
      </c>
      <c r="C240" s="38" t="str">
        <f aca="false">A240&amp;"|"&amp;B240</f>
        <v>60|G</v>
      </c>
      <c r="D240" s="38" t="n">
        <f aca="false">INDEX('Frequency 1-72'!$B$2:$E$73,A240,MATCH(B240,{"A","C","G","U"},0))</f>
        <v>2</v>
      </c>
      <c r="E240" s="38" t="n">
        <f aca="false">'Frequency 1-72'!G61</f>
        <v>199</v>
      </c>
      <c r="F240" s="43" t="n">
        <v>1</v>
      </c>
      <c r="G240" s="45" t="n">
        <f aca="false">IF(E240=0,"",D240/E240)</f>
        <v>0.0100502512562814</v>
      </c>
      <c r="H240" s="45" t="n">
        <f aca="false">I240/J240</f>
        <v>0.0147783251231527</v>
      </c>
      <c r="I240" s="38" t="n">
        <f aca="false">D240+F240</f>
        <v>3</v>
      </c>
      <c r="J240" s="38" t="n">
        <f aca="false">E240+4*F240</f>
        <v>203</v>
      </c>
      <c r="K240" s="38" t="s">
        <v>603</v>
      </c>
      <c r="L240" s="38" t="n">
        <f aca="false">ROUND(SUMIF($A$2:$A$289,A240,$H$2:$H$289),9)</f>
        <v>1</v>
      </c>
    </row>
    <row r="241" customFormat="false" ht="15" hidden="false" customHeight="true" outlineLevel="0" collapsed="false">
      <c r="A241" s="38" t="n">
        <v>60</v>
      </c>
      <c r="B241" s="38" t="s">
        <v>171</v>
      </c>
      <c r="C241" s="38" t="str">
        <f aca="false">A241&amp;"|"&amp;B241</f>
        <v>60|U</v>
      </c>
      <c r="D241" s="38" t="n">
        <f aca="false">INDEX('Frequency 1-72'!$B$2:$E$73,A241,MATCH(B241,{"A","C","G","U"},0))</f>
        <v>156</v>
      </c>
      <c r="E241" s="38" t="n">
        <f aca="false">'Frequency 1-72'!G61</f>
        <v>199</v>
      </c>
      <c r="F241" s="43" t="n">
        <v>1</v>
      </c>
      <c r="G241" s="45" t="n">
        <f aca="false">IF(E241=0,"",D241/E241)</f>
        <v>0.78391959798995</v>
      </c>
      <c r="H241" s="45" t="n">
        <f aca="false">I241/J241</f>
        <v>0.773399014778325</v>
      </c>
      <c r="I241" s="38" t="n">
        <f aca="false">D241+F241</f>
        <v>157</v>
      </c>
      <c r="J241" s="38" t="n">
        <f aca="false">E241+4*F241</f>
        <v>203</v>
      </c>
      <c r="K241" s="38" t="s">
        <v>603</v>
      </c>
      <c r="L241" s="38" t="n">
        <f aca="false">ROUND(SUMIF($A$2:$A$289,A241,$H$2:$H$289),9)</f>
        <v>1</v>
      </c>
    </row>
    <row r="242" customFormat="false" ht="15" hidden="false" customHeight="true" outlineLevel="0" collapsed="false">
      <c r="A242" s="38" t="n">
        <v>61</v>
      </c>
      <c r="B242" s="38" t="s">
        <v>172</v>
      </c>
      <c r="C242" s="38" t="str">
        <f aca="false">A242&amp;"|"&amp;B242</f>
        <v>61|A</v>
      </c>
      <c r="D242" s="38" t="n">
        <f aca="false">INDEX('Frequency 1-72'!$B$2:$E$73,A242,MATCH(B242,{"A","C","G","U"},0))</f>
        <v>0</v>
      </c>
      <c r="E242" s="38" t="n">
        <f aca="false">'Frequency 1-72'!G62</f>
        <v>199</v>
      </c>
      <c r="F242" s="43" t="n">
        <v>1</v>
      </c>
      <c r="G242" s="45" t="n">
        <f aca="false">IF(E242=0,"",D242/E242)</f>
        <v>0</v>
      </c>
      <c r="H242" s="45" t="n">
        <f aca="false">I242/J242</f>
        <v>0.00492610837438424</v>
      </c>
      <c r="I242" s="38" t="n">
        <f aca="false">D242+F242</f>
        <v>1</v>
      </c>
      <c r="J242" s="38" t="n">
        <f aca="false">E242+4*F242</f>
        <v>203</v>
      </c>
      <c r="K242" s="38" t="s">
        <v>603</v>
      </c>
      <c r="L242" s="38" t="n">
        <f aca="false">ROUND(SUMIF($A$2:$A$289,A242,$H$2:$H$289),9)</f>
        <v>1</v>
      </c>
    </row>
    <row r="243" customFormat="false" ht="15" hidden="false" customHeight="true" outlineLevel="0" collapsed="false">
      <c r="A243" s="38" t="n">
        <v>61</v>
      </c>
      <c r="B243" s="38" t="s">
        <v>170</v>
      </c>
      <c r="C243" s="38" t="str">
        <f aca="false">A243&amp;"|"&amp;B243</f>
        <v>61|C</v>
      </c>
      <c r="D243" s="38" t="n">
        <f aca="false">INDEX('Frequency 1-72'!$B$2:$E$73,A243,MATCH(B243,{"A","C","G","U"},0))</f>
        <v>197</v>
      </c>
      <c r="E243" s="38" t="n">
        <f aca="false">'Frequency 1-72'!G62</f>
        <v>199</v>
      </c>
      <c r="F243" s="43" t="n">
        <v>1</v>
      </c>
      <c r="G243" s="45" t="n">
        <f aca="false">IF(E243=0,"",D243/E243)</f>
        <v>0.989949748743719</v>
      </c>
      <c r="H243" s="45" t="n">
        <f aca="false">I243/J243</f>
        <v>0.975369458128079</v>
      </c>
      <c r="I243" s="38" t="n">
        <f aca="false">D243+F243</f>
        <v>198</v>
      </c>
      <c r="J243" s="38" t="n">
        <f aca="false">E243+4*F243</f>
        <v>203</v>
      </c>
      <c r="K243" s="38" t="s">
        <v>603</v>
      </c>
      <c r="L243" s="38" t="n">
        <f aca="false">ROUND(SUMIF($A$2:$A$289,A243,$H$2:$H$289),9)</f>
        <v>1</v>
      </c>
    </row>
    <row r="244" customFormat="false" ht="15" hidden="false" customHeight="true" outlineLevel="0" collapsed="false">
      <c r="A244" s="38" t="n">
        <v>61</v>
      </c>
      <c r="B244" s="38" t="s">
        <v>169</v>
      </c>
      <c r="C244" s="38" t="str">
        <f aca="false">A244&amp;"|"&amp;B244</f>
        <v>61|G</v>
      </c>
      <c r="D244" s="38" t="n">
        <f aca="false">INDEX('Frequency 1-72'!$B$2:$E$73,A244,MATCH(B244,{"A","C","G","U"},0))</f>
        <v>1</v>
      </c>
      <c r="E244" s="38" t="n">
        <f aca="false">'Frequency 1-72'!G62</f>
        <v>199</v>
      </c>
      <c r="F244" s="43" t="n">
        <v>1</v>
      </c>
      <c r="G244" s="45" t="n">
        <f aca="false">IF(E244=0,"",D244/E244)</f>
        <v>0.0050251256281407</v>
      </c>
      <c r="H244" s="45" t="n">
        <f aca="false">I244/J244</f>
        <v>0.00985221674876847</v>
      </c>
      <c r="I244" s="38" t="n">
        <f aca="false">D244+F244</f>
        <v>2</v>
      </c>
      <c r="J244" s="38" t="n">
        <f aca="false">E244+4*F244</f>
        <v>203</v>
      </c>
      <c r="K244" s="38" t="s">
        <v>603</v>
      </c>
      <c r="L244" s="38" t="n">
        <f aca="false">ROUND(SUMIF($A$2:$A$289,A244,$H$2:$H$289),9)</f>
        <v>1</v>
      </c>
    </row>
    <row r="245" customFormat="false" ht="15" hidden="false" customHeight="true" outlineLevel="0" collapsed="false">
      <c r="A245" s="38" t="n">
        <v>61</v>
      </c>
      <c r="B245" s="38" t="s">
        <v>171</v>
      </c>
      <c r="C245" s="38" t="str">
        <f aca="false">A245&amp;"|"&amp;B245</f>
        <v>61|U</v>
      </c>
      <c r="D245" s="38" t="n">
        <f aca="false">INDEX('Frequency 1-72'!$B$2:$E$73,A245,MATCH(B245,{"A","C","G","U"},0))</f>
        <v>1</v>
      </c>
      <c r="E245" s="38" t="n">
        <f aca="false">'Frequency 1-72'!G62</f>
        <v>199</v>
      </c>
      <c r="F245" s="43" t="n">
        <v>1</v>
      </c>
      <c r="G245" s="45" t="n">
        <f aca="false">IF(E245=0,"",D245/E245)</f>
        <v>0.0050251256281407</v>
      </c>
      <c r="H245" s="45" t="n">
        <f aca="false">I245/J245</f>
        <v>0.00985221674876847</v>
      </c>
      <c r="I245" s="38" t="n">
        <f aca="false">D245+F245</f>
        <v>2</v>
      </c>
      <c r="J245" s="38" t="n">
        <f aca="false">E245+4*F245</f>
        <v>203</v>
      </c>
      <c r="K245" s="38" t="s">
        <v>603</v>
      </c>
      <c r="L245" s="38" t="n">
        <f aca="false">ROUND(SUMIF($A$2:$A$289,A245,$H$2:$H$289),9)</f>
        <v>1</v>
      </c>
    </row>
    <row r="246" customFormat="false" ht="15" hidden="false" customHeight="true" outlineLevel="0" collapsed="false">
      <c r="A246" s="38" t="n">
        <v>62</v>
      </c>
      <c r="B246" s="38" t="s">
        <v>172</v>
      </c>
      <c r="C246" s="38" t="str">
        <f aca="false">A246&amp;"|"&amp;B246</f>
        <v>62|A</v>
      </c>
      <c r="D246" s="38" t="n">
        <f aca="false">INDEX('Frequency 1-72'!$B$2:$E$73,A246,MATCH(B246,{"A","C","G","U"},0))</f>
        <v>3</v>
      </c>
      <c r="E246" s="38" t="n">
        <f aca="false">'Frequency 1-72'!G63</f>
        <v>199</v>
      </c>
      <c r="F246" s="43" t="n">
        <v>1</v>
      </c>
      <c r="G246" s="45" t="n">
        <f aca="false">IF(E246=0,"",D246/E246)</f>
        <v>0.0150753768844221</v>
      </c>
      <c r="H246" s="45" t="n">
        <f aca="false">I246/J246</f>
        <v>0.0197044334975369</v>
      </c>
      <c r="I246" s="38" t="n">
        <f aca="false">D246+F246</f>
        <v>4</v>
      </c>
      <c r="J246" s="38" t="n">
        <f aca="false">E246+4*F246</f>
        <v>203</v>
      </c>
      <c r="K246" s="38" t="s">
        <v>603</v>
      </c>
      <c r="L246" s="38" t="n">
        <f aca="false">ROUND(SUMIF($A$2:$A$289,A246,$H$2:$H$289),9)</f>
        <v>1</v>
      </c>
    </row>
    <row r="247" customFormat="false" ht="15" hidden="false" customHeight="true" outlineLevel="0" collapsed="false">
      <c r="A247" s="38" t="n">
        <v>62</v>
      </c>
      <c r="B247" s="38" t="s">
        <v>170</v>
      </c>
      <c r="C247" s="38" t="str">
        <f aca="false">A247&amp;"|"&amp;B247</f>
        <v>62|C</v>
      </c>
      <c r="D247" s="38" t="n">
        <f aca="false">INDEX('Frequency 1-72'!$B$2:$E$73,A247,MATCH(B247,{"A","C","G","U"},0))</f>
        <v>168</v>
      </c>
      <c r="E247" s="38" t="n">
        <f aca="false">'Frequency 1-72'!G63</f>
        <v>199</v>
      </c>
      <c r="F247" s="43" t="n">
        <v>1</v>
      </c>
      <c r="G247" s="45" t="n">
        <f aca="false">IF(E247=0,"",D247/E247)</f>
        <v>0.844221105527638</v>
      </c>
      <c r="H247" s="45" t="n">
        <f aca="false">I247/J247</f>
        <v>0.832512315270936</v>
      </c>
      <c r="I247" s="38" t="n">
        <f aca="false">D247+F247</f>
        <v>169</v>
      </c>
      <c r="J247" s="38" t="n">
        <f aca="false">E247+4*F247</f>
        <v>203</v>
      </c>
      <c r="K247" s="38" t="s">
        <v>603</v>
      </c>
      <c r="L247" s="38" t="n">
        <f aca="false">ROUND(SUMIF($A$2:$A$289,A247,$H$2:$H$289),9)</f>
        <v>1</v>
      </c>
    </row>
    <row r="248" customFormat="false" ht="15" hidden="false" customHeight="true" outlineLevel="0" collapsed="false">
      <c r="A248" s="38" t="n">
        <v>62</v>
      </c>
      <c r="B248" s="38" t="s">
        <v>169</v>
      </c>
      <c r="C248" s="38" t="str">
        <f aca="false">A248&amp;"|"&amp;B248</f>
        <v>62|G</v>
      </c>
      <c r="D248" s="38" t="n">
        <f aca="false">INDEX('Frequency 1-72'!$B$2:$E$73,A248,MATCH(B248,{"A","C","G","U"},0))</f>
        <v>2</v>
      </c>
      <c r="E248" s="38" t="n">
        <f aca="false">'Frequency 1-72'!G63</f>
        <v>199</v>
      </c>
      <c r="F248" s="43" t="n">
        <v>1</v>
      </c>
      <c r="G248" s="45" t="n">
        <f aca="false">IF(E248=0,"",D248/E248)</f>
        <v>0.0100502512562814</v>
      </c>
      <c r="H248" s="45" t="n">
        <f aca="false">I248/J248</f>
        <v>0.0147783251231527</v>
      </c>
      <c r="I248" s="38" t="n">
        <f aca="false">D248+F248</f>
        <v>3</v>
      </c>
      <c r="J248" s="38" t="n">
        <f aca="false">E248+4*F248</f>
        <v>203</v>
      </c>
      <c r="K248" s="38" t="s">
        <v>603</v>
      </c>
      <c r="L248" s="38" t="n">
        <f aca="false">ROUND(SUMIF($A$2:$A$289,A248,$H$2:$H$289),9)</f>
        <v>1</v>
      </c>
    </row>
    <row r="249" customFormat="false" ht="15" hidden="false" customHeight="true" outlineLevel="0" collapsed="false">
      <c r="A249" s="38" t="n">
        <v>62</v>
      </c>
      <c r="B249" s="38" t="s">
        <v>171</v>
      </c>
      <c r="C249" s="38" t="str">
        <f aca="false">A249&amp;"|"&amp;B249</f>
        <v>62|U</v>
      </c>
      <c r="D249" s="38" t="n">
        <f aca="false">INDEX('Frequency 1-72'!$B$2:$E$73,A249,MATCH(B249,{"A","C","G","U"},0))</f>
        <v>26</v>
      </c>
      <c r="E249" s="38" t="n">
        <f aca="false">'Frequency 1-72'!G63</f>
        <v>199</v>
      </c>
      <c r="F249" s="43" t="n">
        <v>1</v>
      </c>
      <c r="G249" s="45" t="n">
        <f aca="false">IF(E249=0,"",D249/E249)</f>
        <v>0.130653266331658</v>
      </c>
      <c r="H249" s="45" t="n">
        <f aca="false">I249/J249</f>
        <v>0.133004926108374</v>
      </c>
      <c r="I249" s="38" t="n">
        <f aca="false">D249+F249</f>
        <v>27</v>
      </c>
      <c r="J249" s="38" t="n">
        <f aca="false">E249+4*F249</f>
        <v>203</v>
      </c>
      <c r="K249" s="38" t="s">
        <v>603</v>
      </c>
      <c r="L249" s="38" t="n">
        <f aca="false">ROUND(SUMIF($A$2:$A$289,A249,$H$2:$H$289),9)</f>
        <v>1</v>
      </c>
    </row>
    <row r="250" customFormat="false" ht="15" hidden="false" customHeight="true" outlineLevel="0" collapsed="false">
      <c r="A250" s="38" t="n">
        <v>63</v>
      </c>
      <c r="B250" s="38" t="s">
        <v>172</v>
      </c>
      <c r="C250" s="38" t="str">
        <f aca="false">A250&amp;"|"&amp;B250</f>
        <v>63|A</v>
      </c>
      <c r="D250" s="38" t="n">
        <f aca="false">INDEX('Frequency 1-72'!$B$2:$E$73,A250,MATCH(B250,{"A","C","G","U"},0))</f>
        <v>22</v>
      </c>
      <c r="E250" s="38" t="n">
        <f aca="false">'Frequency 1-72'!G64</f>
        <v>199</v>
      </c>
      <c r="F250" s="43" t="n">
        <v>1</v>
      </c>
      <c r="G250" s="45" t="n">
        <f aca="false">IF(E250=0,"",D250/E250)</f>
        <v>0.110552763819095</v>
      </c>
      <c r="H250" s="45" t="n">
        <f aca="false">I250/J250</f>
        <v>0.113300492610837</v>
      </c>
      <c r="I250" s="38" t="n">
        <f aca="false">D250+F250</f>
        <v>23</v>
      </c>
      <c r="J250" s="38" t="n">
        <f aca="false">E250+4*F250</f>
        <v>203</v>
      </c>
      <c r="K250" s="38" t="s">
        <v>603</v>
      </c>
      <c r="L250" s="38" t="n">
        <f aca="false">ROUND(SUMIF($A$2:$A$289,A250,$H$2:$H$289),9)</f>
        <v>1</v>
      </c>
    </row>
    <row r="251" customFormat="false" ht="15" hidden="false" customHeight="true" outlineLevel="0" collapsed="false">
      <c r="A251" s="38" t="n">
        <v>63</v>
      </c>
      <c r="B251" s="38" t="s">
        <v>170</v>
      </c>
      <c r="C251" s="38" t="str">
        <f aca="false">A251&amp;"|"&amp;B251</f>
        <v>63|C</v>
      </c>
      <c r="D251" s="38" t="n">
        <f aca="false">INDEX('Frequency 1-72'!$B$2:$E$73,A251,MATCH(B251,{"A","C","G","U"},0))</f>
        <v>97</v>
      </c>
      <c r="E251" s="38" t="n">
        <f aca="false">'Frequency 1-72'!G64</f>
        <v>199</v>
      </c>
      <c r="F251" s="43" t="n">
        <v>1</v>
      </c>
      <c r="G251" s="45" t="n">
        <f aca="false">IF(E251=0,"",D251/E251)</f>
        <v>0.487437185929648</v>
      </c>
      <c r="H251" s="45" t="n">
        <f aca="false">I251/J251</f>
        <v>0.482758620689655</v>
      </c>
      <c r="I251" s="38" t="n">
        <f aca="false">D251+F251</f>
        <v>98</v>
      </c>
      <c r="J251" s="38" t="n">
        <f aca="false">E251+4*F251</f>
        <v>203</v>
      </c>
      <c r="K251" s="38" t="s">
        <v>603</v>
      </c>
      <c r="L251" s="38" t="n">
        <f aca="false">ROUND(SUMIF($A$2:$A$289,A251,$H$2:$H$289),9)</f>
        <v>1</v>
      </c>
    </row>
    <row r="252" customFormat="false" ht="15" hidden="false" customHeight="true" outlineLevel="0" collapsed="false">
      <c r="A252" s="38" t="n">
        <v>63</v>
      </c>
      <c r="B252" s="38" t="s">
        <v>169</v>
      </c>
      <c r="C252" s="38" t="str">
        <f aca="false">A252&amp;"|"&amp;B252</f>
        <v>63|G</v>
      </c>
      <c r="D252" s="38" t="n">
        <f aca="false">INDEX('Frequency 1-72'!$B$2:$E$73,A252,MATCH(B252,{"A","C","G","U"},0))</f>
        <v>48</v>
      </c>
      <c r="E252" s="38" t="n">
        <f aca="false">'Frequency 1-72'!G64</f>
        <v>199</v>
      </c>
      <c r="F252" s="43" t="n">
        <v>1</v>
      </c>
      <c r="G252" s="45" t="n">
        <f aca="false">IF(E252=0,"",D252/E252)</f>
        <v>0.241206030150754</v>
      </c>
      <c r="H252" s="45" t="n">
        <f aca="false">I252/J252</f>
        <v>0.241379310344828</v>
      </c>
      <c r="I252" s="38" t="n">
        <f aca="false">D252+F252</f>
        <v>49</v>
      </c>
      <c r="J252" s="38" t="n">
        <f aca="false">E252+4*F252</f>
        <v>203</v>
      </c>
      <c r="K252" s="38" t="s">
        <v>603</v>
      </c>
      <c r="L252" s="38" t="n">
        <f aca="false">ROUND(SUMIF($A$2:$A$289,A252,$H$2:$H$289),9)</f>
        <v>1</v>
      </c>
    </row>
    <row r="253" customFormat="false" ht="15" hidden="false" customHeight="true" outlineLevel="0" collapsed="false">
      <c r="A253" s="38" t="n">
        <v>63</v>
      </c>
      <c r="B253" s="38" t="s">
        <v>171</v>
      </c>
      <c r="C253" s="38" t="str">
        <f aca="false">A253&amp;"|"&amp;B253</f>
        <v>63|U</v>
      </c>
      <c r="D253" s="38" t="n">
        <f aca="false">INDEX('Frequency 1-72'!$B$2:$E$73,A253,MATCH(B253,{"A","C","G","U"},0))</f>
        <v>32</v>
      </c>
      <c r="E253" s="38" t="n">
        <f aca="false">'Frequency 1-72'!G64</f>
        <v>199</v>
      </c>
      <c r="F253" s="43" t="n">
        <v>1</v>
      </c>
      <c r="G253" s="45" t="n">
        <f aca="false">IF(E253=0,"",D253/E253)</f>
        <v>0.160804020100503</v>
      </c>
      <c r="H253" s="45" t="n">
        <f aca="false">I253/J253</f>
        <v>0.16256157635468</v>
      </c>
      <c r="I253" s="38" t="n">
        <f aca="false">D253+F253</f>
        <v>33</v>
      </c>
      <c r="J253" s="38" t="n">
        <f aca="false">E253+4*F253</f>
        <v>203</v>
      </c>
      <c r="K253" s="38" t="s">
        <v>603</v>
      </c>
      <c r="L253" s="38" t="n">
        <f aca="false">ROUND(SUMIF($A$2:$A$289,A253,$H$2:$H$289),9)</f>
        <v>1</v>
      </c>
    </row>
    <row r="254" customFormat="false" ht="15" hidden="false" customHeight="true" outlineLevel="0" collapsed="false">
      <c r="A254" s="38" t="n">
        <v>64</v>
      </c>
      <c r="B254" s="38" t="s">
        <v>172</v>
      </c>
      <c r="C254" s="38" t="str">
        <f aca="false">A254&amp;"|"&amp;B254</f>
        <v>64|A</v>
      </c>
      <c r="D254" s="38" t="n">
        <f aca="false">INDEX('Frequency 1-72'!$B$2:$E$73,A254,MATCH(B254,{"A","C","G","U"},0))</f>
        <v>32</v>
      </c>
      <c r="E254" s="38" t="n">
        <f aca="false">'Frequency 1-72'!G65</f>
        <v>199</v>
      </c>
      <c r="F254" s="43" t="n">
        <v>1</v>
      </c>
      <c r="G254" s="45" t="n">
        <f aca="false">IF(E254=0,"",D254/E254)</f>
        <v>0.160804020100503</v>
      </c>
      <c r="H254" s="45" t="n">
        <f aca="false">I254/J254</f>
        <v>0.16256157635468</v>
      </c>
      <c r="I254" s="38" t="n">
        <f aca="false">D254+F254</f>
        <v>33</v>
      </c>
      <c r="J254" s="38" t="n">
        <f aca="false">E254+4*F254</f>
        <v>203</v>
      </c>
      <c r="K254" s="38" t="s">
        <v>603</v>
      </c>
      <c r="L254" s="38" t="n">
        <f aca="false">ROUND(SUMIF($A$2:$A$289,A254,$H$2:$H$289),9)</f>
        <v>1</v>
      </c>
    </row>
    <row r="255" customFormat="false" ht="15" hidden="false" customHeight="true" outlineLevel="0" collapsed="false">
      <c r="A255" s="38" t="n">
        <v>64</v>
      </c>
      <c r="B255" s="38" t="s">
        <v>170</v>
      </c>
      <c r="C255" s="38" t="str">
        <f aca="false">A255&amp;"|"&amp;B255</f>
        <v>64|C</v>
      </c>
      <c r="D255" s="38" t="n">
        <f aca="false">INDEX('Frequency 1-72'!$B$2:$E$73,A255,MATCH(B255,{"A","C","G","U"},0))</f>
        <v>42</v>
      </c>
      <c r="E255" s="38" t="n">
        <f aca="false">'Frequency 1-72'!G65</f>
        <v>199</v>
      </c>
      <c r="F255" s="43" t="n">
        <v>1</v>
      </c>
      <c r="G255" s="45" t="n">
        <f aca="false">IF(E255=0,"",D255/E255)</f>
        <v>0.21105527638191</v>
      </c>
      <c r="H255" s="45" t="n">
        <f aca="false">I255/J255</f>
        <v>0.211822660098522</v>
      </c>
      <c r="I255" s="38" t="n">
        <f aca="false">D255+F255</f>
        <v>43</v>
      </c>
      <c r="J255" s="38" t="n">
        <f aca="false">E255+4*F255</f>
        <v>203</v>
      </c>
      <c r="K255" s="38" t="s">
        <v>603</v>
      </c>
      <c r="L255" s="38" t="n">
        <f aca="false">ROUND(SUMIF($A$2:$A$289,A255,$H$2:$H$289),9)</f>
        <v>1</v>
      </c>
    </row>
    <row r="256" customFormat="false" ht="15" hidden="false" customHeight="true" outlineLevel="0" collapsed="false">
      <c r="A256" s="38" t="n">
        <v>64</v>
      </c>
      <c r="B256" s="38" t="s">
        <v>169</v>
      </c>
      <c r="C256" s="38" t="str">
        <f aca="false">A256&amp;"|"&amp;B256</f>
        <v>64|G</v>
      </c>
      <c r="D256" s="38" t="n">
        <f aca="false">INDEX('Frequency 1-72'!$B$2:$E$73,A256,MATCH(B256,{"A","C","G","U"},0))</f>
        <v>92</v>
      </c>
      <c r="E256" s="38" t="n">
        <f aca="false">'Frequency 1-72'!G65</f>
        <v>199</v>
      </c>
      <c r="F256" s="43" t="n">
        <v>1</v>
      </c>
      <c r="G256" s="45" t="n">
        <f aca="false">IF(E256=0,"",D256/E256)</f>
        <v>0.462311557788945</v>
      </c>
      <c r="H256" s="45" t="n">
        <f aca="false">I256/J256</f>
        <v>0.458128078817734</v>
      </c>
      <c r="I256" s="38" t="n">
        <f aca="false">D256+F256</f>
        <v>93</v>
      </c>
      <c r="J256" s="38" t="n">
        <f aca="false">E256+4*F256</f>
        <v>203</v>
      </c>
      <c r="K256" s="38" t="s">
        <v>603</v>
      </c>
      <c r="L256" s="38" t="n">
        <f aca="false">ROUND(SUMIF($A$2:$A$289,A256,$H$2:$H$289),9)</f>
        <v>1</v>
      </c>
    </row>
    <row r="257" customFormat="false" ht="15" hidden="false" customHeight="true" outlineLevel="0" collapsed="false">
      <c r="A257" s="38" t="n">
        <v>64</v>
      </c>
      <c r="B257" s="38" t="s">
        <v>171</v>
      </c>
      <c r="C257" s="38" t="str">
        <f aca="false">A257&amp;"|"&amp;B257</f>
        <v>64|U</v>
      </c>
      <c r="D257" s="38" t="n">
        <f aca="false">INDEX('Frequency 1-72'!$B$2:$E$73,A257,MATCH(B257,{"A","C","G","U"},0))</f>
        <v>33</v>
      </c>
      <c r="E257" s="38" t="n">
        <f aca="false">'Frequency 1-72'!G65</f>
        <v>199</v>
      </c>
      <c r="F257" s="43" t="n">
        <v>1</v>
      </c>
      <c r="G257" s="45" t="n">
        <f aca="false">IF(E257=0,"",D257/E257)</f>
        <v>0.165829145728643</v>
      </c>
      <c r="H257" s="45" t="n">
        <f aca="false">I257/J257</f>
        <v>0.167487684729064</v>
      </c>
      <c r="I257" s="38" t="n">
        <f aca="false">D257+F257</f>
        <v>34</v>
      </c>
      <c r="J257" s="38" t="n">
        <f aca="false">E257+4*F257</f>
        <v>203</v>
      </c>
      <c r="K257" s="38" t="s">
        <v>603</v>
      </c>
      <c r="L257" s="38" t="n">
        <f aca="false">ROUND(SUMIF($A$2:$A$289,A257,$H$2:$H$289),9)</f>
        <v>1</v>
      </c>
    </row>
    <row r="258" customFormat="false" ht="15" hidden="false" customHeight="true" outlineLevel="0" collapsed="false">
      <c r="A258" s="38" t="n">
        <v>65</v>
      </c>
      <c r="B258" s="38" t="s">
        <v>172</v>
      </c>
      <c r="C258" s="38" t="str">
        <f aca="false">A258&amp;"|"&amp;B258</f>
        <v>65|A</v>
      </c>
      <c r="D258" s="38" t="n">
        <f aca="false">INDEX('Frequency 1-72'!$B$2:$E$73,A258,MATCH(B258,{"A","C","G","U"},0))</f>
        <v>9</v>
      </c>
      <c r="E258" s="38" t="n">
        <f aca="false">'Frequency 1-72'!G66</f>
        <v>198</v>
      </c>
      <c r="F258" s="43" t="n">
        <v>1</v>
      </c>
      <c r="G258" s="45" t="n">
        <f aca="false">IF(E258=0,"",D258/E258)</f>
        <v>0.0454545454545455</v>
      </c>
      <c r="H258" s="45" t="n">
        <f aca="false">I258/J258</f>
        <v>0.0495049504950495</v>
      </c>
      <c r="I258" s="38" t="n">
        <f aca="false">D258+F258</f>
        <v>10</v>
      </c>
      <c r="J258" s="38" t="n">
        <f aca="false">E258+4*F258</f>
        <v>202</v>
      </c>
      <c r="K258" s="38" t="s">
        <v>603</v>
      </c>
      <c r="L258" s="38" t="n">
        <f aca="false">ROUND(SUMIF($A$2:$A$289,A258,$H$2:$H$289),9)</f>
        <v>1</v>
      </c>
    </row>
    <row r="259" customFormat="false" ht="15" hidden="false" customHeight="true" outlineLevel="0" collapsed="false">
      <c r="A259" s="38" t="n">
        <v>65</v>
      </c>
      <c r="B259" s="38" t="s">
        <v>170</v>
      </c>
      <c r="C259" s="38" t="str">
        <f aca="false">A259&amp;"|"&amp;B259</f>
        <v>65|C</v>
      </c>
      <c r="D259" s="38" t="n">
        <f aca="false">INDEX('Frequency 1-72'!$B$2:$E$73,A259,MATCH(B259,{"A","C","G","U"},0))</f>
        <v>63</v>
      </c>
      <c r="E259" s="38" t="n">
        <f aca="false">'Frequency 1-72'!G66</f>
        <v>198</v>
      </c>
      <c r="F259" s="43" t="n">
        <v>1</v>
      </c>
      <c r="G259" s="45" t="n">
        <f aca="false">IF(E259=0,"",D259/E259)</f>
        <v>0.318181818181818</v>
      </c>
      <c r="H259" s="45" t="n">
        <f aca="false">I259/J259</f>
        <v>0.316831683168317</v>
      </c>
      <c r="I259" s="38" t="n">
        <f aca="false">D259+F259</f>
        <v>64</v>
      </c>
      <c r="J259" s="38" t="n">
        <f aca="false">E259+4*F259</f>
        <v>202</v>
      </c>
      <c r="K259" s="38" t="s">
        <v>603</v>
      </c>
      <c r="L259" s="38" t="n">
        <f aca="false">ROUND(SUMIF($A$2:$A$289,A259,$H$2:$H$289),9)</f>
        <v>1</v>
      </c>
    </row>
    <row r="260" customFormat="false" ht="15" hidden="false" customHeight="true" outlineLevel="0" collapsed="false">
      <c r="A260" s="38" t="n">
        <v>65</v>
      </c>
      <c r="B260" s="38" t="s">
        <v>169</v>
      </c>
      <c r="C260" s="38" t="str">
        <f aca="false">A260&amp;"|"&amp;B260</f>
        <v>65|G</v>
      </c>
      <c r="D260" s="38" t="n">
        <f aca="false">INDEX('Frequency 1-72'!$B$2:$E$73,A260,MATCH(B260,{"A","C","G","U"},0))</f>
        <v>57</v>
      </c>
      <c r="E260" s="38" t="n">
        <f aca="false">'Frequency 1-72'!G66</f>
        <v>198</v>
      </c>
      <c r="F260" s="43" t="n">
        <v>1</v>
      </c>
      <c r="G260" s="45" t="n">
        <f aca="false">IF(E260=0,"",D260/E260)</f>
        <v>0.287878787878788</v>
      </c>
      <c r="H260" s="45" t="n">
        <f aca="false">I260/J260</f>
        <v>0.287128712871287</v>
      </c>
      <c r="I260" s="38" t="n">
        <f aca="false">D260+F260</f>
        <v>58</v>
      </c>
      <c r="J260" s="38" t="n">
        <f aca="false">E260+4*F260</f>
        <v>202</v>
      </c>
      <c r="K260" s="38" t="s">
        <v>603</v>
      </c>
      <c r="L260" s="38" t="n">
        <f aca="false">ROUND(SUMIF($A$2:$A$289,A260,$H$2:$H$289),9)</f>
        <v>1</v>
      </c>
    </row>
    <row r="261" customFormat="false" ht="15" hidden="false" customHeight="true" outlineLevel="0" collapsed="false">
      <c r="A261" s="38" t="n">
        <v>65</v>
      </c>
      <c r="B261" s="38" t="s">
        <v>171</v>
      </c>
      <c r="C261" s="38" t="str">
        <f aca="false">A261&amp;"|"&amp;B261</f>
        <v>65|U</v>
      </c>
      <c r="D261" s="38" t="n">
        <f aca="false">INDEX('Frequency 1-72'!$B$2:$E$73,A261,MATCH(B261,{"A","C","G","U"},0))</f>
        <v>69</v>
      </c>
      <c r="E261" s="38" t="n">
        <f aca="false">'Frequency 1-72'!G66</f>
        <v>198</v>
      </c>
      <c r="F261" s="43" t="n">
        <v>1</v>
      </c>
      <c r="G261" s="45" t="n">
        <f aca="false">IF(E261=0,"",D261/E261)</f>
        <v>0.348484848484849</v>
      </c>
      <c r="H261" s="45" t="n">
        <f aca="false">I261/J261</f>
        <v>0.346534653465347</v>
      </c>
      <c r="I261" s="38" t="n">
        <f aca="false">D261+F261</f>
        <v>70</v>
      </c>
      <c r="J261" s="38" t="n">
        <f aca="false">E261+4*F261</f>
        <v>202</v>
      </c>
      <c r="K261" s="38" t="s">
        <v>603</v>
      </c>
      <c r="L261" s="38" t="n">
        <f aca="false">ROUND(SUMIF($A$2:$A$289,A261,$H$2:$H$289),9)</f>
        <v>1</v>
      </c>
    </row>
    <row r="262" customFormat="false" ht="15" hidden="false" customHeight="true" outlineLevel="0" collapsed="false">
      <c r="A262" s="38" t="n">
        <v>66</v>
      </c>
      <c r="B262" s="38" t="s">
        <v>172</v>
      </c>
      <c r="C262" s="38" t="str">
        <f aca="false">A262&amp;"|"&amp;B262</f>
        <v>66|A</v>
      </c>
      <c r="D262" s="38" t="n">
        <f aca="false">INDEX('Frequency 1-72'!$B$2:$E$73,A262,MATCH(B262,{"A","C","G","U"},0))</f>
        <v>43</v>
      </c>
      <c r="E262" s="38" t="n">
        <f aca="false">'Frequency 1-72'!G67</f>
        <v>199</v>
      </c>
      <c r="F262" s="43" t="n">
        <v>1</v>
      </c>
      <c r="G262" s="45" t="n">
        <f aca="false">IF(E262=0,"",D262/E262)</f>
        <v>0.21608040201005</v>
      </c>
      <c r="H262" s="45" t="n">
        <f aca="false">I262/J262</f>
        <v>0.216748768472906</v>
      </c>
      <c r="I262" s="38" t="n">
        <f aca="false">D262+F262</f>
        <v>44</v>
      </c>
      <c r="J262" s="38" t="n">
        <f aca="false">E262+4*F262</f>
        <v>203</v>
      </c>
      <c r="K262" s="38" t="s">
        <v>603</v>
      </c>
      <c r="L262" s="38" t="n">
        <f aca="false">ROUND(SUMIF($A$2:$A$289,A262,$H$2:$H$289),9)</f>
        <v>1</v>
      </c>
    </row>
    <row r="263" customFormat="false" ht="15" hidden="false" customHeight="true" outlineLevel="0" collapsed="false">
      <c r="A263" s="38" t="n">
        <v>66</v>
      </c>
      <c r="B263" s="38" t="s">
        <v>170</v>
      </c>
      <c r="C263" s="38" t="str">
        <f aca="false">A263&amp;"|"&amp;B263</f>
        <v>66|C</v>
      </c>
      <c r="D263" s="38" t="n">
        <f aca="false">INDEX('Frequency 1-72'!$B$2:$E$73,A263,MATCH(B263,{"A","C","G","U"},0))</f>
        <v>105</v>
      </c>
      <c r="E263" s="38" t="n">
        <f aca="false">'Frequency 1-72'!G67</f>
        <v>199</v>
      </c>
      <c r="F263" s="43" t="n">
        <v>1</v>
      </c>
      <c r="G263" s="45" t="n">
        <f aca="false">IF(E263=0,"",D263/E263)</f>
        <v>0.527638190954774</v>
      </c>
      <c r="H263" s="45" t="n">
        <f aca="false">I263/J263</f>
        <v>0.522167487684729</v>
      </c>
      <c r="I263" s="38" t="n">
        <f aca="false">D263+F263</f>
        <v>106</v>
      </c>
      <c r="J263" s="38" t="n">
        <f aca="false">E263+4*F263</f>
        <v>203</v>
      </c>
      <c r="K263" s="38" t="s">
        <v>603</v>
      </c>
      <c r="L263" s="38" t="n">
        <f aca="false">ROUND(SUMIF($A$2:$A$289,A263,$H$2:$H$289),9)</f>
        <v>1</v>
      </c>
    </row>
    <row r="264" customFormat="false" ht="15" hidden="false" customHeight="true" outlineLevel="0" collapsed="false">
      <c r="A264" s="38" t="n">
        <v>66</v>
      </c>
      <c r="B264" s="38" t="s">
        <v>169</v>
      </c>
      <c r="C264" s="38" t="str">
        <f aca="false">A264&amp;"|"&amp;B264</f>
        <v>66|G</v>
      </c>
      <c r="D264" s="38" t="n">
        <f aca="false">INDEX('Frequency 1-72'!$B$2:$E$73,A264,MATCH(B264,{"A","C","G","U"},0))</f>
        <v>2</v>
      </c>
      <c r="E264" s="38" t="n">
        <f aca="false">'Frequency 1-72'!G67</f>
        <v>199</v>
      </c>
      <c r="F264" s="43" t="n">
        <v>1</v>
      </c>
      <c r="G264" s="45" t="n">
        <f aca="false">IF(E264=0,"",D264/E264)</f>
        <v>0.0100502512562814</v>
      </c>
      <c r="H264" s="45" t="n">
        <f aca="false">I264/J264</f>
        <v>0.0147783251231527</v>
      </c>
      <c r="I264" s="38" t="n">
        <f aca="false">D264+F264</f>
        <v>3</v>
      </c>
      <c r="J264" s="38" t="n">
        <f aca="false">E264+4*F264</f>
        <v>203</v>
      </c>
      <c r="K264" s="38" t="s">
        <v>603</v>
      </c>
      <c r="L264" s="38" t="n">
        <f aca="false">ROUND(SUMIF($A$2:$A$289,A264,$H$2:$H$289),9)</f>
        <v>1</v>
      </c>
    </row>
    <row r="265" customFormat="false" ht="15" hidden="false" customHeight="true" outlineLevel="0" collapsed="false">
      <c r="A265" s="38" t="n">
        <v>66</v>
      </c>
      <c r="B265" s="38" t="s">
        <v>171</v>
      </c>
      <c r="C265" s="38" t="str">
        <f aca="false">A265&amp;"|"&amp;B265</f>
        <v>66|U</v>
      </c>
      <c r="D265" s="38" t="n">
        <f aca="false">INDEX('Frequency 1-72'!$B$2:$E$73,A265,MATCH(B265,{"A","C","G","U"},0))</f>
        <v>49</v>
      </c>
      <c r="E265" s="38" t="n">
        <f aca="false">'Frequency 1-72'!G67</f>
        <v>199</v>
      </c>
      <c r="F265" s="43" t="n">
        <v>1</v>
      </c>
      <c r="G265" s="45" t="n">
        <f aca="false">IF(E265=0,"",D265/E265)</f>
        <v>0.246231155778894</v>
      </c>
      <c r="H265" s="45" t="n">
        <f aca="false">I265/J265</f>
        <v>0.246305418719212</v>
      </c>
      <c r="I265" s="38" t="n">
        <f aca="false">D265+F265</f>
        <v>50</v>
      </c>
      <c r="J265" s="38" t="n">
        <f aca="false">E265+4*F265</f>
        <v>203</v>
      </c>
      <c r="K265" s="38" t="s">
        <v>603</v>
      </c>
      <c r="L265" s="38" t="n">
        <f aca="false">ROUND(SUMIF($A$2:$A$289,A265,$H$2:$H$289),9)</f>
        <v>1</v>
      </c>
    </row>
    <row r="266" customFormat="false" ht="15" hidden="false" customHeight="true" outlineLevel="0" collapsed="false">
      <c r="A266" s="38" t="n">
        <v>67</v>
      </c>
      <c r="B266" s="38" t="s">
        <v>172</v>
      </c>
      <c r="C266" s="38" t="str">
        <f aca="false">A266&amp;"|"&amp;B266</f>
        <v>67|A</v>
      </c>
      <c r="D266" s="38" t="n">
        <f aca="false">INDEX('Frequency 1-72'!$B$2:$E$73,A266,MATCH(B266,{"A","C","G","U"},0))</f>
        <v>41</v>
      </c>
      <c r="E266" s="38" t="n">
        <f aca="false">'Frequency 1-72'!G68</f>
        <v>199</v>
      </c>
      <c r="F266" s="43" t="n">
        <v>1</v>
      </c>
      <c r="G266" s="45" t="n">
        <f aca="false">IF(E266=0,"",D266/E266)</f>
        <v>0.206030150753769</v>
      </c>
      <c r="H266" s="45" t="n">
        <f aca="false">I266/J266</f>
        <v>0.206896551724138</v>
      </c>
      <c r="I266" s="38" t="n">
        <f aca="false">D266+F266</f>
        <v>42</v>
      </c>
      <c r="J266" s="38" t="n">
        <f aca="false">E266+4*F266</f>
        <v>203</v>
      </c>
      <c r="K266" s="38" t="s">
        <v>603</v>
      </c>
      <c r="L266" s="38" t="n">
        <f aca="false">ROUND(SUMIF($A$2:$A$289,A266,$H$2:$H$289),9)</f>
        <v>1</v>
      </c>
    </row>
    <row r="267" customFormat="false" ht="15" hidden="false" customHeight="true" outlineLevel="0" collapsed="false">
      <c r="A267" s="38" t="n">
        <v>67</v>
      </c>
      <c r="B267" s="38" t="s">
        <v>170</v>
      </c>
      <c r="C267" s="38" t="str">
        <f aca="false">A267&amp;"|"&amp;B267</f>
        <v>67|C</v>
      </c>
      <c r="D267" s="38" t="n">
        <f aca="false">INDEX('Frequency 1-72'!$B$2:$E$73,A267,MATCH(B267,{"A","C","G","U"},0))</f>
        <v>45</v>
      </c>
      <c r="E267" s="38" t="n">
        <f aca="false">'Frequency 1-72'!G68</f>
        <v>199</v>
      </c>
      <c r="F267" s="43" t="n">
        <v>1</v>
      </c>
      <c r="G267" s="45" t="n">
        <f aca="false">IF(E267=0,"",D267/E267)</f>
        <v>0.226130653266332</v>
      </c>
      <c r="H267" s="45" t="n">
        <f aca="false">I267/J267</f>
        <v>0.226600985221675</v>
      </c>
      <c r="I267" s="38" t="n">
        <f aca="false">D267+F267</f>
        <v>46</v>
      </c>
      <c r="J267" s="38" t="n">
        <f aca="false">E267+4*F267</f>
        <v>203</v>
      </c>
      <c r="K267" s="38" t="s">
        <v>603</v>
      </c>
      <c r="L267" s="38" t="n">
        <f aca="false">ROUND(SUMIF($A$2:$A$289,A267,$H$2:$H$289),9)</f>
        <v>1</v>
      </c>
    </row>
    <row r="268" customFormat="false" ht="15" hidden="false" customHeight="true" outlineLevel="0" collapsed="false">
      <c r="A268" s="38" t="n">
        <v>67</v>
      </c>
      <c r="B268" s="38" t="s">
        <v>169</v>
      </c>
      <c r="C268" s="38" t="str">
        <f aca="false">A268&amp;"|"&amp;B268</f>
        <v>67|G</v>
      </c>
      <c r="D268" s="38" t="n">
        <f aca="false">INDEX('Frequency 1-72'!$B$2:$E$73,A268,MATCH(B268,{"A","C","G","U"},0))</f>
        <v>75</v>
      </c>
      <c r="E268" s="38" t="n">
        <f aca="false">'Frequency 1-72'!G68</f>
        <v>199</v>
      </c>
      <c r="F268" s="43" t="n">
        <v>1</v>
      </c>
      <c r="G268" s="45" t="n">
        <f aca="false">IF(E268=0,"",D268/E268)</f>
        <v>0.376884422110553</v>
      </c>
      <c r="H268" s="45" t="n">
        <f aca="false">I268/J268</f>
        <v>0.374384236453202</v>
      </c>
      <c r="I268" s="38" t="n">
        <f aca="false">D268+F268</f>
        <v>76</v>
      </c>
      <c r="J268" s="38" t="n">
        <f aca="false">E268+4*F268</f>
        <v>203</v>
      </c>
      <c r="K268" s="38" t="s">
        <v>603</v>
      </c>
      <c r="L268" s="38" t="n">
        <f aca="false">ROUND(SUMIF($A$2:$A$289,A268,$H$2:$H$289),9)</f>
        <v>1</v>
      </c>
    </row>
    <row r="269" customFormat="false" ht="15" hidden="false" customHeight="true" outlineLevel="0" collapsed="false">
      <c r="A269" s="38" t="n">
        <v>67</v>
      </c>
      <c r="B269" s="38" t="s">
        <v>171</v>
      </c>
      <c r="C269" s="38" t="str">
        <f aca="false">A269&amp;"|"&amp;B269</f>
        <v>67|U</v>
      </c>
      <c r="D269" s="38" t="n">
        <f aca="false">INDEX('Frequency 1-72'!$B$2:$E$73,A269,MATCH(B269,{"A","C","G","U"},0))</f>
        <v>38</v>
      </c>
      <c r="E269" s="38" t="n">
        <f aca="false">'Frequency 1-72'!G68</f>
        <v>199</v>
      </c>
      <c r="F269" s="43" t="n">
        <v>1</v>
      </c>
      <c r="G269" s="45" t="n">
        <f aca="false">IF(E269=0,"",D269/E269)</f>
        <v>0.190954773869347</v>
      </c>
      <c r="H269" s="45" t="n">
        <f aca="false">I269/J269</f>
        <v>0.192118226600985</v>
      </c>
      <c r="I269" s="38" t="n">
        <f aca="false">D269+F269</f>
        <v>39</v>
      </c>
      <c r="J269" s="38" t="n">
        <f aca="false">E269+4*F269</f>
        <v>203</v>
      </c>
      <c r="K269" s="38" t="s">
        <v>603</v>
      </c>
      <c r="L269" s="38" t="n">
        <f aca="false">ROUND(SUMIF($A$2:$A$289,A269,$H$2:$H$289),9)</f>
        <v>1</v>
      </c>
    </row>
    <row r="270" customFormat="false" ht="15" hidden="false" customHeight="true" outlineLevel="0" collapsed="false">
      <c r="A270" s="38" t="n">
        <v>68</v>
      </c>
      <c r="B270" s="38" t="s">
        <v>172</v>
      </c>
      <c r="C270" s="38" t="str">
        <f aca="false">A270&amp;"|"&amp;B270</f>
        <v>68|A</v>
      </c>
      <c r="D270" s="38" t="n">
        <f aca="false">INDEX('Frequency 1-72'!$B$2:$E$73,A270,MATCH(B270,{"A","C","G","U"},0))</f>
        <v>15</v>
      </c>
      <c r="E270" s="38" t="n">
        <f aca="false">'Frequency 1-72'!G69</f>
        <v>199</v>
      </c>
      <c r="F270" s="43" t="n">
        <v>1</v>
      </c>
      <c r="G270" s="45" t="n">
        <f aca="false">IF(E270=0,"",D270/E270)</f>
        <v>0.0753768844221106</v>
      </c>
      <c r="H270" s="45" t="n">
        <f aca="false">I270/J270</f>
        <v>0.0788177339901478</v>
      </c>
      <c r="I270" s="38" t="n">
        <f aca="false">D270+F270</f>
        <v>16</v>
      </c>
      <c r="J270" s="38" t="n">
        <f aca="false">E270+4*F270</f>
        <v>203</v>
      </c>
      <c r="K270" s="38" t="s">
        <v>603</v>
      </c>
      <c r="L270" s="38" t="n">
        <f aca="false">ROUND(SUMIF($A$2:$A$289,A270,$H$2:$H$289),9)</f>
        <v>1</v>
      </c>
    </row>
    <row r="271" customFormat="false" ht="15" hidden="false" customHeight="true" outlineLevel="0" collapsed="false">
      <c r="A271" s="38" t="n">
        <v>68</v>
      </c>
      <c r="B271" s="38" t="s">
        <v>170</v>
      </c>
      <c r="C271" s="38" t="str">
        <f aca="false">A271&amp;"|"&amp;B271</f>
        <v>68|C</v>
      </c>
      <c r="D271" s="38" t="n">
        <f aca="false">INDEX('Frequency 1-72'!$B$2:$E$73,A271,MATCH(B271,{"A","C","G","U"},0))</f>
        <v>62</v>
      </c>
      <c r="E271" s="38" t="n">
        <f aca="false">'Frequency 1-72'!G69</f>
        <v>199</v>
      </c>
      <c r="F271" s="43" t="n">
        <v>1</v>
      </c>
      <c r="G271" s="45" t="n">
        <f aca="false">IF(E271=0,"",D271/E271)</f>
        <v>0.311557788944724</v>
      </c>
      <c r="H271" s="45" t="n">
        <f aca="false">I271/J271</f>
        <v>0.310344827586207</v>
      </c>
      <c r="I271" s="38" t="n">
        <f aca="false">D271+F271</f>
        <v>63</v>
      </c>
      <c r="J271" s="38" t="n">
        <f aca="false">E271+4*F271</f>
        <v>203</v>
      </c>
      <c r="K271" s="38" t="s">
        <v>603</v>
      </c>
      <c r="L271" s="38" t="n">
        <f aca="false">ROUND(SUMIF($A$2:$A$289,A271,$H$2:$H$289),9)</f>
        <v>1</v>
      </c>
    </row>
    <row r="272" customFormat="false" ht="15" hidden="false" customHeight="true" outlineLevel="0" collapsed="false">
      <c r="A272" s="38" t="n">
        <v>68</v>
      </c>
      <c r="B272" s="38" t="s">
        <v>169</v>
      </c>
      <c r="C272" s="38" t="str">
        <f aca="false">A272&amp;"|"&amp;B272</f>
        <v>68|G</v>
      </c>
      <c r="D272" s="38" t="n">
        <f aca="false">INDEX('Frequency 1-72'!$B$2:$E$73,A272,MATCH(B272,{"A","C","G","U"},0))</f>
        <v>87</v>
      </c>
      <c r="E272" s="38" t="n">
        <f aca="false">'Frequency 1-72'!G69</f>
        <v>199</v>
      </c>
      <c r="F272" s="43" t="n">
        <v>1</v>
      </c>
      <c r="G272" s="45" t="n">
        <f aca="false">IF(E272=0,"",D272/E272)</f>
        <v>0.437185929648241</v>
      </c>
      <c r="H272" s="45" t="n">
        <f aca="false">I272/J272</f>
        <v>0.433497536945813</v>
      </c>
      <c r="I272" s="38" t="n">
        <f aca="false">D272+F272</f>
        <v>88</v>
      </c>
      <c r="J272" s="38" t="n">
        <f aca="false">E272+4*F272</f>
        <v>203</v>
      </c>
      <c r="K272" s="38" t="s">
        <v>603</v>
      </c>
      <c r="L272" s="38" t="n">
        <f aca="false">ROUND(SUMIF($A$2:$A$289,A272,$H$2:$H$289),9)</f>
        <v>1</v>
      </c>
    </row>
    <row r="273" customFormat="false" ht="15" hidden="false" customHeight="true" outlineLevel="0" collapsed="false">
      <c r="A273" s="38" t="n">
        <v>68</v>
      </c>
      <c r="B273" s="38" t="s">
        <v>171</v>
      </c>
      <c r="C273" s="38" t="str">
        <f aca="false">A273&amp;"|"&amp;B273</f>
        <v>68|U</v>
      </c>
      <c r="D273" s="38" t="n">
        <f aca="false">INDEX('Frequency 1-72'!$B$2:$E$73,A273,MATCH(B273,{"A","C","G","U"},0))</f>
        <v>35</v>
      </c>
      <c r="E273" s="38" t="n">
        <f aca="false">'Frequency 1-72'!G69</f>
        <v>199</v>
      </c>
      <c r="F273" s="43" t="n">
        <v>1</v>
      </c>
      <c r="G273" s="45" t="n">
        <f aca="false">IF(E273=0,"",D273/E273)</f>
        <v>0.175879396984925</v>
      </c>
      <c r="H273" s="45" t="n">
        <f aca="false">I273/J273</f>
        <v>0.177339901477833</v>
      </c>
      <c r="I273" s="38" t="n">
        <f aca="false">D273+F273</f>
        <v>36</v>
      </c>
      <c r="J273" s="38" t="n">
        <f aca="false">E273+4*F273</f>
        <v>203</v>
      </c>
      <c r="K273" s="38" t="s">
        <v>603</v>
      </c>
      <c r="L273" s="38" t="n">
        <f aca="false">ROUND(SUMIF($A$2:$A$289,A273,$H$2:$H$289),9)</f>
        <v>1</v>
      </c>
    </row>
    <row r="274" customFormat="false" ht="15" hidden="false" customHeight="true" outlineLevel="0" collapsed="false">
      <c r="A274" s="38" t="n">
        <v>69</v>
      </c>
      <c r="B274" s="38" t="s">
        <v>172</v>
      </c>
      <c r="C274" s="38" t="str">
        <f aca="false">A274&amp;"|"&amp;B274</f>
        <v>69|A</v>
      </c>
      <c r="D274" s="38" t="n">
        <f aca="false">INDEX('Frequency 1-72'!$B$2:$E$73,A274,MATCH(B274,{"A","C","G","U"},0))</f>
        <v>25</v>
      </c>
      <c r="E274" s="38" t="n">
        <f aca="false">'Frequency 1-72'!G70</f>
        <v>199</v>
      </c>
      <c r="F274" s="43" t="n">
        <v>1</v>
      </c>
      <c r="G274" s="45" t="n">
        <f aca="false">IF(E274=0,"",D274/E274)</f>
        <v>0.125628140703518</v>
      </c>
      <c r="H274" s="45" t="n">
        <f aca="false">I274/J274</f>
        <v>0.12807881773399</v>
      </c>
      <c r="I274" s="38" t="n">
        <f aca="false">D274+F274</f>
        <v>26</v>
      </c>
      <c r="J274" s="38" t="n">
        <f aca="false">E274+4*F274</f>
        <v>203</v>
      </c>
      <c r="K274" s="38" t="s">
        <v>603</v>
      </c>
      <c r="L274" s="38" t="n">
        <f aca="false">ROUND(SUMIF($A$2:$A$289,A274,$H$2:$H$289),9)</f>
        <v>1</v>
      </c>
    </row>
    <row r="275" customFormat="false" ht="15" hidden="false" customHeight="true" outlineLevel="0" collapsed="false">
      <c r="A275" s="38" t="n">
        <v>69</v>
      </c>
      <c r="B275" s="38" t="s">
        <v>170</v>
      </c>
      <c r="C275" s="38" t="str">
        <f aca="false">A275&amp;"|"&amp;B275</f>
        <v>69|C</v>
      </c>
      <c r="D275" s="38" t="n">
        <f aca="false">INDEX('Frequency 1-72'!$B$2:$E$73,A275,MATCH(B275,{"A","C","G","U"},0))</f>
        <v>88</v>
      </c>
      <c r="E275" s="38" t="n">
        <f aca="false">'Frequency 1-72'!G70</f>
        <v>199</v>
      </c>
      <c r="F275" s="43" t="n">
        <v>1</v>
      </c>
      <c r="G275" s="45" t="n">
        <f aca="false">IF(E275=0,"",D275/E275)</f>
        <v>0.442211055276382</v>
      </c>
      <c r="H275" s="45" t="n">
        <f aca="false">I275/J275</f>
        <v>0.438423645320197</v>
      </c>
      <c r="I275" s="38" t="n">
        <f aca="false">D275+F275</f>
        <v>89</v>
      </c>
      <c r="J275" s="38" t="n">
        <f aca="false">E275+4*F275</f>
        <v>203</v>
      </c>
      <c r="K275" s="38" t="s">
        <v>603</v>
      </c>
      <c r="L275" s="38" t="n">
        <f aca="false">ROUND(SUMIF($A$2:$A$289,A275,$H$2:$H$289),9)</f>
        <v>1</v>
      </c>
    </row>
    <row r="276" customFormat="false" ht="15" hidden="false" customHeight="true" outlineLevel="0" collapsed="false">
      <c r="A276" s="38" t="n">
        <v>69</v>
      </c>
      <c r="B276" s="38" t="s">
        <v>169</v>
      </c>
      <c r="C276" s="38" t="str">
        <f aca="false">A276&amp;"|"&amp;B276</f>
        <v>69|G</v>
      </c>
      <c r="D276" s="38" t="n">
        <f aca="false">INDEX('Frequency 1-72'!$B$2:$E$73,A276,MATCH(B276,{"A","C","G","U"},0))</f>
        <v>70</v>
      </c>
      <c r="E276" s="38" t="n">
        <f aca="false">'Frequency 1-72'!G70</f>
        <v>199</v>
      </c>
      <c r="F276" s="43" t="n">
        <v>1</v>
      </c>
      <c r="G276" s="45" t="n">
        <f aca="false">IF(E276=0,"",D276/E276)</f>
        <v>0.351758793969849</v>
      </c>
      <c r="H276" s="45" t="n">
        <f aca="false">I276/J276</f>
        <v>0.349753694581281</v>
      </c>
      <c r="I276" s="38" t="n">
        <f aca="false">D276+F276</f>
        <v>71</v>
      </c>
      <c r="J276" s="38" t="n">
        <f aca="false">E276+4*F276</f>
        <v>203</v>
      </c>
      <c r="K276" s="38" t="s">
        <v>603</v>
      </c>
      <c r="L276" s="38" t="n">
        <f aca="false">ROUND(SUMIF($A$2:$A$289,A276,$H$2:$H$289),9)</f>
        <v>1</v>
      </c>
    </row>
    <row r="277" customFormat="false" ht="15" hidden="false" customHeight="true" outlineLevel="0" collapsed="false">
      <c r="A277" s="38" t="n">
        <v>69</v>
      </c>
      <c r="B277" s="38" t="s">
        <v>171</v>
      </c>
      <c r="C277" s="38" t="str">
        <f aca="false">A277&amp;"|"&amp;B277</f>
        <v>69|U</v>
      </c>
      <c r="D277" s="38" t="n">
        <f aca="false">INDEX('Frequency 1-72'!$B$2:$E$73,A277,MATCH(B277,{"A","C","G","U"},0))</f>
        <v>16</v>
      </c>
      <c r="E277" s="38" t="n">
        <f aca="false">'Frequency 1-72'!G70</f>
        <v>199</v>
      </c>
      <c r="F277" s="43" t="n">
        <v>1</v>
      </c>
      <c r="G277" s="45" t="n">
        <f aca="false">IF(E277=0,"",D277/E277)</f>
        <v>0.0804020100502513</v>
      </c>
      <c r="H277" s="45" t="n">
        <f aca="false">I277/J277</f>
        <v>0.083743842364532</v>
      </c>
      <c r="I277" s="38" t="n">
        <f aca="false">D277+F277</f>
        <v>17</v>
      </c>
      <c r="J277" s="38" t="n">
        <f aca="false">E277+4*F277</f>
        <v>203</v>
      </c>
      <c r="K277" s="38" t="s">
        <v>603</v>
      </c>
      <c r="L277" s="38" t="n">
        <f aca="false">ROUND(SUMIF($A$2:$A$289,A277,$H$2:$H$289),9)</f>
        <v>1</v>
      </c>
    </row>
    <row r="278" customFormat="false" ht="15" hidden="false" customHeight="true" outlineLevel="0" collapsed="false">
      <c r="A278" s="38" t="n">
        <v>70</v>
      </c>
      <c r="B278" s="38" t="s">
        <v>172</v>
      </c>
      <c r="C278" s="38" t="str">
        <f aca="false">A278&amp;"|"&amp;B278</f>
        <v>70|A</v>
      </c>
      <c r="D278" s="38" t="n">
        <f aca="false">INDEX('Frequency 1-72'!$B$2:$E$73,A278,MATCH(B278,{"A","C","G","U"},0))</f>
        <v>23</v>
      </c>
      <c r="E278" s="38" t="n">
        <f aca="false">'Frequency 1-72'!G71</f>
        <v>199</v>
      </c>
      <c r="F278" s="43" t="n">
        <v>1</v>
      </c>
      <c r="G278" s="45" t="n">
        <f aca="false">IF(E278=0,"",D278/E278)</f>
        <v>0.115577889447236</v>
      </c>
      <c r="H278" s="45" t="n">
        <f aca="false">I278/J278</f>
        <v>0.118226600985222</v>
      </c>
      <c r="I278" s="38" t="n">
        <f aca="false">D278+F278</f>
        <v>24</v>
      </c>
      <c r="J278" s="38" t="n">
        <f aca="false">E278+4*F278</f>
        <v>203</v>
      </c>
      <c r="K278" s="38" t="s">
        <v>603</v>
      </c>
      <c r="L278" s="38" t="n">
        <f aca="false">ROUND(SUMIF($A$2:$A$289,A278,$H$2:$H$289),9)</f>
        <v>1</v>
      </c>
    </row>
    <row r="279" customFormat="false" ht="15" hidden="false" customHeight="true" outlineLevel="0" collapsed="false">
      <c r="A279" s="38" t="n">
        <v>70</v>
      </c>
      <c r="B279" s="38" t="s">
        <v>170</v>
      </c>
      <c r="C279" s="38" t="str">
        <f aca="false">A279&amp;"|"&amp;B279</f>
        <v>70|C</v>
      </c>
      <c r="D279" s="38" t="n">
        <f aca="false">INDEX('Frequency 1-72'!$B$2:$E$73,A279,MATCH(B279,{"A","C","G","U"},0))</f>
        <v>71</v>
      </c>
      <c r="E279" s="38" t="n">
        <f aca="false">'Frequency 1-72'!G71</f>
        <v>199</v>
      </c>
      <c r="F279" s="43" t="n">
        <v>1</v>
      </c>
      <c r="G279" s="45" t="n">
        <f aca="false">IF(E279=0,"",D279/E279)</f>
        <v>0.35678391959799</v>
      </c>
      <c r="H279" s="45" t="n">
        <f aca="false">I279/J279</f>
        <v>0.354679802955665</v>
      </c>
      <c r="I279" s="38" t="n">
        <f aca="false">D279+F279</f>
        <v>72</v>
      </c>
      <c r="J279" s="38" t="n">
        <f aca="false">E279+4*F279</f>
        <v>203</v>
      </c>
      <c r="K279" s="38" t="s">
        <v>603</v>
      </c>
      <c r="L279" s="38" t="n">
        <f aca="false">ROUND(SUMIF($A$2:$A$289,A279,$H$2:$H$289),9)</f>
        <v>1</v>
      </c>
    </row>
    <row r="280" customFormat="false" ht="15" hidden="false" customHeight="true" outlineLevel="0" collapsed="false">
      <c r="A280" s="38" t="n">
        <v>70</v>
      </c>
      <c r="B280" s="38" t="s">
        <v>169</v>
      </c>
      <c r="C280" s="38" t="str">
        <f aca="false">A280&amp;"|"&amp;B280</f>
        <v>70|G</v>
      </c>
      <c r="D280" s="38" t="n">
        <f aca="false">INDEX('Frequency 1-72'!$B$2:$E$73,A280,MATCH(B280,{"A","C","G","U"},0))</f>
        <v>75</v>
      </c>
      <c r="E280" s="38" t="n">
        <f aca="false">'Frequency 1-72'!G71</f>
        <v>199</v>
      </c>
      <c r="F280" s="43" t="n">
        <v>1</v>
      </c>
      <c r="G280" s="45" t="n">
        <f aca="false">IF(E280=0,"",D280/E280)</f>
        <v>0.376884422110553</v>
      </c>
      <c r="H280" s="45" t="n">
        <f aca="false">I280/J280</f>
        <v>0.374384236453202</v>
      </c>
      <c r="I280" s="38" t="n">
        <f aca="false">D280+F280</f>
        <v>76</v>
      </c>
      <c r="J280" s="38" t="n">
        <f aca="false">E280+4*F280</f>
        <v>203</v>
      </c>
      <c r="K280" s="38" t="s">
        <v>603</v>
      </c>
      <c r="L280" s="38" t="n">
        <f aca="false">ROUND(SUMIF($A$2:$A$289,A280,$H$2:$H$289),9)</f>
        <v>1</v>
      </c>
    </row>
    <row r="281" customFormat="false" ht="15" hidden="false" customHeight="true" outlineLevel="0" collapsed="false">
      <c r="A281" s="38" t="n">
        <v>70</v>
      </c>
      <c r="B281" s="38" t="s">
        <v>171</v>
      </c>
      <c r="C281" s="38" t="str">
        <f aca="false">A281&amp;"|"&amp;B281</f>
        <v>70|U</v>
      </c>
      <c r="D281" s="38" t="n">
        <f aca="false">INDEX('Frequency 1-72'!$B$2:$E$73,A281,MATCH(B281,{"A","C","G","U"},0))</f>
        <v>30</v>
      </c>
      <c r="E281" s="38" t="n">
        <f aca="false">'Frequency 1-72'!G71</f>
        <v>199</v>
      </c>
      <c r="F281" s="43" t="n">
        <v>1</v>
      </c>
      <c r="G281" s="45" t="n">
        <f aca="false">IF(E281=0,"",D281/E281)</f>
        <v>0.150753768844221</v>
      </c>
      <c r="H281" s="45" t="n">
        <f aca="false">I281/J281</f>
        <v>0.152709359605911</v>
      </c>
      <c r="I281" s="38" t="n">
        <f aca="false">D281+F281</f>
        <v>31</v>
      </c>
      <c r="J281" s="38" t="n">
        <f aca="false">E281+4*F281</f>
        <v>203</v>
      </c>
      <c r="K281" s="38" t="s">
        <v>603</v>
      </c>
      <c r="L281" s="38" t="n">
        <f aca="false">ROUND(SUMIF($A$2:$A$289,A281,$H$2:$H$289),9)</f>
        <v>1</v>
      </c>
    </row>
    <row r="282" customFormat="false" ht="15" hidden="false" customHeight="true" outlineLevel="0" collapsed="false">
      <c r="A282" s="38" t="n">
        <v>71</v>
      </c>
      <c r="B282" s="38" t="s">
        <v>172</v>
      </c>
      <c r="C282" s="38" t="str">
        <f aca="false">A282&amp;"|"&amp;B282</f>
        <v>71|A</v>
      </c>
      <c r="D282" s="38" t="n">
        <f aca="false">INDEX('Frequency 1-72'!$B$2:$E$73,A282,MATCH(B282,{"A","C","G","U"},0))</f>
        <v>5</v>
      </c>
      <c r="E282" s="38" t="n">
        <f aca="false">'Frequency 1-72'!G72</f>
        <v>199</v>
      </c>
      <c r="F282" s="43" t="n">
        <v>1</v>
      </c>
      <c r="G282" s="45" t="n">
        <f aca="false">IF(E282=0,"",D282/E282)</f>
        <v>0.0251256281407035</v>
      </c>
      <c r="H282" s="45" t="n">
        <f aca="false">I282/J282</f>
        <v>0.0295566502463054</v>
      </c>
      <c r="I282" s="38" t="n">
        <f aca="false">D282+F282</f>
        <v>6</v>
      </c>
      <c r="J282" s="38" t="n">
        <f aca="false">E282+4*F282</f>
        <v>203</v>
      </c>
      <c r="K282" s="38" t="s">
        <v>603</v>
      </c>
      <c r="L282" s="38" t="n">
        <f aca="false">ROUND(SUMIF($A$2:$A$289,A282,$H$2:$H$289),9)</f>
        <v>1</v>
      </c>
    </row>
    <row r="283" customFormat="false" ht="15" hidden="false" customHeight="true" outlineLevel="0" collapsed="false">
      <c r="A283" s="38" t="n">
        <v>71</v>
      </c>
      <c r="B283" s="38" t="s">
        <v>170</v>
      </c>
      <c r="C283" s="38" t="str">
        <f aca="false">A283&amp;"|"&amp;B283</f>
        <v>71|C</v>
      </c>
      <c r="D283" s="38" t="n">
        <f aca="false">INDEX('Frequency 1-72'!$B$2:$E$73,A283,MATCH(B283,{"A","C","G","U"},0))</f>
        <v>103</v>
      </c>
      <c r="E283" s="38" t="n">
        <f aca="false">'Frequency 1-72'!G72</f>
        <v>199</v>
      </c>
      <c r="F283" s="43" t="n">
        <v>1</v>
      </c>
      <c r="G283" s="45" t="n">
        <f aca="false">IF(E283=0,"",D283/E283)</f>
        <v>0.517587939698493</v>
      </c>
      <c r="H283" s="45" t="n">
        <f aca="false">I283/J283</f>
        <v>0.512315270935961</v>
      </c>
      <c r="I283" s="38" t="n">
        <f aca="false">D283+F283</f>
        <v>104</v>
      </c>
      <c r="J283" s="38" t="n">
        <f aca="false">E283+4*F283</f>
        <v>203</v>
      </c>
      <c r="K283" s="38" t="s">
        <v>603</v>
      </c>
      <c r="L283" s="38" t="n">
        <f aca="false">ROUND(SUMIF($A$2:$A$289,A283,$H$2:$H$289),9)</f>
        <v>1</v>
      </c>
    </row>
    <row r="284" customFormat="false" ht="15" hidden="false" customHeight="true" outlineLevel="0" collapsed="false">
      <c r="A284" s="38" t="n">
        <v>71</v>
      </c>
      <c r="B284" s="38" t="s">
        <v>169</v>
      </c>
      <c r="C284" s="38" t="str">
        <f aca="false">A284&amp;"|"&amp;B284</f>
        <v>71|G</v>
      </c>
      <c r="D284" s="38" t="n">
        <f aca="false">INDEX('Frequency 1-72'!$B$2:$E$73,A284,MATCH(B284,{"A","C","G","U"},0))</f>
        <v>82</v>
      </c>
      <c r="E284" s="38" t="n">
        <f aca="false">'Frequency 1-72'!G72</f>
        <v>199</v>
      </c>
      <c r="F284" s="43" t="n">
        <v>1</v>
      </c>
      <c r="G284" s="45" t="n">
        <f aca="false">IF(E284=0,"",D284/E284)</f>
        <v>0.412060301507538</v>
      </c>
      <c r="H284" s="45" t="n">
        <f aca="false">I284/J284</f>
        <v>0.408866995073892</v>
      </c>
      <c r="I284" s="38" t="n">
        <f aca="false">D284+F284</f>
        <v>83</v>
      </c>
      <c r="J284" s="38" t="n">
        <f aca="false">E284+4*F284</f>
        <v>203</v>
      </c>
      <c r="K284" s="38" t="s">
        <v>603</v>
      </c>
      <c r="L284" s="38" t="n">
        <f aca="false">ROUND(SUMIF($A$2:$A$289,A284,$H$2:$H$289),9)</f>
        <v>1</v>
      </c>
    </row>
    <row r="285" customFormat="false" ht="15" hidden="false" customHeight="true" outlineLevel="0" collapsed="false">
      <c r="A285" s="38" t="n">
        <v>71</v>
      </c>
      <c r="B285" s="38" t="s">
        <v>171</v>
      </c>
      <c r="C285" s="38" t="str">
        <f aca="false">A285&amp;"|"&amp;B285</f>
        <v>71|U</v>
      </c>
      <c r="D285" s="38" t="n">
        <f aca="false">INDEX('Frequency 1-72'!$B$2:$E$73,A285,MATCH(B285,{"A","C","G","U"},0))</f>
        <v>9</v>
      </c>
      <c r="E285" s="38" t="n">
        <f aca="false">'Frequency 1-72'!G72</f>
        <v>199</v>
      </c>
      <c r="F285" s="43" t="n">
        <v>1</v>
      </c>
      <c r="G285" s="45" t="n">
        <f aca="false">IF(E285=0,"",D285/E285)</f>
        <v>0.0452261306532663</v>
      </c>
      <c r="H285" s="45" t="n">
        <f aca="false">I285/J285</f>
        <v>0.0492610837438424</v>
      </c>
      <c r="I285" s="38" t="n">
        <f aca="false">D285+F285</f>
        <v>10</v>
      </c>
      <c r="J285" s="38" t="n">
        <f aca="false">E285+4*F285</f>
        <v>203</v>
      </c>
      <c r="K285" s="38" t="s">
        <v>603</v>
      </c>
      <c r="L285" s="38" t="n">
        <f aca="false">ROUND(SUMIF($A$2:$A$289,A285,$H$2:$H$289),9)</f>
        <v>1</v>
      </c>
    </row>
    <row r="286" customFormat="false" ht="15" hidden="false" customHeight="true" outlineLevel="0" collapsed="false">
      <c r="A286" s="38" t="n">
        <v>72</v>
      </c>
      <c r="B286" s="38" t="s">
        <v>172</v>
      </c>
      <c r="C286" s="38" t="str">
        <f aca="false">A286&amp;"|"&amp;B286</f>
        <v>72|A</v>
      </c>
      <c r="D286" s="38" t="n">
        <f aca="false">INDEX('Frequency 1-72'!$B$2:$E$73,A286,MATCH(B286,{"A","C","G","U"},0))</f>
        <v>16</v>
      </c>
      <c r="E286" s="38" t="n">
        <f aca="false">'Frequency 1-72'!G73</f>
        <v>199</v>
      </c>
      <c r="F286" s="43" t="n">
        <v>1</v>
      </c>
      <c r="G286" s="45" t="n">
        <f aca="false">IF(E286=0,"",D286/E286)</f>
        <v>0.0804020100502513</v>
      </c>
      <c r="H286" s="45" t="n">
        <f aca="false">I286/J286</f>
        <v>0.083743842364532</v>
      </c>
      <c r="I286" s="38" t="n">
        <f aca="false">D286+F286</f>
        <v>17</v>
      </c>
      <c r="J286" s="38" t="n">
        <f aca="false">E286+4*F286</f>
        <v>203</v>
      </c>
      <c r="K286" s="38" t="s">
        <v>603</v>
      </c>
      <c r="L286" s="38" t="n">
        <f aca="false">ROUND(SUMIF($A$2:$A$289,A286,$H$2:$H$289),9)</f>
        <v>1</v>
      </c>
    </row>
    <row r="287" customFormat="false" ht="15" hidden="false" customHeight="true" outlineLevel="0" collapsed="false">
      <c r="A287" s="38" t="n">
        <v>72</v>
      </c>
      <c r="B287" s="38" t="s">
        <v>170</v>
      </c>
      <c r="C287" s="38" t="str">
        <f aca="false">A287&amp;"|"&amp;B287</f>
        <v>72|C</v>
      </c>
      <c r="D287" s="38" t="n">
        <f aca="false">INDEX('Frequency 1-72'!$B$2:$E$73,A287,MATCH(B287,{"A","C","G","U"},0))</f>
        <v>145</v>
      </c>
      <c r="E287" s="38" t="n">
        <f aca="false">'Frequency 1-72'!G73</f>
        <v>199</v>
      </c>
      <c r="F287" s="43" t="n">
        <v>1</v>
      </c>
      <c r="G287" s="45" t="n">
        <f aca="false">IF(E287=0,"",D287/E287)</f>
        <v>0.728643216080402</v>
      </c>
      <c r="H287" s="45" t="n">
        <f aca="false">I287/J287</f>
        <v>0.719211822660099</v>
      </c>
      <c r="I287" s="38" t="n">
        <f aca="false">D287+F287</f>
        <v>146</v>
      </c>
      <c r="J287" s="38" t="n">
        <f aca="false">E287+4*F287</f>
        <v>203</v>
      </c>
      <c r="K287" s="38" t="s">
        <v>603</v>
      </c>
      <c r="L287" s="38" t="n">
        <f aca="false">ROUND(SUMIF($A$2:$A$289,A287,$H$2:$H$289),9)</f>
        <v>1</v>
      </c>
    </row>
    <row r="288" customFormat="false" ht="15" hidden="false" customHeight="true" outlineLevel="0" collapsed="false">
      <c r="A288" s="38" t="n">
        <v>72</v>
      </c>
      <c r="B288" s="38" t="s">
        <v>169</v>
      </c>
      <c r="C288" s="38" t="str">
        <f aca="false">A288&amp;"|"&amp;B288</f>
        <v>72|G</v>
      </c>
      <c r="D288" s="38" t="n">
        <f aca="false">INDEX('Frequency 1-72'!$B$2:$E$73,A288,MATCH(B288,{"A","C","G","U"},0))</f>
        <v>17</v>
      </c>
      <c r="E288" s="38" t="n">
        <f aca="false">'Frequency 1-72'!G73</f>
        <v>199</v>
      </c>
      <c r="F288" s="43" t="n">
        <v>1</v>
      </c>
      <c r="G288" s="45" t="n">
        <f aca="false">IF(E288=0,"",D288/E288)</f>
        <v>0.085427135678392</v>
      </c>
      <c r="H288" s="45" t="n">
        <f aca="false">I288/J288</f>
        <v>0.0886699507389163</v>
      </c>
      <c r="I288" s="38" t="n">
        <f aca="false">D288+F288</f>
        <v>18</v>
      </c>
      <c r="J288" s="38" t="n">
        <f aca="false">E288+4*F288</f>
        <v>203</v>
      </c>
      <c r="K288" s="38" t="s">
        <v>603</v>
      </c>
      <c r="L288" s="38" t="n">
        <f aca="false">ROUND(SUMIF($A$2:$A$289,A288,$H$2:$H$289),9)</f>
        <v>1</v>
      </c>
    </row>
    <row r="289" customFormat="false" ht="15" hidden="false" customHeight="true" outlineLevel="0" collapsed="false">
      <c r="A289" s="38" t="n">
        <v>72</v>
      </c>
      <c r="B289" s="38" t="s">
        <v>171</v>
      </c>
      <c r="C289" s="38" t="str">
        <f aca="false">A289&amp;"|"&amp;B289</f>
        <v>72|U</v>
      </c>
      <c r="D289" s="38" t="n">
        <f aca="false">INDEX('Frequency 1-72'!$B$2:$E$73,A289,MATCH(B289,{"A","C","G","U"},0))</f>
        <v>21</v>
      </c>
      <c r="E289" s="38" t="n">
        <f aca="false">'Frequency 1-72'!G73</f>
        <v>199</v>
      </c>
      <c r="F289" s="43" t="n">
        <v>1</v>
      </c>
      <c r="G289" s="45" t="n">
        <f aca="false">IF(E289=0,"",D289/E289)</f>
        <v>0.105527638190955</v>
      </c>
      <c r="H289" s="45" t="n">
        <f aca="false">I289/J289</f>
        <v>0.108374384236453</v>
      </c>
      <c r="I289" s="38" t="n">
        <f aca="false">D289+F289</f>
        <v>22</v>
      </c>
      <c r="J289" s="38" t="n">
        <f aca="false">E289+4*F289</f>
        <v>203</v>
      </c>
      <c r="K289" s="38" t="s">
        <v>603</v>
      </c>
      <c r="L289" s="38" t="n">
        <f aca="false">ROUND(SUMIF($A$2:$A$289,A289,$H$2:$H$289),9)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15"/>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0"/>
  </cols>
  <sheetData>
    <row r="1" customFormat="false" ht="15" hidden="false" customHeight="true" outlineLevel="0" collapsed="false">
      <c r="A1" s="37" t="s">
        <v>604</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row>
    <row r="2" customFormat="false" ht="15" hidden="false" customHeight="true" outlineLevel="0" collapsed="false">
      <c r="A2" s="42" t="s">
        <v>605</v>
      </c>
      <c r="B2" s="42" t="n">
        <v>1</v>
      </c>
      <c r="C2" s="42" t="n">
        <v>2</v>
      </c>
      <c r="D2" s="42" t="n">
        <v>3</v>
      </c>
      <c r="E2" s="42" t="n">
        <v>4</v>
      </c>
      <c r="F2" s="42" t="n">
        <v>5</v>
      </c>
      <c r="G2" s="42" t="n">
        <v>6</v>
      </c>
      <c r="H2" s="42" t="n">
        <v>7</v>
      </c>
      <c r="I2" s="42" t="n">
        <v>8</v>
      </c>
      <c r="J2" s="42" t="n">
        <v>9</v>
      </c>
      <c r="K2" s="42" t="n">
        <v>10</v>
      </c>
      <c r="L2" s="42" t="n">
        <v>11</v>
      </c>
      <c r="M2" s="42" t="n">
        <v>12</v>
      </c>
      <c r="N2" s="42" t="n">
        <v>13</v>
      </c>
      <c r="O2" s="42" t="n">
        <v>14</v>
      </c>
      <c r="P2" s="42" t="n">
        <v>15</v>
      </c>
      <c r="Q2" s="42" t="n">
        <v>16</v>
      </c>
      <c r="R2" s="42" t="n">
        <v>17</v>
      </c>
      <c r="S2" s="42" t="n">
        <v>18</v>
      </c>
      <c r="T2" s="42" t="n">
        <v>19</v>
      </c>
      <c r="U2" s="42" t="n">
        <v>20</v>
      </c>
      <c r="V2" s="42" t="n">
        <v>21</v>
      </c>
      <c r="W2" s="42" t="n">
        <v>22</v>
      </c>
      <c r="X2" s="42" t="n">
        <v>23</v>
      </c>
      <c r="Y2" s="42" t="n">
        <v>24</v>
      </c>
      <c r="Z2" s="42" t="n">
        <v>25</v>
      </c>
      <c r="AA2" s="42" t="n">
        <v>26</v>
      </c>
      <c r="AB2" s="42" t="n">
        <v>27</v>
      </c>
      <c r="AC2" s="42" t="n">
        <v>28</v>
      </c>
      <c r="AD2" s="42" t="n">
        <v>29</v>
      </c>
      <c r="AE2" s="42" t="n">
        <v>30</v>
      </c>
      <c r="AF2" s="42" t="n">
        <v>31</v>
      </c>
      <c r="AG2" s="42" t="n">
        <v>32</v>
      </c>
      <c r="AH2" s="42" t="n">
        <v>33</v>
      </c>
      <c r="AI2" s="42" t="n">
        <v>34</v>
      </c>
      <c r="AJ2" s="42" t="n">
        <v>35</v>
      </c>
      <c r="AK2" s="42" t="n">
        <v>36</v>
      </c>
      <c r="AL2" s="42" t="n">
        <v>37</v>
      </c>
      <c r="AM2" s="42" t="n">
        <v>38</v>
      </c>
      <c r="AN2" s="42" t="n">
        <v>39</v>
      </c>
      <c r="AO2" s="42" t="n">
        <v>40</v>
      </c>
      <c r="AP2" s="42" t="n">
        <v>41</v>
      </c>
      <c r="AQ2" s="42" t="n">
        <v>42</v>
      </c>
      <c r="AR2" s="42" t="n">
        <v>43</v>
      </c>
      <c r="AS2" s="42" t="n">
        <v>44</v>
      </c>
      <c r="AT2" s="42" t="n">
        <v>45</v>
      </c>
      <c r="AU2" s="42" t="n">
        <v>46</v>
      </c>
      <c r="AV2" s="42" t="n">
        <v>47</v>
      </c>
      <c r="AW2" s="42" t="n">
        <v>48</v>
      </c>
      <c r="AX2" s="42" t="n">
        <v>49</v>
      </c>
      <c r="AY2" s="42" t="n">
        <v>50</v>
      </c>
      <c r="AZ2" s="42" t="n">
        <v>51</v>
      </c>
      <c r="BA2" s="42" t="n">
        <v>52</v>
      </c>
      <c r="BB2" s="42" t="n">
        <v>53</v>
      </c>
      <c r="BC2" s="42" t="n">
        <v>54</v>
      </c>
      <c r="BD2" s="42" t="n">
        <v>55</v>
      </c>
      <c r="BE2" s="42" t="n">
        <v>56</v>
      </c>
      <c r="BF2" s="42" t="n">
        <v>57</v>
      </c>
      <c r="BG2" s="42" t="n">
        <v>58</v>
      </c>
      <c r="BH2" s="42" t="n">
        <v>59</v>
      </c>
      <c r="BI2" s="42" t="n">
        <v>60</v>
      </c>
      <c r="BJ2" s="42" t="n">
        <v>61</v>
      </c>
      <c r="BK2" s="42" t="n">
        <v>62</v>
      </c>
      <c r="BL2" s="42" t="n">
        <v>63</v>
      </c>
      <c r="BM2" s="42" t="n">
        <v>64</v>
      </c>
      <c r="BN2" s="42" t="n">
        <v>65</v>
      </c>
      <c r="BO2" s="42" t="n">
        <v>66</v>
      </c>
      <c r="BP2" s="42" t="n">
        <v>67</v>
      </c>
      <c r="BQ2" s="42" t="n">
        <v>68</v>
      </c>
      <c r="BR2" s="42" t="n">
        <v>69</v>
      </c>
      <c r="BS2" s="42" t="n">
        <v>70</v>
      </c>
      <c r="BT2" s="42" t="n">
        <v>71</v>
      </c>
      <c r="BU2" s="42" t="n">
        <v>72</v>
      </c>
    </row>
    <row r="3" customFormat="false" ht="15" hidden="false" customHeight="true" outlineLevel="0" collapsed="false">
      <c r="A3" s="41" t="s">
        <v>172</v>
      </c>
      <c r="B3" s="45" t="n">
        <f aca="false">INDEX('Emission Stepwise'!$H$2:$H$289,MATCH(1&amp;"|"&amp;$A3,'Emission Stepwise'!$C$2:$C$289,0))</f>
        <v>0.0689655172413793</v>
      </c>
      <c r="C3" s="45" t="n">
        <f aca="false">INDEX('Emission Stepwise'!$H$2:$H$289,MATCH(2&amp;"|"&amp;$A3,'Emission Stepwise'!$C$2:$C$289,0))</f>
        <v>0.0344827586206897</v>
      </c>
      <c r="D3" s="45" t="n">
        <f aca="false">INDEX('Emission Stepwise'!$H$2:$H$289,MATCH(3&amp;"|"&amp;$A3,'Emission Stepwise'!$C$2:$C$289,0))</f>
        <v>0.0738916256157636</v>
      </c>
      <c r="E3" s="45" t="n">
        <f aca="false">INDEX('Emission Stepwise'!$H$2:$H$289,MATCH(4&amp;"|"&amp;$A3,'Emission Stepwise'!$C$2:$C$289,0))</f>
        <v>0.0788177339901478</v>
      </c>
      <c r="F3" s="45" t="n">
        <f aca="false">INDEX('Emission Stepwise'!$H$2:$H$289,MATCH(5&amp;"|"&amp;$A3,'Emission Stepwise'!$C$2:$C$289,0))</f>
        <v>0.152709359605911</v>
      </c>
      <c r="G3" s="45" t="n">
        <f aca="false">INDEX('Emission Stepwise'!$H$2:$H$289,MATCH(6&amp;"|"&amp;$A3,'Emission Stepwise'!$C$2:$C$289,0))</f>
        <v>0.172413793103448</v>
      </c>
      <c r="H3" s="45" t="n">
        <f aca="false">INDEX('Emission Stepwise'!$H$2:$H$289,MATCH(7&amp;"|"&amp;$A3,'Emission Stepwise'!$C$2:$C$289,0))</f>
        <v>0.236453201970443</v>
      </c>
      <c r="I3" s="45" t="n">
        <f aca="false">INDEX('Emission Stepwise'!$H$2:$H$289,MATCH(8&amp;"|"&amp;$A3,'Emission Stepwise'!$C$2:$C$289,0))</f>
        <v>0.00985221674876847</v>
      </c>
      <c r="J3" s="45" t="n">
        <f aca="false">INDEX('Emission Stepwise'!$H$2:$H$289,MATCH(9&amp;"|"&amp;$A3,'Emission Stepwise'!$C$2:$C$289,0))</f>
        <v>0.648514851485149</v>
      </c>
      <c r="K3" s="45" t="n">
        <f aca="false">INDEX('Emission Stepwise'!$H$2:$H$289,MATCH(10&amp;"|"&amp;$A3,'Emission Stepwise'!$C$2:$C$289,0))</f>
        <v>0.00492610837438424</v>
      </c>
      <c r="L3" s="45" t="n">
        <f aca="false">INDEX('Emission Stepwise'!$H$2:$H$289,MATCH(11&amp;"|"&amp;$A3,'Emission Stepwise'!$C$2:$C$289,0))</f>
        <v>0.0394088669950739</v>
      </c>
      <c r="M3" s="45" t="n">
        <f aca="false">INDEX('Emission Stepwise'!$H$2:$H$289,MATCH(12&amp;"|"&amp;$A3,'Emission Stepwise'!$C$2:$C$289,0))</f>
        <v>0.0689655172413793</v>
      </c>
      <c r="N3" s="45" t="n">
        <f aca="false">INDEX('Emission Stepwise'!$H$2:$H$289,MATCH(13&amp;"|"&amp;$A3,'Emission Stepwise'!$C$2:$C$289,0))</f>
        <v>0.0689655172413793</v>
      </c>
      <c r="O3" s="45" t="n">
        <f aca="false">INDEX('Emission Stepwise'!$H$2:$H$289,MATCH(14&amp;"|"&amp;$A3,'Emission Stepwise'!$C$2:$C$289,0))</f>
        <v>0.975369458128079</v>
      </c>
      <c r="P3" s="45" t="n">
        <f aca="false">INDEX('Emission Stepwise'!$H$2:$H$289,MATCH(15&amp;"|"&amp;$A3,'Emission Stepwise'!$C$2:$C$289,0))</f>
        <v>0.168316831683168</v>
      </c>
      <c r="Q3" s="45" t="n">
        <f aca="false">INDEX('Emission Stepwise'!$H$2:$H$289,MATCH(16&amp;"|"&amp;$A3,'Emission Stepwise'!$C$2:$C$289,0))</f>
        <v>0.0294117647058824</v>
      </c>
      <c r="R3" s="45" t="n">
        <f aca="false">INDEX('Emission Stepwise'!$H$2:$H$289,MATCH(17&amp;"|"&amp;$A3,'Emission Stepwise'!$C$2:$C$289,0))</f>
        <v>0.065</v>
      </c>
      <c r="S3" s="45" t="n">
        <f aca="false">INDEX('Emission Stepwise'!$H$2:$H$289,MATCH(18&amp;"|"&amp;$A3,'Emission Stepwise'!$C$2:$C$289,0))</f>
        <v>0.00985221674876847</v>
      </c>
      <c r="T3" s="45" t="n">
        <f aca="false">INDEX('Emission Stepwise'!$H$2:$H$289,MATCH(19&amp;"|"&amp;$A3,'Emission Stepwise'!$C$2:$C$289,0))</f>
        <v>0.00985221674876847</v>
      </c>
      <c r="U3" s="45" t="n">
        <f aca="false">INDEX('Emission Stepwise'!$H$2:$H$289,MATCH(20&amp;"|"&amp;$A3,'Emission Stepwise'!$C$2:$C$289,0))</f>
        <v>0.0891089108910891</v>
      </c>
      <c r="V3" s="45" t="n">
        <f aca="false">INDEX('Emission Stepwise'!$H$2:$H$289,MATCH(21&amp;"|"&amp;$A3,'Emission Stepwise'!$C$2:$C$289,0))</f>
        <v>0.881773399014778</v>
      </c>
      <c r="W3" s="45" t="n">
        <f aca="false">INDEX('Emission Stepwise'!$H$2:$H$289,MATCH(22&amp;"|"&amp;$A3,'Emission Stepwise'!$C$2:$C$289,0))</f>
        <v>0.206896551724138</v>
      </c>
      <c r="X3" s="45" t="n">
        <f aca="false">INDEX('Emission Stepwise'!$H$2:$H$289,MATCH(23&amp;"|"&amp;$A3,'Emission Stepwise'!$C$2:$C$289,0))</f>
        <v>0.596059113300493</v>
      </c>
      <c r="Y3" s="45" t="n">
        <f aca="false">INDEX('Emission Stepwise'!$H$2:$H$289,MATCH(24&amp;"|"&amp;$A3,'Emission Stepwise'!$C$2:$C$289,0))</f>
        <v>0.187192118226601</v>
      </c>
      <c r="Z3" s="45" t="n">
        <f aca="false">INDEX('Emission Stepwise'!$H$2:$H$289,MATCH(25&amp;"|"&amp;$A3,'Emission Stepwise'!$C$2:$C$289,0))</f>
        <v>0.00985221674876847</v>
      </c>
      <c r="AA3" s="45" t="n">
        <f aca="false">INDEX('Emission Stepwise'!$H$2:$H$289,MATCH(26&amp;"|"&amp;$A3,'Emission Stepwise'!$C$2:$C$289,0))</f>
        <v>0.413793103448276</v>
      </c>
      <c r="AB3" s="45" t="n">
        <f aca="false">INDEX('Emission Stepwise'!$H$2:$H$289,MATCH(27&amp;"|"&amp;$A3,'Emission Stepwise'!$C$2:$C$289,0))</f>
        <v>0.123152709359606</v>
      </c>
      <c r="AC3" s="45" t="n">
        <f aca="false">INDEX('Emission Stepwise'!$H$2:$H$289,MATCH(28&amp;"|"&amp;$A3,'Emission Stepwise'!$C$2:$C$289,0))</f>
        <v>0.123152709359606</v>
      </c>
      <c r="AD3" s="45" t="n">
        <f aca="false">INDEX('Emission Stepwise'!$H$2:$H$289,MATCH(29&amp;"|"&amp;$A3,'Emission Stepwise'!$C$2:$C$289,0))</f>
        <v>0.16256157635468</v>
      </c>
      <c r="AE3" s="45" t="n">
        <f aca="false">INDEX('Emission Stepwise'!$H$2:$H$289,MATCH(30&amp;"|"&amp;$A3,'Emission Stepwise'!$C$2:$C$289,0))</f>
        <v>0.00492610837438424</v>
      </c>
      <c r="AF3" s="45" t="n">
        <f aca="false">INDEX('Emission Stepwise'!$H$2:$H$289,MATCH(31&amp;"|"&amp;$A3,'Emission Stepwise'!$C$2:$C$289,0))</f>
        <v>0.270935960591133</v>
      </c>
      <c r="AG3" s="45" t="n">
        <f aca="false">INDEX('Emission Stepwise'!$H$2:$H$289,MATCH(32&amp;"|"&amp;$A3,'Emission Stepwise'!$C$2:$C$289,0))</f>
        <v>0.0344827586206897</v>
      </c>
      <c r="AH3" s="45" t="n">
        <f aca="false">INDEX('Emission Stepwise'!$H$2:$H$289,MATCH(33&amp;"|"&amp;$A3,'Emission Stepwise'!$C$2:$C$289,0))</f>
        <v>0.00985221674876847</v>
      </c>
      <c r="AI3" s="45" t="n">
        <f aca="false">INDEX('Emission Stepwise'!$H$2:$H$289,MATCH(34&amp;"|"&amp;$A3,'Emission Stepwise'!$C$2:$C$289,0))</f>
        <v>0.0492610837438424</v>
      </c>
      <c r="AJ3" s="45" t="n">
        <f aca="false">INDEX('Emission Stepwise'!$H$2:$H$289,MATCH(35&amp;"|"&amp;$A3,'Emission Stepwise'!$C$2:$C$289,0))</f>
        <v>0.305418719211823</v>
      </c>
      <c r="AK3" s="45" t="n">
        <f aca="false">INDEX('Emission Stepwise'!$H$2:$H$289,MATCH(36&amp;"|"&amp;$A3,'Emission Stepwise'!$C$2:$C$289,0))</f>
        <v>0.216748768472906</v>
      </c>
      <c r="AL3" s="45" t="n">
        <f aca="false">INDEX('Emission Stepwise'!$H$2:$H$289,MATCH(37&amp;"|"&amp;$A3,'Emission Stepwise'!$C$2:$C$289,0))</f>
        <v>0.74384236453202</v>
      </c>
      <c r="AM3" s="45" t="n">
        <f aca="false">INDEX('Emission Stepwise'!$H$2:$H$289,MATCH(38&amp;"|"&amp;$A3,'Emission Stepwise'!$C$2:$C$289,0))</f>
        <v>0.724137931034483</v>
      </c>
      <c r="AN3" s="45" t="n">
        <f aca="false">INDEX('Emission Stepwise'!$H$2:$H$289,MATCH(39&amp;"|"&amp;$A3,'Emission Stepwise'!$C$2:$C$289,0))</f>
        <v>0.0935960591133005</v>
      </c>
      <c r="AO3" s="45" t="n">
        <f aca="false">INDEX('Emission Stepwise'!$H$2:$H$289,MATCH(40&amp;"|"&amp;$A3,'Emission Stepwise'!$C$2:$C$289,0))</f>
        <v>0.00985221674876847</v>
      </c>
      <c r="AP3" s="45" t="n">
        <f aca="false">INDEX('Emission Stepwise'!$H$2:$H$289,MATCH(41&amp;"|"&amp;$A3,'Emission Stepwise'!$C$2:$C$289,0))</f>
        <v>0.270935960591133</v>
      </c>
      <c r="AQ3" s="45" t="n">
        <f aca="false">INDEX('Emission Stepwise'!$H$2:$H$289,MATCH(42&amp;"|"&amp;$A3,'Emission Stepwise'!$C$2:$C$289,0))</f>
        <v>0.241379310344828</v>
      </c>
      <c r="AR3" s="45" t="n">
        <f aca="false">INDEX('Emission Stepwise'!$H$2:$H$289,MATCH(43&amp;"|"&amp;$A3,'Emission Stepwise'!$C$2:$C$289,0))</f>
        <v>0.226600985221675</v>
      </c>
      <c r="AS3" s="45" t="n">
        <f aca="false">INDEX('Emission Stepwise'!$H$2:$H$289,MATCH(44&amp;"|"&amp;$A3,'Emission Stepwise'!$C$2:$C$289,0))</f>
        <v>0.492610837438424</v>
      </c>
      <c r="AT3" s="45" t="n">
        <f aca="false">INDEX('Emission Stepwise'!$H$2:$H$289,MATCH(45&amp;"|"&amp;$A3,'Emission Stepwise'!$C$2:$C$289,0))</f>
        <v>0.0796019900497512</v>
      </c>
      <c r="AU3" s="45" t="n">
        <f aca="false">INDEX('Emission Stepwise'!$H$2:$H$289,MATCH(46&amp;"|"&amp;$A3,'Emission Stepwise'!$C$2:$C$289,0))</f>
        <v>0.0988372093023256</v>
      </c>
      <c r="AV3" s="45" t="n">
        <f aca="false">INDEX('Emission Stepwise'!$H$2:$H$289,MATCH(47&amp;"|"&amp;$A3,'Emission Stepwise'!$C$2:$C$289,0))</f>
        <v>0.133004926108374</v>
      </c>
      <c r="AW3" s="45" t="n">
        <f aca="false">INDEX('Emission Stepwise'!$H$2:$H$289,MATCH(48&amp;"|"&amp;$A3,'Emission Stepwise'!$C$2:$C$289,0))</f>
        <v>0.00985221674876847</v>
      </c>
      <c r="AX3" s="45" t="n">
        <f aca="false">INDEX('Emission Stepwise'!$H$2:$H$289,MATCH(49&amp;"|"&amp;$A3,'Emission Stepwise'!$C$2:$C$289,0))</f>
        <v>0.157635467980296</v>
      </c>
      <c r="AY3" s="45" t="n">
        <f aca="false">INDEX('Emission Stepwise'!$H$2:$H$289,MATCH(50&amp;"|"&amp;$A3,'Emission Stepwise'!$C$2:$C$289,0))</f>
        <v>0.118226600985222</v>
      </c>
      <c r="AZ3" s="45" t="n">
        <f aca="false">INDEX('Emission Stepwise'!$H$2:$H$289,MATCH(51&amp;"|"&amp;$A3,'Emission Stepwise'!$C$2:$C$289,0))</f>
        <v>0.143564356435644</v>
      </c>
      <c r="BA3" s="45" t="n">
        <f aca="false">INDEX('Emission Stepwise'!$H$2:$H$289,MATCH(52&amp;"|"&amp;$A3,'Emission Stepwise'!$C$2:$C$289,0))</f>
        <v>0.133004926108374</v>
      </c>
      <c r="BB3" s="45" t="n">
        <f aca="false">INDEX('Emission Stepwise'!$H$2:$H$289,MATCH(53&amp;"|"&amp;$A3,'Emission Stepwise'!$C$2:$C$289,0))</f>
        <v>0.00985221674876847</v>
      </c>
      <c r="BC3" s="45" t="n">
        <f aca="false">INDEX('Emission Stepwise'!$H$2:$H$289,MATCH(54&amp;"|"&amp;$A3,'Emission Stepwise'!$C$2:$C$289,0))</f>
        <v>0.0147783251231527</v>
      </c>
      <c r="BD3" s="45" t="n">
        <f aca="false">INDEX('Emission Stepwise'!$H$2:$H$289,MATCH(55&amp;"|"&amp;$A3,'Emission Stepwise'!$C$2:$C$289,0))</f>
        <v>0.00985221674876847</v>
      </c>
      <c r="BE3" s="45" t="n">
        <f aca="false">INDEX('Emission Stepwise'!$H$2:$H$289,MATCH(56&amp;"|"&amp;$A3,'Emission Stepwise'!$C$2:$C$289,0))</f>
        <v>0.0147783251231527</v>
      </c>
      <c r="BF3" s="45" t="n">
        <f aca="false">INDEX('Emission Stepwise'!$H$2:$H$289,MATCH(57&amp;"|"&amp;$A3,'Emission Stepwise'!$C$2:$C$289,0))</f>
        <v>0.381188118811881</v>
      </c>
      <c r="BG3" s="45" t="n">
        <f aca="false">INDEX('Emission Stepwise'!$H$2:$H$289,MATCH(58&amp;"|"&amp;$A3,'Emission Stepwise'!$C$2:$C$289,0))</f>
        <v>0.975369458128079</v>
      </c>
      <c r="BH3" s="45" t="n">
        <f aca="false">INDEX('Emission Stepwise'!$H$2:$H$289,MATCH(59&amp;"|"&amp;$A3,'Emission Stepwise'!$C$2:$C$289,0))</f>
        <v>0.45320197044335</v>
      </c>
      <c r="BI3" s="45" t="n">
        <f aca="false">INDEX('Emission Stepwise'!$H$2:$H$289,MATCH(60&amp;"|"&amp;$A3,'Emission Stepwise'!$C$2:$C$289,0))</f>
        <v>0.00985221674876847</v>
      </c>
      <c r="BJ3" s="45" t="n">
        <f aca="false">INDEX('Emission Stepwise'!$H$2:$H$289,MATCH(61&amp;"|"&amp;$A3,'Emission Stepwise'!$C$2:$C$289,0))</f>
        <v>0.00492610837438424</v>
      </c>
      <c r="BK3" s="45" t="n">
        <f aca="false">INDEX('Emission Stepwise'!$H$2:$H$289,MATCH(62&amp;"|"&amp;$A3,'Emission Stepwise'!$C$2:$C$289,0))</f>
        <v>0.0197044334975369</v>
      </c>
      <c r="BL3" s="45" t="n">
        <f aca="false">INDEX('Emission Stepwise'!$H$2:$H$289,MATCH(63&amp;"|"&amp;$A3,'Emission Stepwise'!$C$2:$C$289,0))</f>
        <v>0.113300492610837</v>
      </c>
      <c r="BM3" s="45" t="n">
        <f aca="false">INDEX('Emission Stepwise'!$H$2:$H$289,MATCH(64&amp;"|"&amp;$A3,'Emission Stepwise'!$C$2:$C$289,0))</f>
        <v>0.16256157635468</v>
      </c>
      <c r="BN3" s="45" t="n">
        <f aca="false">INDEX('Emission Stepwise'!$H$2:$H$289,MATCH(65&amp;"|"&amp;$A3,'Emission Stepwise'!$C$2:$C$289,0))</f>
        <v>0.0495049504950495</v>
      </c>
      <c r="BO3" s="45" t="n">
        <f aca="false">INDEX('Emission Stepwise'!$H$2:$H$289,MATCH(66&amp;"|"&amp;$A3,'Emission Stepwise'!$C$2:$C$289,0))</f>
        <v>0.216748768472906</v>
      </c>
      <c r="BP3" s="45" t="n">
        <f aca="false">INDEX('Emission Stepwise'!$H$2:$H$289,MATCH(67&amp;"|"&amp;$A3,'Emission Stepwise'!$C$2:$C$289,0))</f>
        <v>0.206896551724138</v>
      </c>
      <c r="BQ3" s="45" t="n">
        <f aca="false">INDEX('Emission Stepwise'!$H$2:$H$289,MATCH(68&amp;"|"&amp;$A3,'Emission Stepwise'!$C$2:$C$289,0))</f>
        <v>0.0788177339901478</v>
      </c>
      <c r="BR3" s="45" t="n">
        <f aca="false">INDEX('Emission Stepwise'!$H$2:$H$289,MATCH(69&amp;"|"&amp;$A3,'Emission Stepwise'!$C$2:$C$289,0))</f>
        <v>0.12807881773399</v>
      </c>
      <c r="BS3" s="45" t="n">
        <f aca="false">INDEX('Emission Stepwise'!$H$2:$H$289,MATCH(70&amp;"|"&amp;$A3,'Emission Stepwise'!$C$2:$C$289,0))</f>
        <v>0.118226600985222</v>
      </c>
      <c r="BT3" s="45" t="n">
        <f aca="false">INDEX('Emission Stepwise'!$H$2:$H$289,MATCH(71&amp;"|"&amp;$A3,'Emission Stepwise'!$C$2:$C$289,0))</f>
        <v>0.0295566502463054</v>
      </c>
      <c r="BU3" s="45" t="n">
        <f aca="false">INDEX('Emission Stepwise'!$H$2:$H$289,MATCH(72&amp;"|"&amp;$A3,'Emission Stepwise'!$C$2:$C$289,0))</f>
        <v>0.083743842364532</v>
      </c>
    </row>
    <row r="4" customFormat="false" ht="15" hidden="false" customHeight="true" outlineLevel="0" collapsed="false">
      <c r="A4" s="41" t="s">
        <v>170</v>
      </c>
      <c r="B4" s="45" t="n">
        <f aca="false">INDEX('Emission Stepwise'!$H$2:$H$289,MATCH(1&amp;"|"&amp;$A4,'Emission Stepwise'!$C$2:$C$289,0))</f>
        <v>0.108374384236453</v>
      </c>
      <c r="C4" s="45" t="n">
        <f aca="false">INDEX('Emission Stepwise'!$H$2:$H$289,MATCH(2&amp;"|"&amp;$A4,'Emission Stepwise'!$C$2:$C$289,0))</f>
        <v>0.408866995073892</v>
      </c>
      <c r="D4" s="45" t="n">
        <f aca="false">INDEX('Emission Stepwise'!$H$2:$H$289,MATCH(3&amp;"|"&amp;$A4,'Emission Stepwise'!$C$2:$C$289,0))</f>
        <v>0.38423645320197</v>
      </c>
      <c r="E4" s="45" t="n">
        <f aca="false">INDEX('Emission Stepwise'!$H$2:$H$289,MATCH(4&amp;"|"&amp;$A4,'Emission Stepwise'!$C$2:$C$289,0))</f>
        <v>0.305418719211823</v>
      </c>
      <c r="F4" s="45" t="n">
        <f aca="false">INDEX('Emission Stepwise'!$H$2:$H$289,MATCH(5&amp;"|"&amp;$A4,'Emission Stepwise'!$C$2:$C$289,0))</f>
        <v>0.394088669950739</v>
      </c>
      <c r="G4" s="45" t="n">
        <f aca="false">INDEX('Emission Stepwise'!$H$2:$H$289,MATCH(6&amp;"|"&amp;$A4,'Emission Stepwise'!$C$2:$C$289,0))</f>
        <v>0.32512315270936</v>
      </c>
      <c r="H4" s="45" t="n">
        <f aca="false">INDEX('Emission Stepwise'!$H$2:$H$289,MATCH(7&amp;"|"&amp;$A4,'Emission Stepwise'!$C$2:$C$289,0))</f>
        <v>0.0197044334975369</v>
      </c>
      <c r="I4" s="45" t="n">
        <f aca="false">INDEX('Emission Stepwise'!$H$2:$H$289,MATCH(8&amp;"|"&amp;$A4,'Emission Stepwise'!$C$2:$C$289,0))</f>
        <v>0.00492610837438424</v>
      </c>
      <c r="J4" s="45" t="n">
        <f aca="false">INDEX('Emission Stepwise'!$H$2:$H$289,MATCH(9&amp;"|"&amp;$A4,'Emission Stepwise'!$C$2:$C$289,0))</f>
        <v>0.0396039603960396</v>
      </c>
      <c r="K4" s="45" t="n">
        <f aca="false">INDEX('Emission Stepwise'!$H$2:$H$289,MATCH(10&amp;"|"&amp;$A4,'Emission Stepwise'!$C$2:$C$289,0))</f>
        <v>0.0443349753694581</v>
      </c>
      <c r="L4" s="45" t="n">
        <f aca="false">INDEX('Emission Stepwise'!$H$2:$H$289,MATCH(11&amp;"|"&amp;$A4,'Emission Stepwise'!$C$2:$C$289,0))</f>
        <v>0.724137931034483</v>
      </c>
      <c r="M4" s="45" t="n">
        <f aca="false">INDEX('Emission Stepwise'!$H$2:$H$289,MATCH(12&amp;"|"&amp;$A4,'Emission Stepwise'!$C$2:$C$289,0))</f>
        <v>0.147783251231527</v>
      </c>
      <c r="N4" s="45" t="n">
        <f aca="false">INDEX('Emission Stepwise'!$H$2:$H$289,MATCH(13&amp;"|"&amp;$A4,'Emission Stepwise'!$C$2:$C$289,0))</f>
        <v>0.640394088669951</v>
      </c>
      <c r="O4" s="45" t="n">
        <f aca="false">INDEX('Emission Stepwise'!$H$2:$H$289,MATCH(14&amp;"|"&amp;$A4,'Emission Stepwise'!$C$2:$C$289,0))</f>
        <v>0.00985221674876847</v>
      </c>
      <c r="P4" s="45" t="n">
        <f aca="false">INDEX('Emission Stepwise'!$H$2:$H$289,MATCH(15&amp;"|"&amp;$A4,'Emission Stepwise'!$C$2:$C$289,0))</f>
        <v>0.0148514851485149</v>
      </c>
      <c r="Q4" s="45" t="n">
        <f aca="false">INDEX('Emission Stepwise'!$H$2:$H$289,MATCH(16&amp;"|"&amp;$A4,'Emission Stepwise'!$C$2:$C$289,0))</f>
        <v>0.352941176470588</v>
      </c>
      <c r="R4" s="45" t="n">
        <f aca="false">INDEX('Emission Stepwise'!$H$2:$H$289,MATCH(17&amp;"|"&amp;$A4,'Emission Stepwise'!$C$2:$C$289,0))</f>
        <v>0.32</v>
      </c>
      <c r="S4" s="45" t="n">
        <f aca="false">INDEX('Emission Stepwise'!$H$2:$H$289,MATCH(18&amp;"|"&amp;$A4,'Emission Stepwise'!$C$2:$C$289,0))</f>
        <v>0.00492610837438424</v>
      </c>
      <c r="T4" s="45" t="n">
        <f aca="false">INDEX('Emission Stepwise'!$H$2:$H$289,MATCH(19&amp;"|"&amp;$A4,'Emission Stepwise'!$C$2:$C$289,0))</f>
        <v>0.00492610837438424</v>
      </c>
      <c r="U4" s="45" t="n">
        <f aca="false">INDEX('Emission Stepwise'!$H$2:$H$289,MATCH(20&amp;"|"&amp;$A4,'Emission Stepwise'!$C$2:$C$289,0))</f>
        <v>0.227722772277228</v>
      </c>
      <c r="V4" s="45" t="n">
        <f aca="false">INDEX('Emission Stepwise'!$H$2:$H$289,MATCH(21&amp;"|"&amp;$A4,'Emission Stepwise'!$C$2:$C$289,0))</f>
        <v>0.0246305418719212</v>
      </c>
      <c r="W4" s="45" t="n">
        <f aca="false">INDEX('Emission Stepwise'!$H$2:$H$289,MATCH(22&amp;"|"&amp;$A4,'Emission Stepwise'!$C$2:$C$289,0))</f>
        <v>0.00492610837438424</v>
      </c>
      <c r="X4" s="45" t="n">
        <f aca="false">INDEX('Emission Stepwise'!$H$2:$H$289,MATCH(23&amp;"|"&amp;$A4,'Emission Stepwise'!$C$2:$C$289,0))</f>
        <v>0.192118226600985</v>
      </c>
      <c r="Y4" s="45" t="n">
        <f aca="false">INDEX('Emission Stepwise'!$H$2:$H$289,MATCH(24&amp;"|"&amp;$A4,'Emission Stepwise'!$C$2:$C$289,0))</f>
        <v>0.0344827586206897</v>
      </c>
      <c r="Z4" s="45" t="n">
        <f aca="false">INDEX('Emission Stepwise'!$H$2:$H$289,MATCH(25&amp;"|"&amp;$A4,'Emission Stepwise'!$C$2:$C$289,0))</f>
        <v>0.876847290640394</v>
      </c>
      <c r="AA4" s="45" t="n">
        <f aca="false">INDEX('Emission Stepwise'!$H$2:$H$289,MATCH(26&amp;"|"&amp;$A4,'Emission Stepwise'!$C$2:$C$289,0))</f>
        <v>0.0295566502463054</v>
      </c>
      <c r="AB4" s="45" t="n">
        <f aca="false">INDEX('Emission Stepwise'!$H$2:$H$289,MATCH(27&amp;"|"&amp;$A4,'Emission Stepwise'!$C$2:$C$289,0))</f>
        <v>0.463054187192118</v>
      </c>
      <c r="AC4" s="45" t="n">
        <f aca="false">INDEX('Emission Stepwise'!$H$2:$H$289,MATCH(28&amp;"|"&amp;$A4,'Emission Stepwise'!$C$2:$C$289,0))</f>
        <v>0.512315270935961</v>
      </c>
      <c r="AD4" s="45" t="n">
        <f aca="false">INDEX('Emission Stepwise'!$H$2:$H$289,MATCH(29&amp;"|"&amp;$A4,'Emission Stepwise'!$C$2:$C$289,0))</f>
        <v>0.177339901477833</v>
      </c>
      <c r="AE4" s="45" t="n">
        <f aca="false">INDEX('Emission Stepwise'!$H$2:$H$289,MATCH(30&amp;"|"&amp;$A4,'Emission Stepwise'!$C$2:$C$289,0))</f>
        <v>0.211822660098522</v>
      </c>
      <c r="AF4" s="45" t="n">
        <f aca="false">INDEX('Emission Stepwise'!$H$2:$H$289,MATCH(31&amp;"|"&amp;$A4,'Emission Stepwise'!$C$2:$C$289,0))</f>
        <v>0.359605911330049</v>
      </c>
      <c r="AG4" s="45" t="n">
        <f aca="false">INDEX('Emission Stepwise'!$H$2:$H$289,MATCH(32&amp;"|"&amp;$A4,'Emission Stepwise'!$C$2:$C$289,0))</f>
        <v>0.665024630541872</v>
      </c>
      <c r="AH4" s="45" t="n">
        <f aca="false">INDEX('Emission Stepwise'!$H$2:$H$289,MATCH(33&amp;"|"&amp;$A4,'Emission Stepwise'!$C$2:$C$289,0))</f>
        <v>0.00985221674876847</v>
      </c>
      <c r="AI4" s="45" t="n">
        <f aca="false">INDEX('Emission Stepwise'!$H$2:$H$289,MATCH(34&amp;"|"&amp;$A4,'Emission Stepwise'!$C$2:$C$289,0))</f>
        <v>0.330049261083744</v>
      </c>
      <c r="AJ4" s="45" t="n">
        <f aca="false">INDEX('Emission Stepwise'!$H$2:$H$289,MATCH(35&amp;"|"&amp;$A4,'Emission Stepwise'!$C$2:$C$289,0))</f>
        <v>0.231527093596059</v>
      </c>
      <c r="AK4" s="45" t="n">
        <f aca="false">INDEX('Emission Stepwise'!$H$2:$H$289,MATCH(36&amp;"|"&amp;$A4,'Emission Stepwise'!$C$2:$C$289,0))</f>
        <v>0.266009852216749</v>
      </c>
      <c r="AL4" s="45" t="n">
        <f aca="false">INDEX('Emission Stepwise'!$H$2:$H$289,MATCH(37&amp;"|"&amp;$A4,'Emission Stepwise'!$C$2:$C$289,0))</f>
        <v>0.00985221674876847</v>
      </c>
      <c r="AM4" s="45" t="n">
        <f aca="false">INDEX('Emission Stepwise'!$H$2:$H$289,MATCH(38&amp;"|"&amp;$A4,'Emission Stepwise'!$C$2:$C$289,0))</f>
        <v>0.147783251231527</v>
      </c>
      <c r="AN4" s="45" t="n">
        <f aca="false">INDEX('Emission Stepwise'!$H$2:$H$289,MATCH(39&amp;"|"&amp;$A4,'Emission Stepwise'!$C$2:$C$289,0))</f>
        <v>0.251231527093596</v>
      </c>
      <c r="AO4" s="45" t="n">
        <f aca="false">INDEX('Emission Stepwise'!$H$2:$H$289,MATCH(40&amp;"|"&amp;$A4,'Emission Stepwise'!$C$2:$C$289,0))</f>
        <v>0.70935960591133</v>
      </c>
      <c r="AP4" s="45" t="n">
        <f aca="false">INDEX('Emission Stepwise'!$H$2:$H$289,MATCH(41&amp;"|"&amp;$A4,'Emission Stepwise'!$C$2:$C$289,0))</f>
        <v>0.38423645320197</v>
      </c>
      <c r="AQ4" s="45" t="n">
        <f aca="false">INDEX('Emission Stepwise'!$H$2:$H$289,MATCH(42&amp;"|"&amp;$A4,'Emission Stepwise'!$C$2:$C$289,0))</f>
        <v>0.103448275862069</v>
      </c>
      <c r="AR4" s="45" t="n">
        <f aca="false">INDEX('Emission Stepwise'!$H$2:$H$289,MATCH(43&amp;"|"&amp;$A4,'Emission Stepwise'!$C$2:$C$289,0))</f>
        <v>0.118226600985222</v>
      </c>
      <c r="AS4" s="45" t="n">
        <f aca="false">INDEX('Emission Stepwise'!$H$2:$H$289,MATCH(44&amp;"|"&amp;$A4,'Emission Stepwise'!$C$2:$C$289,0))</f>
        <v>0.157635467980296</v>
      </c>
      <c r="AT4" s="45" t="n">
        <f aca="false">INDEX('Emission Stepwise'!$H$2:$H$289,MATCH(45&amp;"|"&amp;$A4,'Emission Stepwise'!$C$2:$C$289,0))</f>
        <v>0.0298507462686567</v>
      </c>
      <c r="AU4" s="45" t="n">
        <f aca="false">INDEX('Emission Stepwise'!$H$2:$H$289,MATCH(46&amp;"|"&amp;$A4,'Emission Stepwise'!$C$2:$C$289,0))</f>
        <v>0.0290697674418605</v>
      </c>
      <c r="AV4" s="45" t="n">
        <f aca="false">INDEX('Emission Stepwise'!$H$2:$H$289,MATCH(47&amp;"|"&amp;$A4,'Emission Stepwise'!$C$2:$C$289,0))</f>
        <v>0.118226600985222</v>
      </c>
      <c r="AW4" s="45" t="n">
        <f aca="false">INDEX('Emission Stepwise'!$H$2:$H$289,MATCH(48&amp;"|"&amp;$A4,'Emission Stepwise'!$C$2:$C$289,0))</f>
        <v>0.827586206896552</v>
      </c>
      <c r="AX4" s="45" t="n">
        <f aca="false">INDEX('Emission Stepwise'!$H$2:$H$289,MATCH(49&amp;"|"&amp;$A4,'Emission Stepwise'!$C$2:$C$289,0))</f>
        <v>0.285714285714286</v>
      </c>
      <c r="AY4" s="45" t="n">
        <f aca="false">INDEX('Emission Stepwise'!$H$2:$H$289,MATCH(50&amp;"|"&amp;$A4,'Emission Stepwise'!$C$2:$C$289,0))</f>
        <v>0.433497536945813</v>
      </c>
      <c r="AZ4" s="45" t="n">
        <f aca="false">INDEX('Emission Stepwise'!$H$2:$H$289,MATCH(51&amp;"|"&amp;$A4,'Emission Stepwise'!$C$2:$C$289,0))</f>
        <v>0.207920792079208</v>
      </c>
      <c r="BA4" s="45" t="n">
        <f aca="false">INDEX('Emission Stepwise'!$H$2:$H$289,MATCH(52&amp;"|"&amp;$A4,'Emission Stepwise'!$C$2:$C$289,0))</f>
        <v>0.0147783251231527</v>
      </c>
      <c r="BB4" s="45" t="n">
        <f aca="false">INDEX('Emission Stepwise'!$H$2:$H$289,MATCH(53&amp;"|"&amp;$A4,'Emission Stepwise'!$C$2:$C$289,0))</f>
        <v>0.00985221674876847</v>
      </c>
      <c r="BC4" s="45" t="n">
        <f aca="false">INDEX('Emission Stepwise'!$H$2:$H$289,MATCH(54&amp;"|"&amp;$A4,'Emission Stepwise'!$C$2:$C$289,0))</f>
        <v>0.00492610837438424</v>
      </c>
      <c r="BD4" s="45" t="n">
        <f aca="false">INDEX('Emission Stepwise'!$H$2:$H$289,MATCH(55&amp;"|"&amp;$A4,'Emission Stepwise'!$C$2:$C$289,0))</f>
        <v>0.00985221674876847</v>
      </c>
      <c r="BE4" s="45" t="n">
        <f aca="false">INDEX('Emission Stepwise'!$H$2:$H$289,MATCH(56&amp;"|"&amp;$A4,'Emission Stepwise'!$C$2:$C$289,0))</f>
        <v>0.96551724137931</v>
      </c>
      <c r="BF4" s="45" t="n">
        <f aca="false">INDEX('Emission Stepwise'!$H$2:$H$289,MATCH(57&amp;"|"&amp;$A4,'Emission Stepwise'!$C$2:$C$289,0))</f>
        <v>0.00495049504950495</v>
      </c>
      <c r="BG4" s="45" t="n">
        <f aca="false">INDEX('Emission Stepwise'!$H$2:$H$289,MATCH(58&amp;"|"&amp;$A4,'Emission Stepwise'!$C$2:$C$289,0))</f>
        <v>0.00985221674876847</v>
      </c>
      <c r="BH4" s="45" t="n">
        <f aca="false">INDEX('Emission Stepwise'!$H$2:$H$289,MATCH(59&amp;"|"&amp;$A4,'Emission Stepwise'!$C$2:$C$289,0))</f>
        <v>0.0640394088669951</v>
      </c>
      <c r="BI4" s="45" t="n">
        <f aca="false">INDEX('Emission Stepwise'!$H$2:$H$289,MATCH(60&amp;"|"&amp;$A4,'Emission Stepwise'!$C$2:$C$289,0))</f>
        <v>0.201970443349754</v>
      </c>
      <c r="BJ4" s="45" t="n">
        <f aca="false">INDEX('Emission Stepwise'!$H$2:$H$289,MATCH(61&amp;"|"&amp;$A4,'Emission Stepwise'!$C$2:$C$289,0))</f>
        <v>0.975369458128079</v>
      </c>
      <c r="BK4" s="45" t="n">
        <f aca="false">INDEX('Emission Stepwise'!$H$2:$H$289,MATCH(62&amp;"|"&amp;$A4,'Emission Stepwise'!$C$2:$C$289,0))</f>
        <v>0.832512315270936</v>
      </c>
      <c r="BL4" s="45" t="n">
        <f aca="false">INDEX('Emission Stepwise'!$H$2:$H$289,MATCH(63&amp;"|"&amp;$A4,'Emission Stepwise'!$C$2:$C$289,0))</f>
        <v>0.482758620689655</v>
      </c>
      <c r="BM4" s="45" t="n">
        <f aca="false">INDEX('Emission Stepwise'!$H$2:$H$289,MATCH(64&amp;"|"&amp;$A4,'Emission Stepwise'!$C$2:$C$289,0))</f>
        <v>0.211822660098522</v>
      </c>
      <c r="BN4" s="45" t="n">
        <f aca="false">INDEX('Emission Stepwise'!$H$2:$H$289,MATCH(65&amp;"|"&amp;$A4,'Emission Stepwise'!$C$2:$C$289,0))</f>
        <v>0.316831683168317</v>
      </c>
      <c r="BO4" s="45" t="n">
        <f aca="false">INDEX('Emission Stepwise'!$H$2:$H$289,MATCH(66&amp;"|"&amp;$A4,'Emission Stepwise'!$C$2:$C$289,0))</f>
        <v>0.522167487684729</v>
      </c>
      <c r="BP4" s="45" t="n">
        <f aca="false">INDEX('Emission Stepwise'!$H$2:$H$289,MATCH(67&amp;"|"&amp;$A4,'Emission Stepwise'!$C$2:$C$289,0))</f>
        <v>0.226600985221675</v>
      </c>
      <c r="BQ4" s="45" t="n">
        <f aca="false">INDEX('Emission Stepwise'!$H$2:$H$289,MATCH(68&amp;"|"&amp;$A4,'Emission Stepwise'!$C$2:$C$289,0))</f>
        <v>0.310344827586207</v>
      </c>
      <c r="BR4" s="45" t="n">
        <f aca="false">INDEX('Emission Stepwise'!$H$2:$H$289,MATCH(69&amp;"|"&amp;$A4,'Emission Stepwise'!$C$2:$C$289,0))</f>
        <v>0.438423645320197</v>
      </c>
      <c r="BS4" s="45" t="n">
        <f aca="false">INDEX('Emission Stepwise'!$H$2:$H$289,MATCH(70&amp;"|"&amp;$A4,'Emission Stepwise'!$C$2:$C$289,0))</f>
        <v>0.354679802955665</v>
      </c>
      <c r="BT4" s="45" t="n">
        <f aca="false">INDEX('Emission Stepwise'!$H$2:$H$289,MATCH(71&amp;"|"&amp;$A4,'Emission Stepwise'!$C$2:$C$289,0))</f>
        <v>0.512315270935961</v>
      </c>
      <c r="BU4" s="45" t="n">
        <f aca="false">INDEX('Emission Stepwise'!$H$2:$H$289,MATCH(72&amp;"|"&amp;$A4,'Emission Stepwise'!$C$2:$C$289,0))</f>
        <v>0.719211822660099</v>
      </c>
    </row>
    <row r="5" customFormat="false" ht="15" hidden="false" customHeight="true" outlineLevel="0" collapsed="false">
      <c r="A5" s="41" t="s">
        <v>169</v>
      </c>
      <c r="B5" s="45" t="n">
        <f aca="false">INDEX('Emission Stepwise'!$H$2:$H$289,MATCH(1&amp;"|"&amp;$A5,'Emission Stepwise'!$C$2:$C$289,0))</f>
        <v>0.753694581280788</v>
      </c>
      <c r="C5" s="45" t="n">
        <f aca="false">INDEX('Emission Stepwise'!$H$2:$H$289,MATCH(2&amp;"|"&amp;$A5,'Emission Stepwise'!$C$2:$C$289,0))</f>
        <v>0.522167487684729</v>
      </c>
      <c r="D5" s="45" t="n">
        <f aca="false">INDEX('Emission Stepwise'!$H$2:$H$289,MATCH(3&amp;"|"&amp;$A5,'Emission Stepwise'!$C$2:$C$289,0))</f>
        <v>0.423645320197044</v>
      </c>
      <c r="E5" s="45" t="n">
        <f aca="false">INDEX('Emission Stepwise'!$H$2:$H$289,MATCH(4&amp;"|"&amp;$A5,'Emission Stepwise'!$C$2:$C$289,0))</f>
        <v>0.443349753694581</v>
      </c>
      <c r="F5" s="45" t="n">
        <f aca="false">INDEX('Emission Stepwise'!$H$2:$H$289,MATCH(5&amp;"|"&amp;$A5,'Emission Stepwise'!$C$2:$C$289,0))</f>
        <v>0.344827586206897</v>
      </c>
      <c r="G5" s="45" t="n">
        <f aca="false">INDEX('Emission Stepwise'!$H$2:$H$289,MATCH(6&amp;"|"&amp;$A5,'Emission Stepwise'!$C$2:$C$289,0))</f>
        <v>0.241379310344828</v>
      </c>
      <c r="H5" s="45" t="n">
        <f aca="false">INDEX('Emission Stepwise'!$H$2:$H$289,MATCH(7&amp;"|"&amp;$A5,'Emission Stepwise'!$C$2:$C$289,0))</f>
        <v>0.522167487684729</v>
      </c>
      <c r="I5" s="45" t="n">
        <f aca="false">INDEX('Emission Stepwise'!$H$2:$H$289,MATCH(8&amp;"|"&amp;$A5,'Emission Stepwise'!$C$2:$C$289,0))</f>
        <v>0.00985221674876847</v>
      </c>
      <c r="J5" s="45" t="n">
        <f aca="false">INDEX('Emission Stepwise'!$H$2:$H$289,MATCH(9&amp;"|"&amp;$A5,'Emission Stepwise'!$C$2:$C$289,0))</f>
        <v>0.306930693069307</v>
      </c>
      <c r="K5" s="45" t="n">
        <f aca="false">INDEX('Emission Stepwise'!$H$2:$H$289,MATCH(10&amp;"|"&amp;$A5,'Emission Stepwise'!$C$2:$C$289,0))</f>
        <v>0.945812807881773</v>
      </c>
      <c r="L5" s="45" t="n">
        <f aca="false">INDEX('Emission Stepwise'!$H$2:$H$289,MATCH(11&amp;"|"&amp;$A5,'Emission Stepwise'!$C$2:$C$289,0))</f>
        <v>0.0344827586206897</v>
      </c>
      <c r="M5" s="45" t="n">
        <f aca="false">INDEX('Emission Stepwise'!$H$2:$H$289,MATCH(12&amp;"|"&amp;$A5,'Emission Stepwise'!$C$2:$C$289,0))</f>
        <v>0.192118226600985</v>
      </c>
      <c r="N5" s="45" t="n">
        <f aca="false">INDEX('Emission Stepwise'!$H$2:$H$289,MATCH(13&amp;"|"&amp;$A5,'Emission Stepwise'!$C$2:$C$289,0))</f>
        <v>0.0985221674876847</v>
      </c>
      <c r="O5" s="45" t="n">
        <f aca="false">INDEX('Emission Stepwise'!$H$2:$H$289,MATCH(14&amp;"|"&amp;$A5,'Emission Stepwise'!$C$2:$C$289,0))</f>
        <v>0.00985221674876847</v>
      </c>
      <c r="P5" s="45" t="n">
        <f aca="false">INDEX('Emission Stepwise'!$H$2:$H$289,MATCH(15&amp;"|"&amp;$A5,'Emission Stepwise'!$C$2:$C$289,0))</f>
        <v>0.801980198019802</v>
      </c>
      <c r="Q5" s="45" t="n">
        <f aca="false">INDEX('Emission Stepwise'!$H$2:$H$289,MATCH(16&amp;"|"&amp;$A5,'Emission Stepwise'!$C$2:$C$289,0))</f>
        <v>0.0294117647058824</v>
      </c>
      <c r="R5" s="45" t="n">
        <f aca="false">INDEX('Emission Stepwise'!$H$2:$H$289,MATCH(17&amp;"|"&amp;$A5,'Emission Stepwise'!$C$2:$C$289,0))</f>
        <v>0.045</v>
      </c>
      <c r="S5" s="45" t="n">
        <f aca="false">INDEX('Emission Stepwise'!$H$2:$H$289,MATCH(18&amp;"|"&amp;$A5,'Emission Stepwise'!$C$2:$C$289,0))</f>
        <v>0.980295566502463</v>
      </c>
      <c r="T5" s="45" t="n">
        <f aca="false">INDEX('Emission Stepwise'!$H$2:$H$289,MATCH(19&amp;"|"&amp;$A5,'Emission Stepwise'!$C$2:$C$289,0))</f>
        <v>0.970443349753695</v>
      </c>
      <c r="U5" s="45" t="n">
        <f aca="false">INDEX('Emission Stepwise'!$H$2:$H$289,MATCH(20&amp;"|"&amp;$A5,'Emission Stepwise'!$C$2:$C$289,0))</f>
        <v>0.0940594059405941</v>
      </c>
      <c r="V5" s="45" t="n">
        <f aca="false">INDEX('Emission Stepwise'!$H$2:$H$289,MATCH(21&amp;"|"&amp;$A5,'Emission Stepwise'!$C$2:$C$289,0))</f>
        <v>0.0394088669950739</v>
      </c>
      <c r="W5" s="45" t="n">
        <f aca="false">INDEX('Emission Stepwise'!$H$2:$H$289,MATCH(22&amp;"|"&amp;$A5,'Emission Stepwise'!$C$2:$C$289,0))</f>
        <v>0.714285714285714</v>
      </c>
      <c r="X5" s="45" t="n">
        <f aca="false">INDEX('Emission Stepwise'!$H$2:$H$289,MATCH(23&amp;"|"&amp;$A5,'Emission Stepwise'!$C$2:$C$289,0))</f>
        <v>0.147783251231527</v>
      </c>
      <c r="Y5" s="45" t="n">
        <f aca="false">INDEX('Emission Stepwise'!$H$2:$H$289,MATCH(24&amp;"|"&amp;$A5,'Emission Stepwise'!$C$2:$C$289,0))</f>
        <v>0.738916256157636</v>
      </c>
      <c r="Z5" s="45" t="n">
        <f aca="false">INDEX('Emission Stepwise'!$H$2:$H$289,MATCH(25&amp;"|"&amp;$A5,'Emission Stepwise'!$C$2:$C$289,0))</f>
        <v>0.0394088669950739</v>
      </c>
      <c r="AA5" s="45" t="n">
        <f aca="false">INDEX('Emission Stepwise'!$H$2:$H$289,MATCH(26&amp;"|"&amp;$A5,'Emission Stepwise'!$C$2:$C$289,0))</f>
        <v>0.497536945812808</v>
      </c>
      <c r="AB5" s="45" t="n">
        <f aca="false">INDEX('Emission Stepwise'!$H$2:$H$289,MATCH(27&amp;"|"&amp;$A5,'Emission Stepwise'!$C$2:$C$289,0))</f>
        <v>0.157635467980296</v>
      </c>
      <c r="AC5" s="45" t="n">
        <f aca="false">INDEX('Emission Stepwise'!$H$2:$H$289,MATCH(28&amp;"|"&amp;$A5,'Emission Stepwise'!$C$2:$C$289,0))</f>
        <v>0.113300492610837</v>
      </c>
      <c r="AD5" s="45" t="n">
        <f aca="false">INDEX('Emission Stepwise'!$H$2:$H$289,MATCH(29&amp;"|"&amp;$A5,'Emission Stepwise'!$C$2:$C$289,0))</f>
        <v>0.38423645320197</v>
      </c>
      <c r="AE5" s="45" t="n">
        <f aca="false">INDEX('Emission Stepwise'!$H$2:$H$289,MATCH(30&amp;"|"&amp;$A5,'Emission Stepwise'!$C$2:$C$289,0))</f>
        <v>0.74384236453202</v>
      </c>
      <c r="AF5" s="45" t="n">
        <f aca="false">INDEX('Emission Stepwise'!$H$2:$H$289,MATCH(31&amp;"|"&amp;$A5,'Emission Stepwise'!$C$2:$C$289,0))</f>
        <v>0.270935960591133</v>
      </c>
      <c r="AG5" s="45" t="n">
        <f aca="false">INDEX('Emission Stepwise'!$H$2:$H$289,MATCH(32&amp;"|"&amp;$A5,'Emission Stepwise'!$C$2:$C$289,0))</f>
        <v>0.00492610837438424</v>
      </c>
      <c r="AH5" s="45" t="n">
        <f aca="false">INDEX('Emission Stepwise'!$H$2:$H$289,MATCH(33&amp;"|"&amp;$A5,'Emission Stepwise'!$C$2:$C$289,0))</f>
        <v>0.00492610837438424</v>
      </c>
      <c r="AI5" s="45" t="n">
        <f aca="false">INDEX('Emission Stepwise'!$H$2:$H$289,MATCH(34&amp;"|"&amp;$A5,'Emission Stepwise'!$C$2:$C$289,0))</f>
        <v>0.330049261083744</v>
      </c>
      <c r="AJ5" s="45" t="n">
        <f aca="false">INDEX('Emission Stepwise'!$H$2:$H$289,MATCH(35&amp;"|"&amp;$A5,'Emission Stepwise'!$C$2:$C$289,0))</f>
        <v>0.25615763546798</v>
      </c>
      <c r="AK5" s="45" t="n">
        <f aca="false">INDEX('Emission Stepwise'!$H$2:$H$289,MATCH(36&amp;"|"&amp;$A5,'Emission Stepwise'!$C$2:$C$289,0))</f>
        <v>0.16256157635468</v>
      </c>
      <c r="AL5" s="45" t="n">
        <f aca="false">INDEX('Emission Stepwise'!$H$2:$H$289,MATCH(37&amp;"|"&amp;$A5,'Emission Stepwise'!$C$2:$C$289,0))</f>
        <v>0.241379310344828</v>
      </c>
      <c r="AM5" s="45" t="n">
        <f aca="false">INDEX('Emission Stepwise'!$H$2:$H$289,MATCH(38&amp;"|"&amp;$A5,'Emission Stepwise'!$C$2:$C$289,0))</f>
        <v>0.00985221674876847</v>
      </c>
      <c r="AN5" s="45" t="n">
        <f aca="false">INDEX('Emission Stepwise'!$H$2:$H$289,MATCH(39&amp;"|"&amp;$A5,'Emission Stepwise'!$C$2:$C$289,0))</f>
        <v>0.359605911330049</v>
      </c>
      <c r="AO5" s="45" t="n">
        <f aca="false">INDEX('Emission Stepwise'!$H$2:$H$289,MATCH(40&amp;"|"&amp;$A5,'Emission Stepwise'!$C$2:$C$289,0))</f>
        <v>0.236453201970443</v>
      </c>
      <c r="AP5" s="45" t="n">
        <f aca="false">INDEX('Emission Stepwise'!$H$2:$H$289,MATCH(41&amp;"|"&amp;$A5,'Emission Stepwise'!$C$2:$C$289,0))</f>
        <v>0.177339901477833</v>
      </c>
      <c r="AQ5" s="45" t="n">
        <f aca="false">INDEX('Emission Stepwise'!$H$2:$H$289,MATCH(42&amp;"|"&amp;$A5,'Emission Stepwise'!$C$2:$C$289,0))</f>
        <v>0.522167487684729</v>
      </c>
      <c r="AR5" s="45" t="n">
        <f aca="false">INDEX('Emission Stepwise'!$H$2:$H$289,MATCH(43&amp;"|"&amp;$A5,'Emission Stepwise'!$C$2:$C$289,0))</f>
        <v>0.492610837438424</v>
      </c>
      <c r="AS5" s="45" t="n">
        <f aca="false">INDEX('Emission Stepwise'!$H$2:$H$289,MATCH(44&amp;"|"&amp;$A5,'Emission Stepwise'!$C$2:$C$289,0))</f>
        <v>0.231527093596059</v>
      </c>
      <c r="AT5" s="45" t="n">
        <f aca="false">INDEX('Emission Stepwise'!$H$2:$H$289,MATCH(45&amp;"|"&amp;$A5,'Emission Stepwise'!$C$2:$C$289,0))</f>
        <v>0.746268656716418</v>
      </c>
      <c r="AU5" s="45" t="n">
        <f aca="false">INDEX('Emission Stepwise'!$H$2:$H$289,MATCH(46&amp;"|"&amp;$A5,'Emission Stepwise'!$C$2:$C$289,0))</f>
        <v>0.796511627906977</v>
      </c>
      <c r="AV5" s="45" t="n">
        <f aca="false">INDEX('Emission Stepwise'!$H$2:$H$289,MATCH(47&amp;"|"&amp;$A5,'Emission Stepwise'!$C$2:$C$289,0))</f>
        <v>0.083743842364532</v>
      </c>
      <c r="AW5" s="45" t="n">
        <f aca="false">INDEX('Emission Stepwise'!$H$2:$H$289,MATCH(48&amp;"|"&amp;$A5,'Emission Stepwise'!$C$2:$C$289,0))</f>
        <v>0.0147783251231527</v>
      </c>
      <c r="AX5" s="45" t="n">
        <f aca="false">INDEX('Emission Stepwise'!$H$2:$H$289,MATCH(49&amp;"|"&amp;$A5,'Emission Stepwise'!$C$2:$C$289,0))</f>
        <v>0.497536945812808</v>
      </c>
      <c r="AY5" s="45" t="n">
        <f aca="false">INDEX('Emission Stepwise'!$H$2:$H$289,MATCH(50&amp;"|"&amp;$A5,'Emission Stepwise'!$C$2:$C$289,0))</f>
        <v>0.270935960591133</v>
      </c>
      <c r="AZ5" s="45" t="n">
        <f aca="false">INDEX('Emission Stepwise'!$H$2:$H$289,MATCH(51&amp;"|"&amp;$A5,'Emission Stepwise'!$C$2:$C$289,0))</f>
        <v>0.495049504950495</v>
      </c>
      <c r="BA5" s="45" t="n">
        <f aca="false">INDEX('Emission Stepwise'!$H$2:$H$289,MATCH(52&amp;"|"&amp;$A5,'Emission Stepwise'!$C$2:$C$289,0))</f>
        <v>0.827586206896552</v>
      </c>
      <c r="BB5" s="45" t="n">
        <f aca="false">INDEX('Emission Stepwise'!$H$2:$H$289,MATCH(53&amp;"|"&amp;$A5,'Emission Stepwise'!$C$2:$C$289,0))</f>
        <v>0.96551724137931</v>
      </c>
      <c r="BC5" s="45" t="n">
        <f aca="false">INDEX('Emission Stepwise'!$H$2:$H$289,MATCH(54&amp;"|"&amp;$A5,'Emission Stepwise'!$C$2:$C$289,0))</f>
        <v>0.00492610837438424</v>
      </c>
      <c r="BD5" s="45" t="n">
        <f aca="false">INDEX('Emission Stepwise'!$H$2:$H$289,MATCH(55&amp;"|"&amp;$A5,'Emission Stepwise'!$C$2:$C$289,0))</f>
        <v>0.00985221674876847</v>
      </c>
      <c r="BE5" s="45" t="n">
        <f aca="false">INDEX('Emission Stepwise'!$H$2:$H$289,MATCH(56&amp;"|"&amp;$A5,'Emission Stepwise'!$C$2:$C$289,0))</f>
        <v>0.00985221674876847</v>
      </c>
      <c r="BF5" s="45" t="n">
        <f aca="false">INDEX('Emission Stepwise'!$H$2:$H$289,MATCH(57&amp;"|"&amp;$A5,'Emission Stepwise'!$C$2:$C$289,0))</f>
        <v>0.603960396039604</v>
      </c>
      <c r="BG5" s="45" t="n">
        <f aca="false">INDEX('Emission Stepwise'!$H$2:$H$289,MATCH(58&amp;"|"&amp;$A5,'Emission Stepwise'!$C$2:$C$289,0))</f>
        <v>0.00492610837438424</v>
      </c>
      <c r="BH5" s="45" t="n">
        <f aca="false">INDEX('Emission Stepwise'!$H$2:$H$289,MATCH(59&amp;"|"&amp;$A5,'Emission Stepwise'!$C$2:$C$289,0))</f>
        <v>0.231527093596059</v>
      </c>
      <c r="BI5" s="45" t="n">
        <f aca="false">INDEX('Emission Stepwise'!$H$2:$H$289,MATCH(60&amp;"|"&amp;$A5,'Emission Stepwise'!$C$2:$C$289,0))</f>
        <v>0.0147783251231527</v>
      </c>
      <c r="BJ5" s="45" t="n">
        <f aca="false">INDEX('Emission Stepwise'!$H$2:$H$289,MATCH(61&amp;"|"&amp;$A5,'Emission Stepwise'!$C$2:$C$289,0))</f>
        <v>0.00985221674876847</v>
      </c>
      <c r="BK5" s="45" t="n">
        <f aca="false">INDEX('Emission Stepwise'!$H$2:$H$289,MATCH(62&amp;"|"&amp;$A5,'Emission Stepwise'!$C$2:$C$289,0))</f>
        <v>0.0147783251231527</v>
      </c>
      <c r="BL5" s="45" t="n">
        <f aca="false">INDEX('Emission Stepwise'!$H$2:$H$289,MATCH(63&amp;"|"&amp;$A5,'Emission Stepwise'!$C$2:$C$289,0))</f>
        <v>0.241379310344828</v>
      </c>
      <c r="BM5" s="45" t="n">
        <f aca="false">INDEX('Emission Stepwise'!$H$2:$H$289,MATCH(64&amp;"|"&amp;$A5,'Emission Stepwise'!$C$2:$C$289,0))</f>
        <v>0.458128078817734</v>
      </c>
      <c r="BN5" s="45" t="n">
        <f aca="false">INDEX('Emission Stepwise'!$H$2:$H$289,MATCH(65&amp;"|"&amp;$A5,'Emission Stepwise'!$C$2:$C$289,0))</f>
        <v>0.287128712871287</v>
      </c>
      <c r="BO5" s="45" t="n">
        <f aca="false">INDEX('Emission Stepwise'!$H$2:$H$289,MATCH(66&amp;"|"&amp;$A5,'Emission Stepwise'!$C$2:$C$289,0))</f>
        <v>0.0147783251231527</v>
      </c>
      <c r="BP5" s="45" t="n">
        <f aca="false">INDEX('Emission Stepwise'!$H$2:$H$289,MATCH(67&amp;"|"&amp;$A5,'Emission Stepwise'!$C$2:$C$289,0))</f>
        <v>0.374384236453202</v>
      </c>
      <c r="BQ5" s="45" t="n">
        <f aca="false">INDEX('Emission Stepwise'!$H$2:$H$289,MATCH(68&amp;"|"&amp;$A5,'Emission Stepwise'!$C$2:$C$289,0))</f>
        <v>0.433497536945813</v>
      </c>
      <c r="BR5" s="45" t="n">
        <f aca="false">INDEX('Emission Stepwise'!$H$2:$H$289,MATCH(69&amp;"|"&amp;$A5,'Emission Stepwise'!$C$2:$C$289,0))</f>
        <v>0.349753694581281</v>
      </c>
      <c r="BS5" s="45" t="n">
        <f aca="false">INDEX('Emission Stepwise'!$H$2:$H$289,MATCH(70&amp;"|"&amp;$A5,'Emission Stepwise'!$C$2:$C$289,0))</f>
        <v>0.374384236453202</v>
      </c>
      <c r="BT5" s="45" t="n">
        <f aca="false">INDEX('Emission Stepwise'!$H$2:$H$289,MATCH(71&amp;"|"&amp;$A5,'Emission Stepwise'!$C$2:$C$289,0))</f>
        <v>0.408866995073892</v>
      </c>
      <c r="BU5" s="45" t="n">
        <f aca="false">INDEX('Emission Stepwise'!$H$2:$H$289,MATCH(72&amp;"|"&amp;$A5,'Emission Stepwise'!$C$2:$C$289,0))</f>
        <v>0.0886699507389163</v>
      </c>
    </row>
    <row r="6" customFormat="false" ht="15" hidden="false" customHeight="true" outlineLevel="0" collapsed="false">
      <c r="A6" s="41" t="s">
        <v>171</v>
      </c>
      <c r="B6" s="45" t="n">
        <f aca="false">INDEX('Emission Stepwise'!$H$2:$H$289,MATCH(1&amp;"|"&amp;$A6,'Emission Stepwise'!$C$2:$C$289,0))</f>
        <v>0.0689655172413793</v>
      </c>
      <c r="C6" s="45" t="n">
        <f aca="false">INDEX('Emission Stepwise'!$H$2:$H$289,MATCH(2&amp;"|"&amp;$A6,'Emission Stepwise'!$C$2:$C$289,0))</f>
        <v>0.0344827586206897</v>
      </c>
      <c r="D6" s="45" t="n">
        <f aca="false">INDEX('Emission Stepwise'!$H$2:$H$289,MATCH(3&amp;"|"&amp;$A6,'Emission Stepwise'!$C$2:$C$289,0))</f>
        <v>0.118226600985222</v>
      </c>
      <c r="E6" s="45" t="n">
        <f aca="false">INDEX('Emission Stepwise'!$H$2:$H$289,MATCH(4&amp;"|"&amp;$A6,'Emission Stepwise'!$C$2:$C$289,0))</f>
        <v>0.172413793103448</v>
      </c>
      <c r="F6" s="45" t="n">
        <f aca="false">INDEX('Emission Stepwise'!$H$2:$H$289,MATCH(5&amp;"|"&amp;$A6,'Emission Stepwise'!$C$2:$C$289,0))</f>
        <v>0.108374384236453</v>
      </c>
      <c r="G6" s="45" t="n">
        <f aca="false">INDEX('Emission Stepwise'!$H$2:$H$289,MATCH(6&amp;"|"&amp;$A6,'Emission Stepwise'!$C$2:$C$289,0))</f>
        <v>0.261083743842365</v>
      </c>
      <c r="H6" s="45" t="n">
        <f aca="false">INDEX('Emission Stepwise'!$H$2:$H$289,MATCH(7&amp;"|"&amp;$A6,'Emission Stepwise'!$C$2:$C$289,0))</f>
        <v>0.221674876847291</v>
      </c>
      <c r="I6" s="45" t="n">
        <f aca="false">INDEX('Emission Stepwise'!$H$2:$H$289,MATCH(8&amp;"|"&amp;$A6,'Emission Stepwise'!$C$2:$C$289,0))</f>
        <v>0.975369458128079</v>
      </c>
      <c r="J6" s="45" t="n">
        <f aca="false">INDEX('Emission Stepwise'!$H$2:$H$289,MATCH(9&amp;"|"&amp;$A6,'Emission Stepwise'!$C$2:$C$289,0))</f>
        <v>0.00495049504950495</v>
      </c>
      <c r="K6" s="45" t="n">
        <f aca="false">INDEX('Emission Stepwise'!$H$2:$H$289,MATCH(10&amp;"|"&amp;$A6,'Emission Stepwise'!$C$2:$C$289,0))</f>
        <v>0.00492610837438424</v>
      </c>
      <c r="L6" s="45" t="n">
        <f aca="false">INDEX('Emission Stepwise'!$H$2:$H$289,MATCH(11&amp;"|"&amp;$A6,'Emission Stepwise'!$C$2:$C$289,0))</f>
        <v>0.201970443349754</v>
      </c>
      <c r="M6" s="45" t="n">
        <f aca="false">INDEX('Emission Stepwise'!$H$2:$H$289,MATCH(12&amp;"|"&amp;$A6,'Emission Stepwise'!$C$2:$C$289,0))</f>
        <v>0.591133004926108</v>
      </c>
      <c r="N6" s="45" t="n">
        <f aca="false">INDEX('Emission Stepwise'!$H$2:$H$289,MATCH(13&amp;"|"&amp;$A6,'Emission Stepwise'!$C$2:$C$289,0))</f>
        <v>0.192118226600985</v>
      </c>
      <c r="O6" s="45" t="n">
        <f aca="false">INDEX('Emission Stepwise'!$H$2:$H$289,MATCH(14&amp;"|"&amp;$A6,'Emission Stepwise'!$C$2:$C$289,0))</f>
        <v>0.00492610837438424</v>
      </c>
      <c r="P6" s="45" t="n">
        <f aca="false">INDEX('Emission Stepwise'!$H$2:$H$289,MATCH(15&amp;"|"&amp;$A6,'Emission Stepwise'!$C$2:$C$289,0))</f>
        <v>0.0148514851485149</v>
      </c>
      <c r="Q6" s="45" t="n">
        <f aca="false">INDEX('Emission Stepwise'!$H$2:$H$289,MATCH(16&amp;"|"&amp;$A6,'Emission Stepwise'!$C$2:$C$289,0))</f>
        <v>0.588235294117647</v>
      </c>
      <c r="R6" s="45" t="n">
        <f aca="false">INDEX('Emission Stepwise'!$H$2:$H$289,MATCH(17&amp;"|"&amp;$A6,'Emission Stepwise'!$C$2:$C$289,0))</f>
        <v>0.57</v>
      </c>
      <c r="S6" s="45" t="n">
        <f aca="false">INDEX('Emission Stepwise'!$H$2:$H$289,MATCH(18&amp;"|"&amp;$A6,'Emission Stepwise'!$C$2:$C$289,0))</f>
        <v>0.00492610837438424</v>
      </c>
      <c r="T6" s="45" t="n">
        <f aca="false">INDEX('Emission Stepwise'!$H$2:$H$289,MATCH(19&amp;"|"&amp;$A6,'Emission Stepwise'!$C$2:$C$289,0))</f>
        <v>0.0147783251231527</v>
      </c>
      <c r="U6" s="45" t="n">
        <f aca="false">INDEX('Emission Stepwise'!$H$2:$H$289,MATCH(20&amp;"|"&amp;$A6,'Emission Stepwise'!$C$2:$C$289,0))</f>
        <v>0.589108910891089</v>
      </c>
      <c r="V6" s="45" t="n">
        <f aca="false">INDEX('Emission Stepwise'!$H$2:$H$289,MATCH(21&amp;"|"&amp;$A6,'Emission Stepwise'!$C$2:$C$289,0))</f>
        <v>0.0541871921182266</v>
      </c>
      <c r="W6" s="45" t="n">
        <f aca="false">INDEX('Emission Stepwise'!$H$2:$H$289,MATCH(22&amp;"|"&amp;$A6,'Emission Stepwise'!$C$2:$C$289,0))</f>
        <v>0.0738916256157636</v>
      </c>
      <c r="X6" s="45" t="n">
        <f aca="false">INDEX('Emission Stepwise'!$H$2:$H$289,MATCH(23&amp;"|"&amp;$A6,'Emission Stepwise'!$C$2:$C$289,0))</f>
        <v>0.0640394088669951</v>
      </c>
      <c r="Y6" s="45" t="n">
        <f aca="false">INDEX('Emission Stepwise'!$H$2:$H$289,MATCH(24&amp;"|"&amp;$A6,'Emission Stepwise'!$C$2:$C$289,0))</f>
        <v>0.0394088669950739</v>
      </c>
      <c r="Z6" s="45" t="n">
        <f aca="false">INDEX('Emission Stepwise'!$H$2:$H$289,MATCH(25&amp;"|"&amp;$A6,'Emission Stepwise'!$C$2:$C$289,0))</f>
        <v>0.0738916256157636</v>
      </c>
      <c r="AA6" s="45" t="n">
        <f aca="false">INDEX('Emission Stepwise'!$H$2:$H$289,MATCH(26&amp;"|"&amp;$A6,'Emission Stepwise'!$C$2:$C$289,0))</f>
        <v>0.0591133004926108</v>
      </c>
      <c r="AB6" s="45" t="n">
        <f aca="false">INDEX('Emission Stepwise'!$H$2:$H$289,MATCH(27&amp;"|"&amp;$A6,'Emission Stepwise'!$C$2:$C$289,0))</f>
        <v>0.25615763546798</v>
      </c>
      <c r="AC6" s="45" t="n">
        <f aca="false">INDEX('Emission Stepwise'!$H$2:$H$289,MATCH(28&amp;"|"&amp;$A6,'Emission Stepwise'!$C$2:$C$289,0))</f>
        <v>0.251231527093596</v>
      </c>
      <c r="AD6" s="45" t="n">
        <f aca="false">INDEX('Emission Stepwise'!$H$2:$H$289,MATCH(29&amp;"|"&amp;$A6,'Emission Stepwise'!$C$2:$C$289,0))</f>
        <v>0.275862068965517</v>
      </c>
      <c r="AE6" s="45" t="n">
        <f aca="false">INDEX('Emission Stepwise'!$H$2:$H$289,MATCH(30&amp;"|"&amp;$A6,'Emission Stepwise'!$C$2:$C$289,0))</f>
        <v>0.0394088669950739</v>
      </c>
      <c r="AF6" s="45" t="n">
        <f aca="false">INDEX('Emission Stepwise'!$H$2:$H$289,MATCH(31&amp;"|"&amp;$A6,'Emission Stepwise'!$C$2:$C$289,0))</f>
        <v>0.0985221674876847</v>
      </c>
      <c r="AG6" s="45" t="n">
        <f aca="false">INDEX('Emission Stepwise'!$H$2:$H$289,MATCH(32&amp;"|"&amp;$A6,'Emission Stepwise'!$C$2:$C$289,0))</f>
        <v>0.295566502463054</v>
      </c>
      <c r="AH6" s="45" t="n">
        <f aca="false">INDEX('Emission Stepwise'!$H$2:$H$289,MATCH(33&amp;"|"&amp;$A6,'Emission Stepwise'!$C$2:$C$289,0))</f>
        <v>0.975369458128079</v>
      </c>
      <c r="AI6" s="45" t="n">
        <f aca="false">INDEX('Emission Stepwise'!$H$2:$H$289,MATCH(34&amp;"|"&amp;$A6,'Emission Stepwise'!$C$2:$C$289,0))</f>
        <v>0.29064039408867</v>
      </c>
      <c r="AJ6" s="45" t="n">
        <f aca="false">INDEX('Emission Stepwise'!$H$2:$H$289,MATCH(35&amp;"|"&amp;$A6,'Emission Stepwise'!$C$2:$C$289,0))</f>
        <v>0.206896551724138</v>
      </c>
      <c r="AK6" s="45" t="n">
        <f aca="false">INDEX('Emission Stepwise'!$H$2:$H$289,MATCH(36&amp;"|"&amp;$A6,'Emission Stepwise'!$C$2:$C$289,0))</f>
        <v>0.354679802955665</v>
      </c>
      <c r="AL6" s="45" t="n">
        <f aca="false">INDEX('Emission Stepwise'!$H$2:$H$289,MATCH(37&amp;"|"&amp;$A6,'Emission Stepwise'!$C$2:$C$289,0))</f>
        <v>0.00492610837438424</v>
      </c>
      <c r="AM6" s="45" t="n">
        <f aca="false">INDEX('Emission Stepwise'!$H$2:$H$289,MATCH(38&amp;"|"&amp;$A6,'Emission Stepwise'!$C$2:$C$289,0))</f>
        <v>0.118226600985222</v>
      </c>
      <c r="AN6" s="45" t="n">
        <f aca="false">INDEX('Emission Stepwise'!$H$2:$H$289,MATCH(39&amp;"|"&amp;$A6,'Emission Stepwise'!$C$2:$C$289,0))</f>
        <v>0.295566502463054</v>
      </c>
      <c r="AO6" s="45" t="n">
        <f aca="false">INDEX('Emission Stepwise'!$H$2:$H$289,MATCH(40&amp;"|"&amp;$A6,'Emission Stepwise'!$C$2:$C$289,0))</f>
        <v>0.0443349753694581</v>
      </c>
      <c r="AP6" s="45" t="n">
        <f aca="false">INDEX('Emission Stepwise'!$H$2:$H$289,MATCH(41&amp;"|"&amp;$A6,'Emission Stepwise'!$C$2:$C$289,0))</f>
        <v>0.167487684729064</v>
      </c>
      <c r="AQ6" s="45" t="n">
        <f aca="false">INDEX('Emission Stepwise'!$H$2:$H$289,MATCH(42&amp;"|"&amp;$A6,'Emission Stepwise'!$C$2:$C$289,0))</f>
        <v>0.133004926108374</v>
      </c>
      <c r="AR6" s="45" t="n">
        <f aca="false">INDEX('Emission Stepwise'!$H$2:$H$289,MATCH(43&amp;"|"&amp;$A6,'Emission Stepwise'!$C$2:$C$289,0))</f>
        <v>0.16256157635468</v>
      </c>
      <c r="AS6" s="45" t="n">
        <f aca="false">INDEX('Emission Stepwise'!$H$2:$H$289,MATCH(44&amp;"|"&amp;$A6,'Emission Stepwise'!$C$2:$C$289,0))</f>
        <v>0.118226600985222</v>
      </c>
      <c r="AT6" s="45" t="n">
        <f aca="false">INDEX('Emission Stepwise'!$H$2:$H$289,MATCH(45&amp;"|"&amp;$A6,'Emission Stepwise'!$C$2:$C$289,0))</f>
        <v>0.144278606965174</v>
      </c>
      <c r="AU6" s="45" t="n">
        <f aca="false">INDEX('Emission Stepwise'!$H$2:$H$289,MATCH(46&amp;"|"&amp;$A6,'Emission Stepwise'!$C$2:$C$289,0))</f>
        <v>0.0755813953488372</v>
      </c>
      <c r="AV6" s="45" t="n">
        <f aca="false">INDEX('Emission Stepwise'!$H$2:$H$289,MATCH(47&amp;"|"&amp;$A6,'Emission Stepwise'!$C$2:$C$289,0))</f>
        <v>0.665024630541872</v>
      </c>
      <c r="AW6" s="45" t="n">
        <f aca="false">INDEX('Emission Stepwise'!$H$2:$H$289,MATCH(48&amp;"|"&amp;$A6,'Emission Stepwise'!$C$2:$C$289,0))</f>
        <v>0.147783251231527</v>
      </c>
      <c r="AX6" s="45" t="n">
        <f aca="false">INDEX('Emission Stepwise'!$H$2:$H$289,MATCH(49&amp;"|"&amp;$A6,'Emission Stepwise'!$C$2:$C$289,0))</f>
        <v>0.0591133004926108</v>
      </c>
      <c r="AY6" s="45" t="n">
        <f aca="false">INDEX('Emission Stepwise'!$H$2:$H$289,MATCH(50&amp;"|"&amp;$A6,'Emission Stepwise'!$C$2:$C$289,0))</f>
        <v>0.177339901477833</v>
      </c>
      <c r="AZ6" s="45" t="n">
        <f aca="false">INDEX('Emission Stepwise'!$H$2:$H$289,MATCH(51&amp;"|"&amp;$A6,'Emission Stepwise'!$C$2:$C$289,0))</f>
        <v>0.153465346534653</v>
      </c>
      <c r="BA6" s="45" t="n">
        <f aca="false">INDEX('Emission Stepwise'!$H$2:$H$289,MATCH(52&amp;"|"&amp;$A6,'Emission Stepwise'!$C$2:$C$289,0))</f>
        <v>0.0246305418719212</v>
      </c>
      <c r="BB6" s="45" t="n">
        <f aca="false">INDEX('Emission Stepwise'!$H$2:$H$289,MATCH(53&amp;"|"&amp;$A6,'Emission Stepwise'!$C$2:$C$289,0))</f>
        <v>0.0147783251231527</v>
      </c>
      <c r="BC6" s="45" t="n">
        <f aca="false">INDEX('Emission Stepwise'!$H$2:$H$289,MATCH(54&amp;"|"&amp;$A6,'Emission Stepwise'!$C$2:$C$289,0))</f>
        <v>0.975369458128079</v>
      </c>
      <c r="BD6" s="45" t="n">
        <f aca="false">INDEX('Emission Stepwise'!$H$2:$H$289,MATCH(55&amp;"|"&amp;$A6,'Emission Stepwise'!$C$2:$C$289,0))</f>
        <v>0.970443349753695</v>
      </c>
      <c r="BE6" s="45" t="n">
        <f aca="false">INDEX('Emission Stepwise'!$H$2:$H$289,MATCH(56&amp;"|"&amp;$A6,'Emission Stepwise'!$C$2:$C$289,0))</f>
        <v>0.00985221674876847</v>
      </c>
      <c r="BF6" s="45" t="n">
        <f aca="false">INDEX('Emission Stepwise'!$H$2:$H$289,MATCH(57&amp;"|"&amp;$A6,'Emission Stepwise'!$C$2:$C$289,0))</f>
        <v>0.0099009900990099</v>
      </c>
      <c r="BG6" s="45" t="n">
        <f aca="false">INDEX('Emission Stepwise'!$H$2:$H$289,MATCH(58&amp;"|"&amp;$A6,'Emission Stepwise'!$C$2:$C$289,0))</f>
        <v>0.00985221674876847</v>
      </c>
      <c r="BH6" s="45" t="n">
        <f aca="false">INDEX('Emission Stepwise'!$H$2:$H$289,MATCH(59&amp;"|"&amp;$A6,'Emission Stepwise'!$C$2:$C$289,0))</f>
        <v>0.251231527093596</v>
      </c>
      <c r="BI6" s="45" t="n">
        <f aca="false">INDEX('Emission Stepwise'!$H$2:$H$289,MATCH(60&amp;"|"&amp;$A6,'Emission Stepwise'!$C$2:$C$289,0))</f>
        <v>0.773399014778325</v>
      </c>
      <c r="BJ6" s="45" t="n">
        <f aca="false">INDEX('Emission Stepwise'!$H$2:$H$289,MATCH(61&amp;"|"&amp;$A6,'Emission Stepwise'!$C$2:$C$289,0))</f>
        <v>0.00985221674876847</v>
      </c>
      <c r="BK6" s="45" t="n">
        <f aca="false">INDEX('Emission Stepwise'!$H$2:$H$289,MATCH(62&amp;"|"&amp;$A6,'Emission Stepwise'!$C$2:$C$289,0))</f>
        <v>0.133004926108374</v>
      </c>
      <c r="BL6" s="45" t="n">
        <f aca="false">INDEX('Emission Stepwise'!$H$2:$H$289,MATCH(63&amp;"|"&amp;$A6,'Emission Stepwise'!$C$2:$C$289,0))</f>
        <v>0.16256157635468</v>
      </c>
      <c r="BM6" s="45" t="n">
        <f aca="false">INDEX('Emission Stepwise'!$H$2:$H$289,MATCH(64&amp;"|"&amp;$A6,'Emission Stepwise'!$C$2:$C$289,0))</f>
        <v>0.167487684729064</v>
      </c>
      <c r="BN6" s="45" t="n">
        <f aca="false">INDEX('Emission Stepwise'!$H$2:$H$289,MATCH(65&amp;"|"&amp;$A6,'Emission Stepwise'!$C$2:$C$289,0))</f>
        <v>0.346534653465347</v>
      </c>
      <c r="BO6" s="45" t="n">
        <f aca="false">INDEX('Emission Stepwise'!$H$2:$H$289,MATCH(66&amp;"|"&amp;$A6,'Emission Stepwise'!$C$2:$C$289,0))</f>
        <v>0.246305418719212</v>
      </c>
      <c r="BP6" s="45" t="n">
        <f aca="false">INDEX('Emission Stepwise'!$H$2:$H$289,MATCH(67&amp;"|"&amp;$A6,'Emission Stepwise'!$C$2:$C$289,0))</f>
        <v>0.192118226600985</v>
      </c>
      <c r="BQ6" s="45" t="n">
        <f aca="false">INDEX('Emission Stepwise'!$H$2:$H$289,MATCH(68&amp;"|"&amp;$A6,'Emission Stepwise'!$C$2:$C$289,0))</f>
        <v>0.177339901477833</v>
      </c>
      <c r="BR6" s="45" t="n">
        <f aca="false">INDEX('Emission Stepwise'!$H$2:$H$289,MATCH(69&amp;"|"&amp;$A6,'Emission Stepwise'!$C$2:$C$289,0))</f>
        <v>0.083743842364532</v>
      </c>
      <c r="BS6" s="45" t="n">
        <f aca="false">INDEX('Emission Stepwise'!$H$2:$H$289,MATCH(70&amp;"|"&amp;$A6,'Emission Stepwise'!$C$2:$C$289,0))</f>
        <v>0.152709359605911</v>
      </c>
      <c r="BT6" s="45" t="n">
        <f aca="false">INDEX('Emission Stepwise'!$H$2:$H$289,MATCH(71&amp;"|"&amp;$A6,'Emission Stepwise'!$C$2:$C$289,0))</f>
        <v>0.0492610837438424</v>
      </c>
      <c r="BU6" s="45" t="n">
        <f aca="false">INDEX('Emission Stepwise'!$H$2:$H$289,MATCH(72&amp;"|"&amp;$A6,'Emission Stepwise'!$C$2:$C$289,0))</f>
        <v>0.108374384236453</v>
      </c>
    </row>
    <row r="7" customFormat="false" ht="15" hidden="false" customHeight="true" outlineLevel="0" collapsed="false">
      <c r="A7" s="41" t="s">
        <v>606</v>
      </c>
      <c r="B7" s="38" t="n">
        <f aca="false">ROUND(SUM(B3:B6),9)</f>
        <v>1</v>
      </c>
      <c r="C7" s="38" t="n">
        <f aca="false">ROUND(SUM(C3:C6),9)</f>
        <v>1</v>
      </c>
      <c r="D7" s="38" t="n">
        <f aca="false">ROUND(SUM(D3:D6),9)</f>
        <v>1</v>
      </c>
      <c r="E7" s="38" t="n">
        <f aca="false">ROUND(SUM(E3:E6),9)</f>
        <v>1</v>
      </c>
      <c r="F7" s="38" t="n">
        <f aca="false">ROUND(SUM(F3:F6),9)</f>
        <v>1</v>
      </c>
      <c r="G7" s="38" t="n">
        <f aca="false">ROUND(SUM(G3:G6),9)</f>
        <v>1</v>
      </c>
      <c r="H7" s="38" t="n">
        <f aca="false">ROUND(SUM(H3:H6),9)</f>
        <v>1</v>
      </c>
      <c r="I7" s="38" t="n">
        <f aca="false">ROUND(SUM(I3:I6),9)</f>
        <v>1</v>
      </c>
      <c r="J7" s="38" t="n">
        <f aca="false">ROUND(SUM(J3:J6),9)</f>
        <v>1</v>
      </c>
      <c r="K7" s="38" t="n">
        <f aca="false">ROUND(SUM(K3:K6),9)</f>
        <v>1</v>
      </c>
      <c r="L7" s="38" t="n">
        <f aca="false">ROUND(SUM(L3:L6),9)</f>
        <v>1</v>
      </c>
      <c r="M7" s="38" t="n">
        <f aca="false">ROUND(SUM(M3:M6),9)</f>
        <v>1</v>
      </c>
      <c r="N7" s="38" t="n">
        <f aca="false">ROUND(SUM(N3:N6),9)</f>
        <v>1</v>
      </c>
      <c r="O7" s="38" t="n">
        <f aca="false">ROUND(SUM(O3:O6),9)</f>
        <v>1</v>
      </c>
      <c r="P7" s="38" t="n">
        <f aca="false">ROUND(SUM(P3:P6),9)</f>
        <v>1</v>
      </c>
      <c r="Q7" s="38" t="n">
        <f aca="false">ROUND(SUM(Q3:Q6),9)</f>
        <v>1</v>
      </c>
      <c r="R7" s="38" t="n">
        <f aca="false">ROUND(SUM(R3:R6),9)</f>
        <v>1</v>
      </c>
      <c r="S7" s="38" t="n">
        <f aca="false">ROUND(SUM(S3:S6),9)</f>
        <v>1</v>
      </c>
      <c r="T7" s="38" t="n">
        <f aca="false">ROUND(SUM(T3:T6),9)</f>
        <v>1</v>
      </c>
      <c r="U7" s="38" t="n">
        <f aca="false">ROUND(SUM(U3:U6),9)</f>
        <v>1</v>
      </c>
      <c r="V7" s="38" t="n">
        <f aca="false">ROUND(SUM(V3:V6),9)</f>
        <v>1</v>
      </c>
      <c r="W7" s="38" t="n">
        <f aca="false">ROUND(SUM(W3:W6),9)</f>
        <v>1</v>
      </c>
      <c r="X7" s="38" t="n">
        <f aca="false">ROUND(SUM(X3:X6),9)</f>
        <v>1</v>
      </c>
      <c r="Y7" s="38" t="n">
        <f aca="false">ROUND(SUM(Y3:Y6),9)</f>
        <v>1</v>
      </c>
      <c r="Z7" s="38" t="n">
        <f aca="false">ROUND(SUM(Z3:Z6),9)</f>
        <v>1</v>
      </c>
      <c r="AA7" s="38" t="n">
        <f aca="false">ROUND(SUM(AA3:AA6),9)</f>
        <v>1</v>
      </c>
      <c r="AB7" s="38" t="n">
        <f aca="false">ROUND(SUM(AB3:AB6),9)</f>
        <v>1</v>
      </c>
      <c r="AC7" s="38" t="n">
        <f aca="false">ROUND(SUM(AC3:AC6),9)</f>
        <v>1</v>
      </c>
      <c r="AD7" s="38" t="n">
        <f aca="false">ROUND(SUM(AD3:AD6),9)</f>
        <v>1</v>
      </c>
      <c r="AE7" s="38" t="n">
        <f aca="false">ROUND(SUM(AE3:AE6),9)</f>
        <v>1</v>
      </c>
      <c r="AF7" s="38" t="n">
        <f aca="false">ROUND(SUM(AF3:AF6),9)</f>
        <v>1</v>
      </c>
      <c r="AG7" s="38" t="n">
        <f aca="false">ROUND(SUM(AG3:AG6),9)</f>
        <v>1</v>
      </c>
      <c r="AH7" s="38" t="n">
        <f aca="false">ROUND(SUM(AH3:AH6),9)</f>
        <v>1</v>
      </c>
      <c r="AI7" s="38" t="n">
        <f aca="false">ROUND(SUM(AI3:AI6),9)</f>
        <v>1</v>
      </c>
      <c r="AJ7" s="38" t="n">
        <f aca="false">ROUND(SUM(AJ3:AJ6),9)</f>
        <v>1</v>
      </c>
      <c r="AK7" s="38" t="n">
        <f aca="false">ROUND(SUM(AK3:AK6),9)</f>
        <v>1</v>
      </c>
      <c r="AL7" s="38" t="n">
        <f aca="false">ROUND(SUM(AL3:AL6),9)</f>
        <v>1</v>
      </c>
      <c r="AM7" s="38" t="n">
        <f aca="false">ROUND(SUM(AM3:AM6),9)</f>
        <v>1</v>
      </c>
      <c r="AN7" s="38" t="n">
        <f aca="false">ROUND(SUM(AN3:AN6),9)</f>
        <v>1</v>
      </c>
      <c r="AO7" s="38" t="n">
        <f aca="false">ROUND(SUM(AO3:AO6),9)</f>
        <v>1</v>
      </c>
      <c r="AP7" s="38" t="n">
        <f aca="false">ROUND(SUM(AP3:AP6),9)</f>
        <v>1</v>
      </c>
      <c r="AQ7" s="38" t="n">
        <f aca="false">ROUND(SUM(AQ3:AQ6),9)</f>
        <v>1</v>
      </c>
      <c r="AR7" s="38" t="n">
        <f aca="false">ROUND(SUM(AR3:AR6),9)</f>
        <v>1</v>
      </c>
      <c r="AS7" s="38" t="n">
        <f aca="false">ROUND(SUM(AS3:AS6),9)</f>
        <v>1</v>
      </c>
      <c r="AT7" s="38" t="n">
        <f aca="false">ROUND(SUM(AT3:AT6),9)</f>
        <v>1</v>
      </c>
      <c r="AU7" s="38" t="n">
        <f aca="false">ROUND(SUM(AU3:AU6),9)</f>
        <v>1</v>
      </c>
      <c r="AV7" s="38" t="n">
        <f aca="false">ROUND(SUM(AV3:AV6),9)</f>
        <v>1</v>
      </c>
      <c r="AW7" s="38" t="n">
        <f aca="false">ROUND(SUM(AW3:AW6),9)</f>
        <v>1</v>
      </c>
      <c r="AX7" s="38" t="n">
        <f aca="false">ROUND(SUM(AX3:AX6),9)</f>
        <v>1</v>
      </c>
      <c r="AY7" s="38" t="n">
        <f aca="false">ROUND(SUM(AY3:AY6),9)</f>
        <v>1</v>
      </c>
      <c r="AZ7" s="38" t="n">
        <f aca="false">ROUND(SUM(AZ3:AZ6),9)</f>
        <v>1</v>
      </c>
      <c r="BA7" s="38" t="n">
        <f aca="false">ROUND(SUM(BA3:BA6),9)</f>
        <v>1</v>
      </c>
      <c r="BB7" s="38" t="n">
        <f aca="false">ROUND(SUM(BB3:BB6),9)</f>
        <v>1</v>
      </c>
      <c r="BC7" s="38" t="n">
        <f aca="false">ROUND(SUM(BC3:BC6),9)</f>
        <v>1</v>
      </c>
      <c r="BD7" s="38" t="n">
        <f aca="false">ROUND(SUM(BD3:BD6),9)</f>
        <v>1</v>
      </c>
      <c r="BE7" s="38" t="n">
        <f aca="false">ROUND(SUM(BE3:BE6),9)</f>
        <v>1</v>
      </c>
      <c r="BF7" s="38" t="n">
        <f aca="false">ROUND(SUM(BF3:BF6),9)</f>
        <v>1</v>
      </c>
      <c r="BG7" s="38" t="n">
        <f aca="false">ROUND(SUM(BG3:BG6),9)</f>
        <v>1</v>
      </c>
      <c r="BH7" s="38" t="n">
        <f aca="false">ROUND(SUM(BH3:BH6),9)</f>
        <v>1</v>
      </c>
      <c r="BI7" s="38" t="n">
        <f aca="false">ROUND(SUM(BI3:BI6),9)</f>
        <v>1</v>
      </c>
      <c r="BJ7" s="38" t="n">
        <f aca="false">ROUND(SUM(BJ3:BJ6),9)</f>
        <v>1</v>
      </c>
      <c r="BK7" s="38" t="n">
        <f aca="false">ROUND(SUM(BK3:BK6),9)</f>
        <v>1</v>
      </c>
      <c r="BL7" s="38" t="n">
        <f aca="false">ROUND(SUM(BL3:BL6),9)</f>
        <v>1</v>
      </c>
      <c r="BM7" s="38" t="n">
        <f aca="false">ROUND(SUM(BM3:BM6),9)</f>
        <v>1</v>
      </c>
      <c r="BN7" s="38" t="n">
        <f aca="false">ROUND(SUM(BN3:BN6),9)</f>
        <v>1</v>
      </c>
      <c r="BO7" s="38" t="n">
        <f aca="false">ROUND(SUM(BO3:BO6),9)</f>
        <v>1</v>
      </c>
      <c r="BP7" s="38" t="n">
        <f aca="false">ROUND(SUM(BP3:BP6),9)</f>
        <v>1</v>
      </c>
      <c r="BQ7" s="38" t="n">
        <f aca="false">ROUND(SUM(BQ3:BQ6),9)</f>
        <v>1</v>
      </c>
      <c r="BR7" s="38" t="n">
        <f aca="false">ROUND(SUM(BR3:BR6),9)</f>
        <v>1</v>
      </c>
      <c r="BS7" s="38" t="n">
        <f aca="false">ROUND(SUM(BS3:BS6),9)</f>
        <v>1</v>
      </c>
      <c r="BT7" s="38" t="n">
        <f aca="false">ROUND(SUM(BT3:BT6),9)</f>
        <v>1</v>
      </c>
      <c r="BU7" s="38" t="n">
        <f aca="false">ROUND(SUM(BU3:BU6),9)</f>
        <v>1</v>
      </c>
    </row>
    <row r="8" customFormat="false" ht="15" hidden="false" customHeight="true" outlineLevel="0" collapsed="false">
      <c r="A8" s="38"/>
      <c r="B8" s="38"/>
      <c r="C8" s="38"/>
      <c r="D8" s="38"/>
      <c r="E8" s="38"/>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c r="BR8" s="38"/>
      <c r="BS8" s="38"/>
      <c r="BT8" s="38"/>
      <c r="BU8" s="38"/>
    </row>
    <row r="9" customFormat="false" ht="15" hidden="false" customHeight="true" outlineLevel="0" collapsed="false">
      <c r="A9" s="37" t="s">
        <v>607</v>
      </c>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row>
    <row r="10" customFormat="false" ht="15" hidden="false" customHeight="true" outlineLevel="0" collapsed="false">
      <c r="A10" s="42" t="s">
        <v>605</v>
      </c>
      <c r="B10" s="42" t="n">
        <v>1</v>
      </c>
      <c r="C10" s="42" t="n">
        <v>2</v>
      </c>
      <c r="D10" s="42" t="n">
        <v>3</v>
      </c>
      <c r="E10" s="42" t="n">
        <v>4</v>
      </c>
      <c r="F10" s="42" t="n">
        <v>5</v>
      </c>
      <c r="G10" s="42" t="n">
        <v>6</v>
      </c>
      <c r="H10" s="42" t="n">
        <v>7</v>
      </c>
      <c r="I10" s="42" t="n">
        <v>8</v>
      </c>
      <c r="J10" s="42" t="n">
        <v>9</v>
      </c>
      <c r="K10" s="42" t="n">
        <v>10</v>
      </c>
      <c r="L10" s="42" t="n">
        <v>11</v>
      </c>
      <c r="M10" s="42" t="n">
        <v>12</v>
      </c>
      <c r="N10" s="42" t="n">
        <v>13</v>
      </c>
      <c r="O10" s="42" t="n">
        <v>14</v>
      </c>
      <c r="P10" s="42" t="n">
        <v>15</v>
      </c>
      <c r="Q10" s="42" t="n">
        <v>16</v>
      </c>
      <c r="R10" s="42" t="n">
        <v>17</v>
      </c>
      <c r="S10" s="42" t="n">
        <v>18</v>
      </c>
      <c r="T10" s="42" t="n">
        <v>19</v>
      </c>
      <c r="U10" s="42" t="n">
        <v>20</v>
      </c>
      <c r="V10" s="42" t="n">
        <v>21</v>
      </c>
      <c r="W10" s="42" t="n">
        <v>22</v>
      </c>
      <c r="X10" s="42" t="n">
        <v>23</v>
      </c>
      <c r="Y10" s="42" t="n">
        <v>24</v>
      </c>
      <c r="Z10" s="42" t="n">
        <v>25</v>
      </c>
      <c r="AA10" s="42" t="n">
        <v>26</v>
      </c>
      <c r="AB10" s="42" t="n">
        <v>27</v>
      </c>
      <c r="AC10" s="42" t="n">
        <v>28</v>
      </c>
      <c r="AD10" s="42" t="n">
        <v>29</v>
      </c>
      <c r="AE10" s="42" t="n">
        <v>30</v>
      </c>
      <c r="AF10" s="42" t="n">
        <v>31</v>
      </c>
      <c r="AG10" s="42" t="n">
        <v>32</v>
      </c>
      <c r="AH10" s="42" t="n">
        <v>33</v>
      </c>
      <c r="AI10" s="42" t="n">
        <v>34</v>
      </c>
      <c r="AJ10" s="42" t="n">
        <v>35</v>
      </c>
      <c r="AK10" s="42" t="n">
        <v>36</v>
      </c>
      <c r="AL10" s="42" t="n">
        <v>37</v>
      </c>
      <c r="AM10" s="42" t="n">
        <v>38</v>
      </c>
      <c r="AN10" s="42" t="n">
        <v>39</v>
      </c>
      <c r="AO10" s="42" t="n">
        <v>40</v>
      </c>
      <c r="AP10" s="42" t="n">
        <v>41</v>
      </c>
      <c r="AQ10" s="42" t="n">
        <v>42</v>
      </c>
      <c r="AR10" s="42" t="n">
        <v>43</v>
      </c>
      <c r="AS10" s="42" t="n">
        <v>44</v>
      </c>
      <c r="AT10" s="42" t="n">
        <v>45</v>
      </c>
      <c r="AU10" s="42" t="n">
        <v>46</v>
      </c>
      <c r="AV10" s="42" t="n">
        <v>47</v>
      </c>
      <c r="AW10" s="42" t="n">
        <v>48</v>
      </c>
      <c r="AX10" s="42" t="n">
        <v>49</v>
      </c>
      <c r="AY10" s="42" t="n">
        <v>50</v>
      </c>
      <c r="AZ10" s="42" t="n">
        <v>51</v>
      </c>
      <c r="BA10" s="42" t="n">
        <v>52</v>
      </c>
      <c r="BB10" s="42" t="n">
        <v>53</v>
      </c>
      <c r="BC10" s="42" t="n">
        <v>54</v>
      </c>
      <c r="BD10" s="42" t="n">
        <v>55</v>
      </c>
      <c r="BE10" s="42" t="n">
        <v>56</v>
      </c>
      <c r="BF10" s="42" t="n">
        <v>57</v>
      </c>
      <c r="BG10" s="42" t="n">
        <v>58</v>
      </c>
      <c r="BH10" s="42" t="n">
        <v>59</v>
      </c>
      <c r="BI10" s="42" t="n">
        <v>60</v>
      </c>
      <c r="BJ10" s="42" t="n">
        <v>61</v>
      </c>
      <c r="BK10" s="42" t="n">
        <v>62</v>
      </c>
      <c r="BL10" s="42" t="n">
        <v>63</v>
      </c>
      <c r="BM10" s="42" t="n">
        <v>64</v>
      </c>
      <c r="BN10" s="42" t="n">
        <v>65</v>
      </c>
      <c r="BO10" s="42" t="n">
        <v>66</v>
      </c>
      <c r="BP10" s="42" t="n">
        <v>67</v>
      </c>
      <c r="BQ10" s="42" t="n">
        <v>68</v>
      </c>
      <c r="BR10" s="42" t="n">
        <v>69</v>
      </c>
      <c r="BS10" s="42" t="n">
        <v>70</v>
      </c>
      <c r="BT10" s="42" t="n">
        <v>71</v>
      </c>
      <c r="BU10" s="42" t="n">
        <v>72</v>
      </c>
    </row>
    <row r="11" customFormat="false" ht="15" hidden="false" customHeight="true" outlineLevel="0" collapsed="false">
      <c r="A11" s="41" t="s">
        <v>172</v>
      </c>
      <c r="B11" s="45" t="n">
        <f aca="false">INDEX('Emission Stepwise'!$G$2:$G$289,MATCH(1&amp;"|"&amp;$A11,'Emission Stepwise'!$C$2:$C$289,0))</f>
        <v>0.0653266331658292</v>
      </c>
      <c r="C11" s="45" t="n">
        <f aca="false">INDEX('Emission Stepwise'!$G$2:$G$289,MATCH(2&amp;"|"&amp;$A11,'Emission Stepwise'!$C$2:$C$289,0))</f>
        <v>0.0301507537688442</v>
      </c>
      <c r="D11" s="45" t="n">
        <f aca="false">INDEX('Emission Stepwise'!$G$2:$G$289,MATCH(3&amp;"|"&amp;$A11,'Emission Stepwise'!$C$2:$C$289,0))</f>
        <v>0.0703517587939699</v>
      </c>
      <c r="E11" s="45" t="n">
        <f aca="false">INDEX('Emission Stepwise'!$G$2:$G$289,MATCH(4&amp;"|"&amp;$A11,'Emission Stepwise'!$C$2:$C$289,0))</f>
        <v>0.0753768844221106</v>
      </c>
      <c r="F11" s="45" t="n">
        <f aca="false">INDEX('Emission Stepwise'!$G$2:$G$289,MATCH(5&amp;"|"&amp;$A11,'Emission Stepwise'!$C$2:$C$289,0))</f>
        <v>0.150753768844221</v>
      </c>
      <c r="G11" s="45" t="n">
        <f aca="false">INDEX('Emission Stepwise'!$G$2:$G$289,MATCH(6&amp;"|"&amp;$A11,'Emission Stepwise'!$C$2:$C$289,0))</f>
        <v>0.170854271356784</v>
      </c>
      <c r="H11" s="45" t="n">
        <f aca="false">INDEX('Emission Stepwise'!$G$2:$G$289,MATCH(7&amp;"|"&amp;$A11,'Emission Stepwise'!$C$2:$C$289,0))</f>
        <v>0.236180904522613</v>
      </c>
      <c r="I11" s="45" t="n">
        <f aca="false">INDEX('Emission Stepwise'!$G$2:$G$289,MATCH(8&amp;"|"&amp;$A11,'Emission Stepwise'!$C$2:$C$289,0))</f>
        <v>0.0050251256281407</v>
      </c>
      <c r="J11" s="45" t="n">
        <f aca="false">INDEX('Emission Stepwise'!$G$2:$G$289,MATCH(9&amp;"|"&amp;$A11,'Emission Stepwise'!$C$2:$C$289,0))</f>
        <v>0.656565656565657</v>
      </c>
      <c r="K11" s="45" t="n">
        <f aca="false">INDEX('Emission Stepwise'!$G$2:$G$289,MATCH(10&amp;"|"&amp;$A11,'Emission Stepwise'!$C$2:$C$289,0))</f>
        <v>0</v>
      </c>
      <c r="L11" s="45" t="n">
        <f aca="false">INDEX('Emission Stepwise'!$G$2:$G$289,MATCH(11&amp;"|"&amp;$A11,'Emission Stepwise'!$C$2:$C$289,0))</f>
        <v>0.0351758793969849</v>
      </c>
      <c r="M11" s="45" t="n">
        <f aca="false">INDEX('Emission Stepwise'!$G$2:$G$289,MATCH(12&amp;"|"&amp;$A11,'Emission Stepwise'!$C$2:$C$289,0))</f>
        <v>0.0653266331658292</v>
      </c>
      <c r="N11" s="45" t="n">
        <f aca="false">INDEX('Emission Stepwise'!$G$2:$G$289,MATCH(13&amp;"|"&amp;$A11,'Emission Stepwise'!$C$2:$C$289,0))</f>
        <v>0.0653266331658292</v>
      </c>
      <c r="O11" s="45" t="n">
        <f aca="false">INDEX('Emission Stepwise'!$G$2:$G$289,MATCH(14&amp;"|"&amp;$A11,'Emission Stepwise'!$C$2:$C$289,0))</f>
        <v>0.989949748743719</v>
      </c>
      <c r="P11" s="45" t="n">
        <f aca="false">INDEX('Emission Stepwise'!$G$2:$G$289,MATCH(15&amp;"|"&amp;$A11,'Emission Stepwise'!$C$2:$C$289,0))</f>
        <v>0.166666666666667</v>
      </c>
      <c r="Q11" s="45" t="n">
        <f aca="false">INDEX('Emission Stepwise'!$G$2:$G$289,MATCH(16&amp;"|"&amp;$A11,'Emission Stepwise'!$C$2:$C$289,0))</f>
        <v>0.0227272727272727</v>
      </c>
      <c r="R11" s="45" t="n">
        <f aca="false">INDEX('Emission Stepwise'!$G$2:$G$289,MATCH(17&amp;"|"&amp;$A11,'Emission Stepwise'!$C$2:$C$289,0))</f>
        <v>0.0612244897959184</v>
      </c>
      <c r="S11" s="45" t="n">
        <f aca="false">INDEX('Emission Stepwise'!$G$2:$G$289,MATCH(18&amp;"|"&amp;$A11,'Emission Stepwise'!$C$2:$C$289,0))</f>
        <v>0.0050251256281407</v>
      </c>
      <c r="T11" s="45" t="n">
        <f aca="false">INDEX('Emission Stepwise'!$G$2:$G$289,MATCH(19&amp;"|"&amp;$A11,'Emission Stepwise'!$C$2:$C$289,0))</f>
        <v>0.0050251256281407</v>
      </c>
      <c r="U11" s="45" t="n">
        <f aca="false">INDEX('Emission Stepwise'!$G$2:$G$289,MATCH(20&amp;"|"&amp;$A11,'Emission Stepwise'!$C$2:$C$289,0))</f>
        <v>0.0858585858585859</v>
      </c>
      <c r="V11" s="45" t="n">
        <f aca="false">INDEX('Emission Stepwise'!$G$2:$G$289,MATCH(21&amp;"|"&amp;$A11,'Emission Stepwise'!$C$2:$C$289,0))</f>
        <v>0.894472361809045</v>
      </c>
      <c r="W11" s="45" t="n">
        <f aca="false">INDEX('Emission Stepwise'!$G$2:$G$289,MATCH(22&amp;"|"&amp;$A11,'Emission Stepwise'!$C$2:$C$289,0))</f>
        <v>0.206030150753769</v>
      </c>
      <c r="X11" s="45" t="n">
        <f aca="false">INDEX('Emission Stepwise'!$G$2:$G$289,MATCH(23&amp;"|"&amp;$A11,'Emission Stepwise'!$C$2:$C$289,0))</f>
        <v>0.603015075376884</v>
      </c>
      <c r="Y11" s="45" t="n">
        <f aca="false">INDEX('Emission Stepwise'!$G$2:$G$289,MATCH(24&amp;"|"&amp;$A11,'Emission Stepwise'!$C$2:$C$289,0))</f>
        <v>0.185929648241206</v>
      </c>
      <c r="Z11" s="45" t="n">
        <f aca="false">INDEX('Emission Stepwise'!$G$2:$G$289,MATCH(25&amp;"|"&amp;$A11,'Emission Stepwise'!$C$2:$C$289,0))</f>
        <v>0.0050251256281407</v>
      </c>
      <c r="AA11" s="45" t="n">
        <f aca="false">INDEX('Emission Stepwise'!$G$2:$G$289,MATCH(26&amp;"|"&amp;$A11,'Emission Stepwise'!$C$2:$C$289,0))</f>
        <v>0.417085427135678</v>
      </c>
      <c r="AB11" s="45" t="n">
        <f aca="false">INDEX('Emission Stepwise'!$G$2:$G$289,MATCH(27&amp;"|"&amp;$A11,'Emission Stepwise'!$C$2:$C$289,0))</f>
        <v>0.120603015075377</v>
      </c>
      <c r="AC11" s="45" t="n">
        <f aca="false">INDEX('Emission Stepwise'!$G$2:$G$289,MATCH(28&amp;"|"&amp;$A11,'Emission Stepwise'!$C$2:$C$289,0))</f>
        <v>0.120603015075377</v>
      </c>
      <c r="AD11" s="45" t="n">
        <f aca="false">INDEX('Emission Stepwise'!$G$2:$G$289,MATCH(29&amp;"|"&amp;$A11,'Emission Stepwise'!$C$2:$C$289,0))</f>
        <v>0.160804020100503</v>
      </c>
      <c r="AE11" s="45" t="n">
        <f aca="false">INDEX('Emission Stepwise'!$G$2:$G$289,MATCH(30&amp;"|"&amp;$A11,'Emission Stepwise'!$C$2:$C$289,0))</f>
        <v>0</v>
      </c>
      <c r="AF11" s="45" t="n">
        <f aca="false">INDEX('Emission Stepwise'!$G$2:$G$289,MATCH(31&amp;"|"&amp;$A11,'Emission Stepwise'!$C$2:$C$289,0))</f>
        <v>0.271356783919598</v>
      </c>
      <c r="AG11" s="45" t="n">
        <f aca="false">INDEX('Emission Stepwise'!$G$2:$G$289,MATCH(32&amp;"|"&amp;$A11,'Emission Stepwise'!$C$2:$C$289,0))</f>
        <v>0.0301507537688442</v>
      </c>
      <c r="AH11" s="45" t="n">
        <f aca="false">INDEX('Emission Stepwise'!$G$2:$G$289,MATCH(33&amp;"|"&amp;$A11,'Emission Stepwise'!$C$2:$C$289,0))</f>
        <v>0.0050251256281407</v>
      </c>
      <c r="AI11" s="45" t="n">
        <f aca="false">INDEX('Emission Stepwise'!$G$2:$G$289,MATCH(34&amp;"|"&amp;$A11,'Emission Stepwise'!$C$2:$C$289,0))</f>
        <v>0.0452261306532663</v>
      </c>
      <c r="AJ11" s="45" t="n">
        <f aca="false">INDEX('Emission Stepwise'!$G$2:$G$289,MATCH(35&amp;"|"&amp;$A11,'Emission Stepwise'!$C$2:$C$289,0))</f>
        <v>0.306532663316583</v>
      </c>
      <c r="AK11" s="45" t="n">
        <f aca="false">INDEX('Emission Stepwise'!$G$2:$G$289,MATCH(36&amp;"|"&amp;$A11,'Emission Stepwise'!$C$2:$C$289,0))</f>
        <v>0.21608040201005</v>
      </c>
      <c r="AL11" s="45" t="n">
        <f aca="false">INDEX('Emission Stepwise'!$G$2:$G$289,MATCH(37&amp;"|"&amp;$A11,'Emission Stepwise'!$C$2:$C$289,0))</f>
        <v>0.753768844221106</v>
      </c>
      <c r="AM11" s="45" t="n">
        <f aca="false">INDEX('Emission Stepwise'!$G$2:$G$289,MATCH(38&amp;"|"&amp;$A11,'Emission Stepwise'!$C$2:$C$289,0))</f>
        <v>0.733668341708543</v>
      </c>
      <c r="AN11" s="45" t="n">
        <f aca="false">INDEX('Emission Stepwise'!$G$2:$G$289,MATCH(39&amp;"|"&amp;$A11,'Emission Stepwise'!$C$2:$C$289,0))</f>
        <v>0.0904522613065327</v>
      </c>
      <c r="AO11" s="45" t="n">
        <f aca="false">INDEX('Emission Stepwise'!$G$2:$G$289,MATCH(40&amp;"|"&amp;$A11,'Emission Stepwise'!$C$2:$C$289,0))</f>
        <v>0.0050251256281407</v>
      </c>
      <c r="AP11" s="45" t="n">
        <f aca="false">INDEX('Emission Stepwise'!$G$2:$G$289,MATCH(41&amp;"|"&amp;$A11,'Emission Stepwise'!$C$2:$C$289,0))</f>
        <v>0.271356783919598</v>
      </c>
      <c r="AQ11" s="45" t="n">
        <f aca="false">INDEX('Emission Stepwise'!$G$2:$G$289,MATCH(42&amp;"|"&amp;$A11,'Emission Stepwise'!$C$2:$C$289,0))</f>
        <v>0.241206030150754</v>
      </c>
      <c r="AR11" s="45" t="n">
        <f aca="false">INDEX('Emission Stepwise'!$G$2:$G$289,MATCH(43&amp;"|"&amp;$A11,'Emission Stepwise'!$C$2:$C$289,0))</f>
        <v>0.226130653266332</v>
      </c>
      <c r="AS11" s="45" t="n">
        <f aca="false">INDEX('Emission Stepwise'!$G$2:$G$289,MATCH(44&amp;"|"&amp;$A11,'Emission Stepwise'!$C$2:$C$289,0))</f>
        <v>0.49748743718593</v>
      </c>
      <c r="AT11" s="45" t="n">
        <f aca="false">INDEX('Emission Stepwise'!$G$2:$G$289,MATCH(45&amp;"|"&amp;$A11,'Emission Stepwise'!$C$2:$C$289,0))</f>
        <v>0.0761421319796954</v>
      </c>
      <c r="AU11" s="45" t="n">
        <f aca="false">INDEX('Emission Stepwise'!$G$2:$G$289,MATCH(46&amp;"|"&amp;$A11,'Emission Stepwise'!$C$2:$C$289,0))</f>
        <v>0.0952380952380952</v>
      </c>
      <c r="AV11" s="45" t="n">
        <f aca="false">INDEX('Emission Stepwise'!$G$2:$G$289,MATCH(47&amp;"|"&amp;$A11,'Emission Stepwise'!$C$2:$C$289,0))</f>
        <v>0.130653266331658</v>
      </c>
      <c r="AW11" s="45" t="n">
        <f aca="false">INDEX('Emission Stepwise'!$G$2:$G$289,MATCH(48&amp;"|"&amp;$A11,'Emission Stepwise'!$C$2:$C$289,0))</f>
        <v>0.0050251256281407</v>
      </c>
      <c r="AX11" s="45" t="n">
        <f aca="false">INDEX('Emission Stepwise'!$G$2:$G$289,MATCH(49&amp;"|"&amp;$A11,'Emission Stepwise'!$C$2:$C$289,0))</f>
        <v>0.155778894472362</v>
      </c>
      <c r="AY11" s="45" t="n">
        <f aca="false">INDEX('Emission Stepwise'!$G$2:$G$289,MATCH(50&amp;"|"&amp;$A11,'Emission Stepwise'!$C$2:$C$289,0))</f>
        <v>0.115577889447236</v>
      </c>
      <c r="AZ11" s="45" t="n">
        <f aca="false">INDEX('Emission Stepwise'!$G$2:$G$289,MATCH(51&amp;"|"&amp;$A11,'Emission Stepwise'!$C$2:$C$289,0))</f>
        <v>0.141414141414141</v>
      </c>
      <c r="BA11" s="45" t="n">
        <f aca="false">INDEX('Emission Stepwise'!$G$2:$G$289,MATCH(52&amp;"|"&amp;$A11,'Emission Stepwise'!$C$2:$C$289,0))</f>
        <v>0.130653266331658</v>
      </c>
      <c r="BB11" s="45" t="n">
        <f aca="false">INDEX('Emission Stepwise'!$G$2:$G$289,MATCH(53&amp;"|"&amp;$A11,'Emission Stepwise'!$C$2:$C$289,0))</f>
        <v>0.0050251256281407</v>
      </c>
      <c r="BC11" s="45" t="n">
        <f aca="false">INDEX('Emission Stepwise'!$G$2:$G$289,MATCH(54&amp;"|"&amp;$A11,'Emission Stepwise'!$C$2:$C$289,0))</f>
        <v>0.0100502512562814</v>
      </c>
      <c r="BD11" s="45" t="n">
        <f aca="false">INDEX('Emission Stepwise'!$G$2:$G$289,MATCH(55&amp;"|"&amp;$A11,'Emission Stepwise'!$C$2:$C$289,0))</f>
        <v>0.0050251256281407</v>
      </c>
      <c r="BE11" s="45" t="n">
        <f aca="false">INDEX('Emission Stepwise'!$G$2:$G$289,MATCH(56&amp;"|"&amp;$A11,'Emission Stepwise'!$C$2:$C$289,0))</f>
        <v>0.0100502512562814</v>
      </c>
      <c r="BF11" s="45" t="n">
        <f aca="false">INDEX('Emission Stepwise'!$G$2:$G$289,MATCH(57&amp;"|"&amp;$A11,'Emission Stepwise'!$C$2:$C$289,0))</f>
        <v>0.383838383838384</v>
      </c>
      <c r="BG11" s="45" t="n">
        <f aca="false">INDEX('Emission Stepwise'!$G$2:$G$289,MATCH(58&amp;"|"&amp;$A11,'Emission Stepwise'!$C$2:$C$289,0))</f>
        <v>0.989949748743719</v>
      </c>
      <c r="BH11" s="45" t="n">
        <f aca="false">INDEX('Emission Stepwise'!$G$2:$G$289,MATCH(59&amp;"|"&amp;$A11,'Emission Stepwise'!$C$2:$C$289,0))</f>
        <v>0.457286432160804</v>
      </c>
      <c r="BI11" s="45" t="n">
        <f aca="false">INDEX('Emission Stepwise'!$G$2:$G$289,MATCH(60&amp;"|"&amp;$A11,'Emission Stepwise'!$C$2:$C$289,0))</f>
        <v>0.0050251256281407</v>
      </c>
      <c r="BJ11" s="45" t="n">
        <f aca="false">INDEX('Emission Stepwise'!$G$2:$G$289,MATCH(61&amp;"|"&amp;$A11,'Emission Stepwise'!$C$2:$C$289,0))</f>
        <v>0</v>
      </c>
      <c r="BK11" s="45" t="n">
        <f aca="false">INDEX('Emission Stepwise'!$G$2:$G$289,MATCH(62&amp;"|"&amp;$A11,'Emission Stepwise'!$C$2:$C$289,0))</f>
        <v>0.0150753768844221</v>
      </c>
      <c r="BL11" s="45" t="n">
        <f aca="false">INDEX('Emission Stepwise'!$G$2:$G$289,MATCH(63&amp;"|"&amp;$A11,'Emission Stepwise'!$C$2:$C$289,0))</f>
        <v>0.110552763819095</v>
      </c>
      <c r="BM11" s="45" t="n">
        <f aca="false">INDEX('Emission Stepwise'!$G$2:$G$289,MATCH(64&amp;"|"&amp;$A11,'Emission Stepwise'!$C$2:$C$289,0))</f>
        <v>0.160804020100503</v>
      </c>
      <c r="BN11" s="45" t="n">
        <f aca="false">INDEX('Emission Stepwise'!$G$2:$G$289,MATCH(65&amp;"|"&amp;$A11,'Emission Stepwise'!$C$2:$C$289,0))</f>
        <v>0.0454545454545455</v>
      </c>
      <c r="BO11" s="45" t="n">
        <f aca="false">INDEX('Emission Stepwise'!$G$2:$G$289,MATCH(66&amp;"|"&amp;$A11,'Emission Stepwise'!$C$2:$C$289,0))</f>
        <v>0.21608040201005</v>
      </c>
      <c r="BP11" s="45" t="n">
        <f aca="false">INDEX('Emission Stepwise'!$G$2:$G$289,MATCH(67&amp;"|"&amp;$A11,'Emission Stepwise'!$C$2:$C$289,0))</f>
        <v>0.206030150753769</v>
      </c>
      <c r="BQ11" s="45" t="n">
        <f aca="false">INDEX('Emission Stepwise'!$G$2:$G$289,MATCH(68&amp;"|"&amp;$A11,'Emission Stepwise'!$C$2:$C$289,0))</f>
        <v>0.0753768844221106</v>
      </c>
      <c r="BR11" s="45" t="n">
        <f aca="false">INDEX('Emission Stepwise'!$G$2:$G$289,MATCH(69&amp;"|"&amp;$A11,'Emission Stepwise'!$C$2:$C$289,0))</f>
        <v>0.125628140703518</v>
      </c>
      <c r="BS11" s="45" t="n">
        <f aca="false">INDEX('Emission Stepwise'!$G$2:$G$289,MATCH(70&amp;"|"&amp;$A11,'Emission Stepwise'!$C$2:$C$289,0))</f>
        <v>0.115577889447236</v>
      </c>
      <c r="BT11" s="45" t="n">
        <f aca="false">INDEX('Emission Stepwise'!$G$2:$G$289,MATCH(71&amp;"|"&amp;$A11,'Emission Stepwise'!$C$2:$C$289,0))</f>
        <v>0.0251256281407035</v>
      </c>
      <c r="BU11" s="45" t="n">
        <f aca="false">INDEX('Emission Stepwise'!$G$2:$G$289,MATCH(72&amp;"|"&amp;$A11,'Emission Stepwise'!$C$2:$C$289,0))</f>
        <v>0.0804020100502513</v>
      </c>
    </row>
    <row r="12" customFormat="false" ht="15" hidden="false" customHeight="true" outlineLevel="0" collapsed="false">
      <c r="A12" s="41" t="s">
        <v>170</v>
      </c>
      <c r="B12" s="45" t="n">
        <f aca="false">INDEX('Emission Stepwise'!$G$2:$G$289,MATCH(1&amp;"|"&amp;$A12,'Emission Stepwise'!$C$2:$C$289,0))</f>
        <v>0.105527638190955</v>
      </c>
      <c r="C12" s="45" t="n">
        <f aca="false">INDEX('Emission Stepwise'!$G$2:$G$289,MATCH(2&amp;"|"&amp;$A12,'Emission Stepwise'!$C$2:$C$289,0))</f>
        <v>0.412060301507538</v>
      </c>
      <c r="D12" s="45" t="n">
        <f aca="false">INDEX('Emission Stepwise'!$G$2:$G$289,MATCH(3&amp;"|"&amp;$A12,'Emission Stepwise'!$C$2:$C$289,0))</f>
        <v>0.386934673366834</v>
      </c>
      <c r="E12" s="45" t="n">
        <f aca="false">INDEX('Emission Stepwise'!$G$2:$G$289,MATCH(4&amp;"|"&amp;$A12,'Emission Stepwise'!$C$2:$C$289,0))</f>
        <v>0.306532663316583</v>
      </c>
      <c r="F12" s="45" t="n">
        <f aca="false">INDEX('Emission Stepwise'!$G$2:$G$289,MATCH(5&amp;"|"&amp;$A12,'Emission Stepwise'!$C$2:$C$289,0))</f>
        <v>0.396984924623116</v>
      </c>
      <c r="G12" s="45" t="n">
        <f aca="false">INDEX('Emission Stepwise'!$G$2:$G$289,MATCH(6&amp;"|"&amp;$A12,'Emission Stepwise'!$C$2:$C$289,0))</f>
        <v>0.326633165829146</v>
      </c>
      <c r="H12" s="45" t="n">
        <f aca="false">INDEX('Emission Stepwise'!$G$2:$G$289,MATCH(7&amp;"|"&amp;$A12,'Emission Stepwise'!$C$2:$C$289,0))</f>
        <v>0.0150753768844221</v>
      </c>
      <c r="I12" s="45" t="n">
        <f aca="false">INDEX('Emission Stepwise'!$G$2:$G$289,MATCH(8&amp;"|"&amp;$A12,'Emission Stepwise'!$C$2:$C$289,0))</f>
        <v>0</v>
      </c>
      <c r="J12" s="45" t="n">
        <f aca="false">INDEX('Emission Stepwise'!$G$2:$G$289,MATCH(9&amp;"|"&amp;$A12,'Emission Stepwise'!$C$2:$C$289,0))</f>
        <v>0.0353535353535354</v>
      </c>
      <c r="K12" s="45" t="n">
        <f aca="false">INDEX('Emission Stepwise'!$G$2:$G$289,MATCH(10&amp;"|"&amp;$A12,'Emission Stepwise'!$C$2:$C$289,0))</f>
        <v>0.0402010050251256</v>
      </c>
      <c r="L12" s="45" t="n">
        <f aca="false">INDEX('Emission Stepwise'!$G$2:$G$289,MATCH(11&amp;"|"&amp;$A12,'Emission Stepwise'!$C$2:$C$289,0))</f>
        <v>0.733668341708543</v>
      </c>
      <c r="M12" s="45" t="n">
        <f aca="false">INDEX('Emission Stepwise'!$G$2:$G$289,MATCH(12&amp;"|"&amp;$A12,'Emission Stepwise'!$C$2:$C$289,0))</f>
        <v>0.14572864321608</v>
      </c>
      <c r="N12" s="45" t="n">
        <f aca="false">INDEX('Emission Stepwise'!$G$2:$G$289,MATCH(13&amp;"|"&amp;$A12,'Emission Stepwise'!$C$2:$C$289,0))</f>
        <v>0.648241206030151</v>
      </c>
      <c r="O12" s="45" t="n">
        <f aca="false">INDEX('Emission Stepwise'!$G$2:$G$289,MATCH(14&amp;"|"&amp;$A12,'Emission Stepwise'!$C$2:$C$289,0))</f>
        <v>0.0050251256281407</v>
      </c>
      <c r="P12" s="45" t="n">
        <f aca="false">INDEX('Emission Stepwise'!$G$2:$G$289,MATCH(15&amp;"|"&amp;$A12,'Emission Stepwise'!$C$2:$C$289,0))</f>
        <v>0.0101010101010101</v>
      </c>
      <c r="Q12" s="45" t="n">
        <f aca="false">INDEX('Emission Stepwise'!$G$2:$G$289,MATCH(16&amp;"|"&amp;$A12,'Emission Stepwise'!$C$2:$C$289,0))</f>
        <v>0.356060606060606</v>
      </c>
      <c r="R12" s="45" t="n">
        <f aca="false">INDEX('Emission Stepwise'!$G$2:$G$289,MATCH(17&amp;"|"&amp;$A12,'Emission Stepwise'!$C$2:$C$289,0))</f>
        <v>0.321428571428571</v>
      </c>
      <c r="S12" s="45" t="n">
        <f aca="false">INDEX('Emission Stepwise'!$G$2:$G$289,MATCH(18&amp;"|"&amp;$A12,'Emission Stepwise'!$C$2:$C$289,0))</f>
        <v>0</v>
      </c>
      <c r="T12" s="45" t="n">
        <f aca="false">INDEX('Emission Stepwise'!$G$2:$G$289,MATCH(19&amp;"|"&amp;$A12,'Emission Stepwise'!$C$2:$C$289,0))</f>
        <v>0</v>
      </c>
      <c r="U12" s="45" t="n">
        <f aca="false">INDEX('Emission Stepwise'!$G$2:$G$289,MATCH(20&amp;"|"&amp;$A12,'Emission Stepwise'!$C$2:$C$289,0))</f>
        <v>0.227272727272727</v>
      </c>
      <c r="V12" s="45" t="n">
        <f aca="false">INDEX('Emission Stepwise'!$G$2:$G$289,MATCH(21&amp;"|"&amp;$A12,'Emission Stepwise'!$C$2:$C$289,0))</f>
        <v>0.0201005025125628</v>
      </c>
      <c r="W12" s="45" t="n">
        <f aca="false">INDEX('Emission Stepwise'!$G$2:$G$289,MATCH(22&amp;"|"&amp;$A12,'Emission Stepwise'!$C$2:$C$289,0))</f>
        <v>0</v>
      </c>
      <c r="X12" s="45" t="n">
        <f aca="false">INDEX('Emission Stepwise'!$G$2:$G$289,MATCH(23&amp;"|"&amp;$A12,'Emission Stepwise'!$C$2:$C$289,0))</f>
        <v>0.190954773869347</v>
      </c>
      <c r="Y12" s="45" t="n">
        <f aca="false">INDEX('Emission Stepwise'!$G$2:$G$289,MATCH(24&amp;"|"&amp;$A12,'Emission Stepwise'!$C$2:$C$289,0))</f>
        <v>0.0301507537688442</v>
      </c>
      <c r="Z12" s="45" t="n">
        <f aca="false">INDEX('Emission Stepwise'!$G$2:$G$289,MATCH(25&amp;"|"&amp;$A12,'Emission Stepwise'!$C$2:$C$289,0))</f>
        <v>0.889447236180905</v>
      </c>
      <c r="AA12" s="45" t="n">
        <f aca="false">INDEX('Emission Stepwise'!$G$2:$G$289,MATCH(26&amp;"|"&amp;$A12,'Emission Stepwise'!$C$2:$C$289,0))</f>
        <v>0.0251256281407035</v>
      </c>
      <c r="AB12" s="45" t="n">
        <f aca="false">INDEX('Emission Stepwise'!$G$2:$G$289,MATCH(27&amp;"|"&amp;$A12,'Emission Stepwise'!$C$2:$C$289,0))</f>
        <v>0.467336683417085</v>
      </c>
      <c r="AC12" s="45" t="n">
        <f aca="false">INDEX('Emission Stepwise'!$G$2:$G$289,MATCH(28&amp;"|"&amp;$A12,'Emission Stepwise'!$C$2:$C$289,0))</f>
        <v>0.517587939698493</v>
      </c>
      <c r="AD12" s="45" t="n">
        <f aca="false">INDEX('Emission Stepwise'!$G$2:$G$289,MATCH(29&amp;"|"&amp;$A12,'Emission Stepwise'!$C$2:$C$289,0))</f>
        <v>0.175879396984925</v>
      </c>
      <c r="AE12" s="45" t="n">
        <f aca="false">INDEX('Emission Stepwise'!$G$2:$G$289,MATCH(30&amp;"|"&amp;$A12,'Emission Stepwise'!$C$2:$C$289,0))</f>
        <v>0.21105527638191</v>
      </c>
      <c r="AF12" s="45" t="n">
        <f aca="false">INDEX('Emission Stepwise'!$G$2:$G$289,MATCH(31&amp;"|"&amp;$A12,'Emission Stepwise'!$C$2:$C$289,0))</f>
        <v>0.361809045226131</v>
      </c>
      <c r="AG12" s="45" t="n">
        <f aca="false">INDEX('Emission Stepwise'!$G$2:$G$289,MATCH(32&amp;"|"&amp;$A12,'Emission Stepwise'!$C$2:$C$289,0))</f>
        <v>0.673366834170854</v>
      </c>
      <c r="AH12" s="45" t="n">
        <f aca="false">INDEX('Emission Stepwise'!$G$2:$G$289,MATCH(33&amp;"|"&amp;$A12,'Emission Stepwise'!$C$2:$C$289,0))</f>
        <v>0.0050251256281407</v>
      </c>
      <c r="AI12" s="45" t="n">
        <f aca="false">INDEX('Emission Stepwise'!$G$2:$G$289,MATCH(34&amp;"|"&amp;$A12,'Emission Stepwise'!$C$2:$C$289,0))</f>
        <v>0.331658291457286</v>
      </c>
      <c r="AJ12" s="45" t="n">
        <f aca="false">INDEX('Emission Stepwise'!$G$2:$G$289,MATCH(35&amp;"|"&amp;$A12,'Emission Stepwise'!$C$2:$C$289,0))</f>
        <v>0.231155778894472</v>
      </c>
      <c r="AK12" s="45" t="n">
        <f aca="false">INDEX('Emission Stepwise'!$G$2:$G$289,MATCH(36&amp;"|"&amp;$A12,'Emission Stepwise'!$C$2:$C$289,0))</f>
        <v>0.266331658291457</v>
      </c>
      <c r="AL12" s="45" t="n">
        <f aca="false">INDEX('Emission Stepwise'!$G$2:$G$289,MATCH(37&amp;"|"&amp;$A12,'Emission Stepwise'!$C$2:$C$289,0))</f>
        <v>0.0050251256281407</v>
      </c>
      <c r="AM12" s="45" t="n">
        <f aca="false">INDEX('Emission Stepwise'!$G$2:$G$289,MATCH(38&amp;"|"&amp;$A12,'Emission Stepwise'!$C$2:$C$289,0))</f>
        <v>0.14572864321608</v>
      </c>
      <c r="AN12" s="45" t="n">
        <f aca="false">INDEX('Emission Stepwise'!$G$2:$G$289,MATCH(39&amp;"|"&amp;$A12,'Emission Stepwise'!$C$2:$C$289,0))</f>
        <v>0.251256281407035</v>
      </c>
      <c r="AO12" s="45" t="n">
        <f aca="false">INDEX('Emission Stepwise'!$G$2:$G$289,MATCH(40&amp;"|"&amp;$A12,'Emission Stepwise'!$C$2:$C$289,0))</f>
        <v>0.718592964824121</v>
      </c>
      <c r="AP12" s="45" t="n">
        <f aca="false">INDEX('Emission Stepwise'!$G$2:$G$289,MATCH(41&amp;"|"&amp;$A12,'Emission Stepwise'!$C$2:$C$289,0))</f>
        <v>0.386934673366834</v>
      </c>
      <c r="AQ12" s="45" t="n">
        <f aca="false">INDEX('Emission Stepwise'!$G$2:$G$289,MATCH(42&amp;"|"&amp;$A12,'Emission Stepwise'!$C$2:$C$289,0))</f>
        <v>0.100502512562814</v>
      </c>
      <c r="AR12" s="45" t="n">
        <f aca="false">INDEX('Emission Stepwise'!$G$2:$G$289,MATCH(43&amp;"|"&amp;$A12,'Emission Stepwise'!$C$2:$C$289,0))</f>
        <v>0.115577889447236</v>
      </c>
      <c r="AS12" s="45" t="n">
        <f aca="false">INDEX('Emission Stepwise'!$G$2:$G$289,MATCH(44&amp;"|"&amp;$A12,'Emission Stepwise'!$C$2:$C$289,0))</f>
        <v>0.155778894472362</v>
      </c>
      <c r="AT12" s="45" t="n">
        <f aca="false">INDEX('Emission Stepwise'!$G$2:$G$289,MATCH(45&amp;"|"&amp;$A12,'Emission Stepwise'!$C$2:$C$289,0))</f>
        <v>0.0253807106598985</v>
      </c>
      <c r="AU12" s="45" t="n">
        <f aca="false">INDEX('Emission Stepwise'!$G$2:$G$289,MATCH(46&amp;"|"&amp;$A12,'Emission Stepwise'!$C$2:$C$289,0))</f>
        <v>0.0238095238095238</v>
      </c>
      <c r="AV12" s="45" t="n">
        <f aca="false">INDEX('Emission Stepwise'!$G$2:$G$289,MATCH(47&amp;"|"&amp;$A12,'Emission Stepwise'!$C$2:$C$289,0))</f>
        <v>0.115577889447236</v>
      </c>
      <c r="AW12" s="45" t="n">
        <f aca="false">INDEX('Emission Stepwise'!$G$2:$G$289,MATCH(48&amp;"|"&amp;$A12,'Emission Stepwise'!$C$2:$C$289,0))</f>
        <v>0.839195979899498</v>
      </c>
      <c r="AX12" s="45" t="n">
        <f aca="false">INDEX('Emission Stepwise'!$G$2:$G$289,MATCH(49&amp;"|"&amp;$A12,'Emission Stepwise'!$C$2:$C$289,0))</f>
        <v>0.28643216080402</v>
      </c>
      <c r="AY12" s="45" t="n">
        <f aca="false">INDEX('Emission Stepwise'!$G$2:$G$289,MATCH(50&amp;"|"&amp;$A12,'Emission Stepwise'!$C$2:$C$289,0))</f>
        <v>0.437185929648241</v>
      </c>
      <c r="AZ12" s="45" t="n">
        <f aca="false">INDEX('Emission Stepwise'!$G$2:$G$289,MATCH(51&amp;"|"&amp;$A12,'Emission Stepwise'!$C$2:$C$289,0))</f>
        <v>0.207070707070707</v>
      </c>
      <c r="BA12" s="45" t="n">
        <f aca="false">INDEX('Emission Stepwise'!$G$2:$G$289,MATCH(52&amp;"|"&amp;$A12,'Emission Stepwise'!$C$2:$C$289,0))</f>
        <v>0.0100502512562814</v>
      </c>
      <c r="BB12" s="45" t="n">
        <f aca="false">INDEX('Emission Stepwise'!$G$2:$G$289,MATCH(53&amp;"|"&amp;$A12,'Emission Stepwise'!$C$2:$C$289,0))</f>
        <v>0.0050251256281407</v>
      </c>
      <c r="BC12" s="45" t="n">
        <f aca="false">INDEX('Emission Stepwise'!$G$2:$G$289,MATCH(54&amp;"|"&amp;$A12,'Emission Stepwise'!$C$2:$C$289,0))</f>
        <v>0</v>
      </c>
      <c r="BD12" s="45" t="n">
        <f aca="false">INDEX('Emission Stepwise'!$G$2:$G$289,MATCH(55&amp;"|"&amp;$A12,'Emission Stepwise'!$C$2:$C$289,0))</f>
        <v>0.0050251256281407</v>
      </c>
      <c r="BE12" s="45" t="n">
        <f aca="false">INDEX('Emission Stepwise'!$G$2:$G$289,MATCH(56&amp;"|"&amp;$A12,'Emission Stepwise'!$C$2:$C$289,0))</f>
        <v>0.979899497487437</v>
      </c>
      <c r="BF12" s="45" t="n">
        <f aca="false">INDEX('Emission Stepwise'!$G$2:$G$289,MATCH(57&amp;"|"&amp;$A12,'Emission Stepwise'!$C$2:$C$289,0))</f>
        <v>0</v>
      </c>
      <c r="BG12" s="45" t="n">
        <f aca="false">INDEX('Emission Stepwise'!$G$2:$G$289,MATCH(58&amp;"|"&amp;$A12,'Emission Stepwise'!$C$2:$C$289,0))</f>
        <v>0.0050251256281407</v>
      </c>
      <c r="BH12" s="45" t="n">
        <f aca="false">INDEX('Emission Stepwise'!$G$2:$G$289,MATCH(59&amp;"|"&amp;$A12,'Emission Stepwise'!$C$2:$C$289,0))</f>
        <v>0.0603015075376884</v>
      </c>
      <c r="BI12" s="45" t="n">
        <f aca="false">INDEX('Emission Stepwise'!$G$2:$G$289,MATCH(60&amp;"|"&amp;$A12,'Emission Stepwise'!$C$2:$C$289,0))</f>
        <v>0.201005025125628</v>
      </c>
      <c r="BJ12" s="45" t="n">
        <f aca="false">INDEX('Emission Stepwise'!$G$2:$G$289,MATCH(61&amp;"|"&amp;$A12,'Emission Stepwise'!$C$2:$C$289,0))</f>
        <v>0.989949748743719</v>
      </c>
      <c r="BK12" s="45" t="n">
        <f aca="false">INDEX('Emission Stepwise'!$G$2:$G$289,MATCH(62&amp;"|"&amp;$A12,'Emission Stepwise'!$C$2:$C$289,0))</f>
        <v>0.844221105527638</v>
      </c>
      <c r="BL12" s="45" t="n">
        <f aca="false">INDEX('Emission Stepwise'!$G$2:$G$289,MATCH(63&amp;"|"&amp;$A12,'Emission Stepwise'!$C$2:$C$289,0))</f>
        <v>0.487437185929648</v>
      </c>
      <c r="BM12" s="45" t="n">
        <f aca="false">INDEX('Emission Stepwise'!$G$2:$G$289,MATCH(64&amp;"|"&amp;$A12,'Emission Stepwise'!$C$2:$C$289,0))</f>
        <v>0.21105527638191</v>
      </c>
      <c r="BN12" s="45" t="n">
        <f aca="false">INDEX('Emission Stepwise'!$G$2:$G$289,MATCH(65&amp;"|"&amp;$A12,'Emission Stepwise'!$C$2:$C$289,0))</f>
        <v>0.318181818181818</v>
      </c>
      <c r="BO12" s="45" t="n">
        <f aca="false">INDEX('Emission Stepwise'!$G$2:$G$289,MATCH(66&amp;"|"&amp;$A12,'Emission Stepwise'!$C$2:$C$289,0))</f>
        <v>0.527638190954774</v>
      </c>
      <c r="BP12" s="45" t="n">
        <f aca="false">INDEX('Emission Stepwise'!$G$2:$G$289,MATCH(67&amp;"|"&amp;$A12,'Emission Stepwise'!$C$2:$C$289,0))</f>
        <v>0.226130653266332</v>
      </c>
      <c r="BQ12" s="45" t="n">
        <f aca="false">INDEX('Emission Stepwise'!$G$2:$G$289,MATCH(68&amp;"|"&amp;$A12,'Emission Stepwise'!$C$2:$C$289,0))</f>
        <v>0.311557788944724</v>
      </c>
      <c r="BR12" s="45" t="n">
        <f aca="false">INDEX('Emission Stepwise'!$G$2:$G$289,MATCH(69&amp;"|"&amp;$A12,'Emission Stepwise'!$C$2:$C$289,0))</f>
        <v>0.442211055276382</v>
      </c>
      <c r="BS12" s="45" t="n">
        <f aca="false">INDEX('Emission Stepwise'!$G$2:$G$289,MATCH(70&amp;"|"&amp;$A12,'Emission Stepwise'!$C$2:$C$289,0))</f>
        <v>0.35678391959799</v>
      </c>
      <c r="BT12" s="45" t="n">
        <f aca="false">INDEX('Emission Stepwise'!$G$2:$G$289,MATCH(71&amp;"|"&amp;$A12,'Emission Stepwise'!$C$2:$C$289,0))</f>
        <v>0.517587939698493</v>
      </c>
      <c r="BU12" s="45" t="n">
        <f aca="false">INDEX('Emission Stepwise'!$G$2:$G$289,MATCH(72&amp;"|"&amp;$A12,'Emission Stepwise'!$C$2:$C$289,0))</f>
        <v>0.728643216080402</v>
      </c>
    </row>
    <row r="13" customFormat="false" ht="15" hidden="false" customHeight="true" outlineLevel="0" collapsed="false">
      <c r="A13" s="41" t="s">
        <v>169</v>
      </c>
      <c r="B13" s="45" t="n">
        <f aca="false">INDEX('Emission Stepwise'!$G$2:$G$289,MATCH(1&amp;"|"&amp;$A13,'Emission Stepwise'!$C$2:$C$289,0))</f>
        <v>0.763819095477387</v>
      </c>
      <c r="C13" s="45" t="n">
        <f aca="false">INDEX('Emission Stepwise'!$G$2:$G$289,MATCH(2&amp;"|"&amp;$A13,'Emission Stepwise'!$C$2:$C$289,0))</f>
        <v>0.527638190954774</v>
      </c>
      <c r="D13" s="45" t="n">
        <f aca="false">INDEX('Emission Stepwise'!$G$2:$G$289,MATCH(3&amp;"|"&amp;$A13,'Emission Stepwise'!$C$2:$C$289,0))</f>
        <v>0.42713567839196</v>
      </c>
      <c r="E13" s="45" t="n">
        <f aca="false">INDEX('Emission Stepwise'!$G$2:$G$289,MATCH(4&amp;"|"&amp;$A13,'Emission Stepwise'!$C$2:$C$289,0))</f>
        <v>0.447236180904523</v>
      </c>
      <c r="F13" s="45" t="n">
        <f aca="false">INDEX('Emission Stepwise'!$G$2:$G$289,MATCH(5&amp;"|"&amp;$A13,'Emission Stepwise'!$C$2:$C$289,0))</f>
        <v>0.346733668341709</v>
      </c>
      <c r="G13" s="45" t="n">
        <f aca="false">INDEX('Emission Stepwise'!$G$2:$G$289,MATCH(6&amp;"|"&amp;$A13,'Emission Stepwise'!$C$2:$C$289,0))</f>
        <v>0.241206030150754</v>
      </c>
      <c r="H13" s="45" t="n">
        <f aca="false">INDEX('Emission Stepwise'!$G$2:$G$289,MATCH(7&amp;"|"&amp;$A13,'Emission Stepwise'!$C$2:$C$289,0))</f>
        <v>0.527638190954774</v>
      </c>
      <c r="I13" s="45" t="n">
        <f aca="false">INDEX('Emission Stepwise'!$G$2:$G$289,MATCH(8&amp;"|"&amp;$A13,'Emission Stepwise'!$C$2:$C$289,0))</f>
        <v>0.0050251256281407</v>
      </c>
      <c r="J13" s="45" t="n">
        <f aca="false">INDEX('Emission Stepwise'!$G$2:$G$289,MATCH(9&amp;"|"&amp;$A13,'Emission Stepwise'!$C$2:$C$289,0))</f>
        <v>0.308080808080808</v>
      </c>
      <c r="K13" s="45" t="n">
        <f aca="false">INDEX('Emission Stepwise'!$G$2:$G$289,MATCH(10&amp;"|"&amp;$A13,'Emission Stepwise'!$C$2:$C$289,0))</f>
        <v>0.959798994974874</v>
      </c>
      <c r="L13" s="45" t="n">
        <f aca="false">INDEX('Emission Stepwise'!$G$2:$G$289,MATCH(11&amp;"|"&amp;$A13,'Emission Stepwise'!$C$2:$C$289,0))</f>
        <v>0.0301507537688442</v>
      </c>
      <c r="M13" s="45" t="n">
        <f aca="false">INDEX('Emission Stepwise'!$G$2:$G$289,MATCH(12&amp;"|"&amp;$A13,'Emission Stepwise'!$C$2:$C$289,0))</f>
        <v>0.190954773869347</v>
      </c>
      <c r="N13" s="45" t="n">
        <f aca="false">INDEX('Emission Stepwise'!$G$2:$G$289,MATCH(13&amp;"|"&amp;$A13,'Emission Stepwise'!$C$2:$C$289,0))</f>
        <v>0.0954773869346734</v>
      </c>
      <c r="O13" s="45" t="n">
        <f aca="false">INDEX('Emission Stepwise'!$G$2:$G$289,MATCH(14&amp;"|"&amp;$A13,'Emission Stepwise'!$C$2:$C$289,0))</f>
        <v>0.0050251256281407</v>
      </c>
      <c r="P13" s="45" t="n">
        <f aca="false">INDEX('Emission Stepwise'!$G$2:$G$289,MATCH(15&amp;"|"&amp;$A13,'Emission Stepwise'!$C$2:$C$289,0))</f>
        <v>0.813131313131313</v>
      </c>
      <c r="Q13" s="45" t="n">
        <f aca="false">INDEX('Emission Stepwise'!$G$2:$G$289,MATCH(16&amp;"|"&amp;$A13,'Emission Stepwise'!$C$2:$C$289,0))</f>
        <v>0.0227272727272727</v>
      </c>
      <c r="R13" s="45" t="n">
        <f aca="false">INDEX('Emission Stepwise'!$G$2:$G$289,MATCH(17&amp;"|"&amp;$A13,'Emission Stepwise'!$C$2:$C$289,0))</f>
        <v>0.0408163265306122</v>
      </c>
      <c r="S13" s="45" t="n">
        <f aca="false">INDEX('Emission Stepwise'!$G$2:$G$289,MATCH(18&amp;"|"&amp;$A13,'Emission Stepwise'!$C$2:$C$289,0))</f>
        <v>0.994974874371859</v>
      </c>
      <c r="T13" s="45" t="n">
        <f aca="false">INDEX('Emission Stepwise'!$G$2:$G$289,MATCH(19&amp;"|"&amp;$A13,'Emission Stepwise'!$C$2:$C$289,0))</f>
        <v>0.984924623115578</v>
      </c>
      <c r="U13" s="45" t="n">
        <f aca="false">INDEX('Emission Stepwise'!$G$2:$G$289,MATCH(20&amp;"|"&amp;$A13,'Emission Stepwise'!$C$2:$C$289,0))</f>
        <v>0.0909090909090909</v>
      </c>
      <c r="V13" s="45" t="n">
        <f aca="false">INDEX('Emission Stepwise'!$G$2:$G$289,MATCH(21&amp;"|"&amp;$A13,'Emission Stepwise'!$C$2:$C$289,0))</f>
        <v>0.0351758793969849</v>
      </c>
      <c r="W13" s="45" t="n">
        <f aca="false">INDEX('Emission Stepwise'!$G$2:$G$289,MATCH(22&amp;"|"&amp;$A13,'Emission Stepwise'!$C$2:$C$289,0))</f>
        <v>0.723618090452261</v>
      </c>
      <c r="X13" s="45" t="n">
        <f aca="false">INDEX('Emission Stepwise'!$G$2:$G$289,MATCH(23&amp;"|"&amp;$A13,'Emission Stepwise'!$C$2:$C$289,0))</f>
        <v>0.14572864321608</v>
      </c>
      <c r="Y13" s="45" t="n">
        <f aca="false">INDEX('Emission Stepwise'!$G$2:$G$289,MATCH(24&amp;"|"&amp;$A13,'Emission Stepwise'!$C$2:$C$289,0))</f>
        <v>0.748743718592965</v>
      </c>
      <c r="Z13" s="45" t="n">
        <f aca="false">INDEX('Emission Stepwise'!$G$2:$G$289,MATCH(25&amp;"|"&amp;$A13,'Emission Stepwise'!$C$2:$C$289,0))</f>
        <v>0.0351758793969849</v>
      </c>
      <c r="AA13" s="45" t="n">
        <f aca="false">INDEX('Emission Stepwise'!$G$2:$G$289,MATCH(26&amp;"|"&amp;$A13,'Emission Stepwise'!$C$2:$C$289,0))</f>
        <v>0.50251256281407</v>
      </c>
      <c r="AB13" s="45" t="n">
        <f aca="false">INDEX('Emission Stepwise'!$G$2:$G$289,MATCH(27&amp;"|"&amp;$A13,'Emission Stepwise'!$C$2:$C$289,0))</f>
        <v>0.155778894472362</v>
      </c>
      <c r="AC13" s="45" t="n">
        <f aca="false">INDEX('Emission Stepwise'!$G$2:$G$289,MATCH(28&amp;"|"&amp;$A13,'Emission Stepwise'!$C$2:$C$289,0))</f>
        <v>0.110552763819095</v>
      </c>
      <c r="AD13" s="45" t="n">
        <f aca="false">INDEX('Emission Stepwise'!$G$2:$G$289,MATCH(29&amp;"|"&amp;$A13,'Emission Stepwise'!$C$2:$C$289,0))</f>
        <v>0.386934673366834</v>
      </c>
      <c r="AE13" s="45" t="n">
        <f aca="false">INDEX('Emission Stepwise'!$G$2:$G$289,MATCH(30&amp;"|"&amp;$A13,'Emission Stepwise'!$C$2:$C$289,0))</f>
        <v>0.753768844221106</v>
      </c>
      <c r="AF13" s="45" t="n">
        <f aca="false">INDEX('Emission Stepwise'!$G$2:$G$289,MATCH(31&amp;"|"&amp;$A13,'Emission Stepwise'!$C$2:$C$289,0))</f>
        <v>0.271356783919598</v>
      </c>
      <c r="AG13" s="45" t="n">
        <f aca="false">INDEX('Emission Stepwise'!$G$2:$G$289,MATCH(32&amp;"|"&amp;$A13,'Emission Stepwise'!$C$2:$C$289,0))</f>
        <v>0</v>
      </c>
      <c r="AH13" s="45" t="n">
        <f aca="false">INDEX('Emission Stepwise'!$G$2:$G$289,MATCH(33&amp;"|"&amp;$A13,'Emission Stepwise'!$C$2:$C$289,0))</f>
        <v>0</v>
      </c>
      <c r="AI13" s="45" t="n">
        <f aca="false">INDEX('Emission Stepwise'!$G$2:$G$289,MATCH(34&amp;"|"&amp;$A13,'Emission Stepwise'!$C$2:$C$289,0))</f>
        <v>0.331658291457286</v>
      </c>
      <c r="AJ13" s="45" t="n">
        <f aca="false">INDEX('Emission Stepwise'!$G$2:$G$289,MATCH(35&amp;"|"&amp;$A13,'Emission Stepwise'!$C$2:$C$289,0))</f>
        <v>0.256281407035176</v>
      </c>
      <c r="AK13" s="45" t="n">
        <f aca="false">INDEX('Emission Stepwise'!$G$2:$G$289,MATCH(36&amp;"|"&amp;$A13,'Emission Stepwise'!$C$2:$C$289,0))</f>
        <v>0.160804020100503</v>
      </c>
      <c r="AL13" s="45" t="n">
        <f aca="false">INDEX('Emission Stepwise'!$G$2:$G$289,MATCH(37&amp;"|"&amp;$A13,'Emission Stepwise'!$C$2:$C$289,0))</f>
        <v>0.241206030150754</v>
      </c>
      <c r="AM13" s="45" t="n">
        <f aca="false">INDEX('Emission Stepwise'!$G$2:$G$289,MATCH(38&amp;"|"&amp;$A13,'Emission Stepwise'!$C$2:$C$289,0))</f>
        <v>0.0050251256281407</v>
      </c>
      <c r="AN13" s="45" t="n">
        <f aca="false">INDEX('Emission Stepwise'!$G$2:$G$289,MATCH(39&amp;"|"&amp;$A13,'Emission Stepwise'!$C$2:$C$289,0))</f>
        <v>0.361809045226131</v>
      </c>
      <c r="AO13" s="45" t="n">
        <f aca="false">INDEX('Emission Stepwise'!$G$2:$G$289,MATCH(40&amp;"|"&amp;$A13,'Emission Stepwise'!$C$2:$C$289,0))</f>
        <v>0.236180904522613</v>
      </c>
      <c r="AP13" s="45" t="n">
        <f aca="false">INDEX('Emission Stepwise'!$G$2:$G$289,MATCH(41&amp;"|"&amp;$A13,'Emission Stepwise'!$C$2:$C$289,0))</f>
        <v>0.175879396984925</v>
      </c>
      <c r="AQ13" s="45" t="n">
        <f aca="false">INDEX('Emission Stepwise'!$G$2:$G$289,MATCH(42&amp;"|"&amp;$A13,'Emission Stepwise'!$C$2:$C$289,0))</f>
        <v>0.527638190954774</v>
      </c>
      <c r="AR13" s="45" t="n">
        <f aca="false">INDEX('Emission Stepwise'!$G$2:$G$289,MATCH(43&amp;"|"&amp;$A13,'Emission Stepwise'!$C$2:$C$289,0))</f>
        <v>0.49748743718593</v>
      </c>
      <c r="AS13" s="45" t="n">
        <f aca="false">INDEX('Emission Stepwise'!$G$2:$G$289,MATCH(44&amp;"|"&amp;$A13,'Emission Stepwise'!$C$2:$C$289,0))</f>
        <v>0.231155778894472</v>
      </c>
      <c r="AT13" s="45" t="n">
        <f aca="false">INDEX('Emission Stepwise'!$G$2:$G$289,MATCH(45&amp;"|"&amp;$A13,'Emission Stepwise'!$C$2:$C$289,0))</f>
        <v>0.756345177664975</v>
      </c>
      <c r="AU13" s="45" t="n">
        <f aca="false">INDEX('Emission Stepwise'!$G$2:$G$289,MATCH(46&amp;"|"&amp;$A13,'Emission Stepwise'!$C$2:$C$289,0))</f>
        <v>0.80952380952381</v>
      </c>
      <c r="AV13" s="45" t="n">
        <f aca="false">INDEX('Emission Stepwise'!$G$2:$G$289,MATCH(47&amp;"|"&amp;$A13,'Emission Stepwise'!$C$2:$C$289,0))</f>
        <v>0.0804020100502513</v>
      </c>
      <c r="AW13" s="45" t="n">
        <f aca="false">INDEX('Emission Stepwise'!$G$2:$G$289,MATCH(48&amp;"|"&amp;$A13,'Emission Stepwise'!$C$2:$C$289,0))</f>
        <v>0.0100502512562814</v>
      </c>
      <c r="AX13" s="45" t="n">
        <f aca="false">INDEX('Emission Stepwise'!$G$2:$G$289,MATCH(49&amp;"|"&amp;$A13,'Emission Stepwise'!$C$2:$C$289,0))</f>
        <v>0.50251256281407</v>
      </c>
      <c r="AY13" s="45" t="n">
        <f aca="false">INDEX('Emission Stepwise'!$G$2:$G$289,MATCH(50&amp;"|"&amp;$A13,'Emission Stepwise'!$C$2:$C$289,0))</f>
        <v>0.271356783919598</v>
      </c>
      <c r="AZ13" s="45" t="n">
        <f aca="false">INDEX('Emission Stepwise'!$G$2:$G$289,MATCH(51&amp;"|"&amp;$A13,'Emission Stepwise'!$C$2:$C$289,0))</f>
        <v>0.5</v>
      </c>
      <c r="BA13" s="45" t="n">
        <f aca="false">INDEX('Emission Stepwise'!$G$2:$G$289,MATCH(52&amp;"|"&amp;$A13,'Emission Stepwise'!$C$2:$C$289,0))</f>
        <v>0.839195979899498</v>
      </c>
      <c r="BB13" s="45" t="n">
        <f aca="false">INDEX('Emission Stepwise'!$G$2:$G$289,MATCH(53&amp;"|"&amp;$A13,'Emission Stepwise'!$C$2:$C$289,0))</f>
        <v>0.979899497487437</v>
      </c>
      <c r="BC13" s="45" t="n">
        <f aca="false">INDEX('Emission Stepwise'!$G$2:$G$289,MATCH(54&amp;"|"&amp;$A13,'Emission Stepwise'!$C$2:$C$289,0))</f>
        <v>0</v>
      </c>
      <c r="BD13" s="45" t="n">
        <f aca="false">INDEX('Emission Stepwise'!$G$2:$G$289,MATCH(55&amp;"|"&amp;$A13,'Emission Stepwise'!$C$2:$C$289,0))</f>
        <v>0.0050251256281407</v>
      </c>
      <c r="BE13" s="45" t="n">
        <f aca="false">INDEX('Emission Stepwise'!$G$2:$G$289,MATCH(56&amp;"|"&amp;$A13,'Emission Stepwise'!$C$2:$C$289,0))</f>
        <v>0.0050251256281407</v>
      </c>
      <c r="BF13" s="45" t="n">
        <f aca="false">INDEX('Emission Stepwise'!$G$2:$G$289,MATCH(57&amp;"|"&amp;$A13,'Emission Stepwise'!$C$2:$C$289,0))</f>
        <v>0.611111111111111</v>
      </c>
      <c r="BG13" s="45" t="n">
        <f aca="false">INDEX('Emission Stepwise'!$G$2:$G$289,MATCH(58&amp;"|"&amp;$A13,'Emission Stepwise'!$C$2:$C$289,0))</f>
        <v>0</v>
      </c>
      <c r="BH13" s="45" t="n">
        <f aca="false">INDEX('Emission Stepwise'!$G$2:$G$289,MATCH(59&amp;"|"&amp;$A13,'Emission Stepwise'!$C$2:$C$289,0))</f>
        <v>0.231155778894472</v>
      </c>
      <c r="BI13" s="45" t="n">
        <f aca="false">INDEX('Emission Stepwise'!$G$2:$G$289,MATCH(60&amp;"|"&amp;$A13,'Emission Stepwise'!$C$2:$C$289,0))</f>
        <v>0.0100502512562814</v>
      </c>
      <c r="BJ13" s="45" t="n">
        <f aca="false">INDEX('Emission Stepwise'!$G$2:$G$289,MATCH(61&amp;"|"&amp;$A13,'Emission Stepwise'!$C$2:$C$289,0))</f>
        <v>0.0050251256281407</v>
      </c>
      <c r="BK13" s="45" t="n">
        <f aca="false">INDEX('Emission Stepwise'!$G$2:$G$289,MATCH(62&amp;"|"&amp;$A13,'Emission Stepwise'!$C$2:$C$289,0))</f>
        <v>0.0100502512562814</v>
      </c>
      <c r="BL13" s="45" t="n">
        <f aca="false">INDEX('Emission Stepwise'!$G$2:$G$289,MATCH(63&amp;"|"&amp;$A13,'Emission Stepwise'!$C$2:$C$289,0))</f>
        <v>0.241206030150754</v>
      </c>
      <c r="BM13" s="45" t="n">
        <f aca="false">INDEX('Emission Stepwise'!$G$2:$G$289,MATCH(64&amp;"|"&amp;$A13,'Emission Stepwise'!$C$2:$C$289,0))</f>
        <v>0.462311557788945</v>
      </c>
      <c r="BN13" s="45" t="n">
        <f aca="false">INDEX('Emission Stepwise'!$G$2:$G$289,MATCH(65&amp;"|"&amp;$A13,'Emission Stepwise'!$C$2:$C$289,0))</f>
        <v>0.287878787878788</v>
      </c>
      <c r="BO13" s="45" t="n">
        <f aca="false">INDEX('Emission Stepwise'!$G$2:$G$289,MATCH(66&amp;"|"&amp;$A13,'Emission Stepwise'!$C$2:$C$289,0))</f>
        <v>0.0100502512562814</v>
      </c>
      <c r="BP13" s="45" t="n">
        <f aca="false">INDEX('Emission Stepwise'!$G$2:$G$289,MATCH(67&amp;"|"&amp;$A13,'Emission Stepwise'!$C$2:$C$289,0))</f>
        <v>0.376884422110553</v>
      </c>
      <c r="BQ13" s="45" t="n">
        <f aca="false">INDEX('Emission Stepwise'!$G$2:$G$289,MATCH(68&amp;"|"&amp;$A13,'Emission Stepwise'!$C$2:$C$289,0))</f>
        <v>0.437185929648241</v>
      </c>
      <c r="BR13" s="45" t="n">
        <f aca="false">INDEX('Emission Stepwise'!$G$2:$G$289,MATCH(69&amp;"|"&amp;$A13,'Emission Stepwise'!$C$2:$C$289,0))</f>
        <v>0.351758793969849</v>
      </c>
      <c r="BS13" s="45" t="n">
        <f aca="false">INDEX('Emission Stepwise'!$G$2:$G$289,MATCH(70&amp;"|"&amp;$A13,'Emission Stepwise'!$C$2:$C$289,0))</f>
        <v>0.376884422110553</v>
      </c>
      <c r="BT13" s="45" t="n">
        <f aca="false">INDEX('Emission Stepwise'!$G$2:$G$289,MATCH(71&amp;"|"&amp;$A13,'Emission Stepwise'!$C$2:$C$289,0))</f>
        <v>0.412060301507538</v>
      </c>
      <c r="BU13" s="45" t="n">
        <f aca="false">INDEX('Emission Stepwise'!$G$2:$G$289,MATCH(72&amp;"|"&amp;$A13,'Emission Stepwise'!$C$2:$C$289,0))</f>
        <v>0.085427135678392</v>
      </c>
    </row>
    <row r="14" customFormat="false" ht="15" hidden="false" customHeight="true" outlineLevel="0" collapsed="false">
      <c r="A14" s="41" t="s">
        <v>171</v>
      </c>
      <c r="B14" s="45" t="n">
        <f aca="false">INDEX('Emission Stepwise'!$G$2:$G$289,MATCH(1&amp;"|"&amp;$A14,'Emission Stepwise'!$C$2:$C$289,0))</f>
        <v>0.0653266331658292</v>
      </c>
      <c r="C14" s="45" t="n">
        <f aca="false">INDEX('Emission Stepwise'!$G$2:$G$289,MATCH(2&amp;"|"&amp;$A14,'Emission Stepwise'!$C$2:$C$289,0))</f>
        <v>0.0301507537688442</v>
      </c>
      <c r="D14" s="45" t="n">
        <f aca="false">INDEX('Emission Stepwise'!$G$2:$G$289,MATCH(3&amp;"|"&amp;$A14,'Emission Stepwise'!$C$2:$C$289,0))</f>
        <v>0.115577889447236</v>
      </c>
      <c r="E14" s="45" t="n">
        <f aca="false">INDEX('Emission Stepwise'!$G$2:$G$289,MATCH(4&amp;"|"&amp;$A14,'Emission Stepwise'!$C$2:$C$289,0))</f>
        <v>0.170854271356784</v>
      </c>
      <c r="F14" s="45" t="n">
        <f aca="false">INDEX('Emission Stepwise'!$G$2:$G$289,MATCH(5&amp;"|"&amp;$A14,'Emission Stepwise'!$C$2:$C$289,0))</f>
        <v>0.105527638190955</v>
      </c>
      <c r="G14" s="45" t="n">
        <f aca="false">INDEX('Emission Stepwise'!$G$2:$G$289,MATCH(6&amp;"|"&amp;$A14,'Emission Stepwise'!$C$2:$C$289,0))</f>
        <v>0.261306532663317</v>
      </c>
      <c r="H14" s="45" t="n">
        <f aca="false">INDEX('Emission Stepwise'!$G$2:$G$289,MATCH(7&amp;"|"&amp;$A14,'Emission Stepwise'!$C$2:$C$289,0))</f>
        <v>0.221105527638191</v>
      </c>
      <c r="I14" s="45" t="n">
        <f aca="false">INDEX('Emission Stepwise'!$G$2:$G$289,MATCH(8&amp;"|"&amp;$A14,'Emission Stepwise'!$C$2:$C$289,0))</f>
        <v>0.989949748743719</v>
      </c>
      <c r="J14" s="45" t="n">
        <f aca="false">INDEX('Emission Stepwise'!$G$2:$G$289,MATCH(9&amp;"|"&amp;$A14,'Emission Stepwise'!$C$2:$C$289,0))</f>
        <v>0</v>
      </c>
      <c r="K14" s="45" t="n">
        <f aca="false">INDEX('Emission Stepwise'!$G$2:$G$289,MATCH(10&amp;"|"&amp;$A14,'Emission Stepwise'!$C$2:$C$289,0))</f>
        <v>0</v>
      </c>
      <c r="L14" s="45" t="n">
        <f aca="false">INDEX('Emission Stepwise'!$G$2:$G$289,MATCH(11&amp;"|"&amp;$A14,'Emission Stepwise'!$C$2:$C$289,0))</f>
        <v>0.201005025125628</v>
      </c>
      <c r="M14" s="45" t="n">
        <f aca="false">INDEX('Emission Stepwise'!$G$2:$G$289,MATCH(12&amp;"|"&amp;$A14,'Emission Stepwise'!$C$2:$C$289,0))</f>
        <v>0.597989949748744</v>
      </c>
      <c r="N14" s="45" t="n">
        <f aca="false">INDEX('Emission Stepwise'!$G$2:$G$289,MATCH(13&amp;"|"&amp;$A14,'Emission Stepwise'!$C$2:$C$289,0))</f>
        <v>0.190954773869347</v>
      </c>
      <c r="O14" s="45" t="n">
        <f aca="false">INDEX('Emission Stepwise'!$G$2:$G$289,MATCH(14&amp;"|"&amp;$A14,'Emission Stepwise'!$C$2:$C$289,0))</f>
        <v>0</v>
      </c>
      <c r="P14" s="45" t="n">
        <f aca="false">INDEX('Emission Stepwise'!$G$2:$G$289,MATCH(15&amp;"|"&amp;$A14,'Emission Stepwise'!$C$2:$C$289,0))</f>
        <v>0.0101010101010101</v>
      </c>
      <c r="Q14" s="45" t="n">
        <f aca="false">INDEX('Emission Stepwise'!$G$2:$G$289,MATCH(16&amp;"|"&amp;$A14,'Emission Stepwise'!$C$2:$C$289,0))</f>
        <v>0.598484848484849</v>
      </c>
      <c r="R14" s="45" t="n">
        <f aca="false">INDEX('Emission Stepwise'!$G$2:$G$289,MATCH(17&amp;"|"&amp;$A14,'Emission Stepwise'!$C$2:$C$289,0))</f>
        <v>0.576530612244898</v>
      </c>
      <c r="S14" s="45" t="n">
        <f aca="false">INDEX('Emission Stepwise'!$G$2:$G$289,MATCH(18&amp;"|"&amp;$A14,'Emission Stepwise'!$C$2:$C$289,0))</f>
        <v>0</v>
      </c>
      <c r="T14" s="45" t="n">
        <f aca="false">INDEX('Emission Stepwise'!$G$2:$G$289,MATCH(19&amp;"|"&amp;$A14,'Emission Stepwise'!$C$2:$C$289,0))</f>
        <v>0.0100502512562814</v>
      </c>
      <c r="U14" s="45" t="n">
        <f aca="false">INDEX('Emission Stepwise'!$G$2:$G$289,MATCH(20&amp;"|"&amp;$A14,'Emission Stepwise'!$C$2:$C$289,0))</f>
        <v>0.595959595959596</v>
      </c>
      <c r="V14" s="45" t="n">
        <f aca="false">INDEX('Emission Stepwise'!$G$2:$G$289,MATCH(21&amp;"|"&amp;$A14,'Emission Stepwise'!$C$2:$C$289,0))</f>
        <v>0.050251256281407</v>
      </c>
      <c r="W14" s="45" t="n">
        <f aca="false">INDEX('Emission Stepwise'!$G$2:$G$289,MATCH(22&amp;"|"&amp;$A14,'Emission Stepwise'!$C$2:$C$289,0))</f>
        <v>0.0703517587939699</v>
      </c>
      <c r="X14" s="45" t="n">
        <f aca="false">INDEX('Emission Stepwise'!$G$2:$G$289,MATCH(23&amp;"|"&amp;$A14,'Emission Stepwise'!$C$2:$C$289,0))</f>
        <v>0.0603015075376884</v>
      </c>
      <c r="Y14" s="45" t="n">
        <f aca="false">INDEX('Emission Stepwise'!$G$2:$G$289,MATCH(24&amp;"|"&amp;$A14,'Emission Stepwise'!$C$2:$C$289,0))</f>
        <v>0.0351758793969849</v>
      </c>
      <c r="Z14" s="45" t="n">
        <f aca="false">INDEX('Emission Stepwise'!$G$2:$G$289,MATCH(25&amp;"|"&amp;$A14,'Emission Stepwise'!$C$2:$C$289,0))</f>
        <v>0.0703517587939699</v>
      </c>
      <c r="AA14" s="45" t="n">
        <f aca="false">INDEX('Emission Stepwise'!$G$2:$G$289,MATCH(26&amp;"|"&amp;$A14,'Emission Stepwise'!$C$2:$C$289,0))</f>
        <v>0.0552763819095477</v>
      </c>
      <c r="AB14" s="45" t="n">
        <f aca="false">INDEX('Emission Stepwise'!$G$2:$G$289,MATCH(27&amp;"|"&amp;$A14,'Emission Stepwise'!$C$2:$C$289,0))</f>
        <v>0.256281407035176</v>
      </c>
      <c r="AC14" s="45" t="n">
        <f aca="false">INDEX('Emission Stepwise'!$G$2:$G$289,MATCH(28&amp;"|"&amp;$A14,'Emission Stepwise'!$C$2:$C$289,0))</f>
        <v>0.251256281407035</v>
      </c>
      <c r="AD14" s="45" t="n">
        <f aca="false">INDEX('Emission Stepwise'!$G$2:$G$289,MATCH(29&amp;"|"&amp;$A14,'Emission Stepwise'!$C$2:$C$289,0))</f>
        <v>0.276381909547739</v>
      </c>
      <c r="AE14" s="45" t="n">
        <f aca="false">INDEX('Emission Stepwise'!$G$2:$G$289,MATCH(30&amp;"|"&amp;$A14,'Emission Stepwise'!$C$2:$C$289,0))</f>
        <v>0.0351758793969849</v>
      </c>
      <c r="AF14" s="45" t="n">
        <f aca="false">INDEX('Emission Stepwise'!$G$2:$G$289,MATCH(31&amp;"|"&amp;$A14,'Emission Stepwise'!$C$2:$C$289,0))</f>
        <v>0.0954773869346734</v>
      </c>
      <c r="AG14" s="45" t="n">
        <f aca="false">INDEX('Emission Stepwise'!$G$2:$G$289,MATCH(32&amp;"|"&amp;$A14,'Emission Stepwise'!$C$2:$C$289,0))</f>
        <v>0.296482412060302</v>
      </c>
      <c r="AH14" s="45" t="n">
        <f aca="false">INDEX('Emission Stepwise'!$G$2:$G$289,MATCH(33&amp;"|"&amp;$A14,'Emission Stepwise'!$C$2:$C$289,0))</f>
        <v>0.989949748743719</v>
      </c>
      <c r="AI14" s="45" t="n">
        <f aca="false">INDEX('Emission Stepwise'!$G$2:$G$289,MATCH(34&amp;"|"&amp;$A14,'Emission Stepwise'!$C$2:$C$289,0))</f>
        <v>0.291457286432161</v>
      </c>
      <c r="AJ14" s="45" t="n">
        <f aca="false">INDEX('Emission Stepwise'!$G$2:$G$289,MATCH(35&amp;"|"&amp;$A14,'Emission Stepwise'!$C$2:$C$289,0))</f>
        <v>0.206030150753769</v>
      </c>
      <c r="AK14" s="45" t="n">
        <f aca="false">INDEX('Emission Stepwise'!$G$2:$G$289,MATCH(36&amp;"|"&amp;$A14,'Emission Stepwise'!$C$2:$C$289,0))</f>
        <v>0.35678391959799</v>
      </c>
      <c r="AL14" s="45" t="n">
        <f aca="false">INDEX('Emission Stepwise'!$G$2:$G$289,MATCH(37&amp;"|"&amp;$A14,'Emission Stepwise'!$C$2:$C$289,0))</f>
        <v>0</v>
      </c>
      <c r="AM14" s="45" t="n">
        <f aca="false">INDEX('Emission Stepwise'!$G$2:$G$289,MATCH(38&amp;"|"&amp;$A14,'Emission Stepwise'!$C$2:$C$289,0))</f>
        <v>0.115577889447236</v>
      </c>
      <c r="AN14" s="45" t="n">
        <f aca="false">INDEX('Emission Stepwise'!$G$2:$G$289,MATCH(39&amp;"|"&amp;$A14,'Emission Stepwise'!$C$2:$C$289,0))</f>
        <v>0.296482412060302</v>
      </c>
      <c r="AO14" s="45" t="n">
        <f aca="false">INDEX('Emission Stepwise'!$G$2:$G$289,MATCH(40&amp;"|"&amp;$A14,'Emission Stepwise'!$C$2:$C$289,0))</f>
        <v>0.0402010050251256</v>
      </c>
      <c r="AP14" s="45" t="n">
        <f aca="false">INDEX('Emission Stepwise'!$G$2:$G$289,MATCH(41&amp;"|"&amp;$A14,'Emission Stepwise'!$C$2:$C$289,0))</f>
        <v>0.165829145728643</v>
      </c>
      <c r="AQ14" s="45" t="n">
        <f aca="false">INDEX('Emission Stepwise'!$G$2:$G$289,MATCH(42&amp;"|"&amp;$A14,'Emission Stepwise'!$C$2:$C$289,0))</f>
        <v>0.130653266331658</v>
      </c>
      <c r="AR14" s="45" t="n">
        <f aca="false">INDEX('Emission Stepwise'!$G$2:$G$289,MATCH(43&amp;"|"&amp;$A14,'Emission Stepwise'!$C$2:$C$289,0))</f>
        <v>0.160804020100503</v>
      </c>
      <c r="AS14" s="45" t="n">
        <f aca="false">INDEX('Emission Stepwise'!$G$2:$G$289,MATCH(44&amp;"|"&amp;$A14,'Emission Stepwise'!$C$2:$C$289,0))</f>
        <v>0.115577889447236</v>
      </c>
      <c r="AT14" s="45" t="n">
        <f aca="false">INDEX('Emission Stepwise'!$G$2:$G$289,MATCH(45&amp;"|"&amp;$A14,'Emission Stepwise'!$C$2:$C$289,0))</f>
        <v>0.142131979695431</v>
      </c>
      <c r="AU14" s="45" t="n">
        <f aca="false">INDEX('Emission Stepwise'!$G$2:$G$289,MATCH(46&amp;"|"&amp;$A14,'Emission Stepwise'!$C$2:$C$289,0))</f>
        <v>0.0714285714285714</v>
      </c>
      <c r="AV14" s="45" t="n">
        <f aca="false">INDEX('Emission Stepwise'!$G$2:$G$289,MATCH(47&amp;"|"&amp;$A14,'Emission Stepwise'!$C$2:$C$289,0))</f>
        <v>0.673366834170854</v>
      </c>
      <c r="AW14" s="45" t="n">
        <f aca="false">INDEX('Emission Stepwise'!$G$2:$G$289,MATCH(48&amp;"|"&amp;$A14,'Emission Stepwise'!$C$2:$C$289,0))</f>
        <v>0.14572864321608</v>
      </c>
      <c r="AX14" s="45" t="n">
        <f aca="false">INDEX('Emission Stepwise'!$G$2:$G$289,MATCH(49&amp;"|"&amp;$A14,'Emission Stepwise'!$C$2:$C$289,0))</f>
        <v>0.0552763819095477</v>
      </c>
      <c r="AY14" s="45" t="n">
        <f aca="false">INDEX('Emission Stepwise'!$G$2:$G$289,MATCH(50&amp;"|"&amp;$A14,'Emission Stepwise'!$C$2:$C$289,0))</f>
        <v>0.175879396984925</v>
      </c>
      <c r="AZ14" s="45" t="n">
        <f aca="false">INDEX('Emission Stepwise'!$G$2:$G$289,MATCH(51&amp;"|"&amp;$A14,'Emission Stepwise'!$C$2:$C$289,0))</f>
        <v>0.151515151515152</v>
      </c>
      <c r="BA14" s="45" t="n">
        <f aca="false">INDEX('Emission Stepwise'!$G$2:$G$289,MATCH(52&amp;"|"&amp;$A14,'Emission Stepwise'!$C$2:$C$289,0))</f>
        <v>0.0201005025125628</v>
      </c>
      <c r="BB14" s="45" t="n">
        <f aca="false">INDEX('Emission Stepwise'!$G$2:$G$289,MATCH(53&amp;"|"&amp;$A14,'Emission Stepwise'!$C$2:$C$289,0))</f>
        <v>0.0100502512562814</v>
      </c>
      <c r="BC14" s="45" t="n">
        <f aca="false">INDEX('Emission Stepwise'!$G$2:$G$289,MATCH(54&amp;"|"&amp;$A14,'Emission Stepwise'!$C$2:$C$289,0))</f>
        <v>0.989949748743719</v>
      </c>
      <c r="BD14" s="45" t="n">
        <f aca="false">INDEX('Emission Stepwise'!$G$2:$G$289,MATCH(55&amp;"|"&amp;$A14,'Emission Stepwise'!$C$2:$C$289,0))</f>
        <v>0.984924623115578</v>
      </c>
      <c r="BE14" s="45" t="n">
        <f aca="false">INDEX('Emission Stepwise'!$G$2:$G$289,MATCH(56&amp;"|"&amp;$A14,'Emission Stepwise'!$C$2:$C$289,0))</f>
        <v>0.0050251256281407</v>
      </c>
      <c r="BF14" s="45" t="n">
        <f aca="false">INDEX('Emission Stepwise'!$G$2:$G$289,MATCH(57&amp;"|"&amp;$A14,'Emission Stepwise'!$C$2:$C$289,0))</f>
        <v>0.00505050505050505</v>
      </c>
      <c r="BG14" s="45" t="n">
        <f aca="false">INDEX('Emission Stepwise'!$G$2:$G$289,MATCH(58&amp;"|"&amp;$A14,'Emission Stepwise'!$C$2:$C$289,0))</f>
        <v>0.0050251256281407</v>
      </c>
      <c r="BH14" s="45" t="n">
        <f aca="false">INDEX('Emission Stepwise'!$G$2:$G$289,MATCH(59&amp;"|"&amp;$A14,'Emission Stepwise'!$C$2:$C$289,0))</f>
        <v>0.251256281407035</v>
      </c>
      <c r="BI14" s="45" t="n">
        <f aca="false">INDEX('Emission Stepwise'!$G$2:$G$289,MATCH(60&amp;"|"&amp;$A14,'Emission Stepwise'!$C$2:$C$289,0))</f>
        <v>0.78391959798995</v>
      </c>
      <c r="BJ14" s="45" t="n">
        <f aca="false">INDEX('Emission Stepwise'!$G$2:$G$289,MATCH(61&amp;"|"&amp;$A14,'Emission Stepwise'!$C$2:$C$289,0))</f>
        <v>0.0050251256281407</v>
      </c>
      <c r="BK14" s="45" t="n">
        <f aca="false">INDEX('Emission Stepwise'!$G$2:$G$289,MATCH(62&amp;"|"&amp;$A14,'Emission Stepwise'!$C$2:$C$289,0))</f>
        <v>0.130653266331658</v>
      </c>
      <c r="BL14" s="45" t="n">
        <f aca="false">INDEX('Emission Stepwise'!$G$2:$G$289,MATCH(63&amp;"|"&amp;$A14,'Emission Stepwise'!$C$2:$C$289,0))</f>
        <v>0.160804020100503</v>
      </c>
      <c r="BM14" s="45" t="n">
        <f aca="false">INDEX('Emission Stepwise'!$G$2:$G$289,MATCH(64&amp;"|"&amp;$A14,'Emission Stepwise'!$C$2:$C$289,0))</f>
        <v>0.165829145728643</v>
      </c>
      <c r="BN14" s="45" t="n">
        <f aca="false">INDEX('Emission Stepwise'!$G$2:$G$289,MATCH(65&amp;"|"&amp;$A14,'Emission Stepwise'!$C$2:$C$289,0))</f>
        <v>0.348484848484849</v>
      </c>
      <c r="BO14" s="45" t="n">
        <f aca="false">INDEX('Emission Stepwise'!$G$2:$G$289,MATCH(66&amp;"|"&amp;$A14,'Emission Stepwise'!$C$2:$C$289,0))</f>
        <v>0.246231155778894</v>
      </c>
      <c r="BP14" s="45" t="n">
        <f aca="false">INDEX('Emission Stepwise'!$G$2:$G$289,MATCH(67&amp;"|"&amp;$A14,'Emission Stepwise'!$C$2:$C$289,0))</f>
        <v>0.190954773869347</v>
      </c>
      <c r="BQ14" s="45" t="n">
        <f aca="false">INDEX('Emission Stepwise'!$G$2:$G$289,MATCH(68&amp;"|"&amp;$A14,'Emission Stepwise'!$C$2:$C$289,0))</f>
        <v>0.175879396984925</v>
      </c>
      <c r="BR14" s="45" t="n">
        <f aca="false">INDEX('Emission Stepwise'!$G$2:$G$289,MATCH(69&amp;"|"&amp;$A14,'Emission Stepwise'!$C$2:$C$289,0))</f>
        <v>0.0804020100502513</v>
      </c>
      <c r="BS14" s="45" t="n">
        <f aca="false">INDEX('Emission Stepwise'!$G$2:$G$289,MATCH(70&amp;"|"&amp;$A14,'Emission Stepwise'!$C$2:$C$289,0))</f>
        <v>0.150753768844221</v>
      </c>
      <c r="BT14" s="45" t="n">
        <f aca="false">INDEX('Emission Stepwise'!$G$2:$G$289,MATCH(71&amp;"|"&amp;$A14,'Emission Stepwise'!$C$2:$C$289,0))</f>
        <v>0.0452261306532663</v>
      </c>
      <c r="BU14" s="45" t="n">
        <f aca="false">INDEX('Emission Stepwise'!$G$2:$G$289,MATCH(72&amp;"|"&amp;$A14,'Emission Stepwise'!$C$2:$C$289,0))</f>
        <v>0.105527638190955</v>
      </c>
    </row>
    <row r="15" customFormat="false" ht="15" hidden="false" customHeight="true" outlineLevel="0" collapsed="false">
      <c r="A15" s="41" t="s">
        <v>606</v>
      </c>
      <c r="B15" s="38" t="n">
        <f aca="false">ROUND(SUM(B11:B14),9)</f>
        <v>1</v>
      </c>
      <c r="C15" s="38" t="n">
        <f aca="false">ROUND(SUM(C11:C14),9)</f>
        <v>1</v>
      </c>
      <c r="D15" s="38" t="n">
        <f aca="false">ROUND(SUM(D11:D14),9)</f>
        <v>1</v>
      </c>
      <c r="E15" s="38" t="n">
        <f aca="false">ROUND(SUM(E11:E14),9)</f>
        <v>1</v>
      </c>
      <c r="F15" s="38" t="n">
        <f aca="false">ROUND(SUM(F11:F14),9)</f>
        <v>1</v>
      </c>
      <c r="G15" s="38" t="n">
        <f aca="false">ROUND(SUM(G11:G14),9)</f>
        <v>1</v>
      </c>
      <c r="H15" s="38" t="n">
        <f aca="false">ROUND(SUM(H11:H14),9)</f>
        <v>1</v>
      </c>
      <c r="I15" s="38" t="n">
        <f aca="false">ROUND(SUM(I11:I14),9)</f>
        <v>1</v>
      </c>
      <c r="J15" s="38" t="n">
        <f aca="false">ROUND(SUM(J11:J14),9)</f>
        <v>1</v>
      </c>
      <c r="K15" s="38" t="n">
        <f aca="false">ROUND(SUM(K11:K14),9)</f>
        <v>1</v>
      </c>
      <c r="L15" s="38" t="n">
        <f aca="false">ROUND(SUM(L11:L14),9)</f>
        <v>1</v>
      </c>
      <c r="M15" s="38" t="n">
        <f aca="false">ROUND(SUM(M11:M14),9)</f>
        <v>1</v>
      </c>
      <c r="N15" s="38" t="n">
        <f aca="false">ROUND(SUM(N11:N14),9)</f>
        <v>1</v>
      </c>
      <c r="O15" s="38" t="n">
        <f aca="false">ROUND(SUM(O11:O14),9)</f>
        <v>1</v>
      </c>
      <c r="P15" s="38" t="n">
        <f aca="false">ROUND(SUM(P11:P14),9)</f>
        <v>1</v>
      </c>
      <c r="Q15" s="38" t="n">
        <f aca="false">ROUND(SUM(Q11:Q14),9)</f>
        <v>1</v>
      </c>
      <c r="R15" s="38" t="n">
        <f aca="false">ROUND(SUM(R11:R14),9)</f>
        <v>1</v>
      </c>
      <c r="S15" s="38" t="n">
        <f aca="false">ROUND(SUM(S11:S14),9)</f>
        <v>1</v>
      </c>
      <c r="T15" s="38" t="n">
        <f aca="false">ROUND(SUM(T11:T14),9)</f>
        <v>1</v>
      </c>
      <c r="U15" s="38" t="n">
        <f aca="false">ROUND(SUM(U11:U14),9)</f>
        <v>1</v>
      </c>
      <c r="V15" s="38" t="n">
        <f aca="false">ROUND(SUM(V11:V14),9)</f>
        <v>1</v>
      </c>
      <c r="W15" s="38" t="n">
        <f aca="false">ROUND(SUM(W11:W14),9)</f>
        <v>1</v>
      </c>
      <c r="X15" s="38" t="n">
        <f aca="false">ROUND(SUM(X11:X14),9)</f>
        <v>1</v>
      </c>
      <c r="Y15" s="38" t="n">
        <f aca="false">ROUND(SUM(Y11:Y14),9)</f>
        <v>1</v>
      </c>
      <c r="Z15" s="38" t="n">
        <f aca="false">ROUND(SUM(Z11:Z14),9)</f>
        <v>1</v>
      </c>
      <c r="AA15" s="38" t="n">
        <f aca="false">ROUND(SUM(AA11:AA14),9)</f>
        <v>1</v>
      </c>
      <c r="AB15" s="38" t="n">
        <f aca="false">ROUND(SUM(AB11:AB14),9)</f>
        <v>1</v>
      </c>
      <c r="AC15" s="38" t="n">
        <f aca="false">ROUND(SUM(AC11:AC14),9)</f>
        <v>1</v>
      </c>
      <c r="AD15" s="38" t="n">
        <f aca="false">ROUND(SUM(AD11:AD14),9)</f>
        <v>1</v>
      </c>
      <c r="AE15" s="38" t="n">
        <f aca="false">ROUND(SUM(AE11:AE14),9)</f>
        <v>1</v>
      </c>
      <c r="AF15" s="38" t="n">
        <f aca="false">ROUND(SUM(AF11:AF14),9)</f>
        <v>1</v>
      </c>
      <c r="AG15" s="38" t="n">
        <f aca="false">ROUND(SUM(AG11:AG14),9)</f>
        <v>1</v>
      </c>
      <c r="AH15" s="38" t="n">
        <f aca="false">ROUND(SUM(AH11:AH14),9)</f>
        <v>1</v>
      </c>
      <c r="AI15" s="38" t="n">
        <f aca="false">ROUND(SUM(AI11:AI14),9)</f>
        <v>1</v>
      </c>
      <c r="AJ15" s="38" t="n">
        <f aca="false">ROUND(SUM(AJ11:AJ14),9)</f>
        <v>1</v>
      </c>
      <c r="AK15" s="38" t="n">
        <f aca="false">ROUND(SUM(AK11:AK14),9)</f>
        <v>1</v>
      </c>
      <c r="AL15" s="38" t="n">
        <f aca="false">ROUND(SUM(AL11:AL14),9)</f>
        <v>1</v>
      </c>
      <c r="AM15" s="38" t="n">
        <f aca="false">ROUND(SUM(AM11:AM14),9)</f>
        <v>1</v>
      </c>
      <c r="AN15" s="38" t="n">
        <f aca="false">ROUND(SUM(AN11:AN14),9)</f>
        <v>1</v>
      </c>
      <c r="AO15" s="38" t="n">
        <f aca="false">ROUND(SUM(AO11:AO14),9)</f>
        <v>1</v>
      </c>
      <c r="AP15" s="38" t="n">
        <f aca="false">ROUND(SUM(AP11:AP14),9)</f>
        <v>1</v>
      </c>
      <c r="AQ15" s="38" t="n">
        <f aca="false">ROUND(SUM(AQ11:AQ14),9)</f>
        <v>1</v>
      </c>
      <c r="AR15" s="38" t="n">
        <f aca="false">ROUND(SUM(AR11:AR14),9)</f>
        <v>1</v>
      </c>
      <c r="AS15" s="38" t="n">
        <f aca="false">ROUND(SUM(AS11:AS14),9)</f>
        <v>1</v>
      </c>
      <c r="AT15" s="38" t="n">
        <f aca="false">ROUND(SUM(AT11:AT14),9)</f>
        <v>1</v>
      </c>
      <c r="AU15" s="38" t="n">
        <f aca="false">ROUND(SUM(AU11:AU14),9)</f>
        <v>1</v>
      </c>
      <c r="AV15" s="38" t="n">
        <f aca="false">ROUND(SUM(AV11:AV14),9)</f>
        <v>1</v>
      </c>
      <c r="AW15" s="38" t="n">
        <f aca="false">ROUND(SUM(AW11:AW14),9)</f>
        <v>1</v>
      </c>
      <c r="AX15" s="38" t="n">
        <f aca="false">ROUND(SUM(AX11:AX14),9)</f>
        <v>1</v>
      </c>
      <c r="AY15" s="38" t="n">
        <f aca="false">ROUND(SUM(AY11:AY14),9)</f>
        <v>1</v>
      </c>
      <c r="AZ15" s="38" t="n">
        <f aca="false">ROUND(SUM(AZ11:AZ14),9)</f>
        <v>1</v>
      </c>
      <c r="BA15" s="38" t="n">
        <f aca="false">ROUND(SUM(BA11:BA14),9)</f>
        <v>1</v>
      </c>
      <c r="BB15" s="38" t="n">
        <f aca="false">ROUND(SUM(BB11:BB14),9)</f>
        <v>1</v>
      </c>
      <c r="BC15" s="38" t="n">
        <f aca="false">ROUND(SUM(BC11:BC14),9)</f>
        <v>1</v>
      </c>
      <c r="BD15" s="38" t="n">
        <f aca="false">ROUND(SUM(BD11:BD14),9)</f>
        <v>1</v>
      </c>
      <c r="BE15" s="38" t="n">
        <f aca="false">ROUND(SUM(BE11:BE14),9)</f>
        <v>1</v>
      </c>
      <c r="BF15" s="38" t="n">
        <f aca="false">ROUND(SUM(BF11:BF14),9)</f>
        <v>1</v>
      </c>
      <c r="BG15" s="38" t="n">
        <f aca="false">ROUND(SUM(BG11:BG14),9)</f>
        <v>1</v>
      </c>
      <c r="BH15" s="38" t="n">
        <f aca="false">ROUND(SUM(BH11:BH14),9)</f>
        <v>1</v>
      </c>
      <c r="BI15" s="38" t="n">
        <f aca="false">ROUND(SUM(BI11:BI14),9)</f>
        <v>1</v>
      </c>
      <c r="BJ15" s="38" t="n">
        <f aca="false">ROUND(SUM(BJ11:BJ14),9)</f>
        <v>1</v>
      </c>
      <c r="BK15" s="38" t="n">
        <f aca="false">ROUND(SUM(BK11:BK14),9)</f>
        <v>1</v>
      </c>
      <c r="BL15" s="38" t="n">
        <f aca="false">ROUND(SUM(BL11:BL14),9)</f>
        <v>1</v>
      </c>
      <c r="BM15" s="38" t="n">
        <f aca="false">ROUND(SUM(BM11:BM14),9)</f>
        <v>1</v>
      </c>
      <c r="BN15" s="38" t="n">
        <f aca="false">ROUND(SUM(BN11:BN14),9)</f>
        <v>1</v>
      </c>
      <c r="BO15" s="38" t="n">
        <f aca="false">ROUND(SUM(BO11:BO14),9)</f>
        <v>1</v>
      </c>
      <c r="BP15" s="38" t="n">
        <f aca="false">ROUND(SUM(BP11:BP14),9)</f>
        <v>1</v>
      </c>
      <c r="BQ15" s="38" t="n">
        <f aca="false">ROUND(SUM(BQ11:BQ14),9)</f>
        <v>1</v>
      </c>
      <c r="BR15" s="38" t="n">
        <f aca="false">ROUND(SUM(BR11:BR14),9)</f>
        <v>1</v>
      </c>
      <c r="BS15" s="38" t="n">
        <f aca="false">ROUND(SUM(BS11:BS14),9)</f>
        <v>1</v>
      </c>
      <c r="BT15" s="38" t="n">
        <f aca="false">ROUND(SUM(BT11:BT14),9)</f>
        <v>1</v>
      </c>
      <c r="BU15" s="38" t="n">
        <f aca="false">ROUND(SUM(BU11:BU14),9)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37"/>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0"/>
    <col collapsed="false" customWidth="true" hidden="false" outlineLevel="0" max="4" min="4" style="0" width="8"/>
    <col collapsed="false" customWidth="true" hidden="false" outlineLevel="0" max="5" min="5" style="0" width="14"/>
    <col collapsed="false" customWidth="true" hidden="false" outlineLevel="0" max="6" min="6" style="0" width="12"/>
    <col collapsed="false" customWidth="true" hidden="false" outlineLevel="0" max="7" min="7" style="0" width="14"/>
    <col collapsed="false" customWidth="true" hidden="false" outlineLevel="0" max="8" min="8" style="0" width="8"/>
    <col collapsed="false" customWidth="true" hidden="false" outlineLevel="0" max="9" min="9" style="0" width="14"/>
    <col collapsed="false" customWidth="true" hidden="false" outlineLevel="0" max="10" min="10" style="0" width="16"/>
    <col collapsed="false" customWidth="true" hidden="false" outlineLevel="0" max="11" min="11" style="0" width="10"/>
    <col collapsed="false" customWidth="true" hidden="false" outlineLevel="0" max="12" min="12" style="0" width="12"/>
    <col collapsed="false" customWidth="true" hidden="false" outlineLevel="0" max="13" min="13" style="0" width="24"/>
    <col collapsed="false" customWidth="true" hidden="false" outlineLevel="0" max="14" min="14" style="0" width="14"/>
  </cols>
  <sheetData>
    <row r="1" customFormat="false" ht="23.25" hidden="false" customHeight="true" outlineLevel="0" collapsed="false">
      <c r="A1" s="39" t="s">
        <v>608</v>
      </c>
      <c r="B1" s="39" t="s">
        <v>493</v>
      </c>
      <c r="C1" s="39" t="s">
        <v>609</v>
      </c>
      <c r="D1" s="39" t="s">
        <v>610</v>
      </c>
      <c r="E1" s="39" t="s">
        <v>593</v>
      </c>
      <c r="F1" s="39" t="s">
        <v>611</v>
      </c>
      <c r="G1" s="39" t="s">
        <v>612</v>
      </c>
      <c r="H1" s="39" t="s">
        <v>596</v>
      </c>
      <c r="I1" s="39" t="s">
        <v>613</v>
      </c>
      <c r="J1" s="39" t="s">
        <v>614</v>
      </c>
      <c r="K1" s="39" t="s">
        <v>615</v>
      </c>
      <c r="L1" s="39" t="s">
        <v>616</v>
      </c>
      <c r="M1" s="39" t="s">
        <v>601</v>
      </c>
      <c r="N1" s="39" t="s">
        <v>617</v>
      </c>
    </row>
    <row r="2" customFormat="false" ht="15" hidden="false" customHeight="true" outlineLevel="0" collapsed="false">
      <c r="A2" s="38" t="n">
        <v>1</v>
      </c>
      <c r="B2" s="38" t="s">
        <v>618</v>
      </c>
      <c r="C2" s="38" t="s">
        <v>172</v>
      </c>
      <c r="D2" s="38" t="s">
        <v>172</v>
      </c>
      <c r="E2" s="38" t="str">
        <f aca="false">A2&amp;"|"&amp;C2&amp;"|"&amp;D2</f>
        <v>1|A|A</v>
      </c>
      <c r="F2" s="43" t="n">
        <v>0</v>
      </c>
      <c r="G2" s="38" t="n">
        <f aca="false">SUMIFS($F$2:$F$1137,$A$2:$A$1137,A2,$C$2:$C$1137,C2)</f>
        <v>13</v>
      </c>
      <c r="H2" s="43" t="n">
        <v>1</v>
      </c>
      <c r="I2" s="45" t="n">
        <f aca="false">IF(G2=0,"",F2/G2)</f>
        <v>0</v>
      </c>
      <c r="J2" s="45" t="n">
        <f aca="false">K2/L2</f>
        <v>0.0588235294117647</v>
      </c>
      <c r="K2" s="38" t="n">
        <f aca="false">F2+H2</f>
        <v>1</v>
      </c>
      <c r="L2" s="38" t="n">
        <f aca="false">G2+4*H2</f>
        <v>17</v>
      </c>
      <c r="M2" s="38" t="s">
        <v>619</v>
      </c>
      <c r="N2" s="38" t="n">
        <f aca="false">ROUND(SUMIFS($J$2:$J$1137,$A$2:$A$1137,A2,$C$2:$C$1137,C2),9)</f>
        <v>1</v>
      </c>
    </row>
    <row r="3" customFormat="false" ht="15" hidden="false" customHeight="true" outlineLevel="0" collapsed="false">
      <c r="A3" s="38" t="n">
        <v>1</v>
      </c>
      <c r="B3" s="38" t="s">
        <v>618</v>
      </c>
      <c r="C3" s="38" t="s">
        <v>172</v>
      </c>
      <c r="D3" s="38" t="s">
        <v>170</v>
      </c>
      <c r="E3" s="38" t="str">
        <f aca="false">A3&amp;"|"&amp;C3&amp;"|"&amp;D3</f>
        <v>1|A|C</v>
      </c>
      <c r="F3" s="43" t="n">
        <v>1</v>
      </c>
      <c r="G3" s="38" t="n">
        <f aca="false">SUMIFS($F$2:$F$1137,$A$2:$A$1137,A3,$C$2:$C$1137,C3)</f>
        <v>13</v>
      </c>
      <c r="H3" s="43" t="n">
        <v>1</v>
      </c>
      <c r="I3" s="45" t="n">
        <f aca="false">IF(G3=0,"",F3/G3)</f>
        <v>0.0769230769230769</v>
      </c>
      <c r="J3" s="45" t="n">
        <f aca="false">K3/L3</f>
        <v>0.117647058823529</v>
      </c>
      <c r="K3" s="38" t="n">
        <f aca="false">F3+H3</f>
        <v>2</v>
      </c>
      <c r="L3" s="38" t="n">
        <f aca="false">G3+4*H3</f>
        <v>17</v>
      </c>
      <c r="M3" s="38" t="s">
        <v>619</v>
      </c>
      <c r="N3" s="38" t="n">
        <f aca="false">ROUND(SUMIFS($J$2:$J$1137,$A$2:$A$1137,A3,$C$2:$C$1137,C3),9)</f>
        <v>1</v>
      </c>
    </row>
    <row r="4" customFormat="false" ht="15" hidden="false" customHeight="true" outlineLevel="0" collapsed="false">
      <c r="A4" s="38" t="n">
        <v>1</v>
      </c>
      <c r="B4" s="38" t="s">
        <v>618</v>
      </c>
      <c r="C4" s="38" t="s">
        <v>172</v>
      </c>
      <c r="D4" s="38" t="s">
        <v>169</v>
      </c>
      <c r="E4" s="38" t="str">
        <f aca="false">A4&amp;"|"&amp;C4&amp;"|"&amp;D4</f>
        <v>1|A|G</v>
      </c>
      <c r="F4" s="43" t="n">
        <v>12</v>
      </c>
      <c r="G4" s="38" t="n">
        <f aca="false">SUMIFS($F$2:$F$1137,$A$2:$A$1137,A4,$C$2:$C$1137,C4)</f>
        <v>13</v>
      </c>
      <c r="H4" s="43" t="n">
        <v>1</v>
      </c>
      <c r="I4" s="45" t="n">
        <f aca="false">IF(G4=0,"",F4/G4)</f>
        <v>0.923076923076923</v>
      </c>
      <c r="J4" s="45" t="n">
        <f aca="false">K4/L4</f>
        <v>0.764705882352941</v>
      </c>
      <c r="K4" s="38" t="n">
        <f aca="false">F4+H4</f>
        <v>13</v>
      </c>
      <c r="L4" s="38" t="n">
        <f aca="false">G4+4*H4</f>
        <v>17</v>
      </c>
      <c r="M4" s="38" t="s">
        <v>619</v>
      </c>
      <c r="N4" s="38" t="n">
        <f aca="false">ROUND(SUMIFS($J$2:$J$1137,$A$2:$A$1137,A4,$C$2:$C$1137,C4),9)</f>
        <v>1</v>
      </c>
    </row>
    <row r="5" customFormat="false" ht="15" hidden="false" customHeight="true" outlineLevel="0" collapsed="false">
      <c r="A5" s="38" t="n">
        <v>1</v>
      </c>
      <c r="B5" s="38" t="s">
        <v>618</v>
      </c>
      <c r="C5" s="38" t="s">
        <v>172</v>
      </c>
      <c r="D5" s="38" t="s">
        <v>171</v>
      </c>
      <c r="E5" s="38" t="str">
        <f aca="false">A5&amp;"|"&amp;C5&amp;"|"&amp;D5</f>
        <v>1|A|U</v>
      </c>
      <c r="F5" s="43" t="n">
        <v>0</v>
      </c>
      <c r="G5" s="38" t="n">
        <f aca="false">SUMIFS($F$2:$F$1137,$A$2:$A$1137,A5,$C$2:$C$1137,C5)</f>
        <v>13</v>
      </c>
      <c r="H5" s="43" t="n">
        <v>1</v>
      </c>
      <c r="I5" s="45" t="n">
        <f aca="false">IF(G5=0,"",F5/G5)</f>
        <v>0</v>
      </c>
      <c r="J5" s="45" t="n">
        <f aca="false">K5/L5</f>
        <v>0.0588235294117647</v>
      </c>
      <c r="K5" s="38" t="n">
        <f aca="false">F5+H5</f>
        <v>1</v>
      </c>
      <c r="L5" s="38" t="n">
        <f aca="false">G5+4*H5</f>
        <v>17</v>
      </c>
      <c r="M5" s="38" t="s">
        <v>619</v>
      </c>
      <c r="N5" s="38" t="n">
        <f aca="false">ROUND(SUMIFS($J$2:$J$1137,$A$2:$A$1137,A5,$C$2:$C$1137,C5),9)</f>
        <v>1</v>
      </c>
    </row>
    <row r="6" customFormat="false" ht="15" hidden="false" customHeight="true" outlineLevel="0" collapsed="false">
      <c r="A6" s="38" t="n">
        <v>1</v>
      </c>
      <c r="B6" s="38" t="s">
        <v>618</v>
      </c>
      <c r="C6" s="38" t="s">
        <v>170</v>
      </c>
      <c r="D6" s="38" t="s">
        <v>172</v>
      </c>
      <c r="E6" s="38" t="str">
        <f aca="false">A6&amp;"|"&amp;C6&amp;"|"&amp;D6</f>
        <v>1|C|A</v>
      </c>
      <c r="F6" s="43" t="n">
        <v>0</v>
      </c>
      <c r="G6" s="38" t="n">
        <f aca="false">SUMIFS($F$2:$F$1137,$A$2:$A$1137,A6,$C$2:$C$1137,C6)</f>
        <v>21</v>
      </c>
      <c r="H6" s="43" t="n">
        <v>1</v>
      </c>
      <c r="I6" s="45" t="n">
        <f aca="false">IF(G6=0,"",F6/G6)</f>
        <v>0</v>
      </c>
      <c r="J6" s="45" t="n">
        <f aca="false">K6/L6</f>
        <v>0.04</v>
      </c>
      <c r="K6" s="38" t="n">
        <f aca="false">F6+H6</f>
        <v>1</v>
      </c>
      <c r="L6" s="38" t="n">
        <f aca="false">G6+4*H6</f>
        <v>25</v>
      </c>
      <c r="M6" s="38" t="s">
        <v>619</v>
      </c>
      <c r="N6" s="38" t="n">
        <f aca="false">ROUND(SUMIFS($J$2:$J$1137,$A$2:$A$1137,A6,$C$2:$C$1137,C6),9)</f>
        <v>1</v>
      </c>
    </row>
    <row r="7" customFormat="false" ht="15" hidden="false" customHeight="true" outlineLevel="0" collapsed="false">
      <c r="A7" s="38" t="n">
        <v>1</v>
      </c>
      <c r="B7" s="38" t="s">
        <v>618</v>
      </c>
      <c r="C7" s="38" t="s">
        <v>170</v>
      </c>
      <c r="D7" s="38" t="s">
        <v>170</v>
      </c>
      <c r="E7" s="38" t="str">
        <f aca="false">A7&amp;"|"&amp;C7&amp;"|"&amp;D7</f>
        <v>1|C|C</v>
      </c>
      <c r="F7" s="43" t="n">
        <v>4</v>
      </c>
      <c r="G7" s="38" t="n">
        <f aca="false">SUMIFS($F$2:$F$1137,$A$2:$A$1137,A7,$C$2:$C$1137,C7)</f>
        <v>21</v>
      </c>
      <c r="H7" s="43" t="n">
        <v>1</v>
      </c>
      <c r="I7" s="45" t="n">
        <f aca="false">IF(G7=0,"",F7/G7)</f>
        <v>0.19047619047619</v>
      </c>
      <c r="J7" s="45" t="n">
        <f aca="false">K7/L7</f>
        <v>0.2</v>
      </c>
      <c r="K7" s="38" t="n">
        <f aca="false">F7+H7</f>
        <v>5</v>
      </c>
      <c r="L7" s="38" t="n">
        <f aca="false">G7+4*H7</f>
        <v>25</v>
      </c>
      <c r="M7" s="38" t="s">
        <v>619</v>
      </c>
      <c r="N7" s="38" t="n">
        <f aca="false">ROUND(SUMIFS($J$2:$J$1137,$A$2:$A$1137,A7,$C$2:$C$1137,C7),9)</f>
        <v>1</v>
      </c>
    </row>
    <row r="8" customFormat="false" ht="15" hidden="false" customHeight="true" outlineLevel="0" collapsed="false">
      <c r="A8" s="38" t="n">
        <v>1</v>
      </c>
      <c r="B8" s="38" t="s">
        <v>618</v>
      </c>
      <c r="C8" s="38" t="s">
        <v>170</v>
      </c>
      <c r="D8" s="38" t="s">
        <v>169</v>
      </c>
      <c r="E8" s="38" t="str">
        <f aca="false">A8&amp;"|"&amp;C8&amp;"|"&amp;D8</f>
        <v>1|C|G</v>
      </c>
      <c r="F8" s="43" t="n">
        <v>16</v>
      </c>
      <c r="G8" s="38" t="n">
        <f aca="false">SUMIFS($F$2:$F$1137,$A$2:$A$1137,A8,$C$2:$C$1137,C8)</f>
        <v>21</v>
      </c>
      <c r="H8" s="43" t="n">
        <v>1</v>
      </c>
      <c r="I8" s="45" t="n">
        <f aca="false">IF(G8=0,"",F8/G8)</f>
        <v>0.761904761904762</v>
      </c>
      <c r="J8" s="45" t="n">
        <f aca="false">K8/L8</f>
        <v>0.68</v>
      </c>
      <c r="K8" s="38" t="n">
        <f aca="false">F8+H8</f>
        <v>17</v>
      </c>
      <c r="L8" s="38" t="n">
        <f aca="false">G8+4*H8</f>
        <v>25</v>
      </c>
      <c r="M8" s="38" t="s">
        <v>619</v>
      </c>
      <c r="N8" s="38" t="n">
        <f aca="false">ROUND(SUMIFS($J$2:$J$1137,$A$2:$A$1137,A8,$C$2:$C$1137,C8),9)</f>
        <v>1</v>
      </c>
    </row>
    <row r="9" customFormat="false" ht="15" hidden="false" customHeight="true" outlineLevel="0" collapsed="false">
      <c r="A9" s="38" t="n">
        <v>1</v>
      </c>
      <c r="B9" s="38" t="s">
        <v>618</v>
      </c>
      <c r="C9" s="38" t="s">
        <v>170</v>
      </c>
      <c r="D9" s="38" t="s">
        <v>171</v>
      </c>
      <c r="E9" s="38" t="str">
        <f aca="false">A9&amp;"|"&amp;C9&amp;"|"&amp;D9</f>
        <v>1|C|U</v>
      </c>
      <c r="F9" s="43" t="n">
        <v>1</v>
      </c>
      <c r="G9" s="38" t="n">
        <f aca="false">SUMIFS($F$2:$F$1137,$A$2:$A$1137,A9,$C$2:$C$1137,C9)</f>
        <v>21</v>
      </c>
      <c r="H9" s="43" t="n">
        <v>1</v>
      </c>
      <c r="I9" s="45" t="n">
        <f aca="false">IF(G9=0,"",F9/G9)</f>
        <v>0.0476190476190476</v>
      </c>
      <c r="J9" s="45" t="n">
        <f aca="false">K9/L9</f>
        <v>0.08</v>
      </c>
      <c r="K9" s="38" t="n">
        <f aca="false">F9+H9</f>
        <v>2</v>
      </c>
      <c r="L9" s="38" t="n">
        <f aca="false">G9+4*H9</f>
        <v>25</v>
      </c>
      <c r="M9" s="38" t="s">
        <v>619</v>
      </c>
      <c r="N9" s="38" t="n">
        <f aca="false">ROUND(SUMIFS($J$2:$J$1137,$A$2:$A$1137,A9,$C$2:$C$1137,C9),9)</f>
        <v>1</v>
      </c>
    </row>
    <row r="10" customFormat="false" ht="15" hidden="false" customHeight="true" outlineLevel="0" collapsed="false">
      <c r="A10" s="38" t="n">
        <v>1</v>
      </c>
      <c r="B10" s="38" t="s">
        <v>618</v>
      </c>
      <c r="C10" s="38" t="s">
        <v>169</v>
      </c>
      <c r="D10" s="38" t="s">
        <v>172</v>
      </c>
      <c r="E10" s="38" t="str">
        <f aca="false">A10&amp;"|"&amp;C10&amp;"|"&amp;D10</f>
        <v>1|G|A</v>
      </c>
      <c r="F10" s="43" t="n">
        <v>6</v>
      </c>
      <c r="G10" s="38" t="n">
        <f aca="false">SUMIFS($F$2:$F$1137,$A$2:$A$1137,A10,$C$2:$C$1137,C10)</f>
        <v>152</v>
      </c>
      <c r="H10" s="43" t="n">
        <v>1</v>
      </c>
      <c r="I10" s="45" t="n">
        <f aca="false">IF(G10=0,"",F10/G10)</f>
        <v>0.0394736842105263</v>
      </c>
      <c r="J10" s="45" t="n">
        <f aca="false">K10/L10</f>
        <v>0.0448717948717949</v>
      </c>
      <c r="K10" s="38" t="n">
        <f aca="false">F10+H10</f>
        <v>7</v>
      </c>
      <c r="L10" s="38" t="n">
        <f aca="false">G10+4*H10</f>
        <v>156</v>
      </c>
      <c r="M10" s="38" t="s">
        <v>619</v>
      </c>
      <c r="N10" s="38" t="n">
        <f aca="false">ROUND(SUMIFS($J$2:$J$1137,$A$2:$A$1137,A10,$C$2:$C$1137,C10),9)</f>
        <v>1</v>
      </c>
    </row>
    <row r="11" customFormat="false" ht="15" hidden="false" customHeight="true" outlineLevel="0" collapsed="false">
      <c r="A11" s="38" t="n">
        <v>1</v>
      </c>
      <c r="B11" s="38" t="s">
        <v>618</v>
      </c>
      <c r="C11" s="38" t="s">
        <v>169</v>
      </c>
      <c r="D11" s="38" t="s">
        <v>170</v>
      </c>
      <c r="E11" s="38" t="str">
        <f aca="false">A11&amp;"|"&amp;C11&amp;"|"&amp;D11</f>
        <v>1|G|C</v>
      </c>
      <c r="F11" s="43" t="n">
        <v>68</v>
      </c>
      <c r="G11" s="38" t="n">
        <f aca="false">SUMIFS($F$2:$F$1137,$A$2:$A$1137,A11,$C$2:$C$1137,C11)</f>
        <v>152</v>
      </c>
      <c r="H11" s="43" t="n">
        <v>1</v>
      </c>
      <c r="I11" s="45" t="n">
        <f aca="false">IF(G11=0,"",F11/G11)</f>
        <v>0.447368421052632</v>
      </c>
      <c r="J11" s="45" t="n">
        <f aca="false">K11/L11</f>
        <v>0.442307692307692</v>
      </c>
      <c r="K11" s="38" t="n">
        <f aca="false">F11+H11</f>
        <v>69</v>
      </c>
      <c r="L11" s="38" t="n">
        <f aca="false">G11+4*H11</f>
        <v>156</v>
      </c>
      <c r="M11" s="38" t="s">
        <v>619</v>
      </c>
      <c r="N11" s="38" t="n">
        <f aca="false">ROUND(SUMIFS($J$2:$J$1137,$A$2:$A$1137,A11,$C$2:$C$1137,C11),9)</f>
        <v>1</v>
      </c>
    </row>
    <row r="12" customFormat="false" ht="15" hidden="false" customHeight="true" outlineLevel="0" collapsed="false">
      <c r="A12" s="38" t="n">
        <v>1</v>
      </c>
      <c r="B12" s="38" t="s">
        <v>618</v>
      </c>
      <c r="C12" s="38" t="s">
        <v>169</v>
      </c>
      <c r="D12" s="38" t="s">
        <v>169</v>
      </c>
      <c r="E12" s="38" t="str">
        <f aca="false">A12&amp;"|"&amp;C12&amp;"|"&amp;D12</f>
        <v>1|G|G</v>
      </c>
      <c r="F12" s="43" t="n">
        <v>73</v>
      </c>
      <c r="G12" s="38" t="n">
        <f aca="false">SUMIFS($F$2:$F$1137,$A$2:$A$1137,A12,$C$2:$C$1137,C12)</f>
        <v>152</v>
      </c>
      <c r="H12" s="43" t="n">
        <v>1</v>
      </c>
      <c r="I12" s="45" t="n">
        <f aca="false">IF(G12=0,"",F12/G12)</f>
        <v>0.480263157894737</v>
      </c>
      <c r="J12" s="45" t="n">
        <f aca="false">K12/L12</f>
        <v>0.474358974358974</v>
      </c>
      <c r="K12" s="38" t="n">
        <f aca="false">F12+H12</f>
        <v>74</v>
      </c>
      <c r="L12" s="38" t="n">
        <f aca="false">G12+4*H12</f>
        <v>156</v>
      </c>
      <c r="M12" s="38" t="s">
        <v>619</v>
      </c>
      <c r="N12" s="38" t="n">
        <f aca="false">ROUND(SUMIFS($J$2:$J$1137,$A$2:$A$1137,A12,$C$2:$C$1137,C12),9)</f>
        <v>1</v>
      </c>
    </row>
    <row r="13" customFormat="false" ht="15" hidden="false" customHeight="true" outlineLevel="0" collapsed="false">
      <c r="A13" s="38" t="n">
        <v>1</v>
      </c>
      <c r="B13" s="38" t="s">
        <v>618</v>
      </c>
      <c r="C13" s="38" t="s">
        <v>169</v>
      </c>
      <c r="D13" s="38" t="s">
        <v>171</v>
      </c>
      <c r="E13" s="38" t="str">
        <f aca="false">A13&amp;"|"&amp;C13&amp;"|"&amp;D13</f>
        <v>1|G|U</v>
      </c>
      <c r="F13" s="43" t="n">
        <v>5</v>
      </c>
      <c r="G13" s="38" t="n">
        <f aca="false">SUMIFS($F$2:$F$1137,$A$2:$A$1137,A13,$C$2:$C$1137,C13)</f>
        <v>152</v>
      </c>
      <c r="H13" s="43" t="n">
        <v>1</v>
      </c>
      <c r="I13" s="45" t="n">
        <f aca="false">IF(G13=0,"",F13/G13)</f>
        <v>0.0328947368421053</v>
      </c>
      <c r="J13" s="45" t="n">
        <f aca="false">K13/L13</f>
        <v>0.0384615384615385</v>
      </c>
      <c r="K13" s="38" t="n">
        <f aca="false">F13+H13</f>
        <v>6</v>
      </c>
      <c r="L13" s="38" t="n">
        <f aca="false">G13+4*H13</f>
        <v>156</v>
      </c>
      <c r="M13" s="38" t="s">
        <v>619</v>
      </c>
      <c r="N13" s="38" t="n">
        <f aca="false">ROUND(SUMIFS($J$2:$J$1137,$A$2:$A$1137,A13,$C$2:$C$1137,C13),9)</f>
        <v>1</v>
      </c>
    </row>
    <row r="14" customFormat="false" ht="15" hidden="false" customHeight="true" outlineLevel="0" collapsed="false">
      <c r="A14" s="38" t="n">
        <v>1</v>
      </c>
      <c r="B14" s="38" t="s">
        <v>618</v>
      </c>
      <c r="C14" s="38" t="s">
        <v>171</v>
      </c>
      <c r="D14" s="38" t="s">
        <v>172</v>
      </c>
      <c r="E14" s="38" t="str">
        <f aca="false">A14&amp;"|"&amp;C14&amp;"|"&amp;D14</f>
        <v>1|U|A</v>
      </c>
      <c r="F14" s="43" t="n">
        <v>0</v>
      </c>
      <c r="G14" s="38" t="n">
        <f aca="false">SUMIFS($F$2:$F$1137,$A$2:$A$1137,A14,$C$2:$C$1137,C14)</f>
        <v>13</v>
      </c>
      <c r="H14" s="43" t="n">
        <v>1</v>
      </c>
      <c r="I14" s="45" t="n">
        <f aca="false">IF(G14=0,"",F14/G14)</f>
        <v>0</v>
      </c>
      <c r="J14" s="45" t="n">
        <f aca="false">K14/L14</f>
        <v>0.0588235294117647</v>
      </c>
      <c r="K14" s="38" t="n">
        <f aca="false">F14+H14</f>
        <v>1</v>
      </c>
      <c r="L14" s="38" t="n">
        <f aca="false">G14+4*H14</f>
        <v>17</v>
      </c>
      <c r="M14" s="38" t="s">
        <v>619</v>
      </c>
      <c r="N14" s="38" t="n">
        <f aca="false">ROUND(SUMIFS($J$2:$J$1137,$A$2:$A$1137,A14,$C$2:$C$1137,C14),9)</f>
        <v>1</v>
      </c>
    </row>
    <row r="15" customFormat="false" ht="15" hidden="false" customHeight="true" outlineLevel="0" collapsed="false">
      <c r="A15" s="38" t="n">
        <v>1</v>
      </c>
      <c r="B15" s="38" t="s">
        <v>618</v>
      </c>
      <c r="C15" s="38" t="s">
        <v>171</v>
      </c>
      <c r="D15" s="38" t="s">
        <v>170</v>
      </c>
      <c r="E15" s="38" t="str">
        <f aca="false">A15&amp;"|"&amp;C15&amp;"|"&amp;D15</f>
        <v>1|U|C</v>
      </c>
      <c r="F15" s="43" t="n">
        <v>9</v>
      </c>
      <c r="G15" s="38" t="n">
        <f aca="false">SUMIFS($F$2:$F$1137,$A$2:$A$1137,A15,$C$2:$C$1137,C15)</f>
        <v>13</v>
      </c>
      <c r="H15" s="43" t="n">
        <v>1</v>
      </c>
      <c r="I15" s="45" t="n">
        <f aca="false">IF(G15=0,"",F15/G15)</f>
        <v>0.692307692307692</v>
      </c>
      <c r="J15" s="45" t="n">
        <f aca="false">K15/L15</f>
        <v>0.588235294117647</v>
      </c>
      <c r="K15" s="38" t="n">
        <f aca="false">F15+H15</f>
        <v>10</v>
      </c>
      <c r="L15" s="38" t="n">
        <f aca="false">G15+4*H15</f>
        <v>17</v>
      </c>
      <c r="M15" s="38" t="s">
        <v>619</v>
      </c>
      <c r="N15" s="38" t="n">
        <f aca="false">ROUND(SUMIFS($J$2:$J$1137,$A$2:$A$1137,A15,$C$2:$C$1137,C15),9)</f>
        <v>1</v>
      </c>
    </row>
    <row r="16" customFormat="false" ht="15" hidden="false" customHeight="true" outlineLevel="0" collapsed="false">
      <c r="A16" s="38" t="n">
        <v>1</v>
      </c>
      <c r="B16" s="38" t="s">
        <v>618</v>
      </c>
      <c r="C16" s="38" t="s">
        <v>171</v>
      </c>
      <c r="D16" s="38" t="s">
        <v>169</v>
      </c>
      <c r="E16" s="38" t="str">
        <f aca="false">A16&amp;"|"&amp;C16&amp;"|"&amp;D16</f>
        <v>1|U|G</v>
      </c>
      <c r="F16" s="43" t="n">
        <v>4</v>
      </c>
      <c r="G16" s="38" t="n">
        <f aca="false">SUMIFS($F$2:$F$1137,$A$2:$A$1137,A16,$C$2:$C$1137,C16)</f>
        <v>13</v>
      </c>
      <c r="H16" s="43" t="n">
        <v>1</v>
      </c>
      <c r="I16" s="45" t="n">
        <f aca="false">IF(G16=0,"",F16/G16)</f>
        <v>0.307692307692308</v>
      </c>
      <c r="J16" s="45" t="n">
        <f aca="false">K16/L16</f>
        <v>0.294117647058824</v>
      </c>
      <c r="K16" s="38" t="n">
        <f aca="false">F16+H16</f>
        <v>5</v>
      </c>
      <c r="L16" s="38" t="n">
        <f aca="false">G16+4*H16</f>
        <v>17</v>
      </c>
      <c r="M16" s="38" t="s">
        <v>619</v>
      </c>
      <c r="N16" s="38" t="n">
        <f aca="false">ROUND(SUMIFS($J$2:$J$1137,$A$2:$A$1137,A16,$C$2:$C$1137,C16),9)</f>
        <v>1</v>
      </c>
    </row>
    <row r="17" customFormat="false" ht="15" hidden="false" customHeight="true" outlineLevel="0" collapsed="false">
      <c r="A17" s="38" t="n">
        <v>1</v>
      </c>
      <c r="B17" s="38" t="s">
        <v>618</v>
      </c>
      <c r="C17" s="38" t="s">
        <v>171</v>
      </c>
      <c r="D17" s="38" t="s">
        <v>171</v>
      </c>
      <c r="E17" s="38" t="str">
        <f aca="false">A17&amp;"|"&amp;C17&amp;"|"&amp;D17</f>
        <v>1|U|U</v>
      </c>
      <c r="F17" s="43" t="n">
        <v>0</v>
      </c>
      <c r="G17" s="38" t="n">
        <f aca="false">SUMIFS($F$2:$F$1137,$A$2:$A$1137,A17,$C$2:$C$1137,C17)</f>
        <v>13</v>
      </c>
      <c r="H17" s="43" t="n">
        <v>1</v>
      </c>
      <c r="I17" s="45" t="n">
        <f aca="false">IF(G17=0,"",F17/G17)</f>
        <v>0</v>
      </c>
      <c r="J17" s="45" t="n">
        <f aca="false">K17/L17</f>
        <v>0.0588235294117647</v>
      </c>
      <c r="K17" s="38" t="n">
        <f aca="false">F17+H17</f>
        <v>1</v>
      </c>
      <c r="L17" s="38" t="n">
        <f aca="false">G17+4*H17</f>
        <v>17</v>
      </c>
      <c r="M17" s="38" t="s">
        <v>619</v>
      </c>
      <c r="N17" s="38" t="n">
        <f aca="false">ROUND(SUMIFS($J$2:$J$1137,$A$2:$A$1137,A17,$C$2:$C$1137,C17),9)</f>
        <v>1</v>
      </c>
    </row>
    <row r="18" customFormat="false" ht="15" hidden="false" customHeight="true" outlineLevel="0" collapsed="false">
      <c r="A18" s="38" t="n">
        <v>2</v>
      </c>
      <c r="B18" s="38" t="s">
        <v>620</v>
      </c>
      <c r="C18" s="38" t="s">
        <v>172</v>
      </c>
      <c r="D18" s="38" t="s">
        <v>172</v>
      </c>
      <c r="E18" s="38" t="str">
        <f aca="false">A18&amp;"|"&amp;C18&amp;"|"&amp;D18</f>
        <v>2|A|A</v>
      </c>
      <c r="F18" s="43" t="n">
        <v>0</v>
      </c>
      <c r="G18" s="38" t="n">
        <f aca="false">SUMIFS($F$2:$F$1137,$A$2:$A$1137,A18,$C$2:$C$1137,C18)</f>
        <v>6</v>
      </c>
      <c r="H18" s="43" t="n">
        <v>1</v>
      </c>
      <c r="I18" s="45" t="n">
        <f aca="false">IF(G18=0,"",F18/G18)</f>
        <v>0</v>
      </c>
      <c r="J18" s="45" t="n">
        <f aca="false">K18/L18</f>
        <v>0.1</v>
      </c>
      <c r="K18" s="38" t="n">
        <f aca="false">F18+H18</f>
        <v>1</v>
      </c>
      <c r="L18" s="38" t="n">
        <f aca="false">G18+4*H18</f>
        <v>10</v>
      </c>
      <c r="M18" s="38" t="s">
        <v>619</v>
      </c>
      <c r="N18" s="38" t="n">
        <f aca="false">ROUND(SUMIFS($J$2:$J$1137,$A$2:$A$1137,A18,$C$2:$C$1137,C18),9)</f>
        <v>1</v>
      </c>
    </row>
    <row r="19" customFormat="false" ht="15" hidden="false" customHeight="true" outlineLevel="0" collapsed="false">
      <c r="A19" s="38" t="n">
        <v>2</v>
      </c>
      <c r="B19" s="38" t="s">
        <v>620</v>
      </c>
      <c r="C19" s="38" t="s">
        <v>172</v>
      </c>
      <c r="D19" s="38" t="s">
        <v>170</v>
      </c>
      <c r="E19" s="38" t="str">
        <f aca="false">A19&amp;"|"&amp;C19&amp;"|"&amp;D19</f>
        <v>2|A|C</v>
      </c>
      <c r="F19" s="43" t="n">
        <v>5</v>
      </c>
      <c r="G19" s="38" t="n">
        <f aca="false">SUMIFS($F$2:$F$1137,$A$2:$A$1137,A19,$C$2:$C$1137,C19)</f>
        <v>6</v>
      </c>
      <c r="H19" s="43" t="n">
        <v>1</v>
      </c>
      <c r="I19" s="45" t="n">
        <f aca="false">IF(G19=0,"",F19/G19)</f>
        <v>0.833333333333333</v>
      </c>
      <c r="J19" s="45" t="n">
        <f aca="false">K19/L19</f>
        <v>0.6</v>
      </c>
      <c r="K19" s="38" t="n">
        <f aca="false">F19+H19</f>
        <v>6</v>
      </c>
      <c r="L19" s="38" t="n">
        <f aca="false">G19+4*H19</f>
        <v>10</v>
      </c>
      <c r="M19" s="38" t="s">
        <v>619</v>
      </c>
      <c r="N19" s="38" t="n">
        <f aca="false">ROUND(SUMIFS($J$2:$J$1137,$A$2:$A$1137,A19,$C$2:$C$1137,C19),9)</f>
        <v>1</v>
      </c>
    </row>
    <row r="20" customFormat="false" ht="15" hidden="false" customHeight="true" outlineLevel="0" collapsed="false">
      <c r="A20" s="38" t="n">
        <v>2</v>
      </c>
      <c r="B20" s="38" t="s">
        <v>620</v>
      </c>
      <c r="C20" s="38" t="s">
        <v>172</v>
      </c>
      <c r="D20" s="38" t="s">
        <v>169</v>
      </c>
      <c r="E20" s="38" t="str">
        <f aca="false">A20&amp;"|"&amp;C20&amp;"|"&amp;D20</f>
        <v>2|A|G</v>
      </c>
      <c r="F20" s="43" t="n">
        <v>1</v>
      </c>
      <c r="G20" s="38" t="n">
        <f aca="false">SUMIFS($F$2:$F$1137,$A$2:$A$1137,A20,$C$2:$C$1137,C20)</f>
        <v>6</v>
      </c>
      <c r="H20" s="43" t="n">
        <v>1</v>
      </c>
      <c r="I20" s="45" t="n">
        <f aca="false">IF(G20=0,"",F20/G20)</f>
        <v>0.166666666666667</v>
      </c>
      <c r="J20" s="45" t="n">
        <f aca="false">K20/L20</f>
        <v>0.2</v>
      </c>
      <c r="K20" s="38" t="n">
        <f aca="false">F20+H20</f>
        <v>2</v>
      </c>
      <c r="L20" s="38" t="n">
        <f aca="false">G20+4*H20</f>
        <v>10</v>
      </c>
      <c r="M20" s="38" t="s">
        <v>619</v>
      </c>
      <c r="N20" s="38" t="n">
        <f aca="false">ROUND(SUMIFS($J$2:$J$1137,$A$2:$A$1137,A20,$C$2:$C$1137,C20),9)</f>
        <v>1</v>
      </c>
    </row>
    <row r="21" customFormat="false" ht="15" hidden="false" customHeight="true" outlineLevel="0" collapsed="false">
      <c r="A21" s="38" t="n">
        <v>2</v>
      </c>
      <c r="B21" s="38" t="s">
        <v>620</v>
      </c>
      <c r="C21" s="38" t="s">
        <v>172</v>
      </c>
      <c r="D21" s="38" t="s">
        <v>171</v>
      </c>
      <c r="E21" s="38" t="str">
        <f aca="false">A21&amp;"|"&amp;C21&amp;"|"&amp;D21</f>
        <v>2|A|U</v>
      </c>
      <c r="F21" s="43" t="n">
        <v>0</v>
      </c>
      <c r="G21" s="38" t="n">
        <f aca="false">SUMIFS($F$2:$F$1137,$A$2:$A$1137,A21,$C$2:$C$1137,C21)</f>
        <v>6</v>
      </c>
      <c r="H21" s="43" t="n">
        <v>1</v>
      </c>
      <c r="I21" s="45" t="n">
        <f aca="false">IF(G21=0,"",F21/G21)</f>
        <v>0</v>
      </c>
      <c r="J21" s="45" t="n">
        <f aca="false">K21/L21</f>
        <v>0.1</v>
      </c>
      <c r="K21" s="38" t="n">
        <f aca="false">F21+H21</f>
        <v>1</v>
      </c>
      <c r="L21" s="38" t="n">
        <f aca="false">G21+4*H21</f>
        <v>10</v>
      </c>
      <c r="M21" s="38" t="s">
        <v>619</v>
      </c>
      <c r="N21" s="38" t="n">
        <f aca="false">ROUND(SUMIFS($J$2:$J$1137,$A$2:$A$1137,A21,$C$2:$C$1137,C21),9)</f>
        <v>1</v>
      </c>
    </row>
    <row r="22" customFormat="false" ht="15" hidden="false" customHeight="true" outlineLevel="0" collapsed="false">
      <c r="A22" s="38" t="n">
        <v>2</v>
      </c>
      <c r="B22" s="38" t="s">
        <v>620</v>
      </c>
      <c r="C22" s="38" t="s">
        <v>170</v>
      </c>
      <c r="D22" s="38" t="s">
        <v>172</v>
      </c>
      <c r="E22" s="38" t="str">
        <f aca="false">A22&amp;"|"&amp;C22&amp;"|"&amp;D22</f>
        <v>2|C|A</v>
      </c>
      <c r="F22" s="43" t="n">
        <v>2</v>
      </c>
      <c r="G22" s="38" t="n">
        <f aca="false">SUMIFS($F$2:$F$1137,$A$2:$A$1137,A22,$C$2:$C$1137,C22)</f>
        <v>82</v>
      </c>
      <c r="H22" s="43" t="n">
        <v>1</v>
      </c>
      <c r="I22" s="45" t="n">
        <f aca="false">IF(G22=0,"",F22/G22)</f>
        <v>0.024390243902439</v>
      </c>
      <c r="J22" s="45" t="n">
        <f aca="false">K22/L22</f>
        <v>0.0348837209302326</v>
      </c>
      <c r="K22" s="38" t="n">
        <f aca="false">F22+H22</f>
        <v>3</v>
      </c>
      <c r="L22" s="38" t="n">
        <f aca="false">G22+4*H22</f>
        <v>86</v>
      </c>
      <c r="M22" s="38" t="s">
        <v>619</v>
      </c>
      <c r="N22" s="38" t="n">
        <f aca="false">ROUND(SUMIFS($J$2:$J$1137,$A$2:$A$1137,A22,$C$2:$C$1137,C22),9)</f>
        <v>1</v>
      </c>
    </row>
    <row r="23" customFormat="false" ht="15" hidden="false" customHeight="true" outlineLevel="0" collapsed="false">
      <c r="A23" s="38" t="n">
        <v>2</v>
      </c>
      <c r="B23" s="38" t="s">
        <v>620</v>
      </c>
      <c r="C23" s="38" t="s">
        <v>170</v>
      </c>
      <c r="D23" s="38" t="s">
        <v>170</v>
      </c>
      <c r="E23" s="38" t="str">
        <f aca="false">A23&amp;"|"&amp;C23&amp;"|"&amp;D23</f>
        <v>2|C|C</v>
      </c>
      <c r="F23" s="43" t="n">
        <v>44</v>
      </c>
      <c r="G23" s="38" t="n">
        <f aca="false">SUMIFS($F$2:$F$1137,$A$2:$A$1137,A23,$C$2:$C$1137,C23)</f>
        <v>82</v>
      </c>
      <c r="H23" s="43" t="n">
        <v>1</v>
      </c>
      <c r="I23" s="45" t="n">
        <f aca="false">IF(G23=0,"",F23/G23)</f>
        <v>0.536585365853659</v>
      </c>
      <c r="J23" s="45" t="n">
        <f aca="false">K23/L23</f>
        <v>0.523255813953488</v>
      </c>
      <c r="K23" s="38" t="n">
        <f aca="false">F23+H23</f>
        <v>45</v>
      </c>
      <c r="L23" s="38" t="n">
        <f aca="false">G23+4*H23</f>
        <v>86</v>
      </c>
      <c r="M23" s="38" t="s">
        <v>619</v>
      </c>
      <c r="N23" s="38" t="n">
        <f aca="false">ROUND(SUMIFS($J$2:$J$1137,$A$2:$A$1137,A23,$C$2:$C$1137,C23),9)</f>
        <v>1</v>
      </c>
    </row>
    <row r="24" customFormat="false" ht="15" hidden="false" customHeight="true" outlineLevel="0" collapsed="false">
      <c r="A24" s="38" t="n">
        <v>2</v>
      </c>
      <c r="B24" s="38" t="s">
        <v>620</v>
      </c>
      <c r="C24" s="38" t="s">
        <v>170</v>
      </c>
      <c r="D24" s="38" t="s">
        <v>169</v>
      </c>
      <c r="E24" s="38" t="str">
        <f aca="false">A24&amp;"|"&amp;C24&amp;"|"&amp;D24</f>
        <v>2|C|G</v>
      </c>
      <c r="F24" s="43" t="n">
        <v>22</v>
      </c>
      <c r="G24" s="38" t="n">
        <f aca="false">SUMIFS($F$2:$F$1137,$A$2:$A$1137,A24,$C$2:$C$1137,C24)</f>
        <v>82</v>
      </c>
      <c r="H24" s="43" t="n">
        <v>1</v>
      </c>
      <c r="I24" s="45" t="n">
        <f aca="false">IF(G24=0,"",F24/G24)</f>
        <v>0.268292682926829</v>
      </c>
      <c r="J24" s="45" t="n">
        <f aca="false">K24/L24</f>
        <v>0.267441860465116</v>
      </c>
      <c r="K24" s="38" t="n">
        <f aca="false">F24+H24</f>
        <v>23</v>
      </c>
      <c r="L24" s="38" t="n">
        <f aca="false">G24+4*H24</f>
        <v>86</v>
      </c>
      <c r="M24" s="38" t="s">
        <v>619</v>
      </c>
      <c r="N24" s="38" t="n">
        <f aca="false">ROUND(SUMIFS($J$2:$J$1137,$A$2:$A$1137,A24,$C$2:$C$1137,C24),9)</f>
        <v>1</v>
      </c>
    </row>
    <row r="25" customFormat="false" ht="15" hidden="false" customHeight="true" outlineLevel="0" collapsed="false">
      <c r="A25" s="38" t="n">
        <v>2</v>
      </c>
      <c r="B25" s="38" t="s">
        <v>620</v>
      </c>
      <c r="C25" s="38" t="s">
        <v>170</v>
      </c>
      <c r="D25" s="38" t="s">
        <v>171</v>
      </c>
      <c r="E25" s="38" t="str">
        <f aca="false">A25&amp;"|"&amp;C25&amp;"|"&amp;D25</f>
        <v>2|C|U</v>
      </c>
      <c r="F25" s="43" t="n">
        <v>14</v>
      </c>
      <c r="G25" s="38" t="n">
        <f aca="false">SUMIFS($F$2:$F$1137,$A$2:$A$1137,A25,$C$2:$C$1137,C25)</f>
        <v>82</v>
      </c>
      <c r="H25" s="43" t="n">
        <v>1</v>
      </c>
      <c r="I25" s="45" t="n">
        <f aca="false">IF(G25=0,"",F25/G25)</f>
        <v>0.170731707317073</v>
      </c>
      <c r="J25" s="45" t="n">
        <f aca="false">K25/L25</f>
        <v>0.174418604651163</v>
      </c>
      <c r="K25" s="38" t="n">
        <f aca="false">F25+H25</f>
        <v>15</v>
      </c>
      <c r="L25" s="38" t="n">
        <f aca="false">G25+4*H25</f>
        <v>86</v>
      </c>
      <c r="M25" s="38" t="s">
        <v>619</v>
      </c>
      <c r="N25" s="38" t="n">
        <f aca="false">ROUND(SUMIFS($J$2:$J$1137,$A$2:$A$1137,A25,$C$2:$C$1137,C25),9)</f>
        <v>1</v>
      </c>
    </row>
    <row r="26" customFormat="false" ht="15" hidden="false" customHeight="true" outlineLevel="0" collapsed="false">
      <c r="A26" s="38" t="n">
        <v>2</v>
      </c>
      <c r="B26" s="38" t="s">
        <v>620</v>
      </c>
      <c r="C26" s="38" t="s">
        <v>169</v>
      </c>
      <c r="D26" s="38" t="s">
        <v>172</v>
      </c>
      <c r="E26" s="38" t="str">
        <f aca="false">A26&amp;"|"&amp;C26&amp;"|"&amp;D26</f>
        <v>2|G|A</v>
      </c>
      <c r="F26" s="43" t="n">
        <v>12</v>
      </c>
      <c r="G26" s="38" t="n">
        <f aca="false">SUMIFS($F$2:$F$1137,$A$2:$A$1137,A26,$C$2:$C$1137,C26)</f>
        <v>105</v>
      </c>
      <c r="H26" s="43" t="n">
        <v>1</v>
      </c>
      <c r="I26" s="45" t="n">
        <f aca="false">IF(G26=0,"",F26/G26)</f>
        <v>0.114285714285714</v>
      </c>
      <c r="J26" s="45" t="n">
        <f aca="false">K26/L26</f>
        <v>0.119266055045872</v>
      </c>
      <c r="K26" s="38" t="n">
        <f aca="false">F26+H26</f>
        <v>13</v>
      </c>
      <c r="L26" s="38" t="n">
        <f aca="false">G26+4*H26</f>
        <v>109</v>
      </c>
      <c r="M26" s="38" t="s">
        <v>619</v>
      </c>
      <c r="N26" s="38" t="n">
        <f aca="false">ROUND(SUMIFS($J$2:$J$1137,$A$2:$A$1137,A26,$C$2:$C$1137,C26),9)</f>
        <v>1</v>
      </c>
    </row>
    <row r="27" customFormat="false" ht="15" hidden="false" customHeight="true" outlineLevel="0" collapsed="false">
      <c r="A27" s="38" t="n">
        <v>2</v>
      </c>
      <c r="B27" s="38" t="s">
        <v>620</v>
      </c>
      <c r="C27" s="38" t="s">
        <v>169</v>
      </c>
      <c r="D27" s="38" t="s">
        <v>170</v>
      </c>
      <c r="E27" s="38" t="str">
        <f aca="false">A27&amp;"|"&amp;C27&amp;"|"&amp;D27</f>
        <v>2|G|C</v>
      </c>
      <c r="F27" s="43" t="n">
        <v>24</v>
      </c>
      <c r="G27" s="38" t="n">
        <f aca="false">SUMIFS($F$2:$F$1137,$A$2:$A$1137,A27,$C$2:$C$1137,C27)</f>
        <v>105</v>
      </c>
      <c r="H27" s="43" t="n">
        <v>1</v>
      </c>
      <c r="I27" s="45" t="n">
        <f aca="false">IF(G27=0,"",F27/G27)</f>
        <v>0.228571428571429</v>
      </c>
      <c r="J27" s="45" t="n">
        <f aca="false">K27/L27</f>
        <v>0.229357798165138</v>
      </c>
      <c r="K27" s="38" t="n">
        <f aca="false">F27+H27</f>
        <v>25</v>
      </c>
      <c r="L27" s="38" t="n">
        <f aca="false">G27+4*H27</f>
        <v>109</v>
      </c>
      <c r="M27" s="38" t="s">
        <v>619</v>
      </c>
      <c r="N27" s="38" t="n">
        <f aca="false">ROUND(SUMIFS($J$2:$J$1137,$A$2:$A$1137,A27,$C$2:$C$1137,C27),9)</f>
        <v>1</v>
      </c>
    </row>
    <row r="28" customFormat="false" ht="15" hidden="false" customHeight="true" outlineLevel="0" collapsed="false">
      <c r="A28" s="38" t="n">
        <v>2</v>
      </c>
      <c r="B28" s="38" t="s">
        <v>620</v>
      </c>
      <c r="C28" s="38" t="s">
        <v>169</v>
      </c>
      <c r="D28" s="38" t="s">
        <v>169</v>
      </c>
      <c r="E28" s="38" t="str">
        <f aca="false">A28&amp;"|"&amp;C28&amp;"|"&amp;D28</f>
        <v>2|G|G</v>
      </c>
      <c r="F28" s="43" t="n">
        <v>61</v>
      </c>
      <c r="G28" s="38" t="n">
        <f aca="false">SUMIFS($F$2:$F$1137,$A$2:$A$1137,A28,$C$2:$C$1137,C28)</f>
        <v>105</v>
      </c>
      <c r="H28" s="43" t="n">
        <v>1</v>
      </c>
      <c r="I28" s="45" t="n">
        <f aca="false">IF(G28=0,"",F28/G28)</f>
        <v>0.580952380952381</v>
      </c>
      <c r="J28" s="45" t="n">
        <f aca="false">K28/L28</f>
        <v>0.568807339449541</v>
      </c>
      <c r="K28" s="38" t="n">
        <f aca="false">F28+H28</f>
        <v>62</v>
      </c>
      <c r="L28" s="38" t="n">
        <f aca="false">G28+4*H28</f>
        <v>109</v>
      </c>
      <c r="M28" s="38" t="s">
        <v>619</v>
      </c>
      <c r="N28" s="38" t="n">
        <f aca="false">ROUND(SUMIFS($J$2:$J$1137,$A$2:$A$1137,A28,$C$2:$C$1137,C28),9)</f>
        <v>1</v>
      </c>
    </row>
    <row r="29" customFormat="false" ht="15" hidden="false" customHeight="true" outlineLevel="0" collapsed="false">
      <c r="A29" s="38" t="n">
        <v>2</v>
      </c>
      <c r="B29" s="38" t="s">
        <v>620</v>
      </c>
      <c r="C29" s="38" t="s">
        <v>169</v>
      </c>
      <c r="D29" s="38" t="s">
        <v>171</v>
      </c>
      <c r="E29" s="38" t="str">
        <f aca="false">A29&amp;"|"&amp;C29&amp;"|"&amp;D29</f>
        <v>2|G|U</v>
      </c>
      <c r="F29" s="43" t="n">
        <v>8</v>
      </c>
      <c r="G29" s="38" t="n">
        <f aca="false">SUMIFS($F$2:$F$1137,$A$2:$A$1137,A29,$C$2:$C$1137,C29)</f>
        <v>105</v>
      </c>
      <c r="H29" s="43" t="n">
        <v>1</v>
      </c>
      <c r="I29" s="45" t="n">
        <f aca="false">IF(G29=0,"",F29/G29)</f>
        <v>0.0761904761904762</v>
      </c>
      <c r="J29" s="45" t="n">
        <f aca="false">K29/L29</f>
        <v>0.0825688073394496</v>
      </c>
      <c r="K29" s="38" t="n">
        <f aca="false">F29+H29</f>
        <v>9</v>
      </c>
      <c r="L29" s="38" t="n">
        <f aca="false">G29+4*H29</f>
        <v>109</v>
      </c>
      <c r="M29" s="38" t="s">
        <v>619</v>
      </c>
      <c r="N29" s="38" t="n">
        <f aca="false">ROUND(SUMIFS($J$2:$J$1137,$A$2:$A$1137,A29,$C$2:$C$1137,C29),9)</f>
        <v>1</v>
      </c>
    </row>
    <row r="30" customFormat="false" ht="15" hidden="false" customHeight="true" outlineLevel="0" collapsed="false">
      <c r="A30" s="38" t="n">
        <v>2</v>
      </c>
      <c r="B30" s="38" t="s">
        <v>620</v>
      </c>
      <c r="C30" s="38" t="s">
        <v>171</v>
      </c>
      <c r="D30" s="38" t="s">
        <v>172</v>
      </c>
      <c r="E30" s="38" t="str">
        <f aca="false">A30&amp;"|"&amp;C30&amp;"|"&amp;D30</f>
        <v>2|U|A</v>
      </c>
      <c r="F30" s="43" t="n">
        <v>0</v>
      </c>
      <c r="G30" s="38" t="n">
        <f aca="false">SUMIFS($F$2:$F$1137,$A$2:$A$1137,A30,$C$2:$C$1137,C30)</f>
        <v>6</v>
      </c>
      <c r="H30" s="43" t="n">
        <v>1</v>
      </c>
      <c r="I30" s="45" t="n">
        <f aca="false">IF(G30=0,"",F30/G30)</f>
        <v>0</v>
      </c>
      <c r="J30" s="45" t="n">
        <f aca="false">K30/L30</f>
        <v>0.1</v>
      </c>
      <c r="K30" s="38" t="n">
        <f aca="false">F30+H30</f>
        <v>1</v>
      </c>
      <c r="L30" s="38" t="n">
        <f aca="false">G30+4*H30</f>
        <v>10</v>
      </c>
      <c r="M30" s="38" t="s">
        <v>619</v>
      </c>
      <c r="N30" s="38" t="n">
        <f aca="false">ROUND(SUMIFS($J$2:$J$1137,$A$2:$A$1137,A30,$C$2:$C$1137,C30),9)</f>
        <v>1</v>
      </c>
    </row>
    <row r="31" customFormat="false" ht="15" hidden="false" customHeight="true" outlineLevel="0" collapsed="false">
      <c r="A31" s="38" t="n">
        <v>2</v>
      </c>
      <c r="B31" s="38" t="s">
        <v>620</v>
      </c>
      <c r="C31" s="38" t="s">
        <v>171</v>
      </c>
      <c r="D31" s="38" t="s">
        <v>170</v>
      </c>
      <c r="E31" s="38" t="str">
        <f aca="false">A31&amp;"|"&amp;C31&amp;"|"&amp;D31</f>
        <v>2|U|C</v>
      </c>
      <c r="F31" s="43" t="n">
        <v>4</v>
      </c>
      <c r="G31" s="38" t="n">
        <f aca="false">SUMIFS($F$2:$F$1137,$A$2:$A$1137,A31,$C$2:$C$1137,C31)</f>
        <v>6</v>
      </c>
      <c r="H31" s="43" t="n">
        <v>1</v>
      </c>
      <c r="I31" s="45" t="n">
        <f aca="false">IF(G31=0,"",F31/G31)</f>
        <v>0.666666666666667</v>
      </c>
      <c r="J31" s="45" t="n">
        <f aca="false">K31/L31</f>
        <v>0.5</v>
      </c>
      <c r="K31" s="38" t="n">
        <f aca="false">F31+H31</f>
        <v>5</v>
      </c>
      <c r="L31" s="38" t="n">
        <f aca="false">G31+4*H31</f>
        <v>10</v>
      </c>
      <c r="M31" s="38" t="s">
        <v>619</v>
      </c>
      <c r="N31" s="38" t="n">
        <f aca="false">ROUND(SUMIFS($J$2:$J$1137,$A$2:$A$1137,A31,$C$2:$C$1137,C31),9)</f>
        <v>1</v>
      </c>
    </row>
    <row r="32" customFormat="false" ht="15" hidden="false" customHeight="true" outlineLevel="0" collapsed="false">
      <c r="A32" s="38" t="n">
        <v>2</v>
      </c>
      <c r="B32" s="38" t="s">
        <v>620</v>
      </c>
      <c r="C32" s="38" t="s">
        <v>171</v>
      </c>
      <c r="D32" s="38" t="s">
        <v>169</v>
      </c>
      <c r="E32" s="38" t="str">
        <f aca="false">A32&amp;"|"&amp;C32&amp;"|"&amp;D32</f>
        <v>2|U|G</v>
      </c>
      <c r="F32" s="43" t="n">
        <v>1</v>
      </c>
      <c r="G32" s="38" t="n">
        <f aca="false">SUMIFS($F$2:$F$1137,$A$2:$A$1137,A32,$C$2:$C$1137,C32)</f>
        <v>6</v>
      </c>
      <c r="H32" s="43" t="n">
        <v>1</v>
      </c>
      <c r="I32" s="45" t="n">
        <f aca="false">IF(G32=0,"",F32/G32)</f>
        <v>0.166666666666667</v>
      </c>
      <c r="J32" s="45" t="n">
        <f aca="false">K32/L32</f>
        <v>0.2</v>
      </c>
      <c r="K32" s="38" t="n">
        <f aca="false">F32+H32</f>
        <v>2</v>
      </c>
      <c r="L32" s="38" t="n">
        <f aca="false">G32+4*H32</f>
        <v>10</v>
      </c>
      <c r="M32" s="38" t="s">
        <v>619</v>
      </c>
      <c r="N32" s="38" t="n">
        <f aca="false">ROUND(SUMIFS($J$2:$J$1137,$A$2:$A$1137,A32,$C$2:$C$1137,C32),9)</f>
        <v>1</v>
      </c>
    </row>
    <row r="33" customFormat="false" ht="15" hidden="false" customHeight="true" outlineLevel="0" collapsed="false">
      <c r="A33" s="38" t="n">
        <v>2</v>
      </c>
      <c r="B33" s="38" t="s">
        <v>620</v>
      </c>
      <c r="C33" s="38" t="s">
        <v>171</v>
      </c>
      <c r="D33" s="38" t="s">
        <v>171</v>
      </c>
      <c r="E33" s="38" t="str">
        <f aca="false">A33&amp;"|"&amp;C33&amp;"|"&amp;D33</f>
        <v>2|U|U</v>
      </c>
      <c r="F33" s="43" t="n">
        <v>1</v>
      </c>
      <c r="G33" s="38" t="n">
        <f aca="false">SUMIFS($F$2:$F$1137,$A$2:$A$1137,A33,$C$2:$C$1137,C33)</f>
        <v>6</v>
      </c>
      <c r="H33" s="43" t="n">
        <v>1</v>
      </c>
      <c r="I33" s="45" t="n">
        <f aca="false">IF(G33=0,"",F33/G33)</f>
        <v>0.166666666666667</v>
      </c>
      <c r="J33" s="45" t="n">
        <f aca="false">K33/L33</f>
        <v>0.2</v>
      </c>
      <c r="K33" s="38" t="n">
        <f aca="false">F33+H33</f>
        <v>2</v>
      </c>
      <c r="L33" s="38" t="n">
        <f aca="false">G33+4*H33</f>
        <v>10</v>
      </c>
      <c r="M33" s="38" t="s">
        <v>619</v>
      </c>
      <c r="N33" s="38" t="n">
        <f aca="false">ROUND(SUMIFS($J$2:$J$1137,$A$2:$A$1137,A33,$C$2:$C$1137,C33),9)</f>
        <v>1</v>
      </c>
    </row>
    <row r="34" customFormat="false" ht="15" hidden="false" customHeight="true" outlineLevel="0" collapsed="false">
      <c r="A34" s="38" t="n">
        <v>3</v>
      </c>
      <c r="B34" s="38" t="s">
        <v>621</v>
      </c>
      <c r="C34" s="38" t="s">
        <v>172</v>
      </c>
      <c r="D34" s="38" t="s">
        <v>172</v>
      </c>
      <c r="E34" s="38" t="str">
        <f aca="false">A34&amp;"|"&amp;C34&amp;"|"&amp;D34</f>
        <v>3|A|A</v>
      </c>
      <c r="F34" s="43" t="n">
        <v>2</v>
      </c>
      <c r="G34" s="38" t="n">
        <f aca="false">SUMIFS($F$2:$F$1137,$A$2:$A$1137,A34,$C$2:$C$1137,C34)</f>
        <v>14</v>
      </c>
      <c r="H34" s="43" t="n">
        <v>1</v>
      </c>
      <c r="I34" s="45" t="n">
        <f aca="false">IF(G34=0,"",F34/G34)</f>
        <v>0.142857142857143</v>
      </c>
      <c r="J34" s="45" t="n">
        <f aca="false">K34/L34</f>
        <v>0.166666666666667</v>
      </c>
      <c r="K34" s="38" t="n">
        <f aca="false">F34+H34</f>
        <v>3</v>
      </c>
      <c r="L34" s="38" t="n">
        <f aca="false">G34+4*H34</f>
        <v>18</v>
      </c>
      <c r="M34" s="38" t="s">
        <v>619</v>
      </c>
      <c r="N34" s="38" t="n">
        <f aca="false">ROUND(SUMIFS($J$2:$J$1137,$A$2:$A$1137,A34,$C$2:$C$1137,C34),9)</f>
        <v>1</v>
      </c>
    </row>
    <row r="35" customFormat="false" ht="15" hidden="false" customHeight="true" outlineLevel="0" collapsed="false">
      <c r="A35" s="38" t="n">
        <v>3</v>
      </c>
      <c r="B35" s="38" t="s">
        <v>621</v>
      </c>
      <c r="C35" s="38" t="s">
        <v>172</v>
      </c>
      <c r="D35" s="38" t="s">
        <v>170</v>
      </c>
      <c r="E35" s="38" t="str">
        <f aca="false">A35&amp;"|"&amp;C35&amp;"|"&amp;D35</f>
        <v>3|A|C</v>
      </c>
      <c r="F35" s="43" t="n">
        <v>3</v>
      </c>
      <c r="G35" s="38" t="n">
        <f aca="false">SUMIFS($F$2:$F$1137,$A$2:$A$1137,A35,$C$2:$C$1137,C35)</f>
        <v>14</v>
      </c>
      <c r="H35" s="43" t="n">
        <v>1</v>
      </c>
      <c r="I35" s="45" t="n">
        <f aca="false">IF(G35=0,"",F35/G35)</f>
        <v>0.214285714285714</v>
      </c>
      <c r="J35" s="45" t="n">
        <f aca="false">K35/L35</f>
        <v>0.222222222222222</v>
      </c>
      <c r="K35" s="38" t="n">
        <f aca="false">F35+H35</f>
        <v>4</v>
      </c>
      <c r="L35" s="38" t="n">
        <f aca="false">G35+4*H35</f>
        <v>18</v>
      </c>
      <c r="M35" s="38" t="s">
        <v>619</v>
      </c>
      <c r="N35" s="38" t="n">
        <f aca="false">ROUND(SUMIFS($J$2:$J$1137,$A$2:$A$1137,A35,$C$2:$C$1137,C35),9)</f>
        <v>1</v>
      </c>
    </row>
    <row r="36" customFormat="false" ht="15" hidden="false" customHeight="true" outlineLevel="0" collapsed="false">
      <c r="A36" s="38" t="n">
        <v>3</v>
      </c>
      <c r="B36" s="38" t="s">
        <v>621</v>
      </c>
      <c r="C36" s="38" t="s">
        <v>172</v>
      </c>
      <c r="D36" s="38" t="s">
        <v>169</v>
      </c>
      <c r="E36" s="38" t="str">
        <f aca="false">A36&amp;"|"&amp;C36&amp;"|"&amp;D36</f>
        <v>3|A|G</v>
      </c>
      <c r="F36" s="43" t="n">
        <v>9</v>
      </c>
      <c r="G36" s="38" t="n">
        <f aca="false">SUMIFS($F$2:$F$1137,$A$2:$A$1137,A36,$C$2:$C$1137,C36)</f>
        <v>14</v>
      </c>
      <c r="H36" s="43" t="n">
        <v>1</v>
      </c>
      <c r="I36" s="45" t="n">
        <f aca="false">IF(G36=0,"",F36/G36)</f>
        <v>0.642857142857143</v>
      </c>
      <c r="J36" s="45" t="n">
        <f aca="false">K36/L36</f>
        <v>0.555555555555556</v>
      </c>
      <c r="K36" s="38" t="n">
        <f aca="false">F36+H36</f>
        <v>10</v>
      </c>
      <c r="L36" s="38" t="n">
        <f aca="false">G36+4*H36</f>
        <v>18</v>
      </c>
      <c r="M36" s="38" t="s">
        <v>619</v>
      </c>
      <c r="N36" s="38" t="n">
        <f aca="false">ROUND(SUMIFS($J$2:$J$1137,$A$2:$A$1137,A36,$C$2:$C$1137,C36),9)</f>
        <v>1</v>
      </c>
    </row>
    <row r="37" customFormat="false" ht="15" hidden="false" customHeight="true" outlineLevel="0" collapsed="false">
      <c r="A37" s="38" t="n">
        <v>3</v>
      </c>
      <c r="B37" s="38" t="s">
        <v>621</v>
      </c>
      <c r="C37" s="38" t="s">
        <v>172</v>
      </c>
      <c r="D37" s="38" t="s">
        <v>171</v>
      </c>
      <c r="E37" s="38" t="str">
        <f aca="false">A37&amp;"|"&amp;C37&amp;"|"&amp;D37</f>
        <v>3|A|U</v>
      </c>
      <c r="F37" s="43" t="n">
        <v>0</v>
      </c>
      <c r="G37" s="38" t="n">
        <f aca="false">SUMIFS($F$2:$F$1137,$A$2:$A$1137,A37,$C$2:$C$1137,C37)</f>
        <v>14</v>
      </c>
      <c r="H37" s="43" t="n">
        <v>1</v>
      </c>
      <c r="I37" s="45" t="n">
        <f aca="false">IF(G37=0,"",F37/G37)</f>
        <v>0</v>
      </c>
      <c r="J37" s="45" t="n">
        <f aca="false">K37/L37</f>
        <v>0.0555555555555556</v>
      </c>
      <c r="K37" s="38" t="n">
        <f aca="false">F37+H37</f>
        <v>1</v>
      </c>
      <c r="L37" s="38" t="n">
        <f aca="false">G37+4*H37</f>
        <v>18</v>
      </c>
      <c r="M37" s="38" t="s">
        <v>619</v>
      </c>
      <c r="N37" s="38" t="n">
        <f aca="false">ROUND(SUMIFS($J$2:$J$1137,$A$2:$A$1137,A37,$C$2:$C$1137,C37),9)</f>
        <v>1</v>
      </c>
    </row>
    <row r="38" customFormat="false" ht="15" hidden="false" customHeight="true" outlineLevel="0" collapsed="false">
      <c r="A38" s="38" t="n">
        <v>3</v>
      </c>
      <c r="B38" s="38" t="s">
        <v>621</v>
      </c>
      <c r="C38" s="38" t="s">
        <v>170</v>
      </c>
      <c r="D38" s="38" t="s">
        <v>172</v>
      </c>
      <c r="E38" s="38" t="str">
        <f aca="false">A38&amp;"|"&amp;C38&amp;"|"&amp;D38</f>
        <v>3|C|A</v>
      </c>
      <c r="F38" s="43" t="n">
        <v>7</v>
      </c>
      <c r="G38" s="38" t="n">
        <f aca="false">SUMIFS($F$2:$F$1137,$A$2:$A$1137,A38,$C$2:$C$1137,C38)</f>
        <v>77</v>
      </c>
      <c r="H38" s="43" t="n">
        <v>1</v>
      </c>
      <c r="I38" s="45" t="n">
        <f aca="false">IF(G38=0,"",F38/G38)</f>
        <v>0.0909090909090909</v>
      </c>
      <c r="J38" s="45" t="n">
        <f aca="false">K38/L38</f>
        <v>0.0987654320987654</v>
      </c>
      <c r="K38" s="38" t="n">
        <f aca="false">F38+H38</f>
        <v>8</v>
      </c>
      <c r="L38" s="38" t="n">
        <f aca="false">G38+4*H38</f>
        <v>81</v>
      </c>
      <c r="M38" s="38" t="s">
        <v>619</v>
      </c>
      <c r="N38" s="38" t="n">
        <f aca="false">ROUND(SUMIFS($J$2:$J$1137,$A$2:$A$1137,A38,$C$2:$C$1137,C38),9)</f>
        <v>1</v>
      </c>
    </row>
    <row r="39" customFormat="false" ht="15" hidden="false" customHeight="true" outlineLevel="0" collapsed="false">
      <c r="A39" s="38" t="n">
        <v>3</v>
      </c>
      <c r="B39" s="38" t="s">
        <v>621</v>
      </c>
      <c r="C39" s="38" t="s">
        <v>170</v>
      </c>
      <c r="D39" s="38" t="s">
        <v>170</v>
      </c>
      <c r="E39" s="38" t="str">
        <f aca="false">A39&amp;"|"&amp;C39&amp;"|"&amp;D39</f>
        <v>3|C|C</v>
      </c>
      <c r="F39" s="43" t="n">
        <v>22</v>
      </c>
      <c r="G39" s="38" t="n">
        <f aca="false">SUMIFS($F$2:$F$1137,$A$2:$A$1137,A39,$C$2:$C$1137,C39)</f>
        <v>77</v>
      </c>
      <c r="H39" s="43" t="n">
        <v>1</v>
      </c>
      <c r="I39" s="45" t="n">
        <f aca="false">IF(G39=0,"",F39/G39)</f>
        <v>0.285714285714286</v>
      </c>
      <c r="J39" s="45" t="n">
        <f aca="false">K39/L39</f>
        <v>0.283950617283951</v>
      </c>
      <c r="K39" s="38" t="n">
        <f aca="false">F39+H39</f>
        <v>23</v>
      </c>
      <c r="L39" s="38" t="n">
        <f aca="false">G39+4*H39</f>
        <v>81</v>
      </c>
      <c r="M39" s="38" t="s">
        <v>619</v>
      </c>
      <c r="N39" s="38" t="n">
        <f aca="false">ROUND(SUMIFS($J$2:$J$1137,$A$2:$A$1137,A39,$C$2:$C$1137,C39),9)</f>
        <v>1</v>
      </c>
    </row>
    <row r="40" customFormat="false" ht="15" hidden="false" customHeight="true" outlineLevel="0" collapsed="false">
      <c r="A40" s="38" t="n">
        <v>3</v>
      </c>
      <c r="B40" s="38" t="s">
        <v>621</v>
      </c>
      <c r="C40" s="38" t="s">
        <v>170</v>
      </c>
      <c r="D40" s="38" t="s">
        <v>169</v>
      </c>
      <c r="E40" s="38" t="str">
        <f aca="false">A40&amp;"|"&amp;C40&amp;"|"&amp;D40</f>
        <v>3|C|G</v>
      </c>
      <c r="F40" s="43" t="n">
        <v>31</v>
      </c>
      <c r="G40" s="38" t="n">
        <f aca="false">SUMIFS($F$2:$F$1137,$A$2:$A$1137,A40,$C$2:$C$1137,C40)</f>
        <v>77</v>
      </c>
      <c r="H40" s="43" t="n">
        <v>1</v>
      </c>
      <c r="I40" s="45" t="n">
        <f aca="false">IF(G40=0,"",F40/G40)</f>
        <v>0.402597402597403</v>
      </c>
      <c r="J40" s="45" t="n">
        <f aca="false">K40/L40</f>
        <v>0.395061728395062</v>
      </c>
      <c r="K40" s="38" t="n">
        <f aca="false">F40+H40</f>
        <v>32</v>
      </c>
      <c r="L40" s="38" t="n">
        <f aca="false">G40+4*H40</f>
        <v>81</v>
      </c>
      <c r="M40" s="38" t="s">
        <v>619</v>
      </c>
      <c r="N40" s="38" t="n">
        <f aca="false">ROUND(SUMIFS($J$2:$J$1137,$A$2:$A$1137,A40,$C$2:$C$1137,C40),9)</f>
        <v>1</v>
      </c>
    </row>
    <row r="41" customFormat="false" ht="15" hidden="false" customHeight="true" outlineLevel="0" collapsed="false">
      <c r="A41" s="38" t="n">
        <v>3</v>
      </c>
      <c r="B41" s="38" t="s">
        <v>621</v>
      </c>
      <c r="C41" s="38" t="s">
        <v>170</v>
      </c>
      <c r="D41" s="38" t="s">
        <v>171</v>
      </c>
      <c r="E41" s="38" t="str">
        <f aca="false">A41&amp;"|"&amp;C41&amp;"|"&amp;D41</f>
        <v>3|C|U</v>
      </c>
      <c r="F41" s="43" t="n">
        <v>17</v>
      </c>
      <c r="G41" s="38" t="n">
        <f aca="false">SUMIFS($F$2:$F$1137,$A$2:$A$1137,A41,$C$2:$C$1137,C41)</f>
        <v>77</v>
      </c>
      <c r="H41" s="43" t="n">
        <v>1</v>
      </c>
      <c r="I41" s="45" t="n">
        <f aca="false">IF(G41=0,"",F41/G41)</f>
        <v>0.220779220779221</v>
      </c>
      <c r="J41" s="45" t="n">
        <f aca="false">K41/L41</f>
        <v>0.222222222222222</v>
      </c>
      <c r="K41" s="38" t="n">
        <f aca="false">F41+H41</f>
        <v>18</v>
      </c>
      <c r="L41" s="38" t="n">
        <f aca="false">G41+4*H41</f>
        <v>81</v>
      </c>
      <c r="M41" s="38" t="s">
        <v>619</v>
      </c>
      <c r="N41" s="38" t="n">
        <f aca="false">ROUND(SUMIFS($J$2:$J$1137,$A$2:$A$1137,A41,$C$2:$C$1137,C41),9)</f>
        <v>1</v>
      </c>
    </row>
    <row r="42" customFormat="false" ht="15" hidden="false" customHeight="true" outlineLevel="0" collapsed="false">
      <c r="A42" s="38" t="n">
        <v>3</v>
      </c>
      <c r="B42" s="38" t="s">
        <v>621</v>
      </c>
      <c r="C42" s="38" t="s">
        <v>169</v>
      </c>
      <c r="D42" s="38" t="s">
        <v>172</v>
      </c>
      <c r="E42" s="38" t="str">
        <f aca="false">A42&amp;"|"&amp;C42&amp;"|"&amp;D42</f>
        <v>3|G|A</v>
      </c>
      <c r="F42" s="43" t="n">
        <v>6</v>
      </c>
      <c r="G42" s="38" t="n">
        <f aca="false">SUMIFS($F$2:$F$1137,$A$2:$A$1137,A42,$C$2:$C$1137,C42)</f>
        <v>85</v>
      </c>
      <c r="H42" s="43" t="n">
        <v>1</v>
      </c>
      <c r="I42" s="45" t="n">
        <f aca="false">IF(G42=0,"",F42/G42)</f>
        <v>0.0705882352941177</v>
      </c>
      <c r="J42" s="45" t="n">
        <f aca="false">K42/L42</f>
        <v>0.0786516853932584</v>
      </c>
      <c r="K42" s="38" t="n">
        <f aca="false">F42+H42</f>
        <v>7</v>
      </c>
      <c r="L42" s="38" t="n">
        <f aca="false">G42+4*H42</f>
        <v>89</v>
      </c>
      <c r="M42" s="38" t="s">
        <v>619</v>
      </c>
      <c r="N42" s="38" t="n">
        <f aca="false">ROUND(SUMIFS($J$2:$J$1137,$A$2:$A$1137,A42,$C$2:$C$1137,C42),9)</f>
        <v>1</v>
      </c>
    </row>
    <row r="43" customFormat="false" ht="15" hidden="false" customHeight="true" outlineLevel="0" collapsed="false">
      <c r="A43" s="38" t="n">
        <v>3</v>
      </c>
      <c r="B43" s="38" t="s">
        <v>621</v>
      </c>
      <c r="C43" s="38" t="s">
        <v>169</v>
      </c>
      <c r="D43" s="38" t="s">
        <v>170</v>
      </c>
      <c r="E43" s="38" t="str">
        <f aca="false">A43&amp;"|"&amp;C43&amp;"|"&amp;D43</f>
        <v>3|G|C</v>
      </c>
      <c r="F43" s="43" t="n">
        <v>28</v>
      </c>
      <c r="G43" s="38" t="n">
        <f aca="false">SUMIFS($F$2:$F$1137,$A$2:$A$1137,A43,$C$2:$C$1137,C43)</f>
        <v>85</v>
      </c>
      <c r="H43" s="43" t="n">
        <v>1</v>
      </c>
      <c r="I43" s="45" t="n">
        <f aca="false">IF(G43=0,"",F43/G43)</f>
        <v>0.329411764705882</v>
      </c>
      <c r="J43" s="45" t="n">
        <f aca="false">K43/L43</f>
        <v>0.325842696629214</v>
      </c>
      <c r="K43" s="38" t="n">
        <f aca="false">F43+H43</f>
        <v>29</v>
      </c>
      <c r="L43" s="38" t="n">
        <f aca="false">G43+4*H43</f>
        <v>89</v>
      </c>
      <c r="M43" s="38" t="s">
        <v>619</v>
      </c>
      <c r="N43" s="38" t="n">
        <f aca="false">ROUND(SUMIFS($J$2:$J$1137,$A$2:$A$1137,A43,$C$2:$C$1137,C43),9)</f>
        <v>1</v>
      </c>
    </row>
    <row r="44" customFormat="false" ht="15" hidden="false" customHeight="true" outlineLevel="0" collapsed="false">
      <c r="A44" s="38" t="n">
        <v>3</v>
      </c>
      <c r="B44" s="38" t="s">
        <v>621</v>
      </c>
      <c r="C44" s="38" t="s">
        <v>169</v>
      </c>
      <c r="D44" s="38" t="s">
        <v>169</v>
      </c>
      <c r="E44" s="38" t="str">
        <f aca="false">A44&amp;"|"&amp;C44&amp;"|"&amp;D44</f>
        <v>3|G|G</v>
      </c>
      <c r="F44" s="43" t="n">
        <v>40</v>
      </c>
      <c r="G44" s="38" t="n">
        <f aca="false">SUMIFS($F$2:$F$1137,$A$2:$A$1137,A44,$C$2:$C$1137,C44)</f>
        <v>85</v>
      </c>
      <c r="H44" s="43" t="n">
        <v>1</v>
      </c>
      <c r="I44" s="45" t="n">
        <f aca="false">IF(G44=0,"",F44/G44)</f>
        <v>0.470588235294118</v>
      </c>
      <c r="J44" s="45" t="n">
        <f aca="false">K44/L44</f>
        <v>0.460674157303371</v>
      </c>
      <c r="K44" s="38" t="n">
        <f aca="false">F44+H44</f>
        <v>41</v>
      </c>
      <c r="L44" s="38" t="n">
        <f aca="false">G44+4*H44</f>
        <v>89</v>
      </c>
      <c r="M44" s="38" t="s">
        <v>619</v>
      </c>
      <c r="N44" s="38" t="n">
        <f aca="false">ROUND(SUMIFS($J$2:$J$1137,$A$2:$A$1137,A44,$C$2:$C$1137,C44),9)</f>
        <v>1</v>
      </c>
    </row>
    <row r="45" customFormat="false" ht="15" hidden="false" customHeight="true" outlineLevel="0" collapsed="false">
      <c r="A45" s="38" t="n">
        <v>3</v>
      </c>
      <c r="B45" s="38" t="s">
        <v>621</v>
      </c>
      <c r="C45" s="38" t="s">
        <v>169</v>
      </c>
      <c r="D45" s="38" t="s">
        <v>171</v>
      </c>
      <c r="E45" s="38" t="str">
        <f aca="false">A45&amp;"|"&amp;C45&amp;"|"&amp;D45</f>
        <v>3|G|U</v>
      </c>
      <c r="F45" s="43" t="n">
        <v>11</v>
      </c>
      <c r="G45" s="38" t="n">
        <f aca="false">SUMIFS($F$2:$F$1137,$A$2:$A$1137,A45,$C$2:$C$1137,C45)</f>
        <v>85</v>
      </c>
      <c r="H45" s="43" t="n">
        <v>1</v>
      </c>
      <c r="I45" s="45" t="n">
        <f aca="false">IF(G45=0,"",F45/G45)</f>
        <v>0.129411764705882</v>
      </c>
      <c r="J45" s="45" t="n">
        <f aca="false">K45/L45</f>
        <v>0.134831460674157</v>
      </c>
      <c r="K45" s="38" t="n">
        <f aca="false">F45+H45</f>
        <v>12</v>
      </c>
      <c r="L45" s="38" t="n">
        <f aca="false">G45+4*H45</f>
        <v>89</v>
      </c>
      <c r="M45" s="38" t="s">
        <v>619</v>
      </c>
      <c r="N45" s="38" t="n">
        <f aca="false">ROUND(SUMIFS($J$2:$J$1137,$A$2:$A$1137,A45,$C$2:$C$1137,C45),9)</f>
        <v>1</v>
      </c>
    </row>
    <row r="46" customFormat="false" ht="15" hidden="false" customHeight="true" outlineLevel="0" collapsed="false">
      <c r="A46" s="38" t="n">
        <v>3</v>
      </c>
      <c r="B46" s="38" t="s">
        <v>621</v>
      </c>
      <c r="C46" s="38" t="s">
        <v>171</v>
      </c>
      <c r="D46" s="38" t="s">
        <v>172</v>
      </c>
      <c r="E46" s="38" t="str">
        <f aca="false">A46&amp;"|"&amp;C46&amp;"|"&amp;D46</f>
        <v>3|U|A</v>
      </c>
      <c r="F46" s="43" t="n">
        <v>0</v>
      </c>
      <c r="G46" s="38" t="n">
        <f aca="false">SUMIFS($F$2:$F$1137,$A$2:$A$1137,A46,$C$2:$C$1137,C46)</f>
        <v>23</v>
      </c>
      <c r="H46" s="43" t="n">
        <v>1</v>
      </c>
      <c r="I46" s="45" t="n">
        <f aca="false">IF(G46=0,"",F46/G46)</f>
        <v>0</v>
      </c>
      <c r="J46" s="45" t="n">
        <f aca="false">K46/L46</f>
        <v>0.037037037037037</v>
      </c>
      <c r="K46" s="38" t="n">
        <f aca="false">F46+H46</f>
        <v>1</v>
      </c>
      <c r="L46" s="38" t="n">
        <f aca="false">G46+4*H46</f>
        <v>27</v>
      </c>
      <c r="M46" s="38" t="s">
        <v>619</v>
      </c>
      <c r="N46" s="38" t="n">
        <f aca="false">ROUND(SUMIFS($J$2:$J$1137,$A$2:$A$1137,A46,$C$2:$C$1137,C46),9)</f>
        <v>1</v>
      </c>
    </row>
    <row r="47" customFormat="false" ht="15" hidden="false" customHeight="true" outlineLevel="0" collapsed="false">
      <c r="A47" s="38" t="n">
        <v>3</v>
      </c>
      <c r="B47" s="38" t="s">
        <v>621</v>
      </c>
      <c r="C47" s="38" t="s">
        <v>171</v>
      </c>
      <c r="D47" s="38" t="s">
        <v>170</v>
      </c>
      <c r="E47" s="38" t="str">
        <f aca="false">A47&amp;"|"&amp;C47&amp;"|"&amp;D47</f>
        <v>3|U|C</v>
      </c>
      <c r="F47" s="43" t="n">
        <v>8</v>
      </c>
      <c r="G47" s="38" t="n">
        <f aca="false">SUMIFS($F$2:$F$1137,$A$2:$A$1137,A47,$C$2:$C$1137,C47)</f>
        <v>23</v>
      </c>
      <c r="H47" s="43" t="n">
        <v>1</v>
      </c>
      <c r="I47" s="45" t="n">
        <f aca="false">IF(G47=0,"",F47/G47)</f>
        <v>0.347826086956522</v>
      </c>
      <c r="J47" s="45" t="n">
        <f aca="false">K47/L47</f>
        <v>0.333333333333333</v>
      </c>
      <c r="K47" s="38" t="n">
        <f aca="false">F47+H47</f>
        <v>9</v>
      </c>
      <c r="L47" s="38" t="n">
        <f aca="false">G47+4*H47</f>
        <v>27</v>
      </c>
      <c r="M47" s="38" t="s">
        <v>619</v>
      </c>
      <c r="N47" s="38" t="n">
        <f aca="false">ROUND(SUMIFS($J$2:$J$1137,$A$2:$A$1137,A47,$C$2:$C$1137,C47),9)</f>
        <v>1</v>
      </c>
    </row>
    <row r="48" customFormat="false" ht="15" hidden="false" customHeight="true" outlineLevel="0" collapsed="false">
      <c r="A48" s="38" t="n">
        <v>3</v>
      </c>
      <c r="B48" s="38" t="s">
        <v>621</v>
      </c>
      <c r="C48" s="38" t="s">
        <v>171</v>
      </c>
      <c r="D48" s="38" t="s">
        <v>169</v>
      </c>
      <c r="E48" s="38" t="str">
        <f aca="false">A48&amp;"|"&amp;C48&amp;"|"&amp;D48</f>
        <v>3|U|G</v>
      </c>
      <c r="F48" s="43" t="n">
        <v>9</v>
      </c>
      <c r="G48" s="38" t="n">
        <f aca="false">SUMIFS($F$2:$F$1137,$A$2:$A$1137,A48,$C$2:$C$1137,C48)</f>
        <v>23</v>
      </c>
      <c r="H48" s="43" t="n">
        <v>1</v>
      </c>
      <c r="I48" s="45" t="n">
        <f aca="false">IF(G48=0,"",F48/G48)</f>
        <v>0.391304347826087</v>
      </c>
      <c r="J48" s="45" t="n">
        <f aca="false">K48/L48</f>
        <v>0.37037037037037</v>
      </c>
      <c r="K48" s="38" t="n">
        <f aca="false">F48+H48</f>
        <v>10</v>
      </c>
      <c r="L48" s="38" t="n">
        <f aca="false">G48+4*H48</f>
        <v>27</v>
      </c>
      <c r="M48" s="38" t="s">
        <v>619</v>
      </c>
      <c r="N48" s="38" t="n">
        <f aca="false">ROUND(SUMIFS($J$2:$J$1137,$A$2:$A$1137,A48,$C$2:$C$1137,C48),9)</f>
        <v>1</v>
      </c>
    </row>
    <row r="49" customFormat="false" ht="15" hidden="false" customHeight="true" outlineLevel="0" collapsed="false">
      <c r="A49" s="38" t="n">
        <v>3</v>
      </c>
      <c r="B49" s="38" t="s">
        <v>621</v>
      </c>
      <c r="C49" s="38" t="s">
        <v>171</v>
      </c>
      <c r="D49" s="38" t="s">
        <v>171</v>
      </c>
      <c r="E49" s="38" t="str">
        <f aca="false">A49&amp;"|"&amp;C49&amp;"|"&amp;D49</f>
        <v>3|U|U</v>
      </c>
      <c r="F49" s="43" t="n">
        <v>6</v>
      </c>
      <c r="G49" s="38" t="n">
        <f aca="false">SUMIFS($F$2:$F$1137,$A$2:$A$1137,A49,$C$2:$C$1137,C49)</f>
        <v>23</v>
      </c>
      <c r="H49" s="43" t="n">
        <v>1</v>
      </c>
      <c r="I49" s="45" t="n">
        <f aca="false">IF(G49=0,"",F49/G49)</f>
        <v>0.260869565217391</v>
      </c>
      <c r="J49" s="45" t="n">
        <f aca="false">K49/L49</f>
        <v>0.259259259259259</v>
      </c>
      <c r="K49" s="38" t="n">
        <f aca="false">F49+H49</f>
        <v>7</v>
      </c>
      <c r="L49" s="38" t="n">
        <f aca="false">G49+4*H49</f>
        <v>27</v>
      </c>
      <c r="M49" s="38" t="s">
        <v>619</v>
      </c>
      <c r="N49" s="38" t="n">
        <f aca="false">ROUND(SUMIFS($J$2:$J$1137,$A$2:$A$1137,A49,$C$2:$C$1137,C49),9)</f>
        <v>1</v>
      </c>
    </row>
    <row r="50" customFormat="false" ht="15" hidden="false" customHeight="true" outlineLevel="0" collapsed="false">
      <c r="A50" s="38" t="n">
        <v>4</v>
      </c>
      <c r="B50" s="38" t="s">
        <v>622</v>
      </c>
      <c r="C50" s="38" t="s">
        <v>172</v>
      </c>
      <c r="D50" s="38" t="s">
        <v>172</v>
      </c>
      <c r="E50" s="38" t="str">
        <f aca="false">A50&amp;"|"&amp;C50&amp;"|"&amp;D50</f>
        <v>4|A|A</v>
      </c>
      <c r="F50" s="43" t="n">
        <v>4</v>
      </c>
      <c r="G50" s="38" t="n">
        <f aca="false">SUMIFS($F$2:$F$1137,$A$2:$A$1137,A50,$C$2:$C$1137,C50)</f>
        <v>15</v>
      </c>
      <c r="H50" s="43" t="n">
        <v>1</v>
      </c>
      <c r="I50" s="45" t="n">
        <f aca="false">IF(G50=0,"",F50/G50)</f>
        <v>0.266666666666667</v>
      </c>
      <c r="J50" s="45" t="n">
        <f aca="false">K50/L50</f>
        <v>0.263157894736842</v>
      </c>
      <c r="K50" s="38" t="n">
        <f aca="false">F50+H50</f>
        <v>5</v>
      </c>
      <c r="L50" s="38" t="n">
        <f aca="false">G50+4*H50</f>
        <v>19</v>
      </c>
      <c r="M50" s="38" t="s">
        <v>619</v>
      </c>
      <c r="N50" s="38" t="n">
        <f aca="false">ROUND(SUMIFS($J$2:$J$1137,$A$2:$A$1137,A50,$C$2:$C$1137,C50),9)</f>
        <v>1</v>
      </c>
    </row>
    <row r="51" customFormat="false" ht="15" hidden="false" customHeight="true" outlineLevel="0" collapsed="false">
      <c r="A51" s="38" t="n">
        <v>4</v>
      </c>
      <c r="B51" s="38" t="s">
        <v>622</v>
      </c>
      <c r="C51" s="38" t="s">
        <v>172</v>
      </c>
      <c r="D51" s="38" t="s">
        <v>170</v>
      </c>
      <c r="E51" s="38" t="str">
        <f aca="false">A51&amp;"|"&amp;C51&amp;"|"&amp;D51</f>
        <v>4|A|C</v>
      </c>
      <c r="F51" s="43" t="n">
        <v>3</v>
      </c>
      <c r="G51" s="38" t="n">
        <f aca="false">SUMIFS($F$2:$F$1137,$A$2:$A$1137,A51,$C$2:$C$1137,C51)</f>
        <v>15</v>
      </c>
      <c r="H51" s="43" t="n">
        <v>1</v>
      </c>
      <c r="I51" s="45" t="n">
        <f aca="false">IF(G51=0,"",F51/G51)</f>
        <v>0.2</v>
      </c>
      <c r="J51" s="45" t="n">
        <f aca="false">K51/L51</f>
        <v>0.210526315789474</v>
      </c>
      <c r="K51" s="38" t="n">
        <f aca="false">F51+H51</f>
        <v>4</v>
      </c>
      <c r="L51" s="38" t="n">
        <f aca="false">G51+4*H51</f>
        <v>19</v>
      </c>
      <c r="M51" s="38" t="s">
        <v>619</v>
      </c>
      <c r="N51" s="38" t="n">
        <f aca="false">ROUND(SUMIFS($J$2:$J$1137,$A$2:$A$1137,A51,$C$2:$C$1137,C51),9)</f>
        <v>1</v>
      </c>
    </row>
    <row r="52" customFormat="false" ht="15" hidden="false" customHeight="true" outlineLevel="0" collapsed="false">
      <c r="A52" s="38" t="n">
        <v>4</v>
      </c>
      <c r="B52" s="38" t="s">
        <v>622</v>
      </c>
      <c r="C52" s="38" t="s">
        <v>172</v>
      </c>
      <c r="D52" s="38" t="s">
        <v>169</v>
      </c>
      <c r="E52" s="38" t="str">
        <f aca="false">A52&amp;"|"&amp;C52&amp;"|"&amp;D52</f>
        <v>4|A|G</v>
      </c>
      <c r="F52" s="43" t="n">
        <v>7</v>
      </c>
      <c r="G52" s="38" t="n">
        <f aca="false">SUMIFS($F$2:$F$1137,$A$2:$A$1137,A52,$C$2:$C$1137,C52)</f>
        <v>15</v>
      </c>
      <c r="H52" s="43" t="n">
        <v>1</v>
      </c>
      <c r="I52" s="45" t="n">
        <f aca="false">IF(G52=0,"",F52/G52)</f>
        <v>0.466666666666667</v>
      </c>
      <c r="J52" s="45" t="n">
        <f aca="false">K52/L52</f>
        <v>0.421052631578947</v>
      </c>
      <c r="K52" s="38" t="n">
        <f aca="false">F52+H52</f>
        <v>8</v>
      </c>
      <c r="L52" s="38" t="n">
        <f aca="false">G52+4*H52</f>
        <v>19</v>
      </c>
      <c r="M52" s="38" t="s">
        <v>619</v>
      </c>
      <c r="N52" s="38" t="n">
        <f aca="false">ROUND(SUMIFS($J$2:$J$1137,$A$2:$A$1137,A52,$C$2:$C$1137,C52),9)</f>
        <v>1</v>
      </c>
    </row>
    <row r="53" customFormat="false" ht="15" hidden="false" customHeight="true" outlineLevel="0" collapsed="false">
      <c r="A53" s="38" t="n">
        <v>4</v>
      </c>
      <c r="B53" s="38" t="s">
        <v>622</v>
      </c>
      <c r="C53" s="38" t="s">
        <v>172</v>
      </c>
      <c r="D53" s="38" t="s">
        <v>171</v>
      </c>
      <c r="E53" s="38" t="str">
        <f aca="false">A53&amp;"|"&amp;C53&amp;"|"&amp;D53</f>
        <v>4|A|U</v>
      </c>
      <c r="F53" s="43" t="n">
        <v>1</v>
      </c>
      <c r="G53" s="38" t="n">
        <f aca="false">SUMIFS($F$2:$F$1137,$A$2:$A$1137,A53,$C$2:$C$1137,C53)</f>
        <v>15</v>
      </c>
      <c r="H53" s="43" t="n">
        <v>1</v>
      </c>
      <c r="I53" s="45" t="n">
        <f aca="false">IF(G53=0,"",F53/G53)</f>
        <v>0.0666666666666667</v>
      </c>
      <c r="J53" s="45" t="n">
        <f aca="false">K53/L53</f>
        <v>0.105263157894737</v>
      </c>
      <c r="K53" s="38" t="n">
        <f aca="false">F53+H53</f>
        <v>2</v>
      </c>
      <c r="L53" s="38" t="n">
        <f aca="false">G53+4*H53</f>
        <v>19</v>
      </c>
      <c r="M53" s="38" t="s">
        <v>619</v>
      </c>
      <c r="N53" s="38" t="n">
        <f aca="false">ROUND(SUMIFS($J$2:$J$1137,$A$2:$A$1137,A53,$C$2:$C$1137,C53),9)</f>
        <v>1</v>
      </c>
    </row>
    <row r="54" customFormat="false" ht="15" hidden="false" customHeight="true" outlineLevel="0" collapsed="false">
      <c r="A54" s="38" t="n">
        <v>4</v>
      </c>
      <c r="B54" s="38" t="s">
        <v>622</v>
      </c>
      <c r="C54" s="38" t="s">
        <v>170</v>
      </c>
      <c r="D54" s="38" t="s">
        <v>172</v>
      </c>
      <c r="E54" s="38" t="str">
        <f aca="false">A54&amp;"|"&amp;C54&amp;"|"&amp;D54</f>
        <v>4|C|A</v>
      </c>
      <c r="F54" s="43" t="n">
        <v>3</v>
      </c>
      <c r="G54" s="38" t="n">
        <f aca="false">SUMIFS($F$2:$F$1137,$A$2:$A$1137,A54,$C$2:$C$1137,C54)</f>
        <v>61</v>
      </c>
      <c r="H54" s="43" t="n">
        <v>1</v>
      </c>
      <c r="I54" s="45" t="n">
        <f aca="false">IF(G54=0,"",F54/G54)</f>
        <v>0.0491803278688525</v>
      </c>
      <c r="J54" s="45" t="n">
        <f aca="false">K54/L54</f>
        <v>0.0615384615384615</v>
      </c>
      <c r="K54" s="38" t="n">
        <f aca="false">F54+H54</f>
        <v>4</v>
      </c>
      <c r="L54" s="38" t="n">
        <f aca="false">G54+4*H54</f>
        <v>65</v>
      </c>
      <c r="M54" s="38" t="s">
        <v>619</v>
      </c>
      <c r="N54" s="38" t="n">
        <f aca="false">ROUND(SUMIFS($J$2:$J$1137,$A$2:$A$1137,A54,$C$2:$C$1137,C54),9)</f>
        <v>1</v>
      </c>
    </row>
    <row r="55" customFormat="false" ht="15" hidden="false" customHeight="true" outlineLevel="0" collapsed="false">
      <c r="A55" s="38" t="n">
        <v>4</v>
      </c>
      <c r="B55" s="38" t="s">
        <v>622</v>
      </c>
      <c r="C55" s="38" t="s">
        <v>170</v>
      </c>
      <c r="D55" s="38" t="s">
        <v>170</v>
      </c>
      <c r="E55" s="38" t="str">
        <f aca="false">A55&amp;"|"&amp;C55&amp;"|"&amp;D55</f>
        <v>4|C|C</v>
      </c>
      <c r="F55" s="43" t="n">
        <v>38</v>
      </c>
      <c r="G55" s="38" t="n">
        <f aca="false">SUMIFS($F$2:$F$1137,$A$2:$A$1137,A55,$C$2:$C$1137,C55)</f>
        <v>61</v>
      </c>
      <c r="H55" s="43" t="n">
        <v>1</v>
      </c>
      <c r="I55" s="45" t="n">
        <f aca="false">IF(G55=0,"",F55/G55)</f>
        <v>0.622950819672131</v>
      </c>
      <c r="J55" s="45" t="n">
        <f aca="false">K55/L55</f>
        <v>0.6</v>
      </c>
      <c r="K55" s="38" t="n">
        <f aca="false">F55+H55</f>
        <v>39</v>
      </c>
      <c r="L55" s="38" t="n">
        <f aca="false">G55+4*H55</f>
        <v>65</v>
      </c>
      <c r="M55" s="38" t="s">
        <v>619</v>
      </c>
      <c r="N55" s="38" t="n">
        <f aca="false">ROUND(SUMIFS($J$2:$J$1137,$A$2:$A$1137,A55,$C$2:$C$1137,C55),9)</f>
        <v>1</v>
      </c>
    </row>
    <row r="56" customFormat="false" ht="15" hidden="false" customHeight="true" outlineLevel="0" collapsed="false">
      <c r="A56" s="38" t="n">
        <v>4</v>
      </c>
      <c r="B56" s="38" t="s">
        <v>622</v>
      </c>
      <c r="C56" s="38" t="s">
        <v>170</v>
      </c>
      <c r="D56" s="38" t="s">
        <v>169</v>
      </c>
      <c r="E56" s="38" t="str">
        <f aca="false">A56&amp;"|"&amp;C56&amp;"|"&amp;D56</f>
        <v>4|C|G</v>
      </c>
      <c r="F56" s="43" t="n">
        <v>13</v>
      </c>
      <c r="G56" s="38" t="n">
        <f aca="false">SUMIFS($F$2:$F$1137,$A$2:$A$1137,A56,$C$2:$C$1137,C56)</f>
        <v>61</v>
      </c>
      <c r="H56" s="43" t="n">
        <v>1</v>
      </c>
      <c r="I56" s="45" t="n">
        <f aca="false">IF(G56=0,"",F56/G56)</f>
        <v>0.213114754098361</v>
      </c>
      <c r="J56" s="45" t="n">
        <f aca="false">K56/L56</f>
        <v>0.215384615384615</v>
      </c>
      <c r="K56" s="38" t="n">
        <f aca="false">F56+H56</f>
        <v>14</v>
      </c>
      <c r="L56" s="38" t="n">
        <f aca="false">G56+4*H56</f>
        <v>65</v>
      </c>
      <c r="M56" s="38" t="s">
        <v>619</v>
      </c>
      <c r="N56" s="38" t="n">
        <f aca="false">ROUND(SUMIFS($J$2:$J$1137,$A$2:$A$1137,A56,$C$2:$C$1137,C56),9)</f>
        <v>1</v>
      </c>
    </row>
    <row r="57" customFormat="false" ht="15" hidden="false" customHeight="true" outlineLevel="0" collapsed="false">
      <c r="A57" s="38" t="n">
        <v>4</v>
      </c>
      <c r="B57" s="38" t="s">
        <v>622</v>
      </c>
      <c r="C57" s="38" t="s">
        <v>170</v>
      </c>
      <c r="D57" s="38" t="s">
        <v>171</v>
      </c>
      <c r="E57" s="38" t="str">
        <f aca="false">A57&amp;"|"&amp;C57&amp;"|"&amp;D57</f>
        <v>4|C|U</v>
      </c>
      <c r="F57" s="43" t="n">
        <v>7</v>
      </c>
      <c r="G57" s="38" t="n">
        <f aca="false">SUMIFS($F$2:$F$1137,$A$2:$A$1137,A57,$C$2:$C$1137,C57)</f>
        <v>61</v>
      </c>
      <c r="H57" s="43" t="n">
        <v>1</v>
      </c>
      <c r="I57" s="45" t="n">
        <f aca="false">IF(G57=0,"",F57/G57)</f>
        <v>0.114754098360656</v>
      </c>
      <c r="J57" s="45" t="n">
        <f aca="false">K57/L57</f>
        <v>0.123076923076923</v>
      </c>
      <c r="K57" s="38" t="n">
        <f aca="false">F57+H57</f>
        <v>8</v>
      </c>
      <c r="L57" s="38" t="n">
        <f aca="false">G57+4*H57</f>
        <v>65</v>
      </c>
      <c r="M57" s="38" t="s">
        <v>619</v>
      </c>
      <c r="N57" s="38" t="n">
        <f aca="false">ROUND(SUMIFS($J$2:$J$1137,$A$2:$A$1137,A57,$C$2:$C$1137,C57),9)</f>
        <v>1</v>
      </c>
    </row>
    <row r="58" customFormat="false" ht="15" hidden="false" customHeight="true" outlineLevel="0" collapsed="false">
      <c r="A58" s="38" t="n">
        <v>4</v>
      </c>
      <c r="B58" s="38" t="s">
        <v>622</v>
      </c>
      <c r="C58" s="38" t="s">
        <v>169</v>
      </c>
      <c r="D58" s="38" t="s">
        <v>172</v>
      </c>
      <c r="E58" s="38" t="str">
        <f aca="false">A58&amp;"|"&amp;C58&amp;"|"&amp;D58</f>
        <v>4|G|A</v>
      </c>
      <c r="F58" s="43" t="n">
        <v>20</v>
      </c>
      <c r="G58" s="38" t="n">
        <f aca="false">SUMIFS($F$2:$F$1137,$A$2:$A$1137,A58,$C$2:$C$1137,C58)</f>
        <v>89</v>
      </c>
      <c r="H58" s="43" t="n">
        <v>1</v>
      </c>
      <c r="I58" s="45" t="n">
        <f aca="false">IF(G58=0,"",F58/G58)</f>
        <v>0.224719101123596</v>
      </c>
      <c r="J58" s="45" t="n">
        <f aca="false">K58/L58</f>
        <v>0.225806451612903</v>
      </c>
      <c r="K58" s="38" t="n">
        <f aca="false">F58+H58</f>
        <v>21</v>
      </c>
      <c r="L58" s="38" t="n">
        <f aca="false">G58+4*H58</f>
        <v>93</v>
      </c>
      <c r="M58" s="38" t="s">
        <v>619</v>
      </c>
      <c r="N58" s="38" t="n">
        <f aca="false">ROUND(SUMIFS($J$2:$J$1137,$A$2:$A$1137,A58,$C$2:$C$1137,C58),9)</f>
        <v>1</v>
      </c>
    </row>
    <row r="59" customFormat="false" ht="15" hidden="false" customHeight="true" outlineLevel="0" collapsed="false">
      <c r="A59" s="38" t="n">
        <v>4</v>
      </c>
      <c r="B59" s="38" t="s">
        <v>622</v>
      </c>
      <c r="C59" s="38" t="s">
        <v>169</v>
      </c>
      <c r="D59" s="38" t="s">
        <v>170</v>
      </c>
      <c r="E59" s="38" t="str">
        <f aca="false">A59&amp;"|"&amp;C59&amp;"|"&amp;D59</f>
        <v>4|G|C</v>
      </c>
      <c r="F59" s="43" t="n">
        <v>20</v>
      </c>
      <c r="G59" s="38" t="n">
        <f aca="false">SUMIFS($F$2:$F$1137,$A$2:$A$1137,A59,$C$2:$C$1137,C59)</f>
        <v>89</v>
      </c>
      <c r="H59" s="43" t="n">
        <v>1</v>
      </c>
      <c r="I59" s="45" t="n">
        <f aca="false">IF(G59=0,"",F59/G59)</f>
        <v>0.224719101123596</v>
      </c>
      <c r="J59" s="45" t="n">
        <f aca="false">K59/L59</f>
        <v>0.225806451612903</v>
      </c>
      <c r="K59" s="38" t="n">
        <f aca="false">F59+H59</f>
        <v>21</v>
      </c>
      <c r="L59" s="38" t="n">
        <f aca="false">G59+4*H59</f>
        <v>93</v>
      </c>
      <c r="M59" s="38" t="s">
        <v>619</v>
      </c>
      <c r="N59" s="38" t="n">
        <f aca="false">ROUND(SUMIFS($J$2:$J$1137,$A$2:$A$1137,A59,$C$2:$C$1137,C59),9)</f>
        <v>1</v>
      </c>
    </row>
    <row r="60" customFormat="false" ht="15" hidden="false" customHeight="true" outlineLevel="0" collapsed="false">
      <c r="A60" s="38" t="n">
        <v>4</v>
      </c>
      <c r="B60" s="38" t="s">
        <v>622</v>
      </c>
      <c r="C60" s="38" t="s">
        <v>169</v>
      </c>
      <c r="D60" s="38" t="s">
        <v>169</v>
      </c>
      <c r="E60" s="38" t="str">
        <f aca="false">A60&amp;"|"&amp;C60&amp;"|"&amp;D60</f>
        <v>4|G|G</v>
      </c>
      <c r="F60" s="43" t="n">
        <v>43</v>
      </c>
      <c r="G60" s="38" t="n">
        <f aca="false">SUMIFS($F$2:$F$1137,$A$2:$A$1137,A60,$C$2:$C$1137,C60)</f>
        <v>89</v>
      </c>
      <c r="H60" s="43" t="n">
        <v>1</v>
      </c>
      <c r="I60" s="45" t="n">
        <f aca="false">IF(G60=0,"",F60/G60)</f>
        <v>0.48314606741573</v>
      </c>
      <c r="J60" s="45" t="n">
        <f aca="false">K60/L60</f>
        <v>0.473118279569893</v>
      </c>
      <c r="K60" s="38" t="n">
        <f aca="false">F60+H60</f>
        <v>44</v>
      </c>
      <c r="L60" s="38" t="n">
        <f aca="false">G60+4*H60</f>
        <v>93</v>
      </c>
      <c r="M60" s="38" t="s">
        <v>619</v>
      </c>
      <c r="N60" s="38" t="n">
        <f aca="false">ROUND(SUMIFS($J$2:$J$1137,$A$2:$A$1137,A60,$C$2:$C$1137,C60),9)</f>
        <v>1</v>
      </c>
    </row>
    <row r="61" customFormat="false" ht="15" hidden="false" customHeight="true" outlineLevel="0" collapsed="false">
      <c r="A61" s="38" t="n">
        <v>4</v>
      </c>
      <c r="B61" s="38" t="s">
        <v>622</v>
      </c>
      <c r="C61" s="38" t="s">
        <v>169</v>
      </c>
      <c r="D61" s="38" t="s">
        <v>171</v>
      </c>
      <c r="E61" s="38" t="str">
        <f aca="false">A61&amp;"|"&amp;C61&amp;"|"&amp;D61</f>
        <v>4|G|U</v>
      </c>
      <c r="F61" s="43" t="n">
        <v>6</v>
      </c>
      <c r="G61" s="38" t="n">
        <f aca="false">SUMIFS($F$2:$F$1137,$A$2:$A$1137,A61,$C$2:$C$1137,C61)</f>
        <v>89</v>
      </c>
      <c r="H61" s="43" t="n">
        <v>1</v>
      </c>
      <c r="I61" s="45" t="n">
        <f aca="false">IF(G61=0,"",F61/G61)</f>
        <v>0.0674157303370787</v>
      </c>
      <c r="J61" s="45" t="n">
        <f aca="false">K61/L61</f>
        <v>0.0752688172043011</v>
      </c>
      <c r="K61" s="38" t="n">
        <f aca="false">F61+H61</f>
        <v>7</v>
      </c>
      <c r="L61" s="38" t="n">
        <f aca="false">G61+4*H61</f>
        <v>93</v>
      </c>
      <c r="M61" s="38" t="s">
        <v>619</v>
      </c>
      <c r="N61" s="38" t="n">
        <f aca="false">ROUND(SUMIFS($J$2:$J$1137,$A$2:$A$1137,A61,$C$2:$C$1137,C61),9)</f>
        <v>1</v>
      </c>
    </row>
    <row r="62" customFormat="false" ht="15" hidden="false" customHeight="true" outlineLevel="0" collapsed="false">
      <c r="A62" s="38" t="n">
        <v>4</v>
      </c>
      <c r="B62" s="38" t="s">
        <v>622</v>
      </c>
      <c r="C62" s="38" t="s">
        <v>171</v>
      </c>
      <c r="D62" s="38" t="s">
        <v>172</v>
      </c>
      <c r="E62" s="38" t="str">
        <f aca="false">A62&amp;"|"&amp;C62&amp;"|"&amp;D62</f>
        <v>4|U|A</v>
      </c>
      <c r="F62" s="43" t="n">
        <v>3</v>
      </c>
      <c r="G62" s="38" t="n">
        <f aca="false">SUMIFS($F$2:$F$1137,$A$2:$A$1137,A62,$C$2:$C$1137,C62)</f>
        <v>34</v>
      </c>
      <c r="H62" s="43" t="n">
        <v>1</v>
      </c>
      <c r="I62" s="45" t="n">
        <f aca="false">IF(G62=0,"",F62/G62)</f>
        <v>0.0882352941176471</v>
      </c>
      <c r="J62" s="45" t="n">
        <f aca="false">K62/L62</f>
        <v>0.105263157894737</v>
      </c>
      <c r="K62" s="38" t="n">
        <f aca="false">F62+H62</f>
        <v>4</v>
      </c>
      <c r="L62" s="38" t="n">
        <f aca="false">G62+4*H62</f>
        <v>38</v>
      </c>
      <c r="M62" s="38" t="s">
        <v>619</v>
      </c>
      <c r="N62" s="38" t="n">
        <f aca="false">ROUND(SUMIFS($J$2:$J$1137,$A$2:$A$1137,A62,$C$2:$C$1137,C62),9)</f>
        <v>1</v>
      </c>
    </row>
    <row r="63" customFormat="false" ht="15" hidden="false" customHeight="true" outlineLevel="0" collapsed="false">
      <c r="A63" s="38" t="n">
        <v>4</v>
      </c>
      <c r="B63" s="38" t="s">
        <v>622</v>
      </c>
      <c r="C63" s="38" t="s">
        <v>171</v>
      </c>
      <c r="D63" s="38" t="s">
        <v>170</v>
      </c>
      <c r="E63" s="38" t="str">
        <f aca="false">A63&amp;"|"&amp;C63&amp;"|"&amp;D63</f>
        <v>4|U|C</v>
      </c>
      <c r="F63" s="43" t="n">
        <v>18</v>
      </c>
      <c r="G63" s="38" t="n">
        <f aca="false">SUMIFS($F$2:$F$1137,$A$2:$A$1137,A63,$C$2:$C$1137,C63)</f>
        <v>34</v>
      </c>
      <c r="H63" s="43" t="n">
        <v>1</v>
      </c>
      <c r="I63" s="45" t="n">
        <f aca="false">IF(G63=0,"",F63/G63)</f>
        <v>0.529411764705882</v>
      </c>
      <c r="J63" s="45" t="n">
        <f aca="false">K63/L63</f>
        <v>0.5</v>
      </c>
      <c r="K63" s="38" t="n">
        <f aca="false">F63+H63</f>
        <v>19</v>
      </c>
      <c r="L63" s="38" t="n">
        <f aca="false">G63+4*H63</f>
        <v>38</v>
      </c>
      <c r="M63" s="38" t="s">
        <v>619</v>
      </c>
      <c r="N63" s="38" t="n">
        <f aca="false">ROUND(SUMIFS($J$2:$J$1137,$A$2:$A$1137,A63,$C$2:$C$1137,C63),9)</f>
        <v>1</v>
      </c>
    </row>
    <row r="64" customFormat="false" ht="15" hidden="false" customHeight="true" outlineLevel="0" collapsed="false">
      <c r="A64" s="38" t="n">
        <v>4</v>
      </c>
      <c r="B64" s="38" t="s">
        <v>622</v>
      </c>
      <c r="C64" s="38" t="s">
        <v>171</v>
      </c>
      <c r="D64" s="38" t="s">
        <v>169</v>
      </c>
      <c r="E64" s="38" t="str">
        <f aca="false">A64&amp;"|"&amp;C64&amp;"|"&amp;D64</f>
        <v>4|U|G</v>
      </c>
      <c r="F64" s="43" t="n">
        <v>6</v>
      </c>
      <c r="G64" s="38" t="n">
        <f aca="false">SUMIFS($F$2:$F$1137,$A$2:$A$1137,A64,$C$2:$C$1137,C64)</f>
        <v>34</v>
      </c>
      <c r="H64" s="43" t="n">
        <v>1</v>
      </c>
      <c r="I64" s="45" t="n">
        <f aca="false">IF(G64=0,"",F64/G64)</f>
        <v>0.176470588235294</v>
      </c>
      <c r="J64" s="45" t="n">
        <f aca="false">K64/L64</f>
        <v>0.184210526315789</v>
      </c>
      <c r="K64" s="38" t="n">
        <f aca="false">F64+H64</f>
        <v>7</v>
      </c>
      <c r="L64" s="38" t="n">
        <f aca="false">G64+4*H64</f>
        <v>38</v>
      </c>
      <c r="M64" s="38" t="s">
        <v>619</v>
      </c>
      <c r="N64" s="38" t="n">
        <f aca="false">ROUND(SUMIFS($J$2:$J$1137,$A$2:$A$1137,A64,$C$2:$C$1137,C64),9)</f>
        <v>1</v>
      </c>
    </row>
    <row r="65" customFormat="false" ht="15" hidden="false" customHeight="true" outlineLevel="0" collapsed="false">
      <c r="A65" s="38" t="n">
        <v>4</v>
      </c>
      <c r="B65" s="38" t="s">
        <v>622</v>
      </c>
      <c r="C65" s="38" t="s">
        <v>171</v>
      </c>
      <c r="D65" s="38" t="s">
        <v>171</v>
      </c>
      <c r="E65" s="38" t="str">
        <f aca="false">A65&amp;"|"&amp;C65&amp;"|"&amp;D65</f>
        <v>4|U|U</v>
      </c>
      <c r="F65" s="43" t="n">
        <v>7</v>
      </c>
      <c r="G65" s="38" t="n">
        <f aca="false">SUMIFS($F$2:$F$1137,$A$2:$A$1137,A65,$C$2:$C$1137,C65)</f>
        <v>34</v>
      </c>
      <c r="H65" s="43" t="n">
        <v>1</v>
      </c>
      <c r="I65" s="45" t="n">
        <f aca="false">IF(G65=0,"",F65/G65)</f>
        <v>0.205882352941176</v>
      </c>
      <c r="J65" s="45" t="n">
        <f aca="false">K65/L65</f>
        <v>0.210526315789474</v>
      </c>
      <c r="K65" s="38" t="n">
        <f aca="false">F65+H65</f>
        <v>8</v>
      </c>
      <c r="L65" s="38" t="n">
        <f aca="false">G65+4*H65</f>
        <v>38</v>
      </c>
      <c r="M65" s="38" t="s">
        <v>619</v>
      </c>
      <c r="N65" s="38" t="n">
        <f aca="false">ROUND(SUMIFS($J$2:$J$1137,$A$2:$A$1137,A65,$C$2:$C$1137,C65),9)</f>
        <v>1</v>
      </c>
    </row>
    <row r="66" customFormat="false" ht="15" hidden="false" customHeight="true" outlineLevel="0" collapsed="false">
      <c r="A66" s="38" t="n">
        <v>5</v>
      </c>
      <c r="B66" s="38" t="s">
        <v>623</v>
      </c>
      <c r="C66" s="38" t="s">
        <v>172</v>
      </c>
      <c r="D66" s="38" t="s">
        <v>172</v>
      </c>
      <c r="E66" s="38" t="str">
        <f aca="false">A66&amp;"|"&amp;C66&amp;"|"&amp;D66</f>
        <v>5|A|A</v>
      </c>
      <c r="F66" s="43" t="n">
        <v>6</v>
      </c>
      <c r="G66" s="38" t="n">
        <f aca="false">SUMIFS($F$2:$F$1137,$A$2:$A$1137,A66,$C$2:$C$1137,C66)</f>
        <v>30</v>
      </c>
      <c r="H66" s="43" t="n">
        <v>1</v>
      </c>
      <c r="I66" s="45" t="n">
        <f aca="false">IF(G66=0,"",F66/G66)</f>
        <v>0.2</v>
      </c>
      <c r="J66" s="45" t="n">
        <f aca="false">K66/L66</f>
        <v>0.205882352941176</v>
      </c>
      <c r="K66" s="38" t="n">
        <f aca="false">F66+H66</f>
        <v>7</v>
      </c>
      <c r="L66" s="38" t="n">
        <f aca="false">G66+4*H66</f>
        <v>34</v>
      </c>
      <c r="M66" s="38" t="s">
        <v>619</v>
      </c>
      <c r="N66" s="38" t="n">
        <f aca="false">ROUND(SUMIFS($J$2:$J$1137,$A$2:$A$1137,A66,$C$2:$C$1137,C66),9)</f>
        <v>1</v>
      </c>
    </row>
    <row r="67" customFormat="false" ht="15" hidden="false" customHeight="true" outlineLevel="0" collapsed="false">
      <c r="A67" s="38" t="n">
        <v>5</v>
      </c>
      <c r="B67" s="38" t="s">
        <v>623</v>
      </c>
      <c r="C67" s="38" t="s">
        <v>172</v>
      </c>
      <c r="D67" s="38" t="s">
        <v>170</v>
      </c>
      <c r="E67" s="38" t="str">
        <f aca="false">A67&amp;"|"&amp;C67&amp;"|"&amp;D67</f>
        <v>5|A|C</v>
      </c>
      <c r="F67" s="43" t="n">
        <v>8</v>
      </c>
      <c r="G67" s="38" t="n">
        <f aca="false">SUMIFS($F$2:$F$1137,$A$2:$A$1137,A67,$C$2:$C$1137,C67)</f>
        <v>30</v>
      </c>
      <c r="H67" s="43" t="n">
        <v>1</v>
      </c>
      <c r="I67" s="45" t="n">
        <f aca="false">IF(G67=0,"",F67/G67)</f>
        <v>0.266666666666667</v>
      </c>
      <c r="J67" s="45" t="n">
        <f aca="false">K67/L67</f>
        <v>0.264705882352941</v>
      </c>
      <c r="K67" s="38" t="n">
        <f aca="false">F67+H67</f>
        <v>9</v>
      </c>
      <c r="L67" s="38" t="n">
        <f aca="false">G67+4*H67</f>
        <v>34</v>
      </c>
      <c r="M67" s="38" t="s">
        <v>619</v>
      </c>
      <c r="N67" s="38" t="n">
        <f aca="false">ROUND(SUMIFS($J$2:$J$1137,$A$2:$A$1137,A67,$C$2:$C$1137,C67),9)</f>
        <v>1</v>
      </c>
    </row>
    <row r="68" customFormat="false" ht="15" hidden="false" customHeight="true" outlineLevel="0" collapsed="false">
      <c r="A68" s="38" t="n">
        <v>5</v>
      </c>
      <c r="B68" s="38" t="s">
        <v>623</v>
      </c>
      <c r="C68" s="38" t="s">
        <v>172</v>
      </c>
      <c r="D68" s="38" t="s">
        <v>169</v>
      </c>
      <c r="E68" s="38" t="str">
        <f aca="false">A68&amp;"|"&amp;C68&amp;"|"&amp;D68</f>
        <v>5|A|G</v>
      </c>
      <c r="F68" s="43" t="n">
        <v>5</v>
      </c>
      <c r="G68" s="38" t="n">
        <f aca="false">SUMIFS($F$2:$F$1137,$A$2:$A$1137,A68,$C$2:$C$1137,C68)</f>
        <v>30</v>
      </c>
      <c r="H68" s="43" t="n">
        <v>1</v>
      </c>
      <c r="I68" s="45" t="n">
        <f aca="false">IF(G68=0,"",F68/G68)</f>
        <v>0.166666666666667</v>
      </c>
      <c r="J68" s="45" t="n">
        <f aca="false">K68/L68</f>
        <v>0.176470588235294</v>
      </c>
      <c r="K68" s="38" t="n">
        <f aca="false">F68+H68</f>
        <v>6</v>
      </c>
      <c r="L68" s="38" t="n">
        <f aca="false">G68+4*H68</f>
        <v>34</v>
      </c>
      <c r="M68" s="38" t="s">
        <v>619</v>
      </c>
      <c r="N68" s="38" t="n">
        <f aca="false">ROUND(SUMIFS($J$2:$J$1137,$A$2:$A$1137,A68,$C$2:$C$1137,C68),9)</f>
        <v>1</v>
      </c>
    </row>
    <row r="69" customFormat="false" ht="15" hidden="false" customHeight="true" outlineLevel="0" collapsed="false">
      <c r="A69" s="38" t="n">
        <v>5</v>
      </c>
      <c r="B69" s="38" t="s">
        <v>623</v>
      </c>
      <c r="C69" s="38" t="s">
        <v>172</v>
      </c>
      <c r="D69" s="38" t="s">
        <v>171</v>
      </c>
      <c r="E69" s="38" t="str">
        <f aca="false">A69&amp;"|"&amp;C69&amp;"|"&amp;D69</f>
        <v>5|A|U</v>
      </c>
      <c r="F69" s="43" t="n">
        <v>11</v>
      </c>
      <c r="G69" s="38" t="n">
        <f aca="false">SUMIFS($F$2:$F$1137,$A$2:$A$1137,A69,$C$2:$C$1137,C69)</f>
        <v>30</v>
      </c>
      <c r="H69" s="43" t="n">
        <v>1</v>
      </c>
      <c r="I69" s="45" t="n">
        <f aca="false">IF(G69=0,"",F69/G69)</f>
        <v>0.366666666666667</v>
      </c>
      <c r="J69" s="45" t="n">
        <f aca="false">K69/L69</f>
        <v>0.352941176470588</v>
      </c>
      <c r="K69" s="38" t="n">
        <f aca="false">F69+H69</f>
        <v>12</v>
      </c>
      <c r="L69" s="38" t="n">
        <f aca="false">G69+4*H69</f>
        <v>34</v>
      </c>
      <c r="M69" s="38" t="s">
        <v>619</v>
      </c>
      <c r="N69" s="38" t="n">
        <f aca="false">ROUND(SUMIFS($J$2:$J$1137,$A$2:$A$1137,A69,$C$2:$C$1137,C69),9)</f>
        <v>1</v>
      </c>
    </row>
    <row r="70" customFormat="false" ht="15" hidden="false" customHeight="true" outlineLevel="0" collapsed="false">
      <c r="A70" s="38" t="n">
        <v>5</v>
      </c>
      <c r="B70" s="38" t="s">
        <v>623</v>
      </c>
      <c r="C70" s="38" t="s">
        <v>170</v>
      </c>
      <c r="D70" s="38" t="s">
        <v>172</v>
      </c>
      <c r="E70" s="38" t="str">
        <f aca="false">A70&amp;"|"&amp;C70&amp;"|"&amp;D70</f>
        <v>5|C|A</v>
      </c>
      <c r="F70" s="43" t="n">
        <v>12</v>
      </c>
      <c r="G70" s="38" t="n">
        <f aca="false">SUMIFS($F$2:$F$1137,$A$2:$A$1137,A70,$C$2:$C$1137,C70)</f>
        <v>79</v>
      </c>
      <c r="H70" s="43" t="n">
        <v>1</v>
      </c>
      <c r="I70" s="45" t="n">
        <f aca="false">IF(G70=0,"",F70/G70)</f>
        <v>0.151898734177215</v>
      </c>
      <c r="J70" s="45" t="n">
        <f aca="false">K70/L70</f>
        <v>0.156626506024096</v>
      </c>
      <c r="K70" s="38" t="n">
        <f aca="false">F70+H70</f>
        <v>13</v>
      </c>
      <c r="L70" s="38" t="n">
        <f aca="false">G70+4*H70</f>
        <v>83</v>
      </c>
      <c r="M70" s="38" t="s">
        <v>619</v>
      </c>
      <c r="N70" s="38" t="n">
        <f aca="false">ROUND(SUMIFS($J$2:$J$1137,$A$2:$A$1137,A70,$C$2:$C$1137,C70),9)</f>
        <v>1</v>
      </c>
    </row>
    <row r="71" customFormat="false" ht="15" hidden="false" customHeight="true" outlineLevel="0" collapsed="false">
      <c r="A71" s="38" t="n">
        <v>5</v>
      </c>
      <c r="B71" s="38" t="s">
        <v>623</v>
      </c>
      <c r="C71" s="38" t="s">
        <v>170</v>
      </c>
      <c r="D71" s="38" t="s">
        <v>170</v>
      </c>
      <c r="E71" s="38" t="str">
        <f aca="false">A71&amp;"|"&amp;C71&amp;"|"&amp;D71</f>
        <v>5|C|C</v>
      </c>
      <c r="F71" s="43" t="n">
        <v>37</v>
      </c>
      <c r="G71" s="38" t="n">
        <f aca="false">SUMIFS($F$2:$F$1137,$A$2:$A$1137,A71,$C$2:$C$1137,C71)</f>
        <v>79</v>
      </c>
      <c r="H71" s="43" t="n">
        <v>1</v>
      </c>
      <c r="I71" s="45" t="n">
        <f aca="false">IF(G71=0,"",F71/G71)</f>
        <v>0.468354430379747</v>
      </c>
      <c r="J71" s="45" t="n">
        <f aca="false">K71/L71</f>
        <v>0.457831325301205</v>
      </c>
      <c r="K71" s="38" t="n">
        <f aca="false">F71+H71</f>
        <v>38</v>
      </c>
      <c r="L71" s="38" t="n">
        <f aca="false">G71+4*H71</f>
        <v>83</v>
      </c>
      <c r="M71" s="38" t="s">
        <v>619</v>
      </c>
      <c r="N71" s="38" t="n">
        <f aca="false">ROUND(SUMIFS($J$2:$J$1137,$A$2:$A$1137,A71,$C$2:$C$1137,C71),9)</f>
        <v>1</v>
      </c>
    </row>
    <row r="72" customFormat="false" ht="15" hidden="false" customHeight="true" outlineLevel="0" collapsed="false">
      <c r="A72" s="38" t="n">
        <v>5</v>
      </c>
      <c r="B72" s="38" t="s">
        <v>623</v>
      </c>
      <c r="C72" s="38" t="s">
        <v>170</v>
      </c>
      <c r="D72" s="38" t="s">
        <v>169</v>
      </c>
      <c r="E72" s="38" t="str">
        <f aca="false">A72&amp;"|"&amp;C72&amp;"|"&amp;D72</f>
        <v>5|C|G</v>
      </c>
      <c r="F72" s="43" t="n">
        <v>14</v>
      </c>
      <c r="G72" s="38" t="n">
        <f aca="false">SUMIFS($F$2:$F$1137,$A$2:$A$1137,A72,$C$2:$C$1137,C72)</f>
        <v>79</v>
      </c>
      <c r="H72" s="43" t="n">
        <v>1</v>
      </c>
      <c r="I72" s="45" t="n">
        <f aca="false">IF(G72=0,"",F72/G72)</f>
        <v>0.177215189873418</v>
      </c>
      <c r="J72" s="45" t="n">
        <f aca="false">K72/L72</f>
        <v>0.180722891566265</v>
      </c>
      <c r="K72" s="38" t="n">
        <f aca="false">F72+H72</f>
        <v>15</v>
      </c>
      <c r="L72" s="38" t="n">
        <f aca="false">G72+4*H72</f>
        <v>83</v>
      </c>
      <c r="M72" s="38" t="s">
        <v>619</v>
      </c>
      <c r="N72" s="38" t="n">
        <f aca="false">ROUND(SUMIFS($J$2:$J$1137,$A$2:$A$1137,A72,$C$2:$C$1137,C72),9)</f>
        <v>1</v>
      </c>
    </row>
    <row r="73" customFormat="false" ht="15" hidden="false" customHeight="true" outlineLevel="0" collapsed="false">
      <c r="A73" s="38" t="n">
        <v>5</v>
      </c>
      <c r="B73" s="38" t="s">
        <v>623</v>
      </c>
      <c r="C73" s="38" t="s">
        <v>170</v>
      </c>
      <c r="D73" s="38" t="s">
        <v>171</v>
      </c>
      <c r="E73" s="38" t="str">
        <f aca="false">A73&amp;"|"&amp;C73&amp;"|"&amp;D73</f>
        <v>5|C|U</v>
      </c>
      <c r="F73" s="43" t="n">
        <v>16</v>
      </c>
      <c r="G73" s="38" t="n">
        <f aca="false">SUMIFS($F$2:$F$1137,$A$2:$A$1137,A73,$C$2:$C$1137,C73)</f>
        <v>79</v>
      </c>
      <c r="H73" s="43" t="n">
        <v>1</v>
      </c>
      <c r="I73" s="45" t="n">
        <f aca="false">IF(G73=0,"",F73/G73)</f>
        <v>0.20253164556962</v>
      </c>
      <c r="J73" s="45" t="n">
        <f aca="false">K73/L73</f>
        <v>0.204819277108434</v>
      </c>
      <c r="K73" s="38" t="n">
        <f aca="false">F73+H73</f>
        <v>17</v>
      </c>
      <c r="L73" s="38" t="n">
        <f aca="false">G73+4*H73</f>
        <v>83</v>
      </c>
      <c r="M73" s="38" t="s">
        <v>619</v>
      </c>
      <c r="N73" s="38" t="n">
        <f aca="false">ROUND(SUMIFS($J$2:$J$1137,$A$2:$A$1137,A73,$C$2:$C$1137,C73),9)</f>
        <v>1</v>
      </c>
    </row>
    <row r="74" customFormat="false" ht="15" hidden="false" customHeight="true" outlineLevel="0" collapsed="false">
      <c r="A74" s="38" t="n">
        <v>5</v>
      </c>
      <c r="B74" s="38" t="s">
        <v>623</v>
      </c>
      <c r="C74" s="38" t="s">
        <v>169</v>
      </c>
      <c r="D74" s="38" t="s">
        <v>172</v>
      </c>
      <c r="E74" s="38" t="str">
        <f aca="false">A74&amp;"|"&amp;C74&amp;"|"&amp;D74</f>
        <v>5|G|A</v>
      </c>
      <c r="F74" s="43" t="n">
        <v>16</v>
      </c>
      <c r="G74" s="38" t="n">
        <f aca="false">SUMIFS($F$2:$F$1137,$A$2:$A$1137,A74,$C$2:$C$1137,C74)</f>
        <v>69</v>
      </c>
      <c r="H74" s="43" t="n">
        <v>1</v>
      </c>
      <c r="I74" s="45" t="n">
        <f aca="false">IF(G74=0,"",F74/G74)</f>
        <v>0.231884057971015</v>
      </c>
      <c r="J74" s="45" t="n">
        <f aca="false">K74/L74</f>
        <v>0.232876712328767</v>
      </c>
      <c r="K74" s="38" t="n">
        <f aca="false">F74+H74</f>
        <v>17</v>
      </c>
      <c r="L74" s="38" t="n">
        <f aca="false">G74+4*H74</f>
        <v>73</v>
      </c>
      <c r="M74" s="38" t="s">
        <v>619</v>
      </c>
      <c r="N74" s="38" t="n">
        <f aca="false">ROUND(SUMIFS($J$2:$J$1137,$A$2:$A$1137,A74,$C$2:$C$1137,C74),9)</f>
        <v>1</v>
      </c>
    </row>
    <row r="75" customFormat="false" ht="15" hidden="false" customHeight="true" outlineLevel="0" collapsed="false">
      <c r="A75" s="38" t="n">
        <v>5</v>
      </c>
      <c r="B75" s="38" t="s">
        <v>623</v>
      </c>
      <c r="C75" s="38" t="s">
        <v>169</v>
      </c>
      <c r="D75" s="38" t="s">
        <v>170</v>
      </c>
      <c r="E75" s="38" t="str">
        <f aca="false">A75&amp;"|"&amp;C75&amp;"|"&amp;D75</f>
        <v>5|G|C</v>
      </c>
      <c r="F75" s="43" t="n">
        <v>12</v>
      </c>
      <c r="G75" s="38" t="n">
        <f aca="false">SUMIFS($F$2:$F$1137,$A$2:$A$1137,A75,$C$2:$C$1137,C75)</f>
        <v>69</v>
      </c>
      <c r="H75" s="43" t="n">
        <v>1</v>
      </c>
      <c r="I75" s="45" t="n">
        <f aca="false">IF(G75=0,"",F75/G75)</f>
        <v>0.173913043478261</v>
      </c>
      <c r="J75" s="45" t="n">
        <f aca="false">K75/L75</f>
        <v>0.178082191780822</v>
      </c>
      <c r="K75" s="38" t="n">
        <f aca="false">F75+H75</f>
        <v>13</v>
      </c>
      <c r="L75" s="38" t="n">
        <f aca="false">G75+4*H75</f>
        <v>73</v>
      </c>
      <c r="M75" s="38" t="s">
        <v>619</v>
      </c>
      <c r="N75" s="38" t="n">
        <f aca="false">ROUND(SUMIFS($J$2:$J$1137,$A$2:$A$1137,A75,$C$2:$C$1137,C75),9)</f>
        <v>1</v>
      </c>
    </row>
    <row r="76" customFormat="false" ht="15" hidden="false" customHeight="true" outlineLevel="0" collapsed="false">
      <c r="A76" s="38" t="n">
        <v>5</v>
      </c>
      <c r="B76" s="38" t="s">
        <v>623</v>
      </c>
      <c r="C76" s="38" t="s">
        <v>169</v>
      </c>
      <c r="D76" s="38" t="s">
        <v>169</v>
      </c>
      <c r="E76" s="38" t="str">
        <f aca="false">A76&amp;"|"&amp;C76&amp;"|"&amp;D76</f>
        <v>5|G|G</v>
      </c>
      <c r="F76" s="43" t="n">
        <v>21</v>
      </c>
      <c r="G76" s="38" t="n">
        <f aca="false">SUMIFS($F$2:$F$1137,$A$2:$A$1137,A76,$C$2:$C$1137,C76)</f>
        <v>69</v>
      </c>
      <c r="H76" s="43" t="n">
        <v>1</v>
      </c>
      <c r="I76" s="45" t="n">
        <f aca="false">IF(G76=0,"",F76/G76)</f>
        <v>0.304347826086957</v>
      </c>
      <c r="J76" s="45" t="n">
        <f aca="false">K76/L76</f>
        <v>0.301369863013699</v>
      </c>
      <c r="K76" s="38" t="n">
        <f aca="false">F76+H76</f>
        <v>22</v>
      </c>
      <c r="L76" s="38" t="n">
        <f aca="false">G76+4*H76</f>
        <v>73</v>
      </c>
      <c r="M76" s="38" t="s">
        <v>619</v>
      </c>
      <c r="N76" s="38" t="n">
        <f aca="false">ROUND(SUMIFS($J$2:$J$1137,$A$2:$A$1137,A76,$C$2:$C$1137,C76),9)</f>
        <v>1</v>
      </c>
    </row>
    <row r="77" customFormat="false" ht="15" hidden="false" customHeight="true" outlineLevel="0" collapsed="false">
      <c r="A77" s="38" t="n">
        <v>5</v>
      </c>
      <c r="B77" s="38" t="s">
        <v>623</v>
      </c>
      <c r="C77" s="38" t="s">
        <v>169</v>
      </c>
      <c r="D77" s="38" t="s">
        <v>171</v>
      </c>
      <c r="E77" s="38" t="str">
        <f aca="false">A77&amp;"|"&amp;C77&amp;"|"&amp;D77</f>
        <v>5|G|U</v>
      </c>
      <c r="F77" s="43" t="n">
        <v>20</v>
      </c>
      <c r="G77" s="38" t="n">
        <f aca="false">SUMIFS($F$2:$F$1137,$A$2:$A$1137,A77,$C$2:$C$1137,C77)</f>
        <v>69</v>
      </c>
      <c r="H77" s="43" t="n">
        <v>1</v>
      </c>
      <c r="I77" s="45" t="n">
        <f aca="false">IF(G77=0,"",F77/G77)</f>
        <v>0.289855072463768</v>
      </c>
      <c r="J77" s="45" t="n">
        <f aca="false">K77/L77</f>
        <v>0.287671232876712</v>
      </c>
      <c r="K77" s="38" t="n">
        <f aca="false">F77+H77</f>
        <v>21</v>
      </c>
      <c r="L77" s="38" t="n">
        <f aca="false">G77+4*H77</f>
        <v>73</v>
      </c>
      <c r="M77" s="38" t="s">
        <v>619</v>
      </c>
      <c r="N77" s="38" t="n">
        <f aca="false">ROUND(SUMIFS($J$2:$J$1137,$A$2:$A$1137,A77,$C$2:$C$1137,C77),9)</f>
        <v>1</v>
      </c>
    </row>
    <row r="78" customFormat="false" ht="15" hidden="false" customHeight="true" outlineLevel="0" collapsed="false">
      <c r="A78" s="38" t="n">
        <v>5</v>
      </c>
      <c r="B78" s="38" t="s">
        <v>623</v>
      </c>
      <c r="C78" s="38" t="s">
        <v>171</v>
      </c>
      <c r="D78" s="38" t="s">
        <v>172</v>
      </c>
      <c r="E78" s="38" t="str">
        <f aca="false">A78&amp;"|"&amp;C78&amp;"|"&amp;D78</f>
        <v>5|U|A</v>
      </c>
      <c r="F78" s="43" t="n">
        <v>0</v>
      </c>
      <c r="G78" s="38" t="n">
        <f aca="false">SUMIFS($F$2:$F$1137,$A$2:$A$1137,A78,$C$2:$C$1137,C78)</f>
        <v>21</v>
      </c>
      <c r="H78" s="43" t="n">
        <v>1</v>
      </c>
      <c r="I78" s="45" t="n">
        <f aca="false">IF(G78=0,"",F78/G78)</f>
        <v>0</v>
      </c>
      <c r="J78" s="45" t="n">
        <f aca="false">K78/L78</f>
        <v>0.04</v>
      </c>
      <c r="K78" s="38" t="n">
        <f aca="false">F78+H78</f>
        <v>1</v>
      </c>
      <c r="L78" s="38" t="n">
        <f aca="false">G78+4*H78</f>
        <v>25</v>
      </c>
      <c r="M78" s="38" t="s">
        <v>619</v>
      </c>
      <c r="N78" s="38" t="n">
        <f aca="false">ROUND(SUMIFS($J$2:$J$1137,$A$2:$A$1137,A78,$C$2:$C$1137,C78),9)</f>
        <v>1</v>
      </c>
    </row>
    <row r="79" customFormat="false" ht="15" hidden="false" customHeight="true" outlineLevel="0" collapsed="false">
      <c r="A79" s="38" t="n">
        <v>5</v>
      </c>
      <c r="B79" s="38" t="s">
        <v>623</v>
      </c>
      <c r="C79" s="38" t="s">
        <v>171</v>
      </c>
      <c r="D79" s="38" t="s">
        <v>170</v>
      </c>
      <c r="E79" s="38" t="str">
        <f aca="false">A79&amp;"|"&amp;C79&amp;"|"&amp;D79</f>
        <v>5|U|C</v>
      </c>
      <c r="F79" s="43" t="n">
        <v>8</v>
      </c>
      <c r="G79" s="38" t="n">
        <f aca="false">SUMIFS($F$2:$F$1137,$A$2:$A$1137,A79,$C$2:$C$1137,C79)</f>
        <v>21</v>
      </c>
      <c r="H79" s="43" t="n">
        <v>1</v>
      </c>
      <c r="I79" s="45" t="n">
        <f aca="false">IF(G79=0,"",F79/G79)</f>
        <v>0.380952380952381</v>
      </c>
      <c r="J79" s="45" t="n">
        <f aca="false">K79/L79</f>
        <v>0.36</v>
      </c>
      <c r="K79" s="38" t="n">
        <f aca="false">F79+H79</f>
        <v>9</v>
      </c>
      <c r="L79" s="38" t="n">
        <f aca="false">G79+4*H79</f>
        <v>25</v>
      </c>
      <c r="M79" s="38" t="s">
        <v>619</v>
      </c>
      <c r="N79" s="38" t="n">
        <f aca="false">ROUND(SUMIFS($J$2:$J$1137,$A$2:$A$1137,A79,$C$2:$C$1137,C79),9)</f>
        <v>1</v>
      </c>
    </row>
    <row r="80" customFormat="false" ht="15" hidden="false" customHeight="true" outlineLevel="0" collapsed="false">
      <c r="A80" s="38" t="n">
        <v>5</v>
      </c>
      <c r="B80" s="38" t="s">
        <v>623</v>
      </c>
      <c r="C80" s="38" t="s">
        <v>171</v>
      </c>
      <c r="D80" s="38" t="s">
        <v>169</v>
      </c>
      <c r="E80" s="38" t="str">
        <f aca="false">A80&amp;"|"&amp;C80&amp;"|"&amp;D80</f>
        <v>5|U|G</v>
      </c>
      <c r="F80" s="43" t="n">
        <v>8</v>
      </c>
      <c r="G80" s="38" t="n">
        <f aca="false">SUMIFS($F$2:$F$1137,$A$2:$A$1137,A80,$C$2:$C$1137,C80)</f>
        <v>21</v>
      </c>
      <c r="H80" s="43" t="n">
        <v>1</v>
      </c>
      <c r="I80" s="45" t="n">
        <f aca="false">IF(G80=0,"",F80/G80)</f>
        <v>0.380952380952381</v>
      </c>
      <c r="J80" s="45" t="n">
        <f aca="false">K80/L80</f>
        <v>0.36</v>
      </c>
      <c r="K80" s="38" t="n">
        <f aca="false">F80+H80</f>
        <v>9</v>
      </c>
      <c r="L80" s="38" t="n">
        <f aca="false">G80+4*H80</f>
        <v>25</v>
      </c>
      <c r="M80" s="38" t="s">
        <v>619</v>
      </c>
      <c r="N80" s="38" t="n">
        <f aca="false">ROUND(SUMIFS($J$2:$J$1137,$A$2:$A$1137,A80,$C$2:$C$1137,C80),9)</f>
        <v>1</v>
      </c>
    </row>
    <row r="81" customFormat="false" ht="15" hidden="false" customHeight="true" outlineLevel="0" collapsed="false">
      <c r="A81" s="38" t="n">
        <v>5</v>
      </c>
      <c r="B81" s="38" t="s">
        <v>623</v>
      </c>
      <c r="C81" s="38" t="s">
        <v>171</v>
      </c>
      <c r="D81" s="38" t="s">
        <v>171</v>
      </c>
      <c r="E81" s="38" t="str">
        <f aca="false">A81&amp;"|"&amp;C81&amp;"|"&amp;D81</f>
        <v>5|U|U</v>
      </c>
      <c r="F81" s="43" t="n">
        <v>5</v>
      </c>
      <c r="G81" s="38" t="n">
        <f aca="false">SUMIFS($F$2:$F$1137,$A$2:$A$1137,A81,$C$2:$C$1137,C81)</f>
        <v>21</v>
      </c>
      <c r="H81" s="43" t="n">
        <v>1</v>
      </c>
      <c r="I81" s="45" t="n">
        <f aca="false">IF(G81=0,"",F81/G81)</f>
        <v>0.238095238095238</v>
      </c>
      <c r="J81" s="45" t="n">
        <f aca="false">K81/L81</f>
        <v>0.24</v>
      </c>
      <c r="K81" s="38" t="n">
        <f aca="false">F81+H81</f>
        <v>6</v>
      </c>
      <c r="L81" s="38" t="n">
        <f aca="false">G81+4*H81</f>
        <v>25</v>
      </c>
      <c r="M81" s="38" t="s">
        <v>619</v>
      </c>
      <c r="N81" s="38" t="n">
        <f aca="false">ROUND(SUMIFS($J$2:$J$1137,$A$2:$A$1137,A81,$C$2:$C$1137,C81),9)</f>
        <v>1</v>
      </c>
    </row>
    <row r="82" customFormat="false" ht="15" hidden="false" customHeight="true" outlineLevel="0" collapsed="false">
      <c r="A82" s="38" t="n">
        <v>6</v>
      </c>
      <c r="B82" s="38" t="s">
        <v>624</v>
      </c>
      <c r="C82" s="38" t="s">
        <v>172</v>
      </c>
      <c r="D82" s="38" t="s">
        <v>172</v>
      </c>
      <c r="E82" s="38" t="str">
        <f aca="false">A82&amp;"|"&amp;C82&amp;"|"&amp;D82</f>
        <v>6|A|A</v>
      </c>
      <c r="F82" s="43" t="n">
        <v>9</v>
      </c>
      <c r="G82" s="38" t="n">
        <f aca="false">SUMIFS($F$2:$F$1137,$A$2:$A$1137,A82,$C$2:$C$1137,C82)</f>
        <v>34</v>
      </c>
      <c r="H82" s="43" t="n">
        <v>1</v>
      </c>
      <c r="I82" s="45" t="n">
        <f aca="false">IF(G82=0,"",F82/G82)</f>
        <v>0.264705882352941</v>
      </c>
      <c r="J82" s="45" t="n">
        <f aca="false">K82/L82</f>
        <v>0.263157894736842</v>
      </c>
      <c r="K82" s="38" t="n">
        <f aca="false">F82+H82</f>
        <v>10</v>
      </c>
      <c r="L82" s="38" t="n">
        <f aca="false">G82+4*H82</f>
        <v>38</v>
      </c>
      <c r="M82" s="38" t="s">
        <v>619</v>
      </c>
      <c r="N82" s="38" t="n">
        <f aca="false">ROUND(SUMIFS($J$2:$J$1137,$A$2:$A$1137,A82,$C$2:$C$1137,C82),9)</f>
        <v>1</v>
      </c>
    </row>
    <row r="83" customFormat="false" ht="15" hidden="false" customHeight="true" outlineLevel="0" collapsed="false">
      <c r="A83" s="38" t="n">
        <v>6</v>
      </c>
      <c r="B83" s="38" t="s">
        <v>624</v>
      </c>
      <c r="C83" s="38" t="s">
        <v>172</v>
      </c>
      <c r="D83" s="38" t="s">
        <v>170</v>
      </c>
      <c r="E83" s="38" t="str">
        <f aca="false">A83&amp;"|"&amp;C83&amp;"|"&amp;D83</f>
        <v>6|A|C</v>
      </c>
      <c r="F83" s="43" t="n">
        <v>1</v>
      </c>
      <c r="G83" s="38" t="n">
        <f aca="false">SUMIFS($F$2:$F$1137,$A$2:$A$1137,A83,$C$2:$C$1137,C83)</f>
        <v>34</v>
      </c>
      <c r="H83" s="43" t="n">
        <v>1</v>
      </c>
      <c r="I83" s="45" t="n">
        <f aca="false">IF(G83=0,"",F83/G83)</f>
        <v>0.0294117647058824</v>
      </c>
      <c r="J83" s="45" t="n">
        <f aca="false">K83/L83</f>
        <v>0.0526315789473684</v>
      </c>
      <c r="K83" s="38" t="n">
        <f aca="false">F83+H83</f>
        <v>2</v>
      </c>
      <c r="L83" s="38" t="n">
        <f aca="false">G83+4*H83</f>
        <v>38</v>
      </c>
      <c r="M83" s="38" t="s">
        <v>619</v>
      </c>
      <c r="N83" s="38" t="n">
        <f aca="false">ROUND(SUMIFS($J$2:$J$1137,$A$2:$A$1137,A83,$C$2:$C$1137,C83),9)</f>
        <v>1</v>
      </c>
    </row>
    <row r="84" customFormat="false" ht="15" hidden="false" customHeight="true" outlineLevel="0" collapsed="false">
      <c r="A84" s="38" t="n">
        <v>6</v>
      </c>
      <c r="B84" s="38" t="s">
        <v>624</v>
      </c>
      <c r="C84" s="38" t="s">
        <v>172</v>
      </c>
      <c r="D84" s="38" t="s">
        <v>169</v>
      </c>
      <c r="E84" s="38" t="str">
        <f aca="false">A84&amp;"|"&amp;C84&amp;"|"&amp;D84</f>
        <v>6|A|G</v>
      </c>
      <c r="F84" s="43" t="n">
        <v>14</v>
      </c>
      <c r="G84" s="38" t="n">
        <f aca="false">SUMIFS($F$2:$F$1137,$A$2:$A$1137,A84,$C$2:$C$1137,C84)</f>
        <v>34</v>
      </c>
      <c r="H84" s="43" t="n">
        <v>1</v>
      </c>
      <c r="I84" s="45" t="n">
        <f aca="false">IF(G84=0,"",F84/G84)</f>
        <v>0.411764705882353</v>
      </c>
      <c r="J84" s="45" t="n">
        <f aca="false">K84/L84</f>
        <v>0.394736842105263</v>
      </c>
      <c r="K84" s="38" t="n">
        <f aca="false">F84+H84</f>
        <v>15</v>
      </c>
      <c r="L84" s="38" t="n">
        <f aca="false">G84+4*H84</f>
        <v>38</v>
      </c>
      <c r="M84" s="38" t="s">
        <v>619</v>
      </c>
      <c r="N84" s="38" t="n">
        <f aca="false">ROUND(SUMIFS($J$2:$J$1137,$A$2:$A$1137,A84,$C$2:$C$1137,C84),9)</f>
        <v>1</v>
      </c>
    </row>
    <row r="85" customFormat="false" ht="15" hidden="false" customHeight="true" outlineLevel="0" collapsed="false">
      <c r="A85" s="38" t="n">
        <v>6</v>
      </c>
      <c r="B85" s="38" t="s">
        <v>624</v>
      </c>
      <c r="C85" s="38" t="s">
        <v>172</v>
      </c>
      <c r="D85" s="38" t="s">
        <v>171</v>
      </c>
      <c r="E85" s="38" t="str">
        <f aca="false">A85&amp;"|"&amp;C85&amp;"|"&amp;D85</f>
        <v>6|A|U</v>
      </c>
      <c r="F85" s="43" t="n">
        <v>10</v>
      </c>
      <c r="G85" s="38" t="n">
        <f aca="false">SUMIFS($F$2:$F$1137,$A$2:$A$1137,A85,$C$2:$C$1137,C85)</f>
        <v>34</v>
      </c>
      <c r="H85" s="43" t="n">
        <v>1</v>
      </c>
      <c r="I85" s="45" t="n">
        <f aca="false">IF(G85=0,"",F85/G85)</f>
        <v>0.294117647058824</v>
      </c>
      <c r="J85" s="45" t="n">
        <f aca="false">K85/L85</f>
        <v>0.289473684210526</v>
      </c>
      <c r="K85" s="38" t="n">
        <f aca="false">F85+H85</f>
        <v>11</v>
      </c>
      <c r="L85" s="38" t="n">
        <f aca="false">G85+4*H85</f>
        <v>38</v>
      </c>
      <c r="M85" s="38" t="s">
        <v>619</v>
      </c>
      <c r="N85" s="38" t="n">
        <f aca="false">ROUND(SUMIFS($J$2:$J$1137,$A$2:$A$1137,A85,$C$2:$C$1137,C85),9)</f>
        <v>1</v>
      </c>
    </row>
    <row r="86" customFormat="false" ht="15" hidden="false" customHeight="true" outlineLevel="0" collapsed="false">
      <c r="A86" s="38" t="n">
        <v>6</v>
      </c>
      <c r="B86" s="38" t="s">
        <v>624</v>
      </c>
      <c r="C86" s="38" t="s">
        <v>170</v>
      </c>
      <c r="D86" s="38" t="s">
        <v>172</v>
      </c>
      <c r="E86" s="38" t="str">
        <f aca="false">A86&amp;"|"&amp;C86&amp;"|"&amp;D86</f>
        <v>6|C|A</v>
      </c>
      <c r="F86" s="43" t="n">
        <v>8</v>
      </c>
      <c r="G86" s="38" t="n">
        <f aca="false">SUMIFS($F$2:$F$1137,$A$2:$A$1137,A86,$C$2:$C$1137,C86)</f>
        <v>65</v>
      </c>
      <c r="H86" s="43" t="n">
        <v>1</v>
      </c>
      <c r="I86" s="45" t="n">
        <f aca="false">IF(G86=0,"",F86/G86)</f>
        <v>0.123076923076923</v>
      </c>
      <c r="J86" s="45" t="n">
        <f aca="false">K86/L86</f>
        <v>0.130434782608696</v>
      </c>
      <c r="K86" s="38" t="n">
        <f aca="false">F86+H86</f>
        <v>9</v>
      </c>
      <c r="L86" s="38" t="n">
        <f aca="false">G86+4*H86</f>
        <v>69</v>
      </c>
      <c r="M86" s="38" t="s">
        <v>619</v>
      </c>
      <c r="N86" s="38" t="n">
        <f aca="false">ROUND(SUMIFS($J$2:$J$1137,$A$2:$A$1137,A86,$C$2:$C$1137,C86),9)</f>
        <v>1</v>
      </c>
    </row>
    <row r="87" customFormat="false" ht="15" hidden="false" customHeight="true" outlineLevel="0" collapsed="false">
      <c r="A87" s="38" t="n">
        <v>6</v>
      </c>
      <c r="B87" s="38" t="s">
        <v>624</v>
      </c>
      <c r="C87" s="38" t="s">
        <v>170</v>
      </c>
      <c r="D87" s="38" t="s">
        <v>170</v>
      </c>
      <c r="E87" s="38" t="str">
        <f aca="false">A87&amp;"|"&amp;C87&amp;"|"&amp;D87</f>
        <v>6|C|C</v>
      </c>
      <c r="F87" s="43" t="n">
        <v>1</v>
      </c>
      <c r="G87" s="38" t="n">
        <f aca="false">SUMIFS($F$2:$F$1137,$A$2:$A$1137,A87,$C$2:$C$1137,C87)</f>
        <v>65</v>
      </c>
      <c r="H87" s="43" t="n">
        <v>1</v>
      </c>
      <c r="I87" s="45" t="n">
        <f aca="false">IF(G87=0,"",F87/G87)</f>
        <v>0.0153846153846154</v>
      </c>
      <c r="J87" s="45" t="n">
        <f aca="false">K87/L87</f>
        <v>0.0289855072463768</v>
      </c>
      <c r="K87" s="38" t="n">
        <f aca="false">F87+H87</f>
        <v>2</v>
      </c>
      <c r="L87" s="38" t="n">
        <f aca="false">G87+4*H87</f>
        <v>69</v>
      </c>
      <c r="M87" s="38" t="s">
        <v>619</v>
      </c>
      <c r="N87" s="38" t="n">
        <f aca="false">ROUND(SUMIFS($J$2:$J$1137,$A$2:$A$1137,A87,$C$2:$C$1137,C87),9)</f>
        <v>1</v>
      </c>
    </row>
    <row r="88" customFormat="false" ht="15" hidden="false" customHeight="true" outlineLevel="0" collapsed="false">
      <c r="A88" s="38" t="n">
        <v>6</v>
      </c>
      <c r="B88" s="38" t="s">
        <v>624</v>
      </c>
      <c r="C88" s="38" t="s">
        <v>170</v>
      </c>
      <c r="D88" s="38" t="s">
        <v>169</v>
      </c>
      <c r="E88" s="38" t="str">
        <f aca="false">A88&amp;"|"&amp;C88&amp;"|"&amp;D88</f>
        <v>6|C|G</v>
      </c>
      <c r="F88" s="43" t="n">
        <v>39</v>
      </c>
      <c r="G88" s="38" t="n">
        <f aca="false">SUMIFS($F$2:$F$1137,$A$2:$A$1137,A88,$C$2:$C$1137,C88)</f>
        <v>65</v>
      </c>
      <c r="H88" s="43" t="n">
        <v>1</v>
      </c>
      <c r="I88" s="45" t="n">
        <f aca="false">IF(G88=0,"",F88/G88)</f>
        <v>0.6</v>
      </c>
      <c r="J88" s="45" t="n">
        <f aca="false">K88/L88</f>
        <v>0.579710144927536</v>
      </c>
      <c r="K88" s="38" t="n">
        <f aca="false">F88+H88</f>
        <v>40</v>
      </c>
      <c r="L88" s="38" t="n">
        <f aca="false">G88+4*H88</f>
        <v>69</v>
      </c>
      <c r="M88" s="38" t="s">
        <v>619</v>
      </c>
      <c r="N88" s="38" t="n">
        <f aca="false">ROUND(SUMIFS($J$2:$J$1137,$A$2:$A$1137,A88,$C$2:$C$1137,C88),9)</f>
        <v>1</v>
      </c>
    </row>
    <row r="89" customFormat="false" ht="15" hidden="false" customHeight="true" outlineLevel="0" collapsed="false">
      <c r="A89" s="38" t="n">
        <v>6</v>
      </c>
      <c r="B89" s="38" t="s">
        <v>624</v>
      </c>
      <c r="C89" s="38" t="s">
        <v>170</v>
      </c>
      <c r="D89" s="38" t="s">
        <v>171</v>
      </c>
      <c r="E89" s="38" t="str">
        <f aca="false">A89&amp;"|"&amp;C89&amp;"|"&amp;D89</f>
        <v>6|C|U</v>
      </c>
      <c r="F89" s="43" t="n">
        <v>17</v>
      </c>
      <c r="G89" s="38" t="n">
        <f aca="false">SUMIFS($F$2:$F$1137,$A$2:$A$1137,A89,$C$2:$C$1137,C89)</f>
        <v>65</v>
      </c>
      <c r="H89" s="43" t="n">
        <v>1</v>
      </c>
      <c r="I89" s="45" t="n">
        <f aca="false">IF(G89=0,"",F89/G89)</f>
        <v>0.261538461538462</v>
      </c>
      <c r="J89" s="45" t="n">
        <f aca="false">K89/L89</f>
        <v>0.260869565217391</v>
      </c>
      <c r="K89" s="38" t="n">
        <f aca="false">F89+H89</f>
        <v>18</v>
      </c>
      <c r="L89" s="38" t="n">
        <f aca="false">G89+4*H89</f>
        <v>69</v>
      </c>
      <c r="M89" s="38" t="s">
        <v>619</v>
      </c>
      <c r="N89" s="38" t="n">
        <f aca="false">ROUND(SUMIFS($J$2:$J$1137,$A$2:$A$1137,A89,$C$2:$C$1137,C89),9)</f>
        <v>1</v>
      </c>
    </row>
    <row r="90" customFormat="false" ht="15" hidden="false" customHeight="true" outlineLevel="0" collapsed="false">
      <c r="A90" s="38" t="n">
        <v>6</v>
      </c>
      <c r="B90" s="38" t="s">
        <v>624</v>
      </c>
      <c r="C90" s="38" t="s">
        <v>169</v>
      </c>
      <c r="D90" s="38" t="s">
        <v>172</v>
      </c>
      <c r="E90" s="38" t="str">
        <f aca="false">A90&amp;"|"&amp;C90&amp;"|"&amp;D90</f>
        <v>6|G|A</v>
      </c>
      <c r="F90" s="43" t="n">
        <v>11</v>
      </c>
      <c r="G90" s="38" t="n">
        <f aca="false">SUMIFS($F$2:$F$1137,$A$2:$A$1137,A90,$C$2:$C$1137,C90)</f>
        <v>48</v>
      </c>
      <c r="H90" s="43" t="n">
        <v>1</v>
      </c>
      <c r="I90" s="45" t="n">
        <f aca="false">IF(G90=0,"",F90/G90)</f>
        <v>0.229166666666667</v>
      </c>
      <c r="J90" s="45" t="n">
        <f aca="false">K90/L90</f>
        <v>0.230769230769231</v>
      </c>
      <c r="K90" s="38" t="n">
        <f aca="false">F90+H90</f>
        <v>12</v>
      </c>
      <c r="L90" s="38" t="n">
        <f aca="false">G90+4*H90</f>
        <v>52</v>
      </c>
      <c r="M90" s="38" t="s">
        <v>619</v>
      </c>
      <c r="N90" s="38" t="n">
        <f aca="false">ROUND(SUMIFS($J$2:$J$1137,$A$2:$A$1137,A90,$C$2:$C$1137,C90),9)</f>
        <v>1</v>
      </c>
    </row>
    <row r="91" customFormat="false" ht="15" hidden="false" customHeight="true" outlineLevel="0" collapsed="false">
      <c r="A91" s="38" t="n">
        <v>6</v>
      </c>
      <c r="B91" s="38" t="s">
        <v>624</v>
      </c>
      <c r="C91" s="38" t="s">
        <v>169</v>
      </c>
      <c r="D91" s="38" t="s">
        <v>170</v>
      </c>
      <c r="E91" s="38" t="str">
        <f aca="false">A91&amp;"|"&amp;C91&amp;"|"&amp;D91</f>
        <v>6|G|C</v>
      </c>
      <c r="F91" s="43" t="n">
        <v>1</v>
      </c>
      <c r="G91" s="38" t="n">
        <f aca="false">SUMIFS($F$2:$F$1137,$A$2:$A$1137,A91,$C$2:$C$1137,C91)</f>
        <v>48</v>
      </c>
      <c r="H91" s="43" t="n">
        <v>1</v>
      </c>
      <c r="I91" s="45" t="n">
        <f aca="false">IF(G91=0,"",F91/G91)</f>
        <v>0.0208333333333333</v>
      </c>
      <c r="J91" s="45" t="n">
        <f aca="false">K91/L91</f>
        <v>0.0384615384615385</v>
      </c>
      <c r="K91" s="38" t="n">
        <f aca="false">F91+H91</f>
        <v>2</v>
      </c>
      <c r="L91" s="38" t="n">
        <f aca="false">G91+4*H91</f>
        <v>52</v>
      </c>
      <c r="M91" s="38" t="s">
        <v>619</v>
      </c>
      <c r="N91" s="38" t="n">
        <f aca="false">ROUND(SUMIFS($J$2:$J$1137,$A$2:$A$1137,A91,$C$2:$C$1137,C91),9)</f>
        <v>1</v>
      </c>
    </row>
    <row r="92" customFormat="false" ht="15" hidden="false" customHeight="true" outlineLevel="0" collapsed="false">
      <c r="A92" s="38" t="n">
        <v>6</v>
      </c>
      <c r="B92" s="38" t="s">
        <v>624</v>
      </c>
      <c r="C92" s="38" t="s">
        <v>169</v>
      </c>
      <c r="D92" s="38" t="s">
        <v>169</v>
      </c>
      <c r="E92" s="38" t="str">
        <f aca="false">A92&amp;"|"&amp;C92&amp;"|"&amp;D92</f>
        <v>6|G|G</v>
      </c>
      <c r="F92" s="43" t="n">
        <v>23</v>
      </c>
      <c r="G92" s="38" t="n">
        <f aca="false">SUMIFS($F$2:$F$1137,$A$2:$A$1137,A92,$C$2:$C$1137,C92)</f>
        <v>48</v>
      </c>
      <c r="H92" s="43" t="n">
        <v>1</v>
      </c>
      <c r="I92" s="45" t="n">
        <f aca="false">IF(G92=0,"",F92/G92)</f>
        <v>0.479166666666667</v>
      </c>
      <c r="J92" s="45" t="n">
        <f aca="false">K92/L92</f>
        <v>0.461538461538462</v>
      </c>
      <c r="K92" s="38" t="n">
        <f aca="false">F92+H92</f>
        <v>24</v>
      </c>
      <c r="L92" s="38" t="n">
        <f aca="false">G92+4*H92</f>
        <v>52</v>
      </c>
      <c r="M92" s="38" t="s">
        <v>619</v>
      </c>
      <c r="N92" s="38" t="n">
        <f aca="false">ROUND(SUMIFS($J$2:$J$1137,$A$2:$A$1137,A92,$C$2:$C$1137,C92),9)</f>
        <v>1</v>
      </c>
    </row>
    <row r="93" customFormat="false" ht="15" hidden="false" customHeight="true" outlineLevel="0" collapsed="false">
      <c r="A93" s="38" t="n">
        <v>6</v>
      </c>
      <c r="B93" s="38" t="s">
        <v>624</v>
      </c>
      <c r="C93" s="38" t="s">
        <v>169</v>
      </c>
      <c r="D93" s="38" t="s">
        <v>171</v>
      </c>
      <c r="E93" s="38" t="str">
        <f aca="false">A93&amp;"|"&amp;C93&amp;"|"&amp;D93</f>
        <v>6|G|U</v>
      </c>
      <c r="F93" s="43" t="n">
        <v>13</v>
      </c>
      <c r="G93" s="38" t="n">
        <f aca="false">SUMIFS($F$2:$F$1137,$A$2:$A$1137,A93,$C$2:$C$1137,C93)</f>
        <v>48</v>
      </c>
      <c r="H93" s="43" t="n">
        <v>1</v>
      </c>
      <c r="I93" s="45" t="n">
        <f aca="false">IF(G93=0,"",F93/G93)</f>
        <v>0.270833333333333</v>
      </c>
      <c r="J93" s="45" t="n">
        <f aca="false">K93/L93</f>
        <v>0.269230769230769</v>
      </c>
      <c r="K93" s="38" t="n">
        <f aca="false">F93+H93</f>
        <v>14</v>
      </c>
      <c r="L93" s="38" t="n">
        <f aca="false">G93+4*H93</f>
        <v>52</v>
      </c>
      <c r="M93" s="38" t="s">
        <v>619</v>
      </c>
      <c r="N93" s="38" t="n">
        <f aca="false">ROUND(SUMIFS($J$2:$J$1137,$A$2:$A$1137,A93,$C$2:$C$1137,C93),9)</f>
        <v>1</v>
      </c>
    </row>
    <row r="94" customFormat="false" ht="15" hidden="false" customHeight="true" outlineLevel="0" collapsed="false">
      <c r="A94" s="38" t="n">
        <v>6</v>
      </c>
      <c r="B94" s="38" t="s">
        <v>624</v>
      </c>
      <c r="C94" s="38" t="s">
        <v>171</v>
      </c>
      <c r="D94" s="38" t="s">
        <v>172</v>
      </c>
      <c r="E94" s="38" t="str">
        <f aca="false">A94&amp;"|"&amp;C94&amp;"|"&amp;D94</f>
        <v>6|U|A</v>
      </c>
      <c r="F94" s="43" t="n">
        <v>19</v>
      </c>
      <c r="G94" s="38" t="n">
        <f aca="false">SUMIFS($F$2:$F$1137,$A$2:$A$1137,A94,$C$2:$C$1137,C94)</f>
        <v>52</v>
      </c>
      <c r="H94" s="43" t="n">
        <v>1</v>
      </c>
      <c r="I94" s="45" t="n">
        <f aca="false">IF(G94=0,"",F94/G94)</f>
        <v>0.365384615384615</v>
      </c>
      <c r="J94" s="45" t="n">
        <f aca="false">K94/L94</f>
        <v>0.357142857142857</v>
      </c>
      <c r="K94" s="38" t="n">
        <f aca="false">F94+H94</f>
        <v>20</v>
      </c>
      <c r="L94" s="38" t="n">
        <f aca="false">G94+4*H94</f>
        <v>56</v>
      </c>
      <c r="M94" s="38" t="s">
        <v>619</v>
      </c>
      <c r="N94" s="38" t="n">
        <f aca="false">ROUND(SUMIFS($J$2:$J$1137,$A$2:$A$1137,A94,$C$2:$C$1137,C94),9)</f>
        <v>1</v>
      </c>
    </row>
    <row r="95" customFormat="false" ht="15" hidden="false" customHeight="true" outlineLevel="0" collapsed="false">
      <c r="A95" s="38" t="n">
        <v>6</v>
      </c>
      <c r="B95" s="38" t="s">
        <v>624</v>
      </c>
      <c r="C95" s="38" t="s">
        <v>171</v>
      </c>
      <c r="D95" s="38" t="s">
        <v>170</v>
      </c>
      <c r="E95" s="38" t="str">
        <f aca="false">A95&amp;"|"&amp;C95&amp;"|"&amp;D95</f>
        <v>6|U|C</v>
      </c>
      <c r="F95" s="43" t="n">
        <v>0</v>
      </c>
      <c r="G95" s="38" t="n">
        <f aca="false">SUMIFS($F$2:$F$1137,$A$2:$A$1137,A95,$C$2:$C$1137,C95)</f>
        <v>52</v>
      </c>
      <c r="H95" s="43" t="n">
        <v>1</v>
      </c>
      <c r="I95" s="45" t="n">
        <f aca="false">IF(G95=0,"",F95/G95)</f>
        <v>0</v>
      </c>
      <c r="J95" s="45" t="n">
        <f aca="false">K95/L95</f>
        <v>0.0178571428571429</v>
      </c>
      <c r="K95" s="38" t="n">
        <f aca="false">F95+H95</f>
        <v>1</v>
      </c>
      <c r="L95" s="38" t="n">
        <f aca="false">G95+4*H95</f>
        <v>56</v>
      </c>
      <c r="M95" s="38" t="s">
        <v>619</v>
      </c>
      <c r="N95" s="38" t="n">
        <f aca="false">ROUND(SUMIFS($J$2:$J$1137,$A$2:$A$1137,A95,$C$2:$C$1137,C95),9)</f>
        <v>1</v>
      </c>
    </row>
    <row r="96" customFormat="false" ht="15" hidden="false" customHeight="true" outlineLevel="0" collapsed="false">
      <c r="A96" s="38" t="n">
        <v>6</v>
      </c>
      <c r="B96" s="38" t="s">
        <v>624</v>
      </c>
      <c r="C96" s="38" t="s">
        <v>171</v>
      </c>
      <c r="D96" s="38" t="s">
        <v>169</v>
      </c>
      <c r="E96" s="38" t="str">
        <f aca="false">A96&amp;"|"&amp;C96&amp;"|"&amp;D96</f>
        <v>6|U|G</v>
      </c>
      <c r="F96" s="43" t="n">
        <v>29</v>
      </c>
      <c r="G96" s="38" t="n">
        <f aca="false">SUMIFS($F$2:$F$1137,$A$2:$A$1137,A96,$C$2:$C$1137,C96)</f>
        <v>52</v>
      </c>
      <c r="H96" s="43" t="n">
        <v>1</v>
      </c>
      <c r="I96" s="45" t="n">
        <f aca="false">IF(G96=0,"",F96/G96)</f>
        <v>0.557692307692308</v>
      </c>
      <c r="J96" s="45" t="n">
        <f aca="false">K96/L96</f>
        <v>0.535714285714286</v>
      </c>
      <c r="K96" s="38" t="n">
        <f aca="false">F96+H96</f>
        <v>30</v>
      </c>
      <c r="L96" s="38" t="n">
        <f aca="false">G96+4*H96</f>
        <v>56</v>
      </c>
      <c r="M96" s="38" t="s">
        <v>619</v>
      </c>
      <c r="N96" s="38" t="n">
        <f aca="false">ROUND(SUMIFS($J$2:$J$1137,$A$2:$A$1137,A96,$C$2:$C$1137,C96),9)</f>
        <v>1</v>
      </c>
    </row>
    <row r="97" customFormat="false" ht="15" hidden="false" customHeight="true" outlineLevel="0" collapsed="false">
      <c r="A97" s="38" t="n">
        <v>6</v>
      </c>
      <c r="B97" s="38" t="s">
        <v>624</v>
      </c>
      <c r="C97" s="38" t="s">
        <v>171</v>
      </c>
      <c r="D97" s="38" t="s">
        <v>171</v>
      </c>
      <c r="E97" s="38" t="str">
        <f aca="false">A97&amp;"|"&amp;C97&amp;"|"&amp;D97</f>
        <v>6|U|U</v>
      </c>
      <c r="F97" s="43" t="n">
        <v>4</v>
      </c>
      <c r="G97" s="38" t="n">
        <f aca="false">SUMIFS($F$2:$F$1137,$A$2:$A$1137,A97,$C$2:$C$1137,C97)</f>
        <v>52</v>
      </c>
      <c r="H97" s="43" t="n">
        <v>1</v>
      </c>
      <c r="I97" s="45" t="n">
        <f aca="false">IF(G97=0,"",F97/G97)</f>
        <v>0.0769230769230769</v>
      </c>
      <c r="J97" s="45" t="n">
        <f aca="false">K97/L97</f>
        <v>0.0892857142857143</v>
      </c>
      <c r="K97" s="38" t="n">
        <f aca="false">F97+H97</f>
        <v>5</v>
      </c>
      <c r="L97" s="38" t="n">
        <f aca="false">G97+4*H97</f>
        <v>56</v>
      </c>
      <c r="M97" s="38" t="s">
        <v>619</v>
      </c>
      <c r="N97" s="38" t="n">
        <f aca="false">ROUND(SUMIFS($J$2:$J$1137,$A$2:$A$1137,A97,$C$2:$C$1137,C97),9)</f>
        <v>1</v>
      </c>
    </row>
    <row r="98" customFormat="false" ht="15" hidden="false" customHeight="true" outlineLevel="0" collapsed="false">
      <c r="A98" s="38" t="n">
        <v>7</v>
      </c>
      <c r="B98" s="38" t="s">
        <v>625</v>
      </c>
      <c r="C98" s="38" t="s">
        <v>172</v>
      </c>
      <c r="D98" s="38" t="s">
        <v>172</v>
      </c>
      <c r="E98" s="38" t="str">
        <f aca="false">A98&amp;"|"&amp;C98&amp;"|"&amp;D98</f>
        <v>7|A|A</v>
      </c>
      <c r="F98" s="43" t="n">
        <v>1</v>
      </c>
      <c r="G98" s="38" t="n">
        <f aca="false">SUMIFS($F$2:$F$1137,$A$2:$A$1137,A98,$C$2:$C$1137,C98)</f>
        <v>47</v>
      </c>
      <c r="H98" s="43" t="n">
        <v>1</v>
      </c>
      <c r="I98" s="45" t="n">
        <f aca="false">IF(G98=0,"",F98/G98)</f>
        <v>0.0212765957446809</v>
      </c>
      <c r="J98" s="45" t="n">
        <f aca="false">K98/L98</f>
        <v>0.0392156862745098</v>
      </c>
      <c r="K98" s="38" t="n">
        <f aca="false">F98+H98</f>
        <v>2</v>
      </c>
      <c r="L98" s="38" t="n">
        <f aca="false">G98+4*H98</f>
        <v>51</v>
      </c>
      <c r="M98" s="38" t="s">
        <v>619</v>
      </c>
      <c r="N98" s="38" t="n">
        <f aca="false">ROUND(SUMIFS($J$2:$J$1137,$A$2:$A$1137,A98,$C$2:$C$1137,C98),9)</f>
        <v>1</v>
      </c>
    </row>
    <row r="99" customFormat="false" ht="15" hidden="false" customHeight="true" outlineLevel="0" collapsed="false">
      <c r="A99" s="38" t="n">
        <v>7</v>
      </c>
      <c r="B99" s="38" t="s">
        <v>625</v>
      </c>
      <c r="C99" s="38" t="s">
        <v>172</v>
      </c>
      <c r="D99" s="38" t="s">
        <v>170</v>
      </c>
      <c r="E99" s="38" t="str">
        <f aca="false">A99&amp;"|"&amp;C99&amp;"|"&amp;D99</f>
        <v>7|A|C</v>
      </c>
      <c r="F99" s="43" t="n">
        <v>0</v>
      </c>
      <c r="G99" s="38" t="n">
        <f aca="false">SUMIFS($F$2:$F$1137,$A$2:$A$1137,A99,$C$2:$C$1137,C99)</f>
        <v>47</v>
      </c>
      <c r="H99" s="43" t="n">
        <v>1</v>
      </c>
      <c r="I99" s="45" t="n">
        <f aca="false">IF(G99=0,"",F99/G99)</f>
        <v>0</v>
      </c>
      <c r="J99" s="45" t="n">
        <f aca="false">K99/L99</f>
        <v>0.0196078431372549</v>
      </c>
      <c r="K99" s="38" t="n">
        <f aca="false">F99+H99</f>
        <v>1</v>
      </c>
      <c r="L99" s="38" t="n">
        <f aca="false">G99+4*H99</f>
        <v>51</v>
      </c>
      <c r="M99" s="38" t="s">
        <v>619</v>
      </c>
      <c r="N99" s="38" t="n">
        <f aca="false">ROUND(SUMIFS($J$2:$J$1137,$A$2:$A$1137,A99,$C$2:$C$1137,C99),9)</f>
        <v>1</v>
      </c>
    </row>
    <row r="100" customFormat="false" ht="15" hidden="false" customHeight="true" outlineLevel="0" collapsed="false">
      <c r="A100" s="38" t="n">
        <v>7</v>
      </c>
      <c r="B100" s="38" t="s">
        <v>625</v>
      </c>
      <c r="C100" s="38" t="s">
        <v>172</v>
      </c>
      <c r="D100" s="38" t="s">
        <v>169</v>
      </c>
      <c r="E100" s="38" t="str">
        <f aca="false">A100&amp;"|"&amp;C100&amp;"|"&amp;D100</f>
        <v>7|A|G</v>
      </c>
      <c r="F100" s="43" t="n">
        <v>0</v>
      </c>
      <c r="G100" s="38" t="n">
        <f aca="false">SUMIFS($F$2:$F$1137,$A$2:$A$1137,A100,$C$2:$C$1137,C100)</f>
        <v>47</v>
      </c>
      <c r="H100" s="43" t="n">
        <v>1</v>
      </c>
      <c r="I100" s="45" t="n">
        <f aca="false">IF(G100=0,"",F100/G100)</f>
        <v>0</v>
      </c>
      <c r="J100" s="45" t="n">
        <f aca="false">K100/L100</f>
        <v>0.0196078431372549</v>
      </c>
      <c r="K100" s="38" t="n">
        <f aca="false">F100+H100</f>
        <v>1</v>
      </c>
      <c r="L100" s="38" t="n">
        <f aca="false">G100+4*H100</f>
        <v>51</v>
      </c>
      <c r="M100" s="38" t="s">
        <v>619</v>
      </c>
      <c r="N100" s="38" t="n">
        <f aca="false">ROUND(SUMIFS($J$2:$J$1137,$A$2:$A$1137,A100,$C$2:$C$1137,C100),9)</f>
        <v>1</v>
      </c>
    </row>
    <row r="101" customFormat="false" ht="15" hidden="false" customHeight="true" outlineLevel="0" collapsed="false">
      <c r="A101" s="38" t="n">
        <v>7</v>
      </c>
      <c r="B101" s="38" t="s">
        <v>625</v>
      </c>
      <c r="C101" s="38" t="s">
        <v>172</v>
      </c>
      <c r="D101" s="38" t="s">
        <v>171</v>
      </c>
      <c r="E101" s="38" t="str">
        <f aca="false">A101&amp;"|"&amp;C101&amp;"|"&amp;D101</f>
        <v>7|A|U</v>
      </c>
      <c r="F101" s="43" t="n">
        <v>46</v>
      </c>
      <c r="G101" s="38" t="n">
        <f aca="false">SUMIFS($F$2:$F$1137,$A$2:$A$1137,A101,$C$2:$C$1137,C101)</f>
        <v>47</v>
      </c>
      <c r="H101" s="43" t="n">
        <v>1</v>
      </c>
      <c r="I101" s="45" t="n">
        <f aca="false">IF(G101=0,"",F101/G101)</f>
        <v>0.978723404255319</v>
      </c>
      <c r="J101" s="45" t="n">
        <f aca="false">K101/L101</f>
        <v>0.92156862745098</v>
      </c>
      <c r="K101" s="38" t="n">
        <f aca="false">F101+H101</f>
        <v>47</v>
      </c>
      <c r="L101" s="38" t="n">
        <f aca="false">G101+4*H101</f>
        <v>51</v>
      </c>
      <c r="M101" s="38" t="s">
        <v>619</v>
      </c>
      <c r="N101" s="38" t="n">
        <f aca="false">ROUND(SUMIFS($J$2:$J$1137,$A$2:$A$1137,A101,$C$2:$C$1137,C101),9)</f>
        <v>1</v>
      </c>
    </row>
    <row r="102" customFormat="false" ht="15" hidden="false" customHeight="true" outlineLevel="0" collapsed="false">
      <c r="A102" s="38" t="n">
        <v>7</v>
      </c>
      <c r="B102" s="38" t="s">
        <v>625</v>
      </c>
      <c r="C102" s="38" t="s">
        <v>170</v>
      </c>
      <c r="D102" s="38" t="s">
        <v>172</v>
      </c>
      <c r="E102" s="38" t="str">
        <f aca="false">A102&amp;"|"&amp;C102&amp;"|"&amp;D102</f>
        <v>7|C|A</v>
      </c>
      <c r="F102" s="43" t="n">
        <v>0</v>
      </c>
      <c r="G102" s="38" t="n">
        <f aca="false">SUMIFS($F$2:$F$1137,$A$2:$A$1137,A102,$C$2:$C$1137,C102)</f>
        <v>3</v>
      </c>
      <c r="H102" s="43" t="n">
        <v>1</v>
      </c>
      <c r="I102" s="45" t="n">
        <f aca="false">IF(G102=0,"",F102/G102)</f>
        <v>0</v>
      </c>
      <c r="J102" s="45" t="n">
        <f aca="false">K102/L102</f>
        <v>0.142857142857143</v>
      </c>
      <c r="K102" s="38" t="n">
        <f aca="false">F102+H102</f>
        <v>1</v>
      </c>
      <c r="L102" s="38" t="n">
        <f aca="false">G102+4*H102</f>
        <v>7</v>
      </c>
      <c r="M102" s="38" t="s">
        <v>619</v>
      </c>
      <c r="N102" s="38" t="n">
        <f aca="false">ROUND(SUMIFS($J$2:$J$1137,$A$2:$A$1137,A102,$C$2:$C$1137,C102),9)</f>
        <v>1</v>
      </c>
    </row>
    <row r="103" customFormat="false" ht="15" hidden="false" customHeight="true" outlineLevel="0" collapsed="false">
      <c r="A103" s="38" t="n">
        <v>7</v>
      </c>
      <c r="B103" s="38" t="s">
        <v>625</v>
      </c>
      <c r="C103" s="38" t="s">
        <v>170</v>
      </c>
      <c r="D103" s="38" t="s">
        <v>170</v>
      </c>
      <c r="E103" s="38" t="str">
        <f aca="false">A103&amp;"|"&amp;C103&amp;"|"&amp;D103</f>
        <v>7|C|C</v>
      </c>
      <c r="F103" s="43" t="n">
        <v>0</v>
      </c>
      <c r="G103" s="38" t="n">
        <f aca="false">SUMIFS($F$2:$F$1137,$A$2:$A$1137,A103,$C$2:$C$1137,C103)</f>
        <v>3</v>
      </c>
      <c r="H103" s="43" t="n">
        <v>1</v>
      </c>
      <c r="I103" s="45" t="n">
        <f aca="false">IF(G103=0,"",F103/G103)</f>
        <v>0</v>
      </c>
      <c r="J103" s="45" t="n">
        <f aca="false">K103/L103</f>
        <v>0.142857142857143</v>
      </c>
      <c r="K103" s="38" t="n">
        <f aca="false">F103+H103</f>
        <v>1</v>
      </c>
      <c r="L103" s="38" t="n">
        <f aca="false">G103+4*H103</f>
        <v>7</v>
      </c>
      <c r="M103" s="38" t="s">
        <v>619</v>
      </c>
      <c r="N103" s="38" t="n">
        <f aca="false">ROUND(SUMIFS($J$2:$J$1137,$A$2:$A$1137,A103,$C$2:$C$1137,C103),9)</f>
        <v>1</v>
      </c>
    </row>
    <row r="104" customFormat="false" ht="15" hidden="false" customHeight="true" outlineLevel="0" collapsed="false">
      <c r="A104" s="38" t="n">
        <v>7</v>
      </c>
      <c r="B104" s="38" t="s">
        <v>625</v>
      </c>
      <c r="C104" s="38" t="s">
        <v>170</v>
      </c>
      <c r="D104" s="38" t="s">
        <v>169</v>
      </c>
      <c r="E104" s="38" t="str">
        <f aca="false">A104&amp;"|"&amp;C104&amp;"|"&amp;D104</f>
        <v>7|C|G</v>
      </c>
      <c r="F104" s="43" t="n">
        <v>0</v>
      </c>
      <c r="G104" s="38" t="n">
        <f aca="false">SUMIFS($F$2:$F$1137,$A$2:$A$1137,A104,$C$2:$C$1137,C104)</f>
        <v>3</v>
      </c>
      <c r="H104" s="43" t="n">
        <v>1</v>
      </c>
      <c r="I104" s="45" t="n">
        <f aca="false">IF(G104=0,"",F104/G104)</f>
        <v>0</v>
      </c>
      <c r="J104" s="45" t="n">
        <f aca="false">K104/L104</f>
        <v>0.142857142857143</v>
      </c>
      <c r="K104" s="38" t="n">
        <f aca="false">F104+H104</f>
        <v>1</v>
      </c>
      <c r="L104" s="38" t="n">
        <f aca="false">G104+4*H104</f>
        <v>7</v>
      </c>
      <c r="M104" s="38" t="s">
        <v>619</v>
      </c>
      <c r="N104" s="38" t="n">
        <f aca="false">ROUND(SUMIFS($J$2:$J$1137,$A$2:$A$1137,A104,$C$2:$C$1137,C104),9)</f>
        <v>1</v>
      </c>
    </row>
    <row r="105" customFormat="false" ht="15" hidden="false" customHeight="true" outlineLevel="0" collapsed="false">
      <c r="A105" s="38" t="n">
        <v>7</v>
      </c>
      <c r="B105" s="38" t="s">
        <v>625</v>
      </c>
      <c r="C105" s="38" t="s">
        <v>170</v>
      </c>
      <c r="D105" s="38" t="s">
        <v>171</v>
      </c>
      <c r="E105" s="38" t="str">
        <f aca="false">A105&amp;"|"&amp;C105&amp;"|"&amp;D105</f>
        <v>7|C|U</v>
      </c>
      <c r="F105" s="43" t="n">
        <v>3</v>
      </c>
      <c r="G105" s="38" t="n">
        <f aca="false">SUMIFS($F$2:$F$1137,$A$2:$A$1137,A105,$C$2:$C$1137,C105)</f>
        <v>3</v>
      </c>
      <c r="H105" s="43" t="n">
        <v>1</v>
      </c>
      <c r="I105" s="45" t="n">
        <f aca="false">IF(G105=0,"",F105/G105)</f>
        <v>1</v>
      </c>
      <c r="J105" s="45" t="n">
        <f aca="false">K105/L105</f>
        <v>0.571428571428571</v>
      </c>
      <c r="K105" s="38" t="n">
        <f aca="false">F105+H105</f>
        <v>4</v>
      </c>
      <c r="L105" s="38" t="n">
        <f aca="false">G105+4*H105</f>
        <v>7</v>
      </c>
      <c r="M105" s="38" t="s">
        <v>619</v>
      </c>
      <c r="N105" s="38" t="n">
        <f aca="false">ROUND(SUMIFS($J$2:$J$1137,$A$2:$A$1137,A105,$C$2:$C$1137,C105),9)</f>
        <v>1</v>
      </c>
    </row>
    <row r="106" customFormat="false" ht="15" hidden="false" customHeight="true" outlineLevel="0" collapsed="false">
      <c r="A106" s="38" t="n">
        <v>7</v>
      </c>
      <c r="B106" s="38" t="s">
        <v>625</v>
      </c>
      <c r="C106" s="38" t="s">
        <v>169</v>
      </c>
      <c r="D106" s="38" t="s">
        <v>172</v>
      </c>
      <c r="E106" s="38" t="str">
        <f aca="false">A106&amp;"|"&amp;C106&amp;"|"&amp;D106</f>
        <v>7|G|A</v>
      </c>
      <c r="F106" s="43" t="n">
        <v>0</v>
      </c>
      <c r="G106" s="38" t="n">
        <f aca="false">SUMIFS($F$2:$F$1137,$A$2:$A$1137,A106,$C$2:$C$1137,C106)</f>
        <v>105</v>
      </c>
      <c r="H106" s="43" t="n">
        <v>1</v>
      </c>
      <c r="I106" s="45" t="n">
        <f aca="false">IF(G106=0,"",F106/G106)</f>
        <v>0</v>
      </c>
      <c r="J106" s="45" t="n">
        <f aca="false">K106/L106</f>
        <v>0.00917431192660551</v>
      </c>
      <c r="K106" s="38" t="n">
        <f aca="false">F106+H106</f>
        <v>1</v>
      </c>
      <c r="L106" s="38" t="n">
        <f aca="false">G106+4*H106</f>
        <v>109</v>
      </c>
      <c r="M106" s="38" t="s">
        <v>619</v>
      </c>
      <c r="N106" s="38" t="n">
        <f aca="false">ROUND(SUMIFS($J$2:$J$1137,$A$2:$A$1137,A106,$C$2:$C$1137,C106),9)</f>
        <v>1</v>
      </c>
    </row>
    <row r="107" customFormat="false" ht="15" hidden="false" customHeight="true" outlineLevel="0" collapsed="false">
      <c r="A107" s="38" t="n">
        <v>7</v>
      </c>
      <c r="B107" s="38" t="s">
        <v>625</v>
      </c>
      <c r="C107" s="38" t="s">
        <v>169</v>
      </c>
      <c r="D107" s="38" t="s">
        <v>170</v>
      </c>
      <c r="E107" s="38" t="str">
        <f aca="false">A107&amp;"|"&amp;C107&amp;"|"&amp;D107</f>
        <v>7|G|C</v>
      </c>
      <c r="F107" s="43" t="n">
        <v>0</v>
      </c>
      <c r="G107" s="38" t="n">
        <f aca="false">SUMIFS($F$2:$F$1137,$A$2:$A$1137,A107,$C$2:$C$1137,C107)</f>
        <v>105</v>
      </c>
      <c r="H107" s="43" t="n">
        <v>1</v>
      </c>
      <c r="I107" s="45" t="n">
        <f aca="false">IF(G107=0,"",F107/G107)</f>
        <v>0</v>
      </c>
      <c r="J107" s="45" t="n">
        <f aca="false">K107/L107</f>
        <v>0.00917431192660551</v>
      </c>
      <c r="K107" s="38" t="n">
        <f aca="false">F107+H107</f>
        <v>1</v>
      </c>
      <c r="L107" s="38" t="n">
        <f aca="false">G107+4*H107</f>
        <v>109</v>
      </c>
      <c r="M107" s="38" t="s">
        <v>619</v>
      </c>
      <c r="N107" s="38" t="n">
        <f aca="false">ROUND(SUMIFS($J$2:$J$1137,$A$2:$A$1137,A107,$C$2:$C$1137,C107),9)</f>
        <v>1</v>
      </c>
    </row>
    <row r="108" customFormat="false" ht="15" hidden="false" customHeight="true" outlineLevel="0" collapsed="false">
      <c r="A108" s="38" t="n">
        <v>7</v>
      </c>
      <c r="B108" s="38" t="s">
        <v>625</v>
      </c>
      <c r="C108" s="38" t="s">
        <v>169</v>
      </c>
      <c r="D108" s="38" t="s">
        <v>169</v>
      </c>
      <c r="E108" s="38" t="str">
        <f aca="false">A108&amp;"|"&amp;C108&amp;"|"&amp;D108</f>
        <v>7|G|G</v>
      </c>
      <c r="F108" s="43" t="n">
        <v>1</v>
      </c>
      <c r="G108" s="38" t="n">
        <f aca="false">SUMIFS($F$2:$F$1137,$A$2:$A$1137,A108,$C$2:$C$1137,C108)</f>
        <v>105</v>
      </c>
      <c r="H108" s="43" t="n">
        <v>1</v>
      </c>
      <c r="I108" s="45" t="n">
        <f aca="false">IF(G108=0,"",F108/G108)</f>
        <v>0.00952380952380953</v>
      </c>
      <c r="J108" s="45" t="n">
        <f aca="false">K108/L108</f>
        <v>0.018348623853211</v>
      </c>
      <c r="K108" s="38" t="n">
        <f aca="false">F108+H108</f>
        <v>2</v>
      </c>
      <c r="L108" s="38" t="n">
        <f aca="false">G108+4*H108</f>
        <v>109</v>
      </c>
      <c r="M108" s="38" t="s">
        <v>619</v>
      </c>
      <c r="N108" s="38" t="n">
        <f aca="false">ROUND(SUMIFS($J$2:$J$1137,$A$2:$A$1137,A108,$C$2:$C$1137,C108),9)</f>
        <v>1</v>
      </c>
    </row>
    <row r="109" customFormat="false" ht="15" hidden="false" customHeight="true" outlineLevel="0" collapsed="false">
      <c r="A109" s="38" t="n">
        <v>7</v>
      </c>
      <c r="B109" s="38" t="s">
        <v>625</v>
      </c>
      <c r="C109" s="38" t="s">
        <v>169</v>
      </c>
      <c r="D109" s="38" t="s">
        <v>171</v>
      </c>
      <c r="E109" s="38" t="str">
        <f aca="false">A109&amp;"|"&amp;C109&amp;"|"&amp;D109</f>
        <v>7|G|U</v>
      </c>
      <c r="F109" s="43" t="n">
        <v>104</v>
      </c>
      <c r="G109" s="38" t="n">
        <f aca="false">SUMIFS($F$2:$F$1137,$A$2:$A$1137,A109,$C$2:$C$1137,C109)</f>
        <v>105</v>
      </c>
      <c r="H109" s="43" t="n">
        <v>1</v>
      </c>
      <c r="I109" s="45" t="n">
        <f aca="false">IF(G109=0,"",F109/G109)</f>
        <v>0.990476190476191</v>
      </c>
      <c r="J109" s="45" t="n">
        <f aca="false">K109/L109</f>
        <v>0.963302752293578</v>
      </c>
      <c r="K109" s="38" t="n">
        <f aca="false">F109+H109</f>
        <v>105</v>
      </c>
      <c r="L109" s="38" t="n">
        <f aca="false">G109+4*H109</f>
        <v>109</v>
      </c>
      <c r="M109" s="38" t="s">
        <v>619</v>
      </c>
      <c r="N109" s="38" t="n">
        <f aca="false">ROUND(SUMIFS($J$2:$J$1137,$A$2:$A$1137,A109,$C$2:$C$1137,C109),9)</f>
        <v>1</v>
      </c>
    </row>
    <row r="110" customFormat="false" ht="15" hidden="false" customHeight="true" outlineLevel="0" collapsed="false">
      <c r="A110" s="38" t="n">
        <v>7</v>
      </c>
      <c r="B110" s="38" t="s">
        <v>625</v>
      </c>
      <c r="C110" s="38" t="s">
        <v>171</v>
      </c>
      <c r="D110" s="38" t="s">
        <v>172</v>
      </c>
      <c r="E110" s="38" t="str">
        <f aca="false">A110&amp;"|"&amp;C110&amp;"|"&amp;D110</f>
        <v>7|U|A</v>
      </c>
      <c r="F110" s="43" t="n">
        <v>0</v>
      </c>
      <c r="G110" s="38" t="n">
        <f aca="false">SUMIFS($F$2:$F$1137,$A$2:$A$1137,A110,$C$2:$C$1137,C110)</f>
        <v>44</v>
      </c>
      <c r="H110" s="43" t="n">
        <v>1</v>
      </c>
      <c r="I110" s="45" t="n">
        <f aca="false">IF(G110=0,"",F110/G110)</f>
        <v>0</v>
      </c>
      <c r="J110" s="45" t="n">
        <f aca="false">K110/L110</f>
        <v>0.0208333333333333</v>
      </c>
      <c r="K110" s="38" t="n">
        <f aca="false">F110+H110</f>
        <v>1</v>
      </c>
      <c r="L110" s="38" t="n">
        <f aca="false">G110+4*H110</f>
        <v>48</v>
      </c>
      <c r="M110" s="38" t="s">
        <v>619</v>
      </c>
      <c r="N110" s="38" t="n">
        <f aca="false">ROUND(SUMIFS($J$2:$J$1137,$A$2:$A$1137,A110,$C$2:$C$1137,C110),9)</f>
        <v>1</v>
      </c>
    </row>
    <row r="111" customFormat="false" ht="15" hidden="false" customHeight="true" outlineLevel="0" collapsed="false">
      <c r="A111" s="38" t="n">
        <v>7</v>
      </c>
      <c r="B111" s="38" t="s">
        <v>625</v>
      </c>
      <c r="C111" s="38" t="s">
        <v>171</v>
      </c>
      <c r="D111" s="38" t="s">
        <v>170</v>
      </c>
      <c r="E111" s="38" t="str">
        <f aca="false">A111&amp;"|"&amp;C111&amp;"|"&amp;D111</f>
        <v>7|U|C</v>
      </c>
      <c r="F111" s="43" t="n">
        <v>0</v>
      </c>
      <c r="G111" s="38" t="n">
        <f aca="false">SUMIFS($F$2:$F$1137,$A$2:$A$1137,A111,$C$2:$C$1137,C111)</f>
        <v>44</v>
      </c>
      <c r="H111" s="43" t="n">
        <v>1</v>
      </c>
      <c r="I111" s="45" t="n">
        <f aca="false">IF(G111=0,"",F111/G111)</f>
        <v>0</v>
      </c>
      <c r="J111" s="45" t="n">
        <f aca="false">K111/L111</f>
        <v>0.0208333333333333</v>
      </c>
      <c r="K111" s="38" t="n">
        <f aca="false">F111+H111</f>
        <v>1</v>
      </c>
      <c r="L111" s="38" t="n">
        <f aca="false">G111+4*H111</f>
        <v>48</v>
      </c>
      <c r="M111" s="38" t="s">
        <v>619</v>
      </c>
      <c r="N111" s="38" t="n">
        <f aca="false">ROUND(SUMIFS($J$2:$J$1137,$A$2:$A$1137,A111,$C$2:$C$1137,C111),9)</f>
        <v>1</v>
      </c>
    </row>
    <row r="112" customFormat="false" ht="15" hidden="false" customHeight="true" outlineLevel="0" collapsed="false">
      <c r="A112" s="38" t="n">
        <v>7</v>
      </c>
      <c r="B112" s="38" t="s">
        <v>625</v>
      </c>
      <c r="C112" s="38" t="s">
        <v>171</v>
      </c>
      <c r="D112" s="38" t="s">
        <v>169</v>
      </c>
      <c r="E112" s="38" t="str">
        <f aca="false">A112&amp;"|"&amp;C112&amp;"|"&amp;D112</f>
        <v>7|U|G</v>
      </c>
      <c r="F112" s="43" t="n">
        <v>0</v>
      </c>
      <c r="G112" s="38" t="n">
        <f aca="false">SUMIFS($F$2:$F$1137,$A$2:$A$1137,A112,$C$2:$C$1137,C112)</f>
        <v>44</v>
      </c>
      <c r="H112" s="43" t="n">
        <v>1</v>
      </c>
      <c r="I112" s="45" t="n">
        <f aca="false">IF(G112=0,"",F112/G112)</f>
        <v>0</v>
      </c>
      <c r="J112" s="45" t="n">
        <f aca="false">K112/L112</f>
        <v>0.0208333333333333</v>
      </c>
      <c r="K112" s="38" t="n">
        <f aca="false">F112+H112</f>
        <v>1</v>
      </c>
      <c r="L112" s="38" t="n">
        <f aca="false">G112+4*H112</f>
        <v>48</v>
      </c>
      <c r="M112" s="38" t="s">
        <v>619</v>
      </c>
      <c r="N112" s="38" t="n">
        <f aca="false">ROUND(SUMIFS($J$2:$J$1137,$A$2:$A$1137,A112,$C$2:$C$1137,C112),9)</f>
        <v>1</v>
      </c>
    </row>
    <row r="113" customFormat="false" ht="15" hidden="false" customHeight="true" outlineLevel="0" collapsed="false">
      <c r="A113" s="38" t="n">
        <v>7</v>
      </c>
      <c r="B113" s="38" t="s">
        <v>625</v>
      </c>
      <c r="C113" s="38" t="s">
        <v>171</v>
      </c>
      <c r="D113" s="38" t="s">
        <v>171</v>
      </c>
      <c r="E113" s="38" t="str">
        <f aca="false">A113&amp;"|"&amp;C113&amp;"|"&amp;D113</f>
        <v>7|U|U</v>
      </c>
      <c r="F113" s="43" t="n">
        <v>44</v>
      </c>
      <c r="G113" s="38" t="n">
        <f aca="false">SUMIFS($F$2:$F$1137,$A$2:$A$1137,A113,$C$2:$C$1137,C113)</f>
        <v>44</v>
      </c>
      <c r="H113" s="43" t="n">
        <v>1</v>
      </c>
      <c r="I113" s="45" t="n">
        <f aca="false">IF(G113=0,"",F113/G113)</f>
        <v>1</v>
      </c>
      <c r="J113" s="45" t="n">
        <f aca="false">K113/L113</f>
        <v>0.9375</v>
      </c>
      <c r="K113" s="38" t="n">
        <f aca="false">F113+H113</f>
        <v>45</v>
      </c>
      <c r="L113" s="38" t="n">
        <f aca="false">G113+4*H113</f>
        <v>48</v>
      </c>
      <c r="M113" s="38" t="s">
        <v>619</v>
      </c>
      <c r="N113" s="38" t="n">
        <f aca="false">ROUND(SUMIFS($J$2:$J$1137,$A$2:$A$1137,A113,$C$2:$C$1137,C113),9)</f>
        <v>1</v>
      </c>
    </row>
    <row r="114" customFormat="false" ht="15" hidden="false" customHeight="true" outlineLevel="0" collapsed="false">
      <c r="A114" s="38" t="n">
        <v>8</v>
      </c>
      <c r="B114" s="38" t="s">
        <v>626</v>
      </c>
      <c r="C114" s="38" t="s">
        <v>172</v>
      </c>
      <c r="D114" s="38" t="s">
        <v>172</v>
      </c>
      <c r="E114" s="38" t="str">
        <f aca="false">A114&amp;"|"&amp;C114&amp;"|"&amp;D114</f>
        <v>8|A|A</v>
      </c>
      <c r="F114" s="43" t="n">
        <v>1</v>
      </c>
      <c r="G114" s="38" t="n">
        <f aca="false">SUMIFS($F$2:$F$1137,$A$2:$A$1137,A114,$C$2:$C$1137,C114)</f>
        <v>1</v>
      </c>
      <c r="H114" s="43" t="n">
        <v>1</v>
      </c>
      <c r="I114" s="45" t="n">
        <f aca="false">IF(G114=0,"",F114/G114)</f>
        <v>1</v>
      </c>
      <c r="J114" s="45" t="n">
        <f aca="false">K114/L114</f>
        <v>0.4</v>
      </c>
      <c r="K114" s="38" t="n">
        <f aca="false">F114+H114</f>
        <v>2</v>
      </c>
      <c r="L114" s="38" t="n">
        <f aca="false">G114+4*H114</f>
        <v>5</v>
      </c>
      <c r="M114" s="38" t="s">
        <v>619</v>
      </c>
      <c r="N114" s="38" t="n">
        <f aca="false">ROUND(SUMIFS($J$2:$J$1137,$A$2:$A$1137,A114,$C$2:$C$1137,C114),9)</f>
        <v>1</v>
      </c>
    </row>
    <row r="115" customFormat="false" ht="15" hidden="false" customHeight="true" outlineLevel="0" collapsed="false">
      <c r="A115" s="38" t="n">
        <v>8</v>
      </c>
      <c r="B115" s="38" t="s">
        <v>626</v>
      </c>
      <c r="C115" s="38" t="s">
        <v>172</v>
      </c>
      <c r="D115" s="38" t="s">
        <v>170</v>
      </c>
      <c r="E115" s="38" t="str">
        <f aca="false">A115&amp;"|"&amp;C115&amp;"|"&amp;D115</f>
        <v>8|A|C</v>
      </c>
      <c r="F115" s="43" t="n">
        <v>0</v>
      </c>
      <c r="G115" s="38" t="n">
        <f aca="false">SUMIFS($F$2:$F$1137,$A$2:$A$1137,A115,$C$2:$C$1137,C115)</f>
        <v>1</v>
      </c>
      <c r="H115" s="43" t="n">
        <v>1</v>
      </c>
      <c r="I115" s="45" t="n">
        <f aca="false">IF(G115=0,"",F115/G115)</f>
        <v>0</v>
      </c>
      <c r="J115" s="45" t="n">
        <f aca="false">K115/L115</f>
        <v>0.2</v>
      </c>
      <c r="K115" s="38" t="n">
        <f aca="false">F115+H115</f>
        <v>1</v>
      </c>
      <c r="L115" s="38" t="n">
        <f aca="false">G115+4*H115</f>
        <v>5</v>
      </c>
      <c r="M115" s="38" t="s">
        <v>619</v>
      </c>
      <c r="N115" s="38" t="n">
        <f aca="false">ROUND(SUMIFS($J$2:$J$1137,$A$2:$A$1137,A115,$C$2:$C$1137,C115),9)</f>
        <v>1</v>
      </c>
    </row>
    <row r="116" customFormat="false" ht="15" hidden="false" customHeight="true" outlineLevel="0" collapsed="false">
      <c r="A116" s="38" t="n">
        <v>8</v>
      </c>
      <c r="B116" s="38" t="s">
        <v>626</v>
      </c>
      <c r="C116" s="38" t="s">
        <v>172</v>
      </c>
      <c r="D116" s="38" t="s">
        <v>169</v>
      </c>
      <c r="E116" s="38" t="str">
        <f aca="false">A116&amp;"|"&amp;C116&amp;"|"&amp;D116</f>
        <v>8|A|G</v>
      </c>
      <c r="F116" s="43" t="n">
        <v>0</v>
      </c>
      <c r="G116" s="38" t="n">
        <f aca="false">SUMIFS($F$2:$F$1137,$A$2:$A$1137,A116,$C$2:$C$1137,C116)</f>
        <v>1</v>
      </c>
      <c r="H116" s="43" t="n">
        <v>1</v>
      </c>
      <c r="I116" s="45" t="n">
        <f aca="false">IF(G116=0,"",F116/G116)</f>
        <v>0</v>
      </c>
      <c r="J116" s="45" t="n">
        <f aca="false">K116/L116</f>
        <v>0.2</v>
      </c>
      <c r="K116" s="38" t="n">
        <f aca="false">F116+H116</f>
        <v>1</v>
      </c>
      <c r="L116" s="38" t="n">
        <f aca="false">G116+4*H116</f>
        <v>5</v>
      </c>
      <c r="M116" s="38" t="s">
        <v>619</v>
      </c>
      <c r="N116" s="38" t="n">
        <f aca="false">ROUND(SUMIFS($J$2:$J$1137,$A$2:$A$1137,A116,$C$2:$C$1137,C116),9)</f>
        <v>1</v>
      </c>
    </row>
    <row r="117" customFormat="false" ht="15" hidden="false" customHeight="true" outlineLevel="0" collapsed="false">
      <c r="A117" s="38" t="n">
        <v>8</v>
      </c>
      <c r="B117" s="38" t="s">
        <v>626</v>
      </c>
      <c r="C117" s="38" t="s">
        <v>172</v>
      </c>
      <c r="D117" s="38" t="s">
        <v>171</v>
      </c>
      <c r="E117" s="38" t="str">
        <f aca="false">A117&amp;"|"&amp;C117&amp;"|"&amp;D117</f>
        <v>8|A|U</v>
      </c>
      <c r="F117" s="43" t="n">
        <v>0</v>
      </c>
      <c r="G117" s="38" t="n">
        <f aca="false">SUMIFS($F$2:$F$1137,$A$2:$A$1137,A117,$C$2:$C$1137,C117)</f>
        <v>1</v>
      </c>
      <c r="H117" s="43" t="n">
        <v>1</v>
      </c>
      <c r="I117" s="45" t="n">
        <f aca="false">IF(G117=0,"",F117/G117)</f>
        <v>0</v>
      </c>
      <c r="J117" s="45" t="n">
        <f aca="false">K117/L117</f>
        <v>0.2</v>
      </c>
      <c r="K117" s="38" t="n">
        <f aca="false">F117+H117</f>
        <v>1</v>
      </c>
      <c r="L117" s="38" t="n">
        <f aca="false">G117+4*H117</f>
        <v>5</v>
      </c>
      <c r="M117" s="38" t="s">
        <v>619</v>
      </c>
      <c r="N117" s="38" t="n">
        <f aca="false">ROUND(SUMIFS($J$2:$J$1137,$A$2:$A$1137,A117,$C$2:$C$1137,C117),9)</f>
        <v>1</v>
      </c>
    </row>
    <row r="118" customFormat="false" ht="15" hidden="false" customHeight="true" outlineLevel="0" collapsed="false">
      <c r="A118" s="38" t="n">
        <v>8</v>
      </c>
      <c r="B118" s="38" t="s">
        <v>626</v>
      </c>
      <c r="C118" s="38" t="s">
        <v>170</v>
      </c>
      <c r="D118" s="38" t="s">
        <v>172</v>
      </c>
      <c r="E118" s="38" t="str">
        <f aca="false">A118&amp;"|"&amp;C118&amp;"|"&amp;D118</f>
        <v>8|C|A</v>
      </c>
      <c r="F118" s="43" t="n">
        <v>0</v>
      </c>
      <c r="G118" s="38" t="n">
        <f aca="false">SUMIFS($F$2:$F$1137,$A$2:$A$1137,A118,$C$2:$C$1137,C118)</f>
        <v>0</v>
      </c>
      <c r="H118" s="43" t="n">
        <v>1</v>
      </c>
      <c r="I118" s="45" t="str">
        <f aca="false">IF(G118=0,"",F118/G118)</f>
        <v/>
      </c>
      <c r="J118" s="45" t="n">
        <f aca="false">K118/L118</f>
        <v>0.25</v>
      </c>
      <c r="K118" s="38" t="n">
        <f aca="false">F118+H118</f>
        <v>1</v>
      </c>
      <c r="L118" s="38" t="n">
        <f aca="false">G118+4*H118</f>
        <v>4</v>
      </c>
      <c r="M118" s="38" t="s">
        <v>619</v>
      </c>
      <c r="N118" s="38" t="n">
        <f aca="false">ROUND(SUMIFS($J$2:$J$1137,$A$2:$A$1137,A118,$C$2:$C$1137,C118),9)</f>
        <v>1</v>
      </c>
    </row>
    <row r="119" customFormat="false" ht="15" hidden="false" customHeight="true" outlineLevel="0" collapsed="false">
      <c r="A119" s="38" t="n">
        <v>8</v>
      </c>
      <c r="B119" s="38" t="s">
        <v>626</v>
      </c>
      <c r="C119" s="38" t="s">
        <v>170</v>
      </c>
      <c r="D119" s="38" t="s">
        <v>170</v>
      </c>
      <c r="E119" s="38" t="str">
        <f aca="false">A119&amp;"|"&amp;C119&amp;"|"&amp;D119</f>
        <v>8|C|C</v>
      </c>
      <c r="F119" s="43" t="n">
        <v>0</v>
      </c>
      <c r="G119" s="38" t="n">
        <f aca="false">SUMIFS($F$2:$F$1137,$A$2:$A$1137,A119,$C$2:$C$1137,C119)</f>
        <v>0</v>
      </c>
      <c r="H119" s="43" t="n">
        <v>1</v>
      </c>
      <c r="I119" s="45" t="str">
        <f aca="false">IF(G119=0,"",F119/G119)</f>
        <v/>
      </c>
      <c r="J119" s="45" t="n">
        <f aca="false">K119/L119</f>
        <v>0.25</v>
      </c>
      <c r="K119" s="38" t="n">
        <f aca="false">F119+H119</f>
        <v>1</v>
      </c>
      <c r="L119" s="38" t="n">
        <f aca="false">G119+4*H119</f>
        <v>4</v>
      </c>
      <c r="M119" s="38" t="s">
        <v>619</v>
      </c>
      <c r="N119" s="38" t="n">
        <f aca="false">ROUND(SUMIFS($J$2:$J$1137,$A$2:$A$1137,A119,$C$2:$C$1137,C119),9)</f>
        <v>1</v>
      </c>
    </row>
    <row r="120" customFormat="false" ht="15" hidden="false" customHeight="true" outlineLevel="0" collapsed="false">
      <c r="A120" s="38" t="n">
        <v>8</v>
      </c>
      <c r="B120" s="38" t="s">
        <v>626</v>
      </c>
      <c r="C120" s="38" t="s">
        <v>170</v>
      </c>
      <c r="D120" s="38" t="s">
        <v>169</v>
      </c>
      <c r="E120" s="38" t="str">
        <f aca="false">A120&amp;"|"&amp;C120&amp;"|"&amp;D120</f>
        <v>8|C|G</v>
      </c>
      <c r="F120" s="43" t="n">
        <v>0</v>
      </c>
      <c r="G120" s="38" t="n">
        <f aca="false">SUMIFS($F$2:$F$1137,$A$2:$A$1137,A120,$C$2:$C$1137,C120)</f>
        <v>0</v>
      </c>
      <c r="H120" s="43" t="n">
        <v>1</v>
      </c>
      <c r="I120" s="45" t="str">
        <f aca="false">IF(G120=0,"",F120/G120)</f>
        <v/>
      </c>
      <c r="J120" s="45" t="n">
        <f aca="false">K120/L120</f>
        <v>0.25</v>
      </c>
      <c r="K120" s="38" t="n">
        <f aca="false">F120+H120</f>
        <v>1</v>
      </c>
      <c r="L120" s="38" t="n">
        <f aca="false">G120+4*H120</f>
        <v>4</v>
      </c>
      <c r="M120" s="38" t="s">
        <v>619</v>
      </c>
      <c r="N120" s="38" t="n">
        <f aca="false">ROUND(SUMIFS($J$2:$J$1137,$A$2:$A$1137,A120,$C$2:$C$1137,C120),9)</f>
        <v>1</v>
      </c>
    </row>
    <row r="121" customFormat="false" ht="15" hidden="false" customHeight="true" outlineLevel="0" collapsed="false">
      <c r="A121" s="38" t="n">
        <v>8</v>
      </c>
      <c r="B121" s="38" t="s">
        <v>626</v>
      </c>
      <c r="C121" s="38" t="s">
        <v>170</v>
      </c>
      <c r="D121" s="38" t="s">
        <v>171</v>
      </c>
      <c r="E121" s="38" t="str">
        <f aca="false">A121&amp;"|"&amp;C121&amp;"|"&amp;D121</f>
        <v>8|C|U</v>
      </c>
      <c r="F121" s="43" t="n">
        <v>0</v>
      </c>
      <c r="G121" s="38" t="n">
        <f aca="false">SUMIFS($F$2:$F$1137,$A$2:$A$1137,A121,$C$2:$C$1137,C121)</f>
        <v>0</v>
      </c>
      <c r="H121" s="43" t="n">
        <v>1</v>
      </c>
      <c r="I121" s="45" t="str">
        <f aca="false">IF(G121=0,"",F121/G121)</f>
        <v/>
      </c>
      <c r="J121" s="45" t="n">
        <f aca="false">K121/L121</f>
        <v>0.25</v>
      </c>
      <c r="K121" s="38" t="n">
        <f aca="false">F121+H121</f>
        <v>1</v>
      </c>
      <c r="L121" s="38" t="n">
        <f aca="false">G121+4*H121</f>
        <v>4</v>
      </c>
      <c r="M121" s="38" t="s">
        <v>619</v>
      </c>
      <c r="N121" s="38" t="n">
        <f aca="false">ROUND(SUMIFS($J$2:$J$1137,$A$2:$A$1137,A121,$C$2:$C$1137,C121),9)</f>
        <v>1</v>
      </c>
    </row>
    <row r="122" customFormat="false" ht="15" hidden="false" customHeight="true" outlineLevel="0" collapsed="false">
      <c r="A122" s="38" t="n">
        <v>8</v>
      </c>
      <c r="B122" s="38" t="s">
        <v>626</v>
      </c>
      <c r="C122" s="38" t="s">
        <v>169</v>
      </c>
      <c r="D122" s="38" t="s">
        <v>172</v>
      </c>
      <c r="E122" s="38" t="str">
        <f aca="false">A122&amp;"|"&amp;C122&amp;"|"&amp;D122</f>
        <v>8|G|A</v>
      </c>
      <c r="F122" s="43" t="n">
        <v>0</v>
      </c>
      <c r="G122" s="38" t="n">
        <f aca="false">SUMIFS($F$2:$F$1137,$A$2:$A$1137,A122,$C$2:$C$1137,C122)</f>
        <v>1</v>
      </c>
      <c r="H122" s="43" t="n">
        <v>1</v>
      </c>
      <c r="I122" s="45" t="n">
        <f aca="false">IF(G122=0,"",F122/G122)</f>
        <v>0</v>
      </c>
      <c r="J122" s="45" t="n">
        <f aca="false">K122/L122</f>
        <v>0.2</v>
      </c>
      <c r="K122" s="38" t="n">
        <f aca="false">F122+H122</f>
        <v>1</v>
      </c>
      <c r="L122" s="38" t="n">
        <f aca="false">G122+4*H122</f>
        <v>5</v>
      </c>
      <c r="M122" s="38" t="s">
        <v>619</v>
      </c>
      <c r="N122" s="38" t="n">
        <f aca="false">ROUND(SUMIFS($J$2:$J$1137,$A$2:$A$1137,A122,$C$2:$C$1137,C122),9)</f>
        <v>1</v>
      </c>
    </row>
    <row r="123" customFormat="false" ht="15" hidden="false" customHeight="true" outlineLevel="0" collapsed="false">
      <c r="A123" s="38" t="n">
        <v>8</v>
      </c>
      <c r="B123" s="38" t="s">
        <v>626</v>
      </c>
      <c r="C123" s="38" t="s">
        <v>169</v>
      </c>
      <c r="D123" s="38" t="s">
        <v>170</v>
      </c>
      <c r="E123" s="38" t="str">
        <f aca="false">A123&amp;"|"&amp;C123&amp;"|"&amp;D123</f>
        <v>8|G|C</v>
      </c>
      <c r="F123" s="43" t="n">
        <v>1</v>
      </c>
      <c r="G123" s="38" t="n">
        <f aca="false">SUMIFS($F$2:$F$1137,$A$2:$A$1137,A123,$C$2:$C$1137,C123)</f>
        <v>1</v>
      </c>
      <c r="H123" s="43" t="n">
        <v>1</v>
      </c>
      <c r="I123" s="45" t="n">
        <f aca="false">IF(G123=0,"",F123/G123)</f>
        <v>1</v>
      </c>
      <c r="J123" s="45" t="n">
        <f aca="false">K123/L123</f>
        <v>0.4</v>
      </c>
      <c r="K123" s="38" t="n">
        <f aca="false">F123+H123</f>
        <v>2</v>
      </c>
      <c r="L123" s="38" t="n">
        <f aca="false">G123+4*H123</f>
        <v>5</v>
      </c>
      <c r="M123" s="38" t="s">
        <v>619</v>
      </c>
      <c r="N123" s="38" t="n">
        <f aca="false">ROUND(SUMIFS($J$2:$J$1137,$A$2:$A$1137,A123,$C$2:$C$1137,C123),9)</f>
        <v>1</v>
      </c>
    </row>
    <row r="124" customFormat="false" ht="15" hidden="false" customHeight="true" outlineLevel="0" collapsed="false">
      <c r="A124" s="38" t="n">
        <v>8</v>
      </c>
      <c r="B124" s="38" t="s">
        <v>626</v>
      </c>
      <c r="C124" s="38" t="s">
        <v>169</v>
      </c>
      <c r="D124" s="38" t="s">
        <v>169</v>
      </c>
      <c r="E124" s="38" t="str">
        <f aca="false">A124&amp;"|"&amp;C124&amp;"|"&amp;D124</f>
        <v>8|G|G</v>
      </c>
      <c r="F124" s="43" t="n">
        <v>0</v>
      </c>
      <c r="G124" s="38" t="n">
        <f aca="false">SUMIFS($F$2:$F$1137,$A$2:$A$1137,A124,$C$2:$C$1137,C124)</f>
        <v>1</v>
      </c>
      <c r="H124" s="43" t="n">
        <v>1</v>
      </c>
      <c r="I124" s="45" t="n">
        <f aca="false">IF(G124=0,"",F124/G124)</f>
        <v>0</v>
      </c>
      <c r="J124" s="45" t="n">
        <f aca="false">K124/L124</f>
        <v>0.2</v>
      </c>
      <c r="K124" s="38" t="n">
        <f aca="false">F124+H124</f>
        <v>1</v>
      </c>
      <c r="L124" s="38" t="n">
        <f aca="false">G124+4*H124</f>
        <v>5</v>
      </c>
      <c r="M124" s="38" t="s">
        <v>619</v>
      </c>
      <c r="N124" s="38" t="n">
        <f aca="false">ROUND(SUMIFS($J$2:$J$1137,$A$2:$A$1137,A124,$C$2:$C$1137,C124),9)</f>
        <v>1</v>
      </c>
    </row>
    <row r="125" customFormat="false" ht="15" hidden="false" customHeight="true" outlineLevel="0" collapsed="false">
      <c r="A125" s="38" t="n">
        <v>8</v>
      </c>
      <c r="B125" s="38" t="s">
        <v>626</v>
      </c>
      <c r="C125" s="38" t="s">
        <v>169</v>
      </c>
      <c r="D125" s="38" t="s">
        <v>171</v>
      </c>
      <c r="E125" s="38" t="str">
        <f aca="false">A125&amp;"|"&amp;C125&amp;"|"&amp;D125</f>
        <v>8|G|U</v>
      </c>
      <c r="F125" s="43" t="n">
        <v>0</v>
      </c>
      <c r="G125" s="38" t="n">
        <f aca="false">SUMIFS($F$2:$F$1137,$A$2:$A$1137,A125,$C$2:$C$1137,C125)</f>
        <v>1</v>
      </c>
      <c r="H125" s="43" t="n">
        <v>1</v>
      </c>
      <c r="I125" s="45" t="n">
        <f aca="false">IF(G125=0,"",F125/G125)</f>
        <v>0</v>
      </c>
      <c r="J125" s="45" t="n">
        <f aca="false">K125/L125</f>
        <v>0.2</v>
      </c>
      <c r="K125" s="38" t="n">
        <f aca="false">F125+H125</f>
        <v>1</v>
      </c>
      <c r="L125" s="38" t="n">
        <f aca="false">G125+4*H125</f>
        <v>5</v>
      </c>
      <c r="M125" s="38" t="s">
        <v>619</v>
      </c>
      <c r="N125" s="38" t="n">
        <f aca="false">ROUND(SUMIFS($J$2:$J$1137,$A$2:$A$1137,A125,$C$2:$C$1137,C125),9)</f>
        <v>1</v>
      </c>
    </row>
    <row r="126" customFormat="false" ht="15" hidden="false" customHeight="true" outlineLevel="0" collapsed="false">
      <c r="A126" s="38" t="n">
        <v>8</v>
      </c>
      <c r="B126" s="38" t="s">
        <v>626</v>
      </c>
      <c r="C126" s="38" t="s">
        <v>171</v>
      </c>
      <c r="D126" s="38" t="s">
        <v>172</v>
      </c>
      <c r="E126" s="38" t="str">
        <f aca="false">A126&amp;"|"&amp;C126&amp;"|"&amp;D126</f>
        <v>8|U|A</v>
      </c>
      <c r="F126" s="43" t="n">
        <v>129</v>
      </c>
      <c r="G126" s="38" t="n">
        <f aca="false">SUMIFS($F$2:$F$1137,$A$2:$A$1137,A126,$C$2:$C$1137,C126)</f>
        <v>196</v>
      </c>
      <c r="H126" s="43" t="n">
        <v>1</v>
      </c>
      <c r="I126" s="45" t="n">
        <f aca="false">IF(G126=0,"",F126/G126)</f>
        <v>0.658163265306123</v>
      </c>
      <c r="J126" s="45" t="n">
        <f aca="false">K126/L126</f>
        <v>0.65</v>
      </c>
      <c r="K126" s="38" t="n">
        <f aca="false">F126+H126</f>
        <v>130</v>
      </c>
      <c r="L126" s="38" t="n">
        <f aca="false">G126+4*H126</f>
        <v>200</v>
      </c>
      <c r="M126" s="38" t="s">
        <v>619</v>
      </c>
      <c r="N126" s="38" t="n">
        <f aca="false">ROUND(SUMIFS($J$2:$J$1137,$A$2:$A$1137,A126,$C$2:$C$1137,C126),9)</f>
        <v>1</v>
      </c>
    </row>
    <row r="127" customFormat="false" ht="15" hidden="false" customHeight="true" outlineLevel="0" collapsed="false">
      <c r="A127" s="38" t="n">
        <v>8</v>
      </c>
      <c r="B127" s="38" t="s">
        <v>626</v>
      </c>
      <c r="C127" s="38" t="s">
        <v>171</v>
      </c>
      <c r="D127" s="38" t="s">
        <v>170</v>
      </c>
      <c r="E127" s="38" t="str">
        <f aca="false">A127&amp;"|"&amp;C127&amp;"|"&amp;D127</f>
        <v>8|U|C</v>
      </c>
      <c r="F127" s="43" t="n">
        <v>6</v>
      </c>
      <c r="G127" s="38" t="n">
        <f aca="false">SUMIFS($F$2:$F$1137,$A$2:$A$1137,A127,$C$2:$C$1137,C127)</f>
        <v>196</v>
      </c>
      <c r="H127" s="43" t="n">
        <v>1</v>
      </c>
      <c r="I127" s="45" t="n">
        <f aca="false">IF(G127=0,"",F127/G127)</f>
        <v>0.0306122448979592</v>
      </c>
      <c r="J127" s="45" t="n">
        <f aca="false">K127/L127</f>
        <v>0.035</v>
      </c>
      <c r="K127" s="38" t="n">
        <f aca="false">F127+H127</f>
        <v>7</v>
      </c>
      <c r="L127" s="38" t="n">
        <f aca="false">G127+4*H127</f>
        <v>200</v>
      </c>
      <c r="M127" s="38" t="s">
        <v>619</v>
      </c>
      <c r="N127" s="38" t="n">
        <f aca="false">ROUND(SUMIFS($J$2:$J$1137,$A$2:$A$1137,A127,$C$2:$C$1137,C127),9)</f>
        <v>1</v>
      </c>
    </row>
    <row r="128" customFormat="false" ht="15" hidden="false" customHeight="true" outlineLevel="0" collapsed="false">
      <c r="A128" s="38" t="n">
        <v>8</v>
      </c>
      <c r="B128" s="38" t="s">
        <v>626</v>
      </c>
      <c r="C128" s="38" t="s">
        <v>171</v>
      </c>
      <c r="D128" s="38" t="s">
        <v>169</v>
      </c>
      <c r="E128" s="38" t="str">
        <f aca="false">A128&amp;"|"&amp;C128&amp;"|"&amp;D128</f>
        <v>8|U|G</v>
      </c>
      <c r="F128" s="43" t="n">
        <v>61</v>
      </c>
      <c r="G128" s="38" t="n">
        <f aca="false">SUMIFS($F$2:$F$1137,$A$2:$A$1137,A128,$C$2:$C$1137,C128)</f>
        <v>196</v>
      </c>
      <c r="H128" s="43" t="n">
        <v>1</v>
      </c>
      <c r="I128" s="45" t="n">
        <f aca="false">IF(G128=0,"",F128/G128)</f>
        <v>0.311224489795918</v>
      </c>
      <c r="J128" s="45" t="n">
        <f aca="false">K128/L128</f>
        <v>0.31</v>
      </c>
      <c r="K128" s="38" t="n">
        <f aca="false">F128+H128</f>
        <v>62</v>
      </c>
      <c r="L128" s="38" t="n">
        <f aca="false">G128+4*H128</f>
        <v>200</v>
      </c>
      <c r="M128" s="38" t="s">
        <v>619</v>
      </c>
      <c r="N128" s="38" t="n">
        <f aca="false">ROUND(SUMIFS($J$2:$J$1137,$A$2:$A$1137,A128,$C$2:$C$1137,C128),9)</f>
        <v>1</v>
      </c>
    </row>
    <row r="129" customFormat="false" ht="15" hidden="false" customHeight="true" outlineLevel="0" collapsed="false">
      <c r="A129" s="38" t="n">
        <v>8</v>
      </c>
      <c r="B129" s="38" t="s">
        <v>626</v>
      </c>
      <c r="C129" s="38" t="s">
        <v>171</v>
      </c>
      <c r="D129" s="38" t="s">
        <v>171</v>
      </c>
      <c r="E129" s="38" t="str">
        <f aca="false">A129&amp;"|"&amp;C129&amp;"|"&amp;D129</f>
        <v>8|U|U</v>
      </c>
      <c r="F129" s="43" t="n">
        <v>0</v>
      </c>
      <c r="G129" s="38" t="n">
        <f aca="false">SUMIFS($F$2:$F$1137,$A$2:$A$1137,A129,$C$2:$C$1137,C129)</f>
        <v>196</v>
      </c>
      <c r="H129" s="43" t="n">
        <v>1</v>
      </c>
      <c r="I129" s="45" t="n">
        <f aca="false">IF(G129=0,"",F129/G129)</f>
        <v>0</v>
      </c>
      <c r="J129" s="45" t="n">
        <f aca="false">K129/L129</f>
        <v>0.005</v>
      </c>
      <c r="K129" s="38" t="n">
        <f aca="false">F129+H129</f>
        <v>1</v>
      </c>
      <c r="L129" s="38" t="n">
        <f aca="false">G129+4*H129</f>
        <v>200</v>
      </c>
      <c r="M129" s="38" t="s">
        <v>619</v>
      </c>
      <c r="N129" s="38" t="n">
        <f aca="false">ROUND(SUMIFS($J$2:$J$1137,$A$2:$A$1137,A129,$C$2:$C$1137,C129),9)</f>
        <v>1</v>
      </c>
    </row>
    <row r="130" customFormat="false" ht="15" hidden="false" customHeight="true" outlineLevel="0" collapsed="false">
      <c r="A130" s="38" t="n">
        <v>9</v>
      </c>
      <c r="B130" s="38" t="s">
        <v>627</v>
      </c>
      <c r="C130" s="38" t="s">
        <v>172</v>
      </c>
      <c r="D130" s="38" t="s">
        <v>172</v>
      </c>
      <c r="E130" s="38" t="str">
        <f aca="false">A130&amp;"|"&amp;C130&amp;"|"&amp;D130</f>
        <v>9|A|A</v>
      </c>
      <c r="F130" s="43" t="n">
        <v>0</v>
      </c>
      <c r="G130" s="38" t="n">
        <f aca="false">SUMIFS($F$2:$F$1137,$A$2:$A$1137,A130,$C$2:$C$1137,C130)</f>
        <v>130</v>
      </c>
      <c r="H130" s="43" t="n">
        <v>1</v>
      </c>
      <c r="I130" s="45" t="n">
        <f aca="false">IF(G130=0,"",F130/G130)</f>
        <v>0</v>
      </c>
      <c r="J130" s="45" t="n">
        <f aca="false">K130/L130</f>
        <v>0.00746268656716418</v>
      </c>
      <c r="K130" s="38" t="n">
        <f aca="false">F130+H130</f>
        <v>1</v>
      </c>
      <c r="L130" s="38" t="n">
        <f aca="false">G130+4*H130</f>
        <v>134</v>
      </c>
      <c r="M130" s="38" t="s">
        <v>619</v>
      </c>
      <c r="N130" s="38" t="n">
        <f aca="false">ROUND(SUMIFS($J$2:$J$1137,$A$2:$A$1137,A130,$C$2:$C$1137,C130),9)</f>
        <v>1</v>
      </c>
    </row>
    <row r="131" customFormat="false" ht="15" hidden="false" customHeight="true" outlineLevel="0" collapsed="false">
      <c r="A131" s="38" t="n">
        <v>9</v>
      </c>
      <c r="B131" s="38" t="s">
        <v>627</v>
      </c>
      <c r="C131" s="38" t="s">
        <v>172</v>
      </c>
      <c r="D131" s="38" t="s">
        <v>170</v>
      </c>
      <c r="E131" s="38" t="str">
        <f aca="false">A131&amp;"|"&amp;C131&amp;"|"&amp;D131</f>
        <v>9|A|C</v>
      </c>
      <c r="F131" s="43" t="n">
        <v>2</v>
      </c>
      <c r="G131" s="38" t="n">
        <f aca="false">SUMIFS($F$2:$F$1137,$A$2:$A$1137,A131,$C$2:$C$1137,C131)</f>
        <v>130</v>
      </c>
      <c r="H131" s="43" t="n">
        <v>1</v>
      </c>
      <c r="I131" s="45" t="n">
        <f aca="false">IF(G131=0,"",F131/G131)</f>
        <v>0.0153846153846154</v>
      </c>
      <c r="J131" s="45" t="n">
        <f aca="false">K131/L131</f>
        <v>0.0223880597014925</v>
      </c>
      <c r="K131" s="38" t="n">
        <f aca="false">F131+H131</f>
        <v>3</v>
      </c>
      <c r="L131" s="38" t="n">
        <f aca="false">G131+4*H131</f>
        <v>134</v>
      </c>
      <c r="M131" s="38" t="s">
        <v>619</v>
      </c>
      <c r="N131" s="38" t="n">
        <f aca="false">ROUND(SUMIFS($J$2:$J$1137,$A$2:$A$1137,A131,$C$2:$C$1137,C131),9)</f>
        <v>1</v>
      </c>
    </row>
    <row r="132" customFormat="false" ht="15" hidden="false" customHeight="true" outlineLevel="0" collapsed="false">
      <c r="A132" s="38" t="n">
        <v>9</v>
      </c>
      <c r="B132" s="38" t="s">
        <v>627</v>
      </c>
      <c r="C132" s="38" t="s">
        <v>172</v>
      </c>
      <c r="D132" s="38" t="s">
        <v>169</v>
      </c>
      <c r="E132" s="38" t="str">
        <f aca="false">A132&amp;"|"&amp;C132&amp;"|"&amp;D132</f>
        <v>9|A|G</v>
      </c>
      <c r="F132" s="43" t="n">
        <v>128</v>
      </c>
      <c r="G132" s="38" t="n">
        <f aca="false">SUMIFS($F$2:$F$1137,$A$2:$A$1137,A132,$C$2:$C$1137,C132)</f>
        <v>130</v>
      </c>
      <c r="H132" s="43" t="n">
        <v>1</v>
      </c>
      <c r="I132" s="45" t="n">
        <f aca="false">IF(G132=0,"",F132/G132)</f>
        <v>0.984615384615385</v>
      </c>
      <c r="J132" s="45" t="n">
        <f aca="false">K132/L132</f>
        <v>0.962686567164179</v>
      </c>
      <c r="K132" s="38" t="n">
        <f aca="false">F132+H132</f>
        <v>129</v>
      </c>
      <c r="L132" s="38" t="n">
        <f aca="false">G132+4*H132</f>
        <v>134</v>
      </c>
      <c r="M132" s="38" t="s">
        <v>619</v>
      </c>
      <c r="N132" s="38" t="n">
        <f aca="false">ROUND(SUMIFS($J$2:$J$1137,$A$2:$A$1137,A132,$C$2:$C$1137,C132),9)</f>
        <v>1</v>
      </c>
    </row>
    <row r="133" customFormat="false" ht="15" hidden="false" customHeight="true" outlineLevel="0" collapsed="false">
      <c r="A133" s="38" t="n">
        <v>9</v>
      </c>
      <c r="B133" s="38" t="s">
        <v>627</v>
      </c>
      <c r="C133" s="38" t="s">
        <v>172</v>
      </c>
      <c r="D133" s="38" t="s">
        <v>171</v>
      </c>
      <c r="E133" s="38" t="str">
        <f aca="false">A133&amp;"|"&amp;C133&amp;"|"&amp;D133</f>
        <v>9|A|U</v>
      </c>
      <c r="F133" s="43" t="n">
        <v>0</v>
      </c>
      <c r="G133" s="38" t="n">
        <f aca="false">SUMIFS($F$2:$F$1137,$A$2:$A$1137,A133,$C$2:$C$1137,C133)</f>
        <v>130</v>
      </c>
      <c r="H133" s="43" t="n">
        <v>1</v>
      </c>
      <c r="I133" s="45" t="n">
        <f aca="false">IF(G133=0,"",F133/G133)</f>
        <v>0</v>
      </c>
      <c r="J133" s="45" t="n">
        <f aca="false">K133/L133</f>
        <v>0.00746268656716418</v>
      </c>
      <c r="K133" s="38" t="n">
        <f aca="false">F133+H133</f>
        <v>1</v>
      </c>
      <c r="L133" s="38" t="n">
        <f aca="false">G133+4*H133</f>
        <v>134</v>
      </c>
      <c r="M133" s="38" t="s">
        <v>619</v>
      </c>
      <c r="N133" s="38" t="n">
        <f aca="false">ROUND(SUMIFS($J$2:$J$1137,$A$2:$A$1137,A133,$C$2:$C$1137,C133),9)</f>
        <v>1</v>
      </c>
    </row>
    <row r="134" customFormat="false" ht="15" hidden="false" customHeight="true" outlineLevel="0" collapsed="false">
      <c r="A134" s="38" t="n">
        <v>9</v>
      </c>
      <c r="B134" s="38" t="s">
        <v>627</v>
      </c>
      <c r="C134" s="38" t="s">
        <v>170</v>
      </c>
      <c r="D134" s="38" t="s">
        <v>172</v>
      </c>
      <c r="E134" s="38" t="str">
        <f aca="false">A134&amp;"|"&amp;C134&amp;"|"&amp;D134</f>
        <v>9|C|A</v>
      </c>
      <c r="F134" s="43" t="n">
        <v>0</v>
      </c>
      <c r="G134" s="38" t="n">
        <f aca="false">SUMIFS($F$2:$F$1137,$A$2:$A$1137,A134,$C$2:$C$1137,C134)</f>
        <v>7</v>
      </c>
      <c r="H134" s="43" t="n">
        <v>1</v>
      </c>
      <c r="I134" s="45" t="n">
        <f aca="false">IF(G134=0,"",F134/G134)</f>
        <v>0</v>
      </c>
      <c r="J134" s="45" t="n">
        <f aca="false">K134/L134</f>
        <v>0.0909090909090909</v>
      </c>
      <c r="K134" s="38" t="n">
        <f aca="false">F134+H134</f>
        <v>1</v>
      </c>
      <c r="L134" s="38" t="n">
        <f aca="false">G134+4*H134</f>
        <v>11</v>
      </c>
      <c r="M134" s="38" t="s">
        <v>619</v>
      </c>
      <c r="N134" s="38" t="n">
        <f aca="false">ROUND(SUMIFS($J$2:$J$1137,$A$2:$A$1137,A134,$C$2:$C$1137,C134),9)</f>
        <v>1</v>
      </c>
    </row>
    <row r="135" customFormat="false" ht="15" hidden="false" customHeight="true" outlineLevel="0" collapsed="false">
      <c r="A135" s="38" t="n">
        <v>9</v>
      </c>
      <c r="B135" s="38" t="s">
        <v>627</v>
      </c>
      <c r="C135" s="38" t="s">
        <v>170</v>
      </c>
      <c r="D135" s="38" t="s">
        <v>170</v>
      </c>
      <c r="E135" s="38" t="str">
        <f aca="false">A135&amp;"|"&amp;C135&amp;"|"&amp;D135</f>
        <v>9|C|C</v>
      </c>
      <c r="F135" s="43" t="n">
        <v>0</v>
      </c>
      <c r="G135" s="38" t="n">
        <f aca="false">SUMIFS($F$2:$F$1137,$A$2:$A$1137,A135,$C$2:$C$1137,C135)</f>
        <v>7</v>
      </c>
      <c r="H135" s="43" t="n">
        <v>1</v>
      </c>
      <c r="I135" s="45" t="n">
        <f aca="false">IF(G135=0,"",F135/G135)</f>
        <v>0</v>
      </c>
      <c r="J135" s="45" t="n">
        <f aca="false">K135/L135</f>
        <v>0.0909090909090909</v>
      </c>
      <c r="K135" s="38" t="n">
        <f aca="false">F135+H135</f>
        <v>1</v>
      </c>
      <c r="L135" s="38" t="n">
        <f aca="false">G135+4*H135</f>
        <v>11</v>
      </c>
      <c r="M135" s="38" t="s">
        <v>619</v>
      </c>
      <c r="N135" s="38" t="n">
        <f aca="false">ROUND(SUMIFS($J$2:$J$1137,$A$2:$A$1137,A135,$C$2:$C$1137,C135),9)</f>
        <v>1</v>
      </c>
    </row>
    <row r="136" customFormat="false" ht="15" hidden="false" customHeight="true" outlineLevel="0" collapsed="false">
      <c r="A136" s="38" t="n">
        <v>9</v>
      </c>
      <c r="B136" s="38" t="s">
        <v>627</v>
      </c>
      <c r="C136" s="38" t="s">
        <v>170</v>
      </c>
      <c r="D136" s="38" t="s">
        <v>169</v>
      </c>
      <c r="E136" s="38" t="str">
        <f aca="false">A136&amp;"|"&amp;C136&amp;"|"&amp;D136</f>
        <v>9|C|G</v>
      </c>
      <c r="F136" s="43" t="n">
        <v>7</v>
      </c>
      <c r="G136" s="38" t="n">
        <f aca="false">SUMIFS($F$2:$F$1137,$A$2:$A$1137,A136,$C$2:$C$1137,C136)</f>
        <v>7</v>
      </c>
      <c r="H136" s="43" t="n">
        <v>1</v>
      </c>
      <c r="I136" s="45" t="n">
        <f aca="false">IF(G136=0,"",F136/G136)</f>
        <v>1</v>
      </c>
      <c r="J136" s="45" t="n">
        <f aca="false">K136/L136</f>
        <v>0.727272727272727</v>
      </c>
      <c r="K136" s="38" t="n">
        <f aca="false">F136+H136</f>
        <v>8</v>
      </c>
      <c r="L136" s="38" t="n">
        <f aca="false">G136+4*H136</f>
        <v>11</v>
      </c>
      <c r="M136" s="38" t="s">
        <v>619</v>
      </c>
      <c r="N136" s="38" t="n">
        <f aca="false">ROUND(SUMIFS($J$2:$J$1137,$A$2:$A$1137,A136,$C$2:$C$1137,C136),9)</f>
        <v>1</v>
      </c>
    </row>
    <row r="137" customFormat="false" ht="15" hidden="false" customHeight="true" outlineLevel="0" collapsed="false">
      <c r="A137" s="38" t="n">
        <v>9</v>
      </c>
      <c r="B137" s="38" t="s">
        <v>627</v>
      </c>
      <c r="C137" s="38" t="s">
        <v>170</v>
      </c>
      <c r="D137" s="38" t="s">
        <v>171</v>
      </c>
      <c r="E137" s="38" t="str">
        <f aca="false">A137&amp;"|"&amp;C137&amp;"|"&amp;D137</f>
        <v>9|C|U</v>
      </c>
      <c r="F137" s="43" t="n">
        <v>0</v>
      </c>
      <c r="G137" s="38" t="n">
        <f aca="false">SUMIFS($F$2:$F$1137,$A$2:$A$1137,A137,$C$2:$C$1137,C137)</f>
        <v>7</v>
      </c>
      <c r="H137" s="43" t="n">
        <v>1</v>
      </c>
      <c r="I137" s="45" t="n">
        <f aca="false">IF(G137=0,"",F137/G137)</f>
        <v>0</v>
      </c>
      <c r="J137" s="45" t="n">
        <f aca="false">K137/L137</f>
        <v>0.0909090909090909</v>
      </c>
      <c r="K137" s="38" t="n">
        <f aca="false">F137+H137</f>
        <v>1</v>
      </c>
      <c r="L137" s="38" t="n">
        <f aca="false">G137+4*H137</f>
        <v>11</v>
      </c>
      <c r="M137" s="38" t="s">
        <v>619</v>
      </c>
      <c r="N137" s="38" t="n">
        <f aca="false">ROUND(SUMIFS($J$2:$J$1137,$A$2:$A$1137,A137,$C$2:$C$1137,C137),9)</f>
        <v>1</v>
      </c>
    </row>
    <row r="138" customFormat="false" ht="15" hidden="false" customHeight="true" outlineLevel="0" collapsed="false">
      <c r="A138" s="38" t="n">
        <v>9</v>
      </c>
      <c r="B138" s="38" t="s">
        <v>627</v>
      </c>
      <c r="C138" s="38" t="s">
        <v>169</v>
      </c>
      <c r="D138" s="38" t="s">
        <v>172</v>
      </c>
      <c r="E138" s="38" t="str">
        <f aca="false">A138&amp;"|"&amp;C138&amp;"|"&amp;D138</f>
        <v>9|G|A</v>
      </c>
      <c r="F138" s="43" t="n">
        <v>0</v>
      </c>
      <c r="G138" s="38" t="n">
        <f aca="false">SUMIFS($F$2:$F$1137,$A$2:$A$1137,A138,$C$2:$C$1137,C138)</f>
        <v>61</v>
      </c>
      <c r="H138" s="43" t="n">
        <v>1</v>
      </c>
      <c r="I138" s="45" t="n">
        <f aca="false">IF(G138=0,"",F138/G138)</f>
        <v>0</v>
      </c>
      <c r="J138" s="45" t="n">
        <f aca="false">K138/L138</f>
        <v>0.0153846153846154</v>
      </c>
      <c r="K138" s="38" t="n">
        <f aca="false">F138+H138</f>
        <v>1</v>
      </c>
      <c r="L138" s="38" t="n">
        <f aca="false">G138+4*H138</f>
        <v>65</v>
      </c>
      <c r="M138" s="38" t="s">
        <v>619</v>
      </c>
      <c r="N138" s="38" t="n">
        <f aca="false">ROUND(SUMIFS($J$2:$J$1137,$A$2:$A$1137,A138,$C$2:$C$1137,C138),9)</f>
        <v>1</v>
      </c>
    </row>
    <row r="139" customFormat="false" ht="15" hidden="false" customHeight="true" outlineLevel="0" collapsed="false">
      <c r="A139" s="38" t="n">
        <v>9</v>
      </c>
      <c r="B139" s="38" t="s">
        <v>627</v>
      </c>
      <c r="C139" s="38" t="s">
        <v>169</v>
      </c>
      <c r="D139" s="38" t="s">
        <v>170</v>
      </c>
      <c r="E139" s="38" t="str">
        <f aca="false">A139&amp;"|"&amp;C139&amp;"|"&amp;D139</f>
        <v>9|G|C</v>
      </c>
      <c r="F139" s="43" t="n">
        <v>6</v>
      </c>
      <c r="G139" s="38" t="n">
        <f aca="false">SUMIFS($F$2:$F$1137,$A$2:$A$1137,A139,$C$2:$C$1137,C139)</f>
        <v>61</v>
      </c>
      <c r="H139" s="43" t="n">
        <v>1</v>
      </c>
      <c r="I139" s="45" t="n">
        <f aca="false">IF(G139=0,"",F139/G139)</f>
        <v>0.0983606557377049</v>
      </c>
      <c r="J139" s="45" t="n">
        <f aca="false">K139/L139</f>
        <v>0.107692307692308</v>
      </c>
      <c r="K139" s="38" t="n">
        <f aca="false">F139+H139</f>
        <v>7</v>
      </c>
      <c r="L139" s="38" t="n">
        <f aca="false">G139+4*H139</f>
        <v>65</v>
      </c>
      <c r="M139" s="38" t="s">
        <v>619</v>
      </c>
      <c r="N139" s="38" t="n">
        <f aca="false">ROUND(SUMIFS($J$2:$J$1137,$A$2:$A$1137,A139,$C$2:$C$1137,C139),9)</f>
        <v>1</v>
      </c>
    </row>
    <row r="140" customFormat="false" ht="15" hidden="false" customHeight="true" outlineLevel="0" collapsed="false">
      <c r="A140" s="38" t="n">
        <v>9</v>
      </c>
      <c r="B140" s="38" t="s">
        <v>627</v>
      </c>
      <c r="C140" s="38" t="s">
        <v>169</v>
      </c>
      <c r="D140" s="38" t="s">
        <v>169</v>
      </c>
      <c r="E140" s="38" t="str">
        <f aca="false">A140&amp;"|"&amp;C140&amp;"|"&amp;D140</f>
        <v>9|G|G</v>
      </c>
      <c r="F140" s="43" t="n">
        <v>55</v>
      </c>
      <c r="G140" s="38" t="n">
        <f aca="false">SUMIFS($F$2:$F$1137,$A$2:$A$1137,A140,$C$2:$C$1137,C140)</f>
        <v>61</v>
      </c>
      <c r="H140" s="43" t="n">
        <v>1</v>
      </c>
      <c r="I140" s="45" t="n">
        <f aca="false">IF(G140=0,"",F140/G140)</f>
        <v>0.901639344262295</v>
      </c>
      <c r="J140" s="45" t="n">
        <f aca="false">K140/L140</f>
        <v>0.861538461538462</v>
      </c>
      <c r="K140" s="38" t="n">
        <f aca="false">F140+H140</f>
        <v>56</v>
      </c>
      <c r="L140" s="38" t="n">
        <f aca="false">G140+4*H140</f>
        <v>65</v>
      </c>
      <c r="M140" s="38" t="s">
        <v>619</v>
      </c>
      <c r="N140" s="38" t="n">
        <f aca="false">ROUND(SUMIFS($J$2:$J$1137,$A$2:$A$1137,A140,$C$2:$C$1137,C140),9)</f>
        <v>1</v>
      </c>
    </row>
    <row r="141" customFormat="false" ht="15" hidden="false" customHeight="true" outlineLevel="0" collapsed="false">
      <c r="A141" s="38" t="n">
        <v>9</v>
      </c>
      <c r="B141" s="38" t="s">
        <v>627</v>
      </c>
      <c r="C141" s="38" t="s">
        <v>169</v>
      </c>
      <c r="D141" s="38" t="s">
        <v>171</v>
      </c>
      <c r="E141" s="38" t="str">
        <f aca="false">A141&amp;"|"&amp;C141&amp;"|"&amp;D141</f>
        <v>9|G|U</v>
      </c>
      <c r="F141" s="43" t="n">
        <v>0</v>
      </c>
      <c r="G141" s="38" t="n">
        <f aca="false">SUMIFS($F$2:$F$1137,$A$2:$A$1137,A141,$C$2:$C$1137,C141)</f>
        <v>61</v>
      </c>
      <c r="H141" s="43" t="n">
        <v>1</v>
      </c>
      <c r="I141" s="45" t="n">
        <f aca="false">IF(G141=0,"",F141/G141)</f>
        <v>0</v>
      </c>
      <c r="J141" s="45" t="n">
        <f aca="false">K141/L141</f>
        <v>0.0153846153846154</v>
      </c>
      <c r="K141" s="38" t="n">
        <f aca="false">F141+H141</f>
        <v>1</v>
      </c>
      <c r="L141" s="38" t="n">
        <f aca="false">G141+4*H141</f>
        <v>65</v>
      </c>
      <c r="M141" s="38" t="s">
        <v>619</v>
      </c>
      <c r="N141" s="38" t="n">
        <f aca="false">ROUND(SUMIFS($J$2:$J$1137,$A$2:$A$1137,A141,$C$2:$C$1137,C141),9)</f>
        <v>1</v>
      </c>
    </row>
    <row r="142" customFormat="false" ht="15" hidden="false" customHeight="true" outlineLevel="0" collapsed="false">
      <c r="A142" s="38" t="n">
        <v>9</v>
      </c>
      <c r="B142" s="38" t="s">
        <v>627</v>
      </c>
      <c r="C142" s="38" t="s">
        <v>171</v>
      </c>
      <c r="D142" s="38" t="s">
        <v>172</v>
      </c>
      <c r="E142" s="38" t="str">
        <f aca="false">A142&amp;"|"&amp;C142&amp;"|"&amp;D142</f>
        <v>9|U|A</v>
      </c>
      <c r="F142" s="43" t="n">
        <v>0</v>
      </c>
      <c r="G142" s="38" t="n">
        <f aca="false">SUMIFS($F$2:$F$1137,$A$2:$A$1137,A142,$C$2:$C$1137,C142)</f>
        <v>0</v>
      </c>
      <c r="H142" s="43" t="n">
        <v>1</v>
      </c>
      <c r="I142" s="45" t="str">
        <f aca="false">IF(G142=0,"",F142/G142)</f>
        <v/>
      </c>
      <c r="J142" s="45" t="n">
        <f aca="false">K142/L142</f>
        <v>0.25</v>
      </c>
      <c r="K142" s="38" t="n">
        <f aca="false">F142+H142</f>
        <v>1</v>
      </c>
      <c r="L142" s="38" t="n">
        <f aca="false">G142+4*H142</f>
        <v>4</v>
      </c>
      <c r="M142" s="38" t="s">
        <v>619</v>
      </c>
      <c r="N142" s="38" t="n">
        <f aca="false">ROUND(SUMIFS($J$2:$J$1137,$A$2:$A$1137,A142,$C$2:$C$1137,C142),9)</f>
        <v>1</v>
      </c>
    </row>
    <row r="143" customFormat="false" ht="15" hidden="false" customHeight="true" outlineLevel="0" collapsed="false">
      <c r="A143" s="38" t="n">
        <v>9</v>
      </c>
      <c r="B143" s="38" t="s">
        <v>627</v>
      </c>
      <c r="C143" s="38" t="s">
        <v>171</v>
      </c>
      <c r="D143" s="38" t="s">
        <v>170</v>
      </c>
      <c r="E143" s="38" t="str">
        <f aca="false">A143&amp;"|"&amp;C143&amp;"|"&amp;D143</f>
        <v>9|U|C</v>
      </c>
      <c r="F143" s="43" t="n">
        <v>0</v>
      </c>
      <c r="G143" s="38" t="n">
        <f aca="false">SUMIFS($F$2:$F$1137,$A$2:$A$1137,A143,$C$2:$C$1137,C143)</f>
        <v>0</v>
      </c>
      <c r="H143" s="43" t="n">
        <v>1</v>
      </c>
      <c r="I143" s="45" t="str">
        <f aca="false">IF(G143=0,"",F143/G143)</f>
        <v/>
      </c>
      <c r="J143" s="45" t="n">
        <f aca="false">K143/L143</f>
        <v>0.25</v>
      </c>
      <c r="K143" s="38" t="n">
        <f aca="false">F143+H143</f>
        <v>1</v>
      </c>
      <c r="L143" s="38" t="n">
        <f aca="false">G143+4*H143</f>
        <v>4</v>
      </c>
      <c r="M143" s="38" t="s">
        <v>619</v>
      </c>
      <c r="N143" s="38" t="n">
        <f aca="false">ROUND(SUMIFS($J$2:$J$1137,$A$2:$A$1137,A143,$C$2:$C$1137,C143),9)</f>
        <v>1</v>
      </c>
    </row>
    <row r="144" customFormat="false" ht="15" hidden="false" customHeight="true" outlineLevel="0" collapsed="false">
      <c r="A144" s="38" t="n">
        <v>9</v>
      </c>
      <c r="B144" s="38" t="s">
        <v>627</v>
      </c>
      <c r="C144" s="38" t="s">
        <v>171</v>
      </c>
      <c r="D144" s="38" t="s">
        <v>169</v>
      </c>
      <c r="E144" s="38" t="str">
        <f aca="false">A144&amp;"|"&amp;C144&amp;"|"&amp;D144</f>
        <v>9|U|G</v>
      </c>
      <c r="F144" s="43" t="n">
        <v>0</v>
      </c>
      <c r="G144" s="38" t="n">
        <f aca="false">SUMIFS($F$2:$F$1137,$A$2:$A$1137,A144,$C$2:$C$1137,C144)</f>
        <v>0</v>
      </c>
      <c r="H144" s="43" t="n">
        <v>1</v>
      </c>
      <c r="I144" s="45" t="str">
        <f aca="false">IF(G144=0,"",F144/G144)</f>
        <v/>
      </c>
      <c r="J144" s="45" t="n">
        <f aca="false">K144/L144</f>
        <v>0.25</v>
      </c>
      <c r="K144" s="38" t="n">
        <f aca="false">F144+H144</f>
        <v>1</v>
      </c>
      <c r="L144" s="38" t="n">
        <f aca="false">G144+4*H144</f>
        <v>4</v>
      </c>
      <c r="M144" s="38" t="s">
        <v>619</v>
      </c>
      <c r="N144" s="38" t="n">
        <f aca="false">ROUND(SUMIFS($J$2:$J$1137,$A$2:$A$1137,A144,$C$2:$C$1137,C144),9)</f>
        <v>1</v>
      </c>
    </row>
    <row r="145" customFormat="false" ht="15" hidden="false" customHeight="true" outlineLevel="0" collapsed="false">
      <c r="A145" s="38" t="n">
        <v>9</v>
      </c>
      <c r="B145" s="38" t="s">
        <v>627</v>
      </c>
      <c r="C145" s="38" t="s">
        <v>171</v>
      </c>
      <c r="D145" s="38" t="s">
        <v>171</v>
      </c>
      <c r="E145" s="38" t="str">
        <f aca="false">A145&amp;"|"&amp;C145&amp;"|"&amp;D145</f>
        <v>9|U|U</v>
      </c>
      <c r="F145" s="43" t="n">
        <v>0</v>
      </c>
      <c r="G145" s="38" t="n">
        <f aca="false">SUMIFS($F$2:$F$1137,$A$2:$A$1137,A145,$C$2:$C$1137,C145)</f>
        <v>0</v>
      </c>
      <c r="H145" s="43" t="n">
        <v>1</v>
      </c>
      <c r="I145" s="45" t="str">
        <f aca="false">IF(G145=0,"",F145/G145)</f>
        <v/>
      </c>
      <c r="J145" s="45" t="n">
        <f aca="false">K145/L145</f>
        <v>0.25</v>
      </c>
      <c r="K145" s="38" t="n">
        <f aca="false">F145+H145</f>
        <v>1</v>
      </c>
      <c r="L145" s="38" t="n">
        <f aca="false">G145+4*H145</f>
        <v>4</v>
      </c>
      <c r="M145" s="38" t="s">
        <v>619</v>
      </c>
      <c r="N145" s="38" t="n">
        <f aca="false">ROUND(SUMIFS($J$2:$J$1137,$A$2:$A$1137,A145,$C$2:$C$1137,C145),9)</f>
        <v>1</v>
      </c>
    </row>
    <row r="146" customFormat="false" ht="15" hidden="false" customHeight="true" outlineLevel="0" collapsed="false">
      <c r="A146" s="38" t="n">
        <v>10</v>
      </c>
      <c r="B146" s="38" t="s">
        <v>628</v>
      </c>
      <c r="C146" s="38" t="s">
        <v>172</v>
      </c>
      <c r="D146" s="38" t="s">
        <v>172</v>
      </c>
      <c r="E146" s="38" t="str">
        <f aca="false">A146&amp;"|"&amp;C146&amp;"|"&amp;D146</f>
        <v>10|A|A</v>
      </c>
      <c r="F146" s="43" t="n">
        <v>0</v>
      </c>
      <c r="G146" s="38" t="n">
        <f aca="false">SUMIFS($F$2:$F$1137,$A$2:$A$1137,A146,$C$2:$C$1137,C146)</f>
        <v>0</v>
      </c>
      <c r="H146" s="43" t="n">
        <v>1</v>
      </c>
      <c r="I146" s="45" t="str">
        <f aca="false">IF(G146=0,"",F146/G146)</f>
        <v/>
      </c>
      <c r="J146" s="45" t="n">
        <f aca="false">K146/L146</f>
        <v>0.25</v>
      </c>
      <c r="K146" s="38" t="n">
        <f aca="false">F146+H146</f>
        <v>1</v>
      </c>
      <c r="L146" s="38" t="n">
        <f aca="false">G146+4*H146</f>
        <v>4</v>
      </c>
      <c r="M146" s="38" t="s">
        <v>619</v>
      </c>
      <c r="N146" s="38" t="n">
        <f aca="false">ROUND(SUMIFS($J$2:$J$1137,$A$2:$A$1137,A146,$C$2:$C$1137,C146),9)</f>
        <v>1</v>
      </c>
    </row>
    <row r="147" customFormat="false" ht="15" hidden="false" customHeight="true" outlineLevel="0" collapsed="false">
      <c r="A147" s="38" t="n">
        <v>10</v>
      </c>
      <c r="B147" s="38" t="s">
        <v>628</v>
      </c>
      <c r="C147" s="38" t="s">
        <v>172</v>
      </c>
      <c r="D147" s="38" t="s">
        <v>170</v>
      </c>
      <c r="E147" s="38" t="str">
        <f aca="false">A147&amp;"|"&amp;C147&amp;"|"&amp;D147</f>
        <v>10|A|C</v>
      </c>
      <c r="F147" s="43" t="n">
        <v>0</v>
      </c>
      <c r="G147" s="38" t="n">
        <f aca="false">SUMIFS($F$2:$F$1137,$A$2:$A$1137,A147,$C$2:$C$1137,C147)</f>
        <v>0</v>
      </c>
      <c r="H147" s="43" t="n">
        <v>1</v>
      </c>
      <c r="I147" s="45" t="str">
        <f aca="false">IF(G147=0,"",F147/G147)</f>
        <v/>
      </c>
      <c r="J147" s="45" t="n">
        <f aca="false">K147/L147</f>
        <v>0.25</v>
      </c>
      <c r="K147" s="38" t="n">
        <f aca="false">F147+H147</f>
        <v>1</v>
      </c>
      <c r="L147" s="38" t="n">
        <f aca="false">G147+4*H147</f>
        <v>4</v>
      </c>
      <c r="M147" s="38" t="s">
        <v>619</v>
      </c>
      <c r="N147" s="38" t="n">
        <f aca="false">ROUND(SUMIFS($J$2:$J$1137,$A$2:$A$1137,A147,$C$2:$C$1137,C147),9)</f>
        <v>1</v>
      </c>
    </row>
    <row r="148" customFormat="false" ht="15" hidden="false" customHeight="true" outlineLevel="0" collapsed="false">
      <c r="A148" s="38" t="n">
        <v>10</v>
      </c>
      <c r="B148" s="38" t="s">
        <v>628</v>
      </c>
      <c r="C148" s="38" t="s">
        <v>172</v>
      </c>
      <c r="D148" s="38" t="s">
        <v>169</v>
      </c>
      <c r="E148" s="38" t="str">
        <f aca="false">A148&amp;"|"&amp;C148&amp;"|"&amp;D148</f>
        <v>10|A|G</v>
      </c>
      <c r="F148" s="43" t="n">
        <v>0</v>
      </c>
      <c r="G148" s="38" t="n">
        <f aca="false">SUMIFS($F$2:$F$1137,$A$2:$A$1137,A148,$C$2:$C$1137,C148)</f>
        <v>0</v>
      </c>
      <c r="H148" s="43" t="n">
        <v>1</v>
      </c>
      <c r="I148" s="45" t="str">
        <f aca="false">IF(G148=0,"",F148/G148)</f>
        <v/>
      </c>
      <c r="J148" s="45" t="n">
        <f aca="false">K148/L148</f>
        <v>0.25</v>
      </c>
      <c r="K148" s="38" t="n">
        <f aca="false">F148+H148</f>
        <v>1</v>
      </c>
      <c r="L148" s="38" t="n">
        <f aca="false">G148+4*H148</f>
        <v>4</v>
      </c>
      <c r="M148" s="38" t="s">
        <v>619</v>
      </c>
      <c r="N148" s="38" t="n">
        <f aca="false">ROUND(SUMIFS($J$2:$J$1137,$A$2:$A$1137,A148,$C$2:$C$1137,C148),9)</f>
        <v>1</v>
      </c>
    </row>
    <row r="149" customFormat="false" ht="15" hidden="false" customHeight="true" outlineLevel="0" collapsed="false">
      <c r="A149" s="38" t="n">
        <v>10</v>
      </c>
      <c r="B149" s="38" t="s">
        <v>628</v>
      </c>
      <c r="C149" s="38" t="s">
        <v>172</v>
      </c>
      <c r="D149" s="38" t="s">
        <v>171</v>
      </c>
      <c r="E149" s="38" t="str">
        <f aca="false">A149&amp;"|"&amp;C149&amp;"|"&amp;D149</f>
        <v>10|A|U</v>
      </c>
      <c r="F149" s="43" t="n">
        <v>0</v>
      </c>
      <c r="G149" s="38" t="n">
        <f aca="false">SUMIFS($F$2:$F$1137,$A$2:$A$1137,A149,$C$2:$C$1137,C149)</f>
        <v>0</v>
      </c>
      <c r="H149" s="43" t="n">
        <v>1</v>
      </c>
      <c r="I149" s="45" t="str">
        <f aca="false">IF(G149=0,"",F149/G149)</f>
        <v/>
      </c>
      <c r="J149" s="45" t="n">
        <f aca="false">K149/L149</f>
        <v>0.25</v>
      </c>
      <c r="K149" s="38" t="n">
        <f aca="false">F149+H149</f>
        <v>1</v>
      </c>
      <c r="L149" s="38" t="n">
        <f aca="false">G149+4*H149</f>
        <v>4</v>
      </c>
      <c r="M149" s="38" t="s">
        <v>619</v>
      </c>
      <c r="N149" s="38" t="n">
        <f aca="false">ROUND(SUMIFS($J$2:$J$1137,$A$2:$A$1137,A149,$C$2:$C$1137,C149),9)</f>
        <v>1</v>
      </c>
    </row>
    <row r="150" customFormat="false" ht="15" hidden="false" customHeight="true" outlineLevel="0" collapsed="false">
      <c r="A150" s="38" t="n">
        <v>10</v>
      </c>
      <c r="B150" s="38" t="s">
        <v>628</v>
      </c>
      <c r="C150" s="38" t="s">
        <v>170</v>
      </c>
      <c r="D150" s="38" t="s">
        <v>172</v>
      </c>
      <c r="E150" s="38" t="str">
        <f aca="false">A150&amp;"|"&amp;C150&amp;"|"&amp;D150</f>
        <v>10|C|A</v>
      </c>
      <c r="F150" s="43" t="n">
        <v>0</v>
      </c>
      <c r="G150" s="38" t="n">
        <f aca="false">SUMIFS($F$2:$F$1137,$A$2:$A$1137,A150,$C$2:$C$1137,C150)</f>
        <v>8</v>
      </c>
      <c r="H150" s="43" t="n">
        <v>1</v>
      </c>
      <c r="I150" s="45" t="n">
        <f aca="false">IF(G150=0,"",F150/G150)</f>
        <v>0</v>
      </c>
      <c r="J150" s="45" t="n">
        <f aca="false">K150/L150</f>
        <v>0.0833333333333333</v>
      </c>
      <c r="K150" s="38" t="n">
        <f aca="false">F150+H150</f>
        <v>1</v>
      </c>
      <c r="L150" s="38" t="n">
        <f aca="false">G150+4*H150</f>
        <v>12</v>
      </c>
      <c r="M150" s="38" t="s">
        <v>619</v>
      </c>
      <c r="N150" s="38" t="n">
        <f aca="false">ROUND(SUMIFS($J$2:$J$1137,$A$2:$A$1137,A150,$C$2:$C$1137,C150),9)</f>
        <v>1</v>
      </c>
    </row>
    <row r="151" customFormat="false" ht="15" hidden="false" customHeight="true" outlineLevel="0" collapsed="false">
      <c r="A151" s="38" t="n">
        <v>10</v>
      </c>
      <c r="B151" s="38" t="s">
        <v>628</v>
      </c>
      <c r="C151" s="38" t="s">
        <v>170</v>
      </c>
      <c r="D151" s="38" t="s">
        <v>170</v>
      </c>
      <c r="E151" s="38" t="str">
        <f aca="false">A151&amp;"|"&amp;C151&amp;"|"&amp;D151</f>
        <v>10|C|C</v>
      </c>
      <c r="F151" s="43" t="n">
        <v>6</v>
      </c>
      <c r="G151" s="38" t="n">
        <f aca="false">SUMIFS($F$2:$F$1137,$A$2:$A$1137,A151,$C$2:$C$1137,C151)</f>
        <v>8</v>
      </c>
      <c r="H151" s="43" t="n">
        <v>1</v>
      </c>
      <c r="I151" s="45" t="n">
        <f aca="false">IF(G151=0,"",F151/G151)</f>
        <v>0.75</v>
      </c>
      <c r="J151" s="45" t="n">
        <f aca="false">K151/L151</f>
        <v>0.583333333333333</v>
      </c>
      <c r="K151" s="38" t="n">
        <f aca="false">F151+H151</f>
        <v>7</v>
      </c>
      <c r="L151" s="38" t="n">
        <f aca="false">G151+4*H151</f>
        <v>12</v>
      </c>
      <c r="M151" s="38" t="s">
        <v>619</v>
      </c>
      <c r="N151" s="38" t="n">
        <f aca="false">ROUND(SUMIFS($J$2:$J$1137,$A$2:$A$1137,A151,$C$2:$C$1137,C151),9)</f>
        <v>1</v>
      </c>
    </row>
    <row r="152" customFormat="false" ht="15" hidden="false" customHeight="true" outlineLevel="0" collapsed="false">
      <c r="A152" s="38" t="n">
        <v>10</v>
      </c>
      <c r="B152" s="38" t="s">
        <v>628</v>
      </c>
      <c r="C152" s="38" t="s">
        <v>170</v>
      </c>
      <c r="D152" s="38" t="s">
        <v>169</v>
      </c>
      <c r="E152" s="38" t="str">
        <f aca="false">A152&amp;"|"&amp;C152&amp;"|"&amp;D152</f>
        <v>10|C|G</v>
      </c>
      <c r="F152" s="43" t="n">
        <v>1</v>
      </c>
      <c r="G152" s="38" t="n">
        <f aca="false">SUMIFS($F$2:$F$1137,$A$2:$A$1137,A152,$C$2:$C$1137,C152)</f>
        <v>8</v>
      </c>
      <c r="H152" s="43" t="n">
        <v>1</v>
      </c>
      <c r="I152" s="45" t="n">
        <f aca="false">IF(G152=0,"",F152/G152)</f>
        <v>0.125</v>
      </c>
      <c r="J152" s="45" t="n">
        <f aca="false">K152/L152</f>
        <v>0.166666666666667</v>
      </c>
      <c r="K152" s="38" t="n">
        <f aca="false">F152+H152</f>
        <v>2</v>
      </c>
      <c r="L152" s="38" t="n">
        <f aca="false">G152+4*H152</f>
        <v>12</v>
      </c>
      <c r="M152" s="38" t="s">
        <v>619</v>
      </c>
      <c r="N152" s="38" t="n">
        <f aca="false">ROUND(SUMIFS($J$2:$J$1137,$A$2:$A$1137,A152,$C$2:$C$1137,C152),9)</f>
        <v>1</v>
      </c>
    </row>
    <row r="153" customFormat="false" ht="15" hidden="false" customHeight="true" outlineLevel="0" collapsed="false">
      <c r="A153" s="38" t="n">
        <v>10</v>
      </c>
      <c r="B153" s="38" t="s">
        <v>628</v>
      </c>
      <c r="C153" s="38" t="s">
        <v>170</v>
      </c>
      <c r="D153" s="38" t="s">
        <v>171</v>
      </c>
      <c r="E153" s="38" t="str">
        <f aca="false">A153&amp;"|"&amp;C153&amp;"|"&amp;D153</f>
        <v>10|C|U</v>
      </c>
      <c r="F153" s="43" t="n">
        <v>1</v>
      </c>
      <c r="G153" s="38" t="n">
        <f aca="false">SUMIFS($F$2:$F$1137,$A$2:$A$1137,A153,$C$2:$C$1137,C153)</f>
        <v>8</v>
      </c>
      <c r="H153" s="43" t="n">
        <v>1</v>
      </c>
      <c r="I153" s="45" t="n">
        <f aca="false">IF(G153=0,"",F153/G153)</f>
        <v>0.125</v>
      </c>
      <c r="J153" s="45" t="n">
        <f aca="false">K153/L153</f>
        <v>0.166666666666667</v>
      </c>
      <c r="K153" s="38" t="n">
        <f aca="false">F153+H153</f>
        <v>2</v>
      </c>
      <c r="L153" s="38" t="n">
        <f aca="false">G153+4*H153</f>
        <v>12</v>
      </c>
      <c r="M153" s="38" t="s">
        <v>619</v>
      </c>
      <c r="N153" s="38" t="n">
        <f aca="false">ROUND(SUMIFS($J$2:$J$1137,$A$2:$A$1137,A153,$C$2:$C$1137,C153),9)</f>
        <v>1</v>
      </c>
    </row>
    <row r="154" customFormat="false" ht="15" hidden="false" customHeight="true" outlineLevel="0" collapsed="false">
      <c r="A154" s="38" t="n">
        <v>10</v>
      </c>
      <c r="B154" s="38" t="s">
        <v>628</v>
      </c>
      <c r="C154" s="38" t="s">
        <v>169</v>
      </c>
      <c r="D154" s="38" t="s">
        <v>172</v>
      </c>
      <c r="E154" s="38" t="str">
        <f aca="false">A154&amp;"|"&amp;C154&amp;"|"&amp;D154</f>
        <v>10|G|A</v>
      </c>
      <c r="F154" s="43" t="n">
        <v>7</v>
      </c>
      <c r="G154" s="38" t="n">
        <f aca="false">SUMIFS($F$2:$F$1137,$A$2:$A$1137,A154,$C$2:$C$1137,C154)</f>
        <v>191</v>
      </c>
      <c r="H154" s="43" t="n">
        <v>1</v>
      </c>
      <c r="I154" s="45" t="n">
        <f aca="false">IF(G154=0,"",F154/G154)</f>
        <v>0.0366492146596859</v>
      </c>
      <c r="J154" s="45" t="n">
        <f aca="false">K154/L154</f>
        <v>0.041025641025641</v>
      </c>
      <c r="K154" s="38" t="n">
        <f aca="false">F154+H154</f>
        <v>8</v>
      </c>
      <c r="L154" s="38" t="n">
        <f aca="false">G154+4*H154</f>
        <v>195</v>
      </c>
      <c r="M154" s="38" t="s">
        <v>619</v>
      </c>
      <c r="N154" s="38" t="n">
        <f aca="false">ROUND(SUMIFS($J$2:$J$1137,$A$2:$A$1137,A154,$C$2:$C$1137,C154),9)</f>
        <v>1</v>
      </c>
    </row>
    <row r="155" customFormat="false" ht="15" hidden="false" customHeight="true" outlineLevel="0" collapsed="false">
      <c r="A155" s="38" t="n">
        <v>10</v>
      </c>
      <c r="B155" s="38" t="s">
        <v>628</v>
      </c>
      <c r="C155" s="38" t="s">
        <v>169</v>
      </c>
      <c r="D155" s="38" t="s">
        <v>170</v>
      </c>
      <c r="E155" s="38" t="str">
        <f aca="false">A155&amp;"|"&amp;C155&amp;"|"&amp;D155</f>
        <v>10|G|C</v>
      </c>
      <c r="F155" s="43" t="n">
        <v>140</v>
      </c>
      <c r="G155" s="38" t="n">
        <f aca="false">SUMIFS($F$2:$F$1137,$A$2:$A$1137,A155,$C$2:$C$1137,C155)</f>
        <v>191</v>
      </c>
      <c r="H155" s="43" t="n">
        <v>1</v>
      </c>
      <c r="I155" s="45" t="n">
        <f aca="false">IF(G155=0,"",F155/G155)</f>
        <v>0.732984293193717</v>
      </c>
      <c r="J155" s="45" t="n">
        <f aca="false">K155/L155</f>
        <v>0.723076923076923</v>
      </c>
      <c r="K155" s="38" t="n">
        <f aca="false">F155+H155</f>
        <v>141</v>
      </c>
      <c r="L155" s="38" t="n">
        <f aca="false">G155+4*H155</f>
        <v>195</v>
      </c>
      <c r="M155" s="38" t="s">
        <v>619</v>
      </c>
      <c r="N155" s="38" t="n">
        <f aca="false">ROUND(SUMIFS($J$2:$J$1137,$A$2:$A$1137,A155,$C$2:$C$1137,C155),9)</f>
        <v>1</v>
      </c>
    </row>
    <row r="156" customFormat="false" ht="15" hidden="false" customHeight="true" outlineLevel="0" collapsed="false">
      <c r="A156" s="38" t="n">
        <v>10</v>
      </c>
      <c r="B156" s="38" t="s">
        <v>628</v>
      </c>
      <c r="C156" s="38" t="s">
        <v>169</v>
      </c>
      <c r="D156" s="38" t="s">
        <v>169</v>
      </c>
      <c r="E156" s="38" t="str">
        <f aca="false">A156&amp;"|"&amp;C156&amp;"|"&amp;D156</f>
        <v>10|G|G</v>
      </c>
      <c r="F156" s="43" t="n">
        <v>5</v>
      </c>
      <c r="G156" s="38" t="n">
        <f aca="false">SUMIFS($F$2:$F$1137,$A$2:$A$1137,A156,$C$2:$C$1137,C156)</f>
        <v>191</v>
      </c>
      <c r="H156" s="43" t="n">
        <v>1</v>
      </c>
      <c r="I156" s="45" t="n">
        <f aca="false">IF(G156=0,"",F156/G156)</f>
        <v>0.0261780104712042</v>
      </c>
      <c r="J156" s="45" t="n">
        <f aca="false">K156/L156</f>
        <v>0.0307692307692308</v>
      </c>
      <c r="K156" s="38" t="n">
        <f aca="false">F156+H156</f>
        <v>6</v>
      </c>
      <c r="L156" s="38" t="n">
        <f aca="false">G156+4*H156</f>
        <v>195</v>
      </c>
      <c r="M156" s="38" t="s">
        <v>619</v>
      </c>
      <c r="N156" s="38" t="n">
        <f aca="false">ROUND(SUMIFS($J$2:$J$1137,$A$2:$A$1137,A156,$C$2:$C$1137,C156),9)</f>
        <v>1</v>
      </c>
    </row>
    <row r="157" customFormat="false" ht="15" hidden="false" customHeight="true" outlineLevel="0" collapsed="false">
      <c r="A157" s="38" t="n">
        <v>10</v>
      </c>
      <c r="B157" s="38" t="s">
        <v>628</v>
      </c>
      <c r="C157" s="38" t="s">
        <v>169</v>
      </c>
      <c r="D157" s="38" t="s">
        <v>171</v>
      </c>
      <c r="E157" s="38" t="str">
        <f aca="false">A157&amp;"|"&amp;C157&amp;"|"&amp;D157</f>
        <v>10|G|U</v>
      </c>
      <c r="F157" s="43" t="n">
        <v>39</v>
      </c>
      <c r="G157" s="38" t="n">
        <f aca="false">SUMIFS($F$2:$F$1137,$A$2:$A$1137,A157,$C$2:$C$1137,C157)</f>
        <v>191</v>
      </c>
      <c r="H157" s="43" t="n">
        <v>1</v>
      </c>
      <c r="I157" s="45" t="n">
        <f aca="false">IF(G157=0,"",F157/G157)</f>
        <v>0.204188481675393</v>
      </c>
      <c r="J157" s="45" t="n">
        <f aca="false">K157/L157</f>
        <v>0.205128205128205</v>
      </c>
      <c r="K157" s="38" t="n">
        <f aca="false">F157+H157</f>
        <v>40</v>
      </c>
      <c r="L157" s="38" t="n">
        <f aca="false">G157+4*H157</f>
        <v>195</v>
      </c>
      <c r="M157" s="38" t="s">
        <v>619</v>
      </c>
      <c r="N157" s="38" t="n">
        <f aca="false">ROUND(SUMIFS($J$2:$J$1137,$A$2:$A$1137,A157,$C$2:$C$1137,C157),9)</f>
        <v>1</v>
      </c>
    </row>
    <row r="158" customFormat="false" ht="15" hidden="false" customHeight="true" outlineLevel="0" collapsed="false">
      <c r="A158" s="38" t="n">
        <v>10</v>
      </c>
      <c r="B158" s="38" t="s">
        <v>628</v>
      </c>
      <c r="C158" s="38" t="s">
        <v>171</v>
      </c>
      <c r="D158" s="38" t="s">
        <v>172</v>
      </c>
      <c r="E158" s="38" t="str">
        <f aca="false">A158&amp;"|"&amp;C158&amp;"|"&amp;D158</f>
        <v>10|U|A</v>
      </c>
      <c r="F158" s="43" t="n">
        <v>0</v>
      </c>
      <c r="G158" s="38" t="n">
        <f aca="false">SUMIFS($F$2:$F$1137,$A$2:$A$1137,A158,$C$2:$C$1137,C158)</f>
        <v>0</v>
      </c>
      <c r="H158" s="43" t="n">
        <v>1</v>
      </c>
      <c r="I158" s="45" t="str">
        <f aca="false">IF(G158=0,"",F158/G158)</f>
        <v/>
      </c>
      <c r="J158" s="45" t="n">
        <f aca="false">K158/L158</f>
        <v>0.25</v>
      </c>
      <c r="K158" s="38" t="n">
        <f aca="false">F158+H158</f>
        <v>1</v>
      </c>
      <c r="L158" s="38" t="n">
        <f aca="false">G158+4*H158</f>
        <v>4</v>
      </c>
      <c r="M158" s="38" t="s">
        <v>619</v>
      </c>
      <c r="N158" s="38" t="n">
        <f aca="false">ROUND(SUMIFS($J$2:$J$1137,$A$2:$A$1137,A158,$C$2:$C$1137,C158),9)</f>
        <v>1</v>
      </c>
    </row>
    <row r="159" customFormat="false" ht="15" hidden="false" customHeight="true" outlineLevel="0" collapsed="false">
      <c r="A159" s="38" t="n">
        <v>10</v>
      </c>
      <c r="B159" s="38" t="s">
        <v>628</v>
      </c>
      <c r="C159" s="38" t="s">
        <v>171</v>
      </c>
      <c r="D159" s="38" t="s">
        <v>170</v>
      </c>
      <c r="E159" s="38" t="str">
        <f aca="false">A159&amp;"|"&amp;C159&amp;"|"&amp;D159</f>
        <v>10|U|C</v>
      </c>
      <c r="F159" s="43" t="n">
        <v>0</v>
      </c>
      <c r="G159" s="38" t="n">
        <f aca="false">SUMIFS($F$2:$F$1137,$A$2:$A$1137,A159,$C$2:$C$1137,C159)</f>
        <v>0</v>
      </c>
      <c r="H159" s="43" t="n">
        <v>1</v>
      </c>
      <c r="I159" s="45" t="str">
        <f aca="false">IF(G159=0,"",F159/G159)</f>
        <v/>
      </c>
      <c r="J159" s="45" t="n">
        <f aca="false">K159/L159</f>
        <v>0.25</v>
      </c>
      <c r="K159" s="38" t="n">
        <f aca="false">F159+H159</f>
        <v>1</v>
      </c>
      <c r="L159" s="38" t="n">
        <f aca="false">G159+4*H159</f>
        <v>4</v>
      </c>
      <c r="M159" s="38" t="s">
        <v>619</v>
      </c>
      <c r="N159" s="38" t="n">
        <f aca="false">ROUND(SUMIFS($J$2:$J$1137,$A$2:$A$1137,A159,$C$2:$C$1137,C159),9)</f>
        <v>1</v>
      </c>
    </row>
    <row r="160" customFormat="false" ht="15" hidden="false" customHeight="true" outlineLevel="0" collapsed="false">
      <c r="A160" s="38" t="n">
        <v>10</v>
      </c>
      <c r="B160" s="38" t="s">
        <v>628</v>
      </c>
      <c r="C160" s="38" t="s">
        <v>171</v>
      </c>
      <c r="D160" s="38" t="s">
        <v>169</v>
      </c>
      <c r="E160" s="38" t="str">
        <f aca="false">A160&amp;"|"&amp;C160&amp;"|"&amp;D160</f>
        <v>10|U|G</v>
      </c>
      <c r="F160" s="43" t="n">
        <v>0</v>
      </c>
      <c r="G160" s="38" t="n">
        <f aca="false">SUMIFS($F$2:$F$1137,$A$2:$A$1137,A160,$C$2:$C$1137,C160)</f>
        <v>0</v>
      </c>
      <c r="H160" s="43" t="n">
        <v>1</v>
      </c>
      <c r="I160" s="45" t="str">
        <f aca="false">IF(G160=0,"",F160/G160)</f>
        <v/>
      </c>
      <c r="J160" s="45" t="n">
        <f aca="false">K160/L160</f>
        <v>0.25</v>
      </c>
      <c r="K160" s="38" t="n">
        <f aca="false">F160+H160</f>
        <v>1</v>
      </c>
      <c r="L160" s="38" t="n">
        <f aca="false">G160+4*H160</f>
        <v>4</v>
      </c>
      <c r="M160" s="38" t="s">
        <v>619</v>
      </c>
      <c r="N160" s="38" t="n">
        <f aca="false">ROUND(SUMIFS($J$2:$J$1137,$A$2:$A$1137,A160,$C$2:$C$1137,C160),9)</f>
        <v>1</v>
      </c>
    </row>
    <row r="161" customFormat="false" ht="15" hidden="false" customHeight="true" outlineLevel="0" collapsed="false">
      <c r="A161" s="38" t="n">
        <v>10</v>
      </c>
      <c r="B161" s="38" t="s">
        <v>628</v>
      </c>
      <c r="C161" s="38" t="s">
        <v>171</v>
      </c>
      <c r="D161" s="38" t="s">
        <v>171</v>
      </c>
      <c r="E161" s="38" t="str">
        <f aca="false">A161&amp;"|"&amp;C161&amp;"|"&amp;D161</f>
        <v>10|U|U</v>
      </c>
      <c r="F161" s="43" t="n">
        <v>0</v>
      </c>
      <c r="G161" s="38" t="n">
        <f aca="false">SUMIFS($F$2:$F$1137,$A$2:$A$1137,A161,$C$2:$C$1137,C161)</f>
        <v>0</v>
      </c>
      <c r="H161" s="43" t="n">
        <v>1</v>
      </c>
      <c r="I161" s="45" t="str">
        <f aca="false">IF(G161=0,"",F161/G161)</f>
        <v/>
      </c>
      <c r="J161" s="45" t="n">
        <f aca="false">K161/L161</f>
        <v>0.25</v>
      </c>
      <c r="K161" s="38" t="n">
        <f aca="false">F161+H161</f>
        <v>1</v>
      </c>
      <c r="L161" s="38" t="n">
        <f aca="false">G161+4*H161</f>
        <v>4</v>
      </c>
      <c r="M161" s="38" t="s">
        <v>619</v>
      </c>
      <c r="N161" s="38" t="n">
        <f aca="false">ROUND(SUMIFS($J$2:$J$1137,$A$2:$A$1137,A161,$C$2:$C$1137,C161),9)</f>
        <v>1</v>
      </c>
    </row>
    <row r="162" customFormat="false" ht="15" hidden="false" customHeight="true" outlineLevel="0" collapsed="false">
      <c r="A162" s="38" t="n">
        <v>11</v>
      </c>
      <c r="B162" s="38" t="s">
        <v>629</v>
      </c>
      <c r="C162" s="38" t="s">
        <v>172</v>
      </c>
      <c r="D162" s="38" t="s">
        <v>172</v>
      </c>
      <c r="E162" s="38" t="str">
        <f aca="false">A162&amp;"|"&amp;C162&amp;"|"&amp;D162</f>
        <v>11|A|A</v>
      </c>
      <c r="F162" s="43" t="n">
        <v>0</v>
      </c>
      <c r="G162" s="38" t="n">
        <f aca="false">SUMIFS($F$2:$F$1137,$A$2:$A$1137,A162,$C$2:$C$1137,C162)</f>
        <v>7</v>
      </c>
      <c r="H162" s="43" t="n">
        <v>1</v>
      </c>
      <c r="I162" s="45" t="n">
        <f aca="false">IF(G162=0,"",F162/G162)</f>
        <v>0</v>
      </c>
      <c r="J162" s="45" t="n">
        <f aca="false">K162/L162</f>
        <v>0.0909090909090909</v>
      </c>
      <c r="K162" s="38" t="n">
        <f aca="false">F162+H162</f>
        <v>1</v>
      </c>
      <c r="L162" s="38" t="n">
        <f aca="false">G162+4*H162</f>
        <v>11</v>
      </c>
      <c r="M162" s="38" t="s">
        <v>619</v>
      </c>
      <c r="N162" s="38" t="n">
        <f aca="false">ROUND(SUMIFS($J$2:$J$1137,$A$2:$A$1137,A162,$C$2:$C$1137,C162),9)</f>
        <v>1</v>
      </c>
    </row>
    <row r="163" customFormat="false" ht="15" hidden="false" customHeight="true" outlineLevel="0" collapsed="false">
      <c r="A163" s="38" t="n">
        <v>11</v>
      </c>
      <c r="B163" s="38" t="s">
        <v>629</v>
      </c>
      <c r="C163" s="38" t="s">
        <v>172</v>
      </c>
      <c r="D163" s="38" t="s">
        <v>170</v>
      </c>
      <c r="E163" s="38" t="str">
        <f aca="false">A163&amp;"|"&amp;C163&amp;"|"&amp;D163</f>
        <v>11|A|C</v>
      </c>
      <c r="F163" s="43" t="n">
        <v>0</v>
      </c>
      <c r="G163" s="38" t="n">
        <f aca="false">SUMIFS($F$2:$F$1137,$A$2:$A$1137,A163,$C$2:$C$1137,C163)</f>
        <v>7</v>
      </c>
      <c r="H163" s="43" t="n">
        <v>1</v>
      </c>
      <c r="I163" s="45" t="n">
        <f aca="false">IF(G163=0,"",F163/G163)</f>
        <v>0</v>
      </c>
      <c r="J163" s="45" t="n">
        <f aca="false">K163/L163</f>
        <v>0.0909090909090909</v>
      </c>
      <c r="K163" s="38" t="n">
        <f aca="false">F163+H163</f>
        <v>1</v>
      </c>
      <c r="L163" s="38" t="n">
        <f aca="false">G163+4*H163</f>
        <v>11</v>
      </c>
      <c r="M163" s="38" t="s">
        <v>619</v>
      </c>
      <c r="N163" s="38" t="n">
        <f aca="false">ROUND(SUMIFS($J$2:$J$1137,$A$2:$A$1137,A163,$C$2:$C$1137,C163),9)</f>
        <v>1</v>
      </c>
    </row>
    <row r="164" customFormat="false" ht="15" hidden="false" customHeight="true" outlineLevel="0" collapsed="false">
      <c r="A164" s="38" t="n">
        <v>11</v>
      </c>
      <c r="B164" s="38" t="s">
        <v>629</v>
      </c>
      <c r="C164" s="38" t="s">
        <v>172</v>
      </c>
      <c r="D164" s="38" t="s">
        <v>169</v>
      </c>
      <c r="E164" s="38" t="str">
        <f aca="false">A164&amp;"|"&amp;C164&amp;"|"&amp;D164</f>
        <v>11|A|G</v>
      </c>
      <c r="F164" s="43" t="n">
        <v>4</v>
      </c>
      <c r="G164" s="38" t="n">
        <f aca="false">SUMIFS($F$2:$F$1137,$A$2:$A$1137,A164,$C$2:$C$1137,C164)</f>
        <v>7</v>
      </c>
      <c r="H164" s="43" t="n">
        <v>1</v>
      </c>
      <c r="I164" s="45" t="n">
        <f aca="false">IF(G164=0,"",F164/G164)</f>
        <v>0.571428571428571</v>
      </c>
      <c r="J164" s="45" t="n">
        <f aca="false">K164/L164</f>
        <v>0.454545454545455</v>
      </c>
      <c r="K164" s="38" t="n">
        <f aca="false">F164+H164</f>
        <v>5</v>
      </c>
      <c r="L164" s="38" t="n">
        <f aca="false">G164+4*H164</f>
        <v>11</v>
      </c>
      <c r="M164" s="38" t="s">
        <v>619</v>
      </c>
      <c r="N164" s="38" t="n">
        <f aca="false">ROUND(SUMIFS($J$2:$J$1137,$A$2:$A$1137,A164,$C$2:$C$1137,C164),9)</f>
        <v>1</v>
      </c>
    </row>
    <row r="165" customFormat="false" ht="15" hidden="false" customHeight="true" outlineLevel="0" collapsed="false">
      <c r="A165" s="38" t="n">
        <v>11</v>
      </c>
      <c r="B165" s="38" t="s">
        <v>629</v>
      </c>
      <c r="C165" s="38" t="s">
        <v>172</v>
      </c>
      <c r="D165" s="38" t="s">
        <v>171</v>
      </c>
      <c r="E165" s="38" t="str">
        <f aca="false">A165&amp;"|"&amp;C165&amp;"|"&amp;D165</f>
        <v>11|A|U</v>
      </c>
      <c r="F165" s="43" t="n">
        <v>3</v>
      </c>
      <c r="G165" s="38" t="n">
        <f aca="false">SUMIFS($F$2:$F$1137,$A$2:$A$1137,A165,$C$2:$C$1137,C165)</f>
        <v>7</v>
      </c>
      <c r="H165" s="43" t="n">
        <v>1</v>
      </c>
      <c r="I165" s="45" t="n">
        <f aca="false">IF(G165=0,"",F165/G165)</f>
        <v>0.428571428571429</v>
      </c>
      <c r="J165" s="45" t="n">
        <f aca="false">K165/L165</f>
        <v>0.363636363636364</v>
      </c>
      <c r="K165" s="38" t="n">
        <f aca="false">F165+H165</f>
        <v>4</v>
      </c>
      <c r="L165" s="38" t="n">
        <f aca="false">G165+4*H165</f>
        <v>11</v>
      </c>
      <c r="M165" s="38" t="s">
        <v>619</v>
      </c>
      <c r="N165" s="38" t="n">
        <f aca="false">ROUND(SUMIFS($J$2:$J$1137,$A$2:$A$1137,A165,$C$2:$C$1137,C165),9)</f>
        <v>1</v>
      </c>
    </row>
    <row r="166" customFormat="false" ht="15" hidden="false" customHeight="true" outlineLevel="0" collapsed="false">
      <c r="A166" s="38" t="n">
        <v>11</v>
      </c>
      <c r="B166" s="38" t="s">
        <v>629</v>
      </c>
      <c r="C166" s="38" t="s">
        <v>170</v>
      </c>
      <c r="D166" s="38" t="s">
        <v>172</v>
      </c>
      <c r="E166" s="38" t="str">
        <f aca="false">A166&amp;"|"&amp;C166&amp;"|"&amp;D166</f>
        <v>11|C|A</v>
      </c>
      <c r="F166" s="43" t="n">
        <v>6</v>
      </c>
      <c r="G166" s="38" t="n">
        <f aca="false">SUMIFS($F$2:$F$1137,$A$2:$A$1137,A166,$C$2:$C$1137,C166)</f>
        <v>146</v>
      </c>
      <c r="H166" s="43" t="n">
        <v>1</v>
      </c>
      <c r="I166" s="45" t="n">
        <f aca="false">IF(G166=0,"",F166/G166)</f>
        <v>0.0410958904109589</v>
      </c>
      <c r="J166" s="45" t="n">
        <f aca="false">K166/L166</f>
        <v>0.0466666666666667</v>
      </c>
      <c r="K166" s="38" t="n">
        <f aca="false">F166+H166</f>
        <v>7</v>
      </c>
      <c r="L166" s="38" t="n">
        <f aca="false">G166+4*H166</f>
        <v>150</v>
      </c>
      <c r="M166" s="38" t="s">
        <v>619</v>
      </c>
      <c r="N166" s="38" t="n">
        <f aca="false">ROUND(SUMIFS($J$2:$J$1137,$A$2:$A$1137,A166,$C$2:$C$1137,C166),9)</f>
        <v>1</v>
      </c>
    </row>
    <row r="167" customFormat="false" ht="15" hidden="false" customHeight="true" outlineLevel="0" collapsed="false">
      <c r="A167" s="38" t="n">
        <v>11</v>
      </c>
      <c r="B167" s="38" t="s">
        <v>629</v>
      </c>
      <c r="C167" s="38" t="s">
        <v>170</v>
      </c>
      <c r="D167" s="38" t="s">
        <v>170</v>
      </c>
      <c r="E167" s="38" t="str">
        <f aca="false">A167&amp;"|"&amp;C167&amp;"|"&amp;D167</f>
        <v>11|C|C</v>
      </c>
      <c r="F167" s="43" t="n">
        <v>17</v>
      </c>
      <c r="G167" s="38" t="n">
        <f aca="false">SUMIFS($F$2:$F$1137,$A$2:$A$1137,A167,$C$2:$C$1137,C167)</f>
        <v>146</v>
      </c>
      <c r="H167" s="43" t="n">
        <v>1</v>
      </c>
      <c r="I167" s="45" t="n">
        <f aca="false">IF(G167=0,"",F167/G167)</f>
        <v>0.116438356164384</v>
      </c>
      <c r="J167" s="45" t="n">
        <f aca="false">K167/L167</f>
        <v>0.12</v>
      </c>
      <c r="K167" s="38" t="n">
        <f aca="false">F167+H167</f>
        <v>18</v>
      </c>
      <c r="L167" s="38" t="n">
        <f aca="false">G167+4*H167</f>
        <v>150</v>
      </c>
      <c r="M167" s="38" t="s">
        <v>619</v>
      </c>
      <c r="N167" s="38" t="n">
        <f aca="false">ROUND(SUMIFS($J$2:$J$1137,$A$2:$A$1137,A167,$C$2:$C$1137,C167),9)</f>
        <v>1</v>
      </c>
    </row>
    <row r="168" customFormat="false" ht="15" hidden="false" customHeight="true" outlineLevel="0" collapsed="false">
      <c r="A168" s="38" t="n">
        <v>11</v>
      </c>
      <c r="B168" s="38" t="s">
        <v>629</v>
      </c>
      <c r="C168" s="38" t="s">
        <v>170</v>
      </c>
      <c r="D168" s="38" t="s">
        <v>169</v>
      </c>
      <c r="E168" s="38" t="str">
        <f aca="false">A168&amp;"|"&amp;C168&amp;"|"&amp;D168</f>
        <v>11|C|G</v>
      </c>
      <c r="F168" s="43" t="n">
        <v>19</v>
      </c>
      <c r="G168" s="38" t="n">
        <f aca="false">SUMIFS($F$2:$F$1137,$A$2:$A$1137,A168,$C$2:$C$1137,C168)</f>
        <v>146</v>
      </c>
      <c r="H168" s="43" t="n">
        <v>1</v>
      </c>
      <c r="I168" s="45" t="n">
        <f aca="false">IF(G168=0,"",F168/G168)</f>
        <v>0.13013698630137</v>
      </c>
      <c r="J168" s="45" t="n">
        <f aca="false">K168/L168</f>
        <v>0.133333333333333</v>
      </c>
      <c r="K168" s="38" t="n">
        <f aca="false">F168+H168</f>
        <v>20</v>
      </c>
      <c r="L168" s="38" t="n">
        <f aca="false">G168+4*H168</f>
        <v>150</v>
      </c>
      <c r="M168" s="38" t="s">
        <v>619</v>
      </c>
      <c r="N168" s="38" t="n">
        <f aca="false">ROUND(SUMIFS($J$2:$J$1137,$A$2:$A$1137,A168,$C$2:$C$1137,C168),9)</f>
        <v>1</v>
      </c>
    </row>
    <row r="169" customFormat="false" ht="15" hidden="false" customHeight="true" outlineLevel="0" collapsed="false">
      <c r="A169" s="38" t="n">
        <v>11</v>
      </c>
      <c r="B169" s="38" t="s">
        <v>629</v>
      </c>
      <c r="C169" s="38" t="s">
        <v>170</v>
      </c>
      <c r="D169" s="38" t="s">
        <v>171</v>
      </c>
      <c r="E169" s="38" t="str">
        <f aca="false">A169&amp;"|"&amp;C169&amp;"|"&amp;D169</f>
        <v>11|C|U</v>
      </c>
      <c r="F169" s="43" t="n">
        <v>104</v>
      </c>
      <c r="G169" s="38" t="n">
        <f aca="false">SUMIFS($F$2:$F$1137,$A$2:$A$1137,A169,$C$2:$C$1137,C169)</f>
        <v>146</v>
      </c>
      <c r="H169" s="43" t="n">
        <v>1</v>
      </c>
      <c r="I169" s="45" t="n">
        <f aca="false">IF(G169=0,"",F169/G169)</f>
        <v>0.712328767123288</v>
      </c>
      <c r="J169" s="45" t="n">
        <f aca="false">K169/L169</f>
        <v>0.7</v>
      </c>
      <c r="K169" s="38" t="n">
        <f aca="false">F169+H169</f>
        <v>105</v>
      </c>
      <c r="L169" s="38" t="n">
        <f aca="false">G169+4*H169</f>
        <v>150</v>
      </c>
      <c r="M169" s="38" t="s">
        <v>619</v>
      </c>
      <c r="N169" s="38" t="n">
        <f aca="false">ROUND(SUMIFS($J$2:$J$1137,$A$2:$A$1137,A169,$C$2:$C$1137,C169),9)</f>
        <v>1</v>
      </c>
    </row>
    <row r="170" customFormat="false" ht="15" hidden="false" customHeight="true" outlineLevel="0" collapsed="false">
      <c r="A170" s="38" t="n">
        <v>11</v>
      </c>
      <c r="B170" s="38" t="s">
        <v>629</v>
      </c>
      <c r="C170" s="38" t="s">
        <v>169</v>
      </c>
      <c r="D170" s="38" t="s">
        <v>172</v>
      </c>
      <c r="E170" s="38" t="str">
        <f aca="false">A170&amp;"|"&amp;C170&amp;"|"&amp;D170</f>
        <v>11|G|A</v>
      </c>
      <c r="F170" s="43" t="n">
        <v>2</v>
      </c>
      <c r="G170" s="38" t="n">
        <f aca="false">SUMIFS($F$2:$F$1137,$A$2:$A$1137,A170,$C$2:$C$1137,C170)</f>
        <v>6</v>
      </c>
      <c r="H170" s="43" t="n">
        <v>1</v>
      </c>
      <c r="I170" s="45" t="n">
        <f aca="false">IF(G170=0,"",F170/G170)</f>
        <v>0.333333333333333</v>
      </c>
      <c r="J170" s="45" t="n">
        <f aca="false">K170/L170</f>
        <v>0.3</v>
      </c>
      <c r="K170" s="38" t="n">
        <f aca="false">F170+H170</f>
        <v>3</v>
      </c>
      <c r="L170" s="38" t="n">
        <f aca="false">G170+4*H170</f>
        <v>10</v>
      </c>
      <c r="M170" s="38" t="s">
        <v>619</v>
      </c>
      <c r="N170" s="38" t="n">
        <f aca="false">ROUND(SUMIFS($J$2:$J$1137,$A$2:$A$1137,A170,$C$2:$C$1137,C170),9)</f>
        <v>1</v>
      </c>
    </row>
    <row r="171" customFormat="false" ht="15" hidden="false" customHeight="true" outlineLevel="0" collapsed="false">
      <c r="A171" s="38" t="n">
        <v>11</v>
      </c>
      <c r="B171" s="38" t="s">
        <v>629</v>
      </c>
      <c r="C171" s="38" t="s">
        <v>169</v>
      </c>
      <c r="D171" s="38" t="s">
        <v>170</v>
      </c>
      <c r="E171" s="38" t="str">
        <f aca="false">A171&amp;"|"&amp;C171&amp;"|"&amp;D171</f>
        <v>11|G|C</v>
      </c>
      <c r="F171" s="43" t="n">
        <v>0</v>
      </c>
      <c r="G171" s="38" t="n">
        <f aca="false">SUMIFS($F$2:$F$1137,$A$2:$A$1137,A171,$C$2:$C$1137,C171)</f>
        <v>6</v>
      </c>
      <c r="H171" s="43" t="n">
        <v>1</v>
      </c>
      <c r="I171" s="45" t="n">
        <f aca="false">IF(G171=0,"",F171/G171)</f>
        <v>0</v>
      </c>
      <c r="J171" s="45" t="n">
        <f aca="false">K171/L171</f>
        <v>0.1</v>
      </c>
      <c r="K171" s="38" t="n">
        <f aca="false">F171+H171</f>
        <v>1</v>
      </c>
      <c r="L171" s="38" t="n">
        <f aca="false">G171+4*H171</f>
        <v>10</v>
      </c>
      <c r="M171" s="38" t="s">
        <v>619</v>
      </c>
      <c r="N171" s="38" t="n">
        <f aca="false">ROUND(SUMIFS($J$2:$J$1137,$A$2:$A$1137,A171,$C$2:$C$1137,C171),9)</f>
        <v>1</v>
      </c>
    </row>
    <row r="172" customFormat="false" ht="15" hidden="false" customHeight="true" outlineLevel="0" collapsed="false">
      <c r="A172" s="38" t="n">
        <v>11</v>
      </c>
      <c r="B172" s="38" t="s">
        <v>629</v>
      </c>
      <c r="C172" s="38" t="s">
        <v>169</v>
      </c>
      <c r="D172" s="38" t="s">
        <v>169</v>
      </c>
      <c r="E172" s="38" t="str">
        <f aca="false">A172&amp;"|"&amp;C172&amp;"|"&amp;D172</f>
        <v>11|G|G</v>
      </c>
      <c r="F172" s="43" t="n">
        <v>3</v>
      </c>
      <c r="G172" s="38" t="n">
        <f aca="false">SUMIFS($F$2:$F$1137,$A$2:$A$1137,A172,$C$2:$C$1137,C172)</f>
        <v>6</v>
      </c>
      <c r="H172" s="43" t="n">
        <v>1</v>
      </c>
      <c r="I172" s="45" t="n">
        <f aca="false">IF(G172=0,"",F172/G172)</f>
        <v>0.5</v>
      </c>
      <c r="J172" s="45" t="n">
        <f aca="false">K172/L172</f>
        <v>0.4</v>
      </c>
      <c r="K172" s="38" t="n">
        <f aca="false">F172+H172</f>
        <v>4</v>
      </c>
      <c r="L172" s="38" t="n">
        <f aca="false">G172+4*H172</f>
        <v>10</v>
      </c>
      <c r="M172" s="38" t="s">
        <v>619</v>
      </c>
      <c r="N172" s="38" t="n">
        <f aca="false">ROUND(SUMIFS($J$2:$J$1137,$A$2:$A$1137,A172,$C$2:$C$1137,C172),9)</f>
        <v>1</v>
      </c>
    </row>
    <row r="173" customFormat="false" ht="15" hidden="false" customHeight="true" outlineLevel="0" collapsed="false">
      <c r="A173" s="38" t="n">
        <v>11</v>
      </c>
      <c r="B173" s="38" t="s">
        <v>629</v>
      </c>
      <c r="C173" s="38" t="s">
        <v>169</v>
      </c>
      <c r="D173" s="38" t="s">
        <v>171</v>
      </c>
      <c r="E173" s="38" t="str">
        <f aca="false">A173&amp;"|"&amp;C173&amp;"|"&amp;D173</f>
        <v>11|G|U</v>
      </c>
      <c r="F173" s="43" t="n">
        <v>1</v>
      </c>
      <c r="G173" s="38" t="n">
        <f aca="false">SUMIFS($F$2:$F$1137,$A$2:$A$1137,A173,$C$2:$C$1137,C173)</f>
        <v>6</v>
      </c>
      <c r="H173" s="43" t="n">
        <v>1</v>
      </c>
      <c r="I173" s="45" t="n">
        <f aca="false">IF(G173=0,"",F173/G173)</f>
        <v>0.166666666666667</v>
      </c>
      <c r="J173" s="45" t="n">
        <f aca="false">K173/L173</f>
        <v>0.2</v>
      </c>
      <c r="K173" s="38" t="n">
        <f aca="false">F173+H173</f>
        <v>2</v>
      </c>
      <c r="L173" s="38" t="n">
        <f aca="false">G173+4*H173</f>
        <v>10</v>
      </c>
      <c r="M173" s="38" t="s">
        <v>619</v>
      </c>
      <c r="N173" s="38" t="n">
        <f aca="false">ROUND(SUMIFS($J$2:$J$1137,$A$2:$A$1137,A173,$C$2:$C$1137,C173),9)</f>
        <v>1</v>
      </c>
    </row>
    <row r="174" customFormat="false" ht="15" hidden="false" customHeight="true" outlineLevel="0" collapsed="false">
      <c r="A174" s="38" t="n">
        <v>11</v>
      </c>
      <c r="B174" s="38" t="s">
        <v>629</v>
      </c>
      <c r="C174" s="38" t="s">
        <v>171</v>
      </c>
      <c r="D174" s="38" t="s">
        <v>172</v>
      </c>
      <c r="E174" s="38" t="str">
        <f aca="false">A174&amp;"|"&amp;C174&amp;"|"&amp;D174</f>
        <v>11|U|A</v>
      </c>
      <c r="F174" s="43" t="n">
        <v>5</v>
      </c>
      <c r="G174" s="38" t="n">
        <f aca="false">SUMIFS($F$2:$F$1137,$A$2:$A$1137,A174,$C$2:$C$1137,C174)</f>
        <v>40</v>
      </c>
      <c r="H174" s="43" t="n">
        <v>1</v>
      </c>
      <c r="I174" s="45" t="n">
        <f aca="false">IF(G174=0,"",F174/G174)</f>
        <v>0.125</v>
      </c>
      <c r="J174" s="45" t="n">
        <f aca="false">K174/L174</f>
        <v>0.136363636363636</v>
      </c>
      <c r="K174" s="38" t="n">
        <f aca="false">F174+H174</f>
        <v>6</v>
      </c>
      <c r="L174" s="38" t="n">
        <f aca="false">G174+4*H174</f>
        <v>44</v>
      </c>
      <c r="M174" s="38" t="s">
        <v>619</v>
      </c>
      <c r="N174" s="38" t="n">
        <f aca="false">ROUND(SUMIFS($J$2:$J$1137,$A$2:$A$1137,A174,$C$2:$C$1137,C174),9)</f>
        <v>1</v>
      </c>
    </row>
    <row r="175" customFormat="false" ht="15" hidden="false" customHeight="true" outlineLevel="0" collapsed="false">
      <c r="A175" s="38" t="n">
        <v>11</v>
      </c>
      <c r="B175" s="38" t="s">
        <v>629</v>
      </c>
      <c r="C175" s="38" t="s">
        <v>171</v>
      </c>
      <c r="D175" s="38" t="s">
        <v>170</v>
      </c>
      <c r="E175" s="38" t="str">
        <f aca="false">A175&amp;"|"&amp;C175&amp;"|"&amp;D175</f>
        <v>11|U|C</v>
      </c>
      <c r="F175" s="43" t="n">
        <v>12</v>
      </c>
      <c r="G175" s="38" t="n">
        <f aca="false">SUMIFS($F$2:$F$1137,$A$2:$A$1137,A175,$C$2:$C$1137,C175)</f>
        <v>40</v>
      </c>
      <c r="H175" s="43" t="n">
        <v>1</v>
      </c>
      <c r="I175" s="45" t="n">
        <f aca="false">IF(G175=0,"",F175/G175)</f>
        <v>0.3</v>
      </c>
      <c r="J175" s="45" t="n">
        <f aca="false">K175/L175</f>
        <v>0.295454545454545</v>
      </c>
      <c r="K175" s="38" t="n">
        <f aca="false">F175+H175</f>
        <v>13</v>
      </c>
      <c r="L175" s="38" t="n">
        <f aca="false">G175+4*H175</f>
        <v>44</v>
      </c>
      <c r="M175" s="38" t="s">
        <v>619</v>
      </c>
      <c r="N175" s="38" t="n">
        <f aca="false">ROUND(SUMIFS($J$2:$J$1137,$A$2:$A$1137,A175,$C$2:$C$1137,C175),9)</f>
        <v>1</v>
      </c>
    </row>
    <row r="176" customFormat="false" ht="15" hidden="false" customHeight="true" outlineLevel="0" collapsed="false">
      <c r="A176" s="38" t="n">
        <v>11</v>
      </c>
      <c r="B176" s="38" t="s">
        <v>629</v>
      </c>
      <c r="C176" s="38" t="s">
        <v>171</v>
      </c>
      <c r="D176" s="38" t="s">
        <v>169</v>
      </c>
      <c r="E176" s="38" t="str">
        <f aca="false">A176&amp;"|"&amp;C176&amp;"|"&amp;D176</f>
        <v>11|U|G</v>
      </c>
      <c r="F176" s="43" t="n">
        <v>12</v>
      </c>
      <c r="G176" s="38" t="n">
        <f aca="false">SUMIFS($F$2:$F$1137,$A$2:$A$1137,A176,$C$2:$C$1137,C176)</f>
        <v>40</v>
      </c>
      <c r="H176" s="43" t="n">
        <v>1</v>
      </c>
      <c r="I176" s="45" t="n">
        <f aca="false">IF(G176=0,"",F176/G176)</f>
        <v>0.3</v>
      </c>
      <c r="J176" s="45" t="n">
        <f aca="false">K176/L176</f>
        <v>0.295454545454545</v>
      </c>
      <c r="K176" s="38" t="n">
        <f aca="false">F176+H176</f>
        <v>13</v>
      </c>
      <c r="L176" s="38" t="n">
        <f aca="false">G176+4*H176</f>
        <v>44</v>
      </c>
      <c r="M176" s="38" t="s">
        <v>619</v>
      </c>
      <c r="N176" s="38" t="n">
        <f aca="false">ROUND(SUMIFS($J$2:$J$1137,$A$2:$A$1137,A176,$C$2:$C$1137,C176),9)</f>
        <v>1</v>
      </c>
    </row>
    <row r="177" customFormat="false" ht="15" hidden="false" customHeight="true" outlineLevel="0" collapsed="false">
      <c r="A177" s="38" t="n">
        <v>11</v>
      </c>
      <c r="B177" s="38" t="s">
        <v>629</v>
      </c>
      <c r="C177" s="38" t="s">
        <v>171</v>
      </c>
      <c r="D177" s="38" t="s">
        <v>171</v>
      </c>
      <c r="E177" s="38" t="str">
        <f aca="false">A177&amp;"|"&amp;C177&amp;"|"&amp;D177</f>
        <v>11|U|U</v>
      </c>
      <c r="F177" s="43" t="n">
        <v>11</v>
      </c>
      <c r="G177" s="38" t="n">
        <f aca="false">SUMIFS($F$2:$F$1137,$A$2:$A$1137,A177,$C$2:$C$1137,C177)</f>
        <v>40</v>
      </c>
      <c r="H177" s="43" t="n">
        <v>1</v>
      </c>
      <c r="I177" s="45" t="n">
        <f aca="false">IF(G177=0,"",F177/G177)</f>
        <v>0.275</v>
      </c>
      <c r="J177" s="45" t="n">
        <f aca="false">K177/L177</f>
        <v>0.272727272727273</v>
      </c>
      <c r="K177" s="38" t="n">
        <f aca="false">F177+H177</f>
        <v>12</v>
      </c>
      <c r="L177" s="38" t="n">
        <f aca="false">G177+4*H177</f>
        <v>44</v>
      </c>
      <c r="M177" s="38" t="s">
        <v>619</v>
      </c>
      <c r="N177" s="38" t="n">
        <f aca="false">ROUND(SUMIFS($J$2:$J$1137,$A$2:$A$1137,A177,$C$2:$C$1137,C177),9)</f>
        <v>1</v>
      </c>
    </row>
    <row r="178" customFormat="false" ht="15" hidden="false" customHeight="true" outlineLevel="0" collapsed="false">
      <c r="A178" s="38" t="n">
        <v>12</v>
      </c>
      <c r="B178" s="38" t="s">
        <v>630</v>
      </c>
      <c r="C178" s="38" t="s">
        <v>172</v>
      </c>
      <c r="D178" s="38" t="s">
        <v>172</v>
      </c>
      <c r="E178" s="38" t="str">
        <f aca="false">A178&amp;"|"&amp;C178&amp;"|"&amp;D178</f>
        <v>12|A|A</v>
      </c>
      <c r="F178" s="43" t="n">
        <v>0</v>
      </c>
      <c r="G178" s="38" t="n">
        <f aca="false">SUMIFS($F$2:$F$1137,$A$2:$A$1137,A178,$C$2:$C$1137,C178)</f>
        <v>13</v>
      </c>
      <c r="H178" s="43" t="n">
        <v>1</v>
      </c>
      <c r="I178" s="45" t="n">
        <f aca="false">IF(G178=0,"",F178/G178)</f>
        <v>0</v>
      </c>
      <c r="J178" s="45" t="n">
        <f aca="false">K178/L178</f>
        <v>0.0588235294117647</v>
      </c>
      <c r="K178" s="38" t="n">
        <f aca="false">F178+H178</f>
        <v>1</v>
      </c>
      <c r="L178" s="38" t="n">
        <f aca="false">G178+4*H178</f>
        <v>17</v>
      </c>
      <c r="M178" s="38" t="s">
        <v>619</v>
      </c>
      <c r="N178" s="38" t="n">
        <f aca="false">ROUND(SUMIFS($J$2:$J$1137,$A$2:$A$1137,A178,$C$2:$C$1137,C178),9)</f>
        <v>1</v>
      </c>
    </row>
    <row r="179" customFormat="false" ht="15" hidden="false" customHeight="true" outlineLevel="0" collapsed="false">
      <c r="A179" s="38" t="n">
        <v>12</v>
      </c>
      <c r="B179" s="38" t="s">
        <v>630</v>
      </c>
      <c r="C179" s="38" t="s">
        <v>172</v>
      </c>
      <c r="D179" s="38" t="s">
        <v>170</v>
      </c>
      <c r="E179" s="38" t="str">
        <f aca="false">A179&amp;"|"&amp;C179&amp;"|"&amp;D179</f>
        <v>12|A|C</v>
      </c>
      <c r="F179" s="43" t="n">
        <v>0</v>
      </c>
      <c r="G179" s="38" t="n">
        <f aca="false">SUMIFS($F$2:$F$1137,$A$2:$A$1137,A179,$C$2:$C$1137,C179)</f>
        <v>13</v>
      </c>
      <c r="H179" s="43" t="n">
        <v>1</v>
      </c>
      <c r="I179" s="45" t="n">
        <f aca="false">IF(G179=0,"",F179/G179)</f>
        <v>0</v>
      </c>
      <c r="J179" s="45" t="n">
        <f aca="false">K179/L179</f>
        <v>0.0588235294117647</v>
      </c>
      <c r="K179" s="38" t="n">
        <f aca="false">F179+H179</f>
        <v>1</v>
      </c>
      <c r="L179" s="38" t="n">
        <f aca="false">G179+4*H179</f>
        <v>17</v>
      </c>
      <c r="M179" s="38" t="s">
        <v>619</v>
      </c>
      <c r="N179" s="38" t="n">
        <f aca="false">ROUND(SUMIFS($J$2:$J$1137,$A$2:$A$1137,A179,$C$2:$C$1137,C179),9)</f>
        <v>1</v>
      </c>
    </row>
    <row r="180" customFormat="false" ht="15" hidden="false" customHeight="true" outlineLevel="0" collapsed="false">
      <c r="A180" s="38" t="n">
        <v>12</v>
      </c>
      <c r="B180" s="38" t="s">
        <v>630</v>
      </c>
      <c r="C180" s="38" t="s">
        <v>172</v>
      </c>
      <c r="D180" s="38" t="s">
        <v>169</v>
      </c>
      <c r="E180" s="38" t="str">
        <f aca="false">A180&amp;"|"&amp;C180&amp;"|"&amp;D180</f>
        <v>12|A|G</v>
      </c>
      <c r="F180" s="43" t="n">
        <v>6</v>
      </c>
      <c r="G180" s="38" t="n">
        <f aca="false">SUMIFS($F$2:$F$1137,$A$2:$A$1137,A180,$C$2:$C$1137,C180)</f>
        <v>13</v>
      </c>
      <c r="H180" s="43" t="n">
        <v>1</v>
      </c>
      <c r="I180" s="45" t="n">
        <f aca="false">IF(G180=0,"",F180/G180)</f>
        <v>0.461538461538462</v>
      </c>
      <c r="J180" s="45" t="n">
        <f aca="false">K180/L180</f>
        <v>0.411764705882353</v>
      </c>
      <c r="K180" s="38" t="n">
        <f aca="false">F180+H180</f>
        <v>7</v>
      </c>
      <c r="L180" s="38" t="n">
        <f aca="false">G180+4*H180</f>
        <v>17</v>
      </c>
      <c r="M180" s="38" t="s">
        <v>619</v>
      </c>
      <c r="N180" s="38" t="n">
        <f aca="false">ROUND(SUMIFS($J$2:$J$1137,$A$2:$A$1137,A180,$C$2:$C$1137,C180),9)</f>
        <v>1</v>
      </c>
    </row>
    <row r="181" customFormat="false" ht="15" hidden="false" customHeight="true" outlineLevel="0" collapsed="false">
      <c r="A181" s="38" t="n">
        <v>12</v>
      </c>
      <c r="B181" s="38" t="s">
        <v>630</v>
      </c>
      <c r="C181" s="38" t="s">
        <v>172</v>
      </c>
      <c r="D181" s="38" t="s">
        <v>171</v>
      </c>
      <c r="E181" s="38" t="str">
        <f aca="false">A181&amp;"|"&amp;C181&amp;"|"&amp;D181</f>
        <v>12|A|U</v>
      </c>
      <c r="F181" s="43" t="n">
        <v>7</v>
      </c>
      <c r="G181" s="38" t="n">
        <f aca="false">SUMIFS($F$2:$F$1137,$A$2:$A$1137,A181,$C$2:$C$1137,C181)</f>
        <v>13</v>
      </c>
      <c r="H181" s="43" t="n">
        <v>1</v>
      </c>
      <c r="I181" s="45" t="n">
        <f aca="false">IF(G181=0,"",F181/G181)</f>
        <v>0.538461538461538</v>
      </c>
      <c r="J181" s="45" t="n">
        <f aca="false">K181/L181</f>
        <v>0.470588235294118</v>
      </c>
      <c r="K181" s="38" t="n">
        <f aca="false">F181+H181</f>
        <v>8</v>
      </c>
      <c r="L181" s="38" t="n">
        <f aca="false">G181+4*H181</f>
        <v>17</v>
      </c>
      <c r="M181" s="38" t="s">
        <v>619</v>
      </c>
      <c r="N181" s="38" t="n">
        <f aca="false">ROUND(SUMIFS($J$2:$J$1137,$A$2:$A$1137,A181,$C$2:$C$1137,C181),9)</f>
        <v>1</v>
      </c>
    </row>
    <row r="182" customFormat="false" ht="15" hidden="false" customHeight="true" outlineLevel="0" collapsed="false">
      <c r="A182" s="38" t="n">
        <v>12</v>
      </c>
      <c r="B182" s="38" t="s">
        <v>630</v>
      </c>
      <c r="C182" s="38" t="s">
        <v>170</v>
      </c>
      <c r="D182" s="38" t="s">
        <v>172</v>
      </c>
      <c r="E182" s="38" t="str">
        <f aca="false">A182&amp;"|"&amp;C182&amp;"|"&amp;D182</f>
        <v>12|C|A</v>
      </c>
      <c r="F182" s="43" t="n">
        <v>7</v>
      </c>
      <c r="G182" s="38" t="n">
        <f aca="false">SUMIFS($F$2:$F$1137,$A$2:$A$1137,A182,$C$2:$C$1137,C182)</f>
        <v>29</v>
      </c>
      <c r="H182" s="43" t="n">
        <v>1</v>
      </c>
      <c r="I182" s="45" t="n">
        <f aca="false">IF(G182=0,"",F182/G182)</f>
        <v>0.241379310344828</v>
      </c>
      <c r="J182" s="45" t="n">
        <f aca="false">K182/L182</f>
        <v>0.242424242424242</v>
      </c>
      <c r="K182" s="38" t="n">
        <f aca="false">F182+H182</f>
        <v>8</v>
      </c>
      <c r="L182" s="38" t="n">
        <f aca="false">G182+4*H182</f>
        <v>33</v>
      </c>
      <c r="M182" s="38" t="s">
        <v>619</v>
      </c>
      <c r="N182" s="38" t="n">
        <f aca="false">ROUND(SUMIFS($J$2:$J$1137,$A$2:$A$1137,A182,$C$2:$C$1137,C182),9)</f>
        <v>1</v>
      </c>
    </row>
    <row r="183" customFormat="false" ht="15" hidden="false" customHeight="true" outlineLevel="0" collapsed="false">
      <c r="A183" s="38" t="n">
        <v>12</v>
      </c>
      <c r="B183" s="38" t="s">
        <v>630</v>
      </c>
      <c r="C183" s="38" t="s">
        <v>170</v>
      </c>
      <c r="D183" s="38" t="s">
        <v>170</v>
      </c>
      <c r="E183" s="38" t="str">
        <f aca="false">A183&amp;"|"&amp;C183&amp;"|"&amp;D183</f>
        <v>12|C|C</v>
      </c>
      <c r="F183" s="43" t="n">
        <v>4</v>
      </c>
      <c r="G183" s="38" t="n">
        <f aca="false">SUMIFS($F$2:$F$1137,$A$2:$A$1137,A183,$C$2:$C$1137,C183)</f>
        <v>29</v>
      </c>
      <c r="H183" s="43" t="n">
        <v>1</v>
      </c>
      <c r="I183" s="45" t="n">
        <f aca="false">IF(G183=0,"",F183/G183)</f>
        <v>0.137931034482759</v>
      </c>
      <c r="J183" s="45" t="n">
        <f aca="false">K183/L183</f>
        <v>0.151515151515152</v>
      </c>
      <c r="K183" s="38" t="n">
        <f aca="false">F183+H183</f>
        <v>5</v>
      </c>
      <c r="L183" s="38" t="n">
        <f aca="false">G183+4*H183</f>
        <v>33</v>
      </c>
      <c r="M183" s="38" t="s">
        <v>619</v>
      </c>
      <c r="N183" s="38" t="n">
        <f aca="false">ROUND(SUMIFS($J$2:$J$1137,$A$2:$A$1137,A183,$C$2:$C$1137,C183),9)</f>
        <v>1</v>
      </c>
    </row>
    <row r="184" customFormat="false" ht="15" hidden="false" customHeight="true" outlineLevel="0" collapsed="false">
      <c r="A184" s="38" t="n">
        <v>12</v>
      </c>
      <c r="B184" s="38" t="s">
        <v>630</v>
      </c>
      <c r="C184" s="38" t="s">
        <v>170</v>
      </c>
      <c r="D184" s="38" t="s">
        <v>169</v>
      </c>
      <c r="E184" s="38" t="str">
        <f aca="false">A184&amp;"|"&amp;C184&amp;"|"&amp;D184</f>
        <v>12|C|G</v>
      </c>
      <c r="F184" s="43" t="n">
        <v>7</v>
      </c>
      <c r="G184" s="38" t="n">
        <f aca="false">SUMIFS($F$2:$F$1137,$A$2:$A$1137,A184,$C$2:$C$1137,C184)</f>
        <v>29</v>
      </c>
      <c r="H184" s="43" t="n">
        <v>1</v>
      </c>
      <c r="I184" s="45" t="n">
        <f aca="false">IF(G184=0,"",F184/G184)</f>
        <v>0.241379310344828</v>
      </c>
      <c r="J184" s="45" t="n">
        <f aca="false">K184/L184</f>
        <v>0.242424242424242</v>
      </c>
      <c r="K184" s="38" t="n">
        <f aca="false">F184+H184</f>
        <v>8</v>
      </c>
      <c r="L184" s="38" t="n">
        <f aca="false">G184+4*H184</f>
        <v>33</v>
      </c>
      <c r="M184" s="38" t="s">
        <v>619</v>
      </c>
      <c r="N184" s="38" t="n">
        <f aca="false">ROUND(SUMIFS($J$2:$J$1137,$A$2:$A$1137,A184,$C$2:$C$1137,C184),9)</f>
        <v>1</v>
      </c>
    </row>
    <row r="185" customFormat="false" ht="15" hidden="false" customHeight="true" outlineLevel="0" collapsed="false">
      <c r="A185" s="38" t="n">
        <v>12</v>
      </c>
      <c r="B185" s="38" t="s">
        <v>630</v>
      </c>
      <c r="C185" s="38" t="s">
        <v>170</v>
      </c>
      <c r="D185" s="38" t="s">
        <v>171</v>
      </c>
      <c r="E185" s="38" t="str">
        <f aca="false">A185&amp;"|"&amp;C185&amp;"|"&amp;D185</f>
        <v>12|C|U</v>
      </c>
      <c r="F185" s="43" t="n">
        <v>11</v>
      </c>
      <c r="G185" s="38" t="n">
        <f aca="false">SUMIFS($F$2:$F$1137,$A$2:$A$1137,A185,$C$2:$C$1137,C185)</f>
        <v>29</v>
      </c>
      <c r="H185" s="43" t="n">
        <v>1</v>
      </c>
      <c r="I185" s="45" t="n">
        <f aca="false">IF(G185=0,"",F185/G185)</f>
        <v>0.379310344827586</v>
      </c>
      <c r="J185" s="45" t="n">
        <f aca="false">K185/L185</f>
        <v>0.363636363636364</v>
      </c>
      <c r="K185" s="38" t="n">
        <f aca="false">F185+H185</f>
        <v>12</v>
      </c>
      <c r="L185" s="38" t="n">
        <f aca="false">G185+4*H185</f>
        <v>33</v>
      </c>
      <c r="M185" s="38" t="s">
        <v>619</v>
      </c>
      <c r="N185" s="38" t="n">
        <f aca="false">ROUND(SUMIFS($J$2:$J$1137,$A$2:$A$1137,A185,$C$2:$C$1137,C185),9)</f>
        <v>1</v>
      </c>
    </row>
    <row r="186" customFormat="false" ht="15" hidden="false" customHeight="true" outlineLevel="0" collapsed="false">
      <c r="A186" s="38" t="n">
        <v>12</v>
      </c>
      <c r="B186" s="38" t="s">
        <v>630</v>
      </c>
      <c r="C186" s="38" t="s">
        <v>169</v>
      </c>
      <c r="D186" s="38" t="s">
        <v>172</v>
      </c>
      <c r="E186" s="38" t="str">
        <f aca="false">A186&amp;"|"&amp;C186&amp;"|"&amp;D186</f>
        <v>12|G|A</v>
      </c>
      <c r="F186" s="43" t="n">
        <v>5</v>
      </c>
      <c r="G186" s="38" t="n">
        <f aca="false">SUMIFS($F$2:$F$1137,$A$2:$A$1137,A186,$C$2:$C$1137,C186)</f>
        <v>38</v>
      </c>
      <c r="H186" s="43" t="n">
        <v>1</v>
      </c>
      <c r="I186" s="45" t="n">
        <f aca="false">IF(G186=0,"",F186/G186)</f>
        <v>0.131578947368421</v>
      </c>
      <c r="J186" s="45" t="n">
        <f aca="false">K186/L186</f>
        <v>0.142857142857143</v>
      </c>
      <c r="K186" s="38" t="n">
        <f aca="false">F186+H186</f>
        <v>6</v>
      </c>
      <c r="L186" s="38" t="n">
        <f aca="false">G186+4*H186</f>
        <v>42</v>
      </c>
      <c r="M186" s="38" t="s">
        <v>619</v>
      </c>
      <c r="N186" s="38" t="n">
        <f aca="false">ROUND(SUMIFS($J$2:$J$1137,$A$2:$A$1137,A186,$C$2:$C$1137,C186),9)</f>
        <v>1</v>
      </c>
    </row>
    <row r="187" customFormat="false" ht="15" hidden="false" customHeight="true" outlineLevel="0" collapsed="false">
      <c r="A187" s="38" t="n">
        <v>12</v>
      </c>
      <c r="B187" s="38" t="s">
        <v>630</v>
      </c>
      <c r="C187" s="38" t="s">
        <v>169</v>
      </c>
      <c r="D187" s="38" t="s">
        <v>170</v>
      </c>
      <c r="E187" s="38" t="str">
        <f aca="false">A187&amp;"|"&amp;C187&amp;"|"&amp;D187</f>
        <v>12|G|C</v>
      </c>
      <c r="F187" s="43" t="n">
        <v>19</v>
      </c>
      <c r="G187" s="38" t="n">
        <f aca="false">SUMIFS($F$2:$F$1137,$A$2:$A$1137,A187,$C$2:$C$1137,C187)</f>
        <v>38</v>
      </c>
      <c r="H187" s="43" t="n">
        <v>1</v>
      </c>
      <c r="I187" s="45" t="n">
        <f aca="false">IF(G187=0,"",F187/G187)</f>
        <v>0.5</v>
      </c>
      <c r="J187" s="45" t="n">
        <f aca="false">K187/L187</f>
        <v>0.476190476190476</v>
      </c>
      <c r="K187" s="38" t="n">
        <f aca="false">F187+H187</f>
        <v>20</v>
      </c>
      <c r="L187" s="38" t="n">
        <f aca="false">G187+4*H187</f>
        <v>42</v>
      </c>
      <c r="M187" s="38" t="s">
        <v>619</v>
      </c>
      <c r="N187" s="38" t="n">
        <f aca="false">ROUND(SUMIFS($J$2:$J$1137,$A$2:$A$1137,A187,$C$2:$C$1137,C187),9)</f>
        <v>1</v>
      </c>
    </row>
    <row r="188" customFormat="false" ht="15" hidden="false" customHeight="true" outlineLevel="0" collapsed="false">
      <c r="A188" s="38" t="n">
        <v>12</v>
      </c>
      <c r="B188" s="38" t="s">
        <v>630</v>
      </c>
      <c r="C188" s="38" t="s">
        <v>169</v>
      </c>
      <c r="D188" s="38" t="s">
        <v>169</v>
      </c>
      <c r="E188" s="38" t="str">
        <f aca="false">A188&amp;"|"&amp;C188&amp;"|"&amp;D188</f>
        <v>12|G|G</v>
      </c>
      <c r="F188" s="43" t="n">
        <v>5</v>
      </c>
      <c r="G188" s="38" t="n">
        <f aca="false">SUMIFS($F$2:$F$1137,$A$2:$A$1137,A188,$C$2:$C$1137,C188)</f>
        <v>38</v>
      </c>
      <c r="H188" s="43" t="n">
        <v>1</v>
      </c>
      <c r="I188" s="45" t="n">
        <f aca="false">IF(G188=0,"",F188/G188)</f>
        <v>0.131578947368421</v>
      </c>
      <c r="J188" s="45" t="n">
        <f aca="false">K188/L188</f>
        <v>0.142857142857143</v>
      </c>
      <c r="K188" s="38" t="n">
        <f aca="false">F188+H188</f>
        <v>6</v>
      </c>
      <c r="L188" s="38" t="n">
        <f aca="false">G188+4*H188</f>
        <v>42</v>
      </c>
      <c r="M188" s="38" t="s">
        <v>619</v>
      </c>
      <c r="N188" s="38" t="n">
        <f aca="false">ROUND(SUMIFS($J$2:$J$1137,$A$2:$A$1137,A188,$C$2:$C$1137,C188),9)</f>
        <v>1</v>
      </c>
    </row>
    <row r="189" customFormat="false" ht="15" hidden="false" customHeight="true" outlineLevel="0" collapsed="false">
      <c r="A189" s="38" t="n">
        <v>12</v>
      </c>
      <c r="B189" s="38" t="s">
        <v>630</v>
      </c>
      <c r="C189" s="38" t="s">
        <v>169</v>
      </c>
      <c r="D189" s="38" t="s">
        <v>171</v>
      </c>
      <c r="E189" s="38" t="str">
        <f aca="false">A189&amp;"|"&amp;C189&amp;"|"&amp;D189</f>
        <v>12|G|U</v>
      </c>
      <c r="F189" s="43" t="n">
        <v>9</v>
      </c>
      <c r="G189" s="38" t="n">
        <f aca="false">SUMIFS($F$2:$F$1137,$A$2:$A$1137,A189,$C$2:$C$1137,C189)</f>
        <v>38</v>
      </c>
      <c r="H189" s="43" t="n">
        <v>1</v>
      </c>
      <c r="I189" s="45" t="n">
        <f aca="false">IF(G189=0,"",F189/G189)</f>
        <v>0.236842105263158</v>
      </c>
      <c r="J189" s="45" t="n">
        <f aca="false">K189/L189</f>
        <v>0.238095238095238</v>
      </c>
      <c r="K189" s="38" t="n">
        <f aca="false">F189+H189</f>
        <v>10</v>
      </c>
      <c r="L189" s="38" t="n">
        <f aca="false">G189+4*H189</f>
        <v>42</v>
      </c>
      <c r="M189" s="38" t="s">
        <v>619</v>
      </c>
      <c r="N189" s="38" t="n">
        <f aca="false">ROUND(SUMIFS($J$2:$J$1137,$A$2:$A$1137,A189,$C$2:$C$1137,C189),9)</f>
        <v>1</v>
      </c>
    </row>
    <row r="190" customFormat="false" ht="15" hidden="false" customHeight="true" outlineLevel="0" collapsed="false">
      <c r="A190" s="38" t="n">
        <v>12</v>
      </c>
      <c r="B190" s="38" t="s">
        <v>630</v>
      </c>
      <c r="C190" s="38" t="s">
        <v>171</v>
      </c>
      <c r="D190" s="38" t="s">
        <v>172</v>
      </c>
      <c r="E190" s="38" t="str">
        <f aca="false">A190&amp;"|"&amp;C190&amp;"|"&amp;D190</f>
        <v>12|U|A</v>
      </c>
      <c r="F190" s="43" t="n">
        <v>1</v>
      </c>
      <c r="G190" s="38" t="n">
        <f aca="false">SUMIFS($F$2:$F$1137,$A$2:$A$1137,A190,$C$2:$C$1137,C190)</f>
        <v>119</v>
      </c>
      <c r="H190" s="43" t="n">
        <v>1</v>
      </c>
      <c r="I190" s="45" t="n">
        <f aca="false">IF(G190=0,"",F190/G190)</f>
        <v>0.00840336134453782</v>
      </c>
      <c r="J190" s="45" t="n">
        <f aca="false">K190/L190</f>
        <v>0.016260162601626</v>
      </c>
      <c r="K190" s="38" t="n">
        <f aca="false">F190+H190</f>
        <v>2</v>
      </c>
      <c r="L190" s="38" t="n">
        <f aca="false">G190+4*H190</f>
        <v>123</v>
      </c>
      <c r="M190" s="38" t="s">
        <v>619</v>
      </c>
      <c r="N190" s="38" t="n">
        <f aca="false">ROUND(SUMIFS($J$2:$J$1137,$A$2:$A$1137,A190,$C$2:$C$1137,C190),9)</f>
        <v>1</v>
      </c>
    </row>
    <row r="191" customFormat="false" ht="15" hidden="false" customHeight="true" outlineLevel="0" collapsed="false">
      <c r="A191" s="38" t="n">
        <v>12</v>
      </c>
      <c r="B191" s="38" t="s">
        <v>630</v>
      </c>
      <c r="C191" s="38" t="s">
        <v>171</v>
      </c>
      <c r="D191" s="38" t="s">
        <v>170</v>
      </c>
      <c r="E191" s="38" t="str">
        <f aca="false">A191&amp;"|"&amp;C191&amp;"|"&amp;D191</f>
        <v>12|U|C</v>
      </c>
      <c r="F191" s="43" t="n">
        <v>106</v>
      </c>
      <c r="G191" s="38" t="n">
        <f aca="false">SUMIFS($F$2:$F$1137,$A$2:$A$1137,A191,$C$2:$C$1137,C191)</f>
        <v>119</v>
      </c>
      <c r="H191" s="43" t="n">
        <v>1</v>
      </c>
      <c r="I191" s="45" t="n">
        <f aca="false">IF(G191=0,"",F191/G191)</f>
        <v>0.890756302521009</v>
      </c>
      <c r="J191" s="45" t="n">
        <f aca="false">K191/L191</f>
        <v>0.869918699186992</v>
      </c>
      <c r="K191" s="38" t="n">
        <f aca="false">F191+H191</f>
        <v>107</v>
      </c>
      <c r="L191" s="38" t="n">
        <f aca="false">G191+4*H191</f>
        <v>123</v>
      </c>
      <c r="M191" s="38" t="s">
        <v>619</v>
      </c>
      <c r="N191" s="38" t="n">
        <f aca="false">ROUND(SUMIFS($J$2:$J$1137,$A$2:$A$1137,A191,$C$2:$C$1137,C191),9)</f>
        <v>1</v>
      </c>
    </row>
    <row r="192" customFormat="false" ht="15" hidden="false" customHeight="true" outlineLevel="0" collapsed="false">
      <c r="A192" s="38" t="n">
        <v>12</v>
      </c>
      <c r="B192" s="38" t="s">
        <v>630</v>
      </c>
      <c r="C192" s="38" t="s">
        <v>171</v>
      </c>
      <c r="D192" s="38" t="s">
        <v>169</v>
      </c>
      <c r="E192" s="38" t="str">
        <f aca="false">A192&amp;"|"&amp;C192&amp;"|"&amp;D192</f>
        <v>12|U|G</v>
      </c>
      <c r="F192" s="43" t="n">
        <v>1</v>
      </c>
      <c r="G192" s="38" t="n">
        <f aca="false">SUMIFS($F$2:$F$1137,$A$2:$A$1137,A192,$C$2:$C$1137,C192)</f>
        <v>119</v>
      </c>
      <c r="H192" s="43" t="n">
        <v>1</v>
      </c>
      <c r="I192" s="45" t="n">
        <f aca="false">IF(G192=0,"",F192/G192)</f>
        <v>0.00840336134453782</v>
      </c>
      <c r="J192" s="45" t="n">
        <f aca="false">K192/L192</f>
        <v>0.016260162601626</v>
      </c>
      <c r="K192" s="38" t="n">
        <f aca="false">F192+H192</f>
        <v>2</v>
      </c>
      <c r="L192" s="38" t="n">
        <f aca="false">G192+4*H192</f>
        <v>123</v>
      </c>
      <c r="M192" s="38" t="s">
        <v>619</v>
      </c>
      <c r="N192" s="38" t="n">
        <f aca="false">ROUND(SUMIFS($J$2:$J$1137,$A$2:$A$1137,A192,$C$2:$C$1137,C192),9)</f>
        <v>1</v>
      </c>
    </row>
    <row r="193" customFormat="false" ht="15" hidden="false" customHeight="true" outlineLevel="0" collapsed="false">
      <c r="A193" s="38" t="n">
        <v>12</v>
      </c>
      <c r="B193" s="38" t="s">
        <v>630</v>
      </c>
      <c r="C193" s="38" t="s">
        <v>171</v>
      </c>
      <c r="D193" s="38" t="s">
        <v>171</v>
      </c>
      <c r="E193" s="38" t="str">
        <f aca="false">A193&amp;"|"&amp;C193&amp;"|"&amp;D193</f>
        <v>12|U|U</v>
      </c>
      <c r="F193" s="43" t="n">
        <v>11</v>
      </c>
      <c r="G193" s="38" t="n">
        <f aca="false">SUMIFS($F$2:$F$1137,$A$2:$A$1137,A193,$C$2:$C$1137,C193)</f>
        <v>119</v>
      </c>
      <c r="H193" s="43" t="n">
        <v>1</v>
      </c>
      <c r="I193" s="45" t="n">
        <f aca="false">IF(G193=0,"",F193/G193)</f>
        <v>0.092436974789916</v>
      </c>
      <c r="J193" s="45" t="n">
        <f aca="false">K193/L193</f>
        <v>0.0975609756097561</v>
      </c>
      <c r="K193" s="38" t="n">
        <f aca="false">F193+H193</f>
        <v>12</v>
      </c>
      <c r="L193" s="38" t="n">
        <f aca="false">G193+4*H193</f>
        <v>123</v>
      </c>
      <c r="M193" s="38" t="s">
        <v>619</v>
      </c>
      <c r="N193" s="38" t="n">
        <f aca="false">ROUND(SUMIFS($J$2:$J$1137,$A$2:$A$1137,A193,$C$2:$C$1137,C193),9)</f>
        <v>1</v>
      </c>
    </row>
    <row r="194" customFormat="false" ht="15" hidden="false" customHeight="true" outlineLevel="0" collapsed="false">
      <c r="A194" s="38" t="n">
        <v>13</v>
      </c>
      <c r="B194" s="38" t="s">
        <v>631</v>
      </c>
      <c r="C194" s="38" t="s">
        <v>172</v>
      </c>
      <c r="D194" s="38" t="s">
        <v>172</v>
      </c>
      <c r="E194" s="38" t="str">
        <f aca="false">A194&amp;"|"&amp;C194&amp;"|"&amp;D194</f>
        <v>13|A|A</v>
      </c>
      <c r="F194" s="43" t="n">
        <v>12</v>
      </c>
      <c r="G194" s="38" t="n">
        <f aca="false">SUMIFS($F$2:$F$1137,$A$2:$A$1137,A194,$C$2:$C$1137,C194)</f>
        <v>13</v>
      </c>
      <c r="H194" s="43" t="n">
        <v>1</v>
      </c>
      <c r="I194" s="45" t="n">
        <f aca="false">IF(G194=0,"",F194/G194)</f>
        <v>0.923076923076923</v>
      </c>
      <c r="J194" s="45" t="n">
        <f aca="false">K194/L194</f>
        <v>0.764705882352941</v>
      </c>
      <c r="K194" s="38" t="n">
        <f aca="false">F194+H194</f>
        <v>13</v>
      </c>
      <c r="L194" s="38" t="n">
        <f aca="false">G194+4*H194</f>
        <v>17</v>
      </c>
      <c r="M194" s="38" t="s">
        <v>619</v>
      </c>
      <c r="N194" s="38" t="n">
        <f aca="false">ROUND(SUMIFS($J$2:$J$1137,$A$2:$A$1137,A194,$C$2:$C$1137,C194),9)</f>
        <v>1</v>
      </c>
    </row>
    <row r="195" customFormat="false" ht="15" hidden="false" customHeight="true" outlineLevel="0" collapsed="false">
      <c r="A195" s="38" t="n">
        <v>13</v>
      </c>
      <c r="B195" s="38" t="s">
        <v>631</v>
      </c>
      <c r="C195" s="38" t="s">
        <v>172</v>
      </c>
      <c r="D195" s="38" t="s">
        <v>170</v>
      </c>
      <c r="E195" s="38" t="str">
        <f aca="false">A195&amp;"|"&amp;C195&amp;"|"&amp;D195</f>
        <v>13|A|C</v>
      </c>
      <c r="F195" s="43" t="n">
        <v>0</v>
      </c>
      <c r="G195" s="38" t="n">
        <f aca="false">SUMIFS($F$2:$F$1137,$A$2:$A$1137,A195,$C$2:$C$1137,C195)</f>
        <v>13</v>
      </c>
      <c r="H195" s="43" t="n">
        <v>1</v>
      </c>
      <c r="I195" s="45" t="n">
        <f aca="false">IF(G195=0,"",F195/G195)</f>
        <v>0</v>
      </c>
      <c r="J195" s="45" t="n">
        <f aca="false">K195/L195</f>
        <v>0.0588235294117647</v>
      </c>
      <c r="K195" s="38" t="n">
        <f aca="false">F195+H195</f>
        <v>1</v>
      </c>
      <c r="L195" s="38" t="n">
        <f aca="false">G195+4*H195</f>
        <v>17</v>
      </c>
      <c r="M195" s="38" t="s">
        <v>619</v>
      </c>
      <c r="N195" s="38" t="n">
        <f aca="false">ROUND(SUMIFS($J$2:$J$1137,$A$2:$A$1137,A195,$C$2:$C$1137,C195),9)</f>
        <v>1</v>
      </c>
    </row>
    <row r="196" customFormat="false" ht="15" hidden="false" customHeight="true" outlineLevel="0" collapsed="false">
      <c r="A196" s="38" t="n">
        <v>13</v>
      </c>
      <c r="B196" s="38" t="s">
        <v>631</v>
      </c>
      <c r="C196" s="38" t="s">
        <v>172</v>
      </c>
      <c r="D196" s="38" t="s">
        <v>169</v>
      </c>
      <c r="E196" s="38" t="str">
        <f aca="false">A196&amp;"|"&amp;C196&amp;"|"&amp;D196</f>
        <v>13|A|G</v>
      </c>
      <c r="F196" s="43" t="n">
        <v>1</v>
      </c>
      <c r="G196" s="38" t="n">
        <f aca="false">SUMIFS($F$2:$F$1137,$A$2:$A$1137,A196,$C$2:$C$1137,C196)</f>
        <v>13</v>
      </c>
      <c r="H196" s="43" t="n">
        <v>1</v>
      </c>
      <c r="I196" s="45" t="n">
        <f aca="false">IF(G196=0,"",F196/G196)</f>
        <v>0.0769230769230769</v>
      </c>
      <c r="J196" s="45" t="n">
        <f aca="false">K196/L196</f>
        <v>0.117647058823529</v>
      </c>
      <c r="K196" s="38" t="n">
        <f aca="false">F196+H196</f>
        <v>2</v>
      </c>
      <c r="L196" s="38" t="n">
        <f aca="false">G196+4*H196</f>
        <v>17</v>
      </c>
      <c r="M196" s="38" t="s">
        <v>619</v>
      </c>
      <c r="N196" s="38" t="n">
        <f aca="false">ROUND(SUMIFS($J$2:$J$1137,$A$2:$A$1137,A196,$C$2:$C$1137,C196),9)</f>
        <v>1</v>
      </c>
    </row>
    <row r="197" customFormat="false" ht="15" hidden="false" customHeight="true" outlineLevel="0" collapsed="false">
      <c r="A197" s="38" t="n">
        <v>13</v>
      </c>
      <c r="B197" s="38" t="s">
        <v>631</v>
      </c>
      <c r="C197" s="38" t="s">
        <v>172</v>
      </c>
      <c r="D197" s="38" t="s">
        <v>171</v>
      </c>
      <c r="E197" s="38" t="str">
        <f aca="false">A197&amp;"|"&amp;C197&amp;"|"&amp;D197</f>
        <v>13|A|U</v>
      </c>
      <c r="F197" s="43" t="n">
        <v>0</v>
      </c>
      <c r="G197" s="38" t="n">
        <f aca="false">SUMIFS($F$2:$F$1137,$A$2:$A$1137,A197,$C$2:$C$1137,C197)</f>
        <v>13</v>
      </c>
      <c r="H197" s="43" t="n">
        <v>1</v>
      </c>
      <c r="I197" s="45" t="n">
        <f aca="false">IF(G197=0,"",F197/G197)</f>
        <v>0</v>
      </c>
      <c r="J197" s="45" t="n">
        <f aca="false">K197/L197</f>
        <v>0.0588235294117647</v>
      </c>
      <c r="K197" s="38" t="n">
        <f aca="false">F197+H197</f>
        <v>1</v>
      </c>
      <c r="L197" s="38" t="n">
        <f aca="false">G197+4*H197</f>
        <v>17</v>
      </c>
      <c r="M197" s="38" t="s">
        <v>619</v>
      </c>
      <c r="N197" s="38" t="n">
        <f aca="false">ROUND(SUMIFS($J$2:$J$1137,$A$2:$A$1137,A197,$C$2:$C$1137,C197),9)</f>
        <v>1</v>
      </c>
    </row>
    <row r="198" customFormat="false" ht="15" hidden="false" customHeight="true" outlineLevel="0" collapsed="false">
      <c r="A198" s="38" t="n">
        <v>13</v>
      </c>
      <c r="B198" s="38" t="s">
        <v>631</v>
      </c>
      <c r="C198" s="38" t="s">
        <v>170</v>
      </c>
      <c r="D198" s="38" t="s">
        <v>172</v>
      </c>
      <c r="E198" s="38" t="str">
        <f aca="false">A198&amp;"|"&amp;C198&amp;"|"&amp;D198</f>
        <v>13|C|A</v>
      </c>
      <c r="F198" s="43" t="n">
        <v>128</v>
      </c>
      <c r="G198" s="38" t="n">
        <f aca="false">SUMIFS($F$2:$F$1137,$A$2:$A$1137,A198,$C$2:$C$1137,C198)</f>
        <v>129</v>
      </c>
      <c r="H198" s="43" t="n">
        <v>1</v>
      </c>
      <c r="I198" s="45" t="n">
        <f aca="false">IF(G198=0,"",F198/G198)</f>
        <v>0.992248062015504</v>
      </c>
      <c r="J198" s="45" t="n">
        <f aca="false">K198/L198</f>
        <v>0.969924812030075</v>
      </c>
      <c r="K198" s="38" t="n">
        <f aca="false">F198+H198</f>
        <v>129</v>
      </c>
      <c r="L198" s="38" t="n">
        <f aca="false">G198+4*H198</f>
        <v>133</v>
      </c>
      <c r="M198" s="38" t="s">
        <v>619</v>
      </c>
      <c r="N198" s="38" t="n">
        <f aca="false">ROUND(SUMIFS($J$2:$J$1137,$A$2:$A$1137,A198,$C$2:$C$1137,C198),9)</f>
        <v>1</v>
      </c>
    </row>
    <row r="199" customFormat="false" ht="15" hidden="false" customHeight="true" outlineLevel="0" collapsed="false">
      <c r="A199" s="38" t="n">
        <v>13</v>
      </c>
      <c r="B199" s="38" t="s">
        <v>631</v>
      </c>
      <c r="C199" s="38" t="s">
        <v>170</v>
      </c>
      <c r="D199" s="38" t="s">
        <v>170</v>
      </c>
      <c r="E199" s="38" t="str">
        <f aca="false">A199&amp;"|"&amp;C199&amp;"|"&amp;D199</f>
        <v>13|C|C</v>
      </c>
      <c r="F199" s="43" t="n">
        <v>1</v>
      </c>
      <c r="G199" s="38" t="n">
        <f aca="false">SUMIFS($F$2:$F$1137,$A$2:$A$1137,A199,$C$2:$C$1137,C199)</f>
        <v>129</v>
      </c>
      <c r="H199" s="43" t="n">
        <v>1</v>
      </c>
      <c r="I199" s="45" t="n">
        <f aca="false">IF(G199=0,"",F199/G199)</f>
        <v>0.00775193798449612</v>
      </c>
      <c r="J199" s="45" t="n">
        <f aca="false">K199/L199</f>
        <v>0.0150375939849624</v>
      </c>
      <c r="K199" s="38" t="n">
        <f aca="false">F199+H199</f>
        <v>2</v>
      </c>
      <c r="L199" s="38" t="n">
        <f aca="false">G199+4*H199</f>
        <v>133</v>
      </c>
      <c r="M199" s="38" t="s">
        <v>619</v>
      </c>
      <c r="N199" s="38" t="n">
        <f aca="false">ROUND(SUMIFS($J$2:$J$1137,$A$2:$A$1137,A199,$C$2:$C$1137,C199),9)</f>
        <v>1</v>
      </c>
    </row>
    <row r="200" customFormat="false" ht="15" hidden="false" customHeight="true" outlineLevel="0" collapsed="false">
      <c r="A200" s="38" t="n">
        <v>13</v>
      </c>
      <c r="B200" s="38" t="s">
        <v>631</v>
      </c>
      <c r="C200" s="38" t="s">
        <v>170</v>
      </c>
      <c r="D200" s="38" t="s">
        <v>169</v>
      </c>
      <c r="E200" s="38" t="str">
        <f aca="false">A200&amp;"|"&amp;C200&amp;"|"&amp;D200</f>
        <v>13|C|G</v>
      </c>
      <c r="F200" s="43" t="n">
        <v>0</v>
      </c>
      <c r="G200" s="38" t="n">
        <f aca="false">SUMIFS($F$2:$F$1137,$A$2:$A$1137,A200,$C$2:$C$1137,C200)</f>
        <v>129</v>
      </c>
      <c r="H200" s="43" t="n">
        <v>1</v>
      </c>
      <c r="I200" s="45" t="n">
        <f aca="false">IF(G200=0,"",F200/G200)</f>
        <v>0</v>
      </c>
      <c r="J200" s="45" t="n">
        <f aca="false">K200/L200</f>
        <v>0.0075187969924812</v>
      </c>
      <c r="K200" s="38" t="n">
        <f aca="false">F200+H200</f>
        <v>1</v>
      </c>
      <c r="L200" s="38" t="n">
        <f aca="false">G200+4*H200</f>
        <v>133</v>
      </c>
      <c r="M200" s="38" t="s">
        <v>619</v>
      </c>
      <c r="N200" s="38" t="n">
        <f aca="false">ROUND(SUMIFS($J$2:$J$1137,$A$2:$A$1137,A200,$C$2:$C$1137,C200),9)</f>
        <v>1</v>
      </c>
    </row>
    <row r="201" customFormat="false" ht="15" hidden="false" customHeight="true" outlineLevel="0" collapsed="false">
      <c r="A201" s="38" t="n">
        <v>13</v>
      </c>
      <c r="B201" s="38" t="s">
        <v>631</v>
      </c>
      <c r="C201" s="38" t="s">
        <v>170</v>
      </c>
      <c r="D201" s="38" t="s">
        <v>171</v>
      </c>
      <c r="E201" s="38" t="str">
        <f aca="false">A201&amp;"|"&amp;C201&amp;"|"&amp;D201</f>
        <v>13|C|U</v>
      </c>
      <c r="F201" s="43" t="n">
        <v>0</v>
      </c>
      <c r="G201" s="38" t="n">
        <f aca="false">SUMIFS($F$2:$F$1137,$A$2:$A$1137,A201,$C$2:$C$1137,C201)</f>
        <v>129</v>
      </c>
      <c r="H201" s="43" t="n">
        <v>1</v>
      </c>
      <c r="I201" s="45" t="n">
        <f aca="false">IF(G201=0,"",F201/G201)</f>
        <v>0</v>
      </c>
      <c r="J201" s="45" t="n">
        <f aca="false">K201/L201</f>
        <v>0.0075187969924812</v>
      </c>
      <c r="K201" s="38" t="n">
        <f aca="false">F201+H201</f>
        <v>1</v>
      </c>
      <c r="L201" s="38" t="n">
        <f aca="false">G201+4*H201</f>
        <v>133</v>
      </c>
      <c r="M201" s="38" t="s">
        <v>619</v>
      </c>
      <c r="N201" s="38" t="n">
        <f aca="false">ROUND(SUMIFS($J$2:$J$1137,$A$2:$A$1137,A201,$C$2:$C$1137,C201),9)</f>
        <v>1</v>
      </c>
    </row>
    <row r="202" customFormat="false" ht="15" hidden="false" customHeight="true" outlineLevel="0" collapsed="false">
      <c r="A202" s="38" t="n">
        <v>13</v>
      </c>
      <c r="B202" s="38" t="s">
        <v>631</v>
      </c>
      <c r="C202" s="38" t="s">
        <v>169</v>
      </c>
      <c r="D202" s="38" t="s">
        <v>172</v>
      </c>
      <c r="E202" s="38" t="str">
        <f aca="false">A202&amp;"|"&amp;C202&amp;"|"&amp;D202</f>
        <v>13|G|A</v>
      </c>
      <c r="F202" s="43" t="n">
        <v>19</v>
      </c>
      <c r="G202" s="38" t="n">
        <f aca="false">SUMIFS($F$2:$F$1137,$A$2:$A$1137,A202,$C$2:$C$1137,C202)</f>
        <v>19</v>
      </c>
      <c r="H202" s="43" t="n">
        <v>1</v>
      </c>
      <c r="I202" s="45" t="n">
        <f aca="false">IF(G202=0,"",F202/G202)</f>
        <v>1</v>
      </c>
      <c r="J202" s="45" t="n">
        <f aca="false">K202/L202</f>
        <v>0.869565217391304</v>
      </c>
      <c r="K202" s="38" t="n">
        <f aca="false">F202+H202</f>
        <v>20</v>
      </c>
      <c r="L202" s="38" t="n">
        <f aca="false">G202+4*H202</f>
        <v>23</v>
      </c>
      <c r="M202" s="38" t="s">
        <v>619</v>
      </c>
      <c r="N202" s="38" t="n">
        <f aca="false">ROUND(SUMIFS($J$2:$J$1137,$A$2:$A$1137,A202,$C$2:$C$1137,C202),9)</f>
        <v>1</v>
      </c>
    </row>
    <row r="203" customFormat="false" ht="15" hidden="false" customHeight="true" outlineLevel="0" collapsed="false">
      <c r="A203" s="38" t="n">
        <v>13</v>
      </c>
      <c r="B203" s="38" t="s">
        <v>631</v>
      </c>
      <c r="C203" s="38" t="s">
        <v>169</v>
      </c>
      <c r="D203" s="38" t="s">
        <v>170</v>
      </c>
      <c r="E203" s="38" t="str">
        <f aca="false">A203&amp;"|"&amp;C203&amp;"|"&amp;D203</f>
        <v>13|G|C</v>
      </c>
      <c r="F203" s="43" t="n">
        <v>0</v>
      </c>
      <c r="G203" s="38" t="n">
        <f aca="false">SUMIFS($F$2:$F$1137,$A$2:$A$1137,A203,$C$2:$C$1137,C203)</f>
        <v>19</v>
      </c>
      <c r="H203" s="43" t="n">
        <v>1</v>
      </c>
      <c r="I203" s="45" t="n">
        <f aca="false">IF(G203=0,"",F203/G203)</f>
        <v>0</v>
      </c>
      <c r="J203" s="45" t="n">
        <f aca="false">K203/L203</f>
        <v>0.0434782608695652</v>
      </c>
      <c r="K203" s="38" t="n">
        <f aca="false">F203+H203</f>
        <v>1</v>
      </c>
      <c r="L203" s="38" t="n">
        <f aca="false">G203+4*H203</f>
        <v>23</v>
      </c>
      <c r="M203" s="38" t="s">
        <v>619</v>
      </c>
      <c r="N203" s="38" t="n">
        <f aca="false">ROUND(SUMIFS($J$2:$J$1137,$A$2:$A$1137,A203,$C$2:$C$1137,C203),9)</f>
        <v>1</v>
      </c>
    </row>
    <row r="204" customFormat="false" ht="15" hidden="false" customHeight="true" outlineLevel="0" collapsed="false">
      <c r="A204" s="38" t="n">
        <v>13</v>
      </c>
      <c r="B204" s="38" t="s">
        <v>631</v>
      </c>
      <c r="C204" s="38" t="s">
        <v>169</v>
      </c>
      <c r="D204" s="38" t="s">
        <v>169</v>
      </c>
      <c r="E204" s="38" t="str">
        <f aca="false">A204&amp;"|"&amp;C204&amp;"|"&amp;D204</f>
        <v>13|G|G</v>
      </c>
      <c r="F204" s="43" t="n">
        <v>0</v>
      </c>
      <c r="G204" s="38" t="n">
        <f aca="false">SUMIFS($F$2:$F$1137,$A$2:$A$1137,A204,$C$2:$C$1137,C204)</f>
        <v>19</v>
      </c>
      <c r="H204" s="43" t="n">
        <v>1</v>
      </c>
      <c r="I204" s="45" t="n">
        <f aca="false">IF(G204=0,"",F204/G204)</f>
        <v>0</v>
      </c>
      <c r="J204" s="45" t="n">
        <f aca="false">K204/L204</f>
        <v>0.0434782608695652</v>
      </c>
      <c r="K204" s="38" t="n">
        <f aca="false">F204+H204</f>
        <v>1</v>
      </c>
      <c r="L204" s="38" t="n">
        <f aca="false">G204+4*H204</f>
        <v>23</v>
      </c>
      <c r="M204" s="38" t="s">
        <v>619</v>
      </c>
      <c r="N204" s="38" t="n">
        <f aca="false">ROUND(SUMIFS($J$2:$J$1137,$A$2:$A$1137,A204,$C$2:$C$1137,C204),9)</f>
        <v>1</v>
      </c>
    </row>
    <row r="205" customFormat="false" ht="15" hidden="false" customHeight="true" outlineLevel="0" collapsed="false">
      <c r="A205" s="38" t="n">
        <v>13</v>
      </c>
      <c r="B205" s="38" t="s">
        <v>631</v>
      </c>
      <c r="C205" s="38" t="s">
        <v>169</v>
      </c>
      <c r="D205" s="38" t="s">
        <v>171</v>
      </c>
      <c r="E205" s="38" t="str">
        <f aca="false">A205&amp;"|"&amp;C205&amp;"|"&amp;D205</f>
        <v>13|G|U</v>
      </c>
      <c r="F205" s="43" t="n">
        <v>0</v>
      </c>
      <c r="G205" s="38" t="n">
        <f aca="false">SUMIFS($F$2:$F$1137,$A$2:$A$1137,A205,$C$2:$C$1137,C205)</f>
        <v>19</v>
      </c>
      <c r="H205" s="43" t="n">
        <v>1</v>
      </c>
      <c r="I205" s="45" t="n">
        <f aca="false">IF(G205=0,"",F205/G205)</f>
        <v>0</v>
      </c>
      <c r="J205" s="45" t="n">
        <f aca="false">K205/L205</f>
        <v>0.0434782608695652</v>
      </c>
      <c r="K205" s="38" t="n">
        <f aca="false">F205+H205</f>
        <v>1</v>
      </c>
      <c r="L205" s="38" t="n">
        <f aca="false">G205+4*H205</f>
        <v>23</v>
      </c>
      <c r="M205" s="38" t="s">
        <v>619</v>
      </c>
      <c r="N205" s="38" t="n">
        <f aca="false">ROUND(SUMIFS($J$2:$J$1137,$A$2:$A$1137,A205,$C$2:$C$1137,C205),9)</f>
        <v>1</v>
      </c>
    </row>
    <row r="206" customFormat="false" ht="15" hidden="false" customHeight="true" outlineLevel="0" collapsed="false">
      <c r="A206" s="38" t="n">
        <v>13</v>
      </c>
      <c r="B206" s="38" t="s">
        <v>631</v>
      </c>
      <c r="C206" s="38" t="s">
        <v>171</v>
      </c>
      <c r="D206" s="38" t="s">
        <v>172</v>
      </c>
      <c r="E206" s="38" t="str">
        <f aca="false">A206&amp;"|"&amp;C206&amp;"|"&amp;D206</f>
        <v>13|U|A</v>
      </c>
      <c r="F206" s="43" t="n">
        <v>38</v>
      </c>
      <c r="G206" s="38" t="n">
        <f aca="false">SUMIFS($F$2:$F$1137,$A$2:$A$1137,A206,$C$2:$C$1137,C206)</f>
        <v>38</v>
      </c>
      <c r="H206" s="43" t="n">
        <v>1</v>
      </c>
      <c r="I206" s="45" t="n">
        <f aca="false">IF(G206=0,"",F206/G206)</f>
        <v>1</v>
      </c>
      <c r="J206" s="45" t="n">
        <f aca="false">K206/L206</f>
        <v>0.928571428571429</v>
      </c>
      <c r="K206" s="38" t="n">
        <f aca="false">F206+H206</f>
        <v>39</v>
      </c>
      <c r="L206" s="38" t="n">
        <f aca="false">G206+4*H206</f>
        <v>42</v>
      </c>
      <c r="M206" s="38" t="s">
        <v>619</v>
      </c>
      <c r="N206" s="38" t="n">
        <f aca="false">ROUND(SUMIFS($J$2:$J$1137,$A$2:$A$1137,A206,$C$2:$C$1137,C206),9)</f>
        <v>1</v>
      </c>
    </row>
    <row r="207" customFormat="false" ht="15" hidden="false" customHeight="true" outlineLevel="0" collapsed="false">
      <c r="A207" s="38" t="n">
        <v>13</v>
      </c>
      <c r="B207" s="38" t="s">
        <v>631</v>
      </c>
      <c r="C207" s="38" t="s">
        <v>171</v>
      </c>
      <c r="D207" s="38" t="s">
        <v>170</v>
      </c>
      <c r="E207" s="38" t="str">
        <f aca="false">A207&amp;"|"&amp;C207&amp;"|"&amp;D207</f>
        <v>13|U|C</v>
      </c>
      <c r="F207" s="43" t="n">
        <v>0</v>
      </c>
      <c r="G207" s="38" t="n">
        <f aca="false">SUMIFS($F$2:$F$1137,$A$2:$A$1137,A207,$C$2:$C$1137,C207)</f>
        <v>38</v>
      </c>
      <c r="H207" s="43" t="n">
        <v>1</v>
      </c>
      <c r="I207" s="45" t="n">
        <f aca="false">IF(G207=0,"",F207/G207)</f>
        <v>0</v>
      </c>
      <c r="J207" s="45" t="n">
        <f aca="false">K207/L207</f>
        <v>0.0238095238095238</v>
      </c>
      <c r="K207" s="38" t="n">
        <f aca="false">F207+H207</f>
        <v>1</v>
      </c>
      <c r="L207" s="38" t="n">
        <f aca="false">G207+4*H207</f>
        <v>42</v>
      </c>
      <c r="M207" s="38" t="s">
        <v>619</v>
      </c>
      <c r="N207" s="38" t="n">
        <f aca="false">ROUND(SUMIFS($J$2:$J$1137,$A$2:$A$1137,A207,$C$2:$C$1137,C207),9)</f>
        <v>1</v>
      </c>
    </row>
    <row r="208" customFormat="false" ht="15" hidden="false" customHeight="true" outlineLevel="0" collapsed="false">
      <c r="A208" s="38" t="n">
        <v>13</v>
      </c>
      <c r="B208" s="38" t="s">
        <v>631</v>
      </c>
      <c r="C208" s="38" t="s">
        <v>171</v>
      </c>
      <c r="D208" s="38" t="s">
        <v>169</v>
      </c>
      <c r="E208" s="38" t="str">
        <f aca="false">A208&amp;"|"&amp;C208&amp;"|"&amp;D208</f>
        <v>13|U|G</v>
      </c>
      <c r="F208" s="43" t="n">
        <v>0</v>
      </c>
      <c r="G208" s="38" t="n">
        <f aca="false">SUMIFS($F$2:$F$1137,$A$2:$A$1137,A208,$C$2:$C$1137,C208)</f>
        <v>38</v>
      </c>
      <c r="H208" s="43" t="n">
        <v>1</v>
      </c>
      <c r="I208" s="45" t="n">
        <f aca="false">IF(G208=0,"",F208/G208)</f>
        <v>0</v>
      </c>
      <c r="J208" s="45" t="n">
        <f aca="false">K208/L208</f>
        <v>0.0238095238095238</v>
      </c>
      <c r="K208" s="38" t="n">
        <f aca="false">F208+H208</f>
        <v>1</v>
      </c>
      <c r="L208" s="38" t="n">
        <f aca="false">G208+4*H208</f>
        <v>42</v>
      </c>
      <c r="M208" s="38" t="s">
        <v>619</v>
      </c>
      <c r="N208" s="38" t="n">
        <f aca="false">ROUND(SUMIFS($J$2:$J$1137,$A$2:$A$1137,A208,$C$2:$C$1137,C208),9)</f>
        <v>1</v>
      </c>
    </row>
    <row r="209" customFormat="false" ht="15" hidden="false" customHeight="true" outlineLevel="0" collapsed="false">
      <c r="A209" s="38" t="n">
        <v>13</v>
      </c>
      <c r="B209" s="38" t="s">
        <v>631</v>
      </c>
      <c r="C209" s="38" t="s">
        <v>171</v>
      </c>
      <c r="D209" s="38" t="s">
        <v>171</v>
      </c>
      <c r="E209" s="38" t="str">
        <f aca="false">A209&amp;"|"&amp;C209&amp;"|"&amp;D209</f>
        <v>13|U|U</v>
      </c>
      <c r="F209" s="43" t="n">
        <v>0</v>
      </c>
      <c r="G209" s="38" t="n">
        <f aca="false">SUMIFS($F$2:$F$1137,$A$2:$A$1137,A209,$C$2:$C$1137,C209)</f>
        <v>38</v>
      </c>
      <c r="H209" s="43" t="n">
        <v>1</v>
      </c>
      <c r="I209" s="45" t="n">
        <f aca="false">IF(G209=0,"",F209/G209)</f>
        <v>0</v>
      </c>
      <c r="J209" s="45" t="n">
        <f aca="false">K209/L209</f>
        <v>0.0238095238095238</v>
      </c>
      <c r="K209" s="38" t="n">
        <f aca="false">F209+H209</f>
        <v>1</v>
      </c>
      <c r="L209" s="38" t="n">
        <f aca="false">G209+4*H209</f>
        <v>42</v>
      </c>
      <c r="M209" s="38" t="s">
        <v>619</v>
      </c>
      <c r="N209" s="38" t="n">
        <f aca="false">ROUND(SUMIFS($J$2:$J$1137,$A$2:$A$1137,A209,$C$2:$C$1137,C209),9)</f>
        <v>1</v>
      </c>
    </row>
    <row r="210" customFormat="false" ht="15" hidden="false" customHeight="true" outlineLevel="0" collapsed="false">
      <c r="A210" s="38" t="n">
        <v>14</v>
      </c>
      <c r="B210" s="38" t="s">
        <v>632</v>
      </c>
      <c r="C210" s="38" t="s">
        <v>172</v>
      </c>
      <c r="D210" s="38" t="s">
        <v>172</v>
      </c>
      <c r="E210" s="38" t="str">
        <f aca="false">A210&amp;"|"&amp;C210&amp;"|"&amp;D210</f>
        <v>14|A|A</v>
      </c>
      <c r="F210" s="43" t="n">
        <v>32</v>
      </c>
      <c r="G210" s="38" t="n">
        <f aca="false">SUMIFS($F$2:$F$1137,$A$2:$A$1137,A210,$C$2:$C$1137,C210)</f>
        <v>196</v>
      </c>
      <c r="H210" s="43" t="n">
        <v>1</v>
      </c>
      <c r="I210" s="45" t="n">
        <f aca="false">IF(G210=0,"",F210/G210)</f>
        <v>0.163265306122449</v>
      </c>
      <c r="J210" s="45" t="n">
        <f aca="false">K210/L210</f>
        <v>0.165</v>
      </c>
      <c r="K210" s="38" t="n">
        <f aca="false">F210+H210</f>
        <v>33</v>
      </c>
      <c r="L210" s="38" t="n">
        <f aca="false">G210+4*H210</f>
        <v>200</v>
      </c>
      <c r="M210" s="38" t="s">
        <v>619</v>
      </c>
      <c r="N210" s="38" t="n">
        <f aca="false">ROUND(SUMIFS($J$2:$J$1137,$A$2:$A$1137,A210,$C$2:$C$1137,C210),9)</f>
        <v>1</v>
      </c>
    </row>
    <row r="211" customFormat="false" ht="15" hidden="false" customHeight="true" outlineLevel="0" collapsed="false">
      <c r="A211" s="38" t="n">
        <v>14</v>
      </c>
      <c r="B211" s="38" t="s">
        <v>632</v>
      </c>
      <c r="C211" s="38" t="s">
        <v>172</v>
      </c>
      <c r="D211" s="38" t="s">
        <v>170</v>
      </c>
      <c r="E211" s="38" t="str">
        <f aca="false">A211&amp;"|"&amp;C211&amp;"|"&amp;D211</f>
        <v>14|A|C</v>
      </c>
      <c r="F211" s="43" t="n">
        <v>1</v>
      </c>
      <c r="G211" s="38" t="n">
        <f aca="false">SUMIFS($F$2:$F$1137,$A$2:$A$1137,A211,$C$2:$C$1137,C211)</f>
        <v>196</v>
      </c>
      <c r="H211" s="43" t="n">
        <v>1</v>
      </c>
      <c r="I211" s="45" t="n">
        <f aca="false">IF(G211=0,"",F211/G211)</f>
        <v>0.00510204081632653</v>
      </c>
      <c r="J211" s="45" t="n">
        <f aca="false">K211/L211</f>
        <v>0.01</v>
      </c>
      <c r="K211" s="38" t="n">
        <f aca="false">F211+H211</f>
        <v>2</v>
      </c>
      <c r="L211" s="38" t="n">
        <f aca="false">G211+4*H211</f>
        <v>200</v>
      </c>
      <c r="M211" s="38" t="s">
        <v>619</v>
      </c>
      <c r="N211" s="38" t="n">
        <f aca="false">ROUND(SUMIFS($J$2:$J$1137,$A$2:$A$1137,A211,$C$2:$C$1137,C211),9)</f>
        <v>1</v>
      </c>
    </row>
    <row r="212" customFormat="false" ht="15" hidden="false" customHeight="true" outlineLevel="0" collapsed="false">
      <c r="A212" s="38" t="n">
        <v>14</v>
      </c>
      <c r="B212" s="38" t="s">
        <v>632</v>
      </c>
      <c r="C212" s="38" t="s">
        <v>172</v>
      </c>
      <c r="D212" s="38" t="s">
        <v>169</v>
      </c>
      <c r="E212" s="38" t="str">
        <f aca="false">A212&amp;"|"&amp;C212&amp;"|"&amp;D212</f>
        <v>14|A|G</v>
      </c>
      <c r="F212" s="43" t="n">
        <v>161</v>
      </c>
      <c r="G212" s="38" t="n">
        <f aca="false">SUMIFS($F$2:$F$1137,$A$2:$A$1137,A212,$C$2:$C$1137,C212)</f>
        <v>196</v>
      </c>
      <c r="H212" s="43" t="n">
        <v>1</v>
      </c>
      <c r="I212" s="45" t="n">
        <f aca="false">IF(G212=0,"",F212/G212)</f>
        <v>0.821428571428571</v>
      </c>
      <c r="J212" s="45" t="n">
        <f aca="false">K212/L212</f>
        <v>0.81</v>
      </c>
      <c r="K212" s="38" t="n">
        <f aca="false">F212+H212</f>
        <v>162</v>
      </c>
      <c r="L212" s="38" t="n">
        <f aca="false">G212+4*H212</f>
        <v>200</v>
      </c>
      <c r="M212" s="38" t="s">
        <v>619</v>
      </c>
      <c r="N212" s="38" t="n">
        <f aca="false">ROUND(SUMIFS($J$2:$J$1137,$A$2:$A$1137,A212,$C$2:$C$1137,C212),9)</f>
        <v>1</v>
      </c>
    </row>
    <row r="213" customFormat="false" ht="15" hidden="false" customHeight="true" outlineLevel="0" collapsed="false">
      <c r="A213" s="38" t="n">
        <v>14</v>
      </c>
      <c r="B213" s="38" t="s">
        <v>632</v>
      </c>
      <c r="C213" s="38" t="s">
        <v>172</v>
      </c>
      <c r="D213" s="38" t="s">
        <v>171</v>
      </c>
      <c r="E213" s="38" t="str">
        <f aca="false">A213&amp;"|"&amp;C213&amp;"|"&amp;D213</f>
        <v>14|A|U</v>
      </c>
      <c r="F213" s="43" t="n">
        <v>2</v>
      </c>
      <c r="G213" s="38" t="n">
        <f aca="false">SUMIFS($F$2:$F$1137,$A$2:$A$1137,A213,$C$2:$C$1137,C213)</f>
        <v>196</v>
      </c>
      <c r="H213" s="43" t="n">
        <v>1</v>
      </c>
      <c r="I213" s="45" t="n">
        <f aca="false">IF(G213=0,"",F213/G213)</f>
        <v>0.0102040816326531</v>
      </c>
      <c r="J213" s="45" t="n">
        <f aca="false">K213/L213</f>
        <v>0.015</v>
      </c>
      <c r="K213" s="38" t="n">
        <f aca="false">F213+H213</f>
        <v>3</v>
      </c>
      <c r="L213" s="38" t="n">
        <f aca="false">G213+4*H213</f>
        <v>200</v>
      </c>
      <c r="M213" s="38" t="s">
        <v>619</v>
      </c>
      <c r="N213" s="38" t="n">
        <f aca="false">ROUND(SUMIFS($J$2:$J$1137,$A$2:$A$1137,A213,$C$2:$C$1137,C213),9)</f>
        <v>1</v>
      </c>
    </row>
    <row r="214" customFormat="false" ht="15" hidden="false" customHeight="true" outlineLevel="0" collapsed="false">
      <c r="A214" s="38" t="n">
        <v>14</v>
      </c>
      <c r="B214" s="38" t="s">
        <v>632</v>
      </c>
      <c r="C214" s="38" t="s">
        <v>170</v>
      </c>
      <c r="D214" s="38" t="s">
        <v>172</v>
      </c>
      <c r="E214" s="38" t="str">
        <f aca="false">A214&amp;"|"&amp;C214&amp;"|"&amp;D214</f>
        <v>14|C|A</v>
      </c>
      <c r="F214" s="43" t="n">
        <v>1</v>
      </c>
      <c r="G214" s="38" t="n">
        <f aca="false">SUMIFS($F$2:$F$1137,$A$2:$A$1137,A214,$C$2:$C$1137,C214)</f>
        <v>1</v>
      </c>
      <c r="H214" s="43" t="n">
        <v>1</v>
      </c>
      <c r="I214" s="45" t="n">
        <f aca="false">IF(G214=0,"",F214/G214)</f>
        <v>1</v>
      </c>
      <c r="J214" s="45" t="n">
        <f aca="false">K214/L214</f>
        <v>0.4</v>
      </c>
      <c r="K214" s="38" t="n">
        <f aca="false">F214+H214</f>
        <v>2</v>
      </c>
      <c r="L214" s="38" t="n">
        <f aca="false">G214+4*H214</f>
        <v>5</v>
      </c>
      <c r="M214" s="38" t="s">
        <v>619</v>
      </c>
      <c r="N214" s="38" t="n">
        <f aca="false">ROUND(SUMIFS($J$2:$J$1137,$A$2:$A$1137,A214,$C$2:$C$1137,C214),9)</f>
        <v>1</v>
      </c>
    </row>
    <row r="215" customFormat="false" ht="15" hidden="false" customHeight="true" outlineLevel="0" collapsed="false">
      <c r="A215" s="38" t="n">
        <v>14</v>
      </c>
      <c r="B215" s="38" t="s">
        <v>632</v>
      </c>
      <c r="C215" s="38" t="s">
        <v>170</v>
      </c>
      <c r="D215" s="38" t="s">
        <v>170</v>
      </c>
      <c r="E215" s="38" t="str">
        <f aca="false">A215&amp;"|"&amp;C215&amp;"|"&amp;D215</f>
        <v>14|C|C</v>
      </c>
      <c r="F215" s="43" t="n">
        <v>0</v>
      </c>
      <c r="G215" s="38" t="n">
        <f aca="false">SUMIFS($F$2:$F$1137,$A$2:$A$1137,A215,$C$2:$C$1137,C215)</f>
        <v>1</v>
      </c>
      <c r="H215" s="43" t="n">
        <v>1</v>
      </c>
      <c r="I215" s="45" t="n">
        <f aca="false">IF(G215=0,"",F215/G215)</f>
        <v>0</v>
      </c>
      <c r="J215" s="45" t="n">
        <f aca="false">K215/L215</f>
        <v>0.2</v>
      </c>
      <c r="K215" s="38" t="n">
        <f aca="false">F215+H215</f>
        <v>1</v>
      </c>
      <c r="L215" s="38" t="n">
        <f aca="false">G215+4*H215</f>
        <v>5</v>
      </c>
      <c r="M215" s="38" t="s">
        <v>619</v>
      </c>
      <c r="N215" s="38" t="n">
        <f aca="false">ROUND(SUMIFS($J$2:$J$1137,$A$2:$A$1137,A215,$C$2:$C$1137,C215),9)</f>
        <v>1</v>
      </c>
    </row>
    <row r="216" customFormat="false" ht="15" hidden="false" customHeight="true" outlineLevel="0" collapsed="false">
      <c r="A216" s="38" t="n">
        <v>14</v>
      </c>
      <c r="B216" s="38" t="s">
        <v>632</v>
      </c>
      <c r="C216" s="38" t="s">
        <v>170</v>
      </c>
      <c r="D216" s="38" t="s">
        <v>169</v>
      </c>
      <c r="E216" s="38" t="str">
        <f aca="false">A216&amp;"|"&amp;C216&amp;"|"&amp;D216</f>
        <v>14|C|G</v>
      </c>
      <c r="F216" s="43" t="n">
        <v>0</v>
      </c>
      <c r="G216" s="38" t="n">
        <f aca="false">SUMIFS($F$2:$F$1137,$A$2:$A$1137,A216,$C$2:$C$1137,C216)</f>
        <v>1</v>
      </c>
      <c r="H216" s="43" t="n">
        <v>1</v>
      </c>
      <c r="I216" s="45" t="n">
        <f aca="false">IF(G216=0,"",F216/G216)</f>
        <v>0</v>
      </c>
      <c r="J216" s="45" t="n">
        <f aca="false">K216/L216</f>
        <v>0.2</v>
      </c>
      <c r="K216" s="38" t="n">
        <f aca="false">F216+H216</f>
        <v>1</v>
      </c>
      <c r="L216" s="38" t="n">
        <f aca="false">G216+4*H216</f>
        <v>5</v>
      </c>
      <c r="M216" s="38" t="s">
        <v>619</v>
      </c>
      <c r="N216" s="38" t="n">
        <f aca="false">ROUND(SUMIFS($J$2:$J$1137,$A$2:$A$1137,A216,$C$2:$C$1137,C216),9)</f>
        <v>1</v>
      </c>
    </row>
    <row r="217" customFormat="false" ht="15" hidden="false" customHeight="true" outlineLevel="0" collapsed="false">
      <c r="A217" s="38" t="n">
        <v>14</v>
      </c>
      <c r="B217" s="38" t="s">
        <v>632</v>
      </c>
      <c r="C217" s="38" t="s">
        <v>170</v>
      </c>
      <c r="D217" s="38" t="s">
        <v>171</v>
      </c>
      <c r="E217" s="38" t="str">
        <f aca="false">A217&amp;"|"&amp;C217&amp;"|"&amp;D217</f>
        <v>14|C|U</v>
      </c>
      <c r="F217" s="43" t="n">
        <v>0</v>
      </c>
      <c r="G217" s="38" t="n">
        <f aca="false">SUMIFS($F$2:$F$1137,$A$2:$A$1137,A217,$C$2:$C$1137,C217)</f>
        <v>1</v>
      </c>
      <c r="H217" s="43" t="n">
        <v>1</v>
      </c>
      <c r="I217" s="45" t="n">
        <f aca="false">IF(G217=0,"",F217/G217)</f>
        <v>0</v>
      </c>
      <c r="J217" s="45" t="n">
        <f aca="false">K217/L217</f>
        <v>0.2</v>
      </c>
      <c r="K217" s="38" t="n">
        <f aca="false">F217+H217</f>
        <v>1</v>
      </c>
      <c r="L217" s="38" t="n">
        <f aca="false">G217+4*H217</f>
        <v>5</v>
      </c>
      <c r="M217" s="38" t="s">
        <v>619</v>
      </c>
      <c r="N217" s="38" t="n">
        <f aca="false">ROUND(SUMIFS($J$2:$J$1137,$A$2:$A$1137,A217,$C$2:$C$1137,C217),9)</f>
        <v>1</v>
      </c>
    </row>
    <row r="218" customFormat="false" ht="15" hidden="false" customHeight="true" outlineLevel="0" collapsed="false">
      <c r="A218" s="38" t="n">
        <v>14</v>
      </c>
      <c r="B218" s="38" t="s">
        <v>632</v>
      </c>
      <c r="C218" s="38" t="s">
        <v>169</v>
      </c>
      <c r="D218" s="38" t="s">
        <v>172</v>
      </c>
      <c r="E218" s="38" t="str">
        <f aca="false">A218&amp;"|"&amp;C218&amp;"|"&amp;D218</f>
        <v>14|G|A</v>
      </c>
      <c r="F218" s="43" t="n">
        <v>0</v>
      </c>
      <c r="G218" s="38" t="n">
        <f aca="false">SUMIFS($F$2:$F$1137,$A$2:$A$1137,A218,$C$2:$C$1137,C218)</f>
        <v>1</v>
      </c>
      <c r="H218" s="43" t="n">
        <v>1</v>
      </c>
      <c r="I218" s="45" t="n">
        <f aca="false">IF(G218=0,"",F218/G218)</f>
        <v>0</v>
      </c>
      <c r="J218" s="45" t="n">
        <f aca="false">K218/L218</f>
        <v>0.2</v>
      </c>
      <c r="K218" s="38" t="n">
        <f aca="false">F218+H218</f>
        <v>1</v>
      </c>
      <c r="L218" s="38" t="n">
        <f aca="false">G218+4*H218</f>
        <v>5</v>
      </c>
      <c r="M218" s="38" t="s">
        <v>619</v>
      </c>
      <c r="N218" s="38" t="n">
        <f aca="false">ROUND(SUMIFS($J$2:$J$1137,$A$2:$A$1137,A218,$C$2:$C$1137,C218),9)</f>
        <v>1</v>
      </c>
    </row>
    <row r="219" customFormat="false" ht="15" hidden="false" customHeight="true" outlineLevel="0" collapsed="false">
      <c r="A219" s="38" t="n">
        <v>14</v>
      </c>
      <c r="B219" s="38" t="s">
        <v>632</v>
      </c>
      <c r="C219" s="38" t="s">
        <v>169</v>
      </c>
      <c r="D219" s="38" t="s">
        <v>170</v>
      </c>
      <c r="E219" s="38" t="str">
        <f aca="false">A219&amp;"|"&amp;C219&amp;"|"&amp;D219</f>
        <v>14|G|C</v>
      </c>
      <c r="F219" s="43" t="n">
        <v>1</v>
      </c>
      <c r="G219" s="38" t="n">
        <f aca="false">SUMIFS($F$2:$F$1137,$A$2:$A$1137,A219,$C$2:$C$1137,C219)</f>
        <v>1</v>
      </c>
      <c r="H219" s="43" t="n">
        <v>1</v>
      </c>
      <c r="I219" s="45" t="n">
        <f aca="false">IF(G219=0,"",F219/G219)</f>
        <v>1</v>
      </c>
      <c r="J219" s="45" t="n">
        <f aca="false">K219/L219</f>
        <v>0.4</v>
      </c>
      <c r="K219" s="38" t="n">
        <f aca="false">F219+H219</f>
        <v>2</v>
      </c>
      <c r="L219" s="38" t="n">
        <f aca="false">G219+4*H219</f>
        <v>5</v>
      </c>
      <c r="M219" s="38" t="s">
        <v>619</v>
      </c>
      <c r="N219" s="38" t="n">
        <f aca="false">ROUND(SUMIFS($J$2:$J$1137,$A$2:$A$1137,A219,$C$2:$C$1137,C219),9)</f>
        <v>1</v>
      </c>
    </row>
    <row r="220" customFormat="false" ht="15" hidden="false" customHeight="true" outlineLevel="0" collapsed="false">
      <c r="A220" s="38" t="n">
        <v>14</v>
      </c>
      <c r="B220" s="38" t="s">
        <v>632</v>
      </c>
      <c r="C220" s="38" t="s">
        <v>169</v>
      </c>
      <c r="D220" s="38" t="s">
        <v>169</v>
      </c>
      <c r="E220" s="38" t="str">
        <f aca="false">A220&amp;"|"&amp;C220&amp;"|"&amp;D220</f>
        <v>14|G|G</v>
      </c>
      <c r="F220" s="43" t="n">
        <v>0</v>
      </c>
      <c r="G220" s="38" t="n">
        <f aca="false">SUMIFS($F$2:$F$1137,$A$2:$A$1137,A220,$C$2:$C$1137,C220)</f>
        <v>1</v>
      </c>
      <c r="H220" s="43" t="n">
        <v>1</v>
      </c>
      <c r="I220" s="45" t="n">
        <f aca="false">IF(G220=0,"",F220/G220)</f>
        <v>0</v>
      </c>
      <c r="J220" s="45" t="n">
        <f aca="false">K220/L220</f>
        <v>0.2</v>
      </c>
      <c r="K220" s="38" t="n">
        <f aca="false">F220+H220</f>
        <v>1</v>
      </c>
      <c r="L220" s="38" t="n">
        <f aca="false">G220+4*H220</f>
        <v>5</v>
      </c>
      <c r="M220" s="38" t="s">
        <v>619</v>
      </c>
      <c r="N220" s="38" t="n">
        <f aca="false">ROUND(SUMIFS($J$2:$J$1137,$A$2:$A$1137,A220,$C$2:$C$1137,C220),9)</f>
        <v>1</v>
      </c>
    </row>
    <row r="221" customFormat="false" ht="15" hidden="false" customHeight="true" outlineLevel="0" collapsed="false">
      <c r="A221" s="38" t="n">
        <v>14</v>
      </c>
      <c r="B221" s="38" t="s">
        <v>632</v>
      </c>
      <c r="C221" s="38" t="s">
        <v>169</v>
      </c>
      <c r="D221" s="38" t="s">
        <v>171</v>
      </c>
      <c r="E221" s="38" t="str">
        <f aca="false">A221&amp;"|"&amp;C221&amp;"|"&amp;D221</f>
        <v>14|G|U</v>
      </c>
      <c r="F221" s="43" t="n">
        <v>0</v>
      </c>
      <c r="G221" s="38" t="n">
        <f aca="false">SUMIFS($F$2:$F$1137,$A$2:$A$1137,A221,$C$2:$C$1137,C221)</f>
        <v>1</v>
      </c>
      <c r="H221" s="43" t="n">
        <v>1</v>
      </c>
      <c r="I221" s="45" t="n">
        <f aca="false">IF(G221=0,"",F221/G221)</f>
        <v>0</v>
      </c>
      <c r="J221" s="45" t="n">
        <f aca="false">K221/L221</f>
        <v>0.2</v>
      </c>
      <c r="K221" s="38" t="n">
        <f aca="false">F221+H221</f>
        <v>1</v>
      </c>
      <c r="L221" s="38" t="n">
        <f aca="false">G221+4*H221</f>
        <v>5</v>
      </c>
      <c r="M221" s="38" t="s">
        <v>619</v>
      </c>
      <c r="N221" s="38" t="n">
        <f aca="false">ROUND(SUMIFS($J$2:$J$1137,$A$2:$A$1137,A221,$C$2:$C$1137,C221),9)</f>
        <v>1</v>
      </c>
    </row>
    <row r="222" customFormat="false" ht="15" hidden="false" customHeight="true" outlineLevel="0" collapsed="false">
      <c r="A222" s="38" t="n">
        <v>14</v>
      </c>
      <c r="B222" s="38" t="s">
        <v>632</v>
      </c>
      <c r="C222" s="38" t="s">
        <v>171</v>
      </c>
      <c r="D222" s="38" t="s">
        <v>172</v>
      </c>
      <c r="E222" s="38" t="str">
        <f aca="false">A222&amp;"|"&amp;C222&amp;"|"&amp;D222</f>
        <v>14|U|A</v>
      </c>
      <c r="F222" s="43" t="n">
        <v>0</v>
      </c>
      <c r="G222" s="38" t="n">
        <f aca="false">SUMIFS($F$2:$F$1137,$A$2:$A$1137,A222,$C$2:$C$1137,C222)</f>
        <v>0</v>
      </c>
      <c r="H222" s="43" t="n">
        <v>1</v>
      </c>
      <c r="I222" s="45" t="str">
        <f aca="false">IF(G222=0,"",F222/G222)</f>
        <v/>
      </c>
      <c r="J222" s="45" t="n">
        <f aca="false">K222/L222</f>
        <v>0.25</v>
      </c>
      <c r="K222" s="38" t="n">
        <f aca="false">F222+H222</f>
        <v>1</v>
      </c>
      <c r="L222" s="38" t="n">
        <f aca="false">G222+4*H222</f>
        <v>4</v>
      </c>
      <c r="M222" s="38" t="s">
        <v>619</v>
      </c>
      <c r="N222" s="38" t="n">
        <f aca="false">ROUND(SUMIFS($J$2:$J$1137,$A$2:$A$1137,A222,$C$2:$C$1137,C222),9)</f>
        <v>1</v>
      </c>
    </row>
    <row r="223" customFormat="false" ht="15" hidden="false" customHeight="true" outlineLevel="0" collapsed="false">
      <c r="A223" s="38" t="n">
        <v>14</v>
      </c>
      <c r="B223" s="38" t="s">
        <v>632</v>
      </c>
      <c r="C223" s="38" t="s">
        <v>171</v>
      </c>
      <c r="D223" s="38" t="s">
        <v>170</v>
      </c>
      <c r="E223" s="38" t="str">
        <f aca="false">A223&amp;"|"&amp;C223&amp;"|"&amp;D223</f>
        <v>14|U|C</v>
      </c>
      <c r="F223" s="43" t="n">
        <v>0</v>
      </c>
      <c r="G223" s="38" t="n">
        <f aca="false">SUMIFS($F$2:$F$1137,$A$2:$A$1137,A223,$C$2:$C$1137,C223)</f>
        <v>0</v>
      </c>
      <c r="H223" s="43" t="n">
        <v>1</v>
      </c>
      <c r="I223" s="45" t="str">
        <f aca="false">IF(G223=0,"",F223/G223)</f>
        <v/>
      </c>
      <c r="J223" s="45" t="n">
        <f aca="false">K223/L223</f>
        <v>0.25</v>
      </c>
      <c r="K223" s="38" t="n">
        <f aca="false">F223+H223</f>
        <v>1</v>
      </c>
      <c r="L223" s="38" t="n">
        <f aca="false">G223+4*H223</f>
        <v>4</v>
      </c>
      <c r="M223" s="38" t="s">
        <v>619</v>
      </c>
      <c r="N223" s="38" t="n">
        <f aca="false">ROUND(SUMIFS($J$2:$J$1137,$A$2:$A$1137,A223,$C$2:$C$1137,C223),9)</f>
        <v>1</v>
      </c>
    </row>
    <row r="224" customFormat="false" ht="15" hidden="false" customHeight="true" outlineLevel="0" collapsed="false">
      <c r="A224" s="38" t="n">
        <v>14</v>
      </c>
      <c r="B224" s="38" t="s">
        <v>632</v>
      </c>
      <c r="C224" s="38" t="s">
        <v>171</v>
      </c>
      <c r="D224" s="38" t="s">
        <v>169</v>
      </c>
      <c r="E224" s="38" t="str">
        <f aca="false">A224&amp;"|"&amp;C224&amp;"|"&amp;D224</f>
        <v>14|U|G</v>
      </c>
      <c r="F224" s="43" t="n">
        <v>0</v>
      </c>
      <c r="G224" s="38" t="n">
        <f aca="false">SUMIFS($F$2:$F$1137,$A$2:$A$1137,A224,$C$2:$C$1137,C224)</f>
        <v>0</v>
      </c>
      <c r="H224" s="43" t="n">
        <v>1</v>
      </c>
      <c r="I224" s="45" t="str">
        <f aca="false">IF(G224=0,"",F224/G224)</f>
        <v/>
      </c>
      <c r="J224" s="45" t="n">
        <f aca="false">K224/L224</f>
        <v>0.25</v>
      </c>
      <c r="K224" s="38" t="n">
        <f aca="false">F224+H224</f>
        <v>1</v>
      </c>
      <c r="L224" s="38" t="n">
        <f aca="false">G224+4*H224</f>
        <v>4</v>
      </c>
      <c r="M224" s="38" t="s">
        <v>619</v>
      </c>
      <c r="N224" s="38" t="n">
        <f aca="false">ROUND(SUMIFS($J$2:$J$1137,$A$2:$A$1137,A224,$C$2:$C$1137,C224),9)</f>
        <v>1</v>
      </c>
    </row>
    <row r="225" customFormat="false" ht="15" hidden="false" customHeight="true" outlineLevel="0" collapsed="false">
      <c r="A225" s="38" t="n">
        <v>14</v>
      </c>
      <c r="B225" s="38" t="s">
        <v>632</v>
      </c>
      <c r="C225" s="38" t="s">
        <v>171</v>
      </c>
      <c r="D225" s="38" t="s">
        <v>171</v>
      </c>
      <c r="E225" s="38" t="str">
        <f aca="false">A225&amp;"|"&amp;C225&amp;"|"&amp;D225</f>
        <v>14|U|U</v>
      </c>
      <c r="F225" s="43" t="n">
        <v>0</v>
      </c>
      <c r="G225" s="38" t="n">
        <f aca="false">SUMIFS($F$2:$F$1137,$A$2:$A$1137,A225,$C$2:$C$1137,C225)</f>
        <v>0</v>
      </c>
      <c r="H225" s="43" t="n">
        <v>1</v>
      </c>
      <c r="I225" s="45" t="str">
        <f aca="false">IF(G225=0,"",F225/G225)</f>
        <v/>
      </c>
      <c r="J225" s="45" t="n">
        <f aca="false">K225/L225</f>
        <v>0.25</v>
      </c>
      <c r="K225" s="38" t="n">
        <f aca="false">F225+H225</f>
        <v>1</v>
      </c>
      <c r="L225" s="38" t="n">
        <f aca="false">G225+4*H225</f>
        <v>4</v>
      </c>
      <c r="M225" s="38" t="s">
        <v>619</v>
      </c>
      <c r="N225" s="38" t="n">
        <f aca="false">ROUND(SUMIFS($J$2:$J$1137,$A$2:$A$1137,A225,$C$2:$C$1137,C225),9)</f>
        <v>1</v>
      </c>
    </row>
    <row r="226" customFormat="false" ht="15" hidden="false" customHeight="true" outlineLevel="0" collapsed="false">
      <c r="A226" s="38" t="n">
        <v>15</v>
      </c>
      <c r="B226" s="38" t="s">
        <v>633</v>
      </c>
      <c r="C226" s="38" t="s">
        <v>172</v>
      </c>
      <c r="D226" s="38" t="s">
        <v>172</v>
      </c>
      <c r="E226" s="38" t="str">
        <f aca="false">A226&amp;"|"&amp;C226&amp;"|"&amp;D226</f>
        <v>15|A|A</v>
      </c>
      <c r="F226" s="43" t="n">
        <v>1</v>
      </c>
      <c r="G226" s="38" t="n">
        <f aca="false">SUMIFS($F$2:$F$1137,$A$2:$A$1137,A226,$C$2:$C$1137,C226)</f>
        <v>17</v>
      </c>
      <c r="H226" s="43" t="n">
        <v>1</v>
      </c>
      <c r="I226" s="45" t="n">
        <f aca="false">IF(G226=0,"",F226/G226)</f>
        <v>0.0588235294117647</v>
      </c>
      <c r="J226" s="45" t="n">
        <f aca="false">K226/L226</f>
        <v>0.0952380952380952</v>
      </c>
      <c r="K226" s="38" t="n">
        <f aca="false">F226+H226</f>
        <v>2</v>
      </c>
      <c r="L226" s="38" t="n">
        <f aca="false">G226+4*H226</f>
        <v>21</v>
      </c>
      <c r="M226" s="38" t="s">
        <v>619</v>
      </c>
      <c r="N226" s="38" t="n">
        <f aca="false">ROUND(SUMIFS($J$2:$J$1137,$A$2:$A$1137,A226,$C$2:$C$1137,C226),9)</f>
        <v>1</v>
      </c>
    </row>
    <row r="227" customFormat="false" ht="15" hidden="false" customHeight="true" outlineLevel="0" collapsed="false">
      <c r="A227" s="38" t="n">
        <v>15</v>
      </c>
      <c r="B227" s="38" t="s">
        <v>633</v>
      </c>
      <c r="C227" s="38" t="s">
        <v>172</v>
      </c>
      <c r="D227" s="38" t="s">
        <v>170</v>
      </c>
      <c r="E227" s="38" t="str">
        <f aca="false">A227&amp;"|"&amp;C227&amp;"|"&amp;D227</f>
        <v>15|A|C</v>
      </c>
      <c r="F227" s="43" t="n">
        <v>1</v>
      </c>
      <c r="G227" s="38" t="n">
        <f aca="false">SUMIFS($F$2:$F$1137,$A$2:$A$1137,A227,$C$2:$C$1137,C227)</f>
        <v>17</v>
      </c>
      <c r="H227" s="43" t="n">
        <v>1</v>
      </c>
      <c r="I227" s="45" t="n">
        <f aca="false">IF(G227=0,"",F227/G227)</f>
        <v>0.0588235294117647</v>
      </c>
      <c r="J227" s="45" t="n">
        <f aca="false">K227/L227</f>
        <v>0.0952380952380952</v>
      </c>
      <c r="K227" s="38" t="n">
        <f aca="false">F227+H227</f>
        <v>2</v>
      </c>
      <c r="L227" s="38" t="n">
        <f aca="false">G227+4*H227</f>
        <v>21</v>
      </c>
      <c r="M227" s="38" t="s">
        <v>619</v>
      </c>
      <c r="N227" s="38" t="n">
        <f aca="false">ROUND(SUMIFS($J$2:$J$1137,$A$2:$A$1137,A227,$C$2:$C$1137,C227),9)</f>
        <v>1</v>
      </c>
    </row>
    <row r="228" customFormat="false" ht="15" hidden="false" customHeight="true" outlineLevel="0" collapsed="false">
      <c r="A228" s="38" t="n">
        <v>15</v>
      </c>
      <c r="B228" s="38" t="s">
        <v>633</v>
      </c>
      <c r="C228" s="38" t="s">
        <v>172</v>
      </c>
      <c r="D228" s="38" t="s">
        <v>169</v>
      </c>
      <c r="E228" s="38" t="str">
        <f aca="false">A228&amp;"|"&amp;C228&amp;"|"&amp;D228</f>
        <v>15|A|G</v>
      </c>
      <c r="F228" s="43" t="n">
        <v>0</v>
      </c>
      <c r="G228" s="38" t="n">
        <f aca="false">SUMIFS($F$2:$F$1137,$A$2:$A$1137,A228,$C$2:$C$1137,C228)</f>
        <v>17</v>
      </c>
      <c r="H228" s="43" t="n">
        <v>1</v>
      </c>
      <c r="I228" s="45" t="n">
        <f aca="false">IF(G228=0,"",F228/G228)</f>
        <v>0</v>
      </c>
      <c r="J228" s="45" t="n">
        <f aca="false">K228/L228</f>
        <v>0.0476190476190476</v>
      </c>
      <c r="K228" s="38" t="n">
        <f aca="false">F228+H228</f>
        <v>1</v>
      </c>
      <c r="L228" s="38" t="n">
        <f aca="false">G228+4*H228</f>
        <v>21</v>
      </c>
      <c r="M228" s="38" t="s">
        <v>619</v>
      </c>
      <c r="N228" s="38" t="n">
        <f aca="false">ROUND(SUMIFS($J$2:$J$1137,$A$2:$A$1137,A228,$C$2:$C$1137,C228),9)</f>
        <v>1</v>
      </c>
    </row>
    <row r="229" customFormat="false" ht="15" hidden="false" customHeight="true" outlineLevel="0" collapsed="false">
      <c r="A229" s="38" t="n">
        <v>15</v>
      </c>
      <c r="B229" s="38" t="s">
        <v>633</v>
      </c>
      <c r="C229" s="38" t="s">
        <v>172</v>
      </c>
      <c r="D229" s="38" t="s">
        <v>171</v>
      </c>
      <c r="E229" s="38" t="str">
        <f aca="false">A229&amp;"|"&amp;C229&amp;"|"&amp;D229</f>
        <v>15|A|U</v>
      </c>
      <c r="F229" s="43" t="n">
        <v>15</v>
      </c>
      <c r="G229" s="38" t="n">
        <f aca="false">SUMIFS($F$2:$F$1137,$A$2:$A$1137,A229,$C$2:$C$1137,C229)</f>
        <v>17</v>
      </c>
      <c r="H229" s="43" t="n">
        <v>1</v>
      </c>
      <c r="I229" s="45" t="n">
        <f aca="false">IF(G229=0,"",F229/G229)</f>
        <v>0.882352941176471</v>
      </c>
      <c r="J229" s="45" t="n">
        <f aca="false">K229/L229</f>
        <v>0.761904761904762</v>
      </c>
      <c r="K229" s="38" t="n">
        <f aca="false">F229+H229</f>
        <v>16</v>
      </c>
      <c r="L229" s="38" t="n">
        <f aca="false">G229+4*H229</f>
        <v>21</v>
      </c>
      <c r="M229" s="38" t="s">
        <v>619</v>
      </c>
      <c r="N229" s="38" t="n">
        <f aca="false">ROUND(SUMIFS($J$2:$J$1137,$A$2:$A$1137,A229,$C$2:$C$1137,C229),9)</f>
        <v>1</v>
      </c>
    </row>
    <row r="230" customFormat="false" ht="15" hidden="false" customHeight="true" outlineLevel="0" collapsed="false">
      <c r="A230" s="38" t="n">
        <v>15</v>
      </c>
      <c r="B230" s="38" t="s">
        <v>633</v>
      </c>
      <c r="C230" s="38" t="s">
        <v>170</v>
      </c>
      <c r="D230" s="38" t="s">
        <v>172</v>
      </c>
      <c r="E230" s="38" t="str">
        <f aca="false">A230&amp;"|"&amp;C230&amp;"|"&amp;D230</f>
        <v>15|C|A</v>
      </c>
      <c r="F230" s="43" t="n">
        <v>0</v>
      </c>
      <c r="G230" s="38" t="n">
        <f aca="false">SUMIFS($F$2:$F$1137,$A$2:$A$1137,A230,$C$2:$C$1137,C230)</f>
        <v>1</v>
      </c>
      <c r="H230" s="43" t="n">
        <v>1</v>
      </c>
      <c r="I230" s="45" t="n">
        <f aca="false">IF(G230=0,"",F230/G230)</f>
        <v>0</v>
      </c>
      <c r="J230" s="45" t="n">
        <f aca="false">K230/L230</f>
        <v>0.2</v>
      </c>
      <c r="K230" s="38" t="n">
        <f aca="false">F230+H230</f>
        <v>1</v>
      </c>
      <c r="L230" s="38" t="n">
        <f aca="false">G230+4*H230</f>
        <v>5</v>
      </c>
      <c r="M230" s="38" t="s">
        <v>619</v>
      </c>
      <c r="N230" s="38" t="n">
        <f aca="false">ROUND(SUMIFS($J$2:$J$1137,$A$2:$A$1137,A230,$C$2:$C$1137,C230),9)</f>
        <v>1</v>
      </c>
    </row>
    <row r="231" customFormat="false" ht="15" hidden="false" customHeight="true" outlineLevel="0" collapsed="false">
      <c r="A231" s="38" t="n">
        <v>15</v>
      </c>
      <c r="B231" s="38" t="s">
        <v>633</v>
      </c>
      <c r="C231" s="38" t="s">
        <v>170</v>
      </c>
      <c r="D231" s="38" t="s">
        <v>170</v>
      </c>
      <c r="E231" s="38" t="str">
        <f aca="false">A231&amp;"|"&amp;C231&amp;"|"&amp;D231</f>
        <v>15|C|C</v>
      </c>
      <c r="F231" s="43" t="n">
        <v>0</v>
      </c>
      <c r="G231" s="38" t="n">
        <f aca="false">SUMIFS($F$2:$F$1137,$A$2:$A$1137,A231,$C$2:$C$1137,C231)</f>
        <v>1</v>
      </c>
      <c r="H231" s="43" t="n">
        <v>1</v>
      </c>
      <c r="I231" s="45" t="n">
        <f aca="false">IF(G231=0,"",F231/G231)</f>
        <v>0</v>
      </c>
      <c r="J231" s="45" t="n">
        <f aca="false">K231/L231</f>
        <v>0.2</v>
      </c>
      <c r="K231" s="38" t="n">
        <f aca="false">F231+H231</f>
        <v>1</v>
      </c>
      <c r="L231" s="38" t="n">
        <f aca="false">G231+4*H231</f>
        <v>5</v>
      </c>
      <c r="M231" s="38" t="s">
        <v>619</v>
      </c>
      <c r="N231" s="38" t="n">
        <f aca="false">ROUND(SUMIFS($J$2:$J$1137,$A$2:$A$1137,A231,$C$2:$C$1137,C231),9)</f>
        <v>1</v>
      </c>
    </row>
    <row r="232" customFormat="false" ht="15" hidden="false" customHeight="true" outlineLevel="0" collapsed="false">
      <c r="A232" s="38" t="n">
        <v>15</v>
      </c>
      <c r="B232" s="38" t="s">
        <v>633</v>
      </c>
      <c r="C232" s="38" t="s">
        <v>170</v>
      </c>
      <c r="D232" s="38" t="s">
        <v>169</v>
      </c>
      <c r="E232" s="38" t="str">
        <f aca="false">A232&amp;"|"&amp;C232&amp;"|"&amp;D232</f>
        <v>15|C|G</v>
      </c>
      <c r="F232" s="43" t="n">
        <v>0</v>
      </c>
      <c r="G232" s="38" t="n">
        <f aca="false">SUMIFS($F$2:$F$1137,$A$2:$A$1137,A232,$C$2:$C$1137,C232)</f>
        <v>1</v>
      </c>
      <c r="H232" s="43" t="n">
        <v>1</v>
      </c>
      <c r="I232" s="45" t="n">
        <f aca="false">IF(G232=0,"",F232/G232)</f>
        <v>0</v>
      </c>
      <c r="J232" s="45" t="n">
        <f aca="false">K232/L232</f>
        <v>0.2</v>
      </c>
      <c r="K232" s="38" t="n">
        <f aca="false">F232+H232</f>
        <v>1</v>
      </c>
      <c r="L232" s="38" t="n">
        <f aca="false">G232+4*H232</f>
        <v>5</v>
      </c>
      <c r="M232" s="38" t="s">
        <v>619</v>
      </c>
      <c r="N232" s="38" t="n">
        <f aca="false">ROUND(SUMIFS($J$2:$J$1137,$A$2:$A$1137,A232,$C$2:$C$1137,C232),9)</f>
        <v>1</v>
      </c>
    </row>
    <row r="233" customFormat="false" ht="15" hidden="false" customHeight="true" outlineLevel="0" collapsed="false">
      <c r="A233" s="38" t="n">
        <v>15</v>
      </c>
      <c r="B233" s="38" t="s">
        <v>633</v>
      </c>
      <c r="C233" s="38" t="s">
        <v>170</v>
      </c>
      <c r="D233" s="38" t="s">
        <v>171</v>
      </c>
      <c r="E233" s="38" t="str">
        <f aca="false">A233&amp;"|"&amp;C233&amp;"|"&amp;D233</f>
        <v>15|C|U</v>
      </c>
      <c r="F233" s="43" t="n">
        <v>1</v>
      </c>
      <c r="G233" s="38" t="n">
        <f aca="false">SUMIFS($F$2:$F$1137,$A$2:$A$1137,A233,$C$2:$C$1137,C233)</f>
        <v>1</v>
      </c>
      <c r="H233" s="43" t="n">
        <v>1</v>
      </c>
      <c r="I233" s="45" t="n">
        <f aca="false">IF(G233=0,"",F233/G233)</f>
        <v>1</v>
      </c>
      <c r="J233" s="45" t="n">
        <f aca="false">K233/L233</f>
        <v>0.4</v>
      </c>
      <c r="K233" s="38" t="n">
        <f aca="false">F233+H233</f>
        <v>2</v>
      </c>
      <c r="L233" s="38" t="n">
        <f aca="false">G233+4*H233</f>
        <v>5</v>
      </c>
      <c r="M233" s="38" t="s">
        <v>619</v>
      </c>
      <c r="N233" s="38" t="n">
        <f aca="false">ROUND(SUMIFS($J$2:$J$1137,$A$2:$A$1137,A233,$C$2:$C$1137,C233),9)</f>
        <v>1</v>
      </c>
    </row>
    <row r="234" customFormat="false" ht="15" hidden="false" customHeight="true" outlineLevel="0" collapsed="false">
      <c r="A234" s="38" t="n">
        <v>15</v>
      </c>
      <c r="B234" s="38" t="s">
        <v>633</v>
      </c>
      <c r="C234" s="38" t="s">
        <v>169</v>
      </c>
      <c r="D234" s="38" t="s">
        <v>172</v>
      </c>
      <c r="E234" s="38" t="str">
        <f aca="false">A234&amp;"|"&amp;C234&amp;"|"&amp;D234</f>
        <v>15|G|A</v>
      </c>
      <c r="F234" s="43" t="n">
        <v>2</v>
      </c>
      <c r="G234" s="38" t="n">
        <f aca="false">SUMIFS($F$2:$F$1137,$A$2:$A$1137,A234,$C$2:$C$1137,C234)</f>
        <v>113</v>
      </c>
      <c r="H234" s="43" t="n">
        <v>1</v>
      </c>
      <c r="I234" s="45" t="n">
        <f aca="false">IF(G234=0,"",F234/G234)</f>
        <v>0.0176991150442478</v>
      </c>
      <c r="J234" s="45" t="n">
        <f aca="false">K234/L234</f>
        <v>0.0256410256410256</v>
      </c>
      <c r="K234" s="38" t="n">
        <f aca="false">F234+H234</f>
        <v>3</v>
      </c>
      <c r="L234" s="38" t="n">
        <f aca="false">G234+4*H234</f>
        <v>117</v>
      </c>
      <c r="M234" s="38" t="s">
        <v>619</v>
      </c>
      <c r="N234" s="38" t="n">
        <f aca="false">ROUND(SUMIFS($J$2:$J$1137,$A$2:$A$1137,A234,$C$2:$C$1137,C234),9)</f>
        <v>1</v>
      </c>
    </row>
    <row r="235" customFormat="false" ht="15" hidden="false" customHeight="true" outlineLevel="0" collapsed="false">
      <c r="A235" s="38" t="n">
        <v>15</v>
      </c>
      <c r="B235" s="38" t="s">
        <v>633</v>
      </c>
      <c r="C235" s="38" t="s">
        <v>169</v>
      </c>
      <c r="D235" s="38" t="s">
        <v>170</v>
      </c>
      <c r="E235" s="38" t="str">
        <f aca="false">A235&amp;"|"&amp;C235&amp;"|"&amp;D235</f>
        <v>15|G|C</v>
      </c>
      <c r="F235" s="43" t="n">
        <v>45</v>
      </c>
      <c r="G235" s="38" t="n">
        <f aca="false">SUMIFS($F$2:$F$1137,$A$2:$A$1137,A235,$C$2:$C$1137,C235)</f>
        <v>113</v>
      </c>
      <c r="H235" s="43" t="n">
        <v>1</v>
      </c>
      <c r="I235" s="45" t="n">
        <f aca="false">IF(G235=0,"",F235/G235)</f>
        <v>0.398230088495575</v>
      </c>
      <c r="J235" s="45" t="n">
        <f aca="false">K235/L235</f>
        <v>0.393162393162393</v>
      </c>
      <c r="K235" s="38" t="n">
        <f aca="false">F235+H235</f>
        <v>46</v>
      </c>
      <c r="L235" s="38" t="n">
        <f aca="false">G235+4*H235</f>
        <v>117</v>
      </c>
      <c r="M235" s="38" t="s">
        <v>619</v>
      </c>
      <c r="N235" s="38" t="n">
        <f aca="false">ROUND(SUMIFS($J$2:$J$1137,$A$2:$A$1137,A235,$C$2:$C$1137,C235),9)</f>
        <v>1</v>
      </c>
    </row>
    <row r="236" customFormat="false" ht="15" hidden="false" customHeight="true" outlineLevel="0" collapsed="false">
      <c r="A236" s="38" t="n">
        <v>15</v>
      </c>
      <c r="B236" s="38" t="s">
        <v>633</v>
      </c>
      <c r="C236" s="38" t="s">
        <v>169</v>
      </c>
      <c r="D236" s="38" t="s">
        <v>169</v>
      </c>
      <c r="E236" s="38" t="str">
        <f aca="false">A236&amp;"|"&amp;C236&amp;"|"&amp;D236</f>
        <v>15|G|G</v>
      </c>
      <c r="F236" s="43" t="n">
        <v>3</v>
      </c>
      <c r="G236" s="38" t="n">
        <f aca="false">SUMIFS($F$2:$F$1137,$A$2:$A$1137,A236,$C$2:$C$1137,C236)</f>
        <v>113</v>
      </c>
      <c r="H236" s="43" t="n">
        <v>1</v>
      </c>
      <c r="I236" s="45" t="n">
        <f aca="false">IF(G236=0,"",F236/G236)</f>
        <v>0.0265486725663717</v>
      </c>
      <c r="J236" s="45" t="n">
        <f aca="false">K236/L236</f>
        <v>0.0341880341880342</v>
      </c>
      <c r="K236" s="38" t="n">
        <f aca="false">F236+H236</f>
        <v>4</v>
      </c>
      <c r="L236" s="38" t="n">
        <f aca="false">G236+4*H236</f>
        <v>117</v>
      </c>
      <c r="M236" s="38" t="s">
        <v>619</v>
      </c>
      <c r="N236" s="38" t="n">
        <f aca="false">ROUND(SUMIFS($J$2:$J$1137,$A$2:$A$1137,A236,$C$2:$C$1137,C236),9)</f>
        <v>1</v>
      </c>
    </row>
    <row r="237" customFormat="false" ht="15" hidden="false" customHeight="true" outlineLevel="0" collapsed="false">
      <c r="A237" s="38" t="n">
        <v>15</v>
      </c>
      <c r="B237" s="38" t="s">
        <v>633</v>
      </c>
      <c r="C237" s="38" t="s">
        <v>169</v>
      </c>
      <c r="D237" s="38" t="s">
        <v>171</v>
      </c>
      <c r="E237" s="38" t="str">
        <f aca="false">A237&amp;"|"&amp;C237&amp;"|"&amp;D237</f>
        <v>15|G|U</v>
      </c>
      <c r="F237" s="43" t="n">
        <v>63</v>
      </c>
      <c r="G237" s="38" t="n">
        <f aca="false">SUMIFS($F$2:$F$1137,$A$2:$A$1137,A237,$C$2:$C$1137,C237)</f>
        <v>113</v>
      </c>
      <c r="H237" s="43" t="n">
        <v>1</v>
      </c>
      <c r="I237" s="45" t="n">
        <f aca="false">IF(G237=0,"",F237/G237)</f>
        <v>0.557522123893805</v>
      </c>
      <c r="J237" s="45" t="n">
        <f aca="false">K237/L237</f>
        <v>0.547008547008547</v>
      </c>
      <c r="K237" s="38" t="n">
        <f aca="false">F237+H237</f>
        <v>64</v>
      </c>
      <c r="L237" s="38" t="n">
        <f aca="false">G237+4*H237</f>
        <v>117</v>
      </c>
      <c r="M237" s="38" t="s">
        <v>619</v>
      </c>
      <c r="N237" s="38" t="n">
        <f aca="false">ROUND(SUMIFS($J$2:$J$1137,$A$2:$A$1137,A237,$C$2:$C$1137,C237),9)</f>
        <v>1</v>
      </c>
    </row>
    <row r="238" customFormat="false" ht="15" hidden="false" customHeight="true" outlineLevel="0" collapsed="false">
      <c r="A238" s="38" t="n">
        <v>15</v>
      </c>
      <c r="B238" s="38" t="s">
        <v>633</v>
      </c>
      <c r="C238" s="38" t="s">
        <v>171</v>
      </c>
      <c r="D238" s="38" t="s">
        <v>172</v>
      </c>
      <c r="E238" s="38" t="str">
        <f aca="false">A238&amp;"|"&amp;C238&amp;"|"&amp;D238</f>
        <v>15|U|A</v>
      </c>
      <c r="F238" s="43" t="n">
        <v>0</v>
      </c>
      <c r="G238" s="38" t="n">
        <f aca="false">SUMIFS($F$2:$F$1137,$A$2:$A$1137,A238,$C$2:$C$1137,C238)</f>
        <v>1</v>
      </c>
      <c r="H238" s="43" t="n">
        <v>1</v>
      </c>
      <c r="I238" s="45" t="n">
        <f aca="false">IF(G238=0,"",F238/G238)</f>
        <v>0</v>
      </c>
      <c r="J238" s="45" t="n">
        <f aca="false">K238/L238</f>
        <v>0.2</v>
      </c>
      <c r="K238" s="38" t="n">
        <f aca="false">F238+H238</f>
        <v>1</v>
      </c>
      <c r="L238" s="38" t="n">
        <f aca="false">G238+4*H238</f>
        <v>5</v>
      </c>
      <c r="M238" s="38" t="s">
        <v>619</v>
      </c>
      <c r="N238" s="38" t="n">
        <f aca="false">ROUND(SUMIFS($J$2:$J$1137,$A$2:$A$1137,A238,$C$2:$C$1137,C238),9)</f>
        <v>1</v>
      </c>
    </row>
    <row r="239" customFormat="false" ht="15" hidden="false" customHeight="true" outlineLevel="0" collapsed="false">
      <c r="A239" s="38" t="n">
        <v>15</v>
      </c>
      <c r="B239" s="38" t="s">
        <v>633</v>
      </c>
      <c r="C239" s="38" t="s">
        <v>171</v>
      </c>
      <c r="D239" s="38" t="s">
        <v>170</v>
      </c>
      <c r="E239" s="38" t="str">
        <f aca="false">A239&amp;"|"&amp;C239&amp;"|"&amp;D239</f>
        <v>15|U|C</v>
      </c>
      <c r="F239" s="43" t="n">
        <v>1</v>
      </c>
      <c r="G239" s="38" t="n">
        <f aca="false">SUMIFS($F$2:$F$1137,$A$2:$A$1137,A239,$C$2:$C$1137,C239)</f>
        <v>1</v>
      </c>
      <c r="H239" s="43" t="n">
        <v>1</v>
      </c>
      <c r="I239" s="45" t="n">
        <f aca="false">IF(G239=0,"",F239/G239)</f>
        <v>1</v>
      </c>
      <c r="J239" s="45" t="n">
        <f aca="false">K239/L239</f>
        <v>0.4</v>
      </c>
      <c r="K239" s="38" t="n">
        <f aca="false">F239+H239</f>
        <v>2</v>
      </c>
      <c r="L239" s="38" t="n">
        <f aca="false">G239+4*H239</f>
        <v>5</v>
      </c>
      <c r="M239" s="38" t="s">
        <v>619</v>
      </c>
      <c r="N239" s="38" t="n">
        <f aca="false">ROUND(SUMIFS($J$2:$J$1137,$A$2:$A$1137,A239,$C$2:$C$1137,C239),9)</f>
        <v>1</v>
      </c>
    </row>
    <row r="240" customFormat="false" ht="15" hidden="false" customHeight="true" outlineLevel="0" collapsed="false">
      <c r="A240" s="38" t="n">
        <v>15</v>
      </c>
      <c r="B240" s="38" t="s">
        <v>633</v>
      </c>
      <c r="C240" s="38" t="s">
        <v>171</v>
      </c>
      <c r="D240" s="38" t="s">
        <v>169</v>
      </c>
      <c r="E240" s="38" t="str">
        <f aca="false">A240&amp;"|"&amp;C240&amp;"|"&amp;D240</f>
        <v>15|U|G</v>
      </c>
      <c r="F240" s="43" t="n">
        <v>0</v>
      </c>
      <c r="G240" s="38" t="n">
        <f aca="false">SUMIFS($F$2:$F$1137,$A$2:$A$1137,A240,$C$2:$C$1137,C240)</f>
        <v>1</v>
      </c>
      <c r="H240" s="43" t="n">
        <v>1</v>
      </c>
      <c r="I240" s="45" t="n">
        <f aca="false">IF(G240=0,"",F240/G240)</f>
        <v>0</v>
      </c>
      <c r="J240" s="45" t="n">
        <f aca="false">K240/L240</f>
        <v>0.2</v>
      </c>
      <c r="K240" s="38" t="n">
        <f aca="false">F240+H240</f>
        <v>1</v>
      </c>
      <c r="L240" s="38" t="n">
        <f aca="false">G240+4*H240</f>
        <v>5</v>
      </c>
      <c r="M240" s="38" t="s">
        <v>619</v>
      </c>
      <c r="N240" s="38" t="n">
        <f aca="false">ROUND(SUMIFS($J$2:$J$1137,$A$2:$A$1137,A240,$C$2:$C$1137,C240),9)</f>
        <v>1</v>
      </c>
    </row>
    <row r="241" customFormat="false" ht="15" hidden="false" customHeight="true" outlineLevel="0" collapsed="false">
      <c r="A241" s="38" t="n">
        <v>15</v>
      </c>
      <c r="B241" s="38" t="s">
        <v>633</v>
      </c>
      <c r="C241" s="38" t="s">
        <v>171</v>
      </c>
      <c r="D241" s="38" t="s">
        <v>171</v>
      </c>
      <c r="E241" s="38" t="str">
        <f aca="false">A241&amp;"|"&amp;C241&amp;"|"&amp;D241</f>
        <v>15|U|U</v>
      </c>
      <c r="F241" s="43" t="n">
        <v>0</v>
      </c>
      <c r="G241" s="38" t="n">
        <f aca="false">SUMIFS($F$2:$F$1137,$A$2:$A$1137,A241,$C$2:$C$1137,C241)</f>
        <v>1</v>
      </c>
      <c r="H241" s="43" t="n">
        <v>1</v>
      </c>
      <c r="I241" s="45" t="n">
        <f aca="false">IF(G241=0,"",F241/G241)</f>
        <v>0</v>
      </c>
      <c r="J241" s="45" t="n">
        <f aca="false">K241/L241</f>
        <v>0.2</v>
      </c>
      <c r="K241" s="38" t="n">
        <f aca="false">F241+H241</f>
        <v>1</v>
      </c>
      <c r="L241" s="38" t="n">
        <f aca="false">G241+4*H241</f>
        <v>5</v>
      </c>
      <c r="M241" s="38" t="s">
        <v>619</v>
      </c>
      <c r="N241" s="38" t="n">
        <f aca="false">ROUND(SUMIFS($J$2:$J$1137,$A$2:$A$1137,A241,$C$2:$C$1137,C241),9)</f>
        <v>1</v>
      </c>
    </row>
    <row r="242" customFormat="false" ht="15" hidden="false" customHeight="true" outlineLevel="0" collapsed="false">
      <c r="A242" s="38" t="n">
        <v>16</v>
      </c>
      <c r="B242" s="38" t="s">
        <v>634</v>
      </c>
      <c r="C242" s="38" t="s">
        <v>172</v>
      </c>
      <c r="D242" s="38" t="s">
        <v>172</v>
      </c>
      <c r="E242" s="38" t="str">
        <f aca="false">A242&amp;"|"&amp;C242&amp;"|"&amp;D242</f>
        <v>16|A|A</v>
      </c>
      <c r="F242" s="43" t="n">
        <v>0</v>
      </c>
      <c r="G242" s="38" t="n">
        <f aca="false">SUMIFS($F$2:$F$1137,$A$2:$A$1137,A242,$C$2:$C$1137,C242)</f>
        <v>3</v>
      </c>
      <c r="H242" s="43" t="n">
        <v>1</v>
      </c>
      <c r="I242" s="45" t="n">
        <f aca="false">IF(G242=0,"",F242/G242)</f>
        <v>0</v>
      </c>
      <c r="J242" s="45" t="n">
        <f aca="false">K242/L242</f>
        <v>0.142857142857143</v>
      </c>
      <c r="K242" s="38" t="n">
        <f aca="false">F242+H242</f>
        <v>1</v>
      </c>
      <c r="L242" s="38" t="n">
        <f aca="false">G242+4*H242</f>
        <v>7</v>
      </c>
      <c r="M242" s="38" t="s">
        <v>619</v>
      </c>
      <c r="N242" s="38" t="n">
        <f aca="false">ROUND(SUMIFS($J$2:$J$1137,$A$2:$A$1137,A242,$C$2:$C$1137,C242),9)</f>
        <v>1</v>
      </c>
    </row>
    <row r="243" customFormat="false" ht="15" hidden="false" customHeight="true" outlineLevel="0" collapsed="false">
      <c r="A243" s="38" t="n">
        <v>16</v>
      </c>
      <c r="B243" s="38" t="s">
        <v>634</v>
      </c>
      <c r="C243" s="38" t="s">
        <v>172</v>
      </c>
      <c r="D243" s="38" t="s">
        <v>170</v>
      </c>
      <c r="E243" s="38" t="str">
        <f aca="false">A243&amp;"|"&amp;C243&amp;"|"&amp;D243</f>
        <v>16|A|C</v>
      </c>
      <c r="F243" s="43" t="n">
        <v>1</v>
      </c>
      <c r="G243" s="38" t="n">
        <f aca="false">SUMIFS($F$2:$F$1137,$A$2:$A$1137,A243,$C$2:$C$1137,C243)</f>
        <v>3</v>
      </c>
      <c r="H243" s="43" t="n">
        <v>1</v>
      </c>
      <c r="I243" s="45" t="n">
        <f aca="false">IF(G243=0,"",F243/G243)</f>
        <v>0.333333333333333</v>
      </c>
      <c r="J243" s="45" t="n">
        <f aca="false">K243/L243</f>
        <v>0.285714285714286</v>
      </c>
      <c r="K243" s="38" t="n">
        <f aca="false">F243+H243</f>
        <v>2</v>
      </c>
      <c r="L243" s="38" t="n">
        <f aca="false">G243+4*H243</f>
        <v>7</v>
      </c>
      <c r="M243" s="38" t="s">
        <v>619</v>
      </c>
      <c r="N243" s="38" t="n">
        <f aca="false">ROUND(SUMIFS($J$2:$J$1137,$A$2:$A$1137,A243,$C$2:$C$1137,C243),9)</f>
        <v>1</v>
      </c>
    </row>
    <row r="244" customFormat="false" ht="15" hidden="false" customHeight="true" outlineLevel="0" collapsed="false">
      <c r="A244" s="38" t="n">
        <v>16</v>
      </c>
      <c r="B244" s="38" t="s">
        <v>634</v>
      </c>
      <c r="C244" s="38" t="s">
        <v>172</v>
      </c>
      <c r="D244" s="38" t="s">
        <v>169</v>
      </c>
      <c r="E244" s="38" t="str">
        <f aca="false">A244&amp;"|"&amp;C244&amp;"|"&amp;D244</f>
        <v>16|A|G</v>
      </c>
      <c r="F244" s="43" t="n">
        <v>0</v>
      </c>
      <c r="G244" s="38" t="n">
        <f aca="false">SUMIFS($F$2:$F$1137,$A$2:$A$1137,A244,$C$2:$C$1137,C244)</f>
        <v>3</v>
      </c>
      <c r="H244" s="43" t="n">
        <v>1</v>
      </c>
      <c r="I244" s="45" t="n">
        <f aca="false">IF(G244=0,"",F244/G244)</f>
        <v>0</v>
      </c>
      <c r="J244" s="45" t="n">
        <f aca="false">K244/L244</f>
        <v>0.142857142857143</v>
      </c>
      <c r="K244" s="38" t="n">
        <f aca="false">F244+H244</f>
        <v>1</v>
      </c>
      <c r="L244" s="38" t="n">
        <f aca="false">G244+4*H244</f>
        <v>7</v>
      </c>
      <c r="M244" s="38" t="s">
        <v>619</v>
      </c>
      <c r="N244" s="38" t="n">
        <f aca="false">ROUND(SUMIFS($J$2:$J$1137,$A$2:$A$1137,A244,$C$2:$C$1137,C244),9)</f>
        <v>1</v>
      </c>
    </row>
    <row r="245" customFormat="false" ht="15" hidden="false" customHeight="true" outlineLevel="0" collapsed="false">
      <c r="A245" s="38" t="n">
        <v>16</v>
      </c>
      <c r="B245" s="38" t="s">
        <v>634</v>
      </c>
      <c r="C245" s="38" t="s">
        <v>172</v>
      </c>
      <c r="D245" s="38" t="s">
        <v>171</v>
      </c>
      <c r="E245" s="38" t="str">
        <f aca="false">A245&amp;"|"&amp;C245&amp;"|"&amp;D245</f>
        <v>16|A|U</v>
      </c>
      <c r="F245" s="43" t="n">
        <v>2</v>
      </c>
      <c r="G245" s="38" t="n">
        <f aca="false">SUMIFS($F$2:$F$1137,$A$2:$A$1137,A245,$C$2:$C$1137,C245)</f>
        <v>3</v>
      </c>
      <c r="H245" s="43" t="n">
        <v>1</v>
      </c>
      <c r="I245" s="45" t="n">
        <f aca="false">IF(G245=0,"",F245/G245)</f>
        <v>0.666666666666667</v>
      </c>
      <c r="J245" s="45" t="n">
        <f aca="false">K245/L245</f>
        <v>0.428571428571429</v>
      </c>
      <c r="K245" s="38" t="n">
        <f aca="false">F245+H245</f>
        <v>3</v>
      </c>
      <c r="L245" s="38" t="n">
        <f aca="false">G245+4*H245</f>
        <v>7</v>
      </c>
      <c r="M245" s="38" t="s">
        <v>619</v>
      </c>
      <c r="N245" s="38" t="n">
        <f aca="false">ROUND(SUMIFS($J$2:$J$1137,$A$2:$A$1137,A245,$C$2:$C$1137,C245),9)</f>
        <v>1</v>
      </c>
    </row>
    <row r="246" customFormat="false" ht="15" hidden="false" customHeight="true" outlineLevel="0" collapsed="false">
      <c r="A246" s="38" t="n">
        <v>16</v>
      </c>
      <c r="B246" s="38" t="s">
        <v>634</v>
      </c>
      <c r="C246" s="38" t="s">
        <v>170</v>
      </c>
      <c r="D246" s="38" t="s">
        <v>172</v>
      </c>
      <c r="E246" s="38" t="str">
        <f aca="false">A246&amp;"|"&amp;C246&amp;"|"&amp;D246</f>
        <v>16|C|A</v>
      </c>
      <c r="F246" s="43" t="n">
        <v>1</v>
      </c>
      <c r="G246" s="38" t="n">
        <f aca="false">SUMIFS($F$2:$F$1137,$A$2:$A$1137,A246,$C$2:$C$1137,C246)</f>
        <v>46</v>
      </c>
      <c r="H246" s="43" t="n">
        <v>1</v>
      </c>
      <c r="I246" s="45" t="n">
        <f aca="false">IF(G246=0,"",F246/G246)</f>
        <v>0.0217391304347826</v>
      </c>
      <c r="J246" s="45" t="n">
        <f aca="false">K246/L246</f>
        <v>0.04</v>
      </c>
      <c r="K246" s="38" t="n">
        <f aca="false">F246+H246</f>
        <v>2</v>
      </c>
      <c r="L246" s="38" t="n">
        <f aca="false">G246+4*H246</f>
        <v>50</v>
      </c>
      <c r="M246" s="38" t="s">
        <v>619</v>
      </c>
      <c r="N246" s="38" t="n">
        <f aca="false">ROUND(SUMIFS($J$2:$J$1137,$A$2:$A$1137,A246,$C$2:$C$1137,C246),9)</f>
        <v>1</v>
      </c>
    </row>
    <row r="247" customFormat="false" ht="15" hidden="false" customHeight="true" outlineLevel="0" collapsed="false">
      <c r="A247" s="38" t="n">
        <v>16</v>
      </c>
      <c r="B247" s="38" t="s">
        <v>634</v>
      </c>
      <c r="C247" s="38" t="s">
        <v>170</v>
      </c>
      <c r="D247" s="38" t="s">
        <v>170</v>
      </c>
      <c r="E247" s="38" t="str">
        <f aca="false">A247&amp;"|"&amp;C247&amp;"|"&amp;D247</f>
        <v>16|C|C</v>
      </c>
      <c r="F247" s="43" t="n">
        <v>22</v>
      </c>
      <c r="G247" s="38" t="n">
        <f aca="false">SUMIFS($F$2:$F$1137,$A$2:$A$1137,A247,$C$2:$C$1137,C247)</f>
        <v>46</v>
      </c>
      <c r="H247" s="43" t="n">
        <v>1</v>
      </c>
      <c r="I247" s="45" t="n">
        <f aca="false">IF(G247=0,"",F247/G247)</f>
        <v>0.478260869565217</v>
      </c>
      <c r="J247" s="45" t="n">
        <f aca="false">K247/L247</f>
        <v>0.46</v>
      </c>
      <c r="K247" s="38" t="n">
        <f aca="false">F247+H247</f>
        <v>23</v>
      </c>
      <c r="L247" s="38" t="n">
        <f aca="false">G247+4*H247</f>
        <v>50</v>
      </c>
      <c r="M247" s="38" t="s">
        <v>619</v>
      </c>
      <c r="N247" s="38" t="n">
        <f aca="false">ROUND(SUMIFS($J$2:$J$1137,$A$2:$A$1137,A247,$C$2:$C$1137,C247),9)</f>
        <v>1</v>
      </c>
    </row>
    <row r="248" customFormat="false" ht="15" hidden="false" customHeight="true" outlineLevel="0" collapsed="false">
      <c r="A248" s="38" t="n">
        <v>16</v>
      </c>
      <c r="B248" s="38" t="s">
        <v>634</v>
      </c>
      <c r="C248" s="38" t="s">
        <v>170</v>
      </c>
      <c r="D248" s="38" t="s">
        <v>169</v>
      </c>
      <c r="E248" s="38" t="str">
        <f aca="false">A248&amp;"|"&amp;C248&amp;"|"&amp;D248</f>
        <v>16|C|G</v>
      </c>
      <c r="F248" s="43" t="n">
        <v>0</v>
      </c>
      <c r="G248" s="38" t="n">
        <f aca="false">SUMIFS($F$2:$F$1137,$A$2:$A$1137,A248,$C$2:$C$1137,C248)</f>
        <v>46</v>
      </c>
      <c r="H248" s="43" t="n">
        <v>1</v>
      </c>
      <c r="I248" s="45" t="n">
        <f aca="false">IF(G248=0,"",F248/G248)</f>
        <v>0</v>
      </c>
      <c r="J248" s="45" t="n">
        <f aca="false">K248/L248</f>
        <v>0.02</v>
      </c>
      <c r="K248" s="38" t="n">
        <f aca="false">F248+H248</f>
        <v>1</v>
      </c>
      <c r="L248" s="38" t="n">
        <f aca="false">G248+4*H248</f>
        <v>50</v>
      </c>
      <c r="M248" s="38" t="s">
        <v>619</v>
      </c>
      <c r="N248" s="38" t="n">
        <f aca="false">ROUND(SUMIFS($J$2:$J$1137,$A$2:$A$1137,A248,$C$2:$C$1137,C248),9)</f>
        <v>1</v>
      </c>
    </row>
    <row r="249" customFormat="false" ht="15" hidden="false" customHeight="true" outlineLevel="0" collapsed="false">
      <c r="A249" s="38" t="n">
        <v>16</v>
      </c>
      <c r="B249" s="38" t="s">
        <v>634</v>
      </c>
      <c r="C249" s="38" t="s">
        <v>170</v>
      </c>
      <c r="D249" s="38" t="s">
        <v>171</v>
      </c>
      <c r="E249" s="38" t="str">
        <f aca="false">A249&amp;"|"&amp;C249&amp;"|"&amp;D249</f>
        <v>16|C|U</v>
      </c>
      <c r="F249" s="43" t="n">
        <v>23</v>
      </c>
      <c r="G249" s="38" t="n">
        <f aca="false">SUMIFS($F$2:$F$1137,$A$2:$A$1137,A249,$C$2:$C$1137,C249)</f>
        <v>46</v>
      </c>
      <c r="H249" s="43" t="n">
        <v>1</v>
      </c>
      <c r="I249" s="45" t="n">
        <f aca="false">IF(G249=0,"",F249/G249)</f>
        <v>0.5</v>
      </c>
      <c r="J249" s="45" t="n">
        <f aca="false">K249/L249</f>
        <v>0.48</v>
      </c>
      <c r="K249" s="38" t="n">
        <f aca="false">F249+H249</f>
        <v>24</v>
      </c>
      <c r="L249" s="38" t="n">
        <f aca="false">G249+4*H249</f>
        <v>50</v>
      </c>
      <c r="M249" s="38" t="s">
        <v>619</v>
      </c>
      <c r="N249" s="38" t="n">
        <f aca="false">ROUND(SUMIFS($J$2:$J$1137,$A$2:$A$1137,A249,$C$2:$C$1137,C249),9)</f>
        <v>1</v>
      </c>
    </row>
    <row r="250" customFormat="false" ht="15" hidden="false" customHeight="true" outlineLevel="0" collapsed="false">
      <c r="A250" s="38" t="n">
        <v>16</v>
      </c>
      <c r="B250" s="38" t="s">
        <v>634</v>
      </c>
      <c r="C250" s="38" t="s">
        <v>169</v>
      </c>
      <c r="D250" s="38" t="s">
        <v>172</v>
      </c>
      <c r="E250" s="38" t="str">
        <f aca="false">A250&amp;"|"&amp;C250&amp;"|"&amp;D250</f>
        <v>16|G|A</v>
      </c>
      <c r="F250" s="43" t="n">
        <v>0</v>
      </c>
      <c r="G250" s="38" t="n">
        <f aca="false">SUMIFS($F$2:$F$1137,$A$2:$A$1137,A250,$C$2:$C$1137,C250)</f>
        <v>3</v>
      </c>
      <c r="H250" s="43" t="n">
        <v>1</v>
      </c>
      <c r="I250" s="45" t="n">
        <f aca="false">IF(G250=0,"",F250/G250)</f>
        <v>0</v>
      </c>
      <c r="J250" s="45" t="n">
        <f aca="false">K250/L250</f>
        <v>0.142857142857143</v>
      </c>
      <c r="K250" s="38" t="n">
        <f aca="false">F250+H250</f>
        <v>1</v>
      </c>
      <c r="L250" s="38" t="n">
        <f aca="false">G250+4*H250</f>
        <v>7</v>
      </c>
      <c r="M250" s="38" t="s">
        <v>619</v>
      </c>
      <c r="N250" s="38" t="n">
        <f aca="false">ROUND(SUMIFS($J$2:$J$1137,$A$2:$A$1137,A250,$C$2:$C$1137,C250),9)</f>
        <v>1</v>
      </c>
    </row>
    <row r="251" customFormat="false" ht="15" hidden="false" customHeight="true" outlineLevel="0" collapsed="false">
      <c r="A251" s="38" t="n">
        <v>16</v>
      </c>
      <c r="B251" s="38" t="s">
        <v>634</v>
      </c>
      <c r="C251" s="38" t="s">
        <v>169</v>
      </c>
      <c r="D251" s="38" t="s">
        <v>170</v>
      </c>
      <c r="E251" s="38" t="str">
        <f aca="false">A251&amp;"|"&amp;C251&amp;"|"&amp;D251</f>
        <v>16|G|C</v>
      </c>
      <c r="F251" s="43" t="n">
        <v>0</v>
      </c>
      <c r="G251" s="38" t="n">
        <f aca="false">SUMIFS($F$2:$F$1137,$A$2:$A$1137,A251,$C$2:$C$1137,C251)</f>
        <v>3</v>
      </c>
      <c r="H251" s="43" t="n">
        <v>1</v>
      </c>
      <c r="I251" s="45" t="n">
        <f aca="false">IF(G251=0,"",F251/G251)</f>
        <v>0</v>
      </c>
      <c r="J251" s="45" t="n">
        <f aca="false">K251/L251</f>
        <v>0.142857142857143</v>
      </c>
      <c r="K251" s="38" t="n">
        <f aca="false">F251+H251</f>
        <v>1</v>
      </c>
      <c r="L251" s="38" t="n">
        <f aca="false">G251+4*H251</f>
        <v>7</v>
      </c>
      <c r="M251" s="38" t="s">
        <v>619</v>
      </c>
      <c r="N251" s="38" t="n">
        <f aca="false">ROUND(SUMIFS($J$2:$J$1137,$A$2:$A$1137,A251,$C$2:$C$1137,C251),9)</f>
        <v>1</v>
      </c>
    </row>
    <row r="252" customFormat="false" ht="15" hidden="false" customHeight="true" outlineLevel="0" collapsed="false">
      <c r="A252" s="38" t="n">
        <v>16</v>
      </c>
      <c r="B252" s="38" t="s">
        <v>634</v>
      </c>
      <c r="C252" s="38" t="s">
        <v>169</v>
      </c>
      <c r="D252" s="38" t="s">
        <v>169</v>
      </c>
      <c r="E252" s="38" t="str">
        <f aca="false">A252&amp;"|"&amp;C252&amp;"|"&amp;D252</f>
        <v>16|G|G</v>
      </c>
      <c r="F252" s="43" t="n">
        <v>1</v>
      </c>
      <c r="G252" s="38" t="n">
        <f aca="false">SUMIFS($F$2:$F$1137,$A$2:$A$1137,A252,$C$2:$C$1137,C252)</f>
        <v>3</v>
      </c>
      <c r="H252" s="43" t="n">
        <v>1</v>
      </c>
      <c r="I252" s="45" t="n">
        <f aca="false">IF(G252=0,"",F252/G252)</f>
        <v>0.333333333333333</v>
      </c>
      <c r="J252" s="45" t="n">
        <f aca="false">K252/L252</f>
        <v>0.285714285714286</v>
      </c>
      <c r="K252" s="38" t="n">
        <f aca="false">F252+H252</f>
        <v>2</v>
      </c>
      <c r="L252" s="38" t="n">
        <f aca="false">G252+4*H252</f>
        <v>7</v>
      </c>
      <c r="M252" s="38" t="s">
        <v>619</v>
      </c>
      <c r="N252" s="38" t="n">
        <f aca="false">ROUND(SUMIFS($J$2:$J$1137,$A$2:$A$1137,A252,$C$2:$C$1137,C252),9)</f>
        <v>1</v>
      </c>
    </row>
    <row r="253" customFormat="false" ht="15" hidden="false" customHeight="true" outlineLevel="0" collapsed="false">
      <c r="A253" s="38" t="n">
        <v>16</v>
      </c>
      <c r="B253" s="38" t="s">
        <v>634</v>
      </c>
      <c r="C253" s="38" t="s">
        <v>169</v>
      </c>
      <c r="D253" s="38" t="s">
        <v>171</v>
      </c>
      <c r="E253" s="38" t="str">
        <f aca="false">A253&amp;"|"&amp;C253&amp;"|"&amp;D253</f>
        <v>16|G|U</v>
      </c>
      <c r="F253" s="43" t="n">
        <v>2</v>
      </c>
      <c r="G253" s="38" t="n">
        <f aca="false">SUMIFS($F$2:$F$1137,$A$2:$A$1137,A253,$C$2:$C$1137,C253)</f>
        <v>3</v>
      </c>
      <c r="H253" s="43" t="n">
        <v>1</v>
      </c>
      <c r="I253" s="45" t="n">
        <f aca="false">IF(G253=0,"",F253/G253)</f>
        <v>0.666666666666667</v>
      </c>
      <c r="J253" s="45" t="n">
        <f aca="false">K253/L253</f>
        <v>0.428571428571429</v>
      </c>
      <c r="K253" s="38" t="n">
        <f aca="false">F253+H253</f>
        <v>3</v>
      </c>
      <c r="L253" s="38" t="n">
        <f aca="false">G253+4*H253</f>
        <v>7</v>
      </c>
      <c r="M253" s="38" t="s">
        <v>619</v>
      </c>
      <c r="N253" s="38" t="n">
        <f aca="false">ROUND(SUMIFS($J$2:$J$1137,$A$2:$A$1137,A253,$C$2:$C$1137,C253),9)</f>
        <v>1</v>
      </c>
    </row>
    <row r="254" customFormat="false" ht="15" hidden="false" customHeight="true" outlineLevel="0" collapsed="false">
      <c r="A254" s="38" t="n">
        <v>16</v>
      </c>
      <c r="B254" s="38" t="s">
        <v>634</v>
      </c>
      <c r="C254" s="38" t="s">
        <v>171</v>
      </c>
      <c r="D254" s="38" t="s">
        <v>172</v>
      </c>
      <c r="E254" s="38" t="str">
        <f aca="false">A254&amp;"|"&amp;C254&amp;"|"&amp;D254</f>
        <v>16|U|A</v>
      </c>
      <c r="F254" s="43" t="n">
        <v>7</v>
      </c>
      <c r="G254" s="38" t="n">
        <f aca="false">SUMIFS($F$2:$F$1137,$A$2:$A$1137,A254,$C$2:$C$1137,C254)</f>
        <v>78</v>
      </c>
      <c r="H254" s="43" t="n">
        <v>1</v>
      </c>
      <c r="I254" s="45" t="n">
        <f aca="false">IF(G254=0,"",F254/G254)</f>
        <v>0.0897435897435897</v>
      </c>
      <c r="J254" s="45" t="n">
        <f aca="false">K254/L254</f>
        <v>0.0975609756097561</v>
      </c>
      <c r="K254" s="38" t="n">
        <f aca="false">F254+H254</f>
        <v>8</v>
      </c>
      <c r="L254" s="38" t="n">
        <f aca="false">G254+4*H254</f>
        <v>82</v>
      </c>
      <c r="M254" s="38" t="s">
        <v>619</v>
      </c>
      <c r="N254" s="38" t="n">
        <f aca="false">ROUND(SUMIFS($J$2:$J$1137,$A$2:$A$1137,A254,$C$2:$C$1137,C254),9)</f>
        <v>1</v>
      </c>
    </row>
    <row r="255" customFormat="false" ht="15" hidden="false" customHeight="true" outlineLevel="0" collapsed="false">
      <c r="A255" s="38" t="n">
        <v>16</v>
      </c>
      <c r="B255" s="38" t="s">
        <v>634</v>
      </c>
      <c r="C255" s="38" t="s">
        <v>171</v>
      </c>
      <c r="D255" s="38" t="s">
        <v>170</v>
      </c>
      <c r="E255" s="38" t="str">
        <f aca="false">A255&amp;"|"&amp;C255&amp;"|"&amp;D255</f>
        <v>16|U|C</v>
      </c>
      <c r="F255" s="43" t="n">
        <v>21</v>
      </c>
      <c r="G255" s="38" t="n">
        <f aca="false">SUMIFS($F$2:$F$1137,$A$2:$A$1137,A255,$C$2:$C$1137,C255)</f>
        <v>78</v>
      </c>
      <c r="H255" s="43" t="n">
        <v>1</v>
      </c>
      <c r="I255" s="45" t="n">
        <f aca="false">IF(G255=0,"",F255/G255)</f>
        <v>0.269230769230769</v>
      </c>
      <c r="J255" s="45" t="n">
        <f aca="false">K255/L255</f>
        <v>0.268292682926829</v>
      </c>
      <c r="K255" s="38" t="n">
        <f aca="false">F255+H255</f>
        <v>22</v>
      </c>
      <c r="L255" s="38" t="n">
        <f aca="false">G255+4*H255</f>
        <v>82</v>
      </c>
      <c r="M255" s="38" t="s">
        <v>619</v>
      </c>
      <c r="N255" s="38" t="n">
        <f aca="false">ROUND(SUMIFS($J$2:$J$1137,$A$2:$A$1137,A255,$C$2:$C$1137,C255),9)</f>
        <v>1</v>
      </c>
    </row>
    <row r="256" customFormat="false" ht="15" hidden="false" customHeight="true" outlineLevel="0" collapsed="false">
      <c r="A256" s="38" t="n">
        <v>16</v>
      </c>
      <c r="B256" s="38" t="s">
        <v>634</v>
      </c>
      <c r="C256" s="38" t="s">
        <v>171</v>
      </c>
      <c r="D256" s="38" t="s">
        <v>169</v>
      </c>
      <c r="E256" s="38" t="str">
        <f aca="false">A256&amp;"|"&amp;C256&amp;"|"&amp;D256</f>
        <v>16|U|G</v>
      </c>
      <c r="F256" s="43" t="n">
        <v>1</v>
      </c>
      <c r="G256" s="38" t="n">
        <f aca="false">SUMIFS($F$2:$F$1137,$A$2:$A$1137,A256,$C$2:$C$1137,C256)</f>
        <v>78</v>
      </c>
      <c r="H256" s="43" t="n">
        <v>1</v>
      </c>
      <c r="I256" s="45" t="n">
        <f aca="false">IF(G256=0,"",F256/G256)</f>
        <v>0.0128205128205128</v>
      </c>
      <c r="J256" s="45" t="n">
        <f aca="false">K256/L256</f>
        <v>0.024390243902439</v>
      </c>
      <c r="K256" s="38" t="n">
        <f aca="false">F256+H256</f>
        <v>2</v>
      </c>
      <c r="L256" s="38" t="n">
        <f aca="false">G256+4*H256</f>
        <v>82</v>
      </c>
      <c r="M256" s="38" t="s">
        <v>619</v>
      </c>
      <c r="N256" s="38" t="n">
        <f aca="false">ROUND(SUMIFS($J$2:$J$1137,$A$2:$A$1137,A256,$C$2:$C$1137,C256),9)</f>
        <v>1</v>
      </c>
    </row>
    <row r="257" customFormat="false" ht="15" hidden="false" customHeight="true" outlineLevel="0" collapsed="false">
      <c r="A257" s="38" t="n">
        <v>16</v>
      </c>
      <c r="B257" s="38" t="s">
        <v>634</v>
      </c>
      <c r="C257" s="38" t="s">
        <v>171</v>
      </c>
      <c r="D257" s="38" t="s">
        <v>171</v>
      </c>
      <c r="E257" s="38" t="str">
        <f aca="false">A257&amp;"|"&amp;C257&amp;"|"&amp;D257</f>
        <v>16|U|U</v>
      </c>
      <c r="F257" s="43" t="n">
        <v>49</v>
      </c>
      <c r="G257" s="38" t="n">
        <f aca="false">SUMIFS($F$2:$F$1137,$A$2:$A$1137,A257,$C$2:$C$1137,C257)</f>
        <v>78</v>
      </c>
      <c r="H257" s="43" t="n">
        <v>1</v>
      </c>
      <c r="I257" s="45" t="n">
        <f aca="false">IF(G257=0,"",F257/G257)</f>
        <v>0.628205128205128</v>
      </c>
      <c r="J257" s="45" t="n">
        <f aca="false">K257/L257</f>
        <v>0.609756097560976</v>
      </c>
      <c r="K257" s="38" t="n">
        <f aca="false">F257+H257</f>
        <v>50</v>
      </c>
      <c r="L257" s="38" t="n">
        <f aca="false">G257+4*H257</f>
        <v>82</v>
      </c>
      <c r="M257" s="38" t="s">
        <v>619</v>
      </c>
      <c r="N257" s="38" t="n">
        <f aca="false">ROUND(SUMIFS($J$2:$J$1137,$A$2:$A$1137,A257,$C$2:$C$1137,C257),9)</f>
        <v>1</v>
      </c>
    </row>
    <row r="258" customFormat="false" ht="15" hidden="false" customHeight="true" outlineLevel="0" collapsed="false">
      <c r="A258" s="38" t="n">
        <v>17</v>
      </c>
      <c r="B258" s="38" t="s">
        <v>635</v>
      </c>
      <c r="C258" s="38" t="s">
        <v>172</v>
      </c>
      <c r="D258" s="38" t="s">
        <v>172</v>
      </c>
      <c r="E258" s="38" t="str">
        <f aca="false">A258&amp;"|"&amp;C258&amp;"|"&amp;D258</f>
        <v>17|A|A</v>
      </c>
      <c r="F258" s="43" t="n">
        <v>1</v>
      </c>
      <c r="G258" s="38" t="n">
        <f aca="false">SUMIFS($F$2:$F$1137,$A$2:$A$1137,A258,$C$2:$C$1137,C258)</f>
        <v>12</v>
      </c>
      <c r="H258" s="43" t="n">
        <v>1</v>
      </c>
      <c r="I258" s="45" t="n">
        <f aca="false">IF(G258=0,"",F258/G258)</f>
        <v>0.0833333333333333</v>
      </c>
      <c r="J258" s="45" t="n">
        <f aca="false">K258/L258</f>
        <v>0.125</v>
      </c>
      <c r="K258" s="38" t="n">
        <f aca="false">F258+H258</f>
        <v>2</v>
      </c>
      <c r="L258" s="38" t="n">
        <f aca="false">G258+4*H258</f>
        <v>16</v>
      </c>
      <c r="M258" s="38" t="s">
        <v>619</v>
      </c>
      <c r="N258" s="38" t="n">
        <f aca="false">ROUND(SUMIFS($J$2:$J$1137,$A$2:$A$1137,A258,$C$2:$C$1137,C258),9)</f>
        <v>1</v>
      </c>
    </row>
    <row r="259" customFormat="false" ht="15" hidden="false" customHeight="true" outlineLevel="0" collapsed="false">
      <c r="A259" s="38" t="n">
        <v>17</v>
      </c>
      <c r="B259" s="38" t="s">
        <v>635</v>
      </c>
      <c r="C259" s="38" t="s">
        <v>172</v>
      </c>
      <c r="D259" s="38" t="s">
        <v>170</v>
      </c>
      <c r="E259" s="38" t="str">
        <f aca="false">A259&amp;"|"&amp;C259&amp;"|"&amp;D259</f>
        <v>17|A|C</v>
      </c>
      <c r="F259" s="43" t="n">
        <v>0</v>
      </c>
      <c r="G259" s="38" t="n">
        <f aca="false">SUMIFS($F$2:$F$1137,$A$2:$A$1137,A259,$C$2:$C$1137,C259)</f>
        <v>12</v>
      </c>
      <c r="H259" s="43" t="n">
        <v>1</v>
      </c>
      <c r="I259" s="45" t="n">
        <f aca="false">IF(G259=0,"",F259/G259)</f>
        <v>0</v>
      </c>
      <c r="J259" s="45" t="n">
        <f aca="false">K259/L259</f>
        <v>0.0625</v>
      </c>
      <c r="K259" s="38" t="n">
        <f aca="false">F259+H259</f>
        <v>1</v>
      </c>
      <c r="L259" s="38" t="n">
        <f aca="false">G259+4*H259</f>
        <v>16</v>
      </c>
      <c r="M259" s="38" t="s">
        <v>619</v>
      </c>
      <c r="N259" s="38" t="n">
        <f aca="false">ROUND(SUMIFS($J$2:$J$1137,$A$2:$A$1137,A259,$C$2:$C$1137,C259),9)</f>
        <v>1</v>
      </c>
    </row>
    <row r="260" customFormat="false" ht="15" hidden="false" customHeight="true" outlineLevel="0" collapsed="false">
      <c r="A260" s="38" t="n">
        <v>17</v>
      </c>
      <c r="B260" s="38" t="s">
        <v>635</v>
      </c>
      <c r="C260" s="38" t="s">
        <v>172</v>
      </c>
      <c r="D260" s="38" t="s">
        <v>169</v>
      </c>
      <c r="E260" s="38" t="str">
        <f aca="false">A260&amp;"|"&amp;C260&amp;"|"&amp;D260</f>
        <v>17|A|G</v>
      </c>
      <c r="F260" s="43" t="n">
        <v>11</v>
      </c>
      <c r="G260" s="38" t="n">
        <f aca="false">SUMIFS($F$2:$F$1137,$A$2:$A$1137,A260,$C$2:$C$1137,C260)</f>
        <v>12</v>
      </c>
      <c r="H260" s="43" t="n">
        <v>1</v>
      </c>
      <c r="I260" s="45" t="n">
        <f aca="false">IF(G260=0,"",F260/G260)</f>
        <v>0.916666666666667</v>
      </c>
      <c r="J260" s="45" t="n">
        <f aca="false">K260/L260</f>
        <v>0.75</v>
      </c>
      <c r="K260" s="38" t="n">
        <f aca="false">F260+H260</f>
        <v>12</v>
      </c>
      <c r="L260" s="38" t="n">
        <f aca="false">G260+4*H260</f>
        <v>16</v>
      </c>
      <c r="M260" s="38" t="s">
        <v>619</v>
      </c>
      <c r="N260" s="38" t="n">
        <f aca="false">ROUND(SUMIFS($J$2:$J$1137,$A$2:$A$1137,A260,$C$2:$C$1137,C260),9)</f>
        <v>1</v>
      </c>
    </row>
    <row r="261" customFormat="false" ht="15" hidden="false" customHeight="true" outlineLevel="0" collapsed="false">
      <c r="A261" s="38" t="n">
        <v>17</v>
      </c>
      <c r="B261" s="38" t="s">
        <v>635</v>
      </c>
      <c r="C261" s="38" t="s">
        <v>172</v>
      </c>
      <c r="D261" s="38" t="s">
        <v>171</v>
      </c>
      <c r="E261" s="38" t="str">
        <f aca="false">A261&amp;"|"&amp;C261&amp;"|"&amp;D261</f>
        <v>17|A|U</v>
      </c>
      <c r="F261" s="43" t="n">
        <v>0</v>
      </c>
      <c r="G261" s="38" t="n">
        <f aca="false">SUMIFS($F$2:$F$1137,$A$2:$A$1137,A261,$C$2:$C$1137,C261)</f>
        <v>12</v>
      </c>
      <c r="H261" s="43" t="n">
        <v>1</v>
      </c>
      <c r="I261" s="45" t="n">
        <f aca="false">IF(G261=0,"",F261/G261)</f>
        <v>0</v>
      </c>
      <c r="J261" s="45" t="n">
        <f aca="false">K261/L261</f>
        <v>0.0625</v>
      </c>
      <c r="K261" s="38" t="n">
        <f aca="false">F261+H261</f>
        <v>1</v>
      </c>
      <c r="L261" s="38" t="n">
        <f aca="false">G261+4*H261</f>
        <v>16</v>
      </c>
      <c r="M261" s="38" t="s">
        <v>619</v>
      </c>
      <c r="N261" s="38" t="n">
        <f aca="false">ROUND(SUMIFS($J$2:$J$1137,$A$2:$A$1137,A261,$C$2:$C$1137,C261),9)</f>
        <v>1</v>
      </c>
    </row>
    <row r="262" customFormat="false" ht="15" hidden="false" customHeight="true" outlineLevel="0" collapsed="false">
      <c r="A262" s="38" t="n">
        <v>17</v>
      </c>
      <c r="B262" s="38" t="s">
        <v>635</v>
      </c>
      <c r="C262" s="38" t="s">
        <v>170</v>
      </c>
      <c r="D262" s="38" t="s">
        <v>172</v>
      </c>
      <c r="E262" s="38" t="str">
        <f aca="false">A262&amp;"|"&amp;C262&amp;"|"&amp;D262</f>
        <v>17|C|A</v>
      </c>
      <c r="F262" s="43" t="n">
        <v>0</v>
      </c>
      <c r="G262" s="38" t="n">
        <f aca="false">SUMIFS($F$2:$F$1137,$A$2:$A$1137,A262,$C$2:$C$1137,C262)</f>
        <v>63</v>
      </c>
      <c r="H262" s="43" t="n">
        <v>1</v>
      </c>
      <c r="I262" s="45" t="n">
        <f aca="false">IF(G262=0,"",F262/G262)</f>
        <v>0</v>
      </c>
      <c r="J262" s="45" t="n">
        <f aca="false">K262/L262</f>
        <v>0.0149253731343284</v>
      </c>
      <c r="K262" s="38" t="n">
        <f aca="false">F262+H262</f>
        <v>1</v>
      </c>
      <c r="L262" s="38" t="n">
        <f aca="false">G262+4*H262</f>
        <v>67</v>
      </c>
      <c r="M262" s="38" t="s">
        <v>619</v>
      </c>
      <c r="N262" s="38" t="n">
        <f aca="false">ROUND(SUMIFS($J$2:$J$1137,$A$2:$A$1137,A262,$C$2:$C$1137,C262),9)</f>
        <v>1</v>
      </c>
    </row>
    <row r="263" customFormat="false" ht="15" hidden="false" customHeight="true" outlineLevel="0" collapsed="false">
      <c r="A263" s="38" t="n">
        <v>17</v>
      </c>
      <c r="B263" s="38" t="s">
        <v>635</v>
      </c>
      <c r="C263" s="38" t="s">
        <v>170</v>
      </c>
      <c r="D263" s="38" t="s">
        <v>170</v>
      </c>
      <c r="E263" s="38" t="str">
        <f aca="false">A263&amp;"|"&amp;C263&amp;"|"&amp;D263</f>
        <v>17|C|C</v>
      </c>
      <c r="F263" s="43" t="n">
        <v>0</v>
      </c>
      <c r="G263" s="38" t="n">
        <f aca="false">SUMIFS($F$2:$F$1137,$A$2:$A$1137,A263,$C$2:$C$1137,C263)</f>
        <v>63</v>
      </c>
      <c r="H263" s="43" t="n">
        <v>1</v>
      </c>
      <c r="I263" s="45" t="n">
        <f aca="false">IF(G263=0,"",F263/G263)</f>
        <v>0</v>
      </c>
      <c r="J263" s="45" t="n">
        <f aca="false">K263/L263</f>
        <v>0.0149253731343284</v>
      </c>
      <c r="K263" s="38" t="n">
        <f aca="false">F263+H263</f>
        <v>1</v>
      </c>
      <c r="L263" s="38" t="n">
        <f aca="false">G263+4*H263</f>
        <v>67</v>
      </c>
      <c r="M263" s="38" t="s">
        <v>619</v>
      </c>
      <c r="N263" s="38" t="n">
        <f aca="false">ROUND(SUMIFS($J$2:$J$1137,$A$2:$A$1137,A263,$C$2:$C$1137,C263),9)</f>
        <v>1</v>
      </c>
    </row>
    <row r="264" customFormat="false" ht="15" hidden="false" customHeight="true" outlineLevel="0" collapsed="false">
      <c r="A264" s="38" t="n">
        <v>17</v>
      </c>
      <c r="B264" s="38" t="s">
        <v>635</v>
      </c>
      <c r="C264" s="38" t="s">
        <v>170</v>
      </c>
      <c r="D264" s="38" t="s">
        <v>169</v>
      </c>
      <c r="E264" s="38" t="str">
        <f aca="false">A264&amp;"|"&amp;C264&amp;"|"&amp;D264</f>
        <v>17|C|G</v>
      </c>
      <c r="F264" s="43" t="n">
        <v>63</v>
      </c>
      <c r="G264" s="38" t="n">
        <f aca="false">SUMIFS($F$2:$F$1137,$A$2:$A$1137,A264,$C$2:$C$1137,C264)</f>
        <v>63</v>
      </c>
      <c r="H264" s="43" t="n">
        <v>1</v>
      </c>
      <c r="I264" s="45" t="n">
        <f aca="false">IF(G264=0,"",F264/G264)</f>
        <v>1</v>
      </c>
      <c r="J264" s="45" t="n">
        <f aca="false">K264/L264</f>
        <v>0.955223880597015</v>
      </c>
      <c r="K264" s="38" t="n">
        <f aca="false">F264+H264</f>
        <v>64</v>
      </c>
      <c r="L264" s="38" t="n">
        <f aca="false">G264+4*H264</f>
        <v>67</v>
      </c>
      <c r="M264" s="38" t="s">
        <v>619</v>
      </c>
      <c r="N264" s="38" t="n">
        <f aca="false">ROUND(SUMIFS($J$2:$J$1137,$A$2:$A$1137,A264,$C$2:$C$1137,C264),9)</f>
        <v>1</v>
      </c>
    </row>
    <row r="265" customFormat="false" ht="15" hidden="false" customHeight="true" outlineLevel="0" collapsed="false">
      <c r="A265" s="38" t="n">
        <v>17</v>
      </c>
      <c r="B265" s="38" t="s">
        <v>635</v>
      </c>
      <c r="C265" s="38" t="s">
        <v>170</v>
      </c>
      <c r="D265" s="38" t="s">
        <v>171</v>
      </c>
      <c r="E265" s="38" t="str">
        <f aca="false">A265&amp;"|"&amp;C265&amp;"|"&amp;D265</f>
        <v>17|C|U</v>
      </c>
      <c r="F265" s="43" t="n">
        <v>0</v>
      </c>
      <c r="G265" s="38" t="n">
        <f aca="false">SUMIFS($F$2:$F$1137,$A$2:$A$1137,A265,$C$2:$C$1137,C265)</f>
        <v>63</v>
      </c>
      <c r="H265" s="43" t="n">
        <v>1</v>
      </c>
      <c r="I265" s="45" t="n">
        <f aca="false">IF(G265=0,"",F265/G265)</f>
        <v>0</v>
      </c>
      <c r="J265" s="45" t="n">
        <f aca="false">K265/L265</f>
        <v>0.0149253731343284</v>
      </c>
      <c r="K265" s="38" t="n">
        <f aca="false">F265+H265</f>
        <v>1</v>
      </c>
      <c r="L265" s="38" t="n">
        <f aca="false">G265+4*H265</f>
        <v>67</v>
      </c>
      <c r="M265" s="38" t="s">
        <v>619</v>
      </c>
      <c r="N265" s="38" t="n">
        <f aca="false">ROUND(SUMIFS($J$2:$J$1137,$A$2:$A$1137,A265,$C$2:$C$1137,C265),9)</f>
        <v>1</v>
      </c>
    </row>
    <row r="266" customFormat="false" ht="15" hidden="false" customHeight="true" outlineLevel="0" collapsed="false">
      <c r="A266" s="38" t="n">
        <v>17</v>
      </c>
      <c r="B266" s="38" t="s">
        <v>635</v>
      </c>
      <c r="C266" s="38" t="s">
        <v>169</v>
      </c>
      <c r="D266" s="38" t="s">
        <v>172</v>
      </c>
      <c r="E266" s="38" t="str">
        <f aca="false">A266&amp;"|"&amp;C266&amp;"|"&amp;D266</f>
        <v>17|G|A</v>
      </c>
      <c r="F266" s="43" t="n">
        <v>0</v>
      </c>
      <c r="G266" s="38" t="n">
        <f aca="false">SUMIFS($F$2:$F$1137,$A$2:$A$1137,A266,$C$2:$C$1137,C266)</f>
        <v>8</v>
      </c>
      <c r="H266" s="43" t="n">
        <v>1</v>
      </c>
      <c r="I266" s="45" t="n">
        <f aca="false">IF(G266=0,"",F266/G266)</f>
        <v>0</v>
      </c>
      <c r="J266" s="45" t="n">
        <f aca="false">K266/L266</f>
        <v>0.0833333333333333</v>
      </c>
      <c r="K266" s="38" t="n">
        <f aca="false">F266+H266</f>
        <v>1</v>
      </c>
      <c r="L266" s="38" t="n">
        <f aca="false">G266+4*H266</f>
        <v>12</v>
      </c>
      <c r="M266" s="38" t="s">
        <v>619</v>
      </c>
      <c r="N266" s="38" t="n">
        <f aca="false">ROUND(SUMIFS($J$2:$J$1137,$A$2:$A$1137,A266,$C$2:$C$1137,C266),9)</f>
        <v>1</v>
      </c>
    </row>
    <row r="267" customFormat="false" ht="15" hidden="false" customHeight="true" outlineLevel="0" collapsed="false">
      <c r="A267" s="38" t="n">
        <v>17</v>
      </c>
      <c r="B267" s="38" t="s">
        <v>635</v>
      </c>
      <c r="C267" s="38" t="s">
        <v>169</v>
      </c>
      <c r="D267" s="38" t="s">
        <v>170</v>
      </c>
      <c r="E267" s="38" t="str">
        <f aca="false">A267&amp;"|"&amp;C267&amp;"|"&amp;D267</f>
        <v>17|G|C</v>
      </c>
      <c r="F267" s="43" t="n">
        <v>0</v>
      </c>
      <c r="G267" s="38" t="n">
        <f aca="false">SUMIFS($F$2:$F$1137,$A$2:$A$1137,A267,$C$2:$C$1137,C267)</f>
        <v>8</v>
      </c>
      <c r="H267" s="43" t="n">
        <v>1</v>
      </c>
      <c r="I267" s="45" t="n">
        <f aca="false">IF(G267=0,"",F267/G267)</f>
        <v>0</v>
      </c>
      <c r="J267" s="45" t="n">
        <f aca="false">K267/L267</f>
        <v>0.0833333333333333</v>
      </c>
      <c r="K267" s="38" t="n">
        <f aca="false">F267+H267</f>
        <v>1</v>
      </c>
      <c r="L267" s="38" t="n">
        <f aca="false">G267+4*H267</f>
        <v>12</v>
      </c>
      <c r="M267" s="38" t="s">
        <v>619</v>
      </c>
      <c r="N267" s="38" t="n">
        <f aca="false">ROUND(SUMIFS($J$2:$J$1137,$A$2:$A$1137,A267,$C$2:$C$1137,C267),9)</f>
        <v>1</v>
      </c>
    </row>
    <row r="268" customFormat="false" ht="15" hidden="false" customHeight="true" outlineLevel="0" collapsed="false">
      <c r="A268" s="38" t="n">
        <v>17</v>
      </c>
      <c r="B268" s="38" t="s">
        <v>635</v>
      </c>
      <c r="C268" s="38" t="s">
        <v>169</v>
      </c>
      <c r="D268" s="38" t="s">
        <v>169</v>
      </c>
      <c r="E268" s="38" t="str">
        <f aca="false">A268&amp;"|"&amp;C268&amp;"|"&amp;D268</f>
        <v>17|G|G</v>
      </c>
      <c r="F268" s="43" t="n">
        <v>8</v>
      </c>
      <c r="G268" s="38" t="n">
        <f aca="false">SUMIFS($F$2:$F$1137,$A$2:$A$1137,A268,$C$2:$C$1137,C268)</f>
        <v>8</v>
      </c>
      <c r="H268" s="43" t="n">
        <v>1</v>
      </c>
      <c r="I268" s="45" t="n">
        <f aca="false">IF(G268=0,"",F268/G268)</f>
        <v>1</v>
      </c>
      <c r="J268" s="45" t="n">
        <f aca="false">K268/L268</f>
        <v>0.75</v>
      </c>
      <c r="K268" s="38" t="n">
        <f aca="false">F268+H268</f>
        <v>9</v>
      </c>
      <c r="L268" s="38" t="n">
        <f aca="false">G268+4*H268</f>
        <v>12</v>
      </c>
      <c r="M268" s="38" t="s">
        <v>619</v>
      </c>
      <c r="N268" s="38" t="n">
        <f aca="false">ROUND(SUMIFS($J$2:$J$1137,$A$2:$A$1137,A268,$C$2:$C$1137,C268),9)</f>
        <v>1</v>
      </c>
    </row>
    <row r="269" customFormat="false" ht="15" hidden="false" customHeight="true" outlineLevel="0" collapsed="false">
      <c r="A269" s="38" t="n">
        <v>17</v>
      </c>
      <c r="B269" s="38" t="s">
        <v>635</v>
      </c>
      <c r="C269" s="38" t="s">
        <v>169</v>
      </c>
      <c r="D269" s="38" t="s">
        <v>171</v>
      </c>
      <c r="E269" s="38" t="str">
        <f aca="false">A269&amp;"|"&amp;C269&amp;"|"&amp;D269</f>
        <v>17|G|U</v>
      </c>
      <c r="F269" s="43" t="n">
        <v>0</v>
      </c>
      <c r="G269" s="38" t="n">
        <f aca="false">SUMIFS($F$2:$F$1137,$A$2:$A$1137,A269,$C$2:$C$1137,C269)</f>
        <v>8</v>
      </c>
      <c r="H269" s="43" t="n">
        <v>1</v>
      </c>
      <c r="I269" s="45" t="n">
        <f aca="false">IF(G269=0,"",F269/G269)</f>
        <v>0</v>
      </c>
      <c r="J269" s="45" t="n">
        <f aca="false">K269/L269</f>
        <v>0.0833333333333333</v>
      </c>
      <c r="K269" s="38" t="n">
        <f aca="false">F269+H269</f>
        <v>1</v>
      </c>
      <c r="L269" s="38" t="n">
        <f aca="false">G269+4*H269</f>
        <v>12</v>
      </c>
      <c r="M269" s="38" t="s">
        <v>619</v>
      </c>
      <c r="N269" s="38" t="n">
        <f aca="false">ROUND(SUMIFS($J$2:$J$1137,$A$2:$A$1137,A269,$C$2:$C$1137,C269),9)</f>
        <v>1</v>
      </c>
    </row>
    <row r="270" customFormat="false" ht="15" hidden="false" customHeight="true" outlineLevel="0" collapsed="false">
      <c r="A270" s="38" t="n">
        <v>17</v>
      </c>
      <c r="B270" s="38" t="s">
        <v>635</v>
      </c>
      <c r="C270" s="38" t="s">
        <v>171</v>
      </c>
      <c r="D270" s="38" t="s">
        <v>172</v>
      </c>
      <c r="E270" s="38" t="str">
        <f aca="false">A270&amp;"|"&amp;C270&amp;"|"&amp;D270</f>
        <v>17|U|A</v>
      </c>
      <c r="F270" s="43" t="n">
        <v>0</v>
      </c>
      <c r="G270" s="38" t="n">
        <f aca="false">SUMIFS($F$2:$F$1137,$A$2:$A$1137,A270,$C$2:$C$1137,C270)</f>
        <v>113</v>
      </c>
      <c r="H270" s="43" t="n">
        <v>1</v>
      </c>
      <c r="I270" s="45" t="n">
        <f aca="false">IF(G270=0,"",F270/G270)</f>
        <v>0</v>
      </c>
      <c r="J270" s="45" t="n">
        <f aca="false">K270/L270</f>
        <v>0.00854700854700855</v>
      </c>
      <c r="K270" s="38" t="n">
        <f aca="false">F270+H270</f>
        <v>1</v>
      </c>
      <c r="L270" s="38" t="n">
        <f aca="false">G270+4*H270</f>
        <v>117</v>
      </c>
      <c r="M270" s="38" t="s">
        <v>619</v>
      </c>
      <c r="N270" s="38" t="n">
        <f aca="false">ROUND(SUMIFS($J$2:$J$1137,$A$2:$A$1137,A270,$C$2:$C$1137,C270),9)</f>
        <v>1</v>
      </c>
    </row>
    <row r="271" customFormat="false" ht="15" hidden="false" customHeight="true" outlineLevel="0" collapsed="false">
      <c r="A271" s="38" t="n">
        <v>17</v>
      </c>
      <c r="B271" s="38" t="s">
        <v>635</v>
      </c>
      <c r="C271" s="38" t="s">
        <v>171</v>
      </c>
      <c r="D271" s="38" t="s">
        <v>170</v>
      </c>
      <c r="E271" s="38" t="str">
        <f aca="false">A271&amp;"|"&amp;C271&amp;"|"&amp;D271</f>
        <v>17|U|C</v>
      </c>
      <c r="F271" s="43" t="n">
        <v>0</v>
      </c>
      <c r="G271" s="38" t="n">
        <f aca="false">SUMIFS($F$2:$F$1137,$A$2:$A$1137,A271,$C$2:$C$1137,C271)</f>
        <v>113</v>
      </c>
      <c r="H271" s="43" t="n">
        <v>1</v>
      </c>
      <c r="I271" s="45" t="n">
        <f aca="false">IF(G271=0,"",F271/G271)</f>
        <v>0</v>
      </c>
      <c r="J271" s="45" t="n">
        <f aca="false">K271/L271</f>
        <v>0.00854700854700855</v>
      </c>
      <c r="K271" s="38" t="n">
        <f aca="false">F271+H271</f>
        <v>1</v>
      </c>
      <c r="L271" s="38" t="n">
        <f aca="false">G271+4*H271</f>
        <v>117</v>
      </c>
      <c r="M271" s="38" t="s">
        <v>619</v>
      </c>
      <c r="N271" s="38" t="n">
        <f aca="false">ROUND(SUMIFS($J$2:$J$1137,$A$2:$A$1137,A271,$C$2:$C$1137,C271),9)</f>
        <v>1</v>
      </c>
    </row>
    <row r="272" customFormat="false" ht="15" hidden="false" customHeight="true" outlineLevel="0" collapsed="false">
      <c r="A272" s="38" t="n">
        <v>17</v>
      </c>
      <c r="B272" s="38" t="s">
        <v>635</v>
      </c>
      <c r="C272" s="38" t="s">
        <v>171</v>
      </c>
      <c r="D272" s="38" t="s">
        <v>169</v>
      </c>
      <c r="E272" s="38" t="str">
        <f aca="false">A272&amp;"|"&amp;C272&amp;"|"&amp;D272</f>
        <v>17|U|G</v>
      </c>
      <c r="F272" s="43" t="n">
        <v>113</v>
      </c>
      <c r="G272" s="38" t="n">
        <f aca="false">SUMIFS($F$2:$F$1137,$A$2:$A$1137,A272,$C$2:$C$1137,C272)</f>
        <v>113</v>
      </c>
      <c r="H272" s="43" t="n">
        <v>1</v>
      </c>
      <c r="I272" s="45" t="n">
        <f aca="false">IF(G272=0,"",F272/G272)</f>
        <v>1</v>
      </c>
      <c r="J272" s="45" t="n">
        <f aca="false">K272/L272</f>
        <v>0.974358974358974</v>
      </c>
      <c r="K272" s="38" t="n">
        <f aca="false">F272+H272</f>
        <v>114</v>
      </c>
      <c r="L272" s="38" t="n">
        <f aca="false">G272+4*H272</f>
        <v>117</v>
      </c>
      <c r="M272" s="38" t="s">
        <v>619</v>
      </c>
      <c r="N272" s="38" t="n">
        <f aca="false">ROUND(SUMIFS($J$2:$J$1137,$A$2:$A$1137,A272,$C$2:$C$1137,C272),9)</f>
        <v>1</v>
      </c>
    </row>
    <row r="273" customFormat="false" ht="15" hidden="false" customHeight="true" outlineLevel="0" collapsed="false">
      <c r="A273" s="38" t="n">
        <v>17</v>
      </c>
      <c r="B273" s="38" t="s">
        <v>635</v>
      </c>
      <c r="C273" s="38" t="s">
        <v>171</v>
      </c>
      <c r="D273" s="38" t="s">
        <v>171</v>
      </c>
      <c r="E273" s="38" t="str">
        <f aca="false">A273&amp;"|"&amp;C273&amp;"|"&amp;D273</f>
        <v>17|U|U</v>
      </c>
      <c r="F273" s="43" t="n">
        <v>0</v>
      </c>
      <c r="G273" s="38" t="n">
        <f aca="false">SUMIFS($F$2:$F$1137,$A$2:$A$1137,A273,$C$2:$C$1137,C273)</f>
        <v>113</v>
      </c>
      <c r="H273" s="43" t="n">
        <v>1</v>
      </c>
      <c r="I273" s="45" t="n">
        <f aca="false">IF(G273=0,"",F273/G273)</f>
        <v>0</v>
      </c>
      <c r="J273" s="45" t="n">
        <f aca="false">K273/L273</f>
        <v>0.00854700854700855</v>
      </c>
      <c r="K273" s="38" t="n">
        <f aca="false">F273+H273</f>
        <v>1</v>
      </c>
      <c r="L273" s="38" t="n">
        <f aca="false">G273+4*H273</f>
        <v>117</v>
      </c>
      <c r="M273" s="38" t="s">
        <v>619</v>
      </c>
      <c r="N273" s="38" t="n">
        <f aca="false">ROUND(SUMIFS($J$2:$J$1137,$A$2:$A$1137,A273,$C$2:$C$1137,C273),9)</f>
        <v>1</v>
      </c>
    </row>
    <row r="274" customFormat="false" ht="15" hidden="false" customHeight="true" outlineLevel="0" collapsed="false">
      <c r="A274" s="38" t="n">
        <v>18</v>
      </c>
      <c r="B274" s="38" t="s">
        <v>636</v>
      </c>
      <c r="C274" s="38" t="s">
        <v>172</v>
      </c>
      <c r="D274" s="38" t="s">
        <v>172</v>
      </c>
      <c r="E274" s="38" t="str">
        <f aca="false">A274&amp;"|"&amp;C274&amp;"|"&amp;D274</f>
        <v>18|A|A</v>
      </c>
      <c r="F274" s="43" t="n">
        <v>1</v>
      </c>
      <c r="G274" s="38" t="n">
        <f aca="false">SUMIFS($F$2:$F$1137,$A$2:$A$1137,A274,$C$2:$C$1137,C274)</f>
        <v>1</v>
      </c>
      <c r="H274" s="43" t="n">
        <v>1</v>
      </c>
      <c r="I274" s="45" t="n">
        <f aca="false">IF(G274=0,"",F274/G274)</f>
        <v>1</v>
      </c>
      <c r="J274" s="45" t="n">
        <f aca="false">K274/L274</f>
        <v>0.4</v>
      </c>
      <c r="K274" s="38" t="n">
        <f aca="false">F274+H274</f>
        <v>2</v>
      </c>
      <c r="L274" s="38" t="n">
        <f aca="false">G274+4*H274</f>
        <v>5</v>
      </c>
      <c r="M274" s="38" t="s">
        <v>619</v>
      </c>
      <c r="N274" s="38" t="n">
        <f aca="false">ROUND(SUMIFS($J$2:$J$1137,$A$2:$A$1137,A274,$C$2:$C$1137,C274),9)</f>
        <v>1</v>
      </c>
    </row>
    <row r="275" customFormat="false" ht="15" hidden="false" customHeight="true" outlineLevel="0" collapsed="false">
      <c r="A275" s="38" t="n">
        <v>18</v>
      </c>
      <c r="B275" s="38" t="s">
        <v>636</v>
      </c>
      <c r="C275" s="38" t="s">
        <v>172</v>
      </c>
      <c r="D275" s="38" t="s">
        <v>170</v>
      </c>
      <c r="E275" s="38" t="str">
        <f aca="false">A275&amp;"|"&amp;C275&amp;"|"&amp;D275</f>
        <v>18|A|C</v>
      </c>
      <c r="F275" s="43" t="n">
        <v>0</v>
      </c>
      <c r="G275" s="38" t="n">
        <f aca="false">SUMIFS($F$2:$F$1137,$A$2:$A$1137,A275,$C$2:$C$1137,C275)</f>
        <v>1</v>
      </c>
      <c r="H275" s="43" t="n">
        <v>1</v>
      </c>
      <c r="I275" s="45" t="n">
        <f aca="false">IF(G275=0,"",F275/G275)</f>
        <v>0</v>
      </c>
      <c r="J275" s="45" t="n">
        <f aca="false">K275/L275</f>
        <v>0.2</v>
      </c>
      <c r="K275" s="38" t="n">
        <f aca="false">F275+H275</f>
        <v>1</v>
      </c>
      <c r="L275" s="38" t="n">
        <f aca="false">G275+4*H275</f>
        <v>5</v>
      </c>
      <c r="M275" s="38" t="s">
        <v>619</v>
      </c>
      <c r="N275" s="38" t="n">
        <f aca="false">ROUND(SUMIFS($J$2:$J$1137,$A$2:$A$1137,A275,$C$2:$C$1137,C275),9)</f>
        <v>1</v>
      </c>
    </row>
    <row r="276" customFormat="false" ht="15" hidden="false" customHeight="true" outlineLevel="0" collapsed="false">
      <c r="A276" s="38" t="n">
        <v>18</v>
      </c>
      <c r="B276" s="38" t="s">
        <v>636</v>
      </c>
      <c r="C276" s="38" t="s">
        <v>172</v>
      </c>
      <c r="D276" s="38" t="s">
        <v>169</v>
      </c>
      <c r="E276" s="38" t="str">
        <f aca="false">A276&amp;"|"&amp;C276&amp;"|"&amp;D276</f>
        <v>18|A|G</v>
      </c>
      <c r="F276" s="43" t="n">
        <v>0</v>
      </c>
      <c r="G276" s="38" t="n">
        <f aca="false">SUMIFS($F$2:$F$1137,$A$2:$A$1137,A276,$C$2:$C$1137,C276)</f>
        <v>1</v>
      </c>
      <c r="H276" s="43" t="n">
        <v>1</v>
      </c>
      <c r="I276" s="45" t="n">
        <f aca="false">IF(G276=0,"",F276/G276)</f>
        <v>0</v>
      </c>
      <c r="J276" s="45" t="n">
        <f aca="false">K276/L276</f>
        <v>0.2</v>
      </c>
      <c r="K276" s="38" t="n">
        <f aca="false">F276+H276</f>
        <v>1</v>
      </c>
      <c r="L276" s="38" t="n">
        <f aca="false">G276+4*H276</f>
        <v>5</v>
      </c>
      <c r="M276" s="38" t="s">
        <v>619</v>
      </c>
      <c r="N276" s="38" t="n">
        <f aca="false">ROUND(SUMIFS($J$2:$J$1137,$A$2:$A$1137,A276,$C$2:$C$1137,C276),9)</f>
        <v>1</v>
      </c>
    </row>
    <row r="277" customFormat="false" ht="15" hidden="false" customHeight="true" outlineLevel="0" collapsed="false">
      <c r="A277" s="38" t="n">
        <v>18</v>
      </c>
      <c r="B277" s="38" t="s">
        <v>636</v>
      </c>
      <c r="C277" s="38" t="s">
        <v>172</v>
      </c>
      <c r="D277" s="38" t="s">
        <v>171</v>
      </c>
      <c r="E277" s="38" t="str">
        <f aca="false">A277&amp;"|"&amp;C277&amp;"|"&amp;D277</f>
        <v>18|A|U</v>
      </c>
      <c r="F277" s="43" t="n">
        <v>0</v>
      </c>
      <c r="G277" s="38" t="n">
        <f aca="false">SUMIFS($F$2:$F$1137,$A$2:$A$1137,A277,$C$2:$C$1137,C277)</f>
        <v>1</v>
      </c>
      <c r="H277" s="43" t="n">
        <v>1</v>
      </c>
      <c r="I277" s="45" t="n">
        <f aca="false">IF(G277=0,"",F277/G277)</f>
        <v>0</v>
      </c>
      <c r="J277" s="45" t="n">
        <f aca="false">K277/L277</f>
        <v>0.2</v>
      </c>
      <c r="K277" s="38" t="n">
        <f aca="false">F277+H277</f>
        <v>1</v>
      </c>
      <c r="L277" s="38" t="n">
        <f aca="false">G277+4*H277</f>
        <v>5</v>
      </c>
      <c r="M277" s="38" t="s">
        <v>619</v>
      </c>
      <c r="N277" s="38" t="n">
        <f aca="false">ROUND(SUMIFS($J$2:$J$1137,$A$2:$A$1137,A277,$C$2:$C$1137,C277),9)</f>
        <v>1</v>
      </c>
    </row>
    <row r="278" customFormat="false" ht="15" hidden="false" customHeight="true" outlineLevel="0" collapsed="false">
      <c r="A278" s="38" t="n">
        <v>18</v>
      </c>
      <c r="B278" s="38" t="s">
        <v>636</v>
      </c>
      <c r="C278" s="38" t="s">
        <v>170</v>
      </c>
      <c r="D278" s="38" t="s">
        <v>172</v>
      </c>
      <c r="E278" s="38" t="str">
        <f aca="false">A278&amp;"|"&amp;C278&amp;"|"&amp;D278</f>
        <v>18|C|A</v>
      </c>
      <c r="F278" s="43" t="n">
        <v>0</v>
      </c>
      <c r="G278" s="38" t="n">
        <f aca="false">SUMIFS($F$2:$F$1137,$A$2:$A$1137,A278,$C$2:$C$1137,C278)</f>
        <v>0</v>
      </c>
      <c r="H278" s="43" t="n">
        <v>1</v>
      </c>
      <c r="I278" s="45" t="str">
        <f aca="false">IF(G278=0,"",F278/G278)</f>
        <v/>
      </c>
      <c r="J278" s="45" t="n">
        <f aca="false">K278/L278</f>
        <v>0.25</v>
      </c>
      <c r="K278" s="38" t="n">
        <f aca="false">F278+H278</f>
        <v>1</v>
      </c>
      <c r="L278" s="38" t="n">
        <f aca="false">G278+4*H278</f>
        <v>4</v>
      </c>
      <c r="M278" s="38" t="s">
        <v>619</v>
      </c>
      <c r="N278" s="38" t="n">
        <f aca="false">ROUND(SUMIFS($J$2:$J$1137,$A$2:$A$1137,A278,$C$2:$C$1137,C278),9)</f>
        <v>1</v>
      </c>
    </row>
    <row r="279" customFormat="false" ht="15" hidden="false" customHeight="true" outlineLevel="0" collapsed="false">
      <c r="A279" s="38" t="n">
        <v>18</v>
      </c>
      <c r="B279" s="38" t="s">
        <v>636</v>
      </c>
      <c r="C279" s="38" t="s">
        <v>170</v>
      </c>
      <c r="D279" s="38" t="s">
        <v>170</v>
      </c>
      <c r="E279" s="38" t="str">
        <f aca="false">A279&amp;"|"&amp;C279&amp;"|"&amp;D279</f>
        <v>18|C|C</v>
      </c>
      <c r="F279" s="43" t="n">
        <v>0</v>
      </c>
      <c r="G279" s="38" t="n">
        <f aca="false">SUMIFS($F$2:$F$1137,$A$2:$A$1137,A279,$C$2:$C$1137,C279)</f>
        <v>0</v>
      </c>
      <c r="H279" s="43" t="n">
        <v>1</v>
      </c>
      <c r="I279" s="45" t="str">
        <f aca="false">IF(G279=0,"",F279/G279)</f>
        <v/>
      </c>
      <c r="J279" s="45" t="n">
        <f aca="false">K279/L279</f>
        <v>0.25</v>
      </c>
      <c r="K279" s="38" t="n">
        <f aca="false">F279+H279</f>
        <v>1</v>
      </c>
      <c r="L279" s="38" t="n">
        <f aca="false">G279+4*H279</f>
        <v>4</v>
      </c>
      <c r="M279" s="38" t="s">
        <v>619</v>
      </c>
      <c r="N279" s="38" t="n">
        <f aca="false">ROUND(SUMIFS($J$2:$J$1137,$A$2:$A$1137,A279,$C$2:$C$1137,C279),9)</f>
        <v>1</v>
      </c>
    </row>
    <row r="280" customFormat="false" ht="15" hidden="false" customHeight="true" outlineLevel="0" collapsed="false">
      <c r="A280" s="38" t="n">
        <v>18</v>
      </c>
      <c r="B280" s="38" t="s">
        <v>636</v>
      </c>
      <c r="C280" s="38" t="s">
        <v>170</v>
      </c>
      <c r="D280" s="38" t="s">
        <v>169</v>
      </c>
      <c r="E280" s="38" t="str">
        <f aca="false">A280&amp;"|"&amp;C280&amp;"|"&amp;D280</f>
        <v>18|C|G</v>
      </c>
      <c r="F280" s="43" t="n">
        <v>0</v>
      </c>
      <c r="G280" s="38" t="n">
        <f aca="false">SUMIFS($F$2:$F$1137,$A$2:$A$1137,A280,$C$2:$C$1137,C280)</f>
        <v>0</v>
      </c>
      <c r="H280" s="43" t="n">
        <v>1</v>
      </c>
      <c r="I280" s="45" t="str">
        <f aca="false">IF(G280=0,"",F280/G280)</f>
        <v/>
      </c>
      <c r="J280" s="45" t="n">
        <f aca="false">K280/L280</f>
        <v>0.25</v>
      </c>
      <c r="K280" s="38" t="n">
        <f aca="false">F280+H280</f>
        <v>1</v>
      </c>
      <c r="L280" s="38" t="n">
        <f aca="false">G280+4*H280</f>
        <v>4</v>
      </c>
      <c r="M280" s="38" t="s">
        <v>619</v>
      </c>
      <c r="N280" s="38" t="n">
        <f aca="false">ROUND(SUMIFS($J$2:$J$1137,$A$2:$A$1137,A280,$C$2:$C$1137,C280),9)</f>
        <v>1</v>
      </c>
    </row>
    <row r="281" customFormat="false" ht="15" hidden="false" customHeight="true" outlineLevel="0" collapsed="false">
      <c r="A281" s="38" t="n">
        <v>18</v>
      </c>
      <c r="B281" s="38" t="s">
        <v>636</v>
      </c>
      <c r="C281" s="38" t="s">
        <v>170</v>
      </c>
      <c r="D281" s="38" t="s">
        <v>171</v>
      </c>
      <c r="E281" s="38" t="str">
        <f aca="false">A281&amp;"|"&amp;C281&amp;"|"&amp;D281</f>
        <v>18|C|U</v>
      </c>
      <c r="F281" s="43" t="n">
        <v>0</v>
      </c>
      <c r="G281" s="38" t="n">
        <f aca="false">SUMIFS($F$2:$F$1137,$A$2:$A$1137,A281,$C$2:$C$1137,C281)</f>
        <v>0</v>
      </c>
      <c r="H281" s="43" t="n">
        <v>1</v>
      </c>
      <c r="I281" s="45" t="str">
        <f aca="false">IF(G281=0,"",F281/G281)</f>
        <v/>
      </c>
      <c r="J281" s="45" t="n">
        <f aca="false">K281/L281</f>
        <v>0.25</v>
      </c>
      <c r="K281" s="38" t="n">
        <f aca="false">F281+H281</f>
        <v>1</v>
      </c>
      <c r="L281" s="38" t="n">
        <f aca="false">G281+4*H281</f>
        <v>4</v>
      </c>
      <c r="M281" s="38" t="s">
        <v>619</v>
      </c>
      <c r="N281" s="38" t="n">
        <f aca="false">ROUND(SUMIFS($J$2:$J$1137,$A$2:$A$1137,A281,$C$2:$C$1137,C281),9)</f>
        <v>1</v>
      </c>
    </row>
    <row r="282" customFormat="false" ht="15" hidden="false" customHeight="true" outlineLevel="0" collapsed="false">
      <c r="A282" s="38" t="n">
        <v>18</v>
      </c>
      <c r="B282" s="38" t="s">
        <v>636</v>
      </c>
      <c r="C282" s="38" t="s">
        <v>169</v>
      </c>
      <c r="D282" s="38" t="s">
        <v>172</v>
      </c>
      <c r="E282" s="38" t="str">
        <f aca="false">A282&amp;"|"&amp;C282&amp;"|"&amp;D282</f>
        <v>18|G|A</v>
      </c>
      <c r="F282" s="43" t="n">
        <v>0</v>
      </c>
      <c r="G282" s="38" t="n">
        <f aca="false">SUMIFS($F$2:$F$1137,$A$2:$A$1137,A282,$C$2:$C$1137,C282)</f>
        <v>198</v>
      </c>
      <c r="H282" s="43" t="n">
        <v>1</v>
      </c>
      <c r="I282" s="45" t="n">
        <f aca="false">IF(G282=0,"",F282/G282)</f>
        <v>0</v>
      </c>
      <c r="J282" s="45" t="n">
        <f aca="false">K282/L282</f>
        <v>0.00495049504950495</v>
      </c>
      <c r="K282" s="38" t="n">
        <f aca="false">F282+H282</f>
        <v>1</v>
      </c>
      <c r="L282" s="38" t="n">
        <f aca="false">G282+4*H282</f>
        <v>202</v>
      </c>
      <c r="M282" s="38" t="s">
        <v>619</v>
      </c>
      <c r="N282" s="38" t="n">
        <f aca="false">ROUND(SUMIFS($J$2:$J$1137,$A$2:$A$1137,A282,$C$2:$C$1137,C282),9)</f>
        <v>1</v>
      </c>
    </row>
    <row r="283" customFormat="false" ht="15" hidden="false" customHeight="true" outlineLevel="0" collapsed="false">
      <c r="A283" s="38" t="n">
        <v>18</v>
      </c>
      <c r="B283" s="38" t="s">
        <v>636</v>
      </c>
      <c r="C283" s="38" t="s">
        <v>169</v>
      </c>
      <c r="D283" s="38" t="s">
        <v>170</v>
      </c>
      <c r="E283" s="38" t="str">
        <f aca="false">A283&amp;"|"&amp;C283&amp;"|"&amp;D283</f>
        <v>18|G|C</v>
      </c>
      <c r="F283" s="43" t="n">
        <v>0</v>
      </c>
      <c r="G283" s="38" t="n">
        <f aca="false">SUMIFS($F$2:$F$1137,$A$2:$A$1137,A283,$C$2:$C$1137,C283)</f>
        <v>198</v>
      </c>
      <c r="H283" s="43" t="n">
        <v>1</v>
      </c>
      <c r="I283" s="45" t="n">
        <f aca="false">IF(G283=0,"",F283/G283)</f>
        <v>0</v>
      </c>
      <c r="J283" s="45" t="n">
        <f aca="false">K283/L283</f>
        <v>0.00495049504950495</v>
      </c>
      <c r="K283" s="38" t="n">
        <f aca="false">F283+H283</f>
        <v>1</v>
      </c>
      <c r="L283" s="38" t="n">
        <f aca="false">G283+4*H283</f>
        <v>202</v>
      </c>
      <c r="M283" s="38" t="s">
        <v>619</v>
      </c>
      <c r="N283" s="38" t="n">
        <f aca="false">ROUND(SUMIFS($J$2:$J$1137,$A$2:$A$1137,A283,$C$2:$C$1137,C283),9)</f>
        <v>1</v>
      </c>
    </row>
    <row r="284" customFormat="false" ht="15" hidden="false" customHeight="true" outlineLevel="0" collapsed="false">
      <c r="A284" s="38" t="n">
        <v>18</v>
      </c>
      <c r="B284" s="38" t="s">
        <v>636</v>
      </c>
      <c r="C284" s="38" t="s">
        <v>169</v>
      </c>
      <c r="D284" s="38" t="s">
        <v>169</v>
      </c>
      <c r="E284" s="38" t="str">
        <f aca="false">A284&amp;"|"&amp;C284&amp;"|"&amp;D284</f>
        <v>18|G|G</v>
      </c>
      <c r="F284" s="43" t="n">
        <v>196</v>
      </c>
      <c r="G284" s="38" t="n">
        <f aca="false">SUMIFS($F$2:$F$1137,$A$2:$A$1137,A284,$C$2:$C$1137,C284)</f>
        <v>198</v>
      </c>
      <c r="H284" s="43" t="n">
        <v>1</v>
      </c>
      <c r="I284" s="45" t="n">
        <f aca="false">IF(G284=0,"",F284/G284)</f>
        <v>0.98989898989899</v>
      </c>
      <c r="J284" s="45" t="n">
        <f aca="false">K284/L284</f>
        <v>0.975247524752475</v>
      </c>
      <c r="K284" s="38" t="n">
        <f aca="false">F284+H284</f>
        <v>197</v>
      </c>
      <c r="L284" s="38" t="n">
        <f aca="false">G284+4*H284</f>
        <v>202</v>
      </c>
      <c r="M284" s="38" t="s">
        <v>619</v>
      </c>
      <c r="N284" s="38" t="n">
        <f aca="false">ROUND(SUMIFS($J$2:$J$1137,$A$2:$A$1137,A284,$C$2:$C$1137,C284),9)</f>
        <v>1</v>
      </c>
    </row>
    <row r="285" customFormat="false" ht="15" hidden="false" customHeight="true" outlineLevel="0" collapsed="false">
      <c r="A285" s="38" t="n">
        <v>18</v>
      </c>
      <c r="B285" s="38" t="s">
        <v>636</v>
      </c>
      <c r="C285" s="38" t="s">
        <v>169</v>
      </c>
      <c r="D285" s="38" t="s">
        <v>171</v>
      </c>
      <c r="E285" s="38" t="str">
        <f aca="false">A285&amp;"|"&amp;C285&amp;"|"&amp;D285</f>
        <v>18|G|U</v>
      </c>
      <c r="F285" s="43" t="n">
        <v>2</v>
      </c>
      <c r="G285" s="38" t="n">
        <f aca="false">SUMIFS($F$2:$F$1137,$A$2:$A$1137,A285,$C$2:$C$1137,C285)</f>
        <v>198</v>
      </c>
      <c r="H285" s="43" t="n">
        <v>1</v>
      </c>
      <c r="I285" s="45" t="n">
        <f aca="false">IF(G285=0,"",F285/G285)</f>
        <v>0.0101010101010101</v>
      </c>
      <c r="J285" s="45" t="n">
        <f aca="false">K285/L285</f>
        <v>0.0148514851485149</v>
      </c>
      <c r="K285" s="38" t="n">
        <f aca="false">F285+H285</f>
        <v>3</v>
      </c>
      <c r="L285" s="38" t="n">
        <f aca="false">G285+4*H285</f>
        <v>202</v>
      </c>
      <c r="M285" s="38" t="s">
        <v>619</v>
      </c>
      <c r="N285" s="38" t="n">
        <f aca="false">ROUND(SUMIFS($J$2:$J$1137,$A$2:$A$1137,A285,$C$2:$C$1137,C285),9)</f>
        <v>1</v>
      </c>
    </row>
    <row r="286" customFormat="false" ht="15" hidden="false" customHeight="true" outlineLevel="0" collapsed="false">
      <c r="A286" s="38" t="n">
        <v>18</v>
      </c>
      <c r="B286" s="38" t="s">
        <v>636</v>
      </c>
      <c r="C286" s="38" t="s">
        <v>171</v>
      </c>
      <c r="D286" s="38" t="s">
        <v>172</v>
      </c>
      <c r="E286" s="38" t="str">
        <f aca="false">A286&amp;"|"&amp;C286&amp;"|"&amp;D286</f>
        <v>18|U|A</v>
      </c>
      <c r="F286" s="43" t="n">
        <v>0</v>
      </c>
      <c r="G286" s="38" t="n">
        <f aca="false">SUMIFS($F$2:$F$1137,$A$2:$A$1137,A286,$C$2:$C$1137,C286)</f>
        <v>0</v>
      </c>
      <c r="H286" s="43" t="n">
        <v>1</v>
      </c>
      <c r="I286" s="45" t="str">
        <f aca="false">IF(G286=0,"",F286/G286)</f>
        <v/>
      </c>
      <c r="J286" s="45" t="n">
        <f aca="false">K286/L286</f>
        <v>0.25</v>
      </c>
      <c r="K286" s="38" t="n">
        <f aca="false">F286+H286</f>
        <v>1</v>
      </c>
      <c r="L286" s="38" t="n">
        <f aca="false">G286+4*H286</f>
        <v>4</v>
      </c>
      <c r="M286" s="38" t="s">
        <v>619</v>
      </c>
      <c r="N286" s="38" t="n">
        <f aca="false">ROUND(SUMIFS($J$2:$J$1137,$A$2:$A$1137,A286,$C$2:$C$1137,C286),9)</f>
        <v>1</v>
      </c>
    </row>
    <row r="287" customFormat="false" ht="15" hidden="false" customHeight="true" outlineLevel="0" collapsed="false">
      <c r="A287" s="38" t="n">
        <v>18</v>
      </c>
      <c r="B287" s="38" t="s">
        <v>636</v>
      </c>
      <c r="C287" s="38" t="s">
        <v>171</v>
      </c>
      <c r="D287" s="38" t="s">
        <v>170</v>
      </c>
      <c r="E287" s="38" t="str">
        <f aca="false">A287&amp;"|"&amp;C287&amp;"|"&amp;D287</f>
        <v>18|U|C</v>
      </c>
      <c r="F287" s="43" t="n">
        <v>0</v>
      </c>
      <c r="G287" s="38" t="n">
        <f aca="false">SUMIFS($F$2:$F$1137,$A$2:$A$1137,A287,$C$2:$C$1137,C287)</f>
        <v>0</v>
      </c>
      <c r="H287" s="43" t="n">
        <v>1</v>
      </c>
      <c r="I287" s="45" t="str">
        <f aca="false">IF(G287=0,"",F287/G287)</f>
        <v/>
      </c>
      <c r="J287" s="45" t="n">
        <f aca="false">K287/L287</f>
        <v>0.25</v>
      </c>
      <c r="K287" s="38" t="n">
        <f aca="false">F287+H287</f>
        <v>1</v>
      </c>
      <c r="L287" s="38" t="n">
        <f aca="false">G287+4*H287</f>
        <v>4</v>
      </c>
      <c r="M287" s="38" t="s">
        <v>619</v>
      </c>
      <c r="N287" s="38" t="n">
        <f aca="false">ROUND(SUMIFS($J$2:$J$1137,$A$2:$A$1137,A287,$C$2:$C$1137,C287),9)</f>
        <v>1</v>
      </c>
    </row>
    <row r="288" customFormat="false" ht="15" hidden="false" customHeight="true" outlineLevel="0" collapsed="false">
      <c r="A288" s="38" t="n">
        <v>18</v>
      </c>
      <c r="B288" s="38" t="s">
        <v>636</v>
      </c>
      <c r="C288" s="38" t="s">
        <v>171</v>
      </c>
      <c r="D288" s="38" t="s">
        <v>169</v>
      </c>
      <c r="E288" s="38" t="str">
        <f aca="false">A288&amp;"|"&amp;C288&amp;"|"&amp;D288</f>
        <v>18|U|G</v>
      </c>
      <c r="F288" s="43" t="n">
        <v>0</v>
      </c>
      <c r="G288" s="38" t="n">
        <f aca="false">SUMIFS($F$2:$F$1137,$A$2:$A$1137,A288,$C$2:$C$1137,C288)</f>
        <v>0</v>
      </c>
      <c r="H288" s="43" t="n">
        <v>1</v>
      </c>
      <c r="I288" s="45" t="str">
        <f aca="false">IF(G288=0,"",F288/G288)</f>
        <v/>
      </c>
      <c r="J288" s="45" t="n">
        <f aca="false">K288/L288</f>
        <v>0.25</v>
      </c>
      <c r="K288" s="38" t="n">
        <f aca="false">F288+H288</f>
        <v>1</v>
      </c>
      <c r="L288" s="38" t="n">
        <f aca="false">G288+4*H288</f>
        <v>4</v>
      </c>
      <c r="M288" s="38" t="s">
        <v>619</v>
      </c>
      <c r="N288" s="38" t="n">
        <f aca="false">ROUND(SUMIFS($J$2:$J$1137,$A$2:$A$1137,A288,$C$2:$C$1137,C288),9)</f>
        <v>1</v>
      </c>
    </row>
    <row r="289" customFormat="false" ht="15" hidden="false" customHeight="true" outlineLevel="0" collapsed="false">
      <c r="A289" s="38" t="n">
        <v>18</v>
      </c>
      <c r="B289" s="38" t="s">
        <v>636</v>
      </c>
      <c r="C289" s="38" t="s">
        <v>171</v>
      </c>
      <c r="D289" s="38" t="s">
        <v>171</v>
      </c>
      <c r="E289" s="38" t="str">
        <f aca="false">A289&amp;"|"&amp;C289&amp;"|"&amp;D289</f>
        <v>18|U|U</v>
      </c>
      <c r="F289" s="43" t="n">
        <v>0</v>
      </c>
      <c r="G289" s="38" t="n">
        <f aca="false">SUMIFS($F$2:$F$1137,$A$2:$A$1137,A289,$C$2:$C$1137,C289)</f>
        <v>0</v>
      </c>
      <c r="H289" s="43" t="n">
        <v>1</v>
      </c>
      <c r="I289" s="45" t="str">
        <f aca="false">IF(G289=0,"",F289/G289)</f>
        <v/>
      </c>
      <c r="J289" s="45" t="n">
        <f aca="false">K289/L289</f>
        <v>0.25</v>
      </c>
      <c r="K289" s="38" t="n">
        <f aca="false">F289+H289</f>
        <v>1</v>
      </c>
      <c r="L289" s="38" t="n">
        <f aca="false">G289+4*H289</f>
        <v>4</v>
      </c>
      <c r="M289" s="38" t="s">
        <v>619</v>
      </c>
      <c r="N289" s="38" t="n">
        <f aca="false">ROUND(SUMIFS($J$2:$J$1137,$A$2:$A$1137,A289,$C$2:$C$1137,C289),9)</f>
        <v>1</v>
      </c>
    </row>
    <row r="290" customFormat="false" ht="15" hidden="false" customHeight="true" outlineLevel="0" collapsed="false">
      <c r="A290" s="38" t="n">
        <v>19</v>
      </c>
      <c r="B290" s="38" t="s">
        <v>637</v>
      </c>
      <c r="C290" s="38" t="s">
        <v>172</v>
      </c>
      <c r="D290" s="38" t="s">
        <v>172</v>
      </c>
      <c r="E290" s="38" t="str">
        <f aca="false">A290&amp;"|"&amp;C290&amp;"|"&amp;D290</f>
        <v>19|A|A</v>
      </c>
      <c r="F290" s="43" t="n">
        <v>0</v>
      </c>
      <c r="G290" s="38" t="n">
        <f aca="false">SUMIFS($F$2:$F$1137,$A$2:$A$1137,A290,$C$2:$C$1137,C290)</f>
        <v>1</v>
      </c>
      <c r="H290" s="43" t="n">
        <v>1</v>
      </c>
      <c r="I290" s="45" t="n">
        <f aca="false">IF(G290=0,"",F290/G290)</f>
        <v>0</v>
      </c>
      <c r="J290" s="45" t="n">
        <f aca="false">K290/L290</f>
        <v>0.2</v>
      </c>
      <c r="K290" s="38" t="n">
        <f aca="false">F290+H290</f>
        <v>1</v>
      </c>
      <c r="L290" s="38" t="n">
        <f aca="false">G290+4*H290</f>
        <v>5</v>
      </c>
      <c r="M290" s="38" t="s">
        <v>619</v>
      </c>
      <c r="N290" s="38" t="n">
        <f aca="false">ROUND(SUMIFS($J$2:$J$1137,$A$2:$A$1137,A290,$C$2:$C$1137,C290),9)</f>
        <v>1</v>
      </c>
    </row>
    <row r="291" customFormat="false" ht="15" hidden="false" customHeight="true" outlineLevel="0" collapsed="false">
      <c r="A291" s="38" t="n">
        <v>19</v>
      </c>
      <c r="B291" s="38" t="s">
        <v>637</v>
      </c>
      <c r="C291" s="38" t="s">
        <v>172</v>
      </c>
      <c r="D291" s="38" t="s">
        <v>170</v>
      </c>
      <c r="E291" s="38" t="str">
        <f aca="false">A291&amp;"|"&amp;C291&amp;"|"&amp;D291</f>
        <v>19|A|C</v>
      </c>
      <c r="F291" s="43" t="n">
        <v>0</v>
      </c>
      <c r="G291" s="38" t="n">
        <f aca="false">SUMIFS($F$2:$F$1137,$A$2:$A$1137,A291,$C$2:$C$1137,C291)</f>
        <v>1</v>
      </c>
      <c r="H291" s="43" t="n">
        <v>1</v>
      </c>
      <c r="I291" s="45" t="n">
        <f aca="false">IF(G291=0,"",F291/G291)</f>
        <v>0</v>
      </c>
      <c r="J291" s="45" t="n">
        <f aca="false">K291/L291</f>
        <v>0.2</v>
      </c>
      <c r="K291" s="38" t="n">
        <f aca="false">F291+H291</f>
        <v>1</v>
      </c>
      <c r="L291" s="38" t="n">
        <f aca="false">G291+4*H291</f>
        <v>5</v>
      </c>
      <c r="M291" s="38" t="s">
        <v>619</v>
      </c>
      <c r="N291" s="38" t="n">
        <f aca="false">ROUND(SUMIFS($J$2:$J$1137,$A$2:$A$1137,A291,$C$2:$C$1137,C291),9)</f>
        <v>1</v>
      </c>
    </row>
    <row r="292" customFormat="false" ht="15" hidden="false" customHeight="true" outlineLevel="0" collapsed="false">
      <c r="A292" s="38" t="n">
        <v>19</v>
      </c>
      <c r="B292" s="38" t="s">
        <v>637</v>
      </c>
      <c r="C292" s="38" t="s">
        <v>172</v>
      </c>
      <c r="D292" s="38" t="s">
        <v>169</v>
      </c>
      <c r="E292" s="38" t="str">
        <f aca="false">A292&amp;"|"&amp;C292&amp;"|"&amp;D292</f>
        <v>19|A|G</v>
      </c>
      <c r="F292" s="43" t="n">
        <v>0</v>
      </c>
      <c r="G292" s="38" t="n">
        <f aca="false">SUMIFS($F$2:$F$1137,$A$2:$A$1137,A292,$C$2:$C$1137,C292)</f>
        <v>1</v>
      </c>
      <c r="H292" s="43" t="n">
        <v>1</v>
      </c>
      <c r="I292" s="45" t="n">
        <f aca="false">IF(G292=0,"",F292/G292)</f>
        <v>0</v>
      </c>
      <c r="J292" s="45" t="n">
        <f aca="false">K292/L292</f>
        <v>0.2</v>
      </c>
      <c r="K292" s="38" t="n">
        <f aca="false">F292+H292</f>
        <v>1</v>
      </c>
      <c r="L292" s="38" t="n">
        <f aca="false">G292+4*H292</f>
        <v>5</v>
      </c>
      <c r="M292" s="38" t="s">
        <v>619</v>
      </c>
      <c r="N292" s="38" t="n">
        <f aca="false">ROUND(SUMIFS($J$2:$J$1137,$A$2:$A$1137,A292,$C$2:$C$1137,C292),9)</f>
        <v>1</v>
      </c>
    </row>
    <row r="293" customFormat="false" ht="15" hidden="false" customHeight="true" outlineLevel="0" collapsed="false">
      <c r="A293" s="38" t="n">
        <v>19</v>
      </c>
      <c r="B293" s="38" t="s">
        <v>637</v>
      </c>
      <c r="C293" s="38" t="s">
        <v>172</v>
      </c>
      <c r="D293" s="38" t="s">
        <v>171</v>
      </c>
      <c r="E293" s="38" t="str">
        <f aca="false">A293&amp;"|"&amp;C293&amp;"|"&amp;D293</f>
        <v>19|A|U</v>
      </c>
      <c r="F293" s="43" t="n">
        <v>1</v>
      </c>
      <c r="G293" s="38" t="n">
        <f aca="false">SUMIFS($F$2:$F$1137,$A$2:$A$1137,A293,$C$2:$C$1137,C293)</f>
        <v>1</v>
      </c>
      <c r="H293" s="43" t="n">
        <v>1</v>
      </c>
      <c r="I293" s="45" t="n">
        <f aca="false">IF(G293=0,"",F293/G293)</f>
        <v>1</v>
      </c>
      <c r="J293" s="45" t="n">
        <f aca="false">K293/L293</f>
        <v>0.4</v>
      </c>
      <c r="K293" s="38" t="n">
        <f aca="false">F293+H293</f>
        <v>2</v>
      </c>
      <c r="L293" s="38" t="n">
        <f aca="false">G293+4*H293</f>
        <v>5</v>
      </c>
      <c r="M293" s="38" t="s">
        <v>619</v>
      </c>
      <c r="N293" s="38" t="n">
        <f aca="false">ROUND(SUMIFS($J$2:$J$1137,$A$2:$A$1137,A293,$C$2:$C$1137,C293),9)</f>
        <v>1</v>
      </c>
    </row>
    <row r="294" customFormat="false" ht="15" hidden="false" customHeight="true" outlineLevel="0" collapsed="false">
      <c r="A294" s="38" t="n">
        <v>19</v>
      </c>
      <c r="B294" s="38" t="s">
        <v>637</v>
      </c>
      <c r="C294" s="38" t="s">
        <v>170</v>
      </c>
      <c r="D294" s="38" t="s">
        <v>172</v>
      </c>
      <c r="E294" s="38" t="str">
        <f aca="false">A294&amp;"|"&amp;C294&amp;"|"&amp;D294</f>
        <v>19|C|A</v>
      </c>
      <c r="F294" s="43" t="n">
        <v>0</v>
      </c>
      <c r="G294" s="38" t="n">
        <f aca="false">SUMIFS($F$2:$F$1137,$A$2:$A$1137,A294,$C$2:$C$1137,C294)</f>
        <v>0</v>
      </c>
      <c r="H294" s="43" t="n">
        <v>1</v>
      </c>
      <c r="I294" s="45" t="str">
        <f aca="false">IF(G294=0,"",F294/G294)</f>
        <v/>
      </c>
      <c r="J294" s="45" t="n">
        <f aca="false">K294/L294</f>
        <v>0.25</v>
      </c>
      <c r="K294" s="38" t="n">
        <f aca="false">F294+H294</f>
        <v>1</v>
      </c>
      <c r="L294" s="38" t="n">
        <f aca="false">G294+4*H294</f>
        <v>4</v>
      </c>
      <c r="M294" s="38" t="s">
        <v>619</v>
      </c>
      <c r="N294" s="38" t="n">
        <f aca="false">ROUND(SUMIFS($J$2:$J$1137,$A$2:$A$1137,A294,$C$2:$C$1137,C294),9)</f>
        <v>1</v>
      </c>
    </row>
    <row r="295" customFormat="false" ht="15" hidden="false" customHeight="true" outlineLevel="0" collapsed="false">
      <c r="A295" s="38" t="n">
        <v>19</v>
      </c>
      <c r="B295" s="38" t="s">
        <v>637</v>
      </c>
      <c r="C295" s="38" t="s">
        <v>170</v>
      </c>
      <c r="D295" s="38" t="s">
        <v>170</v>
      </c>
      <c r="E295" s="38" t="str">
        <f aca="false">A295&amp;"|"&amp;C295&amp;"|"&amp;D295</f>
        <v>19|C|C</v>
      </c>
      <c r="F295" s="43" t="n">
        <v>0</v>
      </c>
      <c r="G295" s="38" t="n">
        <f aca="false">SUMIFS($F$2:$F$1137,$A$2:$A$1137,A295,$C$2:$C$1137,C295)</f>
        <v>0</v>
      </c>
      <c r="H295" s="43" t="n">
        <v>1</v>
      </c>
      <c r="I295" s="45" t="str">
        <f aca="false">IF(G295=0,"",F295/G295)</f>
        <v/>
      </c>
      <c r="J295" s="45" t="n">
        <f aca="false">K295/L295</f>
        <v>0.25</v>
      </c>
      <c r="K295" s="38" t="n">
        <f aca="false">F295+H295</f>
        <v>1</v>
      </c>
      <c r="L295" s="38" t="n">
        <f aca="false">G295+4*H295</f>
        <v>4</v>
      </c>
      <c r="M295" s="38" t="s">
        <v>619</v>
      </c>
      <c r="N295" s="38" t="n">
        <f aca="false">ROUND(SUMIFS($J$2:$J$1137,$A$2:$A$1137,A295,$C$2:$C$1137,C295),9)</f>
        <v>1</v>
      </c>
    </row>
    <row r="296" customFormat="false" ht="15" hidden="false" customHeight="true" outlineLevel="0" collapsed="false">
      <c r="A296" s="38" t="n">
        <v>19</v>
      </c>
      <c r="B296" s="38" t="s">
        <v>637</v>
      </c>
      <c r="C296" s="38" t="s">
        <v>170</v>
      </c>
      <c r="D296" s="38" t="s">
        <v>169</v>
      </c>
      <c r="E296" s="38" t="str">
        <f aca="false">A296&amp;"|"&amp;C296&amp;"|"&amp;D296</f>
        <v>19|C|G</v>
      </c>
      <c r="F296" s="43" t="n">
        <v>0</v>
      </c>
      <c r="G296" s="38" t="n">
        <f aca="false">SUMIFS($F$2:$F$1137,$A$2:$A$1137,A296,$C$2:$C$1137,C296)</f>
        <v>0</v>
      </c>
      <c r="H296" s="43" t="n">
        <v>1</v>
      </c>
      <c r="I296" s="45" t="str">
        <f aca="false">IF(G296=0,"",F296/G296)</f>
        <v/>
      </c>
      <c r="J296" s="45" t="n">
        <f aca="false">K296/L296</f>
        <v>0.25</v>
      </c>
      <c r="K296" s="38" t="n">
        <f aca="false">F296+H296</f>
        <v>1</v>
      </c>
      <c r="L296" s="38" t="n">
        <f aca="false">G296+4*H296</f>
        <v>4</v>
      </c>
      <c r="M296" s="38" t="s">
        <v>619</v>
      </c>
      <c r="N296" s="38" t="n">
        <f aca="false">ROUND(SUMIFS($J$2:$J$1137,$A$2:$A$1137,A296,$C$2:$C$1137,C296),9)</f>
        <v>1</v>
      </c>
    </row>
    <row r="297" customFormat="false" ht="15" hidden="false" customHeight="true" outlineLevel="0" collapsed="false">
      <c r="A297" s="38" t="n">
        <v>19</v>
      </c>
      <c r="B297" s="38" t="s">
        <v>637</v>
      </c>
      <c r="C297" s="38" t="s">
        <v>170</v>
      </c>
      <c r="D297" s="38" t="s">
        <v>171</v>
      </c>
      <c r="E297" s="38" t="str">
        <f aca="false">A297&amp;"|"&amp;C297&amp;"|"&amp;D297</f>
        <v>19|C|U</v>
      </c>
      <c r="F297" s="43" t="n">
        <v>0</v>
      </c>
      <c r="G297" s="38" t="n">
        <f aca="false">SUMIFS($F$2:$F$1137,$A$2:$A$1137,A297,$C$2:$C$1137,C297)</f>
        <v>0</v>
      </c>
      <c r="H297" s="43" t="n">
        <v>1</v>
      </c>
      <c r="I297" s="45" t="str">
        <f aca="false">IF(G297=0,"",F297/G297)</f>
        <v/>
      </c>
      <c r="J297" s="45" t="n">
        <f aca="false">K297/L297</f>
        <v>0.25</v>
      </c>
      <c r="K297" s="38" t="n">
        <f aca="false">F297+H297</f>
        <v>1</v>
      </c>
      <c r="L297" s="38" t="n">
        <f aca="false">G297+4*H297</f>
        <v>4</v>
      </c>
      <c r="M297" s="38" t="s">
        <v>619</v>
      </c>
      <c r="N297" s="38" t="n">
        <f aca="false">ROUND(SUMIFS($J$2:$J$1137,$A$2:$A$1137,A297,$C$2:$C$1137,C297),9)</f>
        <v>1</v>
      </c>
    </row>
    <row r="298" customFormat="false" ht="15" hidden="false" customHeight="true" outlineLevel="0" collapsed="false">
      <c r="A298" s="38" t="n">
        <v>19</v>
      </c>
      <c r="B298" s="38" t="s">
        <v>637</v>
      </c>
      <c r="C298" s="38" t="s">
        <v>169</v>
      </c>
      <c r="D298" s="38" t="s">
        <v>172</v>
      </c>
      <c r="E298" s="38" t="str">
        <f aca="false">A298&amp;"|"&amp;C298&amp;"|"&amp;D298</f>
        <v>19|G|A</v>
      </c>
      <c r="F298" s="43" t="n">
        <v>17</v>
      </c>
      <c r="G298" s="38" t="n">
        <f aca="false">SUMIFS($F$2:$F$1137,$A$2:$A$1137,A298,$C$2:$C$1137,C298)</f>
        <v>196</v>
      </c>
      <c r="H298" s="43" t="n">
        <v>1</v>
      </c>
      <c r="I298" s="45" t="n">
        <f aca="false">IF(G298=0,"",F298/G298)</f>
        <v>0.086734693877551</v>
      </c>
      <c r="J298" s="45" t="n">
        <f aca="false">K298/L298</f>
        <v>0.09</v>
      </c>
      <c r="K298" s="38" t="n">
        <f aca="false">F298+H298</f>
        <v>18</v>
      </c>
      <c r="L298" s="38" t="n">
        <f aca="false">G298+4*H298</f>
        <v>200</v>
      </c>
      <c r="M298" s="38" t="s">
        <v>619</v>
      </c>
      <c r="N298" s="38" t="n">
        <f aca="false">ROUND(SUMIFS($J$2:$J$1137,$A$2:$A$1137,A298,$C$2:$C$1137,C298),9)</f>
        <v>1</v>
      </c>
    </row>
    <row r="299" customFormat="false" ht="15" hidden="false" customHeight="true" outlineLevel="0" collapsed="false">
      <c r="A299" s="38" t="n">
        <v>19</v>
      </c>
      <c r="B299" s="38" t="s">
        <v>637</v>
      </c>
      <c r="C299" s="38" t="s">
        <v>169</v>
      </c>
      <c r="D299" s="38" t="s">
        <v>170</v>
      </c>
      <c r="E299" s="38" t="str">
        <f aca="false">A299&amp;"|"&amp;C299&amp;"|"&amp;D299</f>
        <v>19|G|C</v>
      </c>
      <c r="F299" s="43" t="n">
        <v>45</v>
      </c>
      <c r="G299" s="38" t="n">
        <f aca="false">SUMIFS($F$2:$F$1137,$A$2:$A$1137,A299,$C$2:$C$1137,C299)</f>
        <v>196</v>
      </c>
      <c r="H299" s="43" t="n">
        <v>1</v>
      </c>
      <c r="I299" s="45" t="n">
        <f aca="false">IF(G299=0,"",F299/G299)</f>
        <v>0.229591836734694</v>
      </c>
      <c r="J299" s="45" t="n">
        <f aca="false">K299/L299</f>
        <v>0.23</v>
      </c>
      <c r="K299" s="38" t="n">
        <f aca="false">F299+H299</f>
        <v>46</v>
      </c>
      <c r="L299" s="38" t="n">
        <f aca="false">G299+4*H299</f>
        <v>200</v>
      </c>
      <c r="M299" s="38" t="s">
        <v>619</v>
      </c>
      <c r="N299" s="38" t="n">
        <f aca="false">ROUND(SUMIFS($J$2:$J$1137,$A$2:$A$1137,A299,$C$2:$C$1137,C299),9)</f>
        <v>1</v>
      </c>
    </row>
    <row r="300" customFormat="false" ht="15" hidden="false" customHeight="true" outlineLevel="0" collapsed="false">
      <c r="A300" s="38" t="n">
        <v>19</v>
      </c>
      <c r="B300" s="38" t="s">
        <v>637</v>
      </c>
      <c r="C300" s="38" t="s">
        <v>169</v>
      </c>
      <c r="D300" s="38" t="s">
        <v>169</v>
      </c>
      <c r="E300" s="38" t="str">
        <f aca="false">A300&amp;"|"&amp;C300&amp;"|"&amp;D300</f>
        <v>19|G|G</v>
      </c>
      <c r="F300" s="43" t="n">
        <v>18</v>
      </c>
      <c r="G300" s="38" t="n">
        <f aca="false">SUMIFS($F$2:$F$1137,$A$2:$A$1137,A300,$C$2:$C$1137,C300)</f>
        <v>196</v>
      </c>
      <c r="H300" s="43" t="n">
        <v>1</v>
      </c>
      <c r="I300" s="45" t="n">
        <f aca="false">IF(G300=0,"",F300/G300)</f>
        <v>0.0918367346938776</v>
      </c>
      <c r="J300" s="45" t="n">
        <f aca="false">K300/L300</f>
        <v>0.095</v>
      </c>
      <c r="K300" s="38" t="n">
        <f aca="false">F300+H300</f>
        <v>19</v>
      </c>
      <c r="L300" s="38" t="n">
        <f aca="false">G300+4*H300</f>
        <v>200</v>
      </c>
      <c r="M300" s="38" t="s">
        <v>619</v>
      </c>
      <c r="N300" s="38" t="n">
        <f aca="false">ROUND(SUMIFS($J$2:$J$1137,$A$2:$A$1137,A300,$C$2:$C$1137,C300),9)</f>
        <v>1</v>
      </c>
    </row>
    <row r="301" customFormat="false" ht="15" hidden="false" customHeight="true" outlineLevel="0" collapsed="false">
      <c r="A301" s="38" t="n">
        <v>19</v>
      </c>
      <c r="B301" s="38" t="s">
        <v>637</v>
      </c>
      <c r="C301" s="38" t="s">
        <v>169</v>
      </c>
      <c r="D301" s="38" t="s">
        <v>171</v>
      </c>
      <c r="E301" s="38" t="str">
        <f aca="false">A301&amp;"|"&amp;C301&amp;"|"&amp;D301</f>
        <v>19|G|U</v>
      </c>
      <c r="F301" s="43" t="n">
        <v>116</v>
      </c>
      <c r="G301" s="38" t="n">
        <f aca="false">SUMIFS($F$2:$F$1137,$A$2:$A$1137,A301,$C$2:$C$1137,C301)</f>
        <v>196</v>
      </c>
      <c r="H301" s="43" t="n">
        <v>1</v>
      </c>
      <c r="I301" s="45" t="n">
        <f aca="false">IF(G301=0,"",F301/G301)</f>
        <v>0.591836734693878</v>
      </c>
      <c r="J301" s="45" t="n">
        <f aca="false">K301/L301</f>
        <v>0.585</v>
      </c>
      <c r="K301" s="38" t="n">
        <f aca="false">F301+H301</f>
        <v>117</v>
      </c>
      <c r="L301" s="38" t="n">
        <f aca="false">G301+4*H301</f>
        <v>200</v>
      </c>
      <c r="M301" s="38" t="s">
        <v>619</v>
      </c>
      <c r="N301" s="38" t="n">
        <f aca="false">ROUND(SUMIFS($J$2:$J$1137,$A$2:$A$1137,A301,$C$2:$C$1137,C301),9)</f>
        <v>1</v>
      </c>
    </row>
    <row r="302" customFormat="false" ht="15" hidden="false" customHeight="true" outlineLevel="0" collapsed="false">
      <c r="A302" s="38" t="n">
        <v>19</v>
      </c>
      <c r="B302" s="38" t="s">
        <v>637</v>
      </c>
      <c r="C302" s="38" t="s">
        <v>171</v>
      </c>
      <c r="D302" s="38" t="s">
        <v>172</v>
      </c>
      <c r="E302" s="38" t="str">
        <f aca="false">A302&amp;"|"&amp;C302&amp;"|"&amp;D302</f>
        <v>19|U|A</v>
      </c>
      <c r="F302" s="43" t="n">
        <v>0</v>
      </c>
      <c r="G302" s="38" t="n">
        <f aca="false">SUMIFS($F$2:$F$1137,$A$2:$A$1137,A302,$C$2:$C$1137,C302)</f>
        <v>1</v>
      </c>
      <c r="H302" s="43" t="n">
        <v>1</v>
      </c>
      <c r="I302" s="45" t="n">
        <f aca="false">IF(G302=0,"",F302/G302)</f>
        <v>0</v>
      </c>
      <c r="J302" s="45" t="n">
        <f aca="false">K302/L302</f>
        <v>0.2</v>
      </c>
      <c r="K302" s="38" t="n">
        <f aca="false">F302+H302</f>
        <v>1</v>
      </c>
      <c r="L302" s="38" t="n">
        <f aca="false">G302+4*H302</f>
        <v>5</v>
      </c>
      <c r="M302" s="38" t="s">
        <v>619</v>
      </c>
      <c r="N302" s="38" t="n">
        <f aca="false">ROUND(SUMIFS($J$2:$J$1137,$A$2:$A$1137,A302,$C$2:$C$1137,C302),9)</f>
        <v>1</v>
      </c>
    </row>
    <row r="303" customFormat="false" ht="15" hidden="false" customHeight="true" outlineLevel="0" collapsed="false">
      <c r="A303" s="38" t="n">
        <v>19</v>
      </c>
      <c r="B303" s="38" t="s">
        <v>637</v>
      </c>
      <c r="C303" s="38" t="s">
        <v>171</v>
      </c>
      <c r="D303" s="38" t="s">
        <v>170</v>
      </c>
      <c r="E303" s="38" t="str">
        <f aca="false">A303&amp;"|"&amp;C303&amp;"|"&amp;D303</f>
        <v>19|U|C</v>
      </c>
      <c r="F303" s="43" t="n">
        <v>0</v>
      </c>
      <c r="G303" s="38" t="n">
        <f aca="false">SUMIFS($F$2:$F$1137,$A$2:$A$1137,A303,$C$2:$C$1137,C303)</f>
        <v>1</v>
      </c>
      <c r="H303" s="43" t="n">
        <v>1</v>
      </c>
      <c r="I303" s="45" t="n">
        <f aca="false">IF(G303=0,"",F303/G303)</f>
        <v>0</v>
      </c>
      <c r="J303" s="45" t="n">
        <f aca="false">K303/L303</f>
        <v>0.2</v>
      </c>
      <c r="K303" s="38" t="n">
        <f aca="false">F303+H303</f>
        <v>1</v>
      </c>
      <c r="L303" s="38" t="n">
        <f aca="false">G303+4*H303</f>
        <v>5</v>
      </c>
      <c r="M303" s="38" t="s">
        <v>619</v>
      </c>
      <c r="N303" s="38" t="n">
        <f aca="false">ROUND(SUMIFS($J$2:$J$1137,$A$2:$A$1137,A303,$C$2:$C$1137,C303),9)</f>
        <v>1</v>
      </c>
    </row>
    <row r="304" customFormat="false" ht="15" hidden="false" customHeight="true" outlineLevel="0" collapsed="false">
      <c r="A304" s="38" t="n">
        <v>19</v>
      </c>
      <c r="B304" s="38" t="s">
        <v>637</v>
      </c>
      <c r="C304" s="38" t="s">
        <v>171</v>
      </c>
      <c r="D304" s="38" t="s">
        <v>169</v>
      </c>
      <c r="E304" s="38" t="str">
        <f aca="false">A304&amp;"|"&amp;C304&amp;"|"&amp;D304</f>
        <v>19|U|G</v>
      </c>
      <c r="F304" s="43" t="n">
        <v>0</v>
      </c>
      <c r="G304" s="38" t="n">
        <f aca="false">SUMIFS($F$2:$F$1137,$A$2:$A$1137,A304,$C$2:$C$1137,C304)</f>
        <v>1</v>
      </c>
      <c r="H304" s="43" t="n">
        <v>1</v>
      </c>
      <c r="I304" s="45" t="n">
        <f aca="false">IF(G304=0,"",F304/G304)</f>
        <v>0</v>
      </c>
      <c r="J304" s="45" t="n">
        <f aca="false">K304/L304</f>
        <v>0.2</v>
      </c>
      <c r="K304" s="38" t="n">
        <f aca="false">F304+H304</f>
        <v>1</v>
      </c>
      <c r="L304" s="38" t="n">
        <f aca="false">G304+4*H304</f>
        <v>5</v>
      </c>
      <c r="M304" s="38" t="s">
        <v>619</v>
      </c>
      <c r="N304" s="38" t="n">
        <f aca="false">ROUND(SUMIFS($J$2:$J$1137,$A$2:$A$1137,A304,$C$2:$C$1137,C304),9)</f>
        <v>1</v>
      </c>
    </row>
    <row r="305" customFormat="false" ht="15" hidden="false" customHeight="true" outlineLevel="0" collapsed="false">
      <c r="A305" s="38" t="n">
        <v>19</v>
      </c>
      <c r="B305" s="38" t="s">
        <v>637</v>
      </c>
      <c r="C305" s="38" t="s">
        <v>171</v>
      </c>
      <c r="D305" s="38" t="s">
        <v>171</v>
      </c>
      <c r="E305" s="38" t="str">
        <f aca="false">A305&amp;"|"&amp;C305&amp;"|"&amp;D305</f>
        <v>19|U|U</v>
      </c>
      <c r="F305" s="43" t="n">
        <v>1</v>
      </c>
      <c r="G305" s="38" t="n">
        <f aca="false">SUMIFS($F$2:$F$1137,$A$2:$A$1137,A305,$C$2:$C$1137,C305)</f>
        <v>1</v>
      </c>
      <c r="H305" s="43" t="n">
        <v>1</v>
      </c>
      <c r="I305" s="45" t="n">
        <f aca="false">IF(G305=0,"",F305/G305)</f>
        <v>1</v>
      </c>
      <c r="J305" s="45" t="n">
        <f aca="false">K305/L305</f>
        <v>0.4</v>
      </c>
      <c r="K305" s="38" t="n">
        <f aca="false">F305+H305</f>
        <v>2</v>
      </c>
      <c r="L305" s="38" t="n">
        <f aca="false">G305+4*H305</f>
        <v>5</v>
      </c>
      <c r="M305" s="38" t="s">
        <v>619</v>
      </c>
      <c r="N305" s="38" t="n">
        <f aca="false">ROUND(SUMIFS($J$2:$J$1137,$A$2:$A$1137,A305,$C$2:$C$1137,C305),9)</f>
        <v>1</v>
      </c>
    </row>
    <row r="306" customFormat="false" ht="15" hidden="false" customHeight="true" outlineLevel="0" collapsed="false">
      <c r="A306" s="38" t="n">
        <v>20</v>
      </c>
      <c r="B306" s="38" t="s">
        <v>638</v>
      </c>
      <c r="C306" s="38" t="s">
        <v>172</v>
      </c>
      <c r="D306" s="38" t="s">
        <v>172</v>
      </c>
      <c r="E306" s="38" t="str">
        <f aca="false">A306&amp;"|"&amp;C306&amp;"|"&amp;D306</f>
        <v>20|A|A</v>
      </c>
      <c r="F306" s="43" t="n">
        <v>16</v>
      </c>
      <c r="G306" s="38" t="n">
        <f aca="false">SUMIFS($F$2:$F$1137,$A$2:$A$1137,A306,$C$2:$C$1137,C306)</f>
        <v>17</v>
      </c>
      <c r="H306" s="43" t="n">
        <v>1</v>
      </c>
      <c r="I306" s="45" t="n">
        <f aca="false">IF(G306=0,"",F306/G306)</f>
        <v>0.941176470588235</v>
      </c>
      <c r="J306" s="45" t="n">
        <f aca="false">K306/L306</f>
        <v>0.80952380952381</v>
      </c>
      <c r="K306" s="38" t="n">
        <f aca="false">F306+H306</f>
        <v>17</v>
      </c>
      <c r="L306" s="38" t="n">
        <f aca="false">G306+4*H306</f>
        <v>21</v>
      </c>
      <c r="M306" s="38" t="s">
        <v>619</v>
      </c>
      <c r="N306" s="38" t="n">
        <f aca="false">ROUND(SUMIFS($J$2:$J$1137,$A$2:$A$1137,A306,$C$2:$C$1137,C306),9)</f>
        <v>1</v>
      </c>
    </row>
    <row r="307" customFormat="false" ht="15" hidden="false" customHeight="true" outlineLevel="0" collapsed="false">
      <c r="A307" s="38" t="n">
        <v>20</v>
      </c>
      <c r="B307" s="38" t="s">
        <v>638</v>
      </c>
      <c r="C307" s="38" t="s">
        <v>172</v>
      </c>
      <c r="D307" s="38" t="s">
        <v>170</v>
      </c>
      <c r="E307" s="38" t="str">
        <f aca="false">A307&amp;"|"&amp;C307&amp;"|"&amp;D307</f>
        <v>20|A|C</v>
      </c>
      <c r="F307" s="43" t="n">
        <v>0</v>
      </c>
      <c r="G307" s="38" t="n">
        <f aca="false">SUMIFS($F$2:$F$1137,$A$2:$A$1137,A307,$C$2:$C$1137,C307)</f>
        <v>17</v>
      </c>
      <c r="H307" s="43" t="n">
        <v>1</v>
      </c>
      <c r="I307" s="45" t="n">
        <f aca="false">IF(G307=0,"",F307/G307)</f>
        <v>0</v>
      </c>
      <c r="J307" s="45" t="n">
        <f aca="false">K307/L307</f>
        <v>0.0476190476190476</v>
      </c>
      <c r="K307" s="38" t="n">
        <f aca="false">F307+H307</f>
        <v>1</v>
      </c>
      <c r="L307" s="38" t="n">
        <f aca="false">G307+4*H307</f>
        <v>21</v>
      </c>
      <c r="M307" s="38" t="s">
        <v>619</v>
      </c>
      <c r="N307" s="38" t="n">
        <f aca="false">ROUND(SUMIFS($J$2:$J$1137,$A$2:$A$1137,A307,$C$2:$C$1137,C307),9)</f>
        <v>1</v>
      </c>
    </row>
    <row r="308" customFormat="false" ht="15" hidden="false" customHeight="true" outlineLevel="0" collapsed="false">
      <c r="A308" s="38" t="n">
        <v>20</v>
      </c>
      <c r="B308" s="38" t="s">
        <v>638</v>
      </c>
      <c r="C308" s="38" t="s">
        <v>172</v>
      </c>
      <c r="D308" s="38" t="s">
        <v>169</v>
      </c>
      <c r="E308" s="38" t="str">
        <f aca="false">A308&amp;"|"&amp;C308&amp;"|"&amp;D308</f>
        <v>20|A|G</v>
      </c>
      <c r="F308" s="43" t="n">
        <v>0</v>
      </c>
      <c r="G308" s="38" t="n">
        <f aca="false">SUMIFS($F$2:$F$1137,$A$2:$A$1137,A308,$C$2:$C$1137,C308)</f>
        <v>17</v>
      </c>
      <c r="H308" s="43" t="n">
        <v>1</v>
      </c>
      <c r="I308" s="45" t="n">
        <f aca="false">IF(G308=0,"",F308/G308)</f>
        <v>0</v>
      </c>
      <c r="J308" s="45" t="n">
        <f aca="false">K308/L308</f>
        <v>0.0476190476190476</v>
      </c>
      <c r="K308" s="38" t="n">
        <f aca="false">F308+H308</f>
        <v>1</v>
      </c>
      <c r="L308" s="38" t="n">
        <f aca="false">G308+4*H308</f>
        <v>21</v>
      </c>
      <c r="M308" s="38" t="s">
        <v>619</v>
      </c>
      <c r="N308" s="38" t="n">
        <f aca="false">ROUND(SUMIFS($J$2:$J$1137,$A$2:$A$1137,A308,$C$2:$C$1137,C308),9)</f>
        <v>1</v>
      </c>
    </row>
    <row r="309" customFormat="false" ht="15" hidden="false" customHeight="true" outlineLevel="0" collapsed="false">
      <c r="A309" s="38" t="n">
        <v>20</v>
      </c>
      <c r="B309" s="38" t="s">
        <v>638</v>
      </c>
      <c r="C309" s="38" t="s">
        <v>172</v>
      </c>
      <c r="D309" s="38" t="s">
        <v>171</v>
      </c>
      <c r="E309" s="38" t="str">
        <f aca="false">A309&amp;"|"&amp;C309&amp;"|"&amp;D309</f>
        <v>20|A|U</v>
      </c>
      <c r="F309" s="43" t="n">
        <v>1</v>
      </c>
      <c r="G309" s="38" t="n">
        <f aca="false">SUMIFS($F$2:$F$1137,$A$2:$A$1137,A309,$C$2:$C$1137,C309)</f>
        <v>17</v>
      </c>
      <c r="H309" s="43" t="n">
        <v>1</v>
      </c>
      <c r="I309" s="45" t="n">
        <f aca="false">IF(G309=0,"",F309/G309)</f>
        <v>0.0588235294117647</v>
      </c>
      <c r="J309" s="45" t="n">
        <f aca="false">K309/L309</f>
        <v>0.0952380952380952</v>
      </c>
      <c r="K309" s="38" t="n">
        <f aca="false">F309+H309</f>
        <v>2</v>
      </c>
      <c r="L309" s="38" t="n">
        <f aca="false">G309+4*H309</f>
        <v>21</v>
      </c>
      <c r="M309" s="38" t="s">
        <v>619</v>
      </c>
      <c r="N309" s="38" t="n">
        <f aca="false">ROUND(SUMIFS($J$2:$J$1137,$A$2:$A$1137,A309,$C$2:$C$1137,C309),9)</f>
        <v>1</v>
      </c>
    </row>
    <row r="310" customFormat="false" ht="15" hidden="false" customHeight="true" outlineLevel="0" collapsed="false">
      <c r="A310" s="38" t="n">
        <v>20</v>
      </c>
      <c r="B310" s="38" t="s">
        <v>638</v>
      </c>
      <c r="C310" s="38" t="s">
        <v>170</v>
      </c>
      <c r="D310" s="38" t="s">
        <v>172</v>
      </c>
      <c r="E310" s="38" t="str">
        <f aca="false">A310&amp;"|"&amp;C310&amp;"|"&amp;D310</f>
        <v>20|C|A</v>
      </c>
      <c r="F310" s="43" t="n">
        <v>34</v>
      </c>
      <c r="G310" s="38" t="n">
        <f aca="false">SUMIFS($F$2:$F$1137,$A$2:$A$1137,A310,$C$2:$C$1137,C310)</f>
        <v>45</v>
      </c>
      <c r="H310" s="43" t="n">
        <v>1</v>
      </c>
      <c r="I310" s="45" t="n">
        <f aca="false">IF(G310=0,"",F310/G310)</f>
        <v>0.755555555555556</v>
      </c>
      <c r="J310" s="45" t="n">
        <f aca="false">K310/L310</f>
        <v>0.714285714285714</v>
      </c>
      <c r="K310" s="38" t="n">
        <f aca="false">F310+H310</f>
        <v>35</v>
      </c>
      <c r="L310" s="38" t="n">
        <f aca="false">G310+4*H310</f>
        <v>49</v>
      </c>
      <c r="M310" s="38" t="s">
        <v>619</v>
      </c>
      <c r="N310" s="38" t="n">
        <f aca="false">ROUND(SUMIFS($J$2:$J$1137,$A$2:$A$1137,A310,$C$2:$C$1137,C310),9)</f>
        <v>1</v>
      </c>
    </row>
    <row r="311" customFormat="false" ht="15" hidden="false" customHeight="true" outlineLevel="0" collapsed="false">
      <c r="A311" s="38" t="n">
        <v>20</v>
      </c>
      <c r="B311" s="38" t="s">
        <v>638</v>
      </c>
      <c r="C311" s="38" t="s">
        <v>170</v>
      </c>
      <c r="D311" s="38" t="s">
        <v>170</v>
      </c>
      <c r="E311" s="38" t="str">
        <f aca="false">A311&amp;"|"&amp;C311&amp;"|"&amp;D311</f>
        <v>20|C|C</v>
      </c>
      <c r="F311" s="43" t="n">
        <v>3</v>
      </c>
      <c r="G311" s="38" t="n">
        <f aca="false">SUMIFS($F$2:$F$1137,$A$2:$A$1137,A311,$C$2:$C$1137,C311)</f>
        <v>45</v>
      </c>
      <c r="H311" s="43" t="n">
        <v>1</v>
      </c>
      <c r="I311" s="45" t="n">
        <f aca="false">IF(G311=0,"",F311/G311)</f>
        <v>0.0666666666666667</v>
      </c>
      <c r="J311" s="45" t="n">
        <f aca="false">K311/L311</f>
        <v>0.0816326530612245</v>
      </c>
      <c r="K311" s="38" t="n">
        <f aca="false">F311+H311</f>
        <v>4</v>
      </c>
      <c r="L311" s="38" t="n">
        <f aca="false">G311+4*H311</f>
        <v>49</v>
      </c>
      <c r="M311" s="38" t="s">
        <v>619</v>
      </c>
      <c r="N311" s="38" t="n">
        <f aca="false">ROUND(SUMIFS($J$2:$J$1137,$A$2:$A$1137,A311,$C$2:$C$1137,C311),9)</f>
        <v>1</v>
      </c>
    </row>
    <row r="312" customFormat="false" ht="15" hidden="false" customHeight="true" outlineLevel="0" collapsed="false">
      <c r="A312" s="38" t="n">
        <v>20</v>
      </c>
      <c r="B312" s="38" t="s">
        <v>638</v>
      </c>
      <c r="C312" s="38" t="s">
        <v>170</v>
      </c>
      <c r="D312" s="38" t="s">
        <v>169</v>
      </c>
      <c r="E312" s="38" t="str">
        <f aca="false">A312&amp;"|"&amp;C312&amp;"|"&amp;D312</f>
        <v>20|C|G</v>
      </c>
      <c r="F312" s="43" t="n">
        <v>4</v>
      </c>
      <c r="G312" s="38" t="n">
        <f aca="false">SUMIFS($F$2:$F$1137,$A$2:$A$1137,A312,$C$2:$C$1137,C312)</f>
        <v>45</v>
      </c>
      <c r="H312" s="43" t="n">
        <v>1</v>
      </c>
      <c r="I312" s="45" t="n">
        <f aca="false">IF(G312=0,"",F312/G312)</f>
        <v>0.0888888888888889</v>
      </c>
      <c r="J312" s="45" t="n">
        <f aca="false">K312/L312</f>
        <v>0.102040816326531</v>
      </c>
      <c r="K312" s="38" t="n">
        <f aca="false">F312+H312</f>
        <v>5</v>
      </c>
      <c r="L312" s="38" t="n">
        <f aca="false">G312+4*H312</f>
        <v>49</v>
      </c>
      <c r="M312" s="38" t="s">
        <v>619</v>
      </c>
      <c r="N312" s="38" t="n">
        <f aca="false">ROUND(SUMIFS($J$2:$J$1137,$A$2:$A$1137,A312,$C$2:$C$1137,C312),9)</f>
        <v>1</v>
      </c>
    </row>
    <row r="313" customFormat="false" ht="15" hidden="false" customHeight="true" outlineLevel="0" collapsed="false">
      <c r="A313" s="38" t="n">
        <v>20</v>
      </c>
      <c r="B313" s="38" t="s">
        <v>638</v>
      </c>
      <c r="C313" s="38" t="s">
        <v>170</v>
      </c>
      <c r="D313" s="38" t="s">
        <v>171</v>
      </c>
      <c r="E313" s="38" t="str">
        <f aca="false">A313&amp;"|"&amp;C313&amp;"|"&amp;D313</f>
        <v>20|C|U</v>
      </c>
      <c r="F313" s="43" t="n">
        <v>4</v>
      </c>
      <c r="G313" s="38" t="n">
        <f aca="false">SUMIFS($F$2:$F$1137,$A$2:$A$1137,A313,$C$2:$C$1137,C313)</f>
        <v>45</v>
      </c>
      <c r="H313" s="43" t="n">
        <v>1</v>
      </c>
      <c r="I313" s="45" t="n">
        <f aca="false">IF(G313=0,"",F313/G313)</f>
        <v>0.0888888888888889</v>
      </c>
      <c r="J313" s="45" t="n">
        <f aca="false">K313/L313</f>
        <v>0.102040816326531</v>
      </c>
      <c r="K313" s="38" t="n">
        <f aca="false">F313+H313</f>
        <v>5</v>
      </c>
      <c r="L313" s="38" t="n">
        <f aca="false">G313+4*H313</f>
        <v>49</v>
      </c>
      <c r="M313" s="38" t="s">
        <v>619</v>
      </c>
      <c r="N313" s="38" t="n">
        <f aca="false">ROUND(SUMIFS($J$2:$J$1137,$A$2:$A$1137,A313,$C$2:$C$1137,C313),9)</f>
        <v>1</v>
      </c>
    </row>
    <row r="314" customFormat="false" ht="15" hidden="false" customHeight="true" outlineLevel="0" collapsed="false">
      <c r="A314" s="38" t="n">
        <v>20</v>
      </c>
      <c r="B314" s="38" t="s">
        <v>638</v>
      </c>
      <c r="C314" s="38" t="s">
        <v>169</v>
      </c>
      <c r="D314" s="38" t="s">
        <v>172</v>
      </c>
      <c r="E314" s="38" t="str">
        <f aca="false">A314&amp;"|"&amp;C314&amp;"|"&amp;D314</f>
        <v>20|G|A</v>
      </c>
      <c r="F314" s="43" t="n">
        <v>18</v>
      </c>
      <c r="G314" s="38" t="n">
        <f aca="false">SUMIFS($F$2:$F$1137,$A$2:$A$1137,A314,$C$2:$C$1137,C314)</f>
        <v>18</v>
      </c>
      <c r="H314" s="43" t="n">
        <v>1</v>
      </c>
      <c r="I314" s="45" t="n">
        <f aca="false">IF(G314=0,"",F314/G314)</f>
        <v>1</v>
      </c>
      <c r="J314" s="45" t="n">
        <f aca="false">K314/L314</f>
        <v>0.863636363636364</v>
      </c>
      <c r="K314" s="38" t="n">
        <f aca="false">F314+H314</f>
        <v>19</v>
      </c>
      <c r="L314" s="38" t="n">
        <f aca="false">G314+4*H314</f>
        <v>22</v>
      </c>
      <c r="M314" s="38" t="s">
        <v>619</v>
      </c>
      <c r="N314" s="38" t="n">
        <f aca="false">ROUND(SUMIFS($J$2:$J$1137,$A$2:$A$1137,A314,$C$2:$C$1137,C314),9)</f>
        <v>1</v>
      </c>
    </row>
    <row r="315" customFormat="false" ht="15" hidden="false" customHeight="true" outlineLevel="0" collapsed="false">
      <c r="A315" s="38" t="n">
        <v>20</v>
      </c>
      <c r="B315" s="38" t="s">
        <v>638</v>
      </c>
      <c r="C315" s="38" t="s">
        <v>169</v>
      </c>
      <c r="D315" s="38" t="s">
        <v>170</v>
      </c>
      <c r="E315" s="38" t="str">
        <f aca="false">A315&amp;"|"&amp;C315&amp;"|"&amp;D315</f>
        <v>20|G|C</v>
      </c>
      <c r="F315" s="43" t="n">
        <v>0</v>
      </c>
      <c r="G315" s="38" t="n">
        <f aca="false">SUMIFS($F$2:$F$1137,$A$2:$A$1137,A315,$C$2:$C$1137,C315)</f>
        <v>18</v>
      </c>
      <c r="H315" s="43" t="n">
        <v>1</v>
      </c>
      <c r="I315" s="45" t="n">
        <f aca="false">IF(G315=0,"",F315/G315)</f>
        <v>0</v>
      </c>
      <c r="J315" s="45" t="n">
        <f aca="false">K315/L315</f>
        <v>0.0454545454545455</v>
      </c>
      <c r="K315" s="38" t="n">
        <f aca="false">F315+H315</f>
        <v>1</v>
      </c>
      <c r="L315" s="38" t="n">
        <f aca="false">G315+4*H315</f>
        <v>22</v>
      </c>
      <c r="M315" s="38" t="s">
        <v>619</v>
      </c>
      <c r="N315" s="38" t="n">
        <f aca="false">ROUND(SUMIFS($J$2:$J$1137,$A$2:$A$1137,A315,$C$2:$C$1137,C315),9)</f>
        <v>1</v>
      </c>
    </row>
    <row r="316" customFormat="false" ht="15" hidden="false" customHeight="true" outlineLevel="0" collapsed="false">
      <c r="A316" s="38" t="n">
        <v>20</v>
      </c>
      <c r="B316" s="38" t="s">
        <v>638</v>
      </c>
      <c r="C316" s="38" t="s">
        <v>169</v>
      </c>
      <c r="D316" s="38" t="s">
        <v>169</v>
      </c>
      <c r="E316" s="38" t="str">
        <f aca="false">A316&amp;"|"&amp;C316&amp;"|"&amp;D316</f>
        <v>20|G|G</v>
      </c>
      <c r="F316" s="43" t="n">
        <v>0</v>
      </c>
      <c r="G316" s="38" t="n">
        <f aca="false">SUMIFS($F$2:$F$1137,$A$2:$A$1137,A316,$C$2:$C$1137,C316)</f>
        <v>18</v>
      </c>
      <c r="H316" s="43" t="n">
        <v>1</v>
      </c>
      <c r="I316" s="45" t="n">
        <f aca="false">IF(G316=0,"",F316/G316)</f>
        <v>0</v>
      </c>
      <c r="J316" s="45" t="n">
        <f aca="false">K316/L316</f>
        <v>0.0454545454545455</v>
      </c>
      <c r="K316" s="38" t="n">
        <f aca="false">F316+H316</f>
        <v>1</v>
      </c>
      <c r="L316" s="38" t="n">
        <f aca="false">G316+4*H316</f>
        <v>22</v>
      </c>
      <c r="M316" s="38" t="s">
        <v>619</v>
      </c>
      <c r="N316" s="38" t="n">
        <f aca="false">ROUND(SUMIFS($J$2:$J$1137,$A$2:$A$1137,A316,$C$2:$C$1137,C316),9)</f>
        <v>1</v>
      </c>
    </row>
    <row r="317" customFormat="false" ht="15" hidden="false" customHeight="true" outlineLevel="0" collapsed="false">
      <c r="A317" s="38" t="n">
        <v>20</v>
      </c>
      <c r="B317" s="38" t="s">
        <v>638</v>
      </c>
      <c r="C317" s="38" t="s">
        <v>169</v>
      </c>
      <c r="D317" s="38" t="s">
        <v>171</v>
      </c>
      <c r="E317" s="38" t="str">
        <f aca="false">A317&amp;"|"&amp;C317&amp;"|"&amp;D317</f>
        <v>20|G|U</v>
      </c>
      <c r="F317" s="43" t="n">
        <v>0</v>
      </c>
      <c r="G317" s="38" t="n">
        <f aca="false">SUMIFS($F$2:$F$1137,$A$2:$A$1137,A317,$C$2:$C$1137,C317)</f>
        <v>18</v>
      </c>
      <c r="H317" s="43" t="n">
        <v>1</v>
      </c>
      <c r="I317" s="45" t="n">
        <f aca="false">IF(G317=0,"",F317/G317)</f>
        <v>0</v>
      </c>
      <c r="J317" s="45" t="n">
        <f aca="false">K317/L317</f>
        <v>0.0454545454545455</v>
      </c>
      <c r="K317" s="38" t="n">
        <f aca="false">F317+H317</f>
        <v>1</v>
      </c>
      <c r="L317" s="38" t="n">
        <f aca="false">G317+4*H317</f>
        <v>22</v>
      </c>
      <c r="M317" s="38" t="s">
        <v>619</v>
      </c>
      <c r="N317" s="38" t="n">
        <f aca="false">ROUND(SUMIFS($J$2:$J$1137,$A$2:$A$1137,A317,$C$2:$C$1137,C317),9)</f>
        <v>1</v>
      </c>
    </row>
    <row r="318" customFormat="false" ht="15" hidden="false" customHeight="true" outlineLevel="0" collapsed="false">
      <c r="A318" s="38" t="n">
        <v>20</v>
      </c>
      <c r="B318" s="38" t="s">
        <v>638</v>
      </c>
      <c r="C318" s="38" t="s">
        <v>171</v>
      </c>
      <c r="D318" s="38" t="s">
        <v>172</v>
      </c>
      <c r="E318" s="38" t="str">
        <f aca="false">A318&amp;"|"&amp;C318&amp;"|"&amp;D318</f>
        <v>20|U|A</v>
      </c>
      <c r="F318" s="43" t="n">
        <v>109</v>
      </c>
      <c r="G318" s="38" t="n">
        <f aca="false">SUMIFS($F$2:$F$1137,$A$2:$A$1137,A318,$C$2:$C$1137,C318)</f>
        <v>118</v>
      </c>
      <c r="H318" s="43" t="n">
        <v>1</v>
      </c>
      <c r="I318" s="45" t="n">
        <f aca="false">IF(G318=0,"",F318/G318)</f>
        <v>0.923728813559322</v>
      </c>
      <c r="J318" s="45" t="n">
        <f aca="false">K318/L318</f>
        <v>0.901639344262295</v>
      </c>
      <c r="K318" s="38" t="n">
        <f aca="false">F318+H318</f>
        <v>110</v>
      </c>
      <c r="L318" s="38" t="n">
        <f aca="false">G318+4*H318</f>
        <v>122</v>
      </c>
      <c r="M318" s="38" t="s">
        <v>619</v>
      </c>
      <c r="N318" s="38" t="n">
        <f aca="false">ROUND(SUMIFS($J$2:$J$1137,$A$2:$A$1137,A318,$C$2:$C$1137,C318),9)</f>
        <v>1</v>
      </c>
    </row>
    <row r="319" customFormat="false" ht="15" hidden="false" customHeight="true" outlineLevel="0" collapsed="false">
      <c r="A319" s="38" t="n">
        <v>20</v>
      </c>
      <c r="B319" s="38" t="s">
        <v>638</v>
      </c>
      <c r="C319" s="38" t="s">
        <v>171</v>
      </c>
      <c r="D319" s="38" t="s">
        <v>170</v>
      </c>
      <c r="E319" s="38" t="str">
        <f aca="false">A319&amp;"|"&amp;C319&amp;"|"&amp;D319</f>
        <v>20|U|C</v>
      </c>
      <c r="F319" s="43" t="n">
        <v>1</v>
      </c>
      <c r="G319" s="38" t="n">
        <f aca="false">SUMIFS($F$2:$F$1137,$A$2:$A$1137,A319,$C$2:$C$1137,C319)</f>
        <v>118</v>
      </c>
      <c r="H319" s="43" t="n">
        <v>1</v>
      </c>
      <c r="I319" s="45" t="n">
        <f aca="false">IF(G319=0,"",F319/G319)</f>
        <v>0.00847457627118644</v>
      </c>
      <c r="J319" s="45" t="n">
        <f aca="false">K319/L319</f>
        <v>0.0163934426229508</v>
      </c>
      <c r="K319" s="38" t="n">
        <f aca="false">F319+H319</f>
        <v>2</v>
      </c>
      <c r="L319" s="38" t="n">
        <f aca="false">G319+4*H319</f>
        <v>122</v>
      </c>
      <c r="M319" s="38" t="s">
        <v>619</v>
      </c>
      <c r="N319" s="38" t="n">
        <f aca="false">ROUND(SUMIFS($J$2:$J$1137,$A$2:$A$1137,A319,$C$2:$C$1137,C319),9)</f>
        <v>1</v>
      </c>
    </row>
    <row r="320" customFormat="false" ht="15" hidden="false" customHeight="true" outlineLevel="0" collapsed="false">
      <c r="A320" s="38" t="n">
        <v>20</v>
      </c>
      <c r="B320" s="38" t="s">
        <v>638</v>
      </c>
      <c r="C320" s="38" t="s">
        <v>171</v>
      </c>
      <c r="D320" s="38" t="s">
        <v>169</v>
      </c>
      <c r="E320" s="38" t="str">
        <f aca="false">A320&amp;"|"&amp;C320&amp;"|"&amp;D320</f>
        <v>20|U|G</v>
      </c>
      <c r="F320" s="43" t="n">
        <v>3</v>
      </c>
      <c r="G320" s="38" t="n">
        <f aca="false">SUMIFS($F$2:$F$1137,$A$2:$A$1137,A320,$C$2:$C$1137,C320)</f>
        <v>118</v>
      </c>
      <c r="H320" s="43" t="n">
        <v>1</v>
      </c>
      <c r="I320" s="45" t="n">
        <f aca="false">IF(G320=0,"",F320/G320)</f>
        <v>0.0254237288135593</v>
      </c>
      <c r="J320" s="45" t="n">
        <f aca="false">K320/L320</f>
        <v>0.0327868852459016</v>
      </c>
      <c r="K320" s="38" t="n">
        <f aca="false">F320+H320</f>
        <v>4</v>
      </c>
      <c r="L320" s="38" t="n">
        <f aca="false">G320+4*H320</f>
        <v>122</v>
      </c>
      <c r="M320" s="38" t="s">
        <v>619</v>
      </c>
      <c r="N320" s="38" t="n">
        <f aca="false">ROUND(SUMIFS($J$2:$J$1137,$A$2:$A$1137,A320,$C$2:$C$1137,C320),9)</f>
        <v>1</v>
      </c>
    </row>
    <row r="321" customFormat="false" ht="15" hidden="false" customHeight="true" outlineLevel="0" collapsed="false">
      <c r="A321" s="38" t="n">
        <v>20</v>
      </c>
      <c r="B321" s="38" t="s">
        <v>638</v>
      </c>
      <c r="C321" s="38" t="s">
        <v>171</v>
      </c>
      <c r="D321" s="38" t="s">
        <v>171</v>
      </c>
      <c r="E321" s="38" t="str">
        <f aca="false">A321&amp;"|"&amp;C321&amp;"|"&amp;D321</f>
        <v>20|U|U</v>
      </c>
      <c r="F321" s="43" t="n">
        <v>5</v>
      </c>
      <c r="G321" s="38" t="n">
        <f aca="false">SUMIFS($F$2:$F$1137,$A$2:$A$1137,A321,$C$2:$C$1137,C321)</f>
        <v>118</v>
      </c>
      <c r="H321" s="43" t="n">
        <v>1</v>
      </c>
      <c r="I321" s="45" t="n">
        <f aca="false">IF(G321=0,"",F321/G321)</f>
        <v>0.0423728813559322</v>
      </c>
      <c r="J321" s="45" t="n">
        <f aca="false">K321/L321</f>
        <v>0.0491803278688525</v>
      </c>
      <c r="K321" s="38" t="n">
        <f aca="false">F321+H321</f>
        <v>6</v>
      </c>
      <c r="L321" s="38" t="n">
        <f aca="false">G321+4*H321</f>
        <v>122</v>
      </c>
      <c r="M321" s="38" t="s">
        <v>619</v>
      </c>
      <c r="N321" s="38" t="n">
        <f aca="false">ROUND(SUMIFS($J$2:$J$1137,$A$2:$A$1137,A321,$C$2:$C$1137,C321),9)</f>
        <v>1</v>
      </c>
    </row>
    <row r="322" customFormat="false" ht="15" hidden="false" customHeight="true" outlineLevel="0" collapsed="false">
      <c r="A322" s="38" t="n">
        <v>21</v>
      </c>
      <c r="B322" s="38" t="s">
        <v>639</v>
      </c>
      <c r="C322" s="38" t="s">
        <v>172</v>
      </c>
      <c r="D322" s="38" t="s">
        <v>172</v>
      </c>
      <c r="E322" s="38" t="str">
        <f aca="false">A322&amp;"|"&amp;C322&amp;"|"&amp;D322</f>
        <v>21|A|A</v>
      </c>
      <c r="F322" s="43" t="n">
        <v>28</v>
      </c>
      <c r="G322" s="38" t="n">
        <f aca="false">SUMIFS($F$2:$F$1137,$A$2:$A$1137,A322,$C$2:$C$1137,C322)</f>
        <v>178</v>
      </c>
      <c r="H322" s="43" t="n">
        <v>1</v>
      </c>
      <c r="I322" s="45" t="n">
        <f aca="false">IF(G322=0,"",F322/G322)</f>
        <v>0.157303370786517</v>
      </c>
      <c r="J322" s="45" t="n">
        <f aca="false">K322/L322</f>
        <v>0.159340659340659</v>
      </c>
      <c r="K322" s="38" t="n">
        <f aca="false">F322+H322</f>
        <v>29</v>
      </c>
      <c r="L322" s="38" t="n">
        <f aca="false">G322+4*H322</f>
        <v>182</v>
      </c>
      <c r="M322" s="38" t="s">
        <v>619</v>
      </c>
      <c r="N322" s="38" t="n">
        <f aca="false">ROUND(SUMIFS($J$2:$J$1137,$A$2:$A$1137,A322,$C$2:$C$1137,C322),9)</f>
        <v>1</v>
      </c>
    </row>
    <row r="323" customFormat="false" ht="15" hidden="false" customHeight="true" outlineLevel="0" collapsed="false">
      <c r="A323" s="38" t="n">
        <v>21</v>
      </c>
      <c r="B323" s="38" t="s">
        <v>639</v>
      </c>
      <c r="C323" s="38" t="s">
        <v>172</v>
      </c>
      <c r="D323" s="38" t="s">
        <v>170</v>
      </c>
      <c r="E323" s="38" t="str">
        <f aca="false">A323&amp;"|"&amp;C323&amp;"|"&amp;D323</f>
        <v>21|A|C</v>
      </c>
      <c r="F323" s="43" t="n">
        <v>0</v>
      </c>
      <c r="G323" s="38" t="n">
        <f aca="false">SUMIFS($F$2:$F$1137,$A$2:$A$1137,A323,$C$2:$C$1137,C323)</f>
        <v>178</v>
      </c>
      <c r="H323" s="43" t="n">
        <v>1</v>
      </c>
      <c r="I323" s="45" t="n">
        <f aca="false">IF(G323=0,"",F323/G323)</f>
        <v>0</v>
      </c>
      <c r="J323" s="45" t="n">
        <f aca="false">K323/L323</f>
        <v>0.0054945054945055</v>
      </c>
      <c r="K323" s="38" t="n">
        <f aca="false">F323+H323</f>
        <v>1</v>
      </c>
      <c r="L323" s="38" t="n">
        <f aca="false">G323+4*H323</f>
        <v>182</v>
      </c>
      <c r="M323" s="38" t="s">
        <v>619</v>
      </c>
      <c r="N323" s="38" t="n">
        <f aca="false">ROUND(SUMIFS($J$2:$J$1137,$A$2:$A$1137,A323,$C$2:$C$1137,C323),9)</f>
        <v>1</v>
      </c>
    </row>
    <row r="324" customFormat="false" ht="15" hidden="false" customHeight="true" outlineLevel="0" collapsed="false">
      <c r="A324" s="38" t="n">
        <v>21</v>
      </c>
      <c r="B324" s="38" t="s">
        <v>639</v>
      </c>
      <c r="C324" s="38" t="s">
        <v>172</v>
      </c>
      <c r="D324" s="38" t="s">
        <v>169</v>
      </c>
      <c r="E324" s="38" t="str">
        <f aca="false">A324&amp;"|"&amp;C324&amp;"|"&amp;D324</f>
        <v>21|A|G</v>
      </c>
      <c r="F324" s="43" t="n">
        <v>139</v>
      </c>
      <c r="G324" s="38" t="n">
        <f aca="false">SUMIFS($F$2:$F$1137,$A$2:$A$1137,A324,$C$2:$C$1137,C324)</f>
        <v>178</v>
      </c>
      <c r="H324" s="43" t="n">
        <v>1</v>
      </c>
      <c r="I324" s="45" t="n">
        <f aca="false">IF(G324=0,"",F324/G324)</f>
        <v>0.780898876404494</v>
      </c>
      <c r="J324" s="45" t="n">
        <f aca="false">K324/L324</f>
        <v>0.769230769230769</v>
      </c>
      <c r="K324" s="38" t="n">
        <f aca="false">F324+H324</f>
        <v>140</v>
      </c>
      <c r="L324" s="38" t="n">
        <f aca="false">G324+4*H324</f>
        <v>182</v>
      </c>
      <c r="M324" s="38" t="s">
        <v>619</v>
      </c>
      <c r="N324" s="38" t="n">
        <f aca="false">ROUND(SUMIFS($J$2:$J$1137,$A$2:$A$1137,A324,$C$2:$C$1137,C324),9)</f>
        <v>1</v>
      </c>
    </row>
    <row r="325" customFormat="false" ht="15" hidden="false" customHeight="true" outlineLevel="0" collapsed="false">
      <c r="A325" s="38" t="n">
        <v>21</v>
      </c>
      <c r="B325" s="38" t="s">
        <v>639</v>
      </c>
      <c r="C325" s="38" t="s">
        <v>172</v>
      </c>
      <c r="D325" s="38" t="s">
        <v>171</v>
      </c>
      <c r="E325" s="38" t="str">
        <f aca="false">A325&amp;"|"&amp;C325&amp;"|"&amp;D325</f>
        <v>21|A|U</v>
      </c>
      <c r="F325" s="43" t="n">
        <v>11</v>
      </c>
      <c r="G325" s="38" t="n">
        <f aca="false">SUMIFS($F$2:$F$1137,$A$2:$A$1137,A325,$C$2:$C$1137,C325)</f>
        <v>178</v>
      </c>
      <c r="H325" s="43" t="n">
        <v>1</v>
      </c>
      <c r="I325" s="45" t="n">
        <f aca="false">IF(G325=0,"",F325/G325)</f>
        <v>0.0617977528089888</v>
      </c>
      <c r="J325" s="45" t="n">
        <f aca="false">K325/L325</f>
        <v>0.0659340659340659</v>
      </c>
      <c r="K325" s="38" t="n">
        <f aca="false">F325+H325</f>
        <v>12</v>
      </c>
      <c r="L325" s="38" t="n">
        <f aca="false">G325+4*H325</f>
        <v>182</v>
      </c>
      <c r="M325" s="38" t="s">
        <v>619</v>
      </c>
      <c r="N325" s="38" t="n">
        <f aca="false">ROUND(SUMIFS($J$2:$J$1137,$A$2:$A$1137,A325,$C$2:$C$1137,C325),9)</f>
        <v>1</v>
      </c>
    </row>
    <row r="326" customFormat="false" ht="15" hidden="false" customHeight="true" outlineLevel="0" collapsed="false">
      <c r="A326" s="38" t="n">
        <v>21</v>
      </c>
      <c r="B326" s="38" t="s">
        <v>639</v>
      </c>
      <c r="C326" s="38" t="s">
        <v>170</v>
      </c>
      <c r="D326" s="38" t="s">
        <v>172</v>
      </c>
      <c r="E326" s="38" t="str">
        <f aca="false">A326&amp;"|"&amp;C326&amp;"|"&amp;D326</f>
        <v>21|C|A</v>
      </c>
      <c r="F326" s="43" t="n">
        <v>3</v>
      </c>
      <c r="G326" s="38" t="n">
        <f aca="false">SUMIFS($F$2:$F$1137,$A$2:$A$1137,A326,$C$2:$C$1137,C326)</f>
        <v>4</v>
      </c>
      <c r="H326" s="43" t="n">
        <v>1</v>
      </c>
      <c r="I326" s="45" t="n">
        <f aca="false">IF(G326=0,"",F326/G326)</f>
        <v>0.75</v>
      </c>
      <c r="J326" s="45" t="n">
        <f aca="false">K326/L326</f>
        <v>0.5</v>
      </c>
      <c r="K326" s="38" t="n">
        <f aca="false">F326+H326</f>
        <v>4</v>
      </c>
      <c r="L326" s="38" t="n">
        <f aca="false">G326+4*H326</f>
        <v>8</v>
      </c>
      <c r="M326" s="38" t="s">
        <v>619</v>
      </c>
      <c r="N326" s="38" t="n">
        <f aca="false">ROUND(SUMIFS($J$2:$J$1137,$A$2:$A$1137,A326,$C$2:$C$1137,C326),9)</f>
        <v>1</v>
      </c>
    </row>
    <row r="327" customFormat="false" ht="15" hidden="false" customHeight="true" outlineLevel="0" collapsed="false">
      <c r="A327" s="38" t="n">
        <v>21</v>
      </c>
      <c r="B327" s="38" t="s">
        <v>639</v>
      </c>
      <c r="C327" s="38" t="s">
        <v>170</v>
      </c>
      <c r="D327" s="38" t="s">
        <v>170</v>
      </c>
      <c r="E327" s="38" t="str">
        <f aca="false">A327&amp;"|"&amp;C327&amp;"|"&amp;D327</f>
        <v>21|C|C</v>
      </c>
      <c r="F327" s="43" t="n">
        <v>0</v>
      </c>
      <c r="G327" s="38" t="n">
        <f aca="false">SUMIFS($F$2:$F$1137,$A$2:$A$1137,A327,$C$2:$C$1137,C327)</f>
        <v>4</v>
      </c>
      <c r="H327" s="43" t="n">
        <v>1</v>
      </c>
      <c r="I327" s="45" t="n">
        <f aca="false">IF(G327=0,"",F327/G327)</f>
        <v>0</v>
      </c>
      <c r="J327" s="45" t="n">
        <f aca="false">K327/L327</f>
        <v>0.125</v>
      </c>
      <c r="K327" s="38" t="n">
        <f aca="false">F327+H327</f>
        <v>1</v>
      </c>
      <c r="L327" s="38" t="n">
        <f aca="false">G327+4*H327</f>
        <v>8</v>
      </c>
      <c r="M327" s="38" t="s">
        <v>619</v>
      </c>
      <c r="N327" s="38" t="n">
        <f aca="false">ROUND(SUMIFS($J$2:$J$1137,$A$2:$A$1137,A327,$C$2:$C$1137,C327),9)</f>
        <v>1</v>
      </c>
    </row>
    <row r="328" customFormat="false" ht="15" hidden="false" customHeight="true" outlineLevel="0" collapsed="false">
      <c r="A328" s="38" t="n">
        <v>21</v>
      </c>
      <c r="B328" s="38" t="s">
        <v>639</v>
      </c>
      <c r="C328" s="38" t="s">
        <v>170</v>
      </c>
      <c r="D328" s="38" t="s">
        <v>169</v>
      </c>
      <c r="E328" s="38" t="str">
        <f aca="false">A328&amp;"|"&amp;C328&amp;"|"&amp;D328</f>
        <v>21|C|G</v>
      </c>
      <c r="F328" s="43" t="n">
        <v>1</v>
      </c>
      <c r="G328" s="38" t="n">
        <f aca="false">SUMIFS($F$2:$F$1137,$A$2:$A$1137,A328,$C$2:$C$1137,C328)</f>
        <v>4</v>
      </c>
      <c r="H328" s="43" t="n">
        <v>1</v>
      </c>
      <c r="I328" s="45" t="n">
        <f aca="false">IF(G328=0,"",F328/G328)</f>
        <v>0.25</v>
      </c>
      <c r="J328" s="45" t="n">
        <f aca="false">K328/L328</f>
        <v>0.25</v>
      </c>
      <c r="K328" s="38" t="n">
        <f aca="false">F328+H328</f>
        <v>2</v>
      </c>
      <c r="L328" s="38" t="n">
        <f aca="false">G328+4*H328</f>
        <v>8</v>
      </c>
      <c r="M328" s="38" t="s">
        <v>619</v>
      </c>
      <c r="N328" s="38" t="n">
        <f aca="false">ROUND(SUMIFS($J$2:$J$1137,$A$2:$A$1137,A328,$C$2:$C$1137,C328),9)</f>
        <v>1</v>
      </c>
    </row>
    <row r="329" customFormat="false" ht="15" hidden="false" customHeight="true" outlineLevel="0" collapsed="false">
      <c r="A329" s="38" t="n">
        <v>21</v>
      </c>
      <c r="B329" s="38" t="s">
        <v>639</v>
      </c>
      <c r="C329" s="38" t="s">
        <v>170</v>
      </c>
      <c r="D329" s="38" t="s">
        <v>171</v>
      </c>
      <c r="E329" s="38" t="str">
        <f aca="false">A329&amp;"|"&amp;C329&amp;"|"&amp;D329</f>
        <v>21|C|U</v>
      </c>
      <c r="F329" s="43" t="n">
        <v>0</v>
      </c>
      <c r="G329" s="38" t="n">
        <f aca="false">SUMIFS($F$2:$F$1137,$A$2:$A$1137,A329,$C$2:$C$1137,C329)</f>
        <v>4</v>
      </c>
      <c r="H329" s="43" t="n">
        <v>1</v>
      </c>
      <c r="I329" s="45" t="n">
        <f aca="false">IF(G329=0,"",F329/G329)</f>
        <v>0</v>
      </c>
      <c r="J329" s="45" t="n">
        <f aca="false">K329/L329</f>
        <v>0.125</v>
      </c>
      <c r="K329" s="38" t="n">
        <f aca="false">F329+H329</f>
        <v>1</v>
      </c>
      <c r="L329" s="38" t="n">
        <f aca="false">G329+4*H329</f>
        <v>8</v>
      </c>
      <c r="M329" s="38" t="s">
        <v>619</v>
      </c>
      <c r="N329" s="38" t="n">
        <f aca="false">ROUND(SUMIFS($J$2:$J$1137,$A$2:$A$1137,A329,$C$2:$C$1137,C329),9)</f>
        <v>1</v>
      </c>
    </row>
    <row r="330" customFormat="false" ht="15" hidden="false" customHeight="true" outlineLevel="0" collapsed="false">
      <c r="A330" s="38" t="n">
        <v>21</v>
      </c>
      <c r="B330" s="38" t="s">
        <v>639</v>
      </c>
      <c r="C330" s="38" t="s">
        <v>169</v>
      </c>
      <c r="D330" s="38" t="s">
        <v>172</v>
      </c>
      <c r="E330" s="38" t="str">
        <f aca="false">A330&amp;"|"&amp;C330&amp;"|"&amp;D330</f>
        <v>21|G|A</v>
      </c>
      <c r="F330" s="43" t="n">
        <v>7</v>
      </c>
      <c r="G330" s="38" t="n">
        <f aca="false">SUMIFS($F$2:$F$1137,$A$2:$A$1137,A330,$C$2:$C$1137,C330)</f>
        <v>7</v>
      </c>
      <c r="H330" s="43" t="n">
        <v>1</v>
      </c>
      <c r="I330" s="45" t="n">
        <f aca="false">IF(G330=0,"",F330/G330)</f>
        <v>1</v>
      </c>
      <c r="J330" s="45" t="n">
        <f aca="false">K330/L330</f>
        <v>0.727272727272727</v>
      </c>
      <c r="K330" s="38" t="n">
        <f aca="false">F330+H330</f>
        <v>8</v>
      </c>
      <c r="L330" s="38" t="n">
        <f aca="false">G330+4*H330</f>
        <v>11</v>
      </c>
      <c r="M330" s="38" t="s">
        <v>619</v>
      </c>
      <c r="N330" s="38" t="n">
        <f aca="false">ROUND(SUMIFS($J$2:$J$1137,$A$2:$A$1137,A330,$C$2:$C$1137,C330),9)</f>
        <v>1</v>
      </c>
    </row>
    <row r="331" customFormat="false" ht="15" hidden="false" customHeight="true" outlineLevel="0" collapsed="false">
      <c r="A331" s="38" t="n">
        <v>21</v>
      </c>
      <c r="B331" s="38" t="s">
        <v>639</v>
      </c>
      <c r="C331" s="38" t="s">
        <v>169</v>
      </c>
      <c r="D331" s="38" t="s">
        <v>170</v>
      </c>
      <c r="E331" s="38" t="str">
        <f aca="false">A331&amp;"|"&amp;C331&amp;"|"&amp;D331</f>
        <v>21|G|C</v>
      </c>
      <c r="F331" s="43" t="n">
        <v>0</v>
      </c>
      <c r="G331" s="38" t="n">
        <f aca="false">SUMIFS($F$2:$F$1137,$A$2:$A$1137,A331,$C$2:$C$1137,C331)</f>
        <v>7</v>
      </c>
      <c r="H331" s="43" t="n">
        <v>1</v>
      </c>
      <c r="I331" s="45" t="n">
        <f aca="false">IF(G331=0,"",F331/G331)</f>
        <v>0</v>
      </c>
      <c r="J331" s="45" t="n">
        <f aca="false">K331/L331</f>
        <v>0.0909090909090909</v>
      </c>
      <c r="K331" s="38" t="n">
        <f aca="false">F331+H331</f>
        <v>1</v>
      </c>
      <c r="L331" s="38" t="n">
        <f aca="false">G331+4*H331</f>
        <v>11</v>
      </c>
      <c r="M331" s="38" t="s">
        <v>619</v>
      </c>
      <c r="N331" s="38" t="n">
        <f aca="false">ROUND(SUMIFS($J$2:$J$1137,$A$2:$A$1137,A331,$C$2:$C$1137,C331),9)</f>
        <v>1</v>
      </c>
    </row>
    <row r="332" customFormat="false" ht="15" hidden="false" customHeight="true" outlineLevel="0" collapsed="false">
      <c r="A332" s="38" t="n">
        <v>21</v>
      </c>
      <c r="B332" s="38" t="s">
        <v>639</v>
      </c>
      <c r="C332" s="38" t="s">
        <v>169</v>
      </c>
      <c r="D332" s="38" t="s">
        <v>169</v>
      </c>
      <c r="E332" s="38" t="str">
        <f aca="false">A332&amp;"|"&amp;C332&amp;"|"&amp;D332</f>
        <v>21|G|G</v>
      </c>
      <c r="F332" s="43" t="n">
        <v>0</v>
      </c>
      <c r="G332" s="38" t="n">
        <f aca="false">SUMIFS($F$2:$F$1137,$A$2:$A$1137,A332,$C$2:$C$1137,C332)</f>
        <v>7</v>
      </c>
      <c r="H332" s="43" t="n">
        <v>1</v>
      </c>
      <c r="I332" s="45" t="n">
        <f aca="false">IF(G332=0,"",F332/G332)</f>
        <v>0</v>
      </c>
      <c r="J332" s="45" t="n">
        <f aca="false">K332/L332</f>
        <v>0.0909090909090909</v>
      </c>
      <c r="K332" s="38" t="n">
        <f aca="false">F332+H332</f>
        <v>1</v>
      </c>
      <c r="L332" s="38" t="n">
        <f aca="false">G332+4*H332</f>
        <v>11</v>
      </c>
      <c r="M332" s="38" t="s">
        <v>619</v>
      </c>
      <c r="N332" s="38" t="n">
        <f aca="false">ROUND(SUMIFS($J$2:$J$1137,$A$2:$A$1137,A332,$C$2:$C$1137,C332),9)</f>
        <v>1</v>
      </c>
    </row>
    <row r="333" customFormat="false" ht="15" hidden="false" customHeight="true" outlineLevel="0" collapsed="false">
      <c r="A333" s="38" t="n">
        <v>21</v>
      </c>
      <c r="B333" s="38" t="s">
        <v>639</v>
      </c>
      <c r="C333" s="38" t="s">
        <v>169</v>
      </c>
      <c r="D333" s="38" t="s">
        <v>171</v>
      </c>
      <c r="E333" s="38" t="str">
        <f aca="false">A333&amp;"|"&amp;C333&amp;"|"&amp;D333</f>
        <v>21|G|U</v>
      </c>
      <c r="F333" s="43" t="n">
        <v>0</v>
      </c>
      <c r="G333" s="38" t="n">
        <f aca="false">SUMIFS($F$2:$F$1137,$A$2:$A$1137,A333,$C$2:$C$1137,C333)</f>
        <v>7</v>
      </c>
      <c r="H333" s="43" t="n">
        <v>1</v>
      </c>
      <c r="I333" s="45" t="n">
        <f aca="false">IF(G333=0,"",F333/G333)</f>
        <v>0</v>
      </c>
      <c r="J333" s="45" t="n">
        <f aca="false">K333/L333</f>
        <v>0.0909090909090909</v>
      </c>
      <c r="K333" s="38" t="n">
        <f aca="false">F333+H333</f>
        <v>1</v>
      </c>
      <c r="L333" s="38" t="n">
        <f aca="false">G333+4*H333</f>
        <v>11</v>
      </c>
      <c r="M333" s="38" t="s">
        <v>619</v>
      </c>
      <c r="N333" s="38" t="n">
        <f aca="false">ROUND(SUMIFS($J$2:$J$1137,$A$2:$A$1137,A333,$C$2:$C$1137,C333),9)</f>
        <v>1</v>
      </c>
    </row>
    <row r="334" customFormat="false" ht="15" hidden="false" customHeight="true" outlineLevel="0" collapsed="false">
      <c r="A334" s="38" t="n">
        <v>21</v>
      </c>
      <c r="B334" s="38" t="s">
        <v>639</v>
      </c>
      <c r="C334" s="38" t="s">
        <v>171</v>
      </c>
      <c r="D334" s="38" t="s">
        <v>172</v>
      </c>
      <c r="E334" s="38" t="str">
        <f aca="false">A334&amp;"|"&amp;C334&amp;"|"&amp;D334</f>
        <v>21|U|A</v>
      </c>
      <c r="F334" s="43" t="n">
        <v>3</v>
      </c>
      <c r="G334" s="38" t="n">
        <f aca="false">SUMIFS($F$2:$F$1137,$A$2:$A$1137,A334,$C$2:$C$1137,C334)</f>
        <v>10</v>
      </c>
      <c r="H334" s="43" t="n">
        <v>1</v>
      </c>
      <c r="I334" s="45" t="n">
        <f aca="false">IF(G334=0,"",F334/G334)</f>
        <v>0.3</v>
      </c>
      <c r="J334" s="45" t="n">
        <f aca="false">K334/L334</f>
        <v>0.285714285714286</v>
      </c>
      <c r="K334" s="38" t="n">
        <f aca="false">F334+H334</f>
        <v>4</v>
      </c>
      <c r="L334" s="38" t="n">
        <f aca="false">G334+4*H334</f>
        <v>14</v>
      </c>
      <c r="M334" s="38" t="s">
        <v>619</v>
      </c>
      <c r="N334" s="38" t="n">
        <f aca="false">ROUND(SUMIFS($J$2:$J$1137,$A$2:$A$1137,A334,$C$2:$C$1137,C334),9)</f>
        <v>1</v>
      </c>
    </row>
    <row r="335" customFormat="false" ht="15" hidden="false" customHeight="true" outlineLevel="0" collapsed="false">
      <c r="A335" s="38" t="n">
        <v>21</v>
      </c>
      <c r="B335" s="38" t="s">
        <v>639</v>
      </c>
      <c r="C335" s="38" t="s">
        <v>171</v>
      </c>
      <c r="D335" s="38" t="s">
        <v>170</v>
      </c>
      <c r="E335" s="38" t="str">
        <f aca="false">A335&amp;"|"&amp;C335&amp;"|"&amp;D335</f>
        <v>21|U|C</v>
      </c>
      <c r="F335" s="43" t="n">
        <v>0</v>
      </c>
      <c r="G335" s="38" t="n">
        <f aca="false">SUMIFS($F$2:$F$1137,$A$2:$A$1137,A335,$C$2:$C$1137,C335)</f>
        <v>10</v>
      </c>
      <c r="H335" s="43" t="n">
        <v>1</v>
      </c>
      <c r="I335" s="45" t="n">
        <f aca="false">IF(G335=0,"",F335/G335)</f>
        <v>0</v>
      </c>
      <c r="J335" s="45" t="n">
        <f aca="false">K335/L335</f>
        <v>0.0714285714285714</v>
      </c>
      <c r="K335" s="38" t="n">
        <f aca="false">F335+H335</f>
        <v>1</v>
      </c>
      <c r="L335" s="38" t="n">
        <f aca="false">G335+4*H335</f>
        <v>14</v>
      </c>
      <c r="M335" s="38" t="s">
        <v>619</v>
      </c>
      <c r="N335" s="38" t="n">
        <f aca="false">ROUND(SUMIFS($J$2:$J$1137,$A$2:$A$1137,A335,$C$2:$C$1137,C335),9)</f>
        <v>1</v>
      </c>
    </row>
    <row r="336" customFormat="false" ht="15" hidden="false" customHeight="true" outlineLevel="0" collapsed="false">
      <c r="A336" s="38" t="n">
        <v>21</v>
      </c>
      <c r="B336" s="38" t="s">
        <v>639</v>
      </c>
      <c r="C336" s="38" t="s">
        <v>171</v>
      </c>
      <c r="D336" s="38" t="s">
        <v>169</v>
      </c>
      <c r="E336" s="38" t="str">
        <f aca="false">A336&amp;"|"&amp;C336&amp;"|"&amp;D336</f>
        <v>21|U|G</v>
      </c>
      <c r="F336" s="43" t="n">
        <v>4</v>
      </c>
      <c r="G336" s="38" t="n">
        <f aca="false">SUMIFS($F$2:$F$1137,$A$2:$A$1137,A336,$C$2:$C$1137,C336)</f>
        <v>10</v>
      </c>
      <c r="H336" s="43" t="n">
        <v>1</v>
      </c>
      <c r="I336" s="45" t="n">
        <f aca="false">IF(G336=0,"",F336/G336)</f>
        <v>0.4</v>
      </c>
      <c r="J336" s="45" t="n">
        <f aca="false">K336/L336</f>
        <v>0.357142857142857</v>
      </c>
      <c r="K336" s="38" t="n">
        <f aca="false">F336+H336</f>
        <v>5</v>
      </c>
      <c r="L336" s="38" t="n">
        <f aca="false">G336+4*H336</f>
        <v>14</v>
      </c>
      <c r="M336" s="38" t="s">
        <v>619</v>
      </c>
      <c r="N336" s="38" t="n">
        <f aca="false">ROUND(SUMIFS($J$2:$J$1137,$A$2:$A$1137,A336,$C$2:$C$1137,C336),9)</f>
        <v>1</v>
      </c>
    </row>
    <row r="337" customFormat="false" ht="15" hidden="false" customHeight="true" outlineLevel="0" collapsed="false">
      <c r="A337" s="38" t="n">
        <v>21</v>
      </c>
      <c r="B337" s="38" t="s">
        <v>639</v>
      </c>
      <c r="C337" s="38" t="s">
        <v>171</v>
      </c>
      <c r="D337" s="38" t="s">
        <v>171</v>
      </c>
      <c r="E337" s="38" t="str">
        <f aca="false">A337&amp;"|"&amp;C337&amp;"|"&amp;D337</f>
        <v>21|U|U</v>
      </c>
      <c r="F337" s="43" t="n">
        <v>3</v>
      </c>
      <c r="G337" s="38" t="n">
        <f aca="false">SUMIFS($F$2:$F$1137,$A$2:$A$1137,A337,$C$2:$C$1137,C337)</f>
        <v>10</v>
      </c>
      <c r="H337" s="43" t="n">
        <v>1</v>
      </c>
      <c r="I337" s="45" t="n">
        <f aca="false">IF(G337=0,"",F337/G337)</f>
        <v>0.3</v>
      </c>
      <c r="J337" s="45" t="n">
        <f aca="false">K337/L337</f>
        <v>0.285714285714286</v>
      </c>
      <c r="K337" s="38" t="n">
        <f aca="false">F337+H337</f>
        <v>4</v>
      </c>
      <c r="L337" s="38" t="n">
        <f aca="false">G337+4*H337</f>
        <v>14</v>
      </c>
      <c r="M337" s="38" t="s">
        <v>619</v>
      </c>
      <c r="N337" s="38" t="n">
        <f aca="false">ROUND(SUMIFS($J$2:$J$1137,$A$2:$A$1137,A337,$C$2:$C$1137,C337),9)</f>
        <v>1</v>
      </c>
    </row>
    <row r="338" customFormat="false" ht="15" hidden="false" customHeight="true" outlineLevel="0" collapsed="false">
      <c r="A338" s="38" t="n">
        <v>22</v>
      </c>
      <c r="B338" s="38" t="s">
        <v>640</v>
      </c>
      <c r="C338" s="38" t="s">
        <v>172</v>
      </c>
      <c r="D338" s="38" t="s">
        <v>172</v>
      </c>
      <c r="E338" s="38" t="str">
        <f aca="false">A338&amp;"|"&amp;C338&amp;"|"&amp;D338</f>
        <v>22|A|A</v>
      </c>
      <c r="F338" s="43" t="n">
        <v>6</v>
      </c>
      <c r="G338" s="38" t="n">
        <f aca="false">SUMIFS($F$2:$F$1137,$A$2:$A$1137,A338,$C$2:$C$1137,C338)</f>
        <v>41</v>
      </c>
      <c r="H338" s="43" t="n">
        <v>1</v>
      </c>
      <c r="I338" s="45" t="n">
        <f aca="false">IF(G338=0,"",F338/G338)</f>
        <v>0.146341463414634</v>
      </c>
      <c r="J338" s="45" t="n">
        <f aca="false">K338/L338</f>
        <v>0.155555555555556</v>
      </c>
      <c r="K338" s="38" t="n">
        <f aca="false">F338+H338</f>
        <v>7</v>
      </c>
      <c r="L338" s="38" t="n">
        <f aca="false">G338+4*H338</f>
        <v>45</v>
      </c>
      <c r="M338" s="38" t="s">
        <v>619</v>
      </c>
      <c r="N338" s="38" t="n">
        <f aca="false">ROUND(SUMIFS($J$2:$J$1137,$A$2:$A$1137,A338,$C$2:$C$1137,C338),9)</f>
        <v>1</v>
      </c>
    </row>
    <row r="339" customFormat="false" ht="15" hidden="false" customHeight="true" outlineLevel="0" collapsed="false">
      <c r="A339" s="38" t="n">
        <v>22</v>
      </c>
      <c r="B339" s="38" t="s">
        <v>640</v>
      </c>
      <c r="C339" s="38" t="s">
        <v>172</v>
      </c>
      <c r="D339" s="38" t="s">
        <v>170</v>
      </c>
      <c r="E339" s="38" t="str">
        <f aca="false">A339&amp;"|"&amp;C339&amp;"|"&amp;D339</f>
        <v>22|A|C</v>
      </c>
      <c r="F339" s="43" t="n">
        <v>11</v>
      </c>
      <c r="G339" s="38" t="n">
        <f aca="false">SUMIFS($F$2:$F$1137,$A$2:$A$1137,A339,$C$2:$C$1137,C339)</f>
        <v>41</v>
      </c>
      <c r="H339" s="43" t="n">
        <v>1</v>
      </c>
      <c r="I339" s="45" t="n">
        <f aca="false">IF(G339=0,"",F339/G339)</f>
        <v>0.268292682926829</v>
      </c>
      <c r="J339" s="45" t="n">
        <f aca="false">K339/L339</f>
        <v>0.266666666666667</v>
      </c>
      <c r="K339" s="38" t="n">
        <f aca="false">F339+H339</f>
        <v>12</v>
      </c>
      <c r="L339" s="38" t="n">
        <f aca="false">G339+4*H339</f>
        <v>45</v>
      </c>
      <c r="M339" s="38" t="s">
        <v>619</v>
      </c>
      <c r="N339" s="38" t="n">
        <f aca="false">ROUND(SUMIFS($J$2:$J$1137,$A$2:$A$1137,A339,$C$2:$C$1137,C339),9)</f>
        <v>1</v>
      </c>
    </row>
    <row r="340" customFormat="false" ht="15" hidden="false" customHeight="true" outlineLevel="0" collapsed="false">
      <c r="A340" s="38" t="n">
        <v>22</v>
      </c>
      <c r="B340" s="38" t="s">
        <v>640</v>
      </c>
      <c r="C340" s="38" t="s">
        <v>172</v>
      </c>
      <c r="D340" s="38" t="s">
        <v>169</v>
      </c>
      <c r="E340" s="38" t="str">
        <f aca="false">A340&amp;"|"&amp;C340&amp;"|"&amp;D340</f>
        <v>22|A|G</v>
      </c>
      <c r="F340" s="43" t="n">
        <v>21</v>
      </c>
      <c r="G340" s="38" t="n">
        <f aca="false">SUMIFS($F$2:$F$1137,$A$2:$A$1137,A340,$C$2:$C$1137,C340)</f>
        <v>41</v>
      </c>
      <c r="H340" s="43" t="n">
        <v>1</v>
      </c>
      <c r="I340" s="45" t="n">
        <f aca="false">IF(G340=0,"",F340/G340)</f>
        <v>0.51219512195122</v>
      </c>
      <c r="J340" s="45" t="n">
        <f aca="false">K340/L340</f>
        <v>0.488888888888889</v>
      </c>
      <c r="K340" s="38" t="n">
        <f aca="false">F340+H340</f>
        <v>22</v>
      </c>
      <c r="L340" s="38" t="n">
        <f aca="false">G340+4*H340</f>
        <v>45</v>
      </c>
      <c r="M340" s="38" t="s">
        <v>619</v>
      </c>
      <c r="N340" s="38" t="n">
        <f aca="false">ROUND(SUMIFS($J$2:$J$1137,$A$2:$A$1137,A340,$C$2:$C$1137,C340),9)</f>
        <v>1</v>
      </c>
    </row>
    <row r="341" customFormat="false" ht="15" hidden="false" customHeight="true" outlineLevel="0" collapsed="false">
      <c r="A341" s="38" t="n">
        <v>22</v>
      </c>
      <c r="B341" s="38" t="s">
        <v>640</v>
      </c>
      <c r="C341" s="38" t="s">
        <v>172</v>
      </c>
      <c r="D341" s="38" t="s">
        <v>171</v>
      </c>
      <c r="E341" s="38" t="str">
        <f aca="false">A341&amp;"|"&amp;C341&amp;"|"&amp;D341</f>
        <v>22|A|U</v>
      </c>
      <c r="F341" s="43" t="n">
        <v>3</v>
      </c>
      <c r="G341" s="38" t="n">
        <f aca="false">SUMIFS($F$2:$F$1137,$A$2:$A$1137,A341,$C$2:$C$1137,C341)</f>
        <v>41</v>
      </c>
      <c r="H341" s="43" t="n">
        <v>1</v>
      </c>
      <c r="I341" s="45" t="n">
        <f aca="false">IF(G341=0,"",F341/G341)</f>
        <v>0.0731707317073171</v>
      </c>
      <c r="J341" s="45" t="n">
        <f aca="false">K341/L341</f>
        <v>0.0888888888888889</v>
      </c>
      <c r="K341" s="38" t="n">
        <f aca="false">F341+H341</f>
        <v>4</v>
      </c>
      <c r="L341" s="38" t="n">
        <f aca="false">G341+4*H341</f>
        <v>45</v>
      </c>
      <c r="M341" s="38" t="s">
        <v>619</v>
      </c>
      <c r="N341" s="38" t="n">
        <f aca="false">ROUND(SUMIFS($J$2:$J$1137,$A$2:$A$1137,A341,$C$2:$C$1137,C341),9)</f>
        <v>1</v>
      </c>
    </row>
    <row r="342" customFormat="false" ht="15" hidden="false" customHeight="true" outlineLevel="0" collapsed="false">
      <c r="A342" s="38" t="n">
        <v>22</v>
      </c>
      <c r="B342" s="38" t="s">
        <v>640</v>
      </c>
      <c r="C342" s="38" t="s">
        <v>170</v>
      </c>
      <c r="D342" s="38" t="s">
        <v>172</v>
      </c>
      <c r="E342" s="38" t="str">
        <f aca="false">A342&amp;"|"&amp;C342&amp;"|"&amp;D342</f>
        <v>22|C|A</v>
      </c>
      <c r="F342" s="43" t="n">
        <v>0</v>
      </c>
      <c r="G342" s="38" t="n">
        <f aca="false">SUMIFS($F$2:$F$1137,$A$2:$A$1137,A342,$C$2:$C$1137,C342)</f>
        <v>0</v>
      </c>
      <c r="H342" s="43" t="n">
        <v>1</v>
      </c>
      <c r="I342" s="45" t="str">
        <f aca="false">IF(G342=0,"",F342/G342)</f>
        <v/>
      </c>
      <c r="J342" s="45" t="n">
        <f aca="false">K342/L342</f>
        <v>0.25</v>
      </c>
      <c r="K342" s="38" t="n">
        <f aca="false">F342+H342</f>
        <v>1</v>
      </c>
      <c r="L342" s="38" t="n">
        <f aca="false">G342+4*H342</f>
        <v>4</v>
      </c>
      <c r="M342" s="38" t="s">
        <v>619</v>
      </c>
      <c r="N342" s="38" t="n">
        <f aca="false">ROUND(SUMIFS($J$2:$J$1137,$A$2:$A$1137,A342,$C$2:$C$1137,C342),9)</f>
        <v>1</v>
      </c>
    </row>
    <row r="343" customFormat="false" ht="15" hidden="false" customHeight="true" outlineLevel="0" collapsed="false">
      <c r="A343" s="38" t="n">
        <v>22</v>
      </c>
      <c r="B343" s="38" t="s">
        <v>640</v>
      </c>
      <c r="C343" s="38" t="s">
        <v>170</v>
      </c>
      <c r="D343" s="38" t="s">
        <v>170</v>
      </c>
      <c r="E343" s="38" t="str">
        <f aca="false">A343&amp;"|"&amp;C343&amp;"|"&amp;D343</f>
        <v>22|C|C</v>
      </c>
      <c r="F343" s="43" t="n">
        <v>0</v>
      </c>
      <c r="G343" s="38" t="n">
        <f aca="false">SUMIFS($F$2:$F$1137,$A$2:$A$1137,A343,$C$2:$C$1137,C343)</f>
        <v>0</v>
      </c>
      <c r="H343" s="43" t="n">
        <v>1</v>
      </c>
      <c r="I343" s="45" t="str">
        <f aca="false">IF(G343=0,"",F343/G343)</f>
        <v/>
      </c>
      <c r="J343" s="45" t="n">
        <f aca="false">K343/L343</f>
        <v>0.25</v>
      </c>
      <c r="K343" s="38" t="n">
        <f aca="false">F343+H343</f>
        <v>1</v>
      </c>
      <c r="L343" s="38" t="n">
        <f aca="false">G343+4*H343</f>
        <v>4</v>
      </c>
      <c r="M343" s="38" t="s">
        <v>619</v>
      </c>
      <c r="N343" s="38" t="n">
        <f aca="false">ROUND(SUMIFS($J$2:$J$1137,$A$2:$A$1137,A343,$C$2:$C$1137,C343),9)</f>
        <v>1</v>
      </c>
    </row>
    <row r="344" customFormat="false" ht="15" hidden="false" customHeight="true" outlineLevel="0" collapsed="false">
      <c r="A344" s="38" t="n">
        <v>22</v>
      </c>
      <c r="B344" s="38" t="s">
        <v>640</v>
      </c>
      <c r="C344" s="38" t="s">
        <v>170</v>
      </c>
      <c r="D344" s="38" t="s">
        <v>169</v>
      </c>
      <c r="E344" s="38" t="str">
        <f aca="false">A344&amp;"|"&amp;C344&amp;"|"&amp;D344</f>
        <v>22|C|G</v>
      </c>
      <c r="F344" s="43" t="n">
        <v>0</v>
      </c>
      <c r="G344" s="38" t="n">
        <f aca="false">SUMIFS($F$2:$F$1137,$A$2:$A$1137,A344,$C$2:$C$1137,C344)</f>
        <v>0</v>
      </c>
      <c r="H344" s="43" t="n">
        <v>1</v>
      </c>
      <c r="I344" s="45" t="str">
        <f aca="false">IF(G344=0,"",F344/G344)</f>
        <v/>
      </c>
      <c r="J344" s="45" t="n">
        <f aca="false">K344/L344</f>
        <v>0.25</v>
      </c>
      <c r="K344" s="38" t="n">
        <f aca="false">F344+H344</f>
        <v>1</v>
      </c>
      <c r="L344" s="38" t="n">
        <f aca="false">G344+4*H344</f>
        <v>4</v>
      </c>
      <c r="M344" s="38" t="s">
        <v>619</v>
      </c>
      <c r="N344" s="38" t="n">
        <f aca="false">ROUND(SUMIFS($J$2:$J$1137,$A$2:$A$1137,A344,$C$2:$C$1137,C344),9)</f>
        <v>1</v>
      </c>
    </row>
    <row r="345" customFormat="false" ht="15" hidden="false" customHeight="true" outlineLevel="0" collapsed="false">
      <c r="A345" s="38" t="n">
        <v>22</v>
      </c>
      <c r="B345" s="38" t="s">
        <v>640</v>
      </c>
      <c r="C345" s="38" t="s">
        <v>170</v>
      </c>
      <c r="D345" s="38" t="s">
        <v>171</v>
      </c>
      <c r="E345" s="38" t="str">
        <f aca="false">A345&amp;"|"&amp;C345&amp;"|"&amp;D345</f>
        <v>22|C|U</v>
      </c>
      <c r="F345" s="43" t="n">
        <v>0</v>
      </c>
      <c r="G345" s="38" t="n">
        <f aca="false">SUMIFS($F$2:$F$1137,$A$2:$A$1137,A345,$C$2:$C$1137,C345)</f>
        <v>0</v>
      </c>
      <c r="H345" s="43" t="n">
        <v>1</v>
      </c>
      <c r="I345" s="45" t="str">
        <f aca="false">IF(G345=0,"",F345/G345)</f>
        <v/>
      </c>
      <c r="J345" s="45" t="n">
        <f aca="false">K345/L345</f>
        <v>0.25</v>
      </c>
      <c r="K345" s="38" t="n">
        <f aca="false">F345+H345</f>
        <v>1</v>
      </c>
      <c r="L345" s="38" t="n">
        <f aca="false">G345+4*H345</f>
        <v>4</v>
      </c>
      <c r="M345" s="38" t="s">
        <v>619</v>
      </c>
      <c r="N345" s="38" t="n">
        <f aca="false">ROUND(SUMIFS($J$2:$J$1137,$A$2:$A$1137,A345,$C$2:$C$1137,C345),9)</f>
        <v>1</v>
      </c>
    </row>
    <row r="346" customFormat="false" ht="15" hidden="false" customHeight="true" outlineLevel="0" collapsed="false">
      <c r="A346" s="38" t="n">
        <v>22</v>
      </c>
      <c r="B346" s="38" t="s">
        <v>640</v>
      </c>
      <c r="C346" s="38" t="s">
        <v>169</v>
      </c>
      <c r="D346" s="38" t="s">
        <v>172</v>
      </c>
      <c r="E346" s="38" t="str">
        <f aca="false">A346&amp;"|"&amp;C346&amp;"|"&amp;D346</f>
        <v>22|G|A</v>
      </c>
      <c r="F346" s="43" t="n">
        <v>113</v>
      </c>
      <c r="G346" s="38" t="n">
        <f aca="false">SUMIFS($F$2:$F$1137,$A$2:$A$1137,A346,$C$2:$C$1137,C346)</f>
        <v>144</v>
      </c>
      <c r="H346" s="43" t="n">
        <v>1</v>
      </c>
      <c r="I346" s="45" t="n">
        <f aca="false">IF(G346=0,"",F346/G346)</f>
        <v>0.784722222222222</v>
      </c>
      <c r="J346" s="45" t="n">
        <f aca="false">K346/L346</f>
        <v>0.77027027027027</v>
      </c>
      <c r="K346" s="38" t="n">
        <f aca="false">F346+H346</f>
        <v>114</v>
      </c>
      <c r="L346" s="38" t="n">
        <f aca="false">G346+4*H346</f>
        <v>148</v>
      </c>
      <c r="M346" s="38" t="s">
        <v>619</v>
      </c>
      <c r="N346" s="38" t="n">
        <f aca="false">ROUND(SUMIFS($J$2:$J$1137,$A$2:$A$1137,A346,$C$2:$C$1137,C346),9)</f>
        <v>1</v>
      </c>
    </row>
    <row r="347" customFormat="false" ht="15" hidden="false" customHeight="true" outlineLevel="0" collapsed="false">
      <c r="A347" s="38" t="n">
        <v>22</v>
      </c>
      <c r="B347" s="38" t="s">
        <v>640</v>
      </c>
      <c r="C347" s="38" t="s">
        <v>169</v>
      </c>
      <c r="D347" s="38" t="s">
        <v>170</v>
      </c>
      <c r="E347" s="38" t="str">
        <f aca="false">A347&amp;"|"&amp;C347&amp;"|"&amp;D347</f>
        <v>22|G|C</v>
      </c>
      <c r="F347" s="43" t="n">
        <v>22</v>
      </c>
      <c r="G347" s="38" t="n">
        <f aca="false">SUMIFS($F$2:$F$1137,$A$2:$A$1137,A347,$C$2:$C$1137,C347)</f>
        <v>144</v>
      </c>
      <c r="H347" s="43" t="n">
        <v>1</v>
      </c>
      <c r="I347" s="45" t="n">
        <f aca="false">IF(G347=0,"",F347/G347)</f>
        <v>0.152777777777778</v>
      </c>
      <c r="J347" s="45" t="n">
        <f aca="false">K347/L347</f>
        <v>0.155405405405405</v>
      </c>
      <c r="K347" s="38" t="n">
        <f aca="false">F347+H347</f>
        <v>23</v>
      </c>
      <c r="L347" s="38" t="n">
        <f aca="false">G347+4*H347</f>
        <v>148</v>
      </c>
      <c r="M347" s="38" t="s">
        <v>619</v>
      </c>
      <c r="N347" s="38" t="n">
        <f aca="false">ROUND(SUMIFS($J$2:$J$1137,$A$2:$A$1137,A347,$C$2:$C$1137,C347),9)</f>
        <v>1</v>
      </c>
    </row>
    <row r="348" customFormat="false" ht="15" hidden="false" customHeight="true" outlineLevel="0" collapsed="false">
      <c r="A348" s="38" t="n">
        <v>22</v>
      </c>
      <c r="B348" s="38" t="s">
        <v>640</v>
      </c>
      <c r="C348" s="38" t="s">
        <v>169</v>
      </c>
      <c r="D348" s="38" t="s">
        <v>169</v>
      </c>
      <c r="E348" s="38" t="str">
        <f aca="false">A348&amp;"|"&amp;C348&amp;"|"&amp;D348</f>
        <v>22|G|G</v>
      </c>
      <c r="F348" s="43" t="n">
        <v>5</v>
      </c>
      <c r="G348" s="38" t="n">
        <f aca="false">SUMIFS($F$2:$F$1137,$A$2:$A$1137,A348,$C$2:$C$1137,C348)</f>
        <v>144</v>
      </c>
      <c r="H348" s="43" t="n">
        <v>1</v>
      </c>
      <c r="I348" s="45" t="n">
        <f aca="false">IF(G348=0,"",F348/G348)</f>
        <v>0.0347222222222222</v>
      </c>
      <c r="J348" s="45" t="n">
        <f aca="false">K348/L348</f>
        <v>0.0405405405405405</v>
      </c>
      <c r="K348" s="38" t="n">
        <f aca="false">F348+H348</f>
        <v>6</v>
      </c>
      <c r="L348" s="38" t="n">
        <f aca="false">G348+4*H348</f>
        <v>148</v>
      </c>
      <c r="M348" s="38" t="s">
        <v>619</v>
      </c>
      <c r="N348" s="38" t="n">
        <f aca="false">ROUND(SUMIFS($J$2:$J$1137,$A$2:$A$1137,A348,$C$2:$C$1137,C348),9)</f>
        <v>1</v>
      </c>
    </row>
    <row r="349" customFormat="false" ht="15" hidden="false" customHeight="true" outlineLevel="0" collapsed="false">
      <c r="A349" s="38" t="n">
        <v>22</v>
      </c>
      <c r="B349" s="38" t="s">
        <v>640</v>
      </c>
      <c r="C349" s="38" t="s">
        <v>169</v>
      </c>
      <c r="D349" s="38" t="s">
        <v>171</v>
      </c>
      <c r="E349" s="38" t="str">
        <f aca="false">A349&amp;"|"&amp;C349&amp;"|"&amp;D349</f>
        <v>22|G|U</v>
      </c>
      <c r="F349" s="43" t="n">
        <v>4</v>
      </c>
      <c r="G349" s="38" t="n">
        <f aca="false">SUMIFS($F$2:$F$1137,$A$2:$A$1137,A349,$C$2:$C$1137,C349)</f>
        <v>144</v>
      </c>
      <c r="H349" s="43" t="n">
        <v>1</v>
      </c>
      <c r="I349" s="45" t="n">
        <f aca="false">IF(G349=0,"",F349/G349)</f>
        <v>0.0277777777777778</v>
      </c>
      <c r="J349" s="45" t="n">
        <f aca="false">K349/L349</f>
        <v>0.0337837837837838</v>
      </c>
      <c r="K349" s="38" t="n">
        <f aca="false">F349+H349</f>
        <v>5</v>
      </c>
      <c r="L349" s="38" t="n">
        <f aca="false">G349+4*H349</f>
        <v>148</v>
      </c>
      <c r="M349" s="38" t="s">
        <v>619</v>
      </c>
      <c r="N349" s="38" t="n">
        <f aca="false">ROUND(SUMIFS($J$2:$J$1137,$A$2:$A$1137,A349,$C$2:$C$1137,C349),9)</f>
        <v>1</v>
      </c>
    </row>
    <row r="350" customFormat="false" ht="15" hidden="false" customHeight="true" outlineLevel="0" collapsed="false">
      <c r="A350" s="38" t="n">
        <v>22</v>
      </c>
      <c r="B350" s="38" t="s">
        <v>640</v>
      </c>
      <c r="C350" s="38" t="s">
        <v>171</v>
      </c>
      <c r="D350" s="38" t="s">
        <v>172</v>
      </c>
      <c r="E350" s="38" t="str">
        <f aca="false">A350&amp;"|"&amp;C350&amp;"|"&amp;D350</f>
        <v>22|U|A</v>
      </c>
      <c r="F350" s="43" t="n">
        <v>1</v>
      </c>
      <c r="G350" s="38" t="n">
        <f aca="false">SUMIFS($F$2:$F$1137,$A$2:$A$1137,A350,$C$2:$C$1137,C350)</f>
        <v>14</v>
      </c>
      <c r="H350" s="43" t="n">
        <v>1</v>
      </c>
      <c r="I350" s="45" t="n">
        <f aca="false">IF(G350=0,"",F350/G350)</f>
        <v>0.0714285714285714</v>
      </c>
      <c r="J350" s="45" t="n">
        <f aca="false">K350/L350</f>
        <v>0.111111111111111</v>
      </c>
      <c r="K350" s="38" t="n">
        <f aca="false">F350+H350</f>
        <v>2</v>
      </c>
      <c r="L350" s="38" t="n">
        <f aca="false">G350+4*H350</f>
        <v>18</v>
      </c>
      <c r="M350" s="38" t="s">
        <v>619</v>
      </c>
      <c r="N350" s="38" t="n">
        <f aca="false">ROUND(SUMIFS($J$2:$J$1137,$A$2:$A$1137,A350,$C$2:$C$1137,C350),9)</f>
        <v>1</v>
      </c>
    </row>
    <row r="351" customFormat="false" ht="15" hidden="false" customHeight="true" outlineLevel="0" collapsed="false">
      <c r="A351" s="38" t="n">
        <v>22</v>
      </c>
      <c r="B351" s="38" t="s">
        <v>640</v>
      </c>
      <c r="C351" s="38" t="s">
        <v>171</v>
      </c>
      <c r="D351" s="38" t="s">
        <v>170</v>
      </c>
      <c r="E351" s="38" t="str">
        <f aca="false">A351&amp;"|"&amp;C351&amp;"|"&amp;D351</f>
        <v>22|U|C</v>
      </c>
      <c r="F351" s="43" t="n">
        <v>5</v>
      </c>
      <c r="G351" s="38" t="n">
        <f aca="false">SUMIFS($F$2:$F$1137,$A$2:$A$1137,A351,$C$2:$C$1137,C351)</f>
        <v>14</v>
      </c>
      <c r="H351" s="43" t="n">
        <v>1</v>
      </c>
      <c r="I351" s="45" t="n">
        <f aca="false">IF(G351=0,"",F351/G351)</f>
        <v>0.357142857142857</v>
      </c>
      <c r="J351" s="45" t="n">
        <f aca="false">K351/L351</f>
        <v>0.333333333333333</v>
      </c>
      <c r="K351" s="38" t="n">
        <f aca="false">F351+H351</f>
        <v>6</v>
      </c>
      <c r="L351" s="38" t="n">
        <f aca="false">G351+4*H351</f>
        <v>18</v>
      </c>
      <c r="M351" s="38" t="s">
        <v>619</v>
      </c>
      <c r="N351" s="38" t="n">
        <f aca="false">ROUND(SUMIFS($J$2:$J$1137,$A$2:$A$1137,A351,$C$2:$C$1137,C351),9)</f>
        <v>1</v>
      </c>
    </row>
    <row r="352" customFormat="false" ht="15" hidden="false" customHeight="true" outlineLevel="0" collapsed="false">
      <c r="A352" s="38" t="n">
        <v>22</v>
      </c>
      <c r="B352" s="38" t="s">
        <v>640</v>
      </c>
      <c r="C352" s="38" t="s">
        <v>171</v>
      </c>
      <c r="D352" s="38" t="s">
        <v>169</v>
      </c>
      <c r="E352" s="38" t="str">
        <f aca="false">A352&amp;"|"&amp;C352&amp;"|"&amp;D352</f>
        <v>22|U|G</v>
      </c>
      <c r="F352" s="43" t="n">
        <v>3</v>
      </c>
      <c r="G352" s="38" t="n">
        <f aca="false">SUMIFS($F$2:$F$1137,$A$2:$A$1137,A352,$C$2:$C$1137,C352)</f>
        <v>14</v>
      </c>
      <c r="H352" s="43" t="n">
        <v>1</v>
      </c>
      <c r="I352" s="45" t="n">
        <f aca="false">IF(G352=0,"",F352/G352)</f>
        <v>0.214285714285714</v>
      </c>
      <c r="J352" s="45" t="n">
        <f aca="false">K352/L352</f>
        <v>0.222222222222222</v>
      </c>
      <c r="K352" s="38" t="n">
        <f aca="false">F352+H352</f>
        <v>4</v>
      </c>
      <c r="L352" s="38" t="n">
        <f aca="false">G352+4*H352</f>
        <v>18</v>
      </c>
      <c r="M352" s="38" t="s">
        <v>619</v>
      </c>
      <c r="N352" s="38" t="n">
        <f aca="false">ROUND(SUMIFS($J$2:$J$1137,$A$2:$A$1137,A352,$C$2:$C$1137,C352),9)</f>
        <v>1</v>
      </c>
    </row>
    <row r="353" customFormat="false" ht="15" hidden="false" customHeight="true" outlineLevel="0" collapsed="false">
      <c r="A353" s="38" t="n">
        <v>22</v>
      </c>
      <c r="B353" s="38" t="s">
        <v>640</v>
      </c>
      <c r="C353" s="38" t="s">
        <v>171</v>
      </c>
      <c r="D353" s="38" t="s">
        <v>171</v>
      </c>
      <c r="E353" s="38" t="str">
        <f aca="false">A353&amp;"|"&amp;C353&amp;"|"&amp;D353</f>
        <v>22|U|U</v>
      </c>
      <c r="F353" s="43" t="n">
        <v>5</v>
      </c>
      <c r="G353" s="38" t="n">
        <f aca="false">SUMIFS($F$2:$F$1137,$A$2:$A$1137,A353,$C$2:$C$1137,C353)</f>
        <v>14</v>
      </c>
      <c r="H353" s="43" t="n">
        <v>1</v>
      </c>
      <c r="I353" s="45" t="n">
        <f aca="false">IF(G353=0,"",F353/G353)</f>
        <v>0.357142857142857</v>
      </c>
      <c r="J353" s="45" t="n">
        <f aca="false">K353/L353</f>
        <v>0.333333333333333</v>
      </c>
      <c r="K353" s="38" t="n">
        <f aca="false">F353+H353</f>
        <v>6</v>
      </c>
      <c r="L353" s="38" t="n">
        <f aca="false">G353+4*H353</f>
        <v>18</v>
      </c>
      <c r="M353" s="38" t="s">
        <v>619</v>
      </c>
      <c r="N353" s="38" t="n">
        <f aca="false">ROUND(SUMIFS($J$2:$J$1137,$A$2:$A$1137,A353,$C$2:$C$1137,C353),9)</f>
        <v>1</v>
      </c>
    </row>
    <row r="354" customFormat="false" ht="15" hidden="false" customHeight="true" outlineLevel="0" collapsed="false">
      <c r="A354" s="38" t="n">
        <v>23</v>
      </c>
      <c r="B354" s="38" t="s">
        <v>641</v>
      </c>
      <c r="C354" s="38" t="s">
        <v>172</v>
      </c>
      <c r="D354" s="38" t="s">
        <v>172</v>
      </c>
      <c r="E354" s="38" t="str">
        <f aca="false">A354&amp;"|"&amp;C354&amp;"|"&amp;D354</f>
        <v>23|A|A</v>
      </c>
      <c r="F354" s="43" t="n">
        <v>11</v>
      </c>
      <c r="G354" s="38" t="n">
        <f aca="false">SUMIFS($F$2:$F$1137,$A$2:$A$1137,A354,$C$2:$C$1137,C354)</f>
        <v>120</v>
      </c>
      <c r="H354" s="43" t="n">
        <v>1</v>
      </c>
      <c r="I354" s="45" t="n">
        <f aca="false">IF(G354=0,"",F354/G354)</f>
        <v>0.0916666666666667</v>
      </c>
      <c r="J354" s="45" t="n">
        <f aca="false">K354/L354</f>
        <v>0.0967741935483871</v>
      </c>
      <c r="K354" s="38" t="n">
        <f aca="false">F354+H354</f>
        <v>12</v>
      </c>
      <c r="L354" s="38" t="n">
        <f aca="false">G354+4*H354</f>
        <v>124</v>
      </c>
      <c r="M354" s="38" t="s">
        <v>619</v>
      </c>
      <c r="N354" s="38" t="n">
        <f aca="false">ROUND(SUMIFS($J$2:$J$1137,$A$2:$A$1137,A354,$C$2:$C$1137,C354),9)</f>
        <v>1</v>
      </c>
    </row>
    <row r="355" customFormat="false" ht="15" hidden="false" customHeight="true" outlineLevel="0" collapsed="false">
      <c r="A355" s="38" t="n">
        <v>23</v>
      </c>
      <c r="B355" s="38" t="s">
        <v>641</v>
      </c>
      <c r="C355" s="38" t="s">
        <v>172</v>
      </c>
      <c r="D355" s="38" t="s">
        <v>170</v>
      </c>
      <c r="E355" s="38" t="str">
        <f aca="false">A355&amp;"|"&amp;C355&amp;"|"&amp;D355</f>
        <v>23|A|C</v>
      </c>
      <c r="F355" s="43" t="n">
        <v>1</v>
      </c>
      <c r="G355" s="38" t="n">
        <f aca="false">SUMIFS($F$2:$F$1137,$A$2:$A$1137,A355,$C$2:$C$1137,C355)</f>
        <v>120</v>
      </c>
      <c r="H355" s="43" t="n">
        <v>1</v>
      </c>
      <c r="I355" s="45" t="n">
        <f aca="false">IF(G355=0,"",F355/G355)</f>
        <v>0.00833333333333333</v>
      </c>
      <c r="J355" s="45" t="n">
        <f aca="false">K355/L355</f>
        <v>0.0161290322580645</v>
      </c>
      <c r="K355" s="38" t="n">
        <f aca="false">F355+H355</f>
        <v>2</v>
      </c>
      <c r="L355" s="38" t="n">
        <f aca="false">G355+4*H355</f>
        <v>124</v>
      </c>
      <c r="M355" s="38" t="s">
        <v>619</v>
      </c>
      <c r="N355" s="38" t="n">
        <f aca="false">ROUND(SUMIFS($J$2:$J$1137,$A$2:$A$1137,A355,$C$2:$C$1137,C355),9)</f>
        <v>1</v>
      </c>
    </row>
    <row r="356" customFormat="false" ht="15" hidden="false" customHeight="true" outlineLevel="0" collapsed="false">
      <c r="A356" s="38" t="n">
        <v>23</v>
      </c>
      <c r="B356" s="38" t="s">
        <v>641</v>
      </c>
      <c r="C356" s="38" t="s">
        <v>172</v>
      </c>
      <c r="D356" s="38" t="s">
        <v>169</v>
      </c>
      <c r="E356" s="38" t="str">
        <f aca="false">A356&amp;"|"&amp;C356&amp;"|"&amp;D356</f>
        <v>23|A|G</v>
      </c>
      <c r="F356" s="43" t="n">
        <v>105</v>
      </c>
      <c r="G356" s="38" t="n">
        <f aca="false">SUMIFS($F$2:$F$1137,$A$2:$A$1137,A356,$C$2:$C$1137,C356)</f>
        <v>120</v>
      </c>
      <c r="H356" s="43" t="n">
        <v>1</v>
      </c>
      <c r="I356" s="45" t="n">
        <f aca="false">IF(G356=0,"",F356/G356)</f>
        <v>0.875</v>
      </c>
      <c r="J356" s="45" t="n">
        <f aca="false">K356/L356</f>
        <v>0.854838709677419</v>
      </c>
      <c r="K356" s="38" t="n">
        <f aca="false">F356+H356</f>
        <v>106</v>
      </c>
      <c r="L356" s="38" t="n">
        <f aca="false">G356+4*H356</f>
        <v>124</v>
      </c>
      <c r="M356" s="38" t="s">
        <v>619</v>
      </c>
      <c r="N356" s="38" t="n">
        <f aca="false">ROUND(SUMIFS($J$2:$J$1137,$A$2:$A$1137,A356,$C$2:$C$1137,C356),9)</f>
        <v>1</v>
      </c>
    </row>
    <row r="357" customFormat="false" ht="15" hidden="false" customHeight="true" outlineLevel="0" collapsed="false">
      <c r="A357" s="38" t="n">
        <v>23</v>
      </c>
      <c r="B357" s="38" t="s">
        <v>641</v>
      </c>
      <c r="C357" s="38" t="s">
        <v>172</v>
      </c>
      <c r="D357" s="38" t="s">
        <v>171</v>
      </c>
      <c r="E357" s="38" t="str">
        <f aca="false">A357&amp;"|"&amp;C357&amp;"|"&amp;D357</f>
        <v>23|A|U</v>
      </c>
      <c r="F357" s="43" t="n">
        <v>3</v>
      </c>
      <c r="G357" s="38" t="n">
        <f aca="false">SUMIFS($F$2:$F$1137,$A$2:$A$1137,A357,$C$2:$C$1137,C357)</f>
        <v>120</v>
      </c>
      <c r="H357" s="43" t="n">
        <v>1</v>
      </c>
      <c r="I357" s="45" t="n">
        <f aca="false">IF(G357=0,"",F357/G357)</f>
        <v>0.025</v>
      </c>
      <c r="J357" s="45" t="n">
        <f aca="false">K357/L357</f>
        <v>0.032258064516129</v>
      </c>
      <c r="K357" s="38" t="n">
        <f aca="false">F357+H357</f>
        <v>4</v>
      </c>
      <c r="L357" s="38" t="n">
        <f aca="false">G357+4*H357</f>
        <v>124</v>
      </c>
      <c r="M357" s="38" t="s">
        <v>619</v>
      </c>
      <c r="N357" s="38" t="n">
        <f aca="false">ROUND(SUMIFS($J$2:$J$1137,$A$2:$A$1137,A357,$C$2:$C$1137,C357),9)</f>
        <v>1</v>
      </c>
    </row>
    <row r="358" customFormat="false" ht="15" hidden="false" customHeight="true" outlineLevel="0" collapsed="false">
      <c r="A358" s="38" t="n">
        <v>23</v>
      </c>
      <c r="B358" s="38" t="s">
        <v>641</v>
      </c>
      <c r="C358" s="38" t="s">
        <v>170</v>
      </c>
      <c r="D358" s="38" t="s">
        <v>172</v>
      </c>
      <c r="E358" s="38" t="str">
        <f aca="false">A358&amp;"|"&amp;C358&amp;"|"&amp;D358</f>
        <v>23|C|A</v>
      </c>
      <c r="F358" s="43" t="n">
        <v>11</v>
      </c>
      <c r="G358" s="38" t="n">
        <f aca="false">SUMIFS($F$2:$F$1137,$A$2:$A$1137,A358,$C$2:$C$1137,C358)</f>
        <v>38</v>
      </c>
      <c r="H358" s="43" t="n">
        <v>1</v>
      </c>
      <c r="I358" s="45" t="n">
        <f aca="false">IF(G358=0,"",F358/G358)</f>
        <v>0.289473684210526</v>
      </c>
      <c r="J358" s="45" t="n">
        <f aca="false">K358/L358</f>
        <v>0.285714285714286</v>
      </c>
      <c r="K358" s="38" t="n">
        <f aca="false">F358+H358</f>
        <v>12</v>
      </c>
      <c r="L358" s="38" t="n">
        <f aca="false">G358+4*H358</f>
        <v>42</v>
      </c>
      <c r="M358" s="38" t="s">
        <v>619</v>
      </c>
      <c r="N358" s="38" t="n">
        <f aca="false">ROUND(SUMIFS($J$2:$J$1137,$A$2:$A$1137,A358,$C$2:$C$1137,C358),9)</f>
        <v>1</v>
      </c>
    </row>
    <row r="359" customFormat="false" ht="15" hidden="false" customHeight="true" outlineLevel="0" collapsed="false">
      <c r="A359" s="38" t="n">
        <v>23</v>
      </c>
      <c r="B359" s="38" t="s">
        <v>641</v>
      </c>
      <c r="C359" s="38" t="s">
        <v>170</v>
      </c>
      <c r="D359" s="38" t="s">
        <v>170</v>
      </c>
      <c r="E359" s="38" t="str">
        <f aca="false">A359&amp;"|"&amp;C359&amp;"|"&amp;D359</f>
        <v>23|C|C</v>
      </c>
      <c r="F359" s="43" t="n">
        <v>3</v>
      </c>
      <c r="G359" s="38" t="n">
        <f aca="false">SUMIFS($F$2:$F$1137,$A$2:$A$1137,A359,$C$2:$C$1137,C359)</f>
        <v>38</v>
      </c>
      <c r="H359" s="43" t="n">
        <v>1</v>
      </c>
      <c r="I359" s="45" t="n">
        <f aca="false">IF(G359=0,"",F359/G359)</f>
        <v>0.0789473684210526</v>
      </c>
      <c r="J359" s="45" t="n">
        <f aca="false">K359/L359</f>
        <v>0.0952380952380952</v>
      </c>
      <c r="K359" s="38" t="n">
        <f aca="false">F359+H359</f>
        <v>4</v>
      </c>
      <c r="L359" s="38" t="n">
        <f aca="false">G359+4*H359</f>
        <v>42</v>
      </c>
      <c r="M359" s="38" t="s">
        <v>619</v>
      </c>
      <c r="N359" s="38" t="n">
        <f aca="false">ROUND(SUMIFS($J$2:$J$1137,$A$2:$A$1137,A359,$C$2:$C$1137,C359),9)</f>
        <v>1</v>
      </c>
    </row>
    <row r="360" customFormat="false" ht="15" hidden="false" customHeight="true" outlineLevel="0" collapsed="false">
      <c r="A360" s="38" t="n">
        <v>23</v>
      </c>
      <c r="B360" s="38" t="s">
        <v>641</v>
      </c>
      <c r="C360" s="38" t="s">
        <v>170</v>
      </c>
      <c r="D360" s="38" t="s">
        <v>169</v>
      </c>
      <c r="E360" s="38" t="str">
        <f aca="false">A360&amp;"|"&amp;C360&amp;"|"&amp;D360</f>
        <v>23|C|G</v>
      </c>
      <c r="F360" s="43" t="n">
        <v>20</v>
      </c>
      <c r="G360" s="38" t="n">
        <f aca="false">SUMIFS($F$2:$F$1137,$A$2:$A$1137,A360,$C$2:$C$1137,C360)</f>
        <v>38</v>
      </c>
      <c r="H360" s="43" t="n">
        <v>1</v>
      </c>
      <c r="I360" s="45" t="n">
        <f aca="false">IF(G360=0,"",F360/G360)</f>
        <v>0.526315789473684</v>
      </c>
      <c r="J360" s="45" t="n">
        <f aca="false">K360/L360</f>
        <v>0.5</v>
      </c>
      <c r="K360" s="38" t="n">
        <f aca="false">F360+H360</f>
        <v>21</v>
      </c>
      <c r="L360" s="38" t="n">
        <f aca="false">G360+4*H360</f>
        <v>42</v>
      </c>
      <c r="M360" s="38" t="s">
        <v>619</v>
      </c>
      <c r="N360" s="38" t="n">
        <f aca="false">ROUND(SUMIFS($J$2:$J$1137,$A$2:$A$1137,A360,$C$2:$C$1137,C360),9)</f>
        <v>1</v>
      </c>
    </row>
    <row r="361" customFormat="false" ht="15" hidden="false" customHeight="true" outlineLevel="0" collapsed="false">
      <c r="A361" s="38" t="n">
        <v>23</v>
      </c>
      <c r="B361" s="38" t="s">
        <v>641</v>
      </c>
      <c r="C361" s="38" t="s">
        <v>170</v>
      </c>
      <c r="D361" s="38" t="s">
        <v>171</v>
      </c>
      <c r="E361" s="38" t="str">
        <f aca="false">A361&amp;"|"&amp;C361&amp;"|"&amp;D361</f>
        <v>23|C|U</v>
      </c>
      <c r="F361" s="43" t="n">
        <v>4</v>
      </c>
      <c r="G361" s="38" t="n">
        <f aca="false">SUMIFS($F$2:$F$1137,$A$2:$A$1137,A361,$C$2:$C$1137,C361)</f>
        <v>38</v>
      </c>
      <c r="H361" s="43" t="n">
        <v>1</v>
      </c>
      <c r="I361" s="45" t="n">
        <f aca="false">IF(G361=0,"",F361/G361)</f>
        <v>0.105263157894737</v>
      </c>
      <c r="J361" s="45" t="n">
        <f aca="false">K361/L361</f>
        <v>0.119047619047619</v>
      </c>
      <c r="K361" s="38" t="n">
        <f aca="false">F361+H361</f>
        <v>5</v>
      </c>
      <c r="L361" s="38" t="n">
        <f aca="false">G361+4*H361</f>
        <v>42</v>
      </c>
      <c r="M361" s="38" t="s">
        <v>619</v>
      </c>
      <c r="N361" s="38" t="n">
        <f aca="false">ROUND(SUMIFS($J$2:$J$1137,$A$2:$A$1137,A361,$C$2:$C$1137,C361),9)</f>
        <v>1</v>
      </c>
    </row>
    <row r="362" customFormat="false" ht="15" hidden="false" customHeight="true" outlineLevel="0" collapsed="false">
      <c r="A362" s="38" t="n">
        <v>23</v>
      </c>
      <c r="B362" s="38" t="s">
        <v>641</v>
      </c>
      <c r="C362" s="38" t="s">
        <v>169</v>
      </c>
      <c r="D362" s="38" t="s">
        <v>172</v>
      </c>
      <c r="E362" s="38" t="str">
        <f aca="false">A362&amp;"|"&amp;C362&amp;"|"&amp;D362</f>
        <v>23|G|A</v>
      </c>
      <c r="F362" s="43" t="n">
        <v>10</v>
      </c>
      <c r="G362" s="38" t="n">
        <f aca="false">SUMIFS($F$2:$F$1137,$A$2:$A$1137,A362,$C$2:$C$1137,C362)</f>
        <v>29</v>
      </c>
      <c r="H362" s="43" t="n">
        <v>1</v>
      </c>
      <c r="I362" s="45" t="n">
        <f aca="false">IF(G362=0,"",F362/G362)</f>
        <v>0.344827586206897</v>
      </c>
      <c r="J362" s="45" t="n">
        <f aca="false">K362/L362</f>
        <v>0.333333333333333</v>
      </c>
      <c r="K362" s="38" t="n">
        <f aca="false">F362+H362</f>
        <v>11</v>
      </c>
      <c r="L362" s="38" t="n">
        <f aca="false">G362+4*H362</f>
        <v>33</v>
      </c>
      <c r="M362" s="38" t="s">
        <v>619</v>
      </c>
      <c r="N362" s="38" t="n">
        <f aca="false">ROUND(SUMIFS($J$2:$J$1137,$A$2:$A$1137,A362,$C$2:$C$1137,C362),9)</f>
        <v>1</v>
      </c>
    </row>
    <row r="363" customFormat="false" ht="15" hidden="false" customHeight="true" outlineLevel="0" collapsed="false">
      <c r="A363" s="38" t="n">
        <v>23</v>
      </c>
      <c r="B363" s="38" t="s">
        <v>641</v>
      </c>
      <c r="C363" s="38" t="s">
        <v>169</v>
      </c>
      <c r="D363" s="38" t="s">
        <v>170</v>
      </c>
      <c r="E363" s="38" t="str">
        <f aca="false">A363&amp;"|"&amp;C363&amp;"|"&amp;D363</f>
        <v>23|G|C</v>
      </c>
      <c r="F363" s="43" t="n">
        <v>0</v>
      </c>
      <c r="G363" s="38" t="n">
        <f aca="false">SUMIFS($F$2:$F$1137,$A$2:$A$1137,A363,$C$2:$C$1137,C363)</f>
        <v>29</v>
      </c>
      <c r="H363" s="43" t="n">
        <v>1</v>
      </c>
      <c r="I363" s="45" t="n">
        <f aca="false">IF(G363=0,"",F363/G363)</f>
        <v>0</v>
      </c>
      <c r="J363" s="45" t="n">
        <f aca="false">K363/L363</f>
        <v>0.0303030303030303</v>
      </c>
      <c r="K363" s="38" t="n">
        <f aca="false">F363+H363</f>
        <v>1</v>
      </c>
      <c r="L363" s="38" t="n">
        <f aca="false">G363+4*H363</f>
        <v>33</v>
      </c>
      <c r="M363" s="38" t="s">
        <v>619</v>
      </c>
      <c r="N363" s="38" t="n">
        <f aca="false">ROUND(SUMIFS($J$2:$J$1137,$A$2:$A$1137,A363,$C$2:$C$1137,C363),9)</f>
        <v>1</v>
      </c>
    </row>
    <row r="364" customFormat="false" ht="15" hidden="false" customHeight="true" outlineLevel="0" collapsed="false">
      <c r="A364" s="38" t="n">
        <v>23</v>
      </c>
      <c r="B364" s="38" t="s">
        <v>641</v>
      </c>
      <c r="C364" s="38" t="s">
        <v>169</v>
      </c>
      <c r="D364" s="38" t="s">
        <v>169</v>
      </c>
      <c r="E364" s="38" t="str">
        <f aca="false">A364&amp;"|"&amp;C364&amp;"|"&amp;D364</f>
        <v>23|G|G</v>
      </c>
      <c r="F364" s="43" t="n">
        <v>19</v>
      </c>
      <c r="G364" s="38" t="n">
        <f aca="false">SUMIFS($F$2:$F$1137,$A$2:$A$1137,A364,$C$2:$C$1137,C364)</f>
        <v>29</v>
      </c>
      <c r="H364" s="43" t="n">
        <v>1</v>
      </c>
      <c r="I364" s="45" t="n">
        <f aca="false">IF(G364=0,"",F364/G364)</f>
        <v>0.655172413793103</v>
      </c>
      <c r="J364" s="45" t="n">
        <f aca="false">K364/L364</f>
        <v>0.606060606060606</v>
      </c>
      <c r="K364" s="38" t="n">
        <f aca="false">F364+H364</f>
        <v>20</v>
      </c>
      <c r="L364" s="38" t="n">
        <f aca="false">G364+4*H364</f>
        <v>33</v>
      </c>
      <c r="M364" s="38" t="s">
        <v>619</v>
      </c>
      <c r="N364" s="38" t="n">
        <f aca="false">ROUND(SUMIFS($J$2:$J$1137,$A$2:$A$1137,A364,$C$2:$C$1137,C364),9)</f>
        <v>1</v>
      </c>
    </row>
    <row r="365" customFormat="false" ht="15" hidden="false" customHeight="true" outlineLevel="0" collapsed="false">
      <c r="A365" s="38" t="n">
        <v>23</v>
      </c>
      <c r="B365" s="38" t="s">
        <v>641</v>
      </c>
      <c r="C365" s="38" t="s">
        <v>169</v>
      </c>
      <c r="D365" s="38" t="s">
        <v>171</v>
      </c>
      <c r="E365" s="38" t="str">
        <f aca="false">A365&amp;"|"&amp;C365&amp;"|"&amp;D365</f>
        <v>23|G|U</v>
      </c>
      <c r="F365" s="43" t="n">
        <v>0</v>
      </c>
      <c r="G365" s="38" t="n">
        <f aca="false">SUMIFS($F$2:$F$1137,$A$2:$A$1137,A365,$C$2:$C$1137,C365)</f>
        <v>29</v>
      </c>
      <c r="H365" s="43" t="n">
        <v>1</v>
      </c>
      <c r="I365" s="45" t="n">
        <f aca="false">IF(G365=0,"",F365/G365)</f>
        <v>0</v>
      </c>
      <c r="J365" s="45" t="n">
        <f aca="false">K365/L365</f>
        <v>0.0303030303030303</v>
      </c>
      <c r="K365" s="38" t="n">
        <f aca="false">F365+H365</f>
        <v>1</v>
      </c>
      <c r="L365" s="38" t="n">
        <f aca="false">G365+4*H365</f>
        <v>33</v>
      </c>
      <c r="M365" s="38" t="s">
        <v>619</v>
      </c>
      <c r="N365" s="38" t="n">
        <f aca="false">ROUND(SUMIFS($J$2:$J$1137,$A$2:$A$1137,A365,$C$2:$C$1137,C365),9)</f>
        <v>1</v>
      </c>
    </row>
    <row r="366" customFormat="false" ht="15" hidden="false" customHeight="true" outlineLevel="0" collapsed="false">
      <c r="A366" s="38" t="n">
        <v>23</v>
      </c>
      <c r="B366" s="38" t="s">
        <v>641</v>
      </c>
      <c r="C366" s="38" t="s">
        <v>171</v>
      </c>
      <c r="D366" s="38" t="s">
        <v>172</v>
      </c>
      <c r="E366" s="38" t="str">
        <f aca="false">A366&amp;"|"&amp;C366&amp;"|"&amp;D366</f>
        <v>23|U|A</v>
      </c>
      <c r="F366" s="43" t="n">
        <v>5</v>
      </c>
      <c r="G366" s="38" t="n">
        <f aca="false">SUMIFS($F$2:$F$1137,$A$2:$A$1137,A366,$C$2:$C$1137,C366)</f>
        <v>12</v>
      </c>
      <c r="H366" s="43" t="n">
        <v>1</v>
      </c>
      <c r="I366" s="45" t="n">
        <f aca="false">IF(G366=0,"",F366/G366)</f>
        <v>0.416666666666667</v>
      </c>
      <c r="J366" s="45" t="n">
        <f aca="false">K366/L366</f>
        <v>0.375</v>
      </c>
      <c r="K366" s="38" t="n">
        <f aca="false">F366+H366</f>
        <v>6</v>
      </c>
      <c r="L366" s="38" t="n">
        <f aca="false">G366+4*H366</f>
        <v>16</v>
      </c>
      <c r="M366" s="38" t="s">
        <v>619</v>
      </c>
      <c r="N366" s="38" t="n">
        <f aca="false">ROUND(SUMIFS($J$2:$J$1137,$A$2:$A$1137,A366,$C$2:$C$1137,C366),9)</f>
        <v>1</v>
      </c>
    </row>
    <row r="367" customFormat="false" ht="15" hidden="false" customHeight="true" outlineLevel="0" collapsed="false">
      <c r="A367" s="38" t="n">
        <v>23</v>
      </c>
      <c r="B367" s="38" t="s">
        <v>641</v>
      </c>
      <c r="C367" s="38" t="s">
        <v>171</v>
      </c>
      <c r="D367" s="38" t="s">
        <v>170</v>
      </c>
      <c r="E367" s="38" t="str">
        <f aca="false">A367&amp;"|"&amp;C367&amp;"|"&amp;D367</f>
        <v>23|U|C</v>
      </c>
      <c r="F367" s="43" t="n">
        <v>2</v>
      </c>
      <c r="G367" s="38" t="n">
        <f aca="false">SUMIFS($F$2:$F$1137,$A$2:$A$1137,A367,$C$2:$C$1137,C367)</f>
        <v>12</v>
      </c>
      <c r="H367" s="43" t="n">
        <v>1</v>
      </c>
      <c r="I367" s="45" t="n">
        <f aca="false">IF(G367=0,"",F367/G367)</f>
        <v>0.166666666666667</v>
      </c>
      <c r="J367" s="45" t="n">
        <f aca="false">K367/L367</f>
        <v>0.1875</v>
      </c>
      <c r="K367" s="38" t="n">
        <f aca="false">F367+H367</f>
        <v>3</v>
      </c>
      <c r="L367" s="38" t="n">
        <f aca="false">G367+4*H367</f>
        <v>16</v>
      </c>
      <c r="M367" s="38" t="s">
        <v>619</v>
      </c>
      <c r="N367" s="38" t="n">
        <f aca="false">ROUND(SUMIFS($J$2:$J$1137,$A$2:$A$1137,A367,$C$2:$C$1137,C367),9)</f>
        <v>1</v>
      </c>
    </row>
    <row r="368" customFormat="false" ht="15" hidden="false" customHeight="true" outlineLevel="0" collapsed="false">
      <c r="A368" s="38" t="n">
        <v>23</v>
      </c>
      <c r="B368" s="38" t="s">
        <v>641</v>
      </c>
      <c r="C368" s="38" t="s">
        <v>171</v>
      </c>
      <c r="D368" s="38" t="s">
        <v>169</v>
      </c>
      <c r="E368" s="38" t="str">
        <f aca="false">A368&amp;"|"&amp;C368&amp;"|"&amp;D368</f>
        <v>23|U|G</v>
      </c>
      <c r="F368" s="43" t="n">
        <v>5</v>
      </c>
      <c r="G368" s="38" t="n">
        <f aca="false">SUMIFS($F$2:$F$1137,$A$2:$A$1137,A368,$C$2:$C$1137,C368)</f>
        <v>12</v>
      </c>
      <c r="H368" s="43" t="n">
        <v>1</v>
      </c>
      <c r="I368" s="45" t="n">
        <f aca="false">IF(G368=0,"",F368/G368)</f>
        <v>0.416666666666667</v>
      </c>
      <c r="J368" s="45" t="n">
        <f aca="false">K368/L368</f>
        <v>0.375</v>
      </c>
      <c r="K368" s="38" t="n">
        <f aca="false">F368+H368</f>
        <v>6</v>
      </c>
      <c r="L368" s="38" t="n">
        <f aca="false">G368+4*H368</f>
        <v>16</v>
      </c>
      <c r="M368" s="38" t="s">
        <v>619</v>
      </c>
      <c r="N368" s="38" t="n">
        <f aca="false">ROUND(SUMIFS($J$2:$J$1137,$A$2:$A$1137,A368,$C$2:$C$1137,C368),9)</f>
        <v>1</v>
      </c>
    </row>
    <row r="369" customFormat="false" ht="15" hidden="false" customHeight="true" outlineLevel="0" collapsed="false">
      <c r="A369" s="38" t="n">
        <v>23</v>
      </c>
      <c r="B369" s="38" t="s">
        <v>641</v>
      </c>
      <c r="C369" s="38" t="s">
        <v>171</v>
      </c>
      <c r="D369" s="38" t="s">
        <v>171</v>
      </c>
      <c r="E369" s="38" t="str">
        <f aca="false">A369&amp;"|"&amp;C369&amp;"|"&amp;D369</f>
        <v>23|U|U</v>
      </c>
      <c r="F369" s="43" t="n">
        <v>0</v>
      </c>
      <c r="G369" s="38" t="n">
        <f aca="false">SUMIFS($F$2:$F$1137,$A$2:$A$1137,A369,$C$2:$C$1137,C369)</f>
        <v>12</v>
      </c>
      <c r="H369" s="43" t="n">
        <v>1</v>
      </c>
      <c r="I369" s="45" t="n">
        <f aca="false">IF(G369=0,"",F369/G369)</f>
        <v>0</v>
      </c>
      <c r="J369" s="45" t="n">
        <f aca="false">K369/L369</f>
        <v>0.0625</v>
      </c>
      <c r="K369" s="38" t="n">
        <f aca="false">F369+H369</f>
        <v>1</v>
      </c>
      <c r="L369" s="38" t="n">
        <f aca="false">G369+4*H369</f>
        <v>16</v>
      </c>
      <c r="M369" s="38" t="s">
        <v>619</v>
      </c>
      <c r="N369" s="38" t="n">
        <f aca="false">ROUND(SUMIFS($J$2:$J$1137,$A$2:$A$1137,A369,$C$2:$C$1137,C369),9)</f>
        <v>1</v>
      </c>
    </row>
    <row r="370" customFormat="false" ht="15" hidden="false" customHeight="true" outlineLevel="0" collapsed="false">
      <c r="A370" s="38" t="n">
        <v>24</v>
      </c>
      <c r="B370" s="38" t="s">
        <v>642</v>
      </c>
      <c r="C370" s="38" t="s">
        <v>172</v>
      </c>
      <c r="D370" s="38" t="s">
        <v>172</v>
      </c>
      <c r="E370" s="38" t="str">
        <f aca="false">A370&amp;"|"&amp;C370&amp;"|"&amp;D370</f>
        <v>24|A|A</v>
      </c>
      <c r="F370" s="43" t="n">
        <v>0</v>
      </c>
      <c r="G370" s="38" t="n">
        <f aca="false">SUMIFS($F$2:$F$1137,$A$2:$A$1137,A370,$C$2:$C$1137,C370)</f>
        <v>37</v>
      </c>
      <c r="H370" s="43" t="n">
        <v>1</v>
      </c>
      <c r="I370" s="45" t="n">
        <f aca="false">IF(G370=0,"",F370/G370)</f>
        <v>0</v>
      </c>
      <c r="J370" s="45" t="n">
        <f aca="false">K370/L370</f>
        <v>0.024390243902439</v>
      </c>
      <c r="K370" s="38" t="n">
        <f aca="false">F370+H370</f>
        <v>1</v>
      </c>
      <c r="L370" s="38" t="n">
        <f aca="false">G370+4*H370</f>
        <v>41</v>
      </c>
      <c r="M370" s="38" t="s">
        <v>619</v>
      </c>
      <c r="N370" s="38" t="n">
        <f aca="false">ROUND(SUMIFS($J$2:$J$1137,$A$2:$A$1137,A370,$C$2:$C$1137,C370),9)</f>
        <v>1</v>
      </c>
    </row>
    <row r="371" customFormat="false" ht="15" hidden="false" customHeight="true" outlineLevel="0" collapsed="false">
      <c r="A371" s="38" t="n">
        <v>24</v>
      </c>
      <c r="B371" s="38" t="s">
        <v>642</v>
      </c>
      <c r="C371" s="38" t="s">
        <v>172</v>
      </c>
      <c r="D371" s="38" t="s">
        <v>170</v>
      </c>
      <c r="E371" s="38" t="str">
        <f aca="false">A371&amp;"|"&amp;C371&amp;"|"&amp;D371</f>
        <v>24|A|C</v>
      </c>
      <c r="F371" s="43" t="n">
        <v>27</v>
      </c>
      <c r="G371" s="38" t="n">
        <f aca="false">SUMIFS($F$2:$F$1137,$A$2:$A$1137,A371,$C$2:$C$1137,C371)</f>
        <v>37</v>
      </c>
      <c r="H371" s="43" t="n">
        <v>1</v>
      </c>
      <c r="I371" s="45" t="n">
        <f aca="false">IF(G371=0,"",F371/G371)</f>
        <v>0.72972972972973</v>
      </c>
      <c r="J371" s="45" t="n">
        <f aca="false">K371/L371</f>
        <v>0.682926829268293</v>
      </c>
      <c r="K371" s="38" t="n">
        <f aca="false">F371+H371</f>
        <v>28</v>
      </c>
      <c r="L371" s="38" t="n">
        <f aca="false">G371+4*H371</f>
        <v>41</v>
      </c>
      <c r="M371" s="38" t="s">
        <v>619</v>
      </c>
      <c r="N371" s="38" t="n">
        <f aca="false">ROUND(SUMIFS($J$2:$J$1137,$A$2:$A$1137,A371,$C$2:$C$1137,C371),9)</f>
        <v>1</v>
      </c>
    </row>
    <row r="372" customFormat="false" ht="15" hidden="false" customHeight="true" outlineLevel="0" collapsed="false">
      <c r="A372" s="38" t="n">
        <v>24</v>
      </c>
      <c r="B372" s="38" t="s">
        <v>642</v>
      </c>
      <c r="C372" s="38" t="s">
        <v>172</v>
      </c>
      <c r="D372" s="38" t="s">
        <v>169</v>
      </c>
      <c r="E372" s="38" t="str">
        <f aca="false">A372&amp;"|"&amp;C372&amp;"|"&amp;D372</f>
        <v>24|A|G</v>
      </c>
      <c r="F372" s="43" t="n">
        <v>0</v>
      </c>
      <c r="G372" s="38" t="n">
        <f aca="false">SUMIFS($F$2:$F$1137,$A$2:$A$1137,A372,$C$2:$C$1137,C372)</f>
        <v>37</v>
      </c>
      <c r="H372" s="43" t="n">
        <v>1</v>
      </c>
      <c r="I372" s="45" t="n">
        <f aca="false">IF(G372=0,"",F372/G372)</f>
        <v>0</v>
      </c>
      <c r="J372" s="45" t="n">
        <f aca="false">K372/L372</f>
        <v>0.024390243902439</v>
      </c>
      <c r="K372" s="38" t="n">
        <f aca="false">F372+H372</f>
        <v>1</v>
      </c>
      <c r="L372" s="38" t="n">
        <f aca="false">G372+4*H372</f>
        <v>41</v>
      </c>
      <c r="M372" s="38" t="s">
        <v>619</v>
      </c>
      <c r="N372" s="38" t="n">
        <f aca="false">ROUND(SUMIFS($J$2:$J$1137,$A$2:$A$1137,A372,$C$2:$C$1137,C372),9)</f>
        <v>1</v>
      </c>
    </row>
    <row r="373" customFormat="false" ht="15" hidden="false" customHeight="true" outlineLevel="0" collapsed="false">
      <c r="A373" s="38" t="n">
        <v>24</v>
      </c>
      <c r="B373" s="38" t="s">
        <v>642</v>
      </c>
      <c r="C373" s="38" t="s">
        <v>172</v>
      </c>
      <c r="D373" s="38" t="s">
        <v>171</v>
      </c>
      <c r="E373" s="38" t="str">
        <f aca="false">A373&amp;"|"&amp;C373&amp;"|"&amp;D373</f>
        <v>24|A|U</v>
      </c>
      <c r="F373" s="43" t="n">
        <v>10</v>
      </c>
      <c r="G373" s="38" t="n">
        <f aca="false">SUMIFS($F$2:$F$1137,$A$2:$A$1137,A373,$C$2:$C$1137,C373)</f>
        <v>37</v>
      </c>
      <c r="H373" s="43" t="n">
        <v>1</v>
      </c>
      <c r="I373" s="45" t="n">
        <f aca="false">IF(G373=0,"",F373/G373)</f>
        <v>0.27027027027027</v>
      </c>
      <c r="J373" s="45" t="n">
        <f aca="false">K373/L373</f>
        <v>0.268292682926829</v>
      </c>
      <c r="K373" s="38" t="n">
        <f aca="false">F373+H373</f>
        <v>11</v>
      </c>
      <c r="L373" s="38" t="n">
        <f aca="false">G373+4*H373</f>
        <v>41</v>
      </c>
      <c r="M373" s="38" t="s">
        <v>619</v>
      </c>
      <c r="N373" s="38" t="n">
        <f aca="false">ROUND(SUMIFS($J$2:$J$1137,$A$2:$A$1137,A373,$C$2:$C$1137,C373),9)</f>
        <v>1</v>
      </c>
    </row>
    <row r="374" customFormat="false" ht="15" hidden="false" customHeight="true" outlineLevel="0" collapsed="false">
      <c r="A374" s="38" t="n">
        <v>24</v>
      </c>
      <c r="B374" s="38" t="s">
        <v>642</v>
      </c>
      <c r="C374" s="38" t="s">
        <v>170</v>
      </c>
      <c r="D374" s="38" t="s">
        <v>172</v>
      </c>
      <c r="E374" s="38" t="str">
        <f aca="false">A374&amp;"|"&amp;C374&amp;"|"&amp;D374</f>
        <v>24|C|A</v>
      </c>
      <c r="F374" s="43" t="n">
        <v>0</v>
      </c>
      <c r="G374" s="38" t="n">
        <f aca="false">SUMIFS($F$2:$F$1137,$A$2:$A$1137,A374,$C$2:$C$1137,C374)</f>
        <v>6</v>
      </c>
      <c r="H374" s="43" t="n">
        <v>1</v>
      </c>
      <c r="I374" s="45" t="n">
        <f aca="false">IF(G374=0,"",F374/G374)</f>
        <v>0</v>
      </c>
      <c r="J374" s="45" t="n">
        <f aca="false">K374/L374</f>
        <v>0.1</v>
      </c>
      <c r="K374" s="38" t="n">
        <f aca="false">F374+H374</f>
        <v>1</v>
      </c>
      <c r="L374" s="38" t="n">
        <f aca="false">G374+4*H374</f>
        <v>10</v>
      </c>
      <c r="M374" s="38" t="s">
        <v>619</v>
      </c>
      <c r="N374" s="38" t="n">
        <f aca="false">ROUND(SUMIFS($J$2:$J$1137,$A$2:$A$1137,A374,$C$2:$C$1137,C374),9)</f>
        <v>1</v>
      </c>
    </row>
    <row r="375" customFormat="false" ht="15" hidden="false" customHeight="true" outlineLevel="0" collapsed="false">
      <c r="A375" s="38" t="n">
        <v>24</v>
      </c>
      <c r="B375" s="38" t="s">
        <v>642</v>
      </c>
      <c r="C375" s="38" t="s">
        <v>170</v>
      </c>
      <c r="D375" s="38" t="s">
        <v>170</v>
      </c>
      <c r="E375" s="38" t="str">
        <f aca="false">A375&amp;"|"&amp;C375&amp;"|"&amp;D375</f>
        <v>24|C|C</v>
      </c>
      <c r="F375" s="43" t="n">
        <v>4</v>
      </c>
      <c r="G375" s="38" t="n">
        <f aca="false">SUMIFS($F$2:$F$1137,$A$2:$A$1137,A375,$C$2:$C$1137,C375)</f>
        <v>6</v>
      </c>
      <c r="H375" s="43" t="n">
        <v>1</v>
      </c>
      <c r="I375" s="45" t="n">
        <f aca="false">IF(G375=0,"",F375/G375)</f>
        <v>0.666666666666667</v>
      </c>
      <c r="J375" s="45" t="n">
        <f aca="false">K375/L375</f>
        <v>0.5</v>
      </c>
      <c r="K375" s="38" t="n">
        <f aca="false">F375+H375</f>
        <v>5</v>
      </c>
      <c r="L375" s="38" t="n">
        <f aca="false">G375+4*H375</f>
        <v>10</v>
      </c>
      <c r="M375" s="38" t="s">
        <v>619</v>
      </c>
      <c r="N375" s="38" t="n">
        <f aca="false">ROUND(SUMIFS($J$2:$J$1137,$A$2:$A$1137,A375,$C$2:$C$1137,C375),9)</f>
        <v>1</v>
      </c>
    </row>
    <row r="376" customFormat="false" ht="15" hidden="false" customHeight="true" outlineLevel="0" collapsed="false">
      <c r="A376" s="38" t="n">
        <v>24</v>
      </c>
      <c r="B376" s="38" t="s">
        <v>642</v>
      </c>
      <c r="C376" s="38" t="s">
        <v>170</v>
      </c>
      <c r="D376" s="38" t="s">
        <v>169</v>
      </c>
      <c r="E376" s="38" t="str">
        <f aca="false">A376&amp;"|"&amp;C376&amp;"|"&amp;D376</f>
        <v>24|C|G</v>
      </c>
      <c r="F376" s="43" t="n">
        <v>1</v>
      </c>
      <c r="G376" s="38" t="n">
        <f aca="false">SUMIFS($F$2:$F$1137,$A$2:$A$1137,A376,$C$2:$C$1137,C376)</f>
        <v>6</v>
      </c>
      <c r="H376" s="43" t="n">
        <v>1</v>
      </c>
      <c r="I376" s="45" t="n">
        <f aca="false">IF(G376=0,"",F376/G376)</f>
        <v>0.166666666666667</v>
      </c>
      <c r="J376" s="45" t="n">
        <f aca="false">K376/L376</f>
        <v>0.2</v>
      </c>
      <c r="K376" s="38" t="n">
        <f aca="false">F376+H376</f>
        <v>2</v>
      </c>
      <c r="L376" s="38" t="n">
        <f aca="false">G376+4*H376</f>
        <v>10</v>
      </c>
      <c r="M376" s="38" t="s">
        <v>619</v>
      </c>
      <c r="N376" s="38" t="n">
        <f aca="false">ROUND(SUMIFS($J$2:$J$1137,$A$2:$A$1137,A376,$C$2:$C$1137,C376),9)</f>
        <v>1</v>
      </c>
    </row>
    <row r="377" customFormat="false" ht="15" hidden="false" customHeight="true" outlineLevel="0" collapsed="false">
      <c r="A377" s="38" t="n">
        <v>24</v>
      </c>
      <c r="B377" s="38" t="s">
        <v>642</v>
      </c>
      <c r="C377" s="38" t="s">
        <v>170</v>
      </c>
      <c r="D377" s="38" t="s">
        <v>171</v>
      </c>
      <c r="E377" s="38" t="str">
        <f aca="false">A377&amp;"|"&amp;C377&amp;"|"&amp;D377</f>
        <v>24|C|U</v>
      </c>
      <c r="F377" s="43" t="n">
        <v>1</v>
      </c>
      <c r="G377" s="38" t="n">
        <f aca="false">SUMIFS($F$2:$F$1137,$A$2:$A$1137,A377,$C$2:$C$1137,C377)</f>
        <v>6</v>
      </c>
      <c r="H377" s="43" t="n">
        <v>1</v>
      </c>
      <c r="I377" s="45" t="n">
        <f aca="false">IF(G377=0,"",F377/G377)</f>
        <v>0.166666666666667</v>
      </c>
      <c r="J377" s="45" t="n">
        <f aca="false">K377/L377</f>
        <v>0.2</v>
      </c>
      <c r="K377" s="38" t="n">
        <f aca="false">F377+H377</f>
        <v>2</v>
      </c>
      <c r="L377" s="38" t="n">
        <f aca="false">G377+4*H377</f>
        <v>10</v>
      </c>
      <c r="M377" s="38" t="s">
        <v>619</v>
      </c>
      <c r="N377" s="38" t="n">
        <f aca="false">ROUND(SUMIFS($J$2:$J$1137,$A$2:$A$1137,A377,$C$2:$C$1137,C377),9)</f>
        <v>1</v>
      </c>
    </row>
    <row r="378" customFormat="false" ht="15" hidden="false" customHeight="true" outlineLevel="0" collapsed="false">
      <c r="A378" s="38" t="n">
        <v>24</v>
      </c>
      <c r="B378" s="38" t="s">
        <v>642</v>
      </c>
      <c r="C378" s="38" t="s">
        <v>169</v>
      </c>
      <c r="D378" s="38" t="s">
        <v>172</v>
      </c>
      <c r="E378" s="38" t="str">
        <f aca="false">A378&amp;"|"&amp;C378&amp;"|"&amp;D378</f>
        <v>24|G|A</v>
      </c>
      <c r="F378" s="43" t="n">
        <v>1</v>
      </c>
      <c r="G378" s="38" t="n">
        <f aca="false">SUMIFS($F$2:$F$1137,$A$2:$A$1137,A378,$C$2:$C$1137,C378)</f>
        <v>149</v>
      </c>
      <c r="H378" s="43" t="n">
        <v>1</v>
      </c>
      <c r="I378" s="45" t="n">
        <f aca="false">IF(G378=0,"",F378/G378)</f>
        <v>0.00671140939597315</v>
      </c>
      <c r="J378" s="45" t="n">
        <f aca="false">K378/L378</f>
        <v>0.0130718954248366</v>
      </c>
      <c r="K378" s="38" t="n">
        <f aca="false">F378+H378</f>
        <v>2</v>
      </c>
      <c r="L378" s="38" t="n">
        <f aca="false">G378+4*H378</f>
        <v>153</v>
      </c>
      <c r="M378" s="38" t="s">
        <v>619</v>
      </c>
      <c r="N378" s="38" t="n">
        <f aca="false">ROUND(SUMIFS($J$2:$J$1137,$A$2:$A$1137,A378,$C$2:$C$1137,C378),9)</f>
        <v>1</v>
      </c>
    </row>
    <row r="379" customFormat="false" ht="15" hidden="false" customHeight="true" outlineLevel="0" collapsed="false">
      <c r="A379" s="38" t="n">
        <v>24</v>
      </c>
      <c r="B379" s="38" t="s">
        <v>642</v>
      </c>
      <c r="C379" s="38" t="s">
        <v>169</v>
      </c>
      <c r="D379" s="38" t="s">
        <v>170</v>
      </c>
      <c r="E379" s="38" t="str">
        <f aca="false">A379&amp;"|"&amp;C379&amp;"|"&amp;D379</f>
        <v>24|G|C</v>
      </c>
      <c r="F379" s="43" t="n">
        <v>139</v>
      </c>
      <c r="G379" s="38" t="n">
        <f aca="false">SUMIFS($F$2:$F$1137,$A$2:$A$1137,A379,$C$2:$C$1137,C379)</f>
        <v>149</v>
      </c>
      <c r="H379" s="43" t="n">
        <v>1</v>
      </c>
      <c r="I379" s="45" t="n">
        <f aca="false">IF(G379=0,"",F379/G379)</f>
        <v>0.932885906040268</v>
      </c>
      <c r="J379" s="45" t="n">
        <f aca="false">K379/L379</f>
        <v>0.915032679738562</v>
      </c>
      <c r="K379" s="38" t="n">
        <f aca="false">F379+H379</f>
        <v>140</v>
      </c>
      <c r="L379" s="38" t="n">
        <f aca="false">G379+4*H379</f>
        <v>153</v>
      </c>
      <c r="M379" s="38" t="s">
        <v>619</v>
      </c>
      <c r="N379" s="38" t="n">
        <f aca="false">ROUND(SUMIFS($J$2:$J$1137,$A$2:$A$1137,A379,$C$2:$C$1137,C379),9)</f>
        <v>1</v>
      </c>
    </row>
    <row r="380" customFormat="false" ht="15" hidden="false" customHeight="true" outlineLevel="0" collapsed="false">
      <c r="A380" s="38" t="n">
        <v>24</v>
      </c>
      <c r="B380" s="38" t="s">
        <v>642</v>
      </c>
      <c r="C380" s="38" t="s">
        <v>169</v>
      </c>
      <c r="D380" s="38" t="s">
        <v>169</v>
      </c>
      <c r="E380" s="38" t="str">
        <f aca="false">A380&amp;"|"&amp;C380&amp;"|"&amp;D380</f>
        <v>24|G|G</v>
      </c>
      <c r="F380" s="43" t="n">
        <v>6</v>
      </c>
      <c r="G380" s="38" t="n">
        <f aca="false">SUMIFS($F$2:$F$1137,$A$2:$A$1137,A380,$C$2:$C$1137,C380)</f>
        <v>149</v>
      </c>
      <c r="H380" s="43" t="n">
        <v>1</v>
      </c>
      <c r="I380" s="45" t="n">
        <f aca="false">IF(G380=0,"",F380/G380)</f>
        <v>0.0402684563758389</v>
      </c>
      <c r="J380" s="45" t="n">
        <f aca="false">K380/L380</f>
        <v>0.0457516339869281</v>
      </c>
      <c r="K380" s="38" t="n">
        <f aca="false">F380+H380</f>
        <v>7</v>
      </c>
      <c r="L380" s="38" t="n">
        <f aca="false">G380+4*H380</f>
        <v>153</v>
      </c>
      <c r="M380" s="38" t="s">
        <v>619</v>
      </c>
      <c r="N380" s="38" t="n">
        <f aca="false">ROUND(SUMIFS($J$2:$J$1137,$A$2:$A$1137,A380,$C$2:$C$1137,C380),9)</f>
        <v>1</v>
      </c>
    </row>
    <row r="381" customFormat="false" ht="15" hidden="false" customHeight="true" outlineLevel="0" collapsed="false">
      <c r="A381" s="38" t="n">
        <v>24</v>
      </c>
      <c r="B381" s="38" t="s">
        <v>642</v>
      </c>
      <c r="C381" s="38" t="s">
        <v>169</v>
      </c>
      <c r="D381" s="38" t="s">
        <v>171</v>
      </c>
      <c r="E381" s="38" t="str">
        <f aca="false">A381&amp;"|"&amp;C381&amp;"|"&amp;D381</f>
        <v>24|G|U</v>
      </c>
      <c r="F381" s="43" t="n">
        <v>3</v>
      </c>
      <c r="G381" s="38" t="n">
        <f aca="false">SUMIFS($F$2:$F$1137,$A$2:$A$1137,A381,$C$2:$C$1137,C381)</f>
        <v>149</v>
      </c>
      <c r="H381" s="43" t="n">
        <v>1</v>
      </c>
      <c r="I381" s="45" t="n">
        <f aca="false">IF(G381=0,"",F381/G381)</f>
        <v>0.0201342281879195</v>
      </c>
      <c r="J381" s="45" t="n">
        <f aca="false">K381/L381</f>
        <v>0.0261437908496732</v>
      </c>
      <c r="K381" s="38" t="n">
        <f aca="false">F381+H381</f>
        <v>4</v>
      </c>
      <c r="L381" s="38" t="n">
        <f aca="false">G381+4*H381</f>
        <v>153</v>
      </c>
      <c r="M381" s="38" t="s">
        <v>619</v>
      </c>
      <c r="N381" s="38" t="n">
        <f aca="false">ROUND(SUMIFS($J$2:$J$1137,$A$2:$A$1137,A381,$C$2:$C$1137,C381),9)</f>
        <v>1</v>
      </c>
    </row>
    <row r="382" customFormat="false" ht="15" hidden="false" customHeight="true" outlineLevel="0" collapsed="false">
      <c r="A382" s="38" t="n">
        <v>24</v>
      </c>
      <c r="B382" s="38" t="s">
        <v>642</v>
      </c>
      <c r="C382" s="38" t="s">
        <v>171</v>
      </c>
      <c r="D382" s="38" t="s">
        <v>172</v>
      </c>
      <c r="E382" s="38" t="str">
        <f aca="false">A382&amp;"|"&amp;C382&amp;"|"&amp;D382</f>
        <v>24|U|A</v>
      </c>
      <c r="F382" s="43" t="n">
        <v>0</v>
      </c>
      <c r="G382" s="38" t="n">
        <f aca="false">SUMIFS($F$2:$F$1137,$A$2:$A$1137,A382,$C$2:$C$1137,C382)</f>
        <v>7</v>
      </c>
      <c r="H382" s="43" t="n">
        <v>1</v>
      </c>
      <c r="I382" s="45" t="n">
        <f aca="false">IF(G382=0,"",F382/G382)</f>
        <v>0</v>
      </c>
      <c r="J382" s="45" t="n">
        <f aca="false">K382/L382</f>
        <v>0.0909090909090909</v>
      </c>
      <c r="K382" s="38" t="n">
        <f aca="false">F382+H382</f>
        <v>1</v>
      </c>
      <c r="L382" s="38" t="n">
        <f aca="false">G382+4*H382</f>
        <v>11</v>
      </c>
      <c r="M382" s="38" t="s">
        <v>619</v>
      </c>
      <c r="N382" s="38" t="n">
        <f aca="false">ROUND(SUMIFS($J$2:$J$1137,$A$2:$A$1137,A382,$C$2:$C$1137,C382),9)</f>
        <v>1</v>
      </c>
    </row>
    <row r="383" customFormat="false" ht="15" hidden="false" customHeight="true" outlineLevel="0" collapsed="false">
      <c r="A383" s="38" t="n">
        <v>24</v>
      </c>
      <c r="B383" s="38" t="s">
        <v>642</v>
      </c>
      <c r="C383" s="38" t="s">
        <v>171</v>
      </c>
      <c r="D383" s="38" t="s">
        <v>170</v>
      </c>
      <c r="E383" s="38" t="str">
        <f aca="false">A383&amp;"|"&amp;C383&amp;"|"&amp;D383</f>
        <v>24|U|C</v>
      </c>
      <c r="F383" s="43" t="n">
        <v>7</v>
      </c>
      <c r="G383" s="38" t="n">
        <f aca="false">SUMIFS($F$2:$F$1137,$A$2:$A$1137,A383,$C$2:$C$1137,C383)</f>
        <v>7</v>
      </c>
      <c r="H383" s="43" t="n">
        <v>1</v>
      </c>
      <c r="I383" s="45" t="n">
        <f aca="false">IF(G383=0,"",F383/G383)</f>
        <v>1</v>
      </c>
      <c r="J383" s="45" t="n">
        <f aca="false">K383/L383</f>
        <v>0.727272727272727</v>
      </c>
      <c r="K383" s="38" t="n">
        <f aca="false">F383+H383</f>
        <v>8</v>
      </c>
      <c r="L383" s="38" t="n">
        <f aca="false">G383+4*H383</f>
        <v>11</v>
      </c>
      <c r="M383" s="38" t="s">
        <v>619</v>
      </c>
      <c r="N383" s="38" t="n">
        <f aca="false">ROUND(SUMIFS($J$2:$J$1137,$A$2:$A$1137,A383,$C$2:$C$1137,C383),9)</f>
        <v>1</v>
      </c>
    </row>
    <row r="384" customFormat="false" ht="15" hidden="false" customHeight="true" outlineLevel="0" collapsed="false">
      <c r="A384" s="38" t="n">
        <v>24</v>
      </c>
      <c r="B384" s="38" t="s">
        <v>642</v>
      </c>
      <c r="C384" s="38" t="s">
        <v>171</v>
      </c>
      <c r="D384" s="38" t="s">
        <v>169</v>
      </c>
      <c r="E384" s="38" t="str">
        <f aca="false">A384&amp;"|"&amp;C384&amp;"|"&amp;D384</f>
        <v>24|U|G</v>
      </c>
      <c r="F384" s="43" t="n">
        <v>0</v>
      </c>
      <c r="G384" s="38" t="n">
        <f aca="false">SUMIFS($F$2:$F$1137,$A$2:$A$1137,A384,$C$2:$C$1137,C384)</f>
        <v>7</v>
      </c>
      <c r="H384" s="43" t="n">
        <v>1</v>
      </c>
      <c r="I384" s="45" t="n">
        <f aca="false">IF(G384=0,"",F384/G384)</f>
        <v>0</v>
      </c>
      <c r="J384" s="45" t="n">
        <f aca="false">K384/L384</f>
        <v>0.0909090909090909</v>
      </c>
      <c r="K384" s="38" t="n">
        <f aca="false">F384+H384</f>
        <v>1</v>
      </c>
      <c r="L384" s="38" t="n">
        <f aca="false">G384+4*H384</f>
        <v>11</v>
      </c>
      <c r="M384" s="38" t="s">
        <v>619</v>
      </c>
      <c r="N384" s="38" t="n">
        <f aca="false">ROUND(SUMIFS($J$2:$J$1137,$A$2:$A$1137,A384,$C$2:$C$1137,C384),9)</f>
        <v>1</v>
      </c>
    </row>
    <row r="385" customFormat="false" ht="15" hidden="false" customHeight="true" outlineLevel="0" collapsed="false">
      <c r="A385" s="38" t="n">
        <v>24</v>
      </c>
      <c r="B385" s="38" t="s">
        <v>642</v>
      </c>
      <c r="C385" s="38" t="s">
        <v>171</v>
      </c>
      <c r="D385" s="38" t="s">
        <v>171</v>
      </c>
      <c r="E385" s="38" t="str">
        <f aca="false">A385&amp;"|"&amp;C385&amp;"|"&amp;D385</f>
        <v>24|U|U</v>
      </c>
      <c r="F385" s="43" t="n">
        <v>0</v>
      </c>
      <c r="G385" s="38" t="n">
        <f aca="false">SUMIFS($F$2:$F$1137,$A$2:$A$1137,A385,$C$2:$C$1137,C385)</f>
        <v>7</v>
      </c>
      <c r="H385" s="43" t="n">
        <v>1</v>
      </c>
      <c r="I385" s="45" t="n">
        <f aca="false">IF(G385=0,"",F385/G385)</f>
        <v>0</v>
      </c>
      <c r="J385" s="45" t="n">
        <f aca="false">K385/L385</f>
        <v>0.0909090909090909</v>
      </c>
      <c r="K385" s="38" t="n">
        <f aca="false">F385+H385</f>
        <v>1</v>
      </c>
      <c r="L385" s="38" t="n">
        <f aca="false">G385+4*H385</f>
        <v>11</v>
      </c>
      <c r="M385" s="38" t="s">
        <v>619</v>
      </c>
      <c r="N385" s="38" t="n">
        <f aca="false">ROUND(SUMIFS($J$2:$J$1137,$A$2:$A$1137,A385,$C$2:$C$1137,C385),9)</f>
        <v>1</v>
      </c>
    </row>
    <row r="386" customFormat="false" ht="15" hidden="false" customHeight="true" outlineLevel="0" collapsed="false">
      <c r="A386" s="38" t="n">
        <v>25</v>
      </c>
      <c r="B386" s="38" t="s">
        <v>643</v>
      </c>
      <c r="C386" s="38" t="s">
        <v>172</v>
      </c>
      <c r="D386" s="38" t="s">
        <v>172</v>
      </c>
      <c r="E386" s="38" t="str">
        <f aca="false">A386&amp;"|"&amp;C386&amp;"|"&amp;D386</f>
        <v>25|A|A</v>
      </c>
      <c r="F386" s="43" t="n">
        <v>0</v>
      </c>
      <c r="G386" s="38" t="n">
        <f aca="false">SUMIFS($F$2:$F$1137,$A$2:$A$1137,A386,$C$2:$C$1137,C386)</f>
        <v>1</v>
      </c>
      <c r="H386" s="43" t="n">
        <v>1</v>
      </c>
      <c r="I386" s="45" t="n">
        <f aca="false">IF(G386=0,"",F386/G386)</f>
        <v>0</v>
      </c>
      <c r="J386" s="45" t="n">
        <f aca="false">K386/L386</f>
        <v>0.2</v>
      </c>
      <c r="K386" s="38" t="n">
        <f aca="false">F386+H386</f>
        <v>1</v>
      </c>
      <c r="L386" s="38" t="n">
        <f aca="false">G386+4*H386</f>
        <v>5</v>
      </c>
      <c r="M386" s="38" t="s">
        <v>619</v>
      </c>
      <c r="N386" s="38" t="n">
        <f aca="false">ROUND(SUMIFS($J$2:$J$1137,$A$2:$A$1137,A386,$C$2:$C$1137,C386),9)</f>
        <v>1</v>
      </c>
    </row>
    <row r="387" customFormat="false" ht="15" hidden="false" customHeight="true" outlineLevel="0" collapsed="false">
      <c r="A387" s="38" t="n">
        <v>25</v>
      </c>
      <c r="B387" s="38" t="s">
        <v>643</v>
      </c>
      <c r="C387" s="38" t="s">
        <v>172</v>
      </c>
      <c r="D387" s="38" t="s">
        <v>170</v>
      </c>
      <c r="E387" s="38" t="str">
        <f aca="false">A387&amp;"|"&amp;C387&amp;"|"&amp;D387</f>
        <v>25|A|C</v>
      </c>
      <c r="F387" s="43" t="n">
        <v>0</v>
      </c>
      <c r="G387" s="38" t="n">
        <f aca="false">SUMIFS($F$2:$F$1137,$A$2:$A$1137,A387,$C$2:$C$1137,C387)</f>
        <v>1</v>
      </c>
      <c r="H387" s="43" t="n">
        <v>1</v>
      </c>
      <c r="I387" s="45" t="n">
        <f aca="false">IF(G387=0,"",F387/G387)</f>
        <v>0</v>
      </c>
      <c r="J387" s="45" t="n">
        <f aca="false">K387/L387</f>
        <v>0.2</v>
      </c>
      <c r="K387" s="38" t="n">
        <f aca="false">F387+H387</f>
        <v>1</v>
      </c>
      <c r="L387" s="38" t="n">
        <f aca="false">G387+4*H387</f>
        <v>5</v>
      </c>
      <c r="M387" s="38" t="s">
        <v>619</v>
      </c>
      <c r="N387" s="38" t="n">
        <f aca="false">ROUND(SUMIFS($J$2:$J$1137,$A$2:$A$1137,A387,$C$2:$C$1137,C387),9)</f>
        <v>1</v>
      </c>
    </row>
    <row r="388" customFormat="false" ht="15" hidden="false" customHeight="true" outlineLevel="0" collapsed="false">
      <c r="A388" s="38" t="n">
        <v>25</v>
      </c>
      <c r="B388" s="38" t="s">
        <v>643</v>
      </c>
      <c r="C388" s="38" t="s">
        <v>172</v>
      </c>
      <c r="D388" s="38" t="s">
        <v>169</v>
      </c>
      <c r="E388" s="38" t="str">
        <f aca="false">A388&amp;"|"&amp;C388&amp;"|"&amp;D388</f>
        <v>25|A|G</v>
      </c>
      <c r="F388" s="43" t="n">
        <v>1</v>
      </c>
      <c r="G388" s="38" t="n">
        <f aca="false">SUMIFS($F$2:$F$1137,$A$2:$A$1137,A388,$C$2:$C$1137,C388)</f>
        <v>1</v>
      </c>
      <c r="H388" s="43" t="n">
        <v>1</v>
      </c>
      <c r="I388" s="45" t="n">
        <f aca="false">IF(G388=0,"",F388/G388)</f>
        <v>1</v>
      </c>
      <c r="J388" s="45" t="n">
        <f aca="false">K388/L388</f>
        <v>0.4</v>
      </c>
      <c r="K388" s="38" t="n">
        <f aca="false">F388+H388</f>
        <v>2</v>
      </c>
      <c r="L388" s="38" t="n">
        <f aca="false">G388+4*H388</f>
        <v>5</v>
      </c>
      <c r="M388" s="38" t="s">
        <v>619</v>
      </c>
      <c r="N388" s="38" t="n">
        <f aca="false">ROUND(SUMIFS($J$2:$J$1137,$A$2:$A$1137,A388,$C$2:$C$1137,C388),9)</f>
        <v>1</v>
      </c>
    </row>
    <row r="389" customFormat="false" ht="15" hidden="false" customHeight="true" outlineLevel="0" collapsed="false">
      <c r="A389" s="38" t="n">
        <v>25</v>
      </c>
      <c r="B389" s="38" t="s">
        <v>643</v>
      </c>
      <c r="C389" s="38" t="s">
        <v>172</v>
      </c>
      <c r="D389" s="38" t="s">
        <v>171</v>
      </c>
      <c r="E389" s="38" t="str">
        <f aca="false">A389&amp;"|"&amp;C389&amp;"|"&amp;D389</f>
        <v>25|A|U</v>
      </c>
      <c r="F389" s="43" t="n">
        <v>0</v>
      </c>
      <c r="G389" s="38" t="n">
        <f aca="false">SUMIFS($F$2:$F$1137,$A$2:$A$1137,A389,$C$2:$C$1137,C389)</f>
        <v>1</v>
      </c>
      <c r="H389" s="43" t="n">
        <v>1</v>
      </c>
      <c r="I389" s="45" t="n">
        <f aca="false">IF(G389=0,"",F389/G389)</f>
        <v>0</v>
      </c>
      <c r="J389" s="45" t="n">
        <f aca="false">K389/L389</f>
        <v>0.2</v>
      </c>
      <c r="K389" s="38" t="n">
        <f aca="false">F389+H389</f>
        <v>1</v>
      </c>
      <c r="L389" s="38" t="n">
        <f aca="false">G389+4*H389</f>
        <v>5</v>
      </c>
      <c r="M389" s="38" t="s">
        <v>619</v>
      </c>
      <c r="N389" s="38" t="n">
        <f aca="false">ROUND(SUMIFS($J$2:$J$1137,$A$2:$A$1137,A389,$C$2:$C$1137,C389),9)</f>
        <v>1</v>
      </c>
    </row>
    <row r="390" customFormat="false" ht="15" hidden="false" customHeight="true" outlineLevel="0" collapsed="false">
      <c r="A390" s="38" t="n">
        <v>25</v>
      </c>
      <c r="B390" s="38" t="s">
        <v>643</v>
      </c>
      <c r="C390" s="38" t="s">
        <v>170</v>
      </c>
      <c r="D390" s="38" t="s">
        <v>172</v>
      </c>
      <c r="E390" s="38" t="str">
        <f aca="false">A390&amp;"|"&amp;C390&amp;"|"&amp;D390</f>
        <v>25|C|A</v>
      </c>
      <c r="F390" s="43" t="n">
        <v>76</v>
      </c>
      <c r="G390" s="38" t="n">
        <f aca="false">SUMIFS($F$2:$F$1137,$A$2:$A$1137,A390,$C$2:$C$1137,C390)</f>
        <v>177</v>
      </c>
      <c r="H390" s="43" t="n">
        <v>1</v>
      </c>
      <c r="I390" s="45" t="n">
        <f aca="false">IF(G390=0,"",F390/G390)</f>
        <v>0.429378531073446</v>
      </c>
      <c r="J390" s="45" t="n">
        <f aca="false">K390/L390</f>
        <v>0.425414364640884</v>
      </c>
      <c r="K390" s="38" t="n">
        <f aca="false">F390+H390</f>
        <v>77</v>
      </c>
      <c r="L390" s="38" t="n">
        <f aca="false">G390+4*H390</f>
        <v>181</v>
      </c>
      <c r="M390" s="38" t="s">
        <v>619</v>
      </c>
      <c r="N390" s="38" t="n">
        <f aca="false">ROUND(SUMIFS($J$2:$J$1137,$A$2:$A$1137,A390,$C$2:$C$1137,C390),9)</f>
        <v>1</v>
      </c>
    </row>
    <row r="391" customFormat="false" ht="15" hidden="false" customHeight="true" outlineLevel="0" collapsed="false">
      <c r="A391" s="38" t="n">
        <v>25</v>
      </c>
      <c r="B391" s="38" t="s">
        <v>643</v>
      </c>
      <c r="C391" s="38" t="s">
        <v>170</v>
      </c>
      <c r="D391" s="38" t="s">
        <v>170</v>
      </c>
      <c r="E391" s="38" t="str">
        <f aca="false">A391&amp;"|"&amp;C391&amp;"|"&amp;D391</f>
        <v>25|C|C</v>
      </c>
      <c r="F391" s="43" t="n">
        <v>3</v>
      </c>
      <c r="G391" s="38" t="n">
        <f aca="false">SUMIFS($F$2:$F$1137,$A$2:$A$1137,A391,$C$2:$C$1137,C391)</f>
        <v>177</v>
      </c>
      <c r="H391" s="43" t="n">
        <v>1</v>
      </c>
      <c r="I391" s="45" t="n">
        <f aca="false">IF(G391=0,"",F391/G391)</f>
        <v>0.0169491525423729</v>
      </c>
      <c r="J391" s="45" t="n">
        <f aca="false">K391/L391</f>
        <v>0.0220994475138122</v>
      </c>
      <c r="K391" s="38" t="n">
        <f aca="false">F391+H391</f>
        <v>4</v>
      </c>
      <c r="L391" s="38" t="n">
        <f aca="false">G391+4*H391</f>
        <v>181</v>
      </c>
      <c r="M391" s="38" t="s">
        <v>619</v>
      </c>
      <c r="N391" s="38" t="n">
        <f aca="false">ROUND(SUMIFS($J$2:$J$1137,$A$2:$A$1137,A391,$C$2:$C$1137,C391),9)</f>
        <v>1</v>
      </c>
    </row>
    <row r="392" customFormat="false" ht="15" hidden="false" customHeight="true" outlineLevel="0" collapsed="false">
      <c r="A392" s="38" t="n">
        <v>25</v>
      </c>
      <c r="B392" s="38" t="s">
        <v>643</v>
      </c>
      <c r="C392" s="38" t="s">
        <v>170</v>
      </c>
      <c r="D392" s="38" t="s">
        <v>169</v>
      </c>
      <c r="E392" s="38" t="str">
        <f aca="false">A392&amp;"|"&amp;C392&amp;"|"&amp;D392</f>
        <v>25|C|G</v>
      </c>
      <c r="F392" s="43" t="n">
        <v>89</v>
      </c>
      <c r="G392" s="38" t="n">
        <f aca="false">SUMIFS($F$2:$F$1137,$A$2:$A$1137,A392,$C$2:$C$1137,C392)</f>
        <v>177</v>
      </c>
      <c r="H392" s="43" t="n">
        <v>1</v>
      </c>
      <c r="I392" s="45" t="n">
        <f aca="false">IF(G392=0,"",F392/G392)</f>
        <v>0.502824858757062</v>
      </c>
      <c r="J392" s="45" t="n">
        <f aca="false">K392/L392</f>
        <v>0.497237569060774</v>
      </c>
      <c r="K392" s="38" t="n">
        <f aca="false">F392+H392</f>
        <v>90</v>
      </c>
      <c r="L392" s="38" t="n">
        <f aca="false">G392+4*H392</f>
        <v>181</v>
      </c>
      <c r="M392" s="38" t="s">
        <v>619</v>
      </c>
      <c r="N392" s="38" t="n">
        <f aca="false">ROUND(SUMIFS($J$2:$J$1137,$A$2:$A$1137,A392,$C$2:$C$1137,C392),9)</f>
        <v>1</v>
      </c>
    </row>
    <row r="393" customFormat="false" ht="15" hidden="false" customHeight="true" outlineLevel="0" collapsed="false">
      <c r="A393" s="38" t="n">
        <v>25</v>
      </c>
      <c r="B393" s="38" t="s">
        <v>643</v>
      </c>
      <c r="C393" s="38" t="s">
        <v>170</v>
      </c>
      <c r="D393" s="38" t="s">
        <v>171</v>
      </c>
      <c r="E393" s="38" t="str">
        <f aca="false">A393&amp;"|"&amp;C393&amp;"|"&amp;D393</f>
        <v>25|C|U</v>
      </c>
      <c r="F393" s="43" t="n">
        <v>9</v>
      </c>
      <c r="G393" s="38" t="n">
        <f aca="false">SUMIFS($F$2:$F$1137,$A$2:$A$1137,A393,$C$2:$C$1137,C393)</f>
        <v>177</v>
      </c>
      <c r="H393" s="43" t="n">
        <v>1</v>
      </c>
      <c r="I393" s="45" t="n">
        <f aca="false">IF(G393=0,"",F393/G393)</f>
        <v>0.0508474576271187</v>
      </c>
      <c r="J393" s="45" t="n">
        <f aca="false">K393/L393</f>
        <v>0.0552486187845304</v>
      </c>
      <c r="K393" s="38" t="n">
        <f aca="false">F393+H393</f>
        <v>10</v>
      </c>
      <c r="L393" s="38" t="n">
        <f aca="false">G393+4*H393</f>
        <v>181</v>
      </c>
      <c r="M393" s="38" t="s">
        <v>619</v>
      </c>
      <c r="N393" s="38" t="n">
        <f aca="false">ROUND(SUMIFS($J$2:$J$1137,$A$2:$A$1137,A393,$C$2:$C$1137,C393),9)</f>
        <v>1</v>
      </c>
    </row>
    <row r="394" customFormat="false" ht="15" hidden="false" customHeight="true" outlineLevel="0" collapsed="false">
      <c r="A394" s="38" t="n">
        <v>25</v>
      </c>
      <c r="B394" s="38" t="s">
        <v>643</v>
      </c>
      <c r="C394" s="38" t="s">
        <v>169</v>
      </c>
      <c r="D394" s="38" t="s">
        <v>172</v>
      </c>
      <c r="E394" s="38" t="str">
        <f aca="false">A394&amp;"|"&amp;C394&amp;"|"&amp;D394</f>
        <v>25|G|A</v>
      </c>
      <c r="F394" s="43" t="n">
        <v>5</v>
      </c>
      <c r="G394" s="38" t="n">
        <f aca="false">SUMIFS($F$2:$F$1137,$A$2:$A$1137,A394,$C$2:$C$1137,C394)</f>
        <v>7</v>
      </c>
      <c r="H394" s="43" t="n">
        <v>1</v>
      </c>
      <c r="I394" s="45" t="n">
        <f aca="false">IF(G394=0,"",F394/G394)</f>
        <v>0.714285714285714</v>
      </c>
      <c r="J394" s="45" t="n">
        <f aca="false">K394/L394</f>
        <v>0.545454545454545</v>
      </c>
      <c r="K394" s="38" t="n">
        <f aca="false">F394+H394</f>
        <v>6</v>
      </c>
      <c r="L394" s="38" t="n">
        <f aca="false">G394+4*H394</f>
        <v>11</v>
      </c>
      <c r="M394" s="38" t="s">
        <v>619</v>
      </c>
      <c r="N394" s="38" t="n">
        <f aca="false">ROUND(SUMIFS($J$2:$J$1137,$A$2:$A$1137,A394,$C$2:$C$1137,C394),9)</f>
        <v>1</v>
      </c>
    </row>
    <row r="395" customFormat="false" ht="15" hidden="false" customHeight="true" outlineLevel="0" collapsed="false">
      <c r="A395" s="38" t="n">
        <v>25</v>
      </c>
      <c r="B395" s="38" t="s">
        <v>643</v>
      </c>
      <c r="C395" s="38" t="s">
        <v>169</v>
      </c>
      <c r="D395" s="38" t="s">
        <v>170</v>
      </c>
      <c r="E395" s="38" t="str">
        <f aca="false">A395&amp;"|"&amp;C395&amp;"|"&amp;D395</f>
        <v>25|G|C</v>
      </c>
      <c r="F395" s="43" t="n">
        <v>0</v>
      </c>
      <c r="G395" s="38" t="n">
        <f aca="false">SUMIFS($F$2:$F$1137,$A$2:$A$1137,A395,$C$2:$C$1137,C395)</f>
        <v>7</v>
      </c>
      <c r="H395" s="43" t="n">
        <v>1</v>
      </c>
      <c r="I395" s="45" t="n">
        <f aca="false">IF(G395=0,"",F395/G395)</f>
        <v>0</v>
      </c>
      <c r="J395" s="45" t="n">
        <f aca="false">K395/L395</f>
        <v>0.0909090909090909</v>
      </c>
      <c r="K395" s="38" t="n">
        <f aca="false">F395+H395</f>
        <v>1</v>
      </c>
      <c r="L395" s="38" t="n">
        <f aca="false">G395+4*H395</f>
        <v>11</v>
      </c>
      <c r="M395" s="38" t="s">
        <v>619</v>
      </c>
      <c r="N395" s="38" t="n">
        <f aca="false">ROUND(SUMIFS($J$2:$J$1137,$A$2:$A$1137,A395,$C$2:$C$1137,C395),9)</f>
        <v>1</v>
      </c>
    </row>
    <row r="396" customFormat="false" ht="15" hidden="false" customHeight="true" outlineLevel="0" collapsed="false">
      <c r="A396" s="38" t="n">
        <v>25</v>
      </c>
      <c r="B396" s="38" t="s">
        <v>643</v>
      </c>
      <c r="C396" s="38" t="s">
        <v>169</v>
      </c>
      <c r="D396" s="38" t="s">
        <v>169</v>
      </c>
      <c r="E396" s="38" t="str">
        <f aca="false">A396&amp;"|"&amp;C396&amp;"|"&amp;D396</f>
        <v>25|G|G</v>
      </c>
      <c r="F396" s="43" t="n">
        <v>2</v>
      </c>
      <c r="G396" s="38" t="n">
        <f aca="false">SUMIFS($F$2:$F$1137,$A$2:$A$1137,A396,$C$2:$C$1137,C396)</f>
        <v>7</v>
      </c>
      <c r="H396" s="43" t="n">
        <v>1</v>
      </c>
      <c r="I396" s="45" t="n">
        <f aca="false">IF(G396=0,"",F396/G396)</f>
        <v>0.285714285714286</v>
      </c>
      <c r="J396" s="45" t="n">
        <f aca="false">K396/L396</f>
        <v>0.272727272727273</v>
      </c>
      <c r="K396" s="38" t="n">
        <f aca="false">F396+H396</f>
        <v>3</v>
      </c>
      <c r="L396" s="38" t="n">
        <f aca="false">G396+4*H396</f>
        <v>11</v>
      </c>
      <c r="M396" s="38" t="s">
        <v>619</v>
      </c>
      <c r="N396" s="38" t="n">
        <f aca="false">ROUND(SUMIFS($J$2:$J$1137,$A$2:$A$1137,A396,$C$2:$C$1137,C396),9)</f>
        <v>1</v>
      </c>
    </row>
    <row r="397" customFormat="false" ht="15" hidden="false" customHeight="true" outlineLevel="0" collapsed="false">
      <c r="A397" s="38" t="n">
        <v>25</v>
      </c>
      <c r="B397" s="38" t="s">
        <v>643</v>
      </c>
      <c r="C397" s="38" t="s">
        <v>169</v>
      </c>
      <c r="D397" s="38" t="s">
        <v>171</v>
      </c>
      <c r="E397" s="38" t="str">
        <f aca="false">A397&amp;"|"&amp;C397&amp;"|"&amp;D397</f>
        <v>25|G|U</v>
      </c>
      <c r="F397" s="43" t="n">
        <v>0</v>
      </c>
      <c r="G397" s="38" t="n">
        <f aca="false">SUMIFS($F$2:$F$1137,$A$2:$A$1137,A397,$C$2:$C$1137,C397)</f>
        <v>7</v>
      </c>
      <c r="H397" s="43" t="n">
        <v>1</v>
      </c>
      <c r="I397" s="45" t="n">
        <f aca="false">IF(G397=0,"",F397/G397)</f>
        <v>0</v>
      </c>
      <c r="J397" s="45" t="n">
        <f aca="false">K397/L397</f>
        <v>0.0909090909090909</v>
      </c>
      <c r="K397" s="38" t="n">
        <f aca="false">F397+H397</f>
        <v>1</v>
      </c>
      <c r="L397" s="38" t="n">
        <f aca="false">G397+4*H397</f>
        <v>11</v>
      </c>
      <c r="M397" s="38" t="s">
        <v>619</v>
      </c>
      <c r="N397" s="38" t="n">
        <f aca="false">ROUND(SUMIFS($J$2:$J$1137,$A$2:$A$1137,A397,$C$2:$C$1137,C397),9)</f>
        <v>1</v>
      </c>
    </row>
    <row r="398" customFormat="false" ht="15" hidden="false" customHeight="true" outlineLevel="0" collapsed="false">
      <c r="A398" s="38" t="n">
        <v>25</v>
      </c>
      <c r="B398" s="38" t="s">
        <v>643</v>
      </c>
      <c r="C398" s="38" t="s">
        <v>171</v>
      </c>
      <c r="D398" s="38" t="s">
        <v>172</v>
      </c>
      <c r="E398" s="38" t="str">
        <f aca="false">A398&amp;"|"&amp;C398&amp;"|"&amp;D398</f>
        <v>25|U|A</v>
      </c>
      <c r="F398" s="43" t="n">
        <v>2</v>
      </c>
      <c r="G398" s="38" t="n">
        <f aca="false">SUMIFS($F$2:$F$1137,$A$2:$A$1137,A398,$C$2:$C$1137,C398)</f>
        <v>14</v>
      </c>
      <c r="H398" s="43" t="n">
        <v>1</v>
      </c>
      <c r="I398" s="45" t="n">
        <f aca="false">IF(G398=0,"",F398/G398)</f>
        <v>0.142857142857143</v>
      </c>
      <c r="J398" s="45" t="n">
        <f aca="false">K398/L398</f>
        <v>0.166666666666667</v>
      </c>
      <c r="K398" s="38" t="n">
        <f aca="false">F398+H398</f>
        <v>3</v>
      </c>
      <c r="L398" s="38" t="n">
        <f aca="false">G398+4*H398</f>
        <v>18</v>
      </c>
      <c r="M398" s="38" t="s">
        <v>619</v>
      </c>
      <c r="N398" s="38" t="n">
        <f aca="false">ROUND(SUMIFS($J$2:$J$1137,$A$2:$A$1137,A398,$C$2:$C$1137,C398),9)</f>
        <v>1</v>
      </c>
    </row>
    <row r="399" customFormat="false" ht="15" hidden="false" customHeight="true" outlineLevel="0" collapsed="false">
      <c r="A399" s="38" t="n">
        <v>25</v>
      </c>
      <c r="B399" s="38" t="s">
        <v>643</v>
      </c>
      <c r="C399" s="38" t="s">
        <v>171</v>
      </c>
      <c r="D399" s="38" t="s">
        <v>170</v>
      </c>
      <c r="E399" s="38" t="str">
        <f aca="false">A399&amp;"|"&amp;C399&amp;"|"&amp;D399</f>
        <v>25|U|C</v>
      </c>
      <c r="F399" s="43" t="n">
        <v>2</v>
      </c>
      <c r="G399" s="38" t="n">
        <f aca="false">SUMIFS($F$2:$F$1137,$A$2:$A$1137,A399,$C$2:$C$1137,C399)</f>
        <v>14</v>
      </c>
      <c r="H399" s="43" t="n">
        <v>1</v>
      </c>
      <c r="I399" s="45" t="n">
        <f aca="false">IF(G399=0,"",F399/G399)</f>
        <v>0.142857142857143</v>
      </c>
      <c r="J399" s="45" t="n">
        <f aca="false">K399/L399</f>
        <v>0.166666666666667</v>
      </c>
      <c r="K399" s="38" t="n">
        <f aca="false">F399+H399</f>
        <v>3</v>
      </c>
      <c r="L399" s="38" t="n">
        <f aca="false">G399+4*H399</f>
        <v>18</v>
      </c>
      <c r="M399" s="38" t="s">
        <v>619</v>
      </c>
      <c r="N399" s="38" t="n">
        <f aca="false">ROUND(SUMIFS($J$2:$J$1137,$A$2:$A$1137,A399,$C$2:$C$1137,C399),9)</f>
        <v>1</v>
      </c>
    </row>
    <row r="400" customFormat="false" ht="15" hidden="false" customHeight="true" outlineLevel="0" collapsed="false">
      <c r="A400" s="38" t="n">
        <v>25</v>
      </c>
      <c r="B400" s="38" t="s">
        <v>643</v>
      </c>
      <c r="C400" s="38" t="s">
        <v>171</v>
      </c>
      <c r="D400" s="38" t="s">
        <v>169</v>
      </c>
      <c r="E400" s="38" t="str">
        <f aca="false">A400&amp;"|"&amp;C400&amp;"|"&amp;D400</f>
        <v>25|U|G</v>
      </c>
      <c r="F400" s="43" t="n">
        <v>8</v>
      </c>
      <c r="G400" s="38" t="n">
        <f aca="false">SUMIFS($F$2:$F$1137,$A$2:$A$1137,A400,$C$2:$C$1137,C400)</f>
        <v>14</v>
      </c>
      <c r="H400" s="43" t="n">
        <v>1</v>
      </c>
      <c r="I400" s="45" t="n">
        <f aca="false">IF(G400=0,"",F400/G400)</f>
        <v>0.571428571428571</v>
      </c>
      <c r="J400" s="45" t="n">
        <f aca="false">K400/L400</f>
        <v>0.5</v>
      </c>
      <c r="K400" s="38" t="n">
        <f aca="false">F400+H400</f>
        <v>9</v>
      </c>
      <c r="L400" s="38" t="n">
        <f aca="false">G400+4*H400</f>
        <v>18</v>
      </c>
      <c r="M400" s="38" t="s">
        <v>619</v>
      </c>
      <c r="N400" s="38" t="n">
        <f aca="false">ROUND(SUMIFS($J$2:$J$1137,$A$2:$A$1137,A400,$C$2:$C$1137,C400),9)</f>
        <v>1</v>
      </c>
    </row>
    <row r="401" customFormat="false" ht="15" hidden="false" customHeight="true" outlineLevel="0" collapsed="false">
      <c r="A401" s="38" t="n">
        <v>25</v>
      </c>
      <c r="B401" s="38" t="s">
        <v>643</v>
      </c>
      <c r="C401" s="38" t="s">
        <v>171</v>
      </c>
      <c r="D401" s="38" t="s">
        <v>171</v>
      </c>
      <c r="E401" s="38" t="str">
        <f aca="false">A401&amp;"|"&amp;C401&amp;"|"&amp;D401</f>
        <v>25|U|U</v>
      </c>
      <c r="F401" s="43" t="n">
        <v>2</v>
      </c>
      <c r="G401" s="38" t="n">
        <f aca="false">SUMIFS($F$2:$F$1137,$A$2:$A$1137,A401,$C$2:$C$1137,C401)</f>
        <v>14</v>
      </c>
      <c r="H401" s="43" t="n">
        <v>1</v>
      </c>
      <c r="I401" s="45" t="n">
        <f aca="false">IF(G401=0,"",F401/G401)</f>
        <v>0.142857142857143</v>
      </c>
      <c r="J401" s="45" t="n">
        <f aca="false">K401/L401</f>
        <v>0.166666666666667</v>
      </c>
      <c r="K401" s="38" t="n">
        <f aca="false">F401+H401</f>
        <v>3</v>
      </c>
      <c r="L401" s="38" t="n">
        <f aca="false">G401+4*H401</f>
        <v>18</v>
      </c>
      <c r="M401" s="38" t="s">
        <v>619</v>
      </c>
      <c r="N401" s="38" t="n">
        <f aca="false">ROUND(SUMIFS($J$2:$J$1137,$A$2:$A$1137,A401,$C$2:$C$1137,C401),9)</f>
        <v>1</v>
      </c>
    </row>
    <row r="402" customFormat="false" ht="15" hidden="false" customHeight="true" outlineLevel="0" collapsed="false">
      <c r="A402" s="38" t="n">
        <v>26</v>
      </c>
      <c r="B402" s="38" t="s">
        <v>644</v>
      </c>
      <c r="C402" s="38" t="s">
        <v>172</v>
      </c>
      <c r="D402" s="38" t="s">
        <v>172</v>
      </c>
      <c r="E402" s="38" t="str">
        <f aca="false">A402&amp;"|"&amp;C402&amp;"|"&amp;D402</f>
        <v>26|A|A</v>
      </c>
      <c r="F402" s="43" t="n">
        <v>15</v>
      </c>
      <c r="G402" s="38" t="n">
        <f aca="false">SUMIFS($F$2:$F$1137,$A$2:$A$1137,A402,$C$2:$C$1137,C402)</f>
        <v>83</v>
      </c>
      <c r="H402" s="43" t="n">
        <v>1</v>
      </c>
      <c r="I402" s="45" t="n">
        <f aca="false">IF(G402=0,"",F402/G402)</f>
        <v>0.180722891566265</v>
      </c>
      <c r="J402" s="45" t="n">
        <f aca="false">K402/L402</f>
        <v>0.183908045977012</v>
      </c>
      <c r="K402" s="38" t="n">
        <f aca="false">F402+H402</f>
        <v>16</v>
      </c>
      <c r="L402" s="38" t="n">
        <f aca="false">G402+4*H402</f>
        <v>87</v>
      </c>
      <c r="M402" s="38" t="s">
        <v>619</v>
      </c>
      <c r="N402" s="38" t="n">
        <f aca="false">ROUND(SUMIFS($J$2:$J$1137,$A$2:$A$1137,A402,$C$2:$C$1137,C402),9)</f>
        <v>1</v>
      </c>
    </row>
    <row r="403" customFormat="false" ht="15" hidden="false" customHeight="true" outlineLevel="0" collapsed="false">
      <c r="A403" s="38" t="n">
        <v>26</v>
      </c>
      <c r="B403" s="38" t="s">
        <v>644</v>
      </c>
      <c r="C403" s="38" t="s">
        <v>172</v>
      </c>
      <c r="D403" s="38" t="s">
        <v>170</v>
      </c>
      <c r="E403" s="38" t="str">
        <f aca="false">A403&amp;"|"&amp;C403&amp;"|"&amp;D403</f>
        <v>26|A|C</v>
      </c>
      <c r="F403" s="43" t="n">
        <v>31</v>
      </c>
      <c r="G403" s="38" t="n">
        <f aca="false">SUMIFS($F$2:$F$1137,$A$2:$A$1137,A403,$C$2:$C$1137,C403)</f>
        <v>83</v>
      </c>
      <c r="H403" s="43" t="n">
        <v>1</v>
      </c>
      <c r="I403" s="45" t="n">
        <f aca="false">IF(G403=0,"",F403/G403)</f>
        <v>0.373493975903614</v>
      </c>
      <c r="J403" s="45" t="n">
        <f aca="false">K403/L403</f>
        <v>0.367816091954023</v>
      </c>
      <c r="K403" s="38" t="n">
        <f aca="false">F403+H403</f>
        <v>32</v>
      </c>
      <c r="L403" s="38" t="n">
        <f aca="false">G403+4*H403</f>
        <v>87</v>
      </c>
      <c r="M403" s="38" t="s">
        <v>619</v>
      </c>
      <c r="N403" s="38" t="n">
        <f aca="false">ROUND(SUMIFS($J$2:$J$1137,$A$2:$A$1137,A403,$C$2:$C$1137,C403),9)</f>
        <v>1</v>
      </c>
    </row>
    <row r="404" customFormat="false" ht="15" hidden="false" customHeight="true" outlineLevel="0" collapsed="false">
      <c r="A404" s="38" t="n">
        <v>26</v>
      </c>
      <c r="B404" s="38" t="s">
        <v>644</v>
      </c>
      <c r="C404" s="38" t="s">
        <v>172</v>
      </c>
      <c r="D404" s="38" t="s">
        <v>169</v>
      </c>
      <c r="E404" s="38" t="str">
        <f aca="false">A404&amp;"|"&amp;C404&amp;"|"&amp;D404</f>
        <v>26|A|G</v>
      </c>
      <c r="F404" s="43" t="n">
        <v>13</v>
      </c>
      <c r="G404" s="38" t="n">
        <f aca="false">SUMIFS($F$2:$F$1137,$A$2:$A$1137,A404,$C$2:$C$1137,C404)</f>
        <v>83</v>
      </c>
      <c r="H404" s="43" t="n">
        <v>1</v>
      </c>
      <c r="I404" s="45" t="n">
        <f aca="false">IF(G404=0,"",F404/G404)</f>
        <v>0.156626506024096</v>
      </c>
      <c r="J404" s="45" t="n">
        <f aca="false">K404/L404</f>
        <v>0.160919540229885</v>
      </c>
      <c r="K404" s="38" t="n">
        <f aca="false">F404+H404</f>
        <v>14</v>
      </c>
      <c r="L404" s="38" t="n">
        <f aca="false">G404+4*H404</f>
        <v>87</v>
      </c>
      <c r="M404" s="38" t="s">
        <v>619</v>
      </c>
      <c r="N404" s="38" t="n">
        <f aca="false">ROUND(SUMIFS($J$2:$J$1137,$A$2:$A$1137,A404,$C$2:$C$1137,C404),9)</f>
        <v>1</v>
      </c>
    </row>
    <row r="405" customFormat="false" ht="15" hidden="false" customHeight="true" outlineLevel="0" collapsed="false">
      <c r="A405" s="38" t="n">
        <v>26</v>
      </c>
      <c r="B405" s="38" t="s">
        <v>644</v>
      </c>
      <c r="C405" s="38" t="s">
        <v>172</v>
      </c>
      <c r="D405" s="38" t="s">
        <v>171</v>
      </c>
      <c r="E405" s="38" t="str">
        <f aca="false">A405&amp;"|"&amp;C405&amp;"|"&amp;D405</f>
        <v>26|A|U</v>
      </c>
      <c r="F405" s="43" t="n">
        <v>24</v>
      </c>
      <c r="G405" s="38" t="n">
        <f aca="false">SUMIFS($F$2:$F$1137,$A$2:$A$1137,A405,$C$2:$C$1137,C405)</f>
        <v>83</v>
      </c>
      <c r="H405" s="43" t="n">
        <v>1</v>
      </c>
      <c r="I405" s="45" t="n">
        <f aca="false">IF(G405=0,"",F405/G405)</f>
        <v>0.289156626506024</v>
      </c>
      <c r="J405" s="45" t="n">
        <f aca="false">K405/L405</f>
        <v>0.28735632183908</v>
      </c>
      <c r="K405" s="38" t="n">
        <f aca="false">F405+H405</f>
        <v>25</v>
      </c>
      <c r="L405" s="38" t="n">
        <f aca="false">G405+4*H405</f>
        <v>87</v>
      </c>
      <c r="M405" s="38" t="s">
        <v>619</v>
      </c>
      <c r="N405" s="38" t="n">
        <f aca="false">ROUND(SUMIFS($J$2:$J$1137,$A$2:$A$1137,A405,$C$2:$C$1137,C405),9)</f>
        <v>1</v>
      </c>
    </row>
    <row r="406" customFormat="false" ht="15" hidden="false" customHeight="true" outlineLevel="0" collapsed="false">
      <c r="A406" s="38" t="n">
        <v>26</v>
      </c>
      <c r="B406" s="38" t="s">
        <v>644</v>
      </c>
      <c r="C406" s="38" t="s">
        <v>170</v>
      </c>
      <c r="D406" s="38" t="s">
        <v>172</v>
      </c>
      <c r="E406" s="38" t="str">
        <f aca="false">A406&amp;"|"&amp;C406&amp;"|"&amp;D406</f>
        <v>26|C|A</v>
      </c>
      <c r="F406" s="43" t="n">
        <v>0</v>
      </c>
      <c r="G406" s="38" t="n">
        <f aca="false">SUMIFS($F$2:$F$1137,$A$2:$A$1137,A406,$C$2:$C$1137,C406)</f>
        <v>5</v>
      </c>
      <c r="H406" s="43" t="n">
        <v>1</v>
      </c>
      <c r="I406" s="45" t="n">
        <f aca="false">IF(G406=0,"",F406/G406)</f>
        <v>0</v>
      </c>
      <c r="J406" s="45" t="n">
        <f aca="false">K406/L406</f>
        <v>0.111111111111111</v>
      </c>
      <c r="K406" s="38" t="n">
        <f aca="false">F406+H406</f>
        <v>1</v>
      </c>
      <c r="L406" s="38" t="n">
        <f aca="false">G406+4*H406</f>
        <v>9</v>
      </c>
      <c r="M406" s="38" t="s">
        <v>619</v>
      </c>
      <c r="N406" s="38" t="n">
        <f aca="false">ROUND(SUMIFS($J$2:$J$1137,$A$2:$A$1137,A406,$C$2:$C$1137,C406),9)</f>
        <v>1</v>
      </c>
    </row>
    <row r="407" customFormat="false" ht="15" hidden="false" customHeight="true" outlineLevel="0" collapsed="false">
      <c r="A407" s="38" t="n">
        <v>26</v>
      </c>
      <c r="B407" s="38" t="s">
        <v>644</v>
      </c>
      <c r="C407" s="38" t="s">
        <v>170</v>
      </c>
      <c r="D407" s="38" t="s">
        <v>170</v>
      </c>
      <c r="E407" s="38" t="str">
        <f aca="false">A407&amp;"|"&amp;C407&amp;"|"&amp;D407</f>
        <v>26|C|C</v>
      </c>
      <c r="F407" s="43" t="n">
        <v>2</v>
      </c>
      <c r="G407" s="38" t="n">
        <f aca="false">SUMIFS($F$2:$F$1137,$A$2:$A$1137,A407,$C$2:$C$1137,C407)</f>
        <v>5</v>
      </c>
      <c r="H407" s="43" t="n">
        <v>1</v>
      </c>
      <c r="I407" s="45" t="n">
        <f aca="false">IF(G407=0,"",F407/G407)</f>
        <v>0.4</v>
      </c>
      <c r="J407" s="45" t="n">
        <f aca="false">K407/L407</f>
        <v>0.333333333333333</v>
      </c>
      <c r="K407" s="38" t="n">
        <f aca="false">F407+H407</f>
        <v>3</v>
      </c>
      <c r="L407" s="38" t="n">
        <f aca="false">G407+4*H407</f>
        <v>9</v>
      </c>
      <c r="M407" s="38" t="s">
        <v>619</v>
      </c>
      <c r="N407" s="38" t="n">
        <f aca="false">ROUND(SUMIFS($J$2:$J$1137,$A$2:$A$1137,A407,$C$2:$C$1137,C407),9)</f>
        <v>1</v>
      </c>
    </row>
    <row r="408" customFormat="false" ht="15" hidden="false" customHeight="true" outlineLevel="0" collapsed="false">
      <c r="A408" s="38" t="n">
        <v>26</v>
      </c>
      <c r="B408" s="38" t="s">
        <v>644</v>
      </c>
      <c r="C408" s="38" t="s">
        <v>170</v>
      </c>
      <c r="D408" s="38" t="s">
        <v>169</v>
      </c>
      <c r="E408" s="38" t="str">
        <f aca="false">A408&amp;"|"&amp;C408&amp;"|"&amp;D408</f>
        <v>26|C|G</v>
      </c>
      <c r="F408" s="43" t="n">
        <v>1</v>
      </c>
      <c r="G408" s="38" t="n">
        <f aca="false">SUMIFS($F$2:$F$1137,$A$2:$A$1137,A408,$C$2:$C$1137,C408)</f>
        <v>5</v>
      </c>
      <c r="H408" s="43" t="n">
        <v>1</v>
      </c>
      <c r="I408" s="45" t="n">
        <f aca="false">IF(G408=0,"",F408/G408)</f>
        <v>0.2</v>
      </c>
      <c r="J408" s="45" t="n">
        <f aca="false">K408/L408</f>
        <v>0.222222222222222</v>
      </c>
      <c r="K408" s="38" t="n">
        <f aca="false">F408+H408</f>
        <v>2</v>
      </c>
      <c r="L408" s="38" t="n">
        <f aca="false">G408+4*H408</f>
        <v>9</v>
      </c>
      <c r="M408" s="38" t="s">
        <v>619</v>
      </c>
      <c r="N408" s="38" t="n">
        <f aca="false">ROUND(SUMIFS($J$2:$J$1137,$A$2:$A$1137,A408,$C$2:$C$1137,C408),9)</f>
        <v>1</v>
      </c>
    </row>
    <row r="409" customFormat="false" ht="15" hidden="false" customHeight="true" outlineLevel="0" collapsed="false">
      <c r="A409" s="38" t="n">
        <v>26</v>
      </c>
      <c r="B409" s="38" t="s">
        <v>644</v>
      </c>
      <c r="C409" s="38" t="s">
        <v>170</v>
      </c>
      <c r="D409" s="38" t="s">
        <v>171</v>
      </c>
      <c r="E409" s="38" t="str">
        <f aca="false">A409&amp;"|"&amp;C409&amp;"|"&amp;D409</f>
        <v>26|C|U</v>
      </c>
      <c r="F409" s="43" t="n">
        <v>2</v>
      </c>
      <c r="G409" s="38" t="n">
        <f aca="false">SUMIFS($F$2:$F$1137,$A$2:$A$1137,A409,$C$2:$C$1137,C409)</f>
        <v>5</v>
      </c>
      <c r="H409" s="43" t="n">
        <v>1</v>
      </c>
      <c r="I409" s="45" t="n">
        <f aca="false">IF(G409=0,"",F409/G409)</f>
        <v>0.4</v>
      </c>
      <c r="J409" s="45" t="n">
        <f aca="false">K409/L409</f>
        <v>0.333333333333333</v>
      </c>
      <c r="K409" s="38" t="n">
        <f aca="false">F409+H409</f>
        <v>3</v>
      </c>
      <c r="L409" s="38" t="n">
        <f aca="false">G409+4*H409</f>
        <v>9</v>
      </c>
      <c r="M409" s="38" t="s">
        <v>619</v>
      </c>
      <c r="N409" s="38" t="n">
        <f aca="false">ROUND(SUMIFS($J$2:$J$1137,$A$2:$A$1137,A409,$C$2:$C$1137,C409),9)</f>
        <v>1</v>
      </c>
    </row>
    <row r="410" customFormat="false" ht="15" hidden="false" customHeight="true" outlineLevel="0" collapsed="false">
      <c r="A410" s="38" t="n">
        <v>26</v>
      </c>
      <c r="B410" s="38" t="s">
        <v>644</v>
      </c>
      <c r="C410" s="38" t="s">
        <v>169</v>
      </c>
      <c r="D410" s="38" t="s">
        <v>172</v>
      </c>
      <c r="E410" s="38" t="str">
        <f aca="false">A410&amp;"|"&amp;C410&amp;"|"&amp;D410</f>
        <v>26|G|A</v>
      </c>
      <c r="F410" s="43" t="n">
        <v>8</v>
      </c>
      <c r="G410" s="38" t="n">
        <f aca="false">SUMIFS($F$2:$F$1137,$A$2:$A$1137,A410,$C$2:$C$1137,C410)</f>
        <v>100</v>
      </c>
      <c r="H410" s="43" t="n">
        <v>1</v>
      </c>
      <c r="I410" s="45" t="n">
        <f aca="false">IF(G410=0,"",F410/G410)</f>
        <v>0.08</v>
      </c>
      <c r="J410" s="45" t="n">
        <f aca="false">K410/L410</f>
        <v>0.0865384615384615</v>
      </c>
      <c r="K410" s="38" t="n">
        <f aca="false">F410+H410</f>
        <v>9</v>
      </c>
      <c r="L410" s="38" t="n">
        <f aca="false">G410+4*H410</f>
        <v>104</v>
      </c>
      <c r="M410" s="38" t="s">
        <v>619</v>
      </c>
      <c r="N410" s="38" t="n">
        <f aca="false">ROUND(SUMIFS($J$2:$J$1137,$A$2:$A$1137,A410,$C$2:$C$1137,C410),9)</f>
        <v>1</v>
      </c>
    </row>
    <row r="411" customFormat="false" ht="15" hidden="false" customHeight="true" outlineLevel="0" collapsed="false">
      <c r="A411" s="38" t="n">
        <v>26</v>
      </c>
      <c r="B411" s="38" t="s">
        <v>644</v>
      </c>
      <c r="C411" s="38" t="s">
        <v>169</v>
      </c>
      <c r="D411" s="38" t="s">
        <v>170</v>
      </c>
      <c r="E411" s="38" t="str">
        <f aca="false">A411&amp;"|"&amp;C411&amp;"|"&amp;D411</f>
        <v>26|G|C</v>
      </c>
      <c r="F411" s="43" t="n">
        <v>54</v>
      </c>
      <c r="G411" s="38" t="n">
        <f aca="false">SUMIFS($F$2:$F$1137,$A$2:$A$1137,A411,$C$2:$C$1137,C411)</f>
        <v>100</v>
      </c>
      <c r="H411" s="43" t="n">
        <v>1</v>
      </c>
      <c r="I411" s="45" t="n">
        <f aca="false">IF(G411=0,"",F411/G411)</f>
        <v>0.54</v>
      </c>
      <c r="J411" s="45" t="n">
        <f aca="false">K411/L411</f>
        <v>0.528846153846154</v>
      </c>
      <c r="K411" s="38" t="n">
        <f aca="false">F411+H411</f>
        <v>55</v>
      </c>
      <c r="L411" s="38" t="n">
        <f aca="false">G411+4*H411</f>
        <v>104</v>
      </c>
      <c r="M411" s="38" t="s">
        <v>619</v>
      </c>
      <c r="N411" s="38" t="n">
        <f aca="false">ROUND(SUMIFS($J$2:$J$1137,$A$2:$A$1137,A411,$C$2:$C$1137,C411),9)</f>
        <v>1</v>
      </c>
    </row>
    <row r="412" customFormat="false" ht="15" hidden="false" customHeight="true" outlineLevel="0" collapsed="false">
      <c r="A412" s="38" t="n">
        <v>26</v>
      </c>
      <c r="B412" s="38" t="s">
        <v>644</v>
      </c>
      <c r="C412" s="38" t="s">
        <v>169</v>
      </c>
      <c r="D412" s="38" t="s">
        <v>169</v>
      </c>
      <c r="E412" s="38" t="str">
        <f aca="false">A412&amp;"|"&amp;C412&amp;"|"&amp;D412</f>
        <v>26|G|G</v>
      </c>
      <c r="F412" s="43" t="n">
        <v>16</v>
      </c>
      <c r="G412" s="38" t="n">
        <f aca="false">SUMIFS($F$2:$F$1137,$A$2:$A$1137,A412,$C$2:$C$1137,C412)</f>
        <v>100</v>
      </c>
      <c r="H412" s="43" t="n">
        <v>1</v>
      </c>
      <c r="I412" s="45" t="n">
        <f aca="false">IF(G412=0,"",F412/G412)</f>
        <v>0.16</v>
      </c>
      <c r="J412" s="45" t="n">
        <f aca="false">K412/L412</f>
        <v>0.163461538461538</v>
      </c>
      <c r="K412" s="38" t="n">
        <f aca="false">F412+H412</f>
        <v>17</v>
      </c>
      <c r="L412" s="38" t="n">
        <f aca="false">G412+4*H412</f>
        <v>104</v>
      </c>
      <c r="M412" s="38" t="s">
        <v>619</v>
      </c>
      <c r="N412" s="38" t="n">
        <f aca="false">ROUND(SUMIFS($J$2:$J$1137,$A$2:$A$1137,A412,$C$2:$C$1137,C412),9)</f>
        <v>1</v>
      </c>
    </row>
    <row r="413" customFormat="false" ht="15" hidden="false" customHeight="true" outlineLevel="0" collapsed="false">
      <c r="A413" s="38" t="n">
        <v>26</v>
      </c>
      <c r="B413" s="38" t="s">
        <v>644</v>
      </c>
      <c r="C413" s="38" t="s">
        <v>169</v>
      </c>
      <c r="D413" s="38" t="s">
        <v>171</v>
      </c>
      <c r="E413" s="38" t="str">
        <f aca="false">A413&amp;"|"&amp;C413&amp;"|"&amp;D413</f>
        <v>26|G|U</v>
      </c>
      <c r="F413" s="43" t="n">
        <v>22</v>
      </c>
      <c r="G413" s="38" t="n">
        <f aca="false">SUMIFS($F$2:$F$1137,$A$2:$A$1137,A413,$C$2:$C$1137,C413)</f>
        <v>100</v>
      </c>
      <c r="H413" s="43" t="n">
        <v>1</v>
      </c>
      <c r="I413" s="45" t="n">
        <f aca="false">IF(G413=0,"",F413/G413)</f>
        <v>0.22</v>
      </c>
      <c r="J413" s="45" t="n">
        <f aca="false">K413/L413</f>
        <v>0.221153846153846</v>
      </c>
      <c r="K413" s="38" t="n">
        <f aca="false">F413+H413</f>
        <v>23</v>
      </c>
      <c r="L413" s="38" t="n">
        <f aca="false">G413+4*H413</f>
        <v>104</v>
      </c>
      <c r="M413" s="38" t="s">
        <v>619</v>
      </c>
      <c r="N413" s="38" t="n">
        <f aca="false">ROUND(SUMIFS($J$2:$J$1137,$A$2:$A$1137,A413,$C$2:$C$1137,C413),9)</f>
        <v>1</v>
      </c>
    </row>
    <row r="414" customFormat="false" ht="15" hidden="false" customHeight="true" outlineLevel="0" collapsed="false">
      <c r="A414" s="38" t="n">
        <v>26</v>
      </c>
      <c r="B414" s="38" t="s">
        <v>644</v>
      </c>
      <c r="C414" s="38" t="s">
        <v>171</v>
      </c>
      <c r="D414" s="38" t="s">
        <v>172</v>
      </c>
      <c r="E414" s="38" t="str">
        <f aca="false">A414&amp;"|"&amp;C414&amp;"|"&amp;D414</f>
        <v>26|U|A</v>
      </c>
      <c r="F414" s="43" t="n">
        <v>1</v>
      </c>
      <c r="G414" s="38" t="n">
        <f aca="false">SUMIFS($F$2:$F$1137,$A$2:$A$1137,A414,$C$2:$C$1137,C414)</f>
        <v>11</v>
      </c>
      <c r="H414" s="43" t="n">
        <v>1</v>
      </c>
      <c r="I414" s="45" t="n">
        <f aca="false">IF(G414=0,"",F414/G414)</f>
        <v>0.0909090909090909</v>
      </c>
      <c r="J414" s="45" t="n">
        <f aca="false">K414/L414</f>
        <v>0.133333333333333</v>
      </c>
      <c r="K414" s="38" t="n">
        <f aca="false">F414+H414</f>
        <v>2</v>
      </c>
      <c r="L414" s="38" t="n">
        <f aca="false">G414+4*H414</f>
        <v>15</v>
      </c>
      <c r="M414" s="38" t="s">
        <v>619</v>
      </c>
      <c r="N414" s="38" t="n">
        <f aca="false">ROUND(SUMIFS($J$2:$J$1137,$A$2:$A$1137,A414,$C$2:$C$1137,C414),9)</f>
        <v>1</v>
      </c>
    </row>
    <row r="415" customFormat="false" ht="15" hidden="false" customHeight="true" outlineLevel="0" collapsed="false">
      <c r="A415" s="38" t="n">
        <v>26</v>
      </c>
      <c r="B415" s="38" t="s">
        <v>644</v>
      </c>
      <c r="C415" s="38" t="s">
        <v>171</v>
      </c>
      <c r="D415" s="38" t="s">
        <v>170</v>
      </c>
      <c r="E415" s="38" t="str">
        <f aca="false">A415&amp;"|"&amp;C415&amp;"|"&amp;D415</f>
        <v>26|U|C</v>
      </c>
      <c r="F415" s="43" t="n">
        <v>6</v>
      </c>
      <c r="G415" s="38" t="n">
        <f aca="false">SUMIFS($F$2:$F$1137,$A$2:$A$1137,A415,$C$2:$C$1137,C415)</f>
        <v>11</v>
      </c>
      <c r="H415" s="43" t="n">
        <v>1</v>
      </c>
      <c r="I415" s="45" t="n">
        <f aca="false">IF(G415=0,"",F415/G415)</f>
        <v>0.545454545454545</v>
      </c>
      <c r="J415" s="45" t="n">
        <f aca="false">K415/L415</f>
        <v>0.466666666666667</v>
      </c>
      <c r="K415" s="38" t="n">
        <f aca="false">F415+H415</f>
        <v>7</v>
      </c>
      <c r="L415" s="38" t="n">
        <f aca="false">G415+4*H415</f>
        <v>15</v>
      </c>
      <c r="M415" s="38" t="s">
        <v>619</v>
      </c>
      <c r="N415" s="38" t="n">
        <f aca="false">ROUND(SUMIFS($J$2:$J$1137,$A$2:$A$1137,A415,$C$2:$C$1137,C415),9)</f>
        <v>1</v>
      </c>
    </row>
    <row r="416" customFormat="false" ht="15" hidden="false" customHeight="true" outlineLevel="0" collapsed="false">
      <c r="A416" s="38" t="n">
        <v>26</v>
      </c>
      <c r="B416" s="38" t="s">
        <v>644</v>
      </c>
      <c r="C416" s="38" t="s">
        <v>171</v>
      </c>
      <c r="D416" s="38" t="s">
        <v>169</v>
      </c>
      <c r="E416" s="38" t="str">
        <f aca="false">A416&amp;"|"&amp;C416&amp;"|"&amp;D416</f>
        <v>26|U|G</v>
      </c>
      <c r="F416" s="43" t="n">
        <v>1</v>
      </c>
      <c r="G416" s="38" t="n">
        <f aca="false">SUMIFS($F$2:$F$1137,$A$2:$A$1137,A416,$C$2:$C$1137,C416)</f>
        <v>11</v>
      </c>
      <c r="H416" s="43" t="n">
        <v>1</v>
      </c>
      <c r="I416" s="45" t="n">
        <f aca="false">IF(G416=0,"",F416/G416)</f>
        <v>0.0909090909090909</v>
      </c>
      <c r="J416" s="45" t="n">
        <f aca="false">K416/L416</f>
        <v>0.133333333333333</v>
      </c>
      <c r="K416" s="38" t="n">
        <f aca="false">F416+H416</f>
        <v>2</v>
      </c>
      <c r="L416" s="38" t="n">
        <f aca="false">G416+4*H416</f>
        <v>15</v>
      </c>
      <c r="M416" s="38" t="s">
        <v>619</v>
      </c>
      <c r="N416" s="38" t="n">
        <f aca="false">ROUND(SUMIFS($J$2:$J$1137,$A$2:$A$1137,A416,$C$2:$C$1137,C416),9)</f>
        <v>1</v>
      </c>
    </row>
    <row r="417" customFormat="false" ht="15" hidden="false" customHeight="true" outlineLevel="0" collapsed="false">
      <c r="A417" s="38" t="n">
        <v>26</v>
      </c>
      <c r="B417" s="38" t="s">
        <v>644</v>
      </c>
      <c r="C417" s="38" t="s">
        <v>171</v>
      </c>
      <c r="D417" s="38" t="s">
        <v>171</v>
      </c>
      <c r="E417" s="38" t="str">
        <f aca="false">A417&amp;"|"&amp;C417&amp;"|"&amp;D417</f>
        <v>26|U|U</v>
      </c>
      <c r="F417" s="43" t="n">
        <v>3</v>
      </c>
      <c r="G417" s="38" t="n">
        <f aca="false">SUMIFS($F$2:$F$1137,$A$2:$A$1137,A417,$C$2:$C$1137,C417)</f>
        <v>11</v>
      </c>
      <c r="H417" s="43" t="n">
        <v>1</v>
      </c>
      <c r="I417" s="45" t="n">
        <f aca="false">IF(G417=0,"",F417/G417)</f>
        <v>0.272727272727273</v>
      </c>
      <c r="J417" s="45" t="n">
        <f aca="false">K417/L417</f>
        <v>0.266666666666667</v>
      </c>
      <c r="K417" s="38" t="n">
        <f aca="false">F417+H417</f>
        <v>4</v>
      </c>
      <c r="L417" s="38" t="n">
        <f aca="false">G417+4*H417</f>
        <v>15</v>
      </c>
      <c r="M417" s="38" t="s">
        <v>619</v>
      </c>
      <c r="N417" s="38" t="n">
        <f aca="false">ROUND(SUMIFS($J$2:$J$1137,$A$2:$A$1137,A417,$C$2:$C$1137,C417),9)</f>
        <v>1</v>
      </c>
    </row>
    <row r="418" customFormat="false" ht="15" hidden="false" customHeight="true" outlineLevel="0" collapsed="false">
      <c r="A418" s="38" t="n">
        <v>27</v>
      </c>
      <c r="B418" s="38" t="s">
        <v>645</v>
      </c>
      <c r="C418" s="38" t="s">
        <v>172</v>
      </c>
      <c r="D418" s="38" t="s">
        <v>172</v>
      </c>
      <c r="E418" s="38" t="str">
        <f aca="false">A418&amp;"|"&amp;C418&amp;"|"&amp;D418</f>
        <v>27|A|A</v>
      </c>
      <c r="F418" s="43" t="n">
        <v>2</v>
      </c>
      <c r="G418" s="38" t="n">
        <f aca="false">SUMIFS($F$2:$F$1137,$A$2:$A$1137,A418,$C$2:$C$1137,C418)</f>
        <v>24</v>
      </c>
      <c r="H418" s="43" t="n">
        <v>1</v>
      </c>
      <c r="I418" s="45" t="n">
        <f aca="false">IF(G418=0,"",F418/G418)</f>
        <v>0.0833333333333333</v>
      </c>
      <c r="J418" s="45" t="n">
        <f aca="false">K418/L418</f>
        <v>0.107142857142857</v>
      </c>
      <c r="K418" s="38" t="n">
        <f aca="false">F418+H418</f>
        <v>3</v>
      </c>
      <c r="L418" s="38" t="n">
        <f aca="false">G418+4*H418</f>
        <v>28</v>
      </c>
      <c r="M418" s="38" t="s">
        <v>619</v>
      </c>
      <c r="N418" s="38" t="n">
        <f aca="false">ROUND(SUMIFS($J$2:$J$1137,$A$2:$A$1137,A418,$C$2:$C$1137,C418),9)</f>
        <v>1</v>
      </c>
    </row>
    <row r="419" customFormat="false" ht="15" hidden="false" customHeight="true" outlineLevel="0" collapsed="false">
      <c r="A419" s="38" t="n">
        <v>27</v>
      </c>
      <c r="B419" s="38" t="s">
        <v>645</v>
      </c>
      <c r="C419" s="38" t="s">
        <v>172</v>
      </c>
      <c r="D419" s="38" t="s">
        <v>170</v>
      </c>
      <c r="E419" s="38" t="str">
        <f aca="false">A419&amp;"|"&amp;C419&amp;"|"&amp;D419</f>
        <v>27|A|C</v>
      </c>
      <c r="F419" s="43" t="n">
        <v>14</v>
      </c>
      <c r="G419" s="38" t="n">
        <f aca="false">SUMIFS($F$2:$F$1137,$A$2:$A$1137,A419,$C$2:$C$1137,C419)</f>
        <v>24</v>
      </c>
      <c r="H419" s="43" t="n">
        <v>1</v>
      </c>
      <c r="I419" s="45" t="n">
        <f aca="false">IF(G419=0,"",F419/G419)</f>
        <v>0.583333333333333</v>
      </c>
      <c r="J419" s="45" t="n">
        <f aca="false">K419/L419</f>
        <v>0.535714285714286</v>
      </c>
      <c r="K419" s="38" t="n">
        <f aca="false">F419+H419</f>
        <v>15</v>
      </c>
      <c r="L419" s="38" t="n">
        <f aca="false">G419+4*H419</f>
        <v>28</v>
      </c>
      <c r="M419" s="38" t="s">
        <v>619</v>
      </c>
      <c r="N419" s="38" t="n">
        <f aca="false">ROUND(SUMIFS($J$2:$J$1137,$A$2:$A$1137,A419,$C$2:$C$1137,C419),9)</f>
        <v>1</v>
      </c>
    </row>
    <row r="420" customFormat="false" ht="15" hidden="false" customHeight="true" outlineLevel="0" collapsed="false">
      <c r="A420" s="38" t="n">
        <v>27</v>
      </c>
      <c r="B420" s="38" t="s">
        <v>645</v>
      </c>
      <c r="C420" s="38" t="s">
        <v>172</v>
      </c>
      <c r="D420" s="38" t="s">
        <v>169</v>
      </c>
      <c r="E420" s="38" t="str">
        <f aca="false">A420&amp;"|"&amp;C420&amp;"|"&amp;D420</f>
        <v>27|A|G</v>
      </c>
      <c r="F420" s="43" t="n">
        <v>3</v>
      </c>
      <c r="G420" s="38" t="n">
        <f aca="false">SUMIFS($F$2:$F$1137,$A$2:$A$1137,A420,$C$2:$C$1137,C420)</f>
        <v>24</v>
      </c>
      <c r="H420" s="43" t="n">
        <v>1</v>
      </c>
      <c r="I420" s="45" t="n">
        <f aca="false">IF(G420=0,"",F420/G420)</f>
        <v>0.125</v>
      </c>
      <c r="J420" s="45" t="n">
        <f aca="false">K420/L420</f>
        <v>0.142857142857143</v>
      </c>
      <c r="K420" s="38" t="n">
        <f aca="false">F420+H420</f>
        <v>4</v>
      </c>
      <c r="L420" s="38" t="n">
        <f aca="false">G420+4*H420</f>
        <v>28</v>
      </c>
      <c r="M420" s="38" t="s">
        <v>619</v>
      </c>
      <c r="N420" s="38" t="n">
        <f aca="false">ROUND(SUMIFS($J$2:$J$1137,$A$2:$A$1137,A420,$C$2:$C$1137,C420),9)</f>
        <v>1</v>
      </c>
    </row>
    <row r="421" customFormat="false" ht="15" hidden="false" customHeight="true" outlineLevel="0" collapsed="false">
      <c r="A421" s="38" t="n">
        <v>27</v>
      </c>
      <c r="B421" s="38" t="s">
        <v>645</v>
      </c>
      <c r="C421" s="38" t="s">
        <v>172</v>
      </c>
      <c r="D421" s="38" t="s">
        <v>171</v>
      </c>
      <c r="E421" s="38" t="str">
        <f aca="false">A421&amp;"|"&amp;C421&amp;"|"&amp;D421</f>
        <v>27|A|U</v>
      </c>
      <c r="F421" s="43" t="n">
        <v>5</v>
      </c>
      <c r="G421" s="38" t="n">
        <f aca="false">SUMIFS($F$2:$F$1137,$A$2:$A$1137,A421,$C$2:$C$1137,C421)</f>
        <v>24</v>
      </c>
      <c r="H421" s="43" t="n">
        <v>1</v>
      </c>
      <c r="I421" s="45" t="n">
        <f aca="false">IF(G421=0,"",F421/G421)</f>
        <v>0.208333333333333</v>
      </c>
      <c r="J421" s="45" t="n">
        <f aca="false">K421/L421</f>
        <v>0.214285714285714</v>
      </c>
      <c r="K421" s="38" t="n">
        <f aca="false">F421+H421</f>
        <v>6</v>
      </c>
      <c r="L421" s="38" t="n">
        <f aca="false">G421+4*H421</f>
        <v>28</v>
      </c>
      <c r="M421" s="38" t="s">
        <v>619</v>
      </c>
      <c r="N421" s="38" t="n">
        <f aca="false">ROUND(SUMIFS($J$2:$J$1137,$A$2:$A$1137,A421,$C$2:$C$1137,C421),9)</f>
        <v>1</v>
      </c>
    </row>
    <row r="422" customFormat="false" ht="15" hidden="false" customHeight="true" outlineLevel="0" collapsed="false">
      <c r="A422" s="38" t="n">
        <v>27</v>
      </c>
      <c r="B422" s="38" t="s">
        <v>645</v>
      </c>
      <c r="C422" s="38" t="s">
        <v>170</v>
      </c>
      <c r="D422" s="38" t="s">
        <v>172</v>
      </c>
      <c r="E422" s="38" t="str">
        <f aca="false">A422&amp;"|"&amp;C422&amp;"|"&amp;D422</f>
        <v>27|C|A</v>
      </c>
      <c r="F422" s="43" t="n">
        <v>15</v>
      </c>
      <c r="G422" s="38" t="n">
        <f aca="false">SUMIFS($F$2:$F$1137,$A$2:$A$1137,A422,$C$2:$C$1137,C422)</f>
        <v>93</v>
      </c>
      <c r="H422" s="43" t="n">
        <v>1</v>
      </c>
      <c r="I422" s="45" t="n">
        <f aca="false">IF(G422=0,"",F422/G422)</f>
        <v>0.161290322580645</v>
      </c>
      <c r="J422" s="45" t="n">
        <f aca="false">K422/L422</f>
        <v>0.164948453608247</v>
      </c>
      <c r="K422" s="38" t="n">
        <f aca="false">F422+H422</f>
        <v>16</v>
      </c>
      <c r="L422" s="38" t="n">
        <f aca="false">G422+4*H422</f>
        <v>97</v>
      </c>
      <c r="M422" s="38" t="s">
        <v>619</v>
      </c>
      <c r="N422" s="38" t="n">
        <f aca="false">ROUND(SUMIFS($J$2:$J$1137,$A$2:$A$1137,A422,$C$2:$C$1137,C422),9)</f>
        <v>1</v>
      </c>
    </row>
    <row r="423" customFormat="false" ht="15" hidden="false" customHeight="true" outlineLevel="0" collapsed="false">
      <c r="A423" s="38" t="n">
        <v>27</v>
      </c>
      <c r="B423" s="38" t="s">
        <v>645</v>
      </c>
      <c r="C423" s="38" t="s">
        <v>170</v>
      </c>
      <c r="D423" s="38" t="s">
        <v>170</v>
      </c>
      <c r="E423" s="38" t="str">
        <f aca="false">A423&amp;"|"&amp;C423&amp;"|"&amp;D423</f>
        <v>27|C|C</v>
      </c>
      <c r="F423" s="43" t="n">
        <v>39</v>
      </c>
      <c r="G423" s="38" t="n">
        <f aca="false">SUMIFS($F$2:$F$1137,$A$2:$A$1137,A423,$C$2:$C$1137,C423)</f>
        <v>93</v>
      </c>
      <c r="H423" s="43" t="n">
        <v>1</v>
      </c>
      <c r="I423" s="45" t="n">
        <f aca="false">IF(G423=0,"",F423/G423)</f>
        <v>0.419354838709677</v>
      </c>
      <c r="J423" s="45" t="n">
        <f aca="false">K423/L423</f>
        <v>0.412371134020619</v>
      </c>
      <c r="K423" s="38" t="n">
        <f aca="false">F423+H423</f>
        <v>40</v>
      </c>
      <c r="L423" s="38" t="n">
        <f aca="false">G423+4*H423</f>
        <v>97</v>
      </c>
      <c r="M423" s="38" t="s">
        <v>619</v>
      </c>
      <c r="N423" s="38" t="n">
        <f aca="false">ROUND(SUMIFS($J$2:$J$1137,$A$2:$A$1137,A423,$C$2:$C$1137,C423),9)</f>
        <v>1</v>
      </c>
    </row>
    <row r="424" customFormat="false" ht="15" hidden="false" customHeight="true" outlineLevel="0" collapsed="false">
      <c r="A424" s="38" t="n">
        <v>27</v>
      </c>
      <c r="B424" s="38" t="s">
        <v>645</v>
      </c>
      <c r="C424" s="38" t="s">
        <v>170</v>
      </c>
      <c r="D424" s="38" t="s">
        <v>169</v>
      </c>
      <c r="E424" s="38" t="str">
        <f aca="false">A424&amp;"|"&amp;C424&amp;"|"&amp;D424</f>
        <v>27|C|G</v>
      </c>
      <c r="F424" s="43" t="n">
        <v>11</v>
      </c>
      <c r="G424" s="38" t="n">
        <f aca="false">SUMIFS($F$2:$F$1137,$A$2:$A$1137,A424,$C$2:$C$1137,C424)</f>
        <v>93</v>
      </c>
      <c r="H424" s="43" t="n">
        <v>1</v>
      </c>
      <c r="I424" s="45" t="n">
        <f aca="false">IF(G424=0,"",F424/G424)</f>
        <v>0.118279569892473</v>
      </c>
      <c r="J424" s="45" t="n">
        <f aca="false">K424/L424</f>
        <v>0.123711340206186</v>
      </c>
      <c r="K424" s="38" t="n">
        <f aca="false">F424+H424</f>
        <v>12</v>
      </c>
      <c r="L424" s="38" t="n">
        <f aca="false">G424+4*H424</f>
        <v>97</v>
      </c>
      <c r="M424" s="38" t="s">
        <v>619</v>
      </c>
      <c r="N424" s="38" t="n">
        <f aca="false">ROUND(SUMIFS($J$2:$J$1137,$A$2:$A$1137,A424,$C$2:$C$1137,C424),9)</f>
        <v>1</v>
      </c>
    </row>
    <row r="425" customFormat="false" ht="15" hidden="false" customHeight="true" outlineLevel="0" collapsed="false">
      <c r="A425" s="38" t="n">
        <v>27</v>
      </c>
      <c r="B425" s="38" t="s">
        <v>645</v>
      </c>
      <c r="C425" s="38" t="s">
        <v>170</v>
      </c>
      <c r="D425" s="38" t="s">
        <v>171</v>
      </c>
      <c r="E425" s="38" t="str">
        <f aca="false">A425&amp;"|"&amp;C425&amp;"|"&amp;D425</f>
        <v>27|C|U</v>
      </c>
      <c r="F425" s="43" t="n">
        <v>28</v>
      </c>
      <c r="G425" s="38" t="n">
        <f aca="false">SUMIFS($F$2:$F$1137,$A$2:$A$1137,A425,$C$2:$C$1137,C425)</f>
        <v>93</v>
      </c>
      <c r="H425" s="43" t="n">
        <v>1</v>
      </c>
      <c r="I425" s="45" t="n">
        <f aca="false">IF(G425=0,"",F425/G425)</f>
        <v>0.301075268817204</v>
      </c>
      <c r="J425" s="45" t="n">
        <f aca="false">K425/L425</f>
        <v>0.298969072164948</v>
      </c>
      <c r="K425" s="38" t="n">
        <f aca="false">F425+H425</f>
        <v>29</v>
      </c>
      <c r="L425" s="38" t="n">
        <f aca="false">G425+4*H425</f>
        <v>97</v>
      </c>
      <c r="M425" s="38" t="s">
        <v>619</v>
      </c>
      <c r="N425" s="38" t="n">
        <f aca="false">ROUND(SUMIFS($J$2:$J$1137,$A$2:$A$1137,A425,$C$2:$C$1137,C425),9)</f>
        <v>1</v>
      </c>
    </row>
    <row r="426" customFormat="false" ht="15" hidden="false" customHeight="true" outlineLevel="0" collapsed="false">
      <c r="A426" s="38" t="n">
        <v>27</v>
      </c>
      <c r="B426" s="38" t="s">
        <v>645</v>
      </c>
      <c r="C426" s="38" t="s">
        <v>169</v>
      </c>
      <c r="D426" s="38" t="s">
        <v>172</v>
      </c>
      <c r="E426" s="38" t="str">
        <f aca="false">A426&amp;"|"&amp;C426&amp;"|"&amp;D426</f>
        <v>27|G|A</v>
      </c>
      <c r="F426" s="43" t="n">
        <v>4</v>
      </c>
      <c r="G426" s="38" t="n">
        <f aca="false">SUMIFS($F$2:$F$1137,$A$2:$A$1137,A426,$C$2:$C$1137,C426)</f>
        <v>31</v>
      </c>
      <c r="H426" s="43" t="n">
        <v>1</v>
      </c>
      <c r="I426" s="45" t="n">
        <f aca="false">IF(G426=0,"",F426/G426)</f>
        <v>0.129032258064516</v>
      </c>
      <c r="J426" s="45" t="n">
        <f aca="false">K426/L426</f>
        <v>0.142857142857143</v>
      </c>
      <c r="K426" s="38" t="n">
        <f aca="false">F426+H426</f>
        <v>5</v>
      </c>
      <c r="L426" s="38" t="n">
        <f aca="false">G426+4*H426</f>
        <v>35</v>
      </c>
      <c r="M426" s="38" t="s">
        <v>619</v>
      </c>
      <c r="N426" s="38" t="n">
        <f aca="false">ROUND(SUMIFS($J$2:$J$1137,$A$2:$A$1137,A426,$C$2:$C$1137,C426),9)</f>
        <v>1</v>
      </c>
    </row>
    <row r="427" customFormat="false" ht="15" hidden="false" customHeight="true" outlineLevel="0" collapsed="false">
      <c r="A427" s="38" t="n">
        <v>27</v>
      </c>
      <c r="B427" s="38" t="s">
        <v>645</v>
      </c>
      <c r="C427" s="38" t="s">
        <v>169</v>
      </c>
      <c r="D427" s="38" t="s">
        <v>170</v>
      </c>
      <c r="E427" s="38" t="str">
        <f aca="false">A427&amp;"|"&amp;C427&amp;"|"&amp;D427</f>
        <v>27|G|C</v>
      </c>
      <c r="F427" s="43" t="n">
        <v>24</v>
      </c>
      <c r="G427" s="38" t="n">
        <f aca="false">SUMIFS($F$2:$F$1137,$A$2:$A$1137,A427,$C$2:$C$1137,C427)</f>
        <v>31</v>
      </c>
      <c r="H427" s="43" t="n">
        <v>1</v>
      </c>
      <c r="I427" s="45" t="n">
        <f aca="false">IF(G427=0,"",F427/G427)</f>
        <v>0.774193548387097</v>
      </c>
      <c r="J427" s="45" t="n">
        <f aca="false">K427/L427</f>
        <v>0.714285714285714</v>
      </c>
      <c r="K427" s="38" t="n">
        <f aca="false">F427+H427</f>
        <v>25</v>
      </c>
      <c r="L427" s="38" t="n">
        <f aca="false">G427+4*H427</f>
        <v>35</v>
      </c>
      <c r="M427" s="38" t="s">
        <v>619</v>
      </c>
      <c r="N427" s="38" t="n">
        <f aca="false">ROUND(SUMIFS($J$2:$J$1137,$A$2:$A$1137,A427,$C$2:$C$1137,C427),9)</f>
        <v>1</v>
      </c>
    </row>
    <row r="428" customFormat="false" ht="15" hidden="false" customHeight="true" outlineLevel="0" collapsed="false">
      <c r="A428" s="38" t="n">
        <v>27</v>
      </c>
      <c r="B428" s="38" t="s">
        <v>645</v>
      </c>
      <c r="C428" s="38" t="s">
        <v>169</v>
      </c>
      <c r="D428" s="38" t="s">
        <v>169</v>
      </c>
      <c r="E428" s="38" t="str">
        <f aca="false">A428&amp;"|"&amp;C428&amp;"|"&amp;D428</f>
        <v>27|G|G</v>
      </c>
      <c r="F428" s="43" t="n">
        <v>3</v>
      </c>
      <c r="G428" s="38" t="n">
        <f aca="false">SUMIFS($F$2:$F$1137,$A$2:$A$1137,A428,$C$2:$C$1137,C428)</f>
        <v>31</v>
      </c>
      <c r="H428" s="43" t="n">
        <v>1</v>
      </c>
      <c r="I428" s="45" t="n">
        <f aca="false">IF(G428=0,"",F428/G428)</f>
        <v>0.0967741935483871</v>
      </c>
      <c r="J428" s="45" t="n">
        <f aca="false">K428/L428</f>
        <v>0.114285714285714</v>
      </c>
      <c r="K428" s="38" t="n">
        <f aca="false">F428+H428</f>
        <v>4</v>
      </c>
      <c r="L428" s="38" t="n">
        <f aca="false">G428+4*H428</f>
        <v>35</v>
      </c>
      <c r="M428" s="38" t="s">
        <v>619</v>
      </c>
      <c r="N428" s="38" t="n">
        <f aca="false">ROUND(SUMIFS($J$2:$J$1137,$A$2:$A$1137,A428,$C$2:$C$1137,C428),9)</f>
        <v>1</v>
      </c>
    </row>
    <row r="429" customFormat="false" ht="15" hidden="false" customHeight="true" outlineLevel="0" collapsed="false">
      <c r="A429" s="38" t="n">
        <v>27</v>
      </c>
      <c r="B429" s="38" t="s">
        <v>645</v>
      </c>
      <c r="C429" s="38" t="s">
        <v>169</v>
      </c>
      <c r="D429" s="38" t="s">
        <v>171</v>
      </c>
      <c r="E429" s="38" t="str">
        <f aca="false">A429&amp;"|"&amp;C429&amp;"|"&amp;D429</f>
        <v>27|G|U</v>
      </c>
      <c r="F429" s="43" t="n">
        <v>0</v>
      </c>
      <c r="G429" s="38" t="n">
        <f aca="false">SUMIFS($F$2:$F$1137,$A$2:$A$1137,A429,$C$2:$C$1137,C429)</f>
        <v>31</v>
      </c>
      <c r="H429" s="43" t="n">
        <v>1</v>
      </c>
      <c r="I429" s="45" t="n">
        <f aca="false">IF(G429=0,"",F429/G429)</f>
        <v>0</v>
      </c>
      <c r="J429" s="45" t="n">
        <f aca="false">K429/L429</f>
        <v>0.0285714285714286</v>
      </c>
      <c r="K429" s="38" t="n">
        <f aca="false">F429+H429</f>
        <v>1</v>
      </c>
      <c r="L429" s="38" t="n">
        <f aca="false">G429+4*H429</f>
        <v>35</v>
      </c>
      <c r="M429" s="38" t="s">
        <v>619</v>
      </c>
      <c r="N429" s="38" t="n">
        <f aca="false">ROUND(SUMIFS($J$2:$J$1137,$A$2:$A$1137,A429,$C$2:$C$1137,C429),9)</f>
        <v>1</v>
      </c>
    </row>
    <row r="430" customFormat="false" ht="15" hidden="false" customHeight="true" outlineLevel="0" collapsed="false">
      <c r="A430" s="38" t="n">
        <v>27</v>
      </c>
      <c r="B430" s="38" t="s">
        <v>645</v>
      </c>
      <c r="C430" s="38" t="s">
        <v>171</v>
      </c>
      <c r="D430" s="38" t="s">
        <v>172</v>
      </c>
      <c r="E430" s="38" t="str">
        <f aca="false">A430&amp;"|"&amp;C430&amp;"|"&amp;D430</f>
        <v>27|U|A</v>
      </c>
      <c r="F430" s="43" t="n">
        <v>3</v>
      </c>
      <c r="G430" s="38" t="n">
        <f aca="false">SUMIFS($F$2:$F$1137,$A$2:$A$1137,A430,$C$2:$C$1137,C430)</f>
        <v>51</v>
      </c>
      <c r="H430" s="43" t="n">
        <v>1</v>
      </c>
      <c r="I430" s="45" t="n">
        <f aca="false">IF(G430=0,"",F430/G430)</f>
        <v>0.0588235294117647</v>
      </c>
      <c r="J430" s="45" t="n">
        <f aca="false">K430/L430</f>
        <v>0.0727272727272727</v>
      </c>
      <c r="K430" s="38" t="n">
        <f aca="false">F430+H430</f>
        <v>4</v>
      </c>
      <c r="L430" s="38" t="n">
        <f aca="false">G430+4*H430</f>
        <v>55</v>
      </c>
      <c r="M430" s="38" t="s">
        <v>619</v>
      </c>
      <c r="N430" s="38" t="n">
        <f aca="false">ROUND(SUMIFS($J$2:$J$1137,$A$2:$A$1137,A430,$C$2:$C$1137,C430),9)</f>
        <v>1</v>
      </c>
    </row>
    <row r="431" customFormat="false" ht="15" hidden="false" customHeight="true" outlineLevel="0" collapsed="false">
      <c r="A431" s="38" t="n">
        <v>27</v>
      </c>
      <c r="B431" s="38" t="s">
        <v>645</v>
      </c>
      <c r="C431" s="38" t="s">
        <v>171</v>
      </c>
      <c r="D431" s="38" t="s">
        <v>170</v>
      </c>
      <c r="E431" s="38" t="str">
        <f aca="false">A431&amp;"|"&amp;C431&amp;"|"&amp;D431</f>
        <v>27|U|C</v>
      </c>
      <c r="F431" s="43" t="n">
        <v>26</v>
      </c>
      <c r="G431" s="38" t="n">
        <f aca="false">SUMIFS($F$2:$F$1137,$A$2:$A$1137,A431,$C$2:$C$1137,C431)</f>
        <v>51</v>
      </c>
      <c r="H431" s="43" t="n">
        <v>1</v>
      </c>
      <c r="I431" s="45" t="n">
        <f aca="false">IF(G431=0,"",F431/G431)</f>
        <v>0.509803921568627</v>
      </c>
      <c r="J431" s="45" t="n">
        <f aca="false">K431/L431</f>
        <v>0.490909090909091</v>
      </c>
      <c r="K431" s="38" t="n">
        <f aca="false">F431+H431</f>
        <v>27</v>
      </c>
      <c r="L431" s="38" t="n">
        <f aca="false">G431+4*H431</f>
        <v>55</v>
      </c>
      <c r="M431" s="38" t="s">
        <v>619</v>
      </c>
      <c r="N431" s="38" t="n">
        <f aca="false">ROUND(SUMIFS($J$2:$J$1137,$A$2:$A$1137,A431,$C$2:$C$1137,C431),9)</f>
        <v>1</v>
      </c>
    </row>
    <row r="432" customFormat="false" ht="15" hidden="false" customHeight="true" outlineLevel="0" collapsed="false">
      <c r="A432" s="38" t="n">
        <v>27</v>
      </c>
      <c r="B432" s="38" t="s">
        <v>645</v>
      </c>
      <c r="C432" s="38" t="s">
        <v>171</v>
      </c>
      <c r="D432" s="38" t="s">
        <v>169</v>
      </c>
      <c r="E432" s="38" t="str">
        <f aca="false">A432&amp;"|"&amp;C432&amp;"|"&amp;D432</f>
        <v>27|U|G</v>
      </c>
      <c r="F432" s="43" t="n">
        <v>5</v>
      </c>
      <c r="G432" s="38" t="n">
        <f aca="false">SUMIFS($F$2:$F$1137,$A$2:$A$1137,A432,$C$2:$C$1137,C432)</f>
        <v>51</v>
      </c>
      <c r="H432" s="43" t="n">
        <v>1</v>
      </c>
      <c r="I432" s="45" t="n">
        <f aca="false">IF(G432=0,"",F432/G432)</f>
        <v>0.0980392156862745</v>
      </c>
      <c r="J432" s="45" t="n">
        <f aca="false">K432/L432</f>
        <v>0.109090909090909</v>
      </c>
      <c r="K432" s="38" t="n">
        <f aca="false">F432+H432</f>
        <v>6</v>
      </c>
      <c r="L432" s="38" t="n">
        <f aca="false">G432+4*H432</f>
        <v>55</v>
      </c>
      <c r="M432" s="38" t="s">
        <v>619</v>
      </c>
      <c r="N432" s="38" t="n">
        <f aca="false">ROUND(SUMIFS($J$2:$J$1137,$A$2:$A$1137,A432,$C$2:$C$1137,C432),9)</f>
        <v>1</v>
      </c>
    </row>
    <row r="433" customFormat="false" ht="15" hidden="false" customHeight="true" outlineLevel="0" collapsed="false">
      <c r="A433" s="38" t="n">
        <v>27</v>
      </c>
      <c r="B433" s="38" t="s">
        <v>645</v>
      </c>
      <c r="C433" s="38" t="s">
        <v>171</v>
      </c>
      <c r="D433" s="38" t="s">
        <v>171</v>
      </c>
      <c r="E433" s="38" t="str">
        <f aca="false">A433&amp;"|"&amp;C433&amp;"|"&amp;D433</f>
        <v>27|U|U</v>
      </c>
      <c r="F433" s="43" t="n">
        <v>17</v>
      </c>
      <c r="G433" s="38" t="n">
        <f aca="false">SUMIFS($F$2:$F$1137,$A$2:$A$1137,A433,$C$2:$C$1137,C433)</f>
        <v>51</v>
      </c>
      <c r="H433" s="43" t="n">
        <v>1</v>
      </c>
      <c r="I433" s="45" t="n">
        <f aca="false">IF(G433=0,"",F433/G433)</f>
        <v>0.333333333333333</v>
      </c>
      <c r="J433" s="45" t="n">
        <f aca="false">K433/L433</f>
        <v>0.327272727272727</v>
      </c>
      <c r="K433" s="38" t="n">
        <f aca="false">F433+H433</f>
        <v>18</v>
      </c>
      <c r="L433" s="38" t="n">
        <f aca="false">G433+4*H433</f>
        <v>55</v>
      </c>
      <c r="M433" s="38" t="s">
        <v>619</v>
      </c>
      <c r="N433" s="38" t="n">
        <f aca="false">ROUND(SUMIFS($J$2:$J$1137,$A$2:$A$1137,A433,$C$2:$C$1137,C433),9)</f>
        <v>1</v>
      </c>
    </row>
    <row r="434" customFormat="false" ht="15" hidden="false" customHeight="true" outlineLevel="0" collapsed="false">
      <c r="A434" s="38" t="n">
        <v>28</v>
      </c>
      <c r="B434" s="38" t="s">
        <v>646</v>
      </c>
      <c r="C434" s="38" t="s">
        <v>172</v>
      </c>
      <c r="D434" s="38" t="s">
        <v>172</v>
      </c>
      <c r="E434" s="38" t="str">
        <f aca="false">A434&amp;"|"&amp;C434&amp;"|"&amp;D434</f>
        <v>28|A|A</v>
      </c>
      <c r="F434" s="43" t="n">
        <v>3</v>
      </c>
      <c r="G434" s="38" t="n">
        <f aca="false">SUMIFS($F$2:$F$1137,$A$2:$A$1137,A434,$C$2:$C$1137,C434)</f>
        <v>24</v>
      </c>
      <c r="H434" s="43" t="n">
        <v>1</v>
      </c>
      <c r="I434" s="45" t="n">
        <f aca="false">IF(G434=0,"",F434/G434)</f>
        <v>0.125</v>
      </c>
      <c r="J434" s="45" t="n">
        <f aca="false">K434/L434</f>
        <v>0.142857142857143</v>
      </c>
      <c r="K434" s="38" t="n">
        <f aca="false">F434+H434</f>
        <v>4</v>
      </c>
      <c r="L434" s="38" t="n">
        <f aca="false">G434+4*H434</f>
        <v>28</v>
      </c>
      <c r="M434" s="38" t="s">
        <v>619</v>
      </c>
      <c r="N434" s="38" t="n">
        <f aca="false">ROUND(SUMIFS($J$2:$J$1137,$A$2:$A$1137,A434,$C$2:$C$1137,C434),9)</f>
        <v>1</v>
      </c>
    </row>
    <row r="435" customFormat="false" ht="15" hidden="false" customHeight="true" outlineLevel="0" collapsed="false">
      <c r="A435" s="38" t="n">
        <v>28</v>
      </c>
      <c r="B435" s="38" t="s">
        <v>646</v>
      </c>
      <c r="C435" s="38" t="s">
        <v>172</v>
      </c>
      <c r="D435" s="38" t="s">
        <v>170</v>
      </c>
      <c r="E435" s="38" t="str">
        <f aca="false">A435&amp;"|"&amp;C435&amp;"|"&amp;D435</f>
        <v>28|A|C</v>
      </c>
      <c r="F435" s="43" t="n">
        <v>7</v>
      </c>
      <c r="G435" s="38" t="n">
        <f aca="false">SUMIFS($F$2:$F$1137,$A$2:$A$1137,A435,$C$2:$C$1137,C435)</f>
        <v>24</v>
      </c>
      <c r="H435" s="43" t="n">
        <v>1</v>
      </c>
      <c r="I435" s="45" t="n">
        <f aca="false">IF(G435=0,"",F435/G435)</f>
        <v>0.291666666666667</v>
      </c>
      <c r="J435" s="45" t="n">
        <f aca="false">K435/L435</f>
        <v>0.285714285714286</v>
      </c>
      <c r="K435" s="38" t="n">
        <f aca="false">F435+H435</f>
        <v>8</v>
      </c>
      <c r="L435" s="38" t="n">
        <f aca="false">G435+4*H435</f>
        <v>28</v>
      </c>
      <c r="M435" s="38" t="s">
        <v>619</v>
      </c>
      <c r="N435" s="38" t="n">
        <f aca="false">ROUND(SUMIFS($J$2:$J$1137,$A$2:$A$1137,A435,$C$2:$C$1137,C435),9)</f>
        <v>1</v>
      </c>
    </row>
    <row r="436" customFormat="false" ht="15" hidden="false" customHeight="true" outlineLevel="0" collapsed="false">
      <c r="A436" s="38" t="n">
        <v>28</v>
      </c>
      <c r="B436" s="38" t="s">
        <v>646</v>
      </c>
      <c r="C436" s="38" t="s">
        <v>172</v>
      </c>
      <c r="D436" s="38" t="s">
        <v>169</v>
      </c>
      <c r="E436" s="38" t="str">
        <f aca="false">A436&amp;"|"&amp;C436&amp;"|"&amp;D436</f>
        <v>28|A|G</v>
      </c>
      <c r="F436" s="43" t="n">
        <v>4</v>
      </c>
      <c r="G436" s="38" t="n">
        <f aca="false">SUMIFS($F$2:$F$1137,$A$2:$A$1137,A436,$C$2:$C$1137,C436)</f>
        <v>24</v>
      </c>
      <c r="H436" s="43" t="n">
        <v>1</v>
      </c>
      <c r="I436" s="45" t="n">
        <f aca="false">IF(G436=0,"",F436/G436)</f>
        <v>0.166666666666667</v>
      </c>
      <c r="J436" s="45" t="n">
        <f aca="false">K436/L436</f>
        <v>0.178571428571429</v>
      </c>
      <c r="K436" s="38" t="n">
        <f aca="false">F436+H436</f>
        <v>5</v>
      </c>
      <c r="L436" s="38" t="n">
        <f aca="false">G436+4*H436</f>
        <v>28</v>
      </c>
      <c r="M436" s="38" t="s">
        <v>619</v>
      </c>
      <c r="N436" s="38" t="n">
        <f aca="false">ROUND(SUMIFS($J$2:$J$1137,$A$2:$A$1137,A436,$C$2:$C$1137,C436),9)</f>
        <v>1</v>
      </c>
    </row>
    <row r="437" customFormat="false" ht="15" hidden="false" customHeight="true" outlineLevel="0" collapsed="false">
      <c r="A437" s="38" t="n">
        <v>28</v>
      </c>
      <c r="B437" s="38" t="s">
        <v>646</v>
      </c>
      <c r="C437" s="38" t="s">
        <v>172</v>
      </c>
      <c r="D437" s="38" t="s">
        <v>171</v>
      </c>
      <c r="E437" s="38" t="str">
        <f aca="false">A437&amp;"|"&amp;C437&amp;"|"&amp;D437</f>
        <v>28|A|U</v>
      </c>
      <c r="F437" s="43" t="n">
        <v>10</v>
      </c>
      <c r="G437" s="38" t="n">
        <f aca="false">SUMIFS($F$2:$F$1137,$A$2:$A$1137,A437,$C$2:$C$1137,C437)</f>
        <v>24</v>
      </c>
      <c r="H437" s="43" t="n">
        <v>1</v>
      </c>
      <c r="I437" s="45" t="n">
        <f aca="false">IF(G437=0,"",F437/G437)</f>
        <v>0.416666666666667</v>
      </c>
      <c r="J437" s="45" t="n">
        <f aca="false">K437/L437</f>
        <v>0.392857142857143</v>
      </c>
      <c r="K437" s="38" t="n">
        <f aca="false">F437+H437</f>
        <v>11</v>
      </c>
      <c r="L437" s="38" t="n">
        <f aca="false">G437+4*H437</f>
        <v>28</v>
      </c>
      <c r="M437" s="38" t="s">
        <v>619</v>
      </c>
      <c r="N437" s="38" t="n">
        <f aca="false">ROUND(SUMIFS($J$2:$J$1137,$A$2:$A$1137,A437,$C$2:$C$1137,C437),9)</f>
        <v>1</v>
      </c>
    </row>
    <row r="438" customFormat="false" ht="15" hidden="false" customHeight="true" outlineLevel="0" collapsed="false">
      <c r="A438" s="38" t="n">
        <v>28</v>
      </c>
      <c r="B438" s="38" t="s">
        <v>646</v>
      </c>
      <c r="C438" s="38" t="s">
        <v>170</v>
      </c>
      <c r="D438" s="38" t="s">
        <v>172</v>
      </c>
      <c r="E438" s="38" t="str">
        <f aca="false">A438&amp;"|"&amp;C438&amp;"|"&amp;D438</f>
        <v>28|C|A</v>
      </c>
      <c r="F438" s="43" t="n">
        <v>18</v>
      </c>
      <c r="G438" s="38" t="n">
        <f aca="false">SUMIFS($F$2:$F$1137,$A$2:$A$1137,A438,$C$2:$C$1137,C438)</f>
        <v>103</v>
      </c>
      <c r="H438" s="43" t="n">
        <v>1</v>
      </c>
      <c r="I438" s="45" t="n">
        <f aca="false">IF(G438=0,"",F438/G438)</f>
        <v>0.174757281553398</v>
      </c>
      <c r="J438" s="45" t="n">
        <f aca="false">K438/L438</f>
        <v>0.177570093457944</v>
      </c>
      <c r="K438" s="38" t="n">
        <f aca="false">F438+H438</f>
        <v>19</v>
      </c>
      <c r="L438" s="38" t="n">
        <f aca="false">G438+4*H438</f>
        <v>107</v>
      </c>
      <c r="M438" s="38" t="s">
        <v>619</v>
      </c>
      <c r="N438" s="38" t="n">
        <f aca="false">ROUND(SUMIFS($J$2:$J$1137,$A$2:$A$1137,A438,$C$2:$C$1137,C438),9)</f>
        <v>1</v>
      </c>
    </row>
    <row r="439" customFormat="false" ht="15" hidden="false" customHeight="true" outlineLevel="0" collapsed="false">
      <c r="A439" s="38" t="n">
        <v>28</v>
      </c>
      <c r="B439" s="38" t="s">
        <v>646</v>
      </c>
      <c r="C439" s="38" t="s">
        <v>170</v>
      </c>
      <c r="D439" s="38" t="s">
        <v>170</v>
      </c>
      <c r="E439" s="38" t="str">
        <f aca="false">A439&amp;"|"&amp;C439&amp;"|"&amp;D439</f>
        <v>28|C|C</v>
      </c>
      <c r="F439" s="43" t="n">
        <v>8</v>
      </c>
      <c r="G439" s="38" t="n">
        <f aca="false">SUMIFS($F$2:$F$1137,$A$2:$A$1137,A439,$C$2:$C$1137,C439)</f>
        <v>103</v>
      </c>
      <c r="H439" s="43" t="n">
        <v>1</v>
      </c>
      <c r="I439" s="45" t="n">
        <f aca="false">IF(G439=0,"",F439/G439)</f>
        <v>0.0776699029126214</v>
      </c>
      <c r="J439" s="45" t="n">
        <f aca="false">K439/L439</f>
        <v>0.0841121495327103</v>
      </c>
      <c r="K439" s="38" t="n">
        <f aca="false">F439+H439</f>
        <v>9</v>
      </c>
      <c r="L439" s="38" t="n">
        <f aca="false">G439+4*H439</f>
        <v>107</v>
      </c>
      <c r="M439" s="38" t="s">
        <v>619</v>
      </c>
      <c r="N439" s="38" t="n">
        <f aca="false">ROUND(SUMIFS($J$2:$J$1137,$A$2:$A$1137,A439,$C$2:$C$1137,C439),9)</f>
        <v>1</v>
      </c>
    </row>
    <row r="440" customFormat="false" ht="15" hidden="false" customHeight="true" outlineLevel="0" collapsed="false">
      <c r="A440" s="38" t="n">
        <v>28</v>
      </c>
      <c r="B440" s="38" t="s">
        <v>646</v>
      </c>
      <c r="C440" s="38" t="s">
        <v>170</v>
      </c>
      <c r="D440" s="38" t="s">
        <v>169</v>
      </c>
      <c r="E440" s="38" t="str">
        <f aca="false">A440&amp;"|"&amp;C440&amp;"|"&amp;D440</f>
        <v>28|C|G</v>
      </c>
      <c r="F440" s="43" t="n">
        <v>47</v>
      </c>
      <c r="G440" s="38" t="n">
        <f aca="false">SUMIFS($F$2:$F$1137,$A$2:$A$1137,A440,$C$2:$C$1137,C440)</f>
        <v>103</v>
      </c>
      <c r="H440" s="43" t="n">
        <v>1</v>
      </c>
      <c r="I440" s="45" t="n">
        <f aca="false">IF(G440=0,"",F440/G440)</f>
        <v>0.456310679611651</v>
      </c>
      <c r="J440" s="45" t="n">
        <f aca="false">K440/L440</f>
        <v>0.448598130841122</v>
      </c>
      <c r="K440" s="38" t="n">
        <f aca="false">F440+H440</f>
        <v>48</v>
      </c>
      <c r="L440" s="38" t="n">
        <f aca="false">G440+4*H440</f>
        <v>107</v>
      </c>
      <c r="M440" s="38" t="s">
        <v>619</v>
      </c>
      <c r="N440" s="38" t="n">
        <f aca="false">ROUND(SUMIFS($J$2:$J$1137,$A$2:$A$1137,A440,$C$2:$C$1137,C440),9)</f>
        <v>1</v>
      </c>
    </row>
    <row r="441" customFormat="false" ht="15" hidden="false" customHeight="true" outlineLevel="0" collapsed="false">
      <c r="A441" s="38" t="n">
        <v>28</v>
      </c>
      <c r="B441" s="38" t="s">
        <v>646</v>
      </c>
      <c r="C441" s="38" t="s">
        <v>170</v>
      </c>
      <c r="D441" s="38" t="s">
        <v>171</v>
      </c>
      <c r="E441" s="38" t="str">
        <f aca="false">A441&amp;"|"&amp;C441&amp;"|"&amp;D441</f>
        <v>28|C|U</v>
      </c>
      <c r="F441" s="43" t="n">
        <v>30</v>
      </c>
      <c r="G441" s="38" t="n">
        <f aca="false">SUMIFS($F$2:$F$1137,$A$2:$A$1137,A441,$C$2:$C$1137,C441)</f>
        <v>103</v>
      </c>
      <c r="H441" s="43" t="n">
        <v>1</v>
      </c>
      <c r="I441" s="45" t="n">
        <f aca="false">IF(G441=0,"",F441/G441)</f>
        <v>0.29126213592233</v>
      </c>
      <c r="J441" s="45" t="n">
        <f aca="false">K441/L441</f>
        <v>0.289719626168224</v>
      </c>
      <c r="K441" s="38" t="n">
        <f aca="false">F441+H441</f>
        <v>31</v>
      </c>
      <c r="L441" s="38" t="n">
        <f aca="false">G441+4*H441</f>
        <v>107</v>
      </c>
      <c r="M441" s="38" t="s">
        <v>619</v>
      </c>
      <c r="N441" s="38" t="n">
        <f aca="false">ROUND(SUMIFS($J$2:$J$1137,$A$2:$A$1137,A441,$C$2:$C$1137,C441),9)</f>
        <v>1</v>
      </c>
    </row>
    <row r="442" customFormat="false" ht="15" hidden="false" customHeight="true" outlineLevel="0" collapsed="false">
      <c r="A442" s="38" t="n">
        <v>28</v>
      </c>
      <c r="B442" s="38" t="s">
        <v>646</v>
      </c>
      <c r="C442" s="38" t="s">
        <v>169</v>
      </c>
      <c r="D442" s="38" t="s">
        <v>172</v>
      </c>
      <c r="E442" s="38" t="str">
        <f aca="false">A442&amp;"|"&amp;C442&amp;"|"&amp;D442</f>
        <v>28|G|A</v>
      </c>
      <c r="F442" s="43" t="n">
        <v>4</v>
      </c>
      <c r="G442" s="38" t="n">
        <f aca="false">SUMIFS($F$2:$F$1137,$A$2:$A$1137,A442,$C$2:$C$1137,C442)</f>
        <v>22</v>
      </c>
      <c r="H442" s="43" t="n">
        <v>1</v>
      </c>
      <c r="I442" s="45" t="n">
        <f aca="false">IF(G442=0,"",F442/G442)</f>
        <v>0.181818181818182</v>
      </c>
      <c r="J442" s="45" t="n">
        <f aca="false">K442/L442</f>
        <v>0.192307692307692</v>
      </c>
      <c r="K442" s="38" t="n">
        <f aca="false">F442+H442</f>
        <v>5</v>
      </c>
      <c r="L442" s="38" t="n">
        <f aca="false">G442+4*H442</f>
        <v>26</v>
      </c>
      <c r="M442" s="38" t="s">
        <v>619</v>
      </c>
      <c r="N442" s="38" t="n">
        <f aca="false">ROUND(SUMIFS($J$2:$J$1137,$A$2:$A$1137,A442,$C$2:$C$1137,C442),9)</f>
        <v>1</v>
      </c>
    </row>
    <row r="443" customFormat="false" ht="15" hidden="false" customHeight="true" outlineLevel="0" collapsed="false">
      <c r="A443" s="38" t="n">
        <v>28</v>
      </c>
      <c r="B443" s="38" t="s">
        <v>646</v>
      </c>
      <c r="C443" s="38" t="s">
        <v>169</v>
      </c>
      <c r="D443" s="38" t="s">
        <v>170</v>
      </c>
      <c r="E443" s="38" t="str">
        <f aca="false">A443&amp;"|"&amp;C443&amp;"|"&amp;D443</f>
        <v>28|G|C</v>
      </c>
      <c r="F443" s="43" t="n">
        <v>7</v>
      </c>
      <c r="G443" s="38" t="n">
        <f aca="false">SUMIFS($F$2:$F$1137,$A$2:$A$1137,A443,$C$2:$C$1137,C443)</f>
        <v>22</v>
      </c>
      <c r="H443" s="43" t="n">
        <v>1</v>
      </c>
      <c r="I443" s="45" t="n">
        <f aca="false">IF(G443=0,"",F443/G443)</f>
        <v>0.318181818181818</v>
      </c>
      <c r="J443" s="45" t="n">
        <f aca="false">K443/L443</f>
        <v>0.307692307692308</v>
      </c>
      <c r="K443" s="38" t="n">
        <f aca="false">F443+H443</f>
        <v>8</v>
      </c>
      <c r="L443" s="38" t="n">
        <f aca="false">G443+4*H443</f>
        <v>26</v>
      </c>
      <c r="M443" s="38" t="s">
        <v>619</v>
      </c>
      <c r="N443" s="38" t="n">
        <f aca="false">ROUND(SUMIFS($J$2:$J$1137,$A$2:$A$1137,A443,$C$2:$C$1137,C443),9)</f>
        <v>1</v>
      </c>
    </row>
    <row r="444" customFormat="false" ht="15" hidden="false" customHeight="true" outlineLevel="0" collapsed="false">
      <c r="A444" s="38" t="n">
        <v>28</v>
      </c>
      <c r="B444" s="38" t="s">
        <v>646</v>
      </c>
      <c r="C444" s="38" t="s">
        <v>169</v>
      </c>
      <c r="D444" s="38" t="s">
        <v>169</v>
      </c>
      <c r="E444" s="38" t="str">
        <f aca="false">A444&amp;"|"&amp;C444&amp;"|"&amp;D444</f>
        <v>28|G|G</v>
      </c>
      <c r="F444" s="43" t="n">
        <v>10</v>
      </c>
      <c r="G444" s="38" t="n">
        <f aca="false">SUMIFS($F$2:$F$1137,$A$2:$A$1137,A444,$C$2:$C$1137,C444)</f>
        <v>22</v>
      </c>
      <c r="H444" s="43" t="n">
        <v>1</v>
      </c>
      <c r="I444" s="45" t="n">
        <f aca="false">IF(G444=0,"",F444/G444)</f>
        <v>0.454545454545455</v>
      </c>
      <c r="J444" s="45" t="n">
        <f aca="false">K444/L444</f>
        <v>0.423076923076923</v>
      </c>
      <c r="K444" s="38" t="n">
        <f aca="false">F444+H444</f>
        <v>11</v>
      </c>
      <c r="L444" s="38" t="n">
        <f aca="false">G444+4*H444</f>
        <v>26</v>
      </c>
      <c r="M444" s="38" t="s">
        <v>619</v>
      </c>
      <c r="N444" s="38" t="n">
        <f aca="false">ROUND(SUMIFS($J$2:$J$1137,$A$2:$A$1137,A444,$C$2:$C$1137,C444),9)</f>
        <v>1</v>
      </c>
    </row>
    <row r="445" customFormat="false" ht="15" hidden="false" customHeight="true" outlineLevel="0" collapsed="false">
      <c r="A445" s="38" t="n">
        <v>28</v>
      </c>
      <c r="B445" s="38" t="s">
        <v>646</v>
      </c>
      <c r="C445" s="38" t="s">
        <v>169</v>
      </c>
      <c r="D445" s="38" t="s">
        <v>171</v>
      </c>
      <c r="E445" s="38" t="str">
        <f aca="false">A445&amp;"|"&amp;C445&amp;"|"&amp;D445</f>
        <v>28|G|U</v>
      </c>
      <c r="F445" s="43" t="n">
        <v>1</v>
      </c>
      <c r="G445" s="38" t="n">
        <f aca="false">SUMIFS($F$2:$F$1137,$A$2:$A$1137,A445,$C$2:$C$1137,C445)</f>
        <v>22</v>
      </c>
      <c r="H445" s="43" t="n">
        <v>1</v>
      </c>
      <c r="I445" s="45" t="n">
        <f aca="false">IF(G445=0,"",F445/G445)</f>
        <v>0.0454545454545455</v>
      </c>
      <c r="J445" s="45" t="n">
        <f aca="false">K445/L445</f>
        <v>0.0769230769230769</v>
      </c>
      <c r="K445" s="38" t="n">
        <f aca="false">F445+H445</f>
        <v>2</v>
      </c>
      <c r="L445" s="38" t="n">
        <f aca="false">G445+4*H445</f>
        <v>26</v>
      </c>
      <c r="M445" s="38" t="s">
        <v>619</v>
      </c>
      <c r="N445" s="38" t="n">
        <f aca="false">ROUND(SUMIFS($J$2:$J$1137,$A$2:$A$1137,A445,$C$2:$C$1137,C445),9)</f>
        <v>1</v>
      </c>
    </row>
    <row r="446" customFormat="false" ht="15" hidden="false" customHeight="true" outlineLevel="0" collapsed="false">
      <c r="A446" s="38" t="n">
        <v>28</v>
      </c>
      <c r="B446" s="38" t="s">
        <v>646</v>
      </c>
      <c r="C446" s="38" t="s">
        <v>171</v>
      </c>
      <c r="D446" s="38" t="s">
        <v>172</v>
      </c>
      <c r="E446" s="38" t="str">
        <f aca="false">A446&amp;"|"&amp;C446&amp;"|"&amp;D446</f>
        <v>28|U|A</v>
      </c>
      <c r="F446" s="43" t="n">
        <v>7</v>
      </c>
      <c r="G446" s="38" t="n">
        <f aca="false">SUMIFS($F$2:$F$1137,$A$2:$A$1137,A446,$C$2:$C$1137,C446)</f>
        <v>50</v>
      </c>
      <c r="H446" s="43" t="n">
        <v>1</v>
      </c>
      <c r="I446" s="45" t="n">
        <f aca="false">IF(G446=0,"",F446/G446)</f>
        <v>0.14</v>
      </c>
      <c r="J446" s="45" t="n">
        <f aca="false">K446/L446</f>
        <v>0.148148148148148</v>
      </c>
      <c r="K446" s="38" t="n">
        <f aca="false">F446+H446</f>
        <v>8</v>
      </c>
      <c r="L446" s="38" t="n">
        <f aca="false">G446+4*H446</f>
        <v>54</v>
      </c>
      <c r="M446" s="38" t="s">
        <v>619</v>
      </c>
      <c r="N446" s="38" t="n">
        <f aca="false">ROUND(SUMIFS($J$2:$J$1137,$A$2:$A$1137,A446,$C$2:$C$1137,C446),9)</f>
        <v>1</v>
      </c>
    </row>
    <row r="447" customFormat="false" ht="15" hidden="false" customHeight="true" outlineLevel="0" collapsed="false">
      <c r="A447" s="38" t="n">
        <v>28</v>
      </c>
      <c r="B447" s="38" t="s">
        <v>646</v>
      </c>
      <c r="C447" s="38" t="s">
        <v>171</v>
      </c>
      <c r="D447" s="38" t="s">
        <v>170</v>
      </c>
      <c r="E447" s="38" t="str">
        <f aca="false">A447&amp;"|"&amp;C447&amp;"|"&amp;D447</f>
        <v>28|U|C</v>
      </c>
      <c r="F447" s="43" t="n">
        <v>13</v>
      </c>
      <c r="G447" s="38" t="n">
        <f aca="false">SUMIFS($F$2:$F$1137,$A$2:$A$1137,A447,$C$2:$C$1137,C447)</f>
        <v>50</v>
      </c>
      <c r="H447" s="43" t="n">
        <v>1</v>
      </c>
      <c r="I447" s="45" t="n">
        <f aca="false">IF(G447=0,"",F447/G447)</f>
        <v>0.26</v>
      </c>
      <c r="J447" s="45" t="n">
        <f aca="false">K447/L447</f>
        <v>0.259259259259259</v>
      </c>
      <c r="K447" s="38" t="n">
        <f aca="false">F447+H447</f>
        <v>14</v>
      </c>
      <c r="L447" s="38" t="n">
        <f aca="false">G447+4*H447</f>
        <v>54</v>
      </c>
      <c r="M447" s="38" t="s">
        <v>619</v>
      </c>
      <c r="N447" s="38" t="n">
        <f aca="false">ROUND(SUMIFS($J$2:$J$1137,$A$2:$A$1137,A447,$C$2:$C$1137,C447),9)</f>
        <v>1</v>
      </c>
    </row>
    <row r="448" customFormat="false" ht="15" hidden="false" customHeight="true" outlineLevel="0" collapsed="false">
      <c r="A448" s="38" t="n">
        <v>28</v>
      </c>
      <c r="B448" s="38" t="s">
        <v>646</v>
      </c>
      <c r="C448" s="38" t="s">
        <v>171</v>
      </c>
      <c r="D448" s="38" t="s">
        <v>169</v>
      </c>
      <c r="E448" s="38" t="str">
        <f aca="false">A448&amp;"|"&amp;C448&amp;"|"&amp;D448</f>
        <v>28|U|G</v>
      </c>
      <c r="F448" s="43" t="n">
        <v>16</v>
      </c>
      <c r="G448" s="38" t="n">
        <f aca="false">SUMIFS($F$2:$F$1137,$A$2:$A$1137,A448,$C$2:$C$1137,C448)</f>
        <v>50</v>
      </c>
      <c r="H448" s="43" t="n">
        <v>1</v>
      </c>
      <c r="I448" s="45" t="n">
        <f aca="false">IF(G448=0,"",F448/G448)</f>
        <v>0.32</v>
      </c>
      <c r="J448" s="45" t="n">
        <f aca="false">K448/L448</f>
        <v>0.314814814814815</v>
      </c>
      <c r="K448" s="38" t="n">
        <f aca="false">F448+H448</f>
        <v>17</v>
      </c>
      <c r="L448" s="38" t="n">
        <f aca="false">G448+4*H448</f>
        <v>54</v>
      </c>
      <c r="M448" s="38" t="s">
        <v>619</v>
      </c>
      <c r="N448" s="38" t="n">
        <f aca="false">ROUND(SUMIFS($J$2:$J$1137,$A$2:$A$1137,A448,$C$2:$C$1137,C448),9)</f>
        <v>1</v>
      </c>
    </row>
    <row r="449" customFormat="false" ht="15" hidden="false" customHeight="true" outlineLevel="0" collapsed="false">
      <c r="A449" s="38" t="n">
        <v>28</v>
      </c>
      <c r="B449" s="38" t="s">
        <v>646</v>
      </c>
      <c r="C449" s="38" t="s">
        <v>171</v>
      </c>
      <c r="D449" s="38" t="s">
        <v>171</v>
      </c>
      <c r="E449" s="38" t="str">
        <f aca="false">A449&amp;"|"&amp;C449&amp;"|"&amp;D449</f>
        <v>28|U|U</v>
      </c>
      <c r="F449" s="43" t="n">
        <v>14</v>
      </c>
      <c r="G449" s="38" t="n">
        <f aca="false">SUMIFS($F$2:$F$1137,$A$2:$A$1137,A449,$C$2:$C$1137,C449)</f>
        <v>50</v>
      </c>
      <c r="H449" s="43" t="n">
        <v>1</v>
      </c>
      <c r="I449" s="45" t="n">
        <f aca="false">IF(G449=0,"",F449/G449)</f>
        <v>0.28</v>
      </c>
      <c r="J449" s="45" t="n">
        <f aca="false">K449/L449</f>
        <v>0.277777777777778</v>
      </c>
      <c r="K449" s="38" t="n">
        <f aca="false">F449+H449</f>
        <v>15</v>
      </c>
      <c r="L449" s="38" t="n">
        <f aca="false">G449+4*H449</f>
        <v>54</v>
      </c>
      <c r="M449" s="38" t="s">
        <v>619</v>
      </c>
      <c r="N449" s="38" t="n">
        <f aca="false">ROUND(SUMIFS($J$2:$J$1137,$A$2:$A$1137,A449,$C$2:$C$1137,C449),9)</f>
        <v>1</v>
      </c>
    </row>
    <row r="450" customFormat="false" ht="15" hidden="false" customHeight="true" outlineLevel="0" collapsed="false">
      <c r="A450" s="38" t="n">
        <v>29</v>
      </c>
      <c r="B450" s="38" t="s">
        <v>647</v>
      </c>
      <c r="C450" s="38" t="s">
        <v>172</v>
      </c>
      <c r="D450" s="38" t="s">
        <v>172</v>
      </c>
      <c r="E450" s="38" t="str">
        <f aca="false">A450&amp;"|"&amp;C450&amp;"|"&amp;D450</f>
        <v>29|A|A</v>
      </c>
      <c r="F450" s="43" t="n">
        <v>0</v>
      </c>
      <c r="G450" s="38" t="n">
        <f aca="false">SUMIFS($F$2:$F$1137,$A$2:$A$1137,A450,$C$2:$C$1137,C450)</f>
        <v>32</v>
      </c>
      <c r="H450" s="43" t="n">
        <v>1</v>
      </c>
      <c r="I450" s="45" t="n">
        <f aca="false">IF(G450=0,"",F450/G450)</f>
        <v>0</v>
      </c>
      <c r="J450" s="45" t="n">
        <f aca="false">K450/L450</f>
        <v>0.0277777777777778</v>
      </c>
      <c r="K450" s="38" t="n">
        <f aca="false">F450+H450</f>
        <v>1</v>
      </c>
      <c r="L450" s="38" t="n">
        <f aca="false">G450+4*H450</f>
        <v>36</v>
      </c>
      <c r="M450" s="38" t="s">
        <v>619</v>
      </c>
      <c r="N450" s="38" t="n">
        <f aca="false">ROUND(SUMIFS($J$2:$J$1137,$A$2:$A$1137,A450,$C$2:$C$1137,C450),9)</f>
        <v>1</v>
      </c>
    </row>
    <row r="451" customFormat="false" ht="15" hidden="false" customHeight="true" outlineLevel="0" collapsed="false">
      <c r="A451" s="38" t="n">
        <v>29</v>
      </c>
      <c r="B451" s="38" t="s">
        <v>647</v>
      </c>
      <c r="C451" s="38" t="s">
        <v>172</v>
      </c>
      <c r="D451" s="38" t="s">
        <v>170</v>
      </c>
      <c r="E451" s="38" t="str">
        <f aca="false">A451&amp;"|"&amp;C451&amp;"|"&amp;D451</f>
        <v>29|A|C</v>
      </c>
      <c r="F451" s="43" t="n">
        <v>8</v>
      </c>
      <c r="G451" s="38" t="n">
        <f aca="false">SUMIFS($F$2:$F$1137,$A$2:$A$1137,A451,$C$2:$C$1137,C451)</f>
        <v>32</v>
      </c>
      <c r="H451" s="43" t="n">
        <v>1</v>
      </c>
      <c r="I451" s="45" t="n">
        <f aca="false">IF(G451=0,"",F451/G451)</f>
        <v>0.25</v>
      </c>
      <c r="J451" s="45" t="n">
        <f aca="false">K451/L451</f>
        <v>0.25</v>
      </c>
      <c r="K451" s="38" t="n">
        <f aca="false">F451+H451</f>
        <v>9</v>
      </c>
      <c r="L451" s="38" t="n">
        <f aca="false">G451+4*H451</f>
        <v>36</v>
      </c>
      <c r="M451" s="38" t="s">
        <v>619</v>
      </c>
      <c r="N451" s="38" t="n">
        <f aca="false">ROUND(SUMIFS($J$2:$J$1137,$A$2:$A$1137,A451,$C$2:$C$1137,C451),9)</f>
        <v>1</v>
      </c>
    </row>
    <row r="452" customFormat="false" ht="15" hidden="false" customHeight="true" outlineLevel="0" collapsed="false">
      <c r="A452" s="38" t="n">
        <v>29</v>
      </c>
      <c r="B452" s="38" t="s">
        <v>647</v>
      </c>
      <c r="C452" s="38" t="s">
        <v>172</v>
      </c>
      <c r="D452" s="38" t="s">
        <v>169</v>
      </c>
      <c r="E452" s="38" t="str">
        <f aca="false">A452&amp;"|"&amp;C452&amp;"|"&amp;D452</f>
        <v>29|A|G</v>
      </c>
      <c r="F452" s="43" t="n">
        <v>24</v>
      </c>
      <c r="G452" s="38" t="n">
        <f aca="false">SUMIFS($F$2:$F$1137,$A$2:$A$1137,A452,$C$2:$C$1137,C452)</f>
        <v>32</v>
      </c>
      <c r="H452" s="43" t="n">
        <v>1</v>
      </c>
      <c r="I452" s="45" t="n">
        <f aca="false">IF(G452=0,"",F452/G452)</f>
        <v>0.75</v>
      </c>
      <c r="J452" s="45" t="n">
        <f aca="false">K452/L452</f>
        <v>0.694444444444444</v>
      </c>
      <c r="K452" s="38" t="n">
        <f aca="false">F452+H452</f>
        <v>25</v>
      </c>
      <c r="L452" s="38" t="n">
        <f aca="false">G452+4*H452</f>
        <v>36</v>
      </c>
      <c r="M452" s="38" t="s">
        <v>619</v>
      </c>
      <c r="N452" s="38" t="n">
        <f aca="false">ROUND(SUMIFS($J$2:$J$1137,$A$2:$A$1137,A452,$C$2:$C$1137,C452),9)</f>
        <v>1</v>
      </c>
    </row>
    <row r="453" customFormat="false" ht="15" hidden="false" customHeight="true" outlineLevel="0" collapsed="false">
      <c r="A453" s="38" t="n">
        <v>29</v>
      </c>
      <c r="B453" s="38" t="s">
        <v>647</v>
      </c>
      <c r="C453" s="38" t="s">
        <v>172</v>
      </c>
      <c r="D453" s="38" t="s">
        <v>171</v>
      </c>
      <c r="E453" s="38" t="str">
        <f aca="false">A453&amp;"|"&amp;C453&amp;"|"&amp;D453</f>
        <v>29|A|U</v>
      </c>
      <c r="F453" s="43" t="n">
        <v>0</v>
      </c>
      <c r="G453" s="38" t="n">
        <f aca="false">SUMIFS($F$2:$F$1137,$A$2:$A$1137,A453,$C$2:$C$1137,C453)</f>
        <v>32</v>
      </c>
      <c r="H453" s="43" t="n">
        <v>1</v>
      </c>
      <c r="I453" s="45" t="n">
        <f aca="false">IF(G453=0,"",F453/G453)</f>
        <v>0</v>
      </c>
      <c r="J453" s="45" t="n">
        <f aca="false">K453/L453</f>
        <v>0.0277777777777778</v>
      </c>
      <c r="K453" s="38" t="n">
        <f aca="false">F453+H453</f>
        <v>1</v>
      </c>
      <c r="L453" s="38" t="n">
        <f aca="false">G453+4*H453</f>
        <v>36</v>
      </c>
      <c r="M453" s="38" t="s">
        <v>619</v>
      </c>
      <c r="N453" s="38" t="n">
        <f aca="false">ROUND(SUMIFS($J$2:$J$1137,$A$2:$A$1137,A453,$C$2:$C$1137,C453),9)</f>
        <v>1</v>
      </c>
    </row>
    <row r="454" customFormat="false" ht="15" hidden="false" customHeight="true" outlineLevel="0" collapsed="false">
      <c r="A454" s="38" t="n">
        <v>29</v>
      </c>
      <c r="B454" s="38" t="s">
        <v>647</v>
      </c>
      <c r="C454" s="38" t="s">
        <v>170</v>
      </c>
      <c r="D454" s="38" t="s">
        <v>172</v>
      </c>
      <c r="E454" s="38" t="str">
        <f aca="false">A454&amp;"|"&amp;C454&amp;"|"&amp;D454</f>
        <v>29|C|A</v>
      </c>
      <c r="F454" s="43" t="n">
        <v>0</v>
      </c>
      <c r="G454" s="38" t="n">
        <f aca="false">SUMIFS($F$2:$F$1137,$A$2:$A$1137,A454,$C$2:$C$1137,C454)</f>
        <v>35</v>
      </c>
      <c r="H454" s="43" t="n">
        <v>1</v>
      </c>
      <c r="I454" s="45" t="n">
        <f aca="false">IF(G454=0,"",F454/G454)</f>
        <v>0</v>
      </c>
      <c r="J454" s="45" t="n">
        <f aca="false">K454/L454</f>
        <v>0.0256410256410256</v>
      </c>
      <c r="K454" s="38" t="n">
        <f aca="false">F454+H454</f>
        <v>1</v>
      </c>
      <c r="L454" s="38" t="n">
        <f aca="false">G454+4*H454</f>
        <v>39</v>
      </c>
      <c r="M454" s="38" t="s">
        <v>619</v>
      </c>
      <c r="N454" s="38" t="n">
        <f aca="false">ROUND(SUMIFS($J$2:$J$1137,$A$2:$A$1137,A454,$C$2:$C$1137,C454),9)</f>
        <v>1</v>
      </c>
    </row>
    <row r="455" customFormat="false" ht="15" hidden="false" customHeight="true" outlineLevel="0" collapsed="false">
      <c r="A455" s="38" t="n">
        <v>29</v>
      </c>
      <c r="B455" s="38" t="s">
        <v>647</v>
      </c>
      <c r="C455" s="38" t="s">
        <v>170</v>
      </c>
      <c r="D455" s="38" t="s">
        <v>170</v>
      </c>
      <c r="E455" s="38" t="str">
        <f aca="false">A455&amp;"|"&amp;C455&amp;"|"&amp;D455</f>
        <v>29|C|C</v>
      </c>
      <c r="F455" s="43" t="n">
        <v>6</v>
      </c>
      <c r="G455" s="38" t="n">
        <f aca="false">SUMIFS($F$2:$F$1137,$A$2:$A$1137,A455,$C$2:$C$1137,C455)</f>
        <v>35</v>
      </c>
      <c r="H455" s="43" t="n">
        <v>1</v>
      </c>
      <c r="I455" s="45" t="n">
        <f aca="false">IF(G455=0,"",F455/G455)</f>
        <v>0.171428571428571</v>
      </c>
      <c r="J455" s="45" t="n">
        <f aca="false">K455/L455</f>
        <v>0.17948717948718</v>
      </c>
      <c r="K455" s="38" t="n">
        <f aca="false">F455+H455</f>
        <v>7</v>
      </c>
      <c r="L455" s="38" t="n">
        <f aca="false">G455+4*H455</f>
        <v>39</v>
      </c>
      <c r="M455" s="38" t="s">
        <v>619</v>
      </c>
      <c r="N455" s="38" t="n">
        <f aca="false">ROUND(SUMIFS($J$2:$J$1137,$A$2:$A$1137,A455,$C$2:$C$1137,C455),9)</f>
        <v>1</v>
      </c>
    </row>
    <row r="456" customFormat="false" ht="15" hidden="false" customHeight="true" outlineLevel="0" collapsed="false">
      <c r="A456" s="38" t="n">
        <v>29</v>
      </c>
      <c r="B456" s="38" t="s">
        <v>647</v>
      </c>
      <c r="C456" s="38" t="s">
        <v>170</v>
      </c>
      <c r="D456" s="38" t="s">
        <v>169</v>
      </c>
      <c r="E456" s="38" t="str">
        <f aca="false">A456&amp;"|"&amp;C456&amp;"|"&amp;D456</f>
        <v>29|C|G</v>
      </c>
      <c r="F456" s="43" t="n">
        <v>28</v>
      </c>
      <c r="G456" s="38" t="n">
        <f aca="false">SUMIFS($F$2:$F$1137,$A$2:$A$1137,A456,$C$2:$C$1137,C456)</f>
        <v>35</v>
      </c>
      <c r="H456" s="43" t="n">
        <v>1</v>
      </c>
      <c r="I456" s="45" t="n">
        <f aca="false">IF(G456=0,"",F456/G456)</f>
        <v>0.8</v>
      </c>
      <c r="J456" s="45" t="n">
        <f aca="false">K456/L456</f>
        <v>0.743589743589744</v>
      </c>
      <c r="K456" s="38" t="n">
        <f aca="false">F456+H456</f>
        <v>29</v>
      </c>
      <c r="L456" s="38" t="n">
        <f aca="false">G456+4*H456</f>
        <v>39</v>
      </c>
      <c r="M456" s="38" t="s">
        <v>619</v>
      </c>
      <c r="N456" s="38" t="n">
        <f aca="false">ROUND(SUMIFS($J$2:$J$1137,$A$2:$A$1137,A456,$C$2:$C$1137,C456),9)</f>
        <v>1</v>
      </c>
    </row>
    <row r="457" customFormat="false" ht="15" hidden="false" customHeight="true" outlineLevel="0" collapsed="false">
      <c r="A457" s="38" t="n">
        <v>29</v>
      </c>
      <c r="B457" s="38" t="s">
        <v>647</v>
      </c>
      <c r="C457" s="38" t="s">
        <v>170</v>
      </c>
      <c r="D457" s="38" t="s">
        <v>171</v>
      </c>
      <c r="E457" s="38" t="str">
        <f aca="false">A457&amp;"|"&amp;C457&amp;"|"&amp;D457</f>
        <v>29|C|U</v>
      </c>
      <c r="F457" s="43" t="n">
        <v>1</v>
      </c>
      <c r="G457" s="38" t="n">
        <f aca="false">SUMIFS($F$2:$F$1137,$A$2:$A$1137,A457,$C$2:$C$1137,C457)</f>
        <v>35</v>
      </c>
      <c r="H457" s="43" t="n">
        <v>1</v>
      </c>
      <c r="I457" s="45" t="n">
        <f aca="false">IF(G457=0,"",F457/G457)</f>
        <v>0.0285714285714286</v>
      </c>
      <c r="J457" s="45" t="n">
        <f aca="false">K457/L457</f>
        <v>0.0512820512820513</v>
      </c>
      <c r="K457" s="38" t="n">
        <f aca="false">F457+H457</f>
        <v>2</v>
      </c>
      <c r="L457" s="38" t="n">
        <f aca="false">G457+4*H457</f>
        <v>39</v>
      </c>
      <c r="M457" s="38" t="s">
        <v>619</v>
      </c>
      <c r="N457" s="38" t="n">
        <f aca="false">ROUND(SUMIFS($J$2:$J$1137,$A$2:$A$1137,A457,$C$2:$C$1137,C457),9)</f>
        <v>1</v>
      </c>
    </row>
    <row r="458" customFormat="false" ht="15" hidden="false" customHeight="true" outlineLevel="0" collapsed="false">
      <c r="A458" s="38" t="n">
        <v>29</v>
      </c>
      <c r="B458" s="38" t="s">
        <v>647</v>
      </c>
      <c r="C458" s="38" t="s">
        <v>169</v>
      </c>
      <c r="D458" s="38" t="s">
        <v>172</v>
      </c>
      <c r="E458" s="38" t="str">
        <f aca="false">A458&amp;"|"&amp;C458&amp;"|"&amp;D458</f>
        <v>29|G|A</v>
      </c>
      <c r="F458" s="43" t="n">
        <v>0</v>
      </c>
      <c r="G458" s="38" t="n">
        <f aca="false">SUMIFS($F$2:$F$1137,$A$2:$A$1137,A458,$C$2:$C$1137,C458)</f>
        <v>77</v>
      </c>
      <c r="H458" s="43" t="n">
        <v>1</v>
      </c>
      <c r="I458" s="45" t="n">
        <f aca="false">IF(G458=0,"",F458/G458)</f>
        <v>0</v>
      </c>
      <c r="J458" s="45" t="n">
        <f aca="false">K458/L458</f>
        <v>0.0123456790123457</v>
      </c>
      <c r="K458" s="38" t="n">
        <f aca="false">F458+H458</f>
        <v>1</v>
      </c>
      <c r="L458" s="38" t="n">
        <f aca="false">G458+4*H458</f>
        <v>81</v>
      </c>
      <c r="M458" s="38" t="s">
        <v>619</v>
      </c>
      <c r="N458" s="38" t="n">
        <f aca="false">ROUND(SUMIFS($J$2:$J$1137,$A$2:$A$1137,A458,$C$2:$C$1137,C458),9)</f>
        <v>1</v>
      </c>
    </row>
    <row r="459" customFormat="false" ht="15" hidden="false" customHeight="true" outlineLevel="0" collapsed="false">
      <c r="A459" s="38" t="n">
        <v>29</v>
      </c>
      <c r="B459" s="38" t="s">
        <v>647</v>
      </c>
      <c r="C459" s="38" t="s">
        <v>169</v>
      </c>
      <c r="D459" s="38" t="s">
        <v>170</v>
      </c>
      <c r="E459" s="38" t="str">
        <f aca="false">A459&amp;"|"&amp;C459&amp;"|"&amp;D459</f>
        <v>29|G|C</v>
      </c>
      <c r="F459" s="43" t="n">
        <v>10</v>
      </c>
      <c r="G459" s="38" t="n">
        <f aca="false">SUMIFS($F$2:$F$1137,$A$2:$A$1137,A459,$C$2:$C$1137,C459)</f>
        <v>77</v>
      </c>
      <c r="H459" s="43" t="n">
        <v>1</v>
      </c>
      <c r="I459" s="45" t="n">
        <f aca="false">IF(G459=0,"",F459/G459)</f>
        <v>0.12987012987013</v>
      </c>
      <c r="J459" s="45" t="n">
        <f aca="false">K459/L459</f>
        <v>0.135802469135802</v>
      </c>
      <c r="K459" s="38" t="n">
        <f aca="false">F459+H459</f>
        <v>11</v>
      </c>
      <c r="L459" s="38" t="n">
        <f aca="false">G459+4*H459</f>
        <v>81</v>
      </c>
      <c r="M459" s="38" t="s">
        <v>619</v>
      </c>
      <c r="N459" s="38" t="n">
        <f aca="false">ROUND(SUMIFS($J$2:$J$1137,$A$2:$A$1137,A459,$C$2:$C$1137,C459),9)</f>
        <v>1</v>
      </c>
    </row>
    <row r="460" customFormat="false" ht="15" hidden="false" customHeight="true" outlineLevel="0" collapsed="false">
      <c r="A460" s="38" t="n">
        <v>29</v>
      </c>
      <c r="B460" s="38" t="s">
        <v>647</v>
      </c>
      <c r="C460" s="38" t="s">
        <v>169</v>
      </c>
      <c r="D460" s="38" t="s">
        <v>169</v>
      </c>
      <c r="E460" s="38" t="str">
        <f aca="false">A460&amp;"|"&amp;C460&amp;"|"&amp;D460</f>
        <v>29|G|G</v>
      </c>
      <c r="F460" s="43" t="n">
        <v>61</v>
      </c>
      <c r="G460" s="38" t="n">
        <f aca="false">SUMIFS($F$2:$F$1137,$A$2:$A$1137,A460,$C$2:$C$1137,C460)</f>
        <v>77</v>
      </c>
      <c r="H460" s="43" t="n">
        <v>1</v>
      </c>
      <c r="I460" s="45" t="n">
        <f aca="false">IF(G460=0,"",F460/G460)</f>
        <v>0.792207792207792</v>
      </c>
      <c r="J460" s="45" t="n">
        <f aca="false">K460/L460</f>
        <v>0.765432098765432</v>
      </c>
      <c r="K460" s="38" t="n">
        <f aca="false">F460+H460</f>
        <v>62</v>
      </c>
      <c r="L460" s="38" t="n">
        <f aca="false">G460+4*H460</f>
        <v>81</v>
      </c>
      <c r="M460" s="38" t="s">
        <v>619</v>
      </c>
      <c r="N460" s="38" t="n">
        <f aca="false">ROUND(SUMIFS($J$2:$J$1137,$A$2:$A$1137,A460,$C$2:$C$1137,C460),9)</f>
        <v>1</v>
      </c>
    </row>
    <row r="461" customFormat="false" ht="15" hidden="false" customHeight="true" outlineLevel="0" collapsed="false">
      <c r="A461" s="38" t="n">
        <v>29</v>
      </c>
      <c r="B461" s="38" t="s">
        <v>647</v>
      </c>
      <c r="C461" s="38" t="s">
        <v>169</v>
      </c>
      <c r="D461" s="38" t="s">
        <v>171</v>
      </c>
      <c r="E461" s="38" t="str">
        <f aca="false">A461&amp;"|"&amp;C461&amp;"|"&amp;D461</f>
        <v>29|G|U</v>
      </c>
      <c r="F461" s="43" t="n">
        <v>6</v>
      </c>
      <c r="G461" s="38" t="n">
        <f aca="false">SUMIFS($F$2:$F$1137,$A$2:$A$1137,A461,$C$2:$C$1137,C461)</f>
        <v>77</v>
      </c>
      <c r="H461" s="43" t="n">
        <v>1</v>
      </c>
      <c r="I461" s="45" t="n">
        <f aca="false">IF(G461=0,"",F461/G461)</f>
        <v>0.0779220779220779</v>
      </c>
      <c r="J461" s="45" t="n">
        <f aca="false">K461/L461</f>
        <v>0.0864197530864198</v>
      </c>
      <c r="K461" s="38" t="n">
        <f aca="false">F461+H461</f>
        <v>7</v>
      </c>
      <c r="L461" s="38" t="n">
        <f aca="false">G461+4*H461</f>
        <v>81</v>
      </c>
      <c r="M461" s="38" t="s">
        <v>619</v>
      </c>
      <c r="N461" s="38" t="n">
        <f aca="false">ROUND(SUMIFS($J$2:$J$1137,$A$2:$A$1137,A461,$C$2:$C$1137,C461),9)</f>
        <v>1</v>
      </c>
    </row>
    <row r="462" customFormat="false" ht="15" hidden="false" customHeight="true" outlineLevel="0" collapsed="false">
      <c r="A462" s="38" t="n">
        <v>29</v>
      </c>
      <c r="B462" s="38" t="s">
        <v>647</v>
      </c>
      <c r="C462" s="38" t="s">
        <v>171</v>
      </c>
      <c r="D462" s="38" t="s">
        <v>172</v>
      </c>
      <c r="E462" s="38" t="str">
        <f aca="false">A462&amp;"|"&amp;C462&amp;"|"&amp;D462</f>
        <v>29|U|A</v>
      </c>
      <c r="F462" s="43" t="n">
        <v>0</v>
      </c>
      <c r="G462" s="38" t="n">
        <f aca="false">SUMIFS($F$2:$F$1137,$A$2:$A$1137,A462,$C$2:$C$1137,C462)</f>
        <v>55</v>
      </c>
      <c r="H462" s="43" t="n">
        <v>1</v>
      </c>
      <c r="I462" s="45" t="n">
        <f aca="false">IF(G462=0,"",F462/G462)</f>
        <v>0</v>
      </c>
      <c r="J462" s="45" t="n">
        <f aca="false">K462/L462</f>
        <v>0.0169491525423729</v>
      </c>
      <c r="K462" s="38" t="n">
        <f aca="false">F462+H462</f>
        <v>1</v>
      </c>
      <c r="L462" s="38" t="n">
        <f aca="false">G462+4*H462</f>
        <v>59</v>
      </c>
      <c r="M462" s="38" t="s">
        <v>619</v>
      </c>
      <c r="N462" s="38" t="n">
        <f aca="false">ROUND(SUMIFS($J$2:$J$1137,$A$2:$A$1137,A462,$C$2:$C$1137,C462),9)</f>
        <v>1</v>
      </c>
    </row>
    <row r="463" customFormat="false" ht="15" hidden="false" customHeight="true" outlineLevel="0" collapsed="false">
      <c r="A463" s="38" t="n">
        <v>29</v>
      </c>
      <c r="B463" s="38" t="s">
        <v>647</v>
      </c>
      <c r="C463" s="38" t="s">
        <v>171</v>
      </c>
      <c r="D463" s="38" t="s">
        <v>170</v>
      </c>
      <c r="E463" s="38" t="str">
        <f aca="false">A463&amp;"|"&amp;C463&amp;"|"&amp;D463</f>
        <v>29|U|C</v>
      </c>
      <c r="F463" s="43" t="n">
        <v>18</v>
      </c>
      <c r="G463" s="38" t="n">
        <f aca="false">SUMIFS($F$2:$F$1137,$A$2:$A$1137,A463,$C$2:$C$1137,C463)</f>
        <v>55</v>
      </c>
      <c r="H463" s="43" t="n">
        <v>1</v>
      </c>
      <c r="I463" s="45" t="n">
        <f aca="false">IF(G463=0,"",F463/G463)</f>
        <v>0.327272727272727</v>
      </c>
      <c r="J463" s="45" t="n">
        <f aca="false">K463/L463</f>
        <v>0.322033898305085</v>
      </c>
      <c r="K463" s="38" t="n">
        <f aca="false">F463+H463</f>
        <v>19</v>
      </c>
      <c r="L463" s="38" t="n">
        <f aca="false">G463+4*H463</f>
        <v>59</v>
      </c>
      <c r="M463" s="38" t="s">
        <v>619</v>
      </c>
      <c r="N463" s="38" t="n">
        <f aca="false">ROUND(SUMIFS($J$2:$J$1137,$A$2:$A$1137,A463,$C$2:$C$1137,C463),9)</f>
        <v>1</v>
      </c>
    </row>
    <row r="464" customFormat="false" ht="15" hidden="false" customHeight="true" outlineLevel="0" collapsed="false">
      <c r="A464" s="38" t="n">
        <v>29</v>
      </c>
      <c r="B464" s="38" t="s">
        <v>647</v>
      </c>
      <c r="C464" s="38" t="s">
        <v>171</v>
      </c>
      <c r="D464" s="38" t="s">
        <v>169</v>
      </c>
      <c r="E464" s="38" t="str">
        <f aca="false">A464&amp;"|"&amp;C464&amp;"|"&amp;D464</f>
        <v>29|U|G</v>
      </c>
      <c r="F464" s="43" t="n">
        <v>37</v>
      </c>
      <c r="G464" s="38" t="n">
        <f aca="false">SUMIFS($F$2:$F$1137,$A$2:$A$1137,A464,$C$2:$C$1137,C464)</f>
        <v>55</v>
      </c>
      <c r="H464" s="43" t="n">
        <v>1</v>
      </c>
      <c r="I464" s="45" t="n">
        <f aca="false">IF(G464=0,"",F464/G464)</f>
        <v>0.672727272727273</v>
      </c>
      <c r="J464" s="45" t="n">
        <f aca="false">K464/L464</f>
        <v>0.644067796610169</v>
      </c>
      <c r="K464" s="38" t="n">
        <f aca="false">F464+H464</f>
        <v>38</v>
      </c>
      <c r="L464" s="38" t="n">
        <f aca="false">G464+4*H464</f>
        <v>59</v>
      </c>
      <c r="M464" s="38" t="s">
        <v>619</v>
      </c>
      <c r="N464" s="38" t="n">
        <f aca="false">ROUND(SUMIFS($J$2:$J$1137,$A$2:$A$1137,A464,$C$2:$C$1137,C464),9)</f>
        <v>1</v>
      </c>
    </row>
    <row r="465" customFormat="false" ht="15" hidden="false" customHeight="true" outlineLevel="0" collapsed="false">
      <c r="A465" s="38" t="n">
        <v>29</v>
      </c>
      <c r="B465" s="38" t="s">
        <v>647</v>
      </c>
      <c r="C465" s="38" t="s">
        <v>171</v>
      </c>
      <c r="D465" s="38" t="s">
        <v>171</v>
      </c>
      <c r="E465" s="38" t="str">
        <f aca="false">A465&amp;"|"&amp;C465&amp;"|"&amp;D465</f>
        <v>29|U|U</v>
      </c>
      <c r="F465" s="43" t="n">
        <v>0</v>
      </c>
      <c r="G465" s="38" t="n">
        <f aca="false">SUMIFS($F$2:$F$1137,$A$2:$A$1137,A465,$C$2:$C$1137,C465)</f>
        <v>55</v>
      </c>
      <c r="H465" s="43" t="n">
        <v>1</v>
      </c>
      <c r="I465" s="45" t="n">
        <f aca="false">IF(G465=0,"",F465/G465)</f>
        <v>0</v>
      </c>
      <c r="J465" s="45" t="n">
        <f aca="false">K465/L465</f>
        <v>0.0169491525423729</v>
      </c>
      <c r="K465" s="38" t="n">
        <f aca="false">F465+H465</f>
        <v>1</v>
      </c>
      <c r="L465" s="38" t="n">
        <f aca="false">G465+4*H465</f>
        <v>59</v>
      </c>
      <c r="M465" s="38" t="s">
        <v>619</v>
      </c>
      <c r="N465" s="38" t="n">
        <f aca="false">ROUND(SUMIFS($J$2:$J$1137,$A$2:$A$1137,A465,$C$2:$C$1137,C465),9)</f>
        <v>1</v>
      </c>
    </row>
    <row r="466" customFormat="false" ht="15" hidden="false" customHeight="true" outlineLevel="0" collapsed="false">
      <c r="A466" s="38" t="n">
        <v>30</v>
      </c>
      <c r="B466" s="38" t="s">
        <v>648</v>
      </c>
      <c r="C466" s="38" t="s">
        <v>172</v>
      </c>
      <c r="D466" s="38" t="s">
        <v>172</v>
      </c>
      <c r="E466" s="38" t="str">
        <f aca="false">A466&amp;"|"&amp;C466&amp;"|"&amp;D466</f>
        <v>30|A|A</v>
      </c>
      <c r="F466" s="43" t="n">
        <v>0</v>
      </c>
      <c r="G466" s="38" t="n">
        <f aca="false">SUMIFS($F$2:$F$1137,$A$2:$A$1137,A466,$C$2:$C$1137,C466)</f>
        <v>0</v>
      </c>
      <c r="H466" s="43" t="n">
        <v>1</v>
      </c>
      <c r="I466" s="45" t="str">
        <f aca="false">IF(G466=0,"",F466/G466)</f>
        <v/>
      </c>
      <c r="J466" s="45" t="n">
        <f aca="false">K466/L466</f>
        <v>0.25</v>
      </c>
      <c r="K466" s="38" t="n">
        <f aca="false">F466+H466</f>
        <v>1</v>
      </c>
      <c r="L466" s="38" t="n">
        <f aca="false">G466+4*H466</f>
        <v>4</v>
      </c>
      <c r="M466" s="38" t="s">
        <v>619</v>
      </c>
      <c r="N466" s="38" t="n">
        <f aca="false">ROUND(SUMIFS($J$2:$J$1137,$A$2:$A$1137,A466,$C$2:$C$1137,C466),9)</f>
        <v>1</v>
      </c>
    </row>
    <row r="467" customFormat="false" ht="15" hidden="false" customHeight="true" outlineLevel="0" collapsed="false">
      <c r="A467" s="38" t="n">
        <v>30</v>
      </c>
      <c r="B467" s="38" t="s">
        <v>648</v>
      </c>
      <c r="C467" s="38" t="s">
        <v>172</v>
      </c>
      <c r="D467" s="38" t="s">
        <v>170</v>
      </c>
      <c r="E467" s="38" t="str">
        <f aca="false">A467&amp;"|"&amp;C467&amp;"|"&amp;D467</f>
        <v>30|A|C</v>
      </c>
      <c r="F467" s="43" t="n">
        <v>0</v>
      </c>
      <c r="G467" s="38" t="n">
        <f aca="false">SUMIFS($F$2:$F$1137,$A$2:$A$1137,A467,$C$2:$C$1137,C467)</f>
        <v>0</v>
      </c>
      <c r="H467" s="43" t="n">
        <v>1</v>
      </c>
      <c r="I467" s="45" t="str">
        <f aca="false">IF(G467=0,"",F467/G467)</f>
        <v/>
      </c>
      <c r="J467" s="45" t="n">
        <f aca="false">K467/L467</f>
        <v>0.25</v>
      </c>
      <c r="K467" s="38" t="n">
        <f aca="false">F467+H467</f>
        <v>1</v>
      </c>
      <c r="L467" s="38" t="n">
        <f aca="false">G467+4*H467</f>
        <v>4</v>
      </c>
      <c r="M467" s="38" t="s">
        <v>619</v>
      </c>
      <c r="N467" s="38" t="n">
        <f aca="false">ROUND(SUMIFS($J$2:$J$1137,$A$2:$A$1137,A467,$C$2:$C$1137,C467),9)</f>
        <v>1</v>
      </c>
    </row>
    <row r="468" customFormat="false" ht="15" hidden="false" customHeight="true" outlineLevel="0" collapsed="false">
      <c r="A468" s="38" t="n">
        <v>30</v>
      </c>
      <c r="B468" s="38" t="s">
        <v>648</v>
      </c>
      <c r="C468" s="38" t="s">
        <v>172</v>
      </c>
      <c r="D468" s="38" t="s">
        <v>169</v>
      </c>
      <c r="E468" s="38" t="str">
        <f aca="false">A468&amp;"|"&amp;C468&amp;"|"&amp;D468</f>
        <v>30|A|G</v>
      </c>
      <c r="F468" s="43" t="n">
        <v>0</v>
      </c>
      <c r="G468" s="38" t="n">
        <f aca="false">SUMIFS($F$2:$F$1137,$A$2:$A$1137,A468,$C$2:$C$1137,C468)</f>
        <v>0</v>
      </c>
      <c r="H468" s="43" t="n">
        <v>1</v>
      </c>
      <c r="I468" s="45" t="str">
        <f aca="false">IF(G468=0,"",F468/G468)</f>
        <v/>
      </c>
      <c r="J468" s="45" t="n">
        <f aca="false">K468/L468</f>
        <v>0.25</v>
      </c>
      <c r="K468" s="38" t="n">
        <f aca="false">F468+H468</f>
        <v>1</v>
      </c>
      <c r="L468" s="38" t="n">
        <f aca="false">G468+4*H468</f>
        <v>4</v>
      </c>
      <c r="M468" s="38" t="s">
        <v>619</v>
      </c>
      <c r="N468" s="38" t="n">
        <f aca="false">ROUND(SUMIFS($J$2:$J$1137,$A$2:$A$1137,A468,$C$2:$C$1137,C468),9)</f>
        <v>1</v>
      </c>
    </row>
    <row r="469" customFormat="false" ht="15" hidden="false" customHeight="true" outlineLevel="0" collapsed="false">
      <c r="A469" s="38" t="n">
        <v>30</v>
      </c>
      <c r="B469" s="38" t="s">
        <v>648</v>
      </c>
      <c r="C469" s="38" t="s">
        <v>172</v>
      </c>
      <c r="D469" s="38" t="s">
        <v>171</v>
      </c>
      <c r="E469" s="38" t="str">
        <f aca="false">A469&amp;"|"&amp;C469&amp;"|"&amp;D469</f>
        <v>30|A|U</v>
      </c>
      <c r="F469" s="43" t="n">
        <v>0</v>
      </c>
      <c r="G469" s="38" t="n">
        <f aca="false">SUMIFS($F$2:$F$1137,$A$2:$A$1137,A469,$C$2:$C$1137,C469)</f>
        <v>0</v>
      </c>
      <c r="H469" s="43" t="n">
        <v>1</v>
      </c>
      <c r="I469" s="45" t="str">
        <f aca="false">IF(G469=0,"",F469/G469)</f>
        <v/>
      </c>
      <c r="J469" s="45" t="n">
        <f aca="false">K469/L469</f>
        <v>0.25</v>
      </c>
      <c r="K469" s="38" t="n">
        <f aca="false">F469+H469</f>
        <v>1</v>
      </c>
      <c r="L469" s="38" t="n">
        <f aca="false">G469+4*H469</f>
        <v>4</v>
      </c>
      <c r="M469" s="38" t="s">
        <v>619</v>
      </c>
      <c r="N469" s="38" t="n">
        <f aca="false">ROUND(SUMIFS($J$2:$J$1137,$A$2:$A$1137,A469,$C$2:$C$1137,C469),9)</f>
        <v>1</v>
      </c>
    </row>
    <row r="470" customFormat="false" ht="15" hidden="false" customHeight="true" outlineLevel="0" collapsed="false">
      <c r="A470" s="38" t="n">
        <v>30</v>
      </c>
      <c r="B470" s="38" t="s">
        <v>648</v>
      </c>
      <c r="C470" s="38" t="s">
        <v>170</v>
      </c>
      <c r="D470" s="38" t="s">
        <v>172</v>
      </c>
      <c r="E470" s="38" t="str">
        <f aca="false">A470&amp;"|"&amp;C470&amp;"|"&amp;D470</f>
        <v>30|C|A</v>
      </c>
      <c r="F470" s="43" t="n">
        <v>3</v>
      </c>
      <c r="G470" s="38" t="n">
        <f aca="false">SUMIFS($F$2:$F$1137,$A$2:$A$1137,A470,$C$2:$C$1137,C470)</f>
        <v>42</v>
      </c>
      <c r="H470" s="43" t="n">
        <v>1</v>
      </c>
      <c r="I470" s="45" t="n">
        <f aca="false">IF(G470=0,"",F470/G470)</f>
        <v>0.0714285714285714</v>
      </c>
      <c r="J470" s="45" t="n">
        <f aca="false">K470/L470</f>
        <v>0.0869565217391304</v>
      </c>
      <c r="K470" s="38" t="n">
        <f aca="false">F470+H470</f>
        <v>4</v>
      </c>
      <c r="L470" s="38" t="n">
        <f aca="false">G470+4*H470</f>
        <v>46</v>
      </c>
      <c r="M470" s="38" t="s">
        <v>619</v>
      </c>
      <c r="N470" s="38" t="n">
        <f aca="false">ROUND(SUMIFS($J$2:$J$1137,$A$2:$A$1137,A470,$C$2:$C$1137,C470),9)</f>
        <v>1</v>
      </c>
    </row>
    <row r="471" customFormat="false" ht="15" hidden="false" customHeight="true" outlineLevel="0" collapsed="false">
      <c r="A471" s="38" t="n">
        <v>30</v>
      </c>
      <c r="B471" s="38" t="s">
        <v>648</v>
      </c>
      <c r="C471" s="38" t="s">
        <v>170</v>
      </c>
      <c r="D471" s="38" t="s">
        <v>170</v>
      </c>
      <c r="E471" s="38" t="str">
        <f aca="false">A471&amp;"|"&amp;C471&amp;"|"&amp;D471</f>
        <v>30|C|C</v>
      </c>
      <c r="F471" s="43" t="n">
        <v>28</v>
      </c>
      <c r="G471" s="38" t="n">
        <f aca="false">SUMIFS($F$2:$F$1137,$A$2:$A$1137,A471,$C$2:$C$1137,C471)</f>
        <v>42</v>
      </c>
      <c r="H471" s="43" t="n">
        <v>1</v>
      </c>
      <c r="I471" s="45" t="n">
        <f aca="false">IF(G471=0,"",F471/G471)</f>
        <v>0.666666666666667</v>
      </c>
      <c r="J471" s="45" t="n">
        <f aca="false">K471/L471</f>
        <v>0.630434782608696</v>
      </c>
      <c r="K471" s="38" t="n">
        <f aca="false">F471+H471</f>
        <v>29</v>
      </c>
      <c r="L471" s="38" t="n">
        <f aca="false">G471+4*H471</f>
        <v>46</v>
      </c>
      <c r="M471" s="38" t="s">
        <v>619</v>
      </c>
      <c r="N471" s="38" t="n">
        <f aca="false">ROUND(SUMIFS($J$2:$J$1137,$A$2:$A$1137,A471,$C$2:$C$1137,C471),9)</f>
        <v>1</v>
      </c>
    </row>
    <row r="472" customFormat="false" ht="15" hidden="false" customHeight="true" outlineLevel="0" collapsed="false">
      <c r="A472" s="38" t="n">
        <v>30</v>
      </c>
      <c r="B472" s="38" t="s">
        <v>648</v>
      </c>
      <c r="C472" s="38" t="s">
        <v>170</v>
      </c>
      <c r="D472" s="38" t="s">
        <v>169</v>
      </c>
      <c r="E472" s="38" t="str">
        <f aca="false">A472&amp;"|"&amp;C472&amp;"|"&amp;D472</f>
        <v>30|C|G</v>
      </c>
      <c r="F472" s="43" t="n">
        <v>9</v>
      </c>
      <c r="G472" s="38" t="n">
        <f aca="false">SUMIFS($F$2:$F$1137,$A$2:$A$1137,A472,$C$2:$C$1137,C472)</f>
        <v>42</v>
      </c>
      <c r="H472" s="43" t="n">
        <v>1</v>
      </c>
      <c r="I472" s="45" t="n">
        <f aca="false">IF(G472=0,"",F472/G472)</f>
        <v>0.214285714285714</v>
      </c>
      <c r="J472" s="45" t="n">
        <f aca="false">K472/L472</f>
        <v>0.217391304347826</v>
      </c>
      <c r="K472" s="38" t="n">
        <f aca="false">F472+H472</f>
        <v>10</v>
      </c>
      <c r="L472" s="38" t="n">
        <f aca="false">G472+4*H472</f>
        <v>46</v>
      </c>
      <c r="M472" s="38" t="s">
        <v>619</v>
      </c>
      <c r="N472" s="38" t="n">
        <f aca="false">ROUND(SUMIFS($J$2:$J$1137,$A$2:$A$1137,A472,$C$2:$C$1137,C472),9)</f>
        <v>1</v>
      </c>
    </row>
    <row r="473" customFormat="false" ht="15" hidden="false" customHeight="true" outlineLevel="0" collapsed="false">
      <c r="A473" s="38" t="n">
        <v>30</v>
      </c>
      <c r="B473" s="38" t="s">
        <v>648</v>
      </c>
      <c r="C473" s="38" t="s">
        <v>170</v>
      </c>
      <c r="D473" s="38" t="s">
        <v>171</v>
      </c>
      <c r="E473" s="38" t="str">
        <f aca="false">A473&amp;"|"&amp;C473&amp;"|"&amp;D473</f>
        <v>30|C|U</v>
      </c>
      <c r="F473" s="43" t="n">
        <v>2</v>
      </c>
      <c r="G473" s="38" t="n">
        <f aca="false">SUMIFS($F$2:$F$1137,$A$2:$A$1137,A473,$C$2:$C$1137,C473)</f>
        <v>42</v>
      </c>
      <c r="H473" s="43" t="n">
        <v>1</v>
      </c>
      <c r="I473" s="45" t="n">
        <f aca="false">IF(G473=0,"",F473/G473)</f>
        <v>0.0476190476190476</v>
      </c>
      <c r="J473" s="45" t="n">
        <f aca="false">K473/L473</f>
        <v>0.0652173913043478</v>
      </c>
      <c r="K473" s="38" t="n">
        <f aca="false">F473+H473</f>
        <v>3</v>
      </c>
      <c r="L473" s="38" t="n">
        <f aca="false">G473+4*H473</f>
        <v>46</v>
      </c>
      <c r="M473" s="38" t="s">
        <v>619</v>
      </c>
      <c r="N473" s="38" t="n">
        <f aca="false">ROUND(SUMIFS($J$2:$J$1137,$A$2:$A$1137,A473,$C$2:$C$1137,C473),9)</f>
        <v>1</v>
      </c>
    </row>
    <row r="474" customFormat="false" ht="15" hidden="false" customHeight="true" outlineLevel="0" collapsed="false">
      <c r="A474" s="38" t="n">
        <v>30</v>
      </c>
      <c r="B474" s="38" t="s">
        <v>648</v>
      </c>
      <c r="C474" s="38" t="s">
        <v>169</v>
      </c>
      <c r="D474" s="38" t="s">
        <v>172</v>
      </c>
      <c r="E474" s="38" t="str">
        <f aca="false">A474&amp;"|"&amp;C474&amp;"|"&amp;D474</f>
        <v>30|G|A</v>
      </c>
      <c r="F474" s="43" t="n">
        <v>49</v>
      </c>
      <c r="G474" s="38" t="n">
        <f aca="false">SUMIFS($F$2:$F$1137,$A$2:$A$1137,A474,$C$2:$C$1137,C474)</f>
        <v>150</v>
      </c>
      <c r="H474" s="43" t="n">
        <v>1</v>
      </c>
      <c r="I474" s="45" t="n">
        <f aca="false">IF(G474=0,"",F474/G474)</f>
        <v>0.326666666666667</v>
      </c>
      <c r="J474" s="45" t="n">
        <f aca="false">K474/L474</f>
        <v>0.324675324675325</v>
      </c>
      <c r="K474" s="38" t="n">
        <f aca="false">F474+H474</f>
        <v>50</v>
      </c>
      <c r="L474" s="38" t="n">
        <f aca="false">G474+4*H474</f>
        <v>154</v>
      </c>
      <c r="M474" s="38" t="s">
        <v>619</v>
      </c>
      <c r="N474" s="38" t="n">
        <f aca="false">ROUND(SUMIFS($J$2:$J$1137,$A$2:$A$1137,A474,$C$2:$C$1137,C474),9)</f>
        <v>1</v>
      </c>
    </row>
    <row r="475" customFormat="false" ht="15" hidden="false" customHeight="true" outlineLevel="0" collapsed="false">
      <c r="A475" s="38" t="n">
        <v>30</v>
      </c>
      <c r="B475" s="38" t="s">
        <v>648</v>
      </c>
      <c r="C475" s="38" t="s">
        <v>169</v>
      </c>
      <c r="D475" s="38" t="s">
        <v>170</v>
      </c>
      <c r="E475" s="38" t="str">
        <f aca="false">A475&amp;"|"&amp;C475&amp;"|"&amp;D475</f>
        <v>30|G|C</v>
      </c>
      <c r="F475" s="43" t="n">
        <v>43</v>
      </c>
      <c r="G475" s="38" t="n">
        <f aca="false">SUMIFS($F$2:$F$1137,$A$2:$A$1137,A475,$C$2:$C$1137,C475)</f>
        <v>150</v>
      </c>
      <c r="H475" s="43" t="n">
        <v>1</v>
      </c>
      <c r="I475" s="45" t="n">
        <f aca="false">IF(G475=0,"",F475/G475)</f>
        <v>0.286666666666667</v>
      </c>
      <c r="J475" s="45" t="n">
        <f aca="false">K475/L475</f>
        <v>0.285714285714286</v>
      </c>
      <c r="K475" s="38" t="n">
        <f aca="false">F475+H475</f>
        <v>44</v>
      </c>
      <c r="L475" s="38" t="n">
        <f aca="false">G475+4*H475</f>
        <v>154</v>
      </c>
      <c r="M475" s="38" t="s">
        <v>619</v>
      </c>
      <c r="N475" s="38" t="n">
        <f aca="false">ROUND(SUMIFS($J$2:$J$1137,$A$2:$A$1137,A475,$C$2:$C$1137,C475),9)</f>
        <v>1</v>
      </c>
    </row>
    <row r="476" customFormat="false" ht="15" hidden="false" customHeight="true" outlineLevel="0" collapsed="false">
      <c r="A476" s="38" t="n">
        <v>30</v>
      </c>
      <c r="B476" s="38" t="s">
        <v>648</v>
      </c>
      <c r="C476" s="38" t="s">
        <v>169</v>
      </c>
      <c r="D476" s="38" t="s">
        <v>169</v>
      </c>
      <c r="E476" s="38" t="str">
        <f aca="false">A476&amp;"|"&amp;C476&amp;"|"&amp;D476</f>
        <v>30|G|G</v>
      </c>
      <c r="F476" s="43" t="n">
        <v>41</v>
      </c>
      <c r="G476" s="38" t="n">
        <f aca="false">SUMIFS($F$2:$F$1137,$A$2:$A$1137,A476,$C$2:$C$1137,C476)</f>
        <v>150</v>
      </c>
      <c r="H476" s="43" t="n">
        <v>1</v>
      </c>
      <c r="I476" s="45" t="n">
        <f aca="false">IF(G476=0,"",F476/G476)</f>
        <v>0.273333333333333</v>
      </c>
      <c r="J476" s="45" t="n">
        <f aca="false">K476/L476</f>
        <v>0.272727272727273</v>
      </c>
      <c r="K476" s="38" t="n">
        <f aca="false">F476+H476</f>
        <v>42</v>
      </c>
      <c r="L476" s="38" t="n">
        <f aca="false">G476+4*H476</f>
        <v>154</v>
      </c>
      <c r="M476" s="38" t="s">
        <v>619</v>
      </c>
      <c r="N476" s="38" t="n">
        <f aca="false">ROUND(SUMIFS($J$2:$J$1137,$A$2:$A$1137,A476,$C$2:$C$1137,C476),9)</f>
        <v>1</v>
      </c>
    </row>
    <row r="477" customFormat="false" ht="15" hidden="false" customHeight="true" outlineLevel="0" collapsed="false">
      <c r="A477" s="38" t="n">
        <v>30</v>
      </c>
      <c r="B477" s="38" t="s">
        <v>648</v>
      </c>
      <c r="C477" s="38" t="s">
        <v>169</v>
      </c>
      <c r="D477" s="38" t="s">
        <v>171</v>
      </c>
      <c r="E477" s="38" t="str">
        <f aca="false">A477&amp;"|"&amp;C477&amp;"|"&amp;D477</f>
        <v>30|G|U</v>
      </c>
      <c r="F477" s="43" t="n">
        <v>17</v>
      </c>
      <c r="G477" s="38" t="n">
        <f aca="false">SUMIFS($F$2:$F$1137,$A$2:$A$1137,A477,$C$2:$C$1137,C477)</f>
        <v>150</v>
      </c>
      <c r="H477" s="43" t="n">
        <v>1</v>
      </c>
      <c r="I477" s="45" t="n">
        <f aca="false">IF(G477=0,"",F477/G477)</f>
        <v>0.113333333333333</v>
      </c>
      <c r="J477" s="45" t="n">
        <f aca="false">K477/L477</f>
        <v>0.116883116883117</v>
      </c>
      <c r="K477" s="38" t="n">
        <f aca="false">F477+H477</f>
        <v>18</v>
      </c>
      <c r="L477" s="38" t="n">
        <f aca="false">G477+4*H477</f>
        <v>154</v>
      </c>
      <c r="M477" s="38" t="s">
        <v>619</v>
      </c>
      <c r="N477" s="38" t="n">
        <f aca="false">ROUND(SUMIFS($J$2:$J$1137,$A$2:$A$1137,A477,$C$2:$C$1137,C477),9)</f>
        <v>1</v>
      </c>
    </row>
    <row r="478" customFormat="false" ht="15" hidden="false" customHeight="true" outlineLevel="0" collapsed="false">
      <c r="A478" s="38" t="n">
        <v>30</v>
      </c>
      <c r="B478" s="38" t="s">
        <v>648</v>
      </c>
      <c r="C478" s="38" t="s">
        <v>171</v>
      </c>
      <c r="D478" s="38" t="s">
        <v>172</v>
      </c>
      <c r="E478" s="38" t="str">
        <f aca="false">A478&amp;"|"&amp;C478&amp;"|"&amp;D478</f>
        <v>30|U|A</v>
      </c>
      <c r="F478" s="43" t="n">
        <v>2</v>
      </c>
      <c r="G478" s="38" t="n">
        <f aca="false">SUMIFS($F$2:$F$1137,$A$2:$A$1137,A478,$C$2:$C$1137,C478)</f>
        <v>7</v>
      </c>
      <c r="H478" s="43" t="n">
        <v>1</v>
      </c>
      <c r="I478" s="45" t="n">
        <f aca="false">IF(G478=0,"",F478/G478)</f>
        <v>0.285714285714286</v>
      </c>
      <c r="J478" s="45" t="n">
        <f aca="false">K478/L478</f>
        <v>0.272727272727273</v>
      </c>
      <c r="K478" s="38" t="n">
        <f aca="false">F478+H478</f>
        <v>3</v>
      </c>
      <c r="L478" s="38" t="n">
        <f aca="false">G478+4*H478</f>
        <v>11</v>
      </c>
      <c r="M478" s="38" t="s">
        <v>619</v>
      </c>
      <c r="N478" s="38" t="n">
        <f aca="false">ROUND(SUMIFS($J$2:$J$1137,$A$2:$A$1137,A478,$C$2:$C$1137,C478),9)</f>
        <v>1</v>
      </c>
    </row>
    <row r="479" customFormat="false" ht="15" hidden="false" customHeight="true" outlineLevel="0" collapsed="false">
      <c r="A479" s="38" t="n">
        <v>30</v>
      </c>
      <c r="B479" s="38" t="s">
        <v>648</v>
      </c>
      <c r="C479" s="38" t="s">
        <v>171</v>
      </c>
      <c r="D479" s="38" t="s">
        <v>170</v>
      </c>
      <c r="E479" s="38" t="str">
        <f aca="false">A479&amp;"|"&amp;C479&amp;"|"&amp;D479</f>
        <v>30|U|C</v>
      </c>
      <c r="F479" s="43" t="n">
        <v>1</v>
      </c>
      <c r="G479" s="38" t="n">
        <f aca="false">SUMIFS($F$2:$F$1137,$A$2:$A$1137,A479,$C$2:$C$1137,C479)</f>
        <v>7</v>
      </c>
      <c r="H479" s="43" t="n">
        <v>1</v>
      </c>
      <c r="I479" s="45" t="n">
        <f aca="false">IF(G479=0,"",F479/G479)</f>
        <v>0.142857142857143</v>
      </c>
      <c r="J479" s="45" t="n">
        <f aca="false">K479/L479</f>
        <v>0.181818181818182</v>
      </c>
      <c r="K479" s="38" t="n">
        <f aca="false">F479+H479</f>
        <v>2</v>
      </c>
      <c r="L479" s="38" t="n">
        <f aca="false">G479+4*H479</f>
        <v>11</v>
      </c>
      <c r="M479" s="38" t="s">
        <v>619</v>
      </c>
      <c r="N479" s="38" t="n">
        <f aca="false">ROUND(SUMIFS($J$2:$J$1137,$A$2:$A$1137,A479,$C$2:$C$1137,C479),9)</f>
        <v>1</v>
      </c>
    </row>
    <row r="480" customFormat="false" ht="15" hidden="false" customHeight="true" outlineLevel="0" collapsed="false">
      <c r="A480" s="38" t="n">
        <v>30</v>
      </c>
      <c r="B480" s="38" t="s">
        <v>648</v>
      </c>
      <c r="C480" s="38" t="s">
        <v>171</v>
      </c>
      <c r="D480" s="38" t="s">
        <v>169</v>
      </c>
      <c r="E480" s="38" t="str">
        <f aca="false">A480&amp;"|"&amp;C480&amp;"|"&amp;D480</f>
        <v>30|U|G</v>
      </c>
      <c r="F480" s="43" t="n">
        <v>4</v>
      </c>
      <c r="G480" s="38" t="n">
        <f aca="false">SUMIFS($F$2:$F$1137,$A$2:$A$1137,A480,$C$2:$C$1137,C480)</f>
        <v>7</v>
      </c>
      <c r="H480" s="43" t="n">
        <v>1</v>
      </c>
      <c r="I480" s="45" t="n">
        <f aca="false">IF(G480=0,"",F480/G480)</f>
        <v>0.571428571428571</v>
      </c>
      <c r="J480" s="45" t="n">
        <f aca="false">K480/L480</f>
        <v>0.454545454545455</v>
      </c>
      <c r="K480" s="38" t="n">
        <f aca="false">F480+H480</f>
        <v>5</v>
      </c>
      <c r="L480" s="38" t="n">
        <f aca="false">G480+4*H480</f>
        <v>11</v>
      </c>
      <c r="M480" s="38" t="s">
        <v>619</v>
      </c>
      <c r="N480" s="38" t="n">
        <f aca="false">ROUND(SUMIFS($J$2:$J$1137,$A$2:$A$1137,A480,$C$2:$C$1137,C480),9)</f>
        <v>1</v>
      </c>
    </row>
    <row r="481" customFormat="false" ht="15" hidden="false" customHeight="true" outlineLevel="0" collapsed="false">
      <c r="A481" s="38" t="n">
        <v>30</v>
      </c>
      <c r="B481" s="38" t="s">
        <v>648</v>
      </c>
      <c r="C481" s="38" t="s">
        <v>171</v>
      </c>
      <c r="D481" s="38" t="s">
        <v>171</v>
      </c>
      <c r="E481" s="38" t="str">
        <f aca="false">A481&amp;"|"&amp;C481&amp;"|"&amp;D481</f>
        <v>30|U|U</v>
      </c>
      <c r="F481" s="43" t="n">
        <v>0</v>
      </c>
      <c r="G481" s="38" t="n">
        <f aca="false">SUMIFS($F$2:$F$1137,$A$2:$A$1137,A481,$C$2:$C$1137,C481)</f>
        <v>7</v>
      </c>
      <c r="H481" s="43" t="n">
        <v>1</v>
      </c>
      <c r="I481" s="45" t="n">
        <f aca="false">IF(G481=0,"",F481/G481)</f>
        <v>0</v>
      </c>
      <c r="J481" s="45" t="n">
        <f aca="false">K481/L481</f>
        <v>0.0909090909090909</v>
      </c>
      <c r="K481" s="38" t="n">
        <f aca="false">F481+H481</f>
        <v>1</v>
      </c>
      <c r="L481" s="38" t="n">
        <f aca="false">G481+4*H481</f>
        <v>11</v>
      </c>
      <c r="M481" s="38" t="s">
        <v>619</v>
      </c>
      <c r="N481" s="38" t="n">
        <f aca="false">ROUND(SUMIFS($J$2:$J$1137,$A$2:$A$1137,A481,$C$2:$C$1137,C481),9)</f>
        <v>1</v>
      </c>
    </row>
    <row r="482" customFormat="false" ht="15" hidden="false" customHeight="true" outlineLevel="0" collapsed="false">
      <c r="A482" s="38" t="n">
        <v>31</v>
      </c>
      <c r="B482" s="38" t="s">
        <v>649</v>
      </c>
      <c r="C482" s="38" t="s">
        <v>172</v>
      </c>
      <c r="D482" s="38" t="s">
        <v>172</v>
      </c>
      <c r="E482" s="38" t="str">
        <f aca="false">A482&amp;"|"&amp;C482&amp;"|"&amp;D482</f>
        <v>31|A|A</v>
      </c>
      <c r="F482" s="43" t="n">
        <v>0</v>
      </c>
      <c r="G482" s="38" t="n">
        <f aca="false">SUMIFS($F$2:$F$1137,$A$2:$A$1137,A482,$C$2:$C$1137,C482)</f>
        <v>54</v>
      </c>
      <c r="H482" s="43" t="n">
        <v>1</v>
      </c>
      <c r="I482" s="45" t="n">
        <f aca="false">IF(G482=0,"",F482/G482)</f>
        <v>0</v>
      </c>
      <c r="J482" s="45" t="n">
        <f aca="false">K482/L482</f>
        <v>0.0172413793103448</v>
      </c>
      <c r="K482" s="38" t="n">
        <f aca="false">F482+H482</f>
        <v>1</v>
      </c>
      <c r="L482" s="38" t="n">
        <f aca="false">G482+4*H482</f>
        <v>58</v>
      </c>
      <c r="M482" s="38" t="s">
        <v>619</v>
      </c>
      <c r="N482" s="38" t="n">
        <f aca="false">ROUND(SUMIFS($J$2:$J$1137,$A$2:$A$1137,A482,$C$2:$C$1137,C482),9)</f>
        <v>1</v>
      </c>
    </row>
    <row r="483" customFormat="false" ht="15" hidden="false" customHeight="true" outlineLevel="0" collapsed="false">
      <c r="A483" s="38" t="n">
        <v>31</v>
      </c>
      <c r="B483" s="38" t="s">
        <v>649</v>
      </c>
      <c r="C483" s="38" t="s">
        <v>172</v>
      </c>
      <c r="D483" s="38" t="s">
        <v>170</v>
      </c>
      <c r="E483" s="38" t="str">
        <f aca="false">A483&amp;"|"&amp;C483&amp;"|"&amp;D483</f>
        <v>31|A|C</v>
      </c>
      <c r="F483" s="43" t="n">
        <v>47</v>
      </c>
      <c r="G483" s="38" t="n">
        <f aca="false">SUMIFS($F$2:$F$1137,$A$2:$A$1137,A483,$C$2:$C$1137,C483)</f>
        <v>54</v>
      </c>
      <c r="H483" s="43" t="n">
        <v>1</v>
      </c>
      <c r="I483" s="45" t="n">
        <f aca="false">IF(G483=0,"",F483/G483)</f>
        <v>0.87037037037037</v>
      </c>
      <c r="J483" s="45" t="n">
        <f aca="false">K483/L483</f>
        <v>0.827586206896552</v>
      </c>
      <c r="K483" s="38" t="n">
        <f aca="false">F483+H483</f>
        <v>48</v>
      </c>
      <c r="L483" s="38" t="n">
        <f aca="false">G483+4*H483</f>
        <v>58</v>
      </c>
      <c r="M483" s="38" t="s">
        <v>619</v>
      </c>
      <c r="N483" s="38" t="n">
        <f aca="false">ROUND(SUMIFS($J$2:$J$1137,$A$2:$A$1137,A483,$C$2:$C$1137,C483),9)</f>
        <v>1</v>
      </c>
    </row>
    <row r="484" customFormat="false" ht="15" hidden="false" customHeight="true" outlineLevel="0" collapsed="false">
      <c r="A484" s="38" t="n">
        <v>31</v>
      </c>
      <c r="B484" s="38" t="s">
        <v>649</v>
      </c>
      <c r="C484" s="38" t="s">
        <v>172</v>
      </c>
      <c r="D484" s="38" t="s">
        <v>169</v>
      </c>
      <c r="E484" s="38" t="str">
        <f aca="false">A484&amp;"|"&amp;C484&amp;"|"&amp;D484</f>
        <v>31|A|G</v>
      </c>
      <c r="F484" s="43" t="n">
        <v>0</v>
      </c>
      <c r="G484" s="38" t="n">
        <f aca="false">SUMIFS($F$2:$F$1137,$A$2:$A$1137,A484,$C$2:$C$1137,C484)</f>
        <v>54</v>
      </c>
      <c r="H484" s="43" t="n">
        <v>1</v>
      </c>
      <c r="I484" s="45" t="n">
        <f aca="false">IF(G484=0,"",F484/G484)</f>
        <v>0</v>
      </c>
      <c r="J484" s="45" t="n">
        <f aca="false">K484/L484</f>
        <v>0.0172413793103448</v>
      </c>
      <c r="K484" s="38" t="n">
        <f aca="false">F484+H484</f>
        <v>1</v>
      </c>
      <c r="L484" s="38" t="n">
        <f aca="false">G484+4*H484</f>
        <v>58</v>
      </c>
      <c r="M484" s="38" t="s">
        <v>619</v>
      </c>
      <c r="N484" s="38" t="n">
        <f aca="false">ROUND(SUMIFS($J$2:$J$1137,$A$2:$A$1137,A484,$C$2:$C$1137,C484),9)</f>
        <v>1</v>
      </c>
    </row>
    <row r="485" customFormat="false" ht="15" hidden="false" customHeight="true" outlineLevel="0" collapsed="false">
      <c r="A485" s="38" t="n">
        <v>31</v>
      </c>
      <c r="B485" s="38" t="s">
        <v>649</v>
      </c>
      <c r="C485" s="38" t="s">
        <v>172</v>
      </c>
      <c r="D485" s="38" t="s">
        <v>171</v>
      </c>
      <c r="E485" s="38" t="str">
        <f aca="false">A485&amp;"|"&amp;C485&amp;"|"&amp;D485</f>
        <v>31|A|U</v>
      </c>
      <c r="F485" s="43" t="n">
        <v>7</v>
      </c>
      <c r="G485" s="38" t="n">
        <f aca="false">SUMIFS($F$2:$F$1137,$A$2:$A$1137,A485,$C$2:$C$1137,C485)</f>
        <v>54</v>
      </c>
      <c r="H485" s="43" t="n">
        <v>1</v>
      </c>
      <c r="I485" s="45" t="n">
        <f aca="false">IF(G485=0,"",F485/G485)</f>
        <v>0.12962962962963</v>
      </c>
      <c r="J485" s="45" t="n">
        <f aca="false">K485/L485</f>
        <v>0.137931034482759</v>
      </c>
      <c r="K485" s="38" t="n">
        <f aca="false">F485+H485</f>
        <v>8</v>
      </c>
      <c r="L485" s="38" t="n">
        <f aca="false">G485+4*H485</f>
        <v>58</v>
      </c>
      <c r="M485" s="38" t="s">
        <v>619</v>
      </c>
      <c r="N485" s="38" t="n">
        <f aca="false">ROUND(SUMIFS($J$2:$J$1137,$A$2:$A$1137,A485,$C$2:$C$1137,C485),9)</f>
        <v>1</v>
      </c>
    </row>
    <row r="486" customFormat="false" ht="15" hidden="false" customHeight="true" outlineLevel="0" collapsed="false">
      <c r="A486" s="38" t="n">
        <v>31</v>
      </c>
      <c r="B486" s="38" t="s">
        <v>649</v>
      </c>
      <c r="C486" s="38" t="s">
        <v>170</v>
      </c>
      <c r="D486" s="38" t="s">
        <v>172</v>
      </c>
      <c r="E486" s="38" t="str">
        <f aca="false">A486&amp;"|"&amp;C486&amp;"|"&amp;D486</f>
        <v>31|C|A</v>
      </c>
      <c r="F486" s="43" t="n">
        <v>6</v>
      </c>
      <c r="G486" s="38" t="n">
        <f aca="false">SUMIFS($F$2:$F$1137,$A$2:$A$1137,A486,$C$2:$C$1137,C486)</f>
        <v>72</v>
      </c>
      <c r="H486" s="43" t="n">
        <v>1</v>
      </c>
      <c r="I486" s="45" t="n">
        <f aca="false">IF(G486=0,"",F486/G486)</f>
        <v>0.0833333333333333</v>
      </c>
      <c r="J486" s="45" t="n">
        <f aca="false">K486/L486</f>
        <v>0.0921052631578947</v>
      </c>
      <c r="K486" s="38" t="n">
        <f aca="false">F486+H486</f>
        <v>7</v>
      </c>
      <c r="L486" s="38" t="n">
        <f aca="false">G486+4*H486</f>
        <v>76</v>
      </c>
      <c r="M486" s="38" t="s">
        <v>619</v>
      </c>
      <c r="N486" s="38" t="n">
        <f aca="false">ROUND(SUMIFS($J$2:$J$1137,$A$2:$A$1137,A486,$C$2:$C$1137,C486),9)</f>
        <v>1</v>
      </c>
    </row>
    <row r="487" customFormat="false" ht="15" hidden="false" customHeight="true" outlineLevel="0" collapsed="false">
      <c r="A487" s="38" t="n">
        <v>31</v>
      </c>
      <c r="B487" s="38" t="s">
        <v>649</v>
      </c>
      <c r="C487" s="38" t="s">
        <v>170</v>
      </c>
      <c r="D487" s="38" t="s">
        <v>170</v>
      </c>
      <c r="E487" s="38" t="str">
        <f aca="false">A487&amp;"|"&amp;C487&amp;"|"&amp;D487</f>
        <v>31|C|C</v>
      </c>
      <c r="F487" s="43" t="n">
        <v>36</v>
      </c>
      <c r="G487" s="38" t="n">
        <f aca="false">SUMIFS($F$2:$F$1137,$A$2:$A$1137,A487,$C$2:$C$1137,C487)</f>
        <v>72</v>
      </c>
      <c r="H487" s="43" t="n">
        <v>1</v>
      </c>
      <c r="I487" s="45" t="n">
        <f aca="false">IF(G487=0,"",F487/G487)</f>
        <v>0.5</v>
      </c>
      <c r="J487" s="45" t="n">
        <f aca="false">K487/L487</f>
        <v>0.486842105263158</v>
      </c>
      <c r="K487" s="38" t="n">
        <f aca="false">F487+H487</f>
        <v>37</v>
      </c>
      <c r="L487" s="38" t="n">
        <f aca="false">G487+4*H487</f>
        <v>76</v>
      </c>
      <c r="M487" s="38" t="s">
        <v>619</v>
      </c>
      <c r="N487" s="38" t="n">
        <f aca="false">ROUND(SUMIFS($J$2:$J$1137,$A$2:$A$1137,A487,$C$2:$C$1137,C487),9)</f>
        <v>1</v>
      </c>
    </row>
    <row r="488" customFormat="false" ht="15" hidden="false" customHeight="true" outlineLevel="0" collapsed="false">
      <c r="A488" s="38" t="n">
        <v>31</v>
      </c>
      <c r="B488" s="38" t="s">
        <v>649</v>
      </c>
      <c r="C488" s="38" t="s">
        <v>170</v>
      </c>
      <c r="D488" s="38" t="s">
        <v>169</v>
      </c>
      <c r="E488" s="38" t="str">
        <f aca="false">A488&amp;"|"&amp;C488&amp;"|"&amp;D488</f>
        <v>31|C|G</v>
      </c>
      <c r="F488" s="43" t="n">
        <v>0</v>
      </c>
      <c r="G488" s="38" t="n">
        <f aca="false">SUMIFS($F$2:$F$1137,$A$2:$A$1137,A488,$C$2:$C$1137,C488)</f>
        <v>72</v>
      </c>
      <c r="H488" s="43" t="n">
        <v>1</v>
      </c>
      <c r="I488" s="45" t="n">
        <f aca="false">IF(G488=0,"",F488/G488)</f>
        <v>0</v>
      </c>
      <c r="J488" s="45" t="n">
        <f aca="false">K488/L488</f>
        <v>0.0131578947368421</v>
      </c>
      <c r="K488" s="38" t="n">
        <f aca="false">F488+H488</f>
        <v>1</v>
      </c>
      <c r="L488" s="38" t="n">
        <f aca="false">G488+4*H488</f>
        <v>76</v>
      </c>
      <c r="M488" s="38" t="s">
        <v>619</v>
      </c>
      <c r="N488" s="38" t="n">
        <f aca="false">ROUND(SUMIFS($J$2:$J$1137,$A$2:$A$1137,A488,$C$2:$C$1137,C488),9)</f>
        <v>1</v>
      </c>
    </row>
    <row r="489" customFormat="false" ht="15" hidden="false" customHeight="true" outlineLevel="0" collapsed="false">
      <c r="A489" s="38" t="n">
        <v>31</v>
      </c>
      <c r="B489" s="38" t="s">
        <v>649</v>
      </c>
      <c r="C489" s="38" t="s">
        <v>170</v>
      </c>
      <c r="D489" s="38" t="s">
        <v>171</v>
      </c>
      <c r="E489" s="38" t="str">
        <f aca="false">A489&amp;"|"&amp;C489&amp;"|"&amp;D489</f>
        <v>31|C|U</v>
      </c>
      <c r="F489" s="43" t="n">
        <v>30</v>
      </c>
      <c r="G489" s="38" t="n">
        <f aca="false">SUMIFS($F$2:$F$1137,$A$2:$A$1137,A489,$C$2:$C$1137,C489)</f>
        <v>72</v>
      </c>
      <c r="H489" s="43" t="n">
        <v>1</v>
      </c>
      <c r="I489" s="45" t="n">
        <f aca="false">IF(G489=0,"",F489/G489)</f>
        <v>0.416666666666667</v>
      </c>
      <c r="J489" s="45" t="n">
        <f aca="false">K489/L489</f>
        <v>0.407894736842105</v>
      </c>
      <c r="K489" s="38" t="n">
        <f aca="false">F489+H489</f>
        <v>31</v>
      </c>
      <c r="L489" s="38" t="n">
        <f aca="false">G489+4*H489</f>
        <v>76</v>
      </c>
      <c r="M489" s="38" t="s">
        <v>619</v>
      </c>
      <c r="N489" s="38" t="n">
        <f aca="false">ROUND(SUMIFS($J$2:$J$1137,$A$2:$A$1137,A489,$C$2:$C$1137,C489),9)</f>
        <v>1</v>
      </c>
    </row>
    <row r="490" customFormat="false" ht="15" hidden="false" customHeight="true" outlineLevel="0" collapsed="false">
      <c r="A490" s="38" t="n">
        <v>31</v>
      </c>
      <c r="B490" s="38" t="s">
        <v>649</v>
      </c>
      <c r="C490" s="38" t="s">
        <v>169</v>
      </c>
      <c r="D490" s="38" t="s">
        <v>172</v>
      </c>
      <c r="E490" s="38" t="str">
        <f aca="false">A490&amp;"|"&amp;C490&amp;"|"&amp;D490</f>
        <v>31|G|A</v>
      </c>
      <c r="F490" s="43" t="n">
        <v>0</v>
      </c>
      <c r="G490" s="38" t="n">
        <f aca="false">SUMIFS($F$2:$F$1137,$A$2:$A$1137,A490,$C$2:$C$1137,C490)</f>
        <v>54</v>
      </c>
      <c r="H490" s="43" t="n">
        <v>1</v>
      </c>
      <c r="I490" s="45" t="n">
        <f aca="false">IF(G490=0,"",F490/G490)</f>
        <v>0</v>
      </c>
      <c r="J490" s="45" t="n">
        <f aca="false">K490/L490</f>
        <v>0.0172413793103448</v>
      </c>
      <c r="K490" s="38" t="n">
        <f aca="false">F490+H490</f>
        <v>1</v>
      </c>
      <c r="L490" s="38" t="n">
        <f aca="false">G490+4*H490</f>
        <v>58</v>
      </c>
      <c r="M490" s="38" t="s">
        <v>619</v>
      </c>
      <c r="N490" s="38" t="n">
        <f aca="false">ROUND(SUMIFS($J$2:$J$1137,$A$2:$A$1137,A490,$C$2:$C$1137,C490),9)</f>
        <v>1</v>
      </c>
    </row>
    <row r="491" customFormat="false" ht="15" hidden="false" customHeight="true" outlineLevel="0" collapsed="false">
      <c r="A491" s="38" t="n">
        <v>31</v>
      </c>
      <c r="B491" s="38" t="s">
        <v>649</v>
      </c>
      <c r="C491" s="38" t="s">
        <v>169</v>
      </c>
      <c r="D491" s="38" t="s">
        <v>170</v>
      </c>
      <c r="E491" s="38" t="str">
        <f aca="false">A491&amp;"|"&amp;C491&amp;"|"&amp;D491</f>
        <v>31|G|C</v>
      </c>
      <c r="F491" s="43" t="n">
        <v>34</v>
      </c>
      <c r="G491" s="38" t="n">
        <f aca="false">SUMIFS($F$2:$F$1137,$A$2:$A$1137,A491,$C$2:$C$1137,C491)</f>
        <v>54</v>
      </c>
      <c r="H491" s="43" t="n">
        <v>1</v>
      </c>
      <c r="I491" s="45" t="n">
        <f aca="false">IF(G491=0,"",F491/G491)</f>
        <v>0.62962962962963</v>
      </c>
      <c r="J491" s="45" t="n">
        <f aca="false">K491/L491</f>
        <v>0.603448275862069</v>
      </c>
      <c r="K491" s="38" t="n">
        <f aca="false">F491+H491</f>
        <v>35</v>
      </c>
      <c r="L491" s="38" t="n">
        <f aca="false">G491+4*H491</f>
        <v>58</v>
      </c>
      <c r="M491" s="38" t="s">
        <v>619</v>
      </c>
      <c r="N491" s="38" t="n">
        <f aca="false">ROUND(SUMIFS($J$2:$J$1137,$A$2:$A$1137,A491,$C$2:$C$1137,C491),9)</f>
        <v>1</v>
      </c>
    </row>
    <row r="492" customFormat="false" ht="15" hidden="false" customHeight="true" outlineLevel="0" collapsed="false">
      <c r="A492" s="38" t="n">
        <v>31</v>
      </c>
      <c r="B492" s="38" t="s">
        <v>649</v>
      </c>
      <c r="C492" s="38" t="s">
        <v>169</v>
      </c>
      <c r="D492" s="38" t="s">
        <v>169</v>
      </c>
      <c r="E492" s="38" t="str">
        <f aca="false">A492&amp;"|"&amp;C492&amp;"|"&amp;D492</f>
        <v>31|G|G</v>
      </c>
      <c r="F492" s="43" t="n">
        <v>0</v>
      </c>
      <c r="G492" s="38" t="n">
        <f aca="false">SUMIFS($F$2:$F$1137,$A$2:$A$1137,A492,$C$2:$C$1137,C492)</f>
        <v>54</v>
      </c>
      <c r="H492" s="43" t="n">
        <v>1</v>
      </c>
      <c r="I492" s="45" t="n">
        <f aca="false">IF(G492=0,"",F492/G492)</f>
        <v>0</v>
      </c>
      <c r="J492" s="45" t="n">
        <f aca="false">K492/L492</f>
        <v>0.0172413793103448</v>
      </c>
      <c r="K492" s="38" t="n">
        <f aca="false">F492+H492</f>
        <v>1</v>
      </c>
      <c r="L492" s="38" t="n">
        <f aca="false">G492+4*H492</f>
        <v>58</v>
      </c>
      <c r="M492" s="38" t="s">
        <v>619</v>
      </c>
      <c r="N492" s="38" t="n">
        <f aca="false">ROUND(SUMIFS($J$2:$J$1137,$A$2:$A$1137,A492,$C$2:$C$1137,C492),9)</f>
        <v>1</v>
      </c>
    </row>
    <row r="493" customFormat="false" ht="15" hidden="false" customHeight="true" outlineLevel="0" collapsed="false">
      <c r="A493" s="38" t="n">
        <v>31</v>
      </c>
      <c r="B493" s="38" t="s">
        <v>649</v>
      </c>
      <c r="C493" s="38" t="s">
        <v>169</v>
      </c>
      <c r="D493" s="38" t="s">
        <v>171</v>
      </c>
      <c r="E493" s="38" t="str">
        <f aca="false">A493&amp;"|"&amp;C493&amp;"|"&amp;D493</f>
        <v>31|G|U</v>
      </c>
      <c r="F493" s="43" t="n">
        <v>20</v>
      </c>
      <c r="G493" s="38" t="n">
        <f aca="false">SUMIFS($F$2:$F$1137,$A$2:$A$1137,A493,$C$2:$C$1137,C493)</f>
        <v>54</v>
      </c>
      <c r="H493" s="43" t="n">
        <v>1</v>
      </c>
      <c r="I493" s="45" t="n">
        <f aca="false">IF(G493=0,"",F493/G493)</f>
        <v>0.37037037037037</v>
      </c>
      <c r="J493" s="45" t="n">
        <f aca="false">K493/L493</f>
        <v>0.362068965517241</v>
      </c>
      <c r="K493" s="38" t="n">
        <f aca="false">F493+H493</f>
        <v>21</v>
      </c>
      <c r="L493" s="38" t="n">
        <f aca="false">G493+4*H493</f>
        <v>58</v>
      </c>
      <c r="M493" s="38" t="s">
        <v>619</v>
      </c>
      <c r="N493" s="38" t="n">
        <f aca="false">ROUND(SUMIFS($J$2:$J$1137,$A$2:$A$1137,A493,$C$2:$C$1137,C493),9)</f>
        <v>1</v>
      </c>
    </row>
    <row r="494" customFormat="false" ht="15" hidden="false" customHeight="true" outlineLevel="0" collapsed="false">
      <c r="A494" s="38" t="n">
        <v>31</v>
      </c>
      <c r="B494" s="38" t="s">
        <v>649</v>
      </c>
      <c r="C494" s="38" t="s">
        <v>171</v>
      </c>
      <c r="D494" s="38" t="s">
        <v>172</v>
      </c>
      <c r="E494" s="38" t="str">
        <f aca="false">A494&amp;"|"&amp;C494&amp;"|"&amp;D494</f>
        <v>31|U|A</v>
      </c>
      <c r="F494" s="43" t="n">
        <v>0</v>
      </c>
      <c r="G494" s="38" t="n">
        <f aca="false">SUMIFS($F$2:$F$1137,$A$2:$A$1137,A494,$C$2:$C$1137,C494)</f>
        <v>19</v>
      </c>
      <c r="H494" s="43" t="n">
        <v>1</v>
      </c>
      <c r="I494" s="45" t="n">
        <f aca="false">IF(G494=0,"",F494/G494)</f>
        <v>0</v>
      </c>
      <c r="J494" s="45" t="n">
        <f aca="false">K494/L494</f>
        <v>0.0434782608695652</v>
      </c>
      <c r="K494" s="38" t="n">
        <f aca="false">F494+H494</f>
        <v>1</v>
      </c>
      <c r="L494" s="38" t="n">
        <f aca="false">G494+4*H494</f>
        <v>23</v>
      </c>
      <c r="M494" s="38" t="s">
        <v>619</v>
      </c>
      <c r="N494" s="38" t="n">
        <f aca="false">ROUND(SUMIFS($J$2:$J$1137,$A$2:$A$1137,A494,$C$2:$C$1137,C494),9)</f>
        <v>1</v>
      </c>
    </row>
    <row r="495" customFormat="false" ht="15" hidden="false" customHeight="true" outlineLevel="0" collapsed="false">
      <c r="A495" s="38" t="n">
        <v>31</v>
      </c>
      <c r="B495" s="38" t="s">
        <v>649</v>
      </c>
      <c r="C495" s="38" t="s">
        <v>171</v>
      </c>
      <c r="D495" s="38" t="s">
        <v>170</v>
      </c>
      <c r="E495" s="38" t="str">
        <f aca="false">A495&amp;"|"&amp;C495&amp;"|"&amp;D495</f>
        <v>31|U|C</v>
      </c>
      <c r="F495" s="43" t="n">
        <v>17</v>
      </c>
      <c r="G495" s="38" t="n">
        <f aca="false">SUMIFS($F$2:$F$1137,$A$2:$A$1137,A495,$C$2:$C$1137,C495)</f>
        <v>19</v>
      </c>
      <c r="H495" s="43" t="n">
        <v>1</v>
      </c>
      <c r="I495" s="45" t="n">
        <f aca="false">IF(G495=0,"",F495/G495)</f>
        <v>0.894736842105263</v>
      </c>
      <c r="J495" s="45" t="n">
        <f aca="false">K495/L495</f>
        <v>0.782608695652174</v>
      </c>
      <c r="K495" s="38" t="n">
        <f aca="false">F495+H495</f>
        <v>18</v>
      </c>
      <c r="L495" s="38" t="n">
        <f aca="false">G495+4*H495</f>
        <v>23</v>
      </c>
      <c r="M495" s="38" t="s">
        <v>619</v>
      </c>
      <c r="N495" s="38" t="n">
        <f aca="false">ROUND(SUMIFS($J$2:$J$1137,$A$2:$A$1137,A495,$C$2:$C$1137,C495),9)</f>
        <v>1</v>
      </c>
    </row>
    <row r="496" customFormat="false" ht="15" hidden="false" customHeight="true" outlineLevel="0" collapsed="false">
      <c r="A496" s="38" t="n">
        <v>31</v>
      </c>
      <c r="B496" s="38" t="s">
        <v>649</v>
      </c>
      <c r="C496" s="38" t="s">
        <v>171</v>
      </c>
      <c r="D496" s="38" t="s">
        <v>169</v>
      </c>
      <c r="E496" s="38" t="str">
        <f aca="false">A496&amp;"|"&amp;C496&amp;"|"&amp;D496</f>
        <v>31|U|G</v>
      </c>
      <c r="F496" s="43" t="n">
        <v>0</v>
      </c>
      <c r="G496" s="38" t="n">
        <f aca="false">SUMIFS($F$2:$F$1137,$A$2:$A$1137,A496,$C$2:$C$1137,C496)</f>
        <v>19</v>
      </c>
      <c r="H496" s="43" t="n">
        <v>1</v>
      </c>
      <c r="I496" s="45" t="n">
        <f aca="false">IF(G496=0,"",F496/G496)</f>
        <v>0</v>
      </c>
      <c r="J496" s="45" t="n">
        <f aca="false">K496/L496</f>
        <v>0.0434782608695652</v>
      </c>
      <c r="K496" s="38" t="n">
        <f aca="false">F496+H496</f>
        <v>1</v>
      </c>
      <c r="L496" s="38" t="n">
        <f aca="false">G496+4*H496</f>
        <v>23</v>
      </c>
      <c r="M496" s="38" t="s">
        <v>619</v>
      </c>
      <c r="N496" s="38" t="n">
        <f aca="false">ROUND(SUMIFS($J$2:$J$1137,$A$2:$A$1137,A496,$C$2:$C$1137,C496),9)</f>
        <v>1</v>
      </c>
    </row>
    <row r="497" customFormat="false" ht="15" hidden="false" customHeight="true" outlineLevel="0" collapsed="false">
      <c r="A497" s="38" t="n">
        <v>31</v>
      </c>
      <c r="B497" s="38" t="s">
        <v>649</v>
      </c>
      <c r="C497" s="38" t="s">
        <v>171</v>
      </c>
      <c r="D497" s="38" t="s">
        <v>171</v>
      </c>
      <c r="E497" s="38" t="str">
        <f aca="false">A497&amp;"|"&amp;C497&amp;"|"&amp;D497</f>
        <v>31|U|U</v>
      </c>
      <c r="F497" s="43" t="n">
        <v>2</v>
      </c>
      <c r="G497" s="38" t="n">
        <f aca="false">SUMIFS($F$2:$F$1137,$A$2:$A$1137,A497,$C$2:$C$1137,C497)</f>
        <v>19</v>
      </c>
      <c r="H497" s="43" t="n">
        <v>1</v>
      </c>
      <c r="I497" s="45" t="n">
        <f aca="false">IF(G497=0,"",F497/G497)</f>
        <v>0.105263157894737</v>
      </c>
      <c r="J497" s="45" t="n">
        <f aca="false">K497/L497</f>
        <v>0.130434782608696</v>
      </c>
      <c r="K497" s="38" t="n">
        <f aca="false">F497+H497</f>
        <v>3</v>
      </c>
      <c r="L497" s="38" t="n">
        <f aca="false">G497+4*H497</f>
        <v>23</v>
      </c>
      <c r="M497" s="38" t="s">
        <v>619</v>
      </c>
      <c r="N497" s="38" t="n">
        <f aca="false">ROUND(SUMIFS($J$2:$J$1137,$A$2:$A$1137,A497,$C$2:$C$1137,C497),9)</f>
        <v>1</v>
      </c>
    </row>
    <row r="498" customFormat="false" ht="15" hidden="false" customHeight="true" outlineLevel="0" collapsed="false">
      <c r="A498" s="38" t="n">
        <v>32</v>
      </c>
      <c r="B498" s="38" t="s">
        <v>650</v>
      </c>
      <c r="C498" s="38" t="s">
        <v>172</v>
      </c>
      <c r="D498" s="38" t="s">
        <v>172</v>
      </c>
      <c r="E498" s="38" t="str">
        <f aca="false">A498&amp;"|"&amp;C498&amp;"|"&amp;D498</f>
        <v>32|A|A</v>
      </c>
      <c r="F498" s="43" t="n">
        <v>0</v>
      </c>
      <c r="G498" s="38" t="n">
        <f aca="false">SUMIFS($F$2:$F$1137,$A$2:$A$1137,A498,$C$2:$C$1137,C498)</f>
        <v>6</v>
      </c>
      <c r="H498" s="43" t="n">
        <v>1</v>
      </c>
      <c r="I498" s="45" t="n">
        <f aca="false">IF(G498=0,"",F498/G498)</f>
        <v>0</v>
      </c>
      <c r="J498" s="45" t="n">
        <f aca="false">K498/L498</f>
        <v>0.1</v>
      </c>
      <c r="K498" s="38" t="n">
        <f aca="false">F498+H498</f>
        <v>1</v>
      </c>
      <c r="L498" s="38" t="n">
        <f aca="false">G498+4*H498</f>
        <v>10</v>
      </c>
      <c r="M498" s="38" t="s">
        <v>619</v>
      </c>
      <c r="N498" s="38" t="n">
        <f aca="false">ROUND(SUMIFS($J$2:$J$1137,$A$2:$A$1137,A498,$C$2:$C$1137,C498),9)</f>
        <v>1</v>
      </c>
    </row>
    <row r="499" customFormat="false" ht="15" hidden="false" customHeight="true" outlineLevel="0" collapsed="false">
      <c r="A499" s="38" t="n">
        <v>32</v>
      </c>
      <c r="B499" s="38" t="s">
        <v>650</v>
      </c>
      <c r="C499" s="38" t="s">
        <v>172</v>
      </c>
      <c r="D499" s="38" t="s">
        <v>170</v>
      </c>
      <c r="E499" s="38" t="str">
        <f aca="false">A499&amp;"|"&amp;C499&amp;"|"&amp;D499</f>
        <v>32|A|C</v>
      </c>
      <c r="F499" s="43" t="n">
        <v>0</v>
      </c>
      <c r="G499" s="38" t="n">
        <f aca="false">SUMIFS($F$2:$F$1137,$A$2:$A$1137,A499,$C$2:$C$1137,C499)</f>
        <v>6</v>
      </c>
      <c r="H499" s="43" t="n">
        <v>1</v>
      </c>
      <c r="I499" s="45" t="n">
        <f aca="false">IF(G499=0,"",F499/G499)</f>
        <v>0</v>
      </c>
      <c r="J499" s="45" t="n">
        <f aca="false">K499/L499</f>
        <v>0.1</v>
      </c>
      <c r="K499" s="38" t="n">
        <f aca="false">F499+H499</f>
        <v>1</v>
      </c>
      <c r="L499" s="38" t="n">
        <f aca="false">G499+4*H499</f>
        <v>10</v>
      </c>
      <c r="M499" s="38" t="s">
        <v>619</v>
      </c>
      <c r="N499" s="38" t="n">
        <f aca="false">ROUND(SUMIFS($J$2:$J$1137,$A$2:$A$1137,A499,$C$2:$C$1137,C499),9)</f>
        <v>1</v>
      </c>
    </row>
    <row r="500" customFormat="false" ht="15" hidden="false" customHeight="true" outlineLevel="0" collapsed="false">
      <c r="A500" s="38" t="n">
        <v>32</v>
      </c>
      <c r="B500" s="38" t="s">
        <v>650</v>
      </c>
      <c r="C500" s="38" t="s">
        <v>172</v>
      </c>
      <c r="D500" s="38" t="s">
        <v>169</v>
      </c>
      <c r="E500" s="38" t="str">
        <f aca="false">A500&amp;"|"&amp;C500&amp;"|"&amp;D500</f>
        <v>32|A|G</v>
      </c>
      <c r="F500" s="43" t="n">
        <v>0</v>
      </c>
      <c r="G500" s="38" t="n">
        <f aca="false">SUMIFS($F$2:$F$1137,$A$2:$A$1137,A500,$C$2:$C$1137,C500)</f>
        <v>6</v>
      </c>
      <c r="H500" s="43" t="n">
        <v>1</v>
      </c>
      <c r="I500" s="45" t="n">
        <f aca="false">IF(G500=0,"",F500/G500)</f>
        <v>0</v>
      </c>
      <c r="J500" s="45" t="n">
        <f aca="false">K500/L500</f>
        <v>0.1</v>
      </c>
      <c r="K500" s="38" t="n">
        <f aca="false">F500+H500</f>
        <v>1</v>
      </c>
      <c r="L500" s="38" t="n">
        <f aca="false">G500+4*H500</f>
        <v>10</v>
      </c>
      <c r="M500" s="38" t="s">
        <v>619</v>
      </c>
      <c r="N500" s="38" t="n">
        <f aca="false">ROUND(SUMIFS($J$2:$J$1137,$A$2:$A$1137,A500,$C$2:$C$1137,C500),9)</f>
        <v>1</v>
      </c>
    </row>
    <row r="501" customFormat="false" ht="15" hidden="false" customHeight="true" outlineLevel="0" collapsed="false">
      <c r="A501" s="38" t="n">
        <v>32</v>
      </c>
      <c r="B501" s="38" t="s">
        <v>650</v>
      </c>
      <c r="C501" s="38" t="s">
        <v>172</v>
      </c>
      <c r="D501" s="38" t="s">
        <v>171</v>
      </c>
      <c r="E501" s="38" t="str">
        <f aca="false">A501&amp;"|"&amp;C501&amp;"|"&amp;D501</f>
        <v>32|A|U</v>
      </c>
      <c r="F501" s="43" t="n">
        <v>6</v>
      </c>
      <c r="G501" s="38" t="n">
        <f aca="false">SUMIFS($F$2:$F$1137,$A$2:$A$1137,A501,$C$2:$C$1137,C501)</f>
        <v>6</v>
      </c>
      <c r="H501" s="43" t="n">
        <v>1</v>
      </c>
      <c r="I501" s="45" t="n">
        <f aca="false">IF(G501=0,"",F501/G501)</f>
        <v>1</v>
      </c>
      <c r="J501" s="45" t="n">
        <f aca="false">K501/L501</f>
        <v>0.7</v>
      </c>
      <c r="K501" s="38" t="n">
        <f aca="false">F501+H501</f>
        <v>7</v>
      </c>
      <c r="L501" s="38" t="n">
        <f aca="false">G501+4*H501</f>
        <v>10</v>
      </c>
      <c r="M501" s="38" t="s">
        <v>619</v>
      </c>
      <c r="N501" s="38" t="n">
        <f aca="false">ROUND(SUMIFS($J$2:$J$1137,$A$2:$A$1137,A501,$C$2:$C$1137,C501),9)</f>
        <v>1</v>
      </c>
    </row>
    <row r="502" customFormat="false" ht="15" hidden="false" customHeight="true" outlineLevel="0" collapsed="false">
      <c r="A502" s="38" t="n">
        <v>32</v>
      </c>
      <c r="B502" s="38" t="s">
        <v>650</v>
      </c>
      <c r="C502" s="38" t="s">
        <v>170</v>
      </c>
      <c r="D502" s="38" t="s">
        <v>172</v>
      </c>
      <c r="E502" s="38" t="str">
        <f aca="false">A502&amp;"|"&amp;C502&amp;"|"&amp;D502</f>
        <v>32|C|A</v>
      </c>
      <c r="F502" s="43" t="n">
        <v>0</v>
      </c>
      <c r="G502" s="38" t="n">
        <f aca="false">SUMIFS($F$2:$F$1137,$A$2:$A$1137,A502,$C$2:$C$1137,C502)</f>
        <v>134</v>
      </c>
      <c r="H502" s="43" t="n">
        <v>1</v>
      </c>
      <c r="I502" s="45" t="n">
        <f aca="false">IF(G502=0,"",F502/G502)</f>
        <v>0</v>
      </c>
      <c r="J502" s="45" t="n">
        <f aca="false">K502/L502</f>
        <v>0.0072463768115942</v>
      </c>
      <c r="K502" s="38" t="n">
        <f aca="false">F502+H502</f>
        <v>1</v>
      </c>
      <c r="L502" s="38" t="n">
        <f aca="false">G502+4*H502</f>
        <v>138</v>
      </c>
      <c r="M502" s="38" t="s">
        <v>619</v>
      </c>
      <c r="N502" s="38" t="n">
        <f aca="false">ROUND(SUMIFS($J$2:$J$1137,$A$2:$A$1137,A502,$C$2:$C$1137,C502),9)</f>
        <v>1</v>
      </c>
    </row>
    <row r="503" customFormat="false" ht="15" hidden="false" customHeight="true" outlineLevel="0" collapsed="false">
      <c r="A503" s="38" t="n">
        <v>32</v>
      </c>
      <c r="B503" s="38" t="s">
        <v>650</v>
      </c>
      <c r="C503" s="38" t="s">
        <v>170</v>
      </c>
      <c r="D503" s="38" t="s">
        <v>170</v>
      </c>
      <c r="E503" s="38" t="str">
        <f aca="false">A503&amp;"|"&amp;C503&amp;"|"&amp;D503</f>
        <v>32|C|C</v>
      </c>
      <c r="F503" s="43" t="n">
        <v>1</v>
      </c>
      <c r="G503" s="38" t="n">
        <f aca="false">SUMIFS($F$2:$F$1137,$A$2:$A$1137,A503,$C$2:$C$1137,C503)</f>
        <v>134</v>
      </c>
      <c r="H503" s="43" t="n">
        <v>1</v>
      </c>
      <c r="I503" s="45" t="n">
        <f aca="false">IF(G503=0,"",F503/G503)</f>
        <v>0.00746268656716418</v>
      </c>
      <c r="J503" s="45" t="n">
        <f aca="false">K503/L503</f>
        <v>0.0144927536231884</v>
      </c>
      <c r="K503" s="38" t="n">
        <f aca="false">F503+H503</f>
        <v>2</v>
      </c>
      <c r="L503" s="38" t="n">
        <f aca="false">G503+4*H503</f>
        <v>138</v>
      </c>
      <c r="M503" s="38" t="s">
        <v>619</v>
      </c>
      <c r="N503" s="38" t="n">
        <f aca="false">ROUND(SUMIFS($J$2:$J$1137,$A$2:$A$1137,A503,$C$2:$C$1137,C503),9)</f>
        <v>1</v>
      </c>
    </row>
    <row r="504" customFormat="false" ht="15" hidden="false" customHeight="true" outlineLevel="0" collapsed="false">
      <c r="A504" s="38" t="n">
        <v>32</v>
      </c>
      <c r="B504" s="38" t="s">
        <v>650</v>
      </c>
      <c r="C504" s="38" t="s">
        <v>170</v>
      </c>
      <c r="D504" s="38" t="s">
        <v>169</v>
      </c>
      <c r="E504" s="38" t="str">
        <f aca="false">A504&amp;"|"&amp;C504&amp;"|"&amp;D504</f>
        <v>32|C|G</v>
      </c>
      <c r="F504" s="43" t="n">
        <v>0</v>
      </c>
      <c r="G504" s="38" t="n">
        <f aca="false">SUMIFS($F$2:$F$1137,$A$2:$A$1137,A504,$C$2:$C$1137,C504)</f>
        <v>134</v>
      </c>
      <c r="H504" s="43" t="n">
        <v>1</v>
      </c>
      <c r="I504" s="45" t="n">
        <f aca="false">IF(G504=0,"",F504/G504)</f>
        <v>0</v>
      </c>
      <c r="J504" s="45" t="n">
        <f aca="false">K504/L504</f>
        <v>0.0072463768115942</v>
      </c>
      <c r="K504" s="38" t="n">
        <f aca="false">F504+H504</f>
        <v>1</v>
      </c>
      <c r="L504" s="38" t="n">
        <f aca="false">G504+4*H504</f>
        <v>138</v>
      </c>
      <c r="M504" s="38" t="s">
        <v>619</v>
      </c>
      <c r="N504" s="38" t="n">
        <f aca="false">ROUND(SUMIFS($J$2:$J$1137,$A$2:$A$1137,A504,$C$2:$C$1137,C504),9)</f>
        <v>1</v>
      </c>
    </row>
    <row r="505" customFormat="false" ht="15" hidden="false" customHeight="true" outlineLevel="0" collapsed="false">
      <c r="A505" s="38" t="n">
        <v>32</v>
      </c>
      <c r="B505" s="38" t="s">
        <v>650</v>
      </c>
      <c r="C505" s="38" t="s">
        <v>170</v>
      </c>
      <c r="D505" s="38" t="s">
        <v>171</v>
      </c>
      <c r="E505" s="38" t="str">
        <f aca="false">A505&amp;"|"&amp;C505&amp;"|"&amp;D505</f>
        <v>32|C|U</v>
      </c>
      <c r="F505" s="43" t="n">
        <v>133</v>
      </c>
      <c r="G505" s="38" t="n">
        <f aca="false">SUMIFS($F$2:$F$1137,$A$2:$A$1137,A505,$C$2:$C$1137,C505)</f>
        <v>134</v>
      </c>
      <c r="H505" s="43" t="n">
        <v>1</v>
      </c>
      <c r="I505" s="45" t="n">
        <f aca="false">IF(G505=0,"",F505/G505)</f>
        <v>0.992537313432836</v>
      </c>
      <c r="J505" s="45" t="n">
        <f aca="false">K505/L505</f>
        <v>0.971014492753623</v>
      </c>
      <c r="K505" s="38" t="n">
        <f aca="false">F505+H505</f>
        <v>134</v>
      </c>
      <c r="L505" s="38" t="n">
        <f aca="false">G505+4*H505</f>
        <v>138</v>
      </c>
      <c r="M505" s="38" t="s">
        <v>619</v>
      </c>
      <c r="N505" s="38" t="n">
        <f aca="false">ROUND(SUMIFS($J$2:$J$1137,$A$2:$A$1137,A505,$C$2:$C$1137,C505),9)</f>
        <v>1</v>
      </c>
    </row>
    <row r="506" customFormat="false" ht="15" hidden="false" customHeight="true" outlineLevel="0" collapsed="false">
      <c r="A506" s="38" t="n">
        <v>32</v>
      </c>
      <c r="B506" s="38" t="s">
        <v>650</v>
      </c>
      <c r="C506" s="38" t="s">
        <v>169</v>
      </c>
      <c r="D506" s="38" t="s">
        <v>172</v>
      </c>
      <c r="E506" s="38" t="str">
        <f aca="false">A506&amp;"|"&amp;C506&amp;"|"&amp;D506</f>
        <v>32|G|A</v>
      </c>
      <c r="F506" s="43" t="n">
        <v>0</v>
      </c>
      <c r="G506" s="38" t="n">
        <f aca="false">SUMIFS($F$2:$F$1137,$A$2:$A$1137,A506,$C$2:$C$1137,C506)</f>
        <v>0</v>
      </c>
      <c r="H506" s="43" t="n">
        <v>1</v>
      </c>
      <c r="I506" s="45" t="str">
        <f aca="false">IF(G506=0,"",F506/G506)</f>
        <v/>
      </c>
      <c r="J506" s="45" t="n">
        <f aca="false">K506/L506</f>
        <v>0.25</v>
      </c>
      <c r="K506" s="38" t="n">
        <f aca="false">F506+H506</f>
        <v>1</v>
      </c>
      <c r="L506" s="38" t="n">
        <f aca="false">G506+4*H506</f>
        <v>4</v>
      </c>
      <c r="M506" s="38" t="s">
        <v>619</v>
      </c>
      <c r="N506" s="38" t="n">
        <f aca="false">ROUND(SUMIFS($J$2:$J$1137,$A$2:$A$1137,A506,$C$2:$C$1137,C506),9)</f>
        <v>1</v>
      </c>
    </row>
    <row r="507" customFormat="false" ht="15" hidden="false" customHeight="true" outlineLevel="0" collapsed="false">
      <c r="A507" s="38" t="n">
        <v>32</v>
      </c>
      <c r="B507" s="38" t="s">
        <v>650</v>
      </c>
      <c r="C507" s="38" t="s">
        <v>169</v>
      </c>
      <c r="D507" s="38" t="s">
        <v>170</v>
      </c>
      <c r="E507" s="38" t="str">
        <f aca="false">A507&amp;"|"&amp;C507&amp;"|"&amp;D507</f>
        <v>32|G|C</v>
      </c>
      <c r="F507" s="43" t="n">
        <v>0</v>
      </c>
      <c r="G507" s="38" t="n">
        <f aca="false">SUMIFS($F$2:$F$1137,$A$2:$A$1137,A507,$C$2:$C$1137,C507)</f>
        <v>0</v>
      </c>
      <c r="H507" s="43" t="n">
        <v>1</v>
      </c>
      <c r="I507" s="45" t="str">
        <f aca="false">IF(G507=0,"",F507/G507)</f>
        <v/>
      </c>
      <c r="J507" s="45" t="n">
        <f aca="false">K507/L507</f>
        <v>0.25</v>
      </c>
      <c r="K507" s="38" t="n">
        <f aca="false">F507+H507</f>
        <v>1</v>
      </c>
      <c r="L507" s="38" t="n">
        <f aca="false">G507+4*H507</f>
        <v>4</v>
      </c>
      <c r="M507" s="38" t="s">
        <v>619</v>
      </c>
      <c r="N507" s="38" t="n">
        <f aca="false">ROUND(SUMIFS($J$2:$J$1137,$A$2:$A$1137,A507,$C$2:$C$1137,C507),9)</f>
        <v>1</v>
      </c>
    </row>
    <row r="508" customFormat="false" ht="15" hidden="false" customHeight="true" outlineLevel="0" collapsed="false">
      <c r="A508" s="38" t="n">
        <v>32</v>
      </c>
      <c r="B508" s="38" t="s">
        <v>650</v>
      </c>
      <c r="C508" s="38" t="s">
        <v>169</v>
      </c>
      <c r="D508" s="38" t="s">
        <v>169</v>
      </c>
      <c r="E508" s="38" t="str">
        <f aca="false">A508&amp;"|"&amp;C508&amp;"|"&amp;D508</f>
        <v>32|G|G</v>
      </c>
      <c r="F508" s="43" t="n">
        <v>0</v>
      </c>
      <c r="G508" s="38" t="n">
        <f aca="false">SUMIFS($F$2:$F$1137,$A$2:$A$1137,A508,$C$2:$C$1137,C508)</f>
        <v>0</v>
      </c>
      <c r="H508" s="43" t="n">
        <v>1</v>
      </c>
      <c r="I508" s="45" t="str">
        <f aca="false">IF(G508=0,"",F508/G508)</f>
        <v/>
      </c>
      <c r="J508" s="45" t="n">
        <f aca="false">K508/L508</f>
        <v>0.25</v>
      </c>
      <c r="K508" s="38" t="n">
        <f aca="false">F508+H508</f>
        <v>1</v>
      </c>
      <c r="L508" s="38" t="n">
        <f aca="false">G508+4*H508</f>
        <v>4</v>
      </c>
      <c r="M508" s="38" t="s">
        <v>619</v>
      </c>
      <c r="N508" s="38" t="n">
        <f aca="false">ROUND(SUMIFS($J$2:$J$1137,$A$2:$A$1137,A508,$C$2:$C$1137,C508),9)</f>
        <v>1</v>
      </c>
    </row>
    <row r="509" customFormat="false" ht="15" hidden="false" customHeight="true" outlineLevel="0" collapsed="false">
      <c r="A509" s="38" t="n">
        <v>32</v>
      </c>
      <c r="B509" s="38" t="s">
        <v>650</v>
      </c>
      <c r="C509" s="38" t="s">
        <v>169</v>
      </c>
      <c r="D509" s="38" t="s">
        <v>171</v>
      </c>
      <c r="E509" s="38" t="str">
        <f aca="false">A509&amp;"|"&amp;C509&amp;"|"&amp;D509</f>
        <v>32|G|U</v>
      </c>
      <c r="F509" s="43" t="n">
        <v>0</v>
      </c>
      <c r="G509" s="38" t="n">
        <f aca="false">SUMIFS($F$2:$F$1137,$A$2:$A$1137,A509,$C$2:$C$1137,C509)</f>
        <v>0</v>
      </c>
      <c r="H509" s="43" t="n">
        <v>1</v>
      </c>
      <c r="I509" s="45" t="str">
        <f aca="false">IF(G509=0,"",F509/G509)</f>
        <v/>
      </c>
      <c r="J509" s="45" t="n">
        <f aca="false">K509/L509</f>
        <v>0.25</v>
      </c>
      <c r="K509" s="38" t="n">
        <f aca="false">F509+H509</f>
        <v>1</v>
      </c>
      <c r="L509" s="38" t="n">
        <f aca="false">G509+4*H509</f>
        <v>4</v>
      </c>
      <c r="M509" s="38" t="s">
        <v>619</v>
      </c>
      <c r="N509" s="38" t="n">
        <f aca="false">ROUND(SUMIFS($J$2:$J$1137,$A$2:$A$1137,A509,$C$2:$C$1137,C509),9)</f>
        <v>1</v>
      </c>
    </row>
    <row r="510" customFormat="false" ht="15" hidden="false" customHeight="true" outlineLevel="0" collapsed="false">
      <c r="A510" s="38" t="n">
        <v>32</v>
      </c>
      <c r="B510" s="38" t="s">
        <v>650</v>
      </c>
      <c r="C510" s="38" t="s">
        <v>171</v>
      </c>
      <c r="D510" s="38" t="s">
        <v>172</v>
      </c>
      <c r="E510" s="38" t="str">
        <f aca="false">A510&amp;"|"&amp;C510&amp;"|"&amp;D510</f>
        <v>32|U|A</v>
      </c>
      <c r="F510" s="43" t="n">
        <v>1</v>
      </c>
      <c r="G510" s="38" t="n">
        <f aca="false">SUMIFS($F$2:$F$1137,$A$2:$A$1137,A510,$C$2:$C$1137,C510)</f>
        <v>59</v>
      </c>
      <c r="H510" s="43" t="n">
        <v>1</v>
      </c>
      <c r="I510" s="45" t="n">
        <f aca="false">IF(G510=0,"",F510/G510)</f>
        <v>0.0169491525423729</v>
      </c>
      <c r="J510" s="45" t="n">
        <f aca="false">K510/L510</f>
        <v>0.0317460317460317</v>
      </c>
      <c r="K510" s="38" t="n">
        <f aca="false">F510+H510</f>
        <v>2</v>
      </c>
      <c r="L510" s="38" t="n">
        <f aca="false">G510+4*H510</f>
        <v>63</v>
      </c>
      <c r="M510" s="38" t="s">
        <v>619</v>
      </c>
      <c r="N510" s="38" t="n">
        <f aca="false">ROUND(SUMIFS($J$2:$J$1137,$A$2:$A$1137,A510,$C$2:$C$1137,C510),9)</f>
        <v>1</v>
      </c>
    </row>
    <row r="511" customFormat="false" ht="15" hidden="false" customHeight="true" outlineLevel="0" collapsed="false">
      <c r="A511" s="38" t="n">
        <v>32</v>
      </c>
      <c r="B511" s="38" t="s">
        <v>650</v>
      </c>
      <c r="C511" s="38" t="s">
        <v>171</v>
      </c>
      <c r="D511" s="38" t="s">
        <v>170</v>
      </c>
      <c r="E511" s="38" t="str">
        <f aca="false">A511&amp;"|"&amp;C511&amp;"|"&amp;D511</f>
        <v>32|U|C</v>
      </c>
      <c r="F511" s="43" t="n">
        <v>0</v>
      </c>
      <c r="G511" s="38" t="n">
        <f aca="false">SUMIFS($F$2:$F$1137,$A$2:$A$1137,A511,$C$2:$C$1137,C511)</f>
        <v>59</v>
      </c>
      <c r="H511" s="43" t="n">
        <v>1</v>
      </c>
      <c r="I511" s="45" t="n">
        <f aca="false">IF(G511=0,"",F511/G511)</f>
        <v>0</v>
      </c>
      <c r="J511" s="45" t="n">
        <f aca="false">K511/L511</f>
        <v>0.0158730158730159</v>
      </c>
      <c r="K511" s="38" t="n">
        <f aca="false">F511+H511</f>
        <v>1</v>
      </c>
      <c r="L511" s="38" t="n">
        <f aca="false">G511+4*H511</f>
        <v>63</v>
      </c>
      <c r="M511" s="38" t="s">
        <v>619</v>
      </c>
      <c r="N511" s="38" t="n">
        <f aca="false">ROUND(SUMIFS($J$2:$J$1137,$A$2:$A$1137,A511,$C$2:$C$1137,C511),9)</f>
        <v>1</v>
      </c>
    </row>
    <row r="512" customFormat="false" ht="15" hidden="false" customHeight="true" outlineLevel="0" collapsed="false">
      <c r="A512" s="38" t="n">
        <v>32</v>
      </c>
      <c r="B512" s="38" t="s">
        <v>650</v>
      </c>
      <c r="C512" s="38" t="s">
        <v>171</v>
      </c>
      <c r="D512" s="38" t="s">
        <v>169</v>
      </c>
      <c r="E512" s="38" t="str">
        <f aca="false">A512&amp;"|"&amp;C512&amp;"|"&amp;D512</f>
        <v>32|U|G</v>
      </c>
      <c r="F512" s="43" t="n">
        <v>0</v>
      </c>
      <c r="G512" s="38" t="n">
        <f aca="false">SUMIFS($F$2:$F$1137,$A$2:$A$1137,A512,$C$2:$C$1137,C512)</f>
        <v>59</v>
      </c>
      <c r="H512" s="43" t="n">
        <v>1</v>
      </c>
      <c r="I512" s="45" t="n">
        <f aca="false">IF(G512=0,"",F512/G512)</f>
        <v>0</v>
      </c>
      <c r="J512" s="45" t="n">
        <f aca="false">K512/L512</f>
        <v>0.0158730158730159</v>
      </c>
      <c r="K512" s="38" t="n">
        <f aca="false">F512+H512</f>
        <v>1</v>
      </c>
      <c r="L512" s="38" t="n">
        <f aca="false">G512+4*H512</f>
        <v>63</v>
      </c>
      <c r="M512" s="38" t="s">
        <v>619</v>
      </c>
      <c r="N512" s="38" t="n">
        <f aca="false">ROUND(SUMIFS($J$2:$J$1137,$A$2:$A$1137,A512,$C$2:$C$1137,C512),9)</f>
        <v>1</v>
      </c>
    </row>
    <row r="513" customFormat="false" ht="15" hidden="false" customHeight="true" outlineLevel="0" collapsed="false">
      <c r="A513" s="38" t="n">
        <v>32</v>
      </c>
      <c r="B513" s="38" t="s">
        <v>650</v>
      </c>
      <c r="C513" s="38" t="s">
        <v>171</v>
      </c>
      <c r="D513" s="38" t="s">
        <v>171</v>
      </c>
      <c r="E513" s="38" t="str">
        <f aca="false">A513&amp;"|"&amp;C513&amp;"|"&amp;D513</f>
        <v>32|U|U</v>
      </c>
      <c r="F513" s="43" t="n">
        <v>58</v>
      </c>
      <c r="G513" s="38" t="n">
        <f aca="false">SUMIFS($F$2:$F$1137,$A$2:$A$1137,A513,$C$2:$C$1137,C513)</f>
        <v>59</v>
      </c>
      <c r="H513" s="43" t="n">
        <v>1</v>
      </c>
      <c r="I513" s="45" t="n">
        <f aca="false">IF(G513=0,"",F513/G513)</f>
        <v>0.983050847457627</v>
      </c>
      <c r="J513" s="45" t="n">
        <f aca="false">K513/L513</f>
        <v>0.936507936507937</v>
      </c>
      <c r="K513" s="38" t="n">
        <f aca="false">F513+H513</f>
        <v>59</v>
      </c>
      <c r="L513" s="38" t="n">
        <f aca="false">G513+4*H513</f>
        <v>63</v>
      </c>
      <c r="M513" s="38" t="s">
        <v>619</v>
      </c>
      <c r="N513" s="38" t="n">
        <f aca="false">ROUND(SUMIFS($J$2:$J$1137,$A$2:$A$1137,A513,$C$2:$C$1137,C513),9)</f>
        <v>1</v>
      </c>
    </row>
    <row r="514" customFormat="false" ht="15" hidden="false" customHeight="true" outlineLevel="0" collapsed="false">
      <c r="A514" s="38" t="n">
        <v>33</v>
      </c>
      <c r="B514" s="38" t="s">
        <v>651</v>
      </c>
      <c r="C514" s="38" t="s">
        <v>172</v>
      </c>
      <c r="D514" s="38" t="s">
        <v>172</v>
      </c>
      <c r="E514" s="38" t="str">
        <f aca="false">A514&amp;"|"&amp;C514&amp;"|"&amp;D514</f>
        <v>33|A|A</v>
      </c>
      <c r="F514" s="43" t="n">
        <v>0</v>
      </c>
      <c r="G514" s="38" t="n">
        <f aca="false">SUMIFS($F$2:$F$1137,$A$2:$A$1137,A514,$C$2:$C$1137,C514)</f>
        <v>1</v>
      </c>
      <c r="H514" s="43" t="n">
        <v>1</v>
      </c>
      <c r="I514" s="45" t="n">
        <f aca="false">IF(G514=0,"",F514/G514)</f>
        <v>0</v>
      </c>
      <c r="J514" s="45" t="n">
        <f aca="false">K514/L514</f>
        <v>0.2</v>
      </c>
      <c r="K514" s="38" t="n">
        <f aca="false">F514+H514</f>
        <v>1</v>
      </c>
      <c r="L514" s="38" t="n">
        <f aca="false">G514+4*H514</f>
        <v>5</v>
      </c>
      <c r="M514" s="38" t="s">
        <v>619</v>
      </c>
      <c r="N514" s="38" t="n">
        <f aca="false">ROUND(SUMIFS($J$2:$J$1137,$A$2:$A$1137,A514,$C$2:$C$1137,C514),9)</f>
        <v>1</v>
      </c>
    </row>
    <row r="515" customFormat="false" ht="15" hidden="false" customHeight="true" outlineLevel="0" collapsed="false">
      <c r="A515" s="38" t="n">
        <v>33</v>
      </c>
      <c r="B515" s="38" t="s">
        <v>651</v>
      </c>
      <c r="C515" s="38" t="s">
        <v>172</v>
      </c>
      <c r="D515" s="38" t="s">
        <v>170</v>
      </c>
      <c r="E515" s="38" t="str">
        <f aca="false">A515&amp;"|"&amp;C515&amp;"|"&amp;D515</f>
        <v>33|A|C</v>
      </c>
      <c r="F515" s="43" t="n">
        <v>1</v>
      </c>
      <c r="G515" s="38" t="n">
        <f aca="false">SUMIFS($F$2:$F$1137,$A$2:$A$1137,A515,$C$2:$C$1137,C515)</f>
        <v>1</v>
      </c>
      <c r="H515" s="43" t="n">
        <v>1</v>
      </c>
      <c r="I515" s="45" t="n">
        <f aca="false">IF(G515=0,"",F515/G515)</f>
        <v>1</v>
      </c>
      <c r="J515" s="45" t="n">
        <f aca="false">K515/L515</f>
        <v>0.4</v>
      </c>
      <c r="K515" s="38" t="n">
        <f aca="false">F515+H515</f>
        <v>2</v>
      </c>
      <c r="L515" s="38" t="n">
        <f aca="false">G515+4*H515</f>
        <v>5</v>
      </c>
      <c r="M515" s="38" t="s">
        <v>619</v>
      </c>
      <c r="N515" s="38" t="n">
        <f aca="false">ROUND(SUMIFS($J$2:$J$1137,$A$2:$A$1137,A515,$C$2:$C$1137,C515),9)</f>
        <v>1</v>
      </c>
    </row>
    <row r="516" customFormat="false" ht="15" hidden="false" customHeight="true" outlineLevel="0" collapsed="false">
      <c r="A516" s="38" t="n">
        <v>33</v>
      </c>
      <c r="B516" s="38" t="s">
        <v>651</v>
      </c>
      <c r="C516" s="38" t="s">
        <v>172</v>
      </c>
      <c r="D516" s="38" t="s">
        <v>169</v>
      </c>
      <c r="E516" s="38" t="str">
        <f aca="false">A516&amp;"|"&amp;C516&amp;"|"&amp;D516</f>
        <v>33|A|G</v>
      </c>
      <c r="F516" s="43" t="n">
        <v>0</v>
      </c>
      <c r="G516" s="38" t="n">
        <f aca="false">SUMIFS($F$2:$F$1137,$A$2:$A$1137,A516,$C$2:$C$1137,C516)</f>
        <v>1</v>
      </c>
      <c r="H516" s="43" t="n">
        <v>1</v>
      </c>
      <c r="I516" s="45" t="n">
        <f aca="false">IF(G516=0,"",F516/G516)</f>
        <v>0</v>
      </c>
      <c r="J516" s="45" t="n">
        <f aca="false">K516/L516</f>
        <v>0.2</v>
      </c>
      <c r="K516" s="38" t="n">
        <f aca="false">F516+H516</f>
        <v>1</v>
      </c>
      <c r="L516" s="38" t="n">
        <f aca="false">G516+4*H516</f>
        <v>5</v>
      </c>
      <c r="M516" s="38" t="s">
        <v>619</v>
      </c>
      <c r="N516" s="38" t="n">
        <f aca="false">ROUND(SUMIFS($J$2:$J$1137,$A$2:$A$1137,A516,$C$2:$C$1137,C516),9)</f>
        <v>1</v>
      </c>
    </row>
    <row r="517" customFormat="false" ht="15" hidden="false" customHeight="true" outlineLevel="0" collapsed="false">
      <c r="A517" s="38" t="n">
        <v>33</v>
      </c>
      <c r="B517" s="38" t="s">
        <v>651</v>
      </c>
      <c r="C517" s="38" t="s">
        <v>172</v>
      </c>
      <c r="D517" s="38" t="s">
        <v>171</v>
      </c>
      <c r="E517" s="38" t="str">
        <f aca="false">A517&amp;"|"&amp;C517&amp;"|"&amp;D517</f>
        <v>33|A|U</v>
      </c>
      <c r="F517" s="43" t="n">
        <v>0</v>
      </c>
      <c r="G517" s="38" t="n">
        <f aca="false">SUMIFS($F$2:$F$1137,$A$2:$A$1137,A517,$C$2:$C$1137,C517)</f>
        <v>1</v>
      </c>
      <c r="H517" s="43" t="n">
        <v>1</v>
      </c>
      <c r="I517" s="45" t="n">
        <f aca="false">IF(G517=0,"",F517/G517)</f>
        <v>0</v>
      </c>
      <c r="J517" s="45" t="n">
        <f aca="false">K517/L517</f>
        <v>0.2</v>
      </c>
      <c r="K517" s="38" t="n">
        <f aca="false">F517+H517</f>
        <v>1</v>
      </c>
      <c r="L517" s="38" t="n">
        <f aca="false">G517+4*H517</f>
        <v>5</v>
      </c>
      <c r="M517" s="38" t="s">
        <v>619</v>
      </c>
      <c r="N517" s="38" t="n">
        <f aca="false">ROUND(SUMIFS($J$2:$J$1137,$A$2:$A$1137,A517,$C$2:$C$1137,C517),9)</f>
        <v>1</v>
      </c>
    </row>
    <row r="518" customFormat="false" ht="15" hidden="false" customHeight="true" outlineLevel="0" collapsed="false">
      <c r="A518" s="38" t="n">
        <v>33</v>
      </c>
      <c r="B518" s="38" t="s">
        <v>651</v>
      </c>
      <c r="C518" s="38" t="s">
        <v>170</v>
      </c>
      <c r="D518" s="38" t="s">
        <v>172</v>
      </c>
      <c r="E518" s="38" t="str">
        <f aca="false">A518&amp;"|"&amp;C518&amp;"|"&amp;D518</f>
        <v>33|C|A</v>
      </c>
      <c r="F518" s="43" t="n">
        <v>0</v>
      </c>
      <c r="G518" s="38" t="n">
        <f aca="false">SUMIFS($F$2:$F$1137,$A$2:$A$1137,A518,$C$2:$C$1137,C518)</f>
        <v>1</v>
      </c>
      <c r="H518" s="43" t="n">
        <v>1</v>
      </c>
      <c r="I518" s="45" t="n">
        <f aca="false">IF(G518=0,"",F518/G518)</f>
        <v>0</v>
      </c>
      <c r="J518" s="45" t="n">
        <f aca="false">K518/L518</f>
        <v>0.2</v>
      </c>
      <c r="K518" s="38" t="n">
        <f aca="false">F518+H518</f>
        <v>1</v>
      </c>
      <c r="L518" s="38" t="n">
        <f aca="false">G518+4*H518</f>
        <v>5</v>
      </c>
      <c r="M518" s="38" t="s">
        <v>619</v>
      </c>
      <c r="N518" s="38" t="n">
        <f aca="false">ROUND(SUMIFS($J$2:$J$1137,$A$2:$A$1137,A518,$C$2:$C$1137,C518),9)</f>
        <v>1</v>
      </c>
    </row>
    <row r="519" customFormat="false" ht="15" hidden="false" customHeight="true" outlineLevel="0" collapsed="false">
      <c r="A519" s="38" t="n">
        <v>33</v>
      </c>
      <c r="B519" s="38" t="s">
        <v>651</v>
      </c>
      <c r="C519" s="38" t="s">
        <v>170</v>
      </c>
      <c r="D519" s="38" t="s">
        <v>170</v>
      </c>
      <c r="E519" s="38" t="str">
        <f aca="false">A519&amp;"|"&amp;C519&amp;"|"&amp;D519</f>
        <v>33|C|C</v>
      </c>
      <c r="F519" s="43" t="n">
        <v>1</v>
      </c>
      <c r="G519" s="38" t="n">
        <f aca="false">SUMIFS($F$2:$F$1137,$A$2:$A$1137,A519,$C$2:$C$1137,C519)</f>
        <v>1</v>
      </c>
      <c r="H519" s="43" t="n">
        <v>1</v>
      </c>
      <c r="I519" s="45" t="n">
        <f aca="false">IF(G519=0,"",F519/G519)</f>
        <v>1</v>
      </c>
      <c r="J519" s="45" t="n">
        <f aca="false">K519/L519</f>
        <v>0.4</v>
      </c>
      <c r="K519" s="38" t="n">
        <f aca="false">F519+H519</f>
        <v>2</v>
      </c>
      <c r="L519" s="38" t="n">
        <f aca="false">G519+4*H519</f>
        <v>5</v>
      </c>
      <c r="M519" s="38" t="s">
        <v>619</v>
      </c>
      <c r="N519" s="38" t="n">
        <f aca="false">ROUND(SUMIFS($J$2:$J$1137,$A$2:$A$1137,A519,$C$2:$C$1137,C519),9)</f>
        <v>1</v>
      </c>
    </row>
    <row r="520" customFormat="false" ht="15" hidden="false" customHeight="true" outlineLevel="0" collapsed="false">
      <c r="A520" s="38" t="n">
        <v>33</v>
      </c>
      <c r="B520" s="38" t="s">
        <v>651</v>
      </c>
      <c r="C520" s="38" t="s">
        <v>170</v>
      </c>
      <c r="D520" s="38" t="s">
        <v>169</v>
      </c>
      <c r="E520" s="38" t="str">
        <f aca="false">A520&amp;"|"&amp;C520&amp;"|"&amp;D520</f>
        <v>33|C|G</v>
      </c>
      <c r="F520" s="43" t="n">
        <v>0</v>
      </c>
      <c r="G520" s="38" t="n">
        <f aca="false">SUMIFS($F$2:$F$1137,$A$2:$A$1137,A520,$C$2:$C$1137,C520)</f>
        <v>1</v>
      </c>
      <c r="H520" s="43" t="n">
        <v>1</v>
      </c>
      <c r="I520" s="45" t="n">
        <f aca="false">IF(G520=0,"",F520/G520)</f>
        <v>0</v>
      </c>
      <c r="J520" s="45" t="n">
        <f aca="false">K520/L520</f>
        <v>0.2</v>
      </c>
      <c r="K520" s="38" t="n">
        <f aca="false">F520+H520</f>
        <v>1</v>
      </c>
      <c r="L520" s="38" t="n">
        <f aca="false">G520+4*H520</f>
        <v>5</v>
      </c>
      <c r="M520" s="38" t="s">
        <v>619</v>
      </c>
      <c r="N520" s="38" t="n">
        <f aca="false">ROUND(SUMIFS($J$2:$J$1137,$A$2:$A$1137,A520,$C$2:$C$1137,C520),9)</f>
        <v>1</v>
      </c>
    </row>
    <row r="521" customFormat="false" ht="15" hidden="false" customHeight="true" outlineLevel="0" collapsed="false">
      <c r="A521" s="38" t="n">
        <v>33</v>
      </c>
      <c r="B521" s="38" t="s">
        <v>651</v>
      </c>
      <c r="C521" s="38" t="s">
        <v>170</v>
      </c>
      <c r="D521" s="38" t="s">
        <v>171</v>
      </c>
      <c r="E521" s="38" t="str">
        <f aca="false">A521&amp;"|"&amp;C521&amp;"|"&amp;D521</f>
        <v>33|C|U</v>
      </c>
      <c r="F521" s="43" t="n">
        <v>0</v>
      </c>
      <c r="G521" s="38" t="n">
        <f aca="false">SUMIFS($F$2:$F$1137,$A$2:$A$1137,A521,$C$2:$C$1137,C521)</f>
        <v>1</v>
      </c>
      <c r="H521" s="43" t="n">
        <v>1</v>
      </c>
      <c r="I521" s="45" t="n">
        <f aca="false">IF(G521=0,"",F521/G521)</f>
        <v>0</v>
      </c>
      <c r="J521" s="45" t="n">
        <f aca="false">K521/L521</f>
        <v>0.2</v>
      </c>
      <c r="K521" s="38" t="n">
        <f aca="false">F521+H521</f>
        <v>1</v>
      </c>
      <c r="L521" s="38" t="n">
        <f aca="false">G521+4*H521</f>
        <v>5</v>
      </c>
      <c r="M521" s="38" t="s">
        <v>619</v>
      </c>
      <c r="N521" s="38" t="n">
        <f aca="false">ROUND(SUMIFS($J$2:$J$1137,$A$2:$A$1137,A521,$C$2:$C$1137,C521),9)</f>
        <v>1</v>
      </c>
    </row>
    <row r="522" customFormat="false" ht="15" hidden="false" customHeight="true" outlineLevel="0" collapsed="false">
      <c r="A522" s="38" t="n">
        <v>33</v>
      </c>
      <c r="B522" s="38" t="s">
        <v>651</v>
      </c>
      <c r="C522" s="38" t="s">
        <v>169</v>
      </c>
      <c r="D522" s="38" t="s">
        <v>172</v>
      </c>
      <c r="E522" s="38" t="str">
        <f aca="false">A522&amp;"|"&amp;C522&amp;"|"&amp;D522</f>
        <v>33|G|A</v>
      </c>
      <c r="F522" s="43" t="n">
        <v>0</v>
      </c>
      <c r="G522" s="38" t="n">
        <f aca="false">SUMIFS($F$2:$F$1137,$A$2:$A$1137,A522,$C$2:$C$1137,C522)</f>
        <v>0</v>
      </c>
      <c r="H522" s="43" t="n">
        <v>1</v>
      </c>
      <c r="I522" s="45" t="str">
        <f aca="false">IF(G522=0,"",F522/G522)</f>
        <v/>
      </c>
      <c r="J522" s="45" t="n">
        <f aca="false">K522/L522</f>
        <v>0.25</v>
      </c>
      <c r="K522" s="38" t="n">
        <f aca="false">F522+H522</f>
        <v>1</v>
      </c>
      <c r="L522" s="38" t="n">
        <f aca="false">G522+4*H522</f>
        <v>4</v>
      </c>
      <c r="M522" s="38" t="s">
        <v>619</v>
      </c>
      <c r="N522" s="38" t="n">
        <f aca="false">ROUND(SUMIFS($J$2:$J$1137,$A$2:$A$1137,A522,$C$2:$C$1137,C522),9)</f>
        <v>1</v>
      </c>
    </row>
    <row r="523" customFormat="false" ht="15" hidden="false" customHeight="true" outlineLevel="0" collapsed="false">
      <c r="A523" s="38" t="n">
        <v>33</v>
      </c>
      <c r="B523" s="38" t="s">
        <v>651</v>
      </c>
      <c r="C523" s="38" t="s">
        <v>169</v>
      </c>
      <c r="D523" s="38" t="s">
        <v>170</v>
      </c>
      <c r="E523" s="38" t="str">
        <f aca="false">A523&amp;"|"&amp;C523&amp;"|"&amp;D523</f>
        <v>33|G|C</v>
      </c>
      <c r="F523" s="43" t="n">
        <v>0</v>
      </c>
      <c r="G523" s="38" t="n">
        <f aca="false">SUMIFS($F$2:$F$1137,$A$2:$A$1137,A523,$C$2:$C$1137,C523)</f>
        <v>0</v>
      </c>
      <c r="H523" s="43" t="n">
        <v>1</v>
      </c>
      <c r="I523" s="45" t="str">
        <f aca="false">IF(G523=0,"",F523/G523)</f>
        <v/>
      </c>
      <c r="J523" s="45" t="n">
        <f aca="false">K523/L523</f>
        <v>0.25</v>
      </c>
      <c r="K523" s="38" t="n">
        <f aca="false">F523+H523</f>
        <v>1</v>
      </c>
      <c r="L523" s="38" t="n">
        <f aca="false">G523+4*H523</f>
        <v>4</v>
      </c>
      <c r="M523" s="38" t="s">
        <v>619</v>
      </c>
      <c r="N523" s="38" t="n">
        <f aca="false">ROUND(SUMIFS($J$2:$J$1137,$A$2:$A$1137,A523,$C$2:$C$1137,C523),9)</f>
        <v>1</v>
      </c>
    </row>
    <row r="524" customFormat="false" ht="15" hidden="false" customHeight="true" outlineLevel="0" collapsed="false">
      <c r="A524" s="38" t="n">
        <v>33</v>
      </c>
      <c r="B524" s="38" t="s">
        <v>651</v>
      </c>
      <c r="C524" s="38" t="s">
        <v>169</v>
      </c>
      <c r="D524" s="38" t="s">
        <v>169</v>
      </c>
      <c r="E524" s="38" t="str">
        <f aca="false">A524&amp;"|"&amp;C524&amp;"|"&amp;D524</f>
        <v>33|G|G</v>
      </c>
      <c r="F524" s="43" t="n">
        <v>0</v>
      </c>
      <c r="G524" s="38" t="n">
        <f aca="false">SUMIFS($F$2:$F$1137,$A$2:$A$1137,A524,$C$2:$C$1137,C524)</f>
        <v>0</v>
      </c>
      <c r="H524" s="43" t="n">
        <v>1</v>
      </c>
      <c r="I524" s="45" t="str">
        <f aca="false">IF(G524=0,"",F524/G524)</f>
        <v/>
      </c>
      <c r="J524" s="45" t="n">
        <f aca="false">K524/L524</f>
        <v>0.25</v>
      </c>
      <c r="K524" s="38" t="n">
        <f aca="false">F524+H524</f>
        <v>1</v>
      </c>
      <c r="L524" s="38" t="n">
        <f aca="false">G524+4*H524</f>
        <v>4</v>
      </c>
      <c r="M524" s="38" t="s">
        <v>619</v>
      </c>
      <c r="N524" s="38" t="n">
        <f aca="false">ROUND(SUMIFS($J$2:$J$1137,$A$2:$A$1137,A524,$C$2:$C$1137,C524),9)</f>
        <v>1</v>
      </c>
    </row>
    <row r="525" customFormat="false" ht="15" hidden="false" customHeight="true" outlineLevel="0" collapsed="false">
      <c r="A525" s="38" t="n">
        <v>33</v>
      </c>
      <c r="B525" s="38" t="s">
        <v>651</v>
      </c>
      <c r="C525" s="38" t="s">
        <v>169</v>
      </c>
      <c r="D525" s="38" t="s">
        <v>171</v>
      </c>
      <c r="E525" s="38" t="str">
        <f aca="false">A525&amp;"|"&amp;C525&amp;"|"&amp;D525</f>
        <v>33|G|U</v>
      </c>
      <c r="F525" s="43" t="n">
        <v>0</v>
      </c>
      <c r="G525" s="38" t="n">
        <f aca="false">SUMIFS($F$2:$F$1137,$A$2:$A$1137,A525,$C$2:$C$1137,C525)</f>
        <v>0</v>
      </c>
      <c r="H525" s="43" t="n">
        <v>1</v>
      </c>
      <c r="I525" s="45" t="str">
        <f aca="false">IF(G525=0,"",F525/G525)</f>
        <v/>
      </c>
      <c r="J525" s="45" t="n">
        <f aca="false">K525/L525</f>
        <v>0.25</v>
      </c>
      <c r="K525" s="38" t="n">
        <f aca="false">F525+H525</f>
        <v>1</v>
      </c>
      <c r="L525" s="38" t="n">
        <f aca="false">G525+4*H525</f>
        <v>4</v>
      </c>
      <c r="M525" s="38" t="s">
        <v>619</v>
      </c>
      <c r="N525" s="38" t="n">
        <f aca="false">ROUND(SUMIFS($J$2:$J$1137,$A$2:$A$1137,A525,$C$2:$C$1137,C525),9)</f>
        <v>1</v>
      </c>
    </row>
    <row r="526" customFormat="false" ht="15" hidden="false" customHeight="true" outlineLevel="0" collapsed="false">
      <c r="A526" s="38" t="n">
        <v>33</v>
      </c>
      <c r="B526" s="38" t="s">
        <v>651</v>
      </c>
      <c r="C526" s="38" t="s">
        <v>171</v>
      </c>
      <c r="D526" s="38" t="s">
        <v>172</v>
      </c>
      <c r="E526" s="38" t="str">
        <f aca="false">A526&amp;"|"&amp;C526&amp;"|"&amp;D526</f>
        <v>33|U|A</v>
      </c>
      <c r="F526" s="43" t="n">
        <v>9</v>
      </c>
      <c r="G526" s="38" t="n">
        <f aca="false">SUMIFS($F$2:$F$1137,$A$2:$A$1137,A526,$C$2:$C$1137,C526)</f>
        <v>197</v>
      </c>
      <c r="H526" s="43" t="n">
        <v>1</v>
      </c>
      <c r="I526" s="45" t="n">
        <f aca="false">IF(G526=0,"",F526/G526)</f>
        <v>0.0456852791878173</v>
      </c>
      <c r="J526" s="45" t="n">
        <f aca="false">K526/L526</f>
        <v>0.0497512437810945</v>
      </c>
      <c r="K526" s="38" t="n">
        <f aca="false">F526+H526</f>
        <v>10</v>
      </c>
      <c r="L526" s="38" t="n">
        <f aca="false">G526+4*H526</f>
        <v>201</v>
      </c>
      <c r="M526" s="38" t="s">
        <v>619</v>
      </c>
      <c r="N526" s="38" t="n">
        <f aca="false">ROUND(SUMIFS($J$2:$J$1137,$A$2:$A$1137,A526,$C$2:$C$1137,C526),9)</f>
        <v>1</v>
      </c>
    </row>
    <row r="527" customFormat="false" ht="15" hidden="false" customHeight="true" outlineLevel="0" collapsed="false">
      <c r="A527" s="38" t="n">
        <v>33</v>
      </c>
      <c r="B527" s="38" t="s">
        <v>651</v>
      </c>
      <c r="C527" s="38" t="s">
        <v>171</v>
      </c>
      <c r="D527" s="38" t="s">
        <v>170</v>
      </c>
      <c r="E527" s="38" t="str">
        <f aca="false">A527&amp;"|"&amp;C527&amp;"|"&amp;D527</f>
        <v>33|U|C</v>
      </c>
      <c r="F527" s="43" t="n">
        <v>64</v>
      </c>
      <c r="G527" s="38" t="n">
        <f aca="false">SUMIFS($F$2:$F$1137,$A$2:$A$1137,A527,$C$2:$C$1137,C527)</f>
        <v>197</v>
      </c>
      <c r="H527" s="43" t="n">
        <v>1</v>
      </c>
      <c r="I527" s="45" t="n">
        <f aca="false">IF(G527=0,"",F527/G527)</f>
        <v>0.324873096446701</v>
      </c>
      <c r="J527" s="45" t="n">
        <f aca="false">K527/L527</f>
        <v>0.323383084577114</v>
      </c>
      <c r="K527" s="38" t="n">
        <f aca="false">F527+H527</f>
        <v>65</v>
      </c>
      <c r="L527" s="38" t="n">
        <f aca="false">G527+4*H527</f>
        <v>201</v>
      </c>
      <c r="M527" s="38" t="s">
        <v>619</v>
      </c>
      <c r="N527" s="38" t="n">
        <f aca="false">ROUND(SUMIFS($J$2:$J$1137,$A$2:$A$1137,A527,$C$2:$C$1137,C527),9)</f>
        <v>1</v>
      </c>
    </row>
    <row r="528" customFormat="false" ht="15" hidden="false" customHeight="true" outlineLevel="0" collapsed="false">
      <c r="A528" s="38" t="n">
        <v>33</v>
      </c>
      <c r="B528" s="38" t="s">
        <v>651</v>
      </c>
      <c r="C528" s="38" t="s">
        <v>171</v>
      </c>
      <c r="D528" s="38" t="s">
        <v>169</v>
      </c>
      <c r="E528" s="38" t="str">
        <f aca="false">A528&amp;"|"&amp;C528&amp;"|"&amp;D528</f>
        <v>33|U|G</v>
      </c>
      <c r="F528" s="43" t="n">
        <v>66</v>
      </c>
      <c r="G528" s="38" t="n">
        <f aca="false">SUMIFS($F$2:$F$1137,$A$2:$A$1137,A528,$C$2:$C$1137,C528)</f>
        <v>197</v>
      </c>
      <c r="H528" s="43" t="n">
        <v>1</v>
      </c>
      <c r="I528" s="45" t="n">
        <f aca="false">IF(G528=0,"",F528/G528)</f>
        <v>0.33502538071066</v>
      </c>
      <c r="J528" s="45" t="n">
        <f aca="false">K528/L528</f>
        <v>0.333333333333333</v>
      </c>
      <c r="K528" s="38" t="n">
        <f aca="false">F528+H528</f>
        <v>67</v>
      </c>
      <c r="L528" s="38" t="n">
        <f aca="false">G528+4*H528</f>
        <v>201</v>
      </c>
      <c r="M528" s="38" t="s">
        <v>619</v>
      </c>
      <c r="N528" s="38" t="n">
        <f aca="false">ROUND(SUMIFS($J$2:$J$1137,$A$2:$A$1137,A528,$C$2:$C$1137,C528),9)</f>
        <v>1</v>
      </c>
    </row>
    <row r="529" customFormat="false" ht="15" hidden="false" customHeight="true" outlineLevel="0" collapsed="false">
      <c r="A529" s="38" t="n">
        <v>33</v>
      </c>
      <c r="B529" s="38" t="s">
        <v>651</v>
      </c>
      <c r="C529" s="38" t="s">
        <v>171</v>
      </c>
      <c r="D529" s="38" t="s">
        <v>171</v>
      </c>
      <c r="E529" s="38" t="str">
        <f aca="false">A529&amp;"|"&amp;C529&amp;"|"&amp;D529</f>
        <v>33|U|U</v>
      </c>
      <c r="F529" s="43" t="n">
        <v>58</v>
      </c>
      <c r="G529" s="38" t="n">
        <f aca="false">SUMIFS($F$2:$F$1137,$A$2:$A$1137,A529,$C$2:$C$1137,C529)</f>
        <v>197</v>
      </c>
      <c r="H529" s="43" t="n">
        <v>1</v>
      </c>
      <c r="I529" s="45" t="n">
        <f aca="false">IF(G529=0,"",F529/G529)</f>
        <v>0.294416243654822</v>
      </c>
      <c r="J529" s="45" t="n">
        <f aca="false">K529/L529</f>
        <v>0.293532338308458</v>
      </c>
      <c r="K529" s="38" t="n">
        <f aca="false">F529+H529</f>
        <v>59</v>
      </c>
      <c r="L529" s="38" t="n">
        <f aca="false">G529+4*H529</f>
        <v>201</v>
      </c>
      <c r="M529" s="38" t="s">
        <v>619</v>
      </c>
      <c r="N529" s="38" t="n">
        <f aca="false">ROUND(SUMIFS($J$2:$J$1137,$A$2:$A$1137,A529,$C$2:$C$1137,C529),9)</f>
        <v>1</v>
      </c>
    </row>
    <row r="530" customFormat="false" ht="15" hidden="false" customHeight="true" outlineLevel="0" collapsed="false">
      <c r="A530" s="38" t="n">
        <v>34</v>
      </c>
      <c r="B530" s="38" t="s">
        <v>652</v>
      </c>
      <c r="C530" s="38" t="s">
        <v>172</v>
      </c>
      <c r="D530" s="38" t="s">
        <v>172</v>
      </c>
      <c r="E530" s="38" t="str">
        <f aca="false">A530&amp;"|"&amp;C530&amp;"|"&amp;D530</f>
        <v>34|A|A</v>
      </c>
      <c r="F530" s="43" t="n">
        <v>3</v>
      </c>
      <c r="G530" s="38" t="n">
        <f aca="false">SUMIFS($F$2:$F$1137,$A$2:$A$1137,A530,$C$2:$C$1137,C530)</f>
        <v>9</v>
      </c>
      <c r="H530" s="43" t="n">
        <v>1</v>
      </c>
      <c r="I530" s="45" t="n">
        <f aca="false">IF(G530=0,"",F530/G530)</f>
        <v>0.333333333333333</v>
      </c>
      <c r="J530" s="45" t="n">
        <f aca="false">K530/L530</f>
        <v>0.307692307692308</v>
      </c>
      <c r="K530" s="38" t="n">
        <f aca="false">F530+H530</f>
        <v>4</v>
      </c>
      <c r="L530" s="38" t="n">
        <f aca="false">G530+4*H530</f>
        <v>13</v>
      </c>
      <c r="M530" s="38" t="s">
        <v>619</v>
      </c>
      <c r="N530" s="38" t="n">
        <f aca="false">ROUND(SUMIFS($J$2:$J$1137,$A$2:$A$1137,A530,$C$2:$C$1137,C530),9)</f>
        <v>1</v>
      </c>
    </row>
    <row r="531" customFormat="false" ht="15" hidden="false" customHeight="true" outlineLevel="0" collapsed="false">
      <c r="A531" s="38" t="n">
        <v>34</v>
      </c>
      <c r="B531" s="38" t="s">
        <v>652</v>
      </c>
      <c r="C531" s="38" t="s">
        <v>172</v>
      </c>
      <c r="D531" s="38" t="s">
        <v>170</v>
      </c>
      <c r="E531" s="38" t="str">
        <f aca="false">A531&amp;"|"&amp;C531&amp;"|"&amp;D531</f>
        <v>34|A|C</v>
      </c>
      <c r="F531" s="43" t="n">
        <v>2</v>
      </c>
      <c r="G531" s="38" t="n">
        <f aca="false">SUMIFS($F$2:$F$1137,$A$2:$A$1137,A531,$C$2:$C$1137,C531)</f>
        <v>9</v>
      </c>
      <c r="H531" s="43" t="n">
        <v>1</v>
      </c>
      <c r="I531" s="45" t="n">
        <f aca="false">IF(G531=0,"",F531/G531)</f>
        <v>0.222222222222222</v>
      </c>
      <c r="J531" s="45" t="n">
        <f aca="false">K531/L531</f>
        <v>0.230769230769231</v>
      </c>
      <c r="K531" s="38" t="n">
        <f aca="false">F531+H531</f>
        <v>3</v>
      </c>
      <c r="L531" s="38" t="n">
        <f aca="false">G531+4*H531</f>
        <v>13</v>
      </c>
      <c r="M531" s="38" t="s">
        <v>619</v>
      </c>
      <c r="N531" s="38" t="n">
        <f aca="false">ROUND(SUMIFS($J$2:$J$1137,$A$2:$A$1137,A531,$C$2:$C$1137,C531),9)</f>
        <v>1</v>
      </c>
    </row>
    <row r="532" customFormat="false" ht="15" hidden="false" customHeight="true" outlineLevel="0" collapsed="false">
      <c r="A532" s="38" t="n">
        <v>34</v>
      </c>
      <c r="B532" s="38" t="s">
        <v>652</v>
      </c>
      <c r="C532" s="38" t="s">
        <v>172</v>
      </c>
      <c r="D532" s="38" t="s">
        <v>169</v>
      </c>
      <c r="E532" s="38" t="str">
        <f aca="false">A532&amp;"|"&amp;C532&amp;"|"&amp;D532</f>
        <v>34|A|G</v>
      </c>
      <c r="F532" s="43" t="n">
        <v>4</v>
      </c>
      <c r="G532" s="38" t="n">
        <f aca="false">SUMIFS($F$2:$F$1137,$A$2:$A$1137,A532,$C$2:$C$1137,C532)</f>
        <v>9</v>
      </c>
      <c r="H532" s="43" t="n">
        <v>1</v>
      </c>
      <c r="I532" s="45" t="n">
        <f aca="false">IF(G532=0,"",F532/G532)</f>
        <v>0.444444444444444</v>
      </c>
      <c r="J532" s="45" t="n">
        <f aca="false">K532/L532</f>
        <v>0.384615384615385</v>
      </c>
      <c r="K532" s="38" t="n">
        <f aca="false">F532+H532</f>
        <v>5</v>
      </c>
      <c r="L532" s="38" t="n">
        <f aca="false">G532+4*H532</f>
        <v>13</v>
      </c>
      <c r="M532" s="38" t="s">
        <v>619</v>
      </c>
      <c r="N532" s="38" t="n">
        <f aca="false">ROUND(SUMIFS($J$2:$J$1137,$A$2:$A$1137,A532,$C$2:$C$1137,C532),9)</f>
        <v>1</v>
      </c>
    </row>
    <row r="533" customFormat="false" ht="15" hidden="false" customHeight="true" outlineLevel="0" collapsed="false">
      <c r="A533" s="38" t="n">
        <v>34</v>
      </c>
      <c r="B533" s="38" t="s">
        <v>652</v>
      </c>
      <c r="C533" s="38" t="s">
        <v>172</v>
      </c>
      <c r="D533" s="38" t="s">
        <v>171</v>
      </c>
      <c r="E533" s="38" t="str">
        <f aca="false">A533&amp;"|"&amp;C533&amp;"|"&amp;D533</f>
        <v>34|A|U</v>
      </c>
      <c r="F533" s="43" t="n">
        <v>0</v>
      </c>
      <c r="G533" s="38" t="n">
        <f aca="false">SUMIFS($F$2:$F$1137,$A$2:$A$1137,A533,$C$2:$C$1137,C533)</f>
        <v>9</v>
      </c>
      <c r="H533" s="43" t="n">
        <v>1</v>
      </c>
      <c r="I533" s="45" t="n">
        <f aca="false">IF(G533=0,"",F533/G533)</f>
        <v>0</v>
      </c>
      <c r="J533" s="45" t="n">
        <f aca="false">K533/L533</f>
        <v>0.0769230769230769</v>
      </c>
      <c r="K533" s="38" t="n">
        <f aca="false">F533+H533</f>
        <v>1</v>
      </c>
      <c r="L533" s="38" t="n">
        <f aca="false">G533+4*H533</f>
        <v>13</v>
      </c>
      <c r="M533" s="38" t="s">
        <v>619</v>
      </c>
      <c r="N533" s="38" t="n">
        <f aca="false">ROUND(SUMIFS($J$2:$J$1137,$A$2:$A$1137,A533,$C$2:$C$1137,C533),9)</f>
        <v>1</v>
      </c>
    </row>
    <row r="534" customFormat="false" ht="15" hidden="false" customHeight="true" outlineLevel="0" collapsed="false">
      <c r="A534" s="38" t="n">
        <v>34</v>
      </c>
      <c r="B534" s="38" t="s">
        <v>652</v>
      </c>
      <c r="C534" s="38" t="s">
        <v>170</v>
      </c>
      <c r="D534" s="38" t="s">
        <v>172</v>
      </c>
      <c r="E534" s="38" t="str">
        <f aca="false">A534&amp;"|"&amp;C534&amp;"|"&amp;D534</f>
        <v>34|C|A</v>
      </c>
      <c r="F534" s="43" t="n">
        <v>25</v>
      </c>
      <c r="G534" s="38" t="n">
        <f aca="false">SUMIFS($F$2:$F$1137,$A$2:$A$1137,A534,$C$2:$C$1137,C534)</f>
        <v>66</v>
      </c>
      <c r="H534" s="43" t="n">
        <v>1</v>
      </c>
      <c r="I534" s="45" t="n">
        <f aca="false">IF(G534=0,"",F534/G534)</f>
        <v>0.378787878787879</v>
      </c>
      <c r="J534" s="45" t="n">
        <f aca="false">K534/L534</f>
        <v>0.371428571428571</v>
      </c>
      <c r="K534" s="38" t="n">
        <f aca="false">F534+H534</f>
        <v>26</v>
      </c>
      <c r="L534" s="38" t="n">
        <f aca="false">G534+4*H534</f>
        <v>70</v>
      </c>
      <c r="M534" s="38" t="s">
        <v>619</v>
      </c>
      <c r="N534" s="38" t="n">
        <f aca="false">ROUND(SUMIFS($J$2:$J$1137,$A$2:$A$1137,A534,$C$2:$C$1137,C534),9)</f>
        <v>1</v>
      </c>
    </row>
    <row r="535" customFormat="false" ht="15" hidden="false" customHeight="true" outlineLevel="0" collapsed="false">
      <c r="A535" s="38" t="n">
        <v>34</v>
      </c>
      <c r="B535" s="38" t="s">
        <v>652</v>
      </c>
      <c r="C535" s="38" t="s">
        <v>170</v>
      </c>
      <c r="D535" s="38" t="s">
        <v>170</v>
      </c>
      <c r="E535" s="38" t="str">
        <f aca="false">A535&amp;"|"&amp;C535&amp;"|"&amp;D535</f>
        <v>34|C|C</v>
      </c>
      <c r="F535" s="43" t="n">
        <v>18</v>
      </c>
      <c r="G535" s="38" t="n">
        <f aca="false">SUMIFS($F$2:$F$1137,$A$2:$A$1137,A535,$C$2:$C$1137,C535)</f>
        <v>66</v>
      </c>
      <c r="H535" s="43" t="n">
        <v>1</v>
      </c>
      <c r="I535" s="45" t="n">
        <f aca="false">IF(G535=0,"",F535/G535)</f>
        <v>0.272727272727273</v>
      </c>
      <c r="J535" s="45" t="n">
        <f aca="false">K535/L535</f>
        <v>0.271428571428571</v>
      </c>
      <c r="K535" s="38" t="n">
        <f aca="false">F535+H535</f>
        <v>19</v>
      </c>
      <c r="L535" s="38" t="n">
        <f aca="false">G535+4*H535</f>
        <v>70</v>
      </c>
      <c r="M535" s="38" t="s">
        <v>619</v>
      </c>
      <c r="N535" s="38" t="n">
        <f aca="false">ROUND(SUMIFS($J$2:$J$1137,$A$2:$A$1137,A535,$C$2:$C$1137,C535),9)</f>
        <v>1</v>
      </c>
    </row>
    <row r="536" customFormat="false" ht="15" hidden="false" customHeight="true" outlineLevel="0" collapsed="false">
      <c r="A536" s="38" t="n">
        <v>34</v>
      </c>
      <c r="B536" s="38" t="s">
        <v>652</v>
      </c>
      <c r="C536" s="38" t="s">
        <v>170</v>
      </c>
      <c r="D536" s="38" t="s">
        <v>169</v>
      </c>
      <c r="E536" s="38" t="str">
        <f aca="false">A536&amp;"|"&amp;C536&amp;"|"&amp;D536</f>
        <v>34|C|G</v>
      </c>
      <c r="F536" s="43" t="n">
        <v>11</v>
      </c>
      <c r="G536" s="38" t="n">
        <f aca="false">SUMIFS($F$2:$F$1137,$A$2:$A$1137,A536,$C$2:$C$1137,C536)</f>
        <v>66</v>
      </c>
      <c r="H536" s="43" t="n">
        <v>1</v>
      </c>
      <c r="I536" s="45" t="n">
        <f aca="false">IF(G536=0,"",F536/G536)</f>
        <v>0.166666666666667</v>
      </c>
      <c r="J536" s="45" t="n">
        <f aca="false">K536/L536</f>
        <v>0.171428571428571</v>
      </c>
      <c r="K536" s="38" t="n">
        <f aca="false">F536+H536</f>
        <v>12</v>
      </c>
      <c r="L536" s="38" t="n">
        <f aca="false">G536+4*H536</f>
        <v>70</v>
      </c>
      <c r="M536" s="38" t="s">
        <v>619</v>
      </c>
      <c r="N536" s="38" t="n">
        <f aca="false">ROUND(SUMIFS($J$2:$J$1137,$A$2:$A$1137,A536,$C$2:$C$1137,C536),9)</f>
        <v>1</v>
      </c>
    </row>
    <row r="537" customFormat="false" ht="15" hidden="false" customHeight="true" outlineLevel="0" collapsed="false">
      <c r="A537" s="38" t="n">
        <v>34</v>
      </c>
      <c r="B537" s="38" t="s">
        <v>652</v>
      </c>
      <c r="C537" s="38" t="s">
        <v>170</v>
      </c>
      <c r="D537" s="38" t="s">
        <v>171</v>
      </c>
      <c r="E537" s="38" t="str">
        <f aca="false">A537&amp;"|"&amp;C537&amp;"|"&amp;D537</f>
        <v>34|C|U</v>
      </c>
      <c r="F537" s="43" t="n">
        <v>12</v>
      </c>
      <c r="G537" s="38" t="n">
        <f aca="false">SUMIFS($F$2:$F$1137,$A$2:$A$1137,A537,$C$2:$C$1137,C537)</f>
        <v>66</v>
      </c>
      <c r="H537" s="43" t="n">
        <v>1</v>
      </c>
      <c r="I537" s="45" t="n">
        <f aca="false">IF(G537=0,"",F537/G537)</f>
        <v>0.181818181818182</v>
      </c>
      <c r="J537" s="45" t="n">
        <f aca="false">K537/L537</f>
        <v>0.185714285714286</v>
      </c>
      <c r="K537" s="38" t="n">
        <f aca="false">F537+H537</f>
        <v>13</v>
      </c>
      <c r="L537" s="38" t="n">
        <f aca="false">G537+4*H537</f>
        <v>70</v>
      </c>
      <c r="M537" s="38" t="s">
        <v>619</v>
      </c>
      <c r="N537" s="38" t="n">
        <f aca="false">ROUND(SUMIFS($J$2:$J$1137,$A$2:$A$1137,A537,$C$2:$C$1137,C537),9)</f>
        <v>1</v>
      </c>
    </row>
    <row r="538" customFormat="false" ht="15" hidden="false" customHeight="true" outlineLevel="0" collapsed="false">
      <c r="A538" s="38" t="n">
        <v>34</v>
      </c>
      <c r="B538" s="38" t="s">
        <v>652</v>
      </c>
      <c r="C538" s="38" t="s">
        <v>169</v>
      </c>
      <c r="D538" s="38" t="s">
        <v>172</v>
      </c>
      <c r="E538" s="38" t="str">
        <f aca="false">A538&amp;"|"&amp;C538&amp;"|"&amp;D538</f>
        <v>34|G|A</v>
      </c>
      <c r="F538" s="43" t="n">
        <v>21</v>
      </c>
      <c r="G538" s="38" t="n">
        <f aca="false">SUMIFS($F$2:$F$1137,$A$2:$A$1137,A538,$C$2:$C$1137,C538)</f>
        <v>66</v>
      </c>
      <c r="H538" s="43" t="n">
        <v>1</v>
      </c>
      <c r="I538" s="45" t="n">
        <f aca="false">IF(G538=0,"",F538/G538)</f>
        <v>0.318181818181818</v>
      </c>
      <c r="J538" s="45" t="n">
        <f aca="false">K538/L538</f>
        <v>0.314285714285714</v>
      </c>
      <c r="K538" s="38" t="n">
        <f aca="false">F538+H538</f>
        <v>22</v>
      </c>
      <c r="L538" s="38" t="n">
        <f aca="false">G538+4*H538</f>
        <v>70</v>
      </c>
      <c r="M538" s="38" t="s">
        <v>619</v>
      </c>
      <c r="N538" s="38" t="n">
        <f aca="false">ROUND(SUMIFS($J$2:$J$1137,$A$2:$A$1137,A538,$C$2:$C$1137,C538),9)</f>
        <v>1</v>
      </c>
    </row>
    <row r="539" customFormat="false" ht="15" hidden="false" customHeight="true" outlineLevel="0" collapsed="false">
      <c r="A539" s="38" t="n">
        <v>34</v>
      </c>
      <c r="B539" s="38" t="s">
        <v>652</v>
      </c>
      <c r="C539" s="38" t="s">
        <v>169</v>
      </c>
      <c r="D539" s="38" t="s">
        <v>170</v>
      </c>
      <c r="E539" s="38" t="str">
        <f aca="false">A539&amp;"|"&amp;C539&amp;"|"&amp;D539</f>
        <v>34|G|C</v>
      </c>
      <c r="F539" s="43" t="n">
        <v>13</v>
      </c>
      <c r="G539" s="38" t="n">
        <f aca="false">SUMIFS($F$2:$F$1137,$A$2:$A$1137,A539,$C$2:$C$1137,C539)</f>
        <v>66</v>
      </c>
      <c r="H539" s="43" t="n">
        <v>1</v>
      </c>
      <c r="I539" s="45" t="n">
        <f aca="false">IF(G539=0,"",F539/G539)</f>
        <v>0.196969696969697</v>
      </c>
      <c r="J539" s="45" t="n">
        <f aca="false">K539/L539</f>
        <v>0.2</v>
      </c>
      <c r="K539" s="38" t="n">
        <f aca="false">F539+H539</f>
        <v>14</v>
      </c>
      <c r="L539" s="38" t="n">
        <f aca="false">G539+4*H539</f>
        <v>70</v>
      </c>
      <c r="M539" s="38" t="s">
        <v>619</v>
      </c>
      <c r="N539" s="38" t="n">
        <f aca="false">ROUND(SUMIFS($J$2:$J$1137,$A$2:$A$1137,A539,$C$2:$C$1137,C539),9)</f>
        <v>1</v>
      </c>
    </row>
    <row r="540" customFormat="false" ht="15" hidden="false" customHeight="true" outlineLevel="0" collapsed="false">
      <c r="A540" s="38" t="n">
        <v>34</v>
      </c>
      <c r="B540" s="38" t="s">
        <v>652</v>
      </c>
      <c r="C540" s="38" t="s">
        <v>169</v>
      </c>
      <c r="D540" s="38" t="s">
        <v>169</v>
      </c>
      <c r="E540" s="38" t="str">
        <f aca="false">A540&amp;"|"&amp;C540&amp;"|"&amp;D540</f>
        <v>34|G|G</v>
      </c>
      <c r="F540" s="43" t="n">
        <v>13</v>
      </c>
      <c r="G540" s="38" t="n">
        <f aca="false">SUMIFS($F$2:$F$1137,$A$2:$A$1137,A540,$C$2:$C$1137,C540)</f>
        <v>66</v>
      </c>
      <c r="H540" s="43" t="n">
        <v>1</v>
      </c>
      <c r="I540" s="45" t="n">
        <f aca="false">IF(G540=0,"",F540/G540)</f>
        <v>0.196969696969697</v>
      </c>
      <c r="J540" s="45" t="n">
        <f aca="false">K540/L540</f>
        <v>0.2</v>
      </c>
      <c r="K540" s="38" t="n">
        <f aca="false">F540+H540</f>
        <v>14</v>
      </c>
      <c r="L540" s="38" t="n">
        <f aca="false">G540+4*H540</f>
        <v>70</v>
      </c>
      <c r="M540" s="38" t="s">
        <v>619</v>
      </c>
      <c r="N540" s="38" t="n">
        <f aca="false">ROUND(SUMIFS($J$2:$J$1137,$A$2:$A$1137,A540,$C$2:$C$1137,C540),9)</f>
        <v>1</v>
      </c>
    </row>
    <row r="541" customFormat="false" ht="15" hidden="false" customHeight="true" outlineLevel="0" collapsed="false">
      <c r="A541" s="38" t="n">
        <v>34</v>
      </c>
      <c r="B541" s="38" t="s">
        <v>652</v>
      </c>
      <c r="C541" s="38" t="s">
        <v>169</v>
      </c>
      <c r="D541" s="38" t="s">
        <v>171</v>
      </c>
      <c r="E541" s="38" t="str">
        <f aca="false">A541&amp;"|"&amp;C541&amp;"|"&amp;D541</f>
        <v>34|G|U</v>
      </c>
      <c r="F541" s="43" t="n">
        <v>19</v>
      </c>
      <c r="G541" s="38" t="n">
        <f aca="false">SUMIFS($F$2:$F$1137,$A$2:$A$1137,A541,$C$2:$C$1137,C541)</f>
        <v>66</v>
      </c>
      <c r="H541" s="43" t="n">
        <v>1</v>
      </c>
      <c r="I541" s="45" t="n">
        <f aca="false">IF(G541=0,"",F541/G541)</f>
        <v>0.287878787878788</v>
      </c>
      <c r="J541" s="45" t="n">
        <f aca="false">K541/L541</f>
        <v>0.285714285714286</v>
      </c>
      <c r="K541" s="38" t="n">
        <f aca="false">F541+H541</f>
        <v>20</v>
      </c>
      <c r="L541" s="38" t="n">
        <f aca="false">G541+4*H541</f>
        <v>70</v>
      </c>
      <c r="M541" s="38" t="s">
        <v>619</v>
      </c>
      <c r="N541" s="38" t="n">
        <f aca="false">ROUND(SUMIFS($J$2:$J$1137,$A$2:$A$1137,A541,$C$2:$C$1137,C541),9)</f>
        <v>1</v>
      </c>
    </row>
    <row r="542" customFormat="false" ht="15" hidden="false" customHeight="true" outlineLevel="0" collapsed="false">
      <c r="A542" s="38" t="n">
        <v>34</v>
      </c>
      <c r="B542" s="38" t="s">
        <v>652</v>
      </c>
      <c r="C542" s="38" t="s">
        <v>171</v>
      </c>
      <c r="D542" s="38" t="s">
        <v>172</v>
      </c>
      <c r="E542" s="38" t="str">
        <f aca="false">A542&amp;"|"&amp;C542&amp;"|"&amp;D542</f>
        <v>34|U|A</v>
      </c>
      <c r="F542" s="43" t="n">
        <v>12</v>
      </c>
      <c r="G542" s="38" t="n">
        <f aca="false">SUMIFS($F$2:$F$1137,$A$2:$A$1137,A542,$C$2:$C$1137,C542)</f>
        <v>58</v>
      </c>
      <c r="H542" s="43" t="n">
        <v>1</v>
      </c>
      <c r="I542" s="45" t="n">
        <f aca="false">IF(G542=0,"",F542/G542)</f>
        <v>0.206896551724138</v>
      </c>
      <c r="J542" s="45" t="n">
        <f aca="false">K542/L542</f>
        <v>0.209677419354839</v>
      </c>
      <c r="K542" s="38" t="n">
        <f aca="false">F542+H542</f>
        <v>13</v>
      </c>
      <c r="L542" s="38" t="n">
        <f aca="false">G542+4*H542</f>
        <v>62</v>
      </c>
      <c r="M542" s="38" t="s">
        <v>619</v>
      </c>
      <c r="N542" s="38" t="n">
        <f aca="false">ROUND(SUMIFS($J$2:$J$1137,$A$2:$A$1137,A542,$C$2:$C$1137,C542),9)</f>
        <v>1</v>
      </c>
    </row>
    <row r="543" customFormat="false" ht="15" hidden="false" customHeight="true" outlineLevel="0" collapsed="false">
      <c r="A543" s="38" t="n">
        <v>34</v>
      </c>
      <c r="B543" s="38" t="s">
        <v>652</v>
      </c>
      <c r="C543" s="38" t="s">
        <v>171</v>
      </c>
      <c r="D543" s="38" t="s">
        <v>170</v>
      </c>
      <c r="E543" s="38" t="str">
        <f aca="false">A543&amp;"|"&amp;C543&amp;"|"&amp;D543</f>
        <v>34|U|C</v>
      </c>
      <c r="F543" s="43" t="n">
        <v>13</v>
      </c>
      <c r="G543" s="38" t="n">
        <f aca="false">SUMIFS($F$2:$F$1137,$A$2:$A$1137,A543,$C$2:$C$1137,C543)</f>
        <v>58</v>
      </c>
      <c r="H543" s="43" t="n">
        <v>1</v>
      </c>
      <c r="I543" s="45" t="n">
        <f aca="false">IF(G543=0,"",F543/G543)</f>
        <v>0.224137931034483</v>
      </c>
      <c r="J543" s="45" t="n">
        <f aca="false">K543/L543</f>
        <v>0.225806451612903</v>
      </c>
      <c r="K543" s="38" t="n">
        <f aca="false">F543+H543</f>
        <v>14</v>
      </c>
      <c r="L543" s="38" t="n">
        <f aca="false">G543+4*H543</f>
        <v>62</v>
      </c>
      <c r="M543" s="38" t="s">
        <v>619</v>
      </c>
      <c r="N543" s="38" t="n">
        <f aca="false">ROUND(SUMIFS($J$2:$J$1137,$A$2:$A$1137,A543,$C$2:$C$1137,C543),9)</f>
        <v>1</v>
      </c>
    </row>
    <row r="544" customFormat="false" ht="15" hidden="false" customHeight="true" outlineLevel="0" collapsed="false">
      <c r="A544" s="38" t="n">
        <v>34</v>
      </c>
      <c r="B544" s="38" t="s">
        <v>652</v>
      </c>
      <c r="C544" s="38" t="s">
        <v>171</v>
      </c>
      <c r="D544" s="38" t="s">
        <v>169</v>
      </c>
      <c r="E544" s="38" t="str">
        <f aca="false">A544&amp;"|"&amp;C544&amp;"|"&amp;D544</f>
        <v>34|U|G</v>
      </c>
      <c r="F544" s="43" t="n">
        <v>23</v>
      </c>
      <c r="G544" s="38" t="n">
        <f aca="false">SUMIFS($F$2:$F$1137,$A$2:$A$1137,A544,$C$2:$C$1137,C544)</f>
        <v>58</v>
      </c>
      <c r="H544" s="43" t="n">
        <v>1</v>
      </c>
      <c r="I544" s="45" t="n">
        <f aca="false">IF(G544=0,"",F544/G544)</f>
        <v>0.396551724137931</v>
      </c>
      <c r="J544" s="45" t="n">
        <f aca="false">K544/L544</f>
        <v>0.387096774193548</v>
      </c>
      <c r="K544" s="38" t="n">
        <f aca="false">F544+H544</f>
        <v>24</v>
      </c>
      <c r="L544" s="38" t="n">
        <f aca="false">G544+4*H544</f>
        <v>62</v>
      </c>
      <c r="M544" s="38" t="s">
        <v>619</v>
      </c>
      <c r="N544" s="38" t="n">
        <f aca="false">ROUND(SUMIFS($J$2:$J$1137,$A$2:$A$1137,A544,$C$2:$C$1137,C544),9)</f>
        <v>1</v>
      </c>
    </row>
    <row r="545" customFormat="false" ht="15" hidden="false" customHeight="true" outlineLevel="0" collapsed="false">
      <c r="A545" s="38" t="n">
        <v>34</v>
      </c>
      <c r="B545" s="38" t="s">
        <v>652</v>
      </c>
      <c r="C545" s="38" t="s">
        <v>171</v>
      </c>
      <c r="D545" s="38" t="s">
        <v>171</v>
      </c>
      <c r="E545" s="38" t="str">
        <f aca="false">A545&amp;"|"&amp;C545&amp;"|"&amp;D545</f>
        <v>34|U|U</v>
      </c>
      <c r="F545" s="43" t="n">
        <v>10</v>
      </c>
      <c r="G545" s="38" t="n">
        <f aca="false">SUMIFS($F$2:$F$1137,$A$2:$A$1137,A545,$C$2:$C$1137,C545)</f>
        <v>58</v>
      </c>
      <c r="H545" s="43" t="n">
        <v>1</v>
      </c>
      <c r="I545" s="45" t="n">
        <f aca="false">IF(G545=0,"",F545/G545)</f>
        <v>0.172413793103448</v>
      </c>
      <c r="J545" s="45" t="n">
        <f aca="false">K545/L545</f>
        <v>0.17741935483871</v>
      </c>
      <c r="K545" s="38" t="n">
        <f aca="false">F545+H545</f>
        <v>11</v>
      </c>
      <c r="L545" s="38" t="n">
        <f aca="false">G545+4*H545</f>
        <v>62</v>
      </c>
      <c r="M545" s="38" t="s">
        <v>619</v>
      </c>
      <c r="N545" s="38" t="n">
        <f aca="false">ROUND(SUMIFS($J$2:$J$1137,$A$2:$A$1137,A545,$C$2:$C$1137,C545),9)</f>
        <v>1</v>
      </c>
    </row>
    <row r="546" customFormat="false" ht="15" hidden="false" customHeight="true" outlineLevel="0" collapsed="false">
      <c r="A546" s="38" t="n">
        <v>35</v>
      </c>
      <c r="B546" s="38" t="s">
        <v>653</v>
      </c>
      <c r="C546" s="38" t="s">
        <v>172</v>
      </c>
      <c r="D546" s="38" t="s">
        <v>172</v>
      </c>
      <c r="E546" s="38" t="str">
        <f aca="false">A546&amp;"|"&amp;C546&amp;"|"&amp;D546</f>
        <v>35|A|A</v>
      </c>
      <c r="F546" s="43" t="n">
        <v>11</v>
      </c>
      <c r="G546" s="38" t="n">
        <f aca="false">SUMIFS($F$2:$F$1137,$A$2:$A$1137,A546,$C$2:$C$1137,C546)</f>
        <v>61</v>
      </c>
      <c r="H546" s="43" t="n">
        <v>1</v>
      </c>
      <c r="I546" s="45" t="n">
        <f aca="false">IF(G546=0,"",F546/G546)</f>
        <v>0.180327868852459</v>
      </c>
      <c r="J546" s="45" t="n">
        <f aca="false">K546/L546</f>
        <v>0.184615384615385</v>
      </c>
      <c r="K546" s="38" t="n">
        <f aca="false">F546+H546</f>
        <v>12</v>
      </c>
      <c r="L546" s="38" t="n">
        <f aca="false">G546+4*H546</f>
        <v>65</v>
      </c>
      <c r="M546" s="38" t="s">
        <v>619</v>
      </c>
      <c r="N546" s="38" t="n">
        <f aca="false">ROUND(SUMIFS($J$2:$J$1137,$A$2:$A$1137,A546,$C$2:$C$1137,C546),9)</f>
        <v>1</v>
      </c>
    </row>
    <row r="547" customFormat="false" ht="15" hidden="false" customHeight="true" outlineLevel="0" collapsed="false">
      <c r="A547" s="38" t="n">
        <v>35</v>
      </c>
      <c r="B547" s="38" t="s">
        <v>653</v>
      </c>
      <c r="C547" s="38" t="s">
        <v>172</v>
      </c>
      <c r="D547" s="38" t="s">
        <v>170</v>
      </c>
      <c r="E547" s="38" t="str">
        <f aca="false">A547&amp;"|"&amp;C547&amp;"|"&amp;D547</f>
        <v>35|A|C</v>
      </c>
      <c r="F547" s="43" t="n">
        <v>18</v>
      </c>
      <c r="G547" s="38" t="n">
        <f aca="false">SUMIFS($F$2:$F$1137,$A$2:$A$1137,A547,$C$2:$C$1137,C547)</f>
        <v>61</v>
      </c>
      <c r="H547" s="43" t="n">
        <v>1</v>
      </c>
      <c r="I547" s="45" t="n">
        <f aca="false">IF(G547=0,"",F547/G547)</f>
        <v>0.295081967213115</v>
      </c>
      <c r="J547" s="45" t="n">
        <f aca="false">K547/L547</f>
        <v>0.292307692307692</v>
      </c>
      <c r="K547" s="38" t="n">
        <f aca="false">F547+H547</f>
        <v>19</v>
      </c>
      <c r="L547" s="38" t="n">
        <f aca="false">G547+4*H547</f>
        <v>65</v>
      </c>
      <c r="M547" s="38" t="s">
        <v>619</v>
      </c>
      <c r="N547" s="38" t="n">
        <f aca="false">ROUND(SUMIFS($J$2:$J$1137,$A$2:$A$1137,A547,$C$2:$C$1137,C547),9)</f>
        <v>1</v>
      </c>
    </row>
    <row r="548" customFormat="false" ht="15" hidden="false" customHeight="true" outlineLevel="0" collapsed="false">
      <c r="A548" s="38" t="n">
        <v>35</v>
      </c>
      <c r="B548" s="38" t="s">
        <v>653</v>
      </c>
      <c r="C548" s="38" t="s">
        <v>172</v>
      </c>
      <c r="D548" s="38" t="s">
        <v>169</v>
      </c>
      <c r="E548" s="38" t="str">
        <f aca="false">A548&amp;"|"&amp;C548&amp;"|"&amp;D548</f>
        <v>35|A|G</v>
      </c>
      <c r="F548" s="43" t="n">
        <v>4</v>
      </c>
      <c r="G548" s="38" t="n">
        <f aca="false">SUMIFS($F$2:$F$1137,$A$2:$A$1137,A548,$C$2:$C$1137,C548)</f>
        <v>61</v>
      </c>
      <c r="H548" s="43" t="n">
        <v>1</v>
      </c>
      <c r="I548" s="45" t="n">
        <f aca="false">IF(G548=0,"",F548/G548)</f>
        <v>0.0655737704918033</v>
      </c>
      <c r="J548" s="45" t="n">
        <f aca="false">K548/L548</f>
        <v>0.0769230769230769</v>
      </c>
      <c r="K548" s="38" t="n">
        <f aca="false">F548+H548</f>
        <v>5</v>
      </c>
      <c r="L548" s="38" t="n">
        <f aca="false">G548+4*H548</f>
        <v>65</v>
      </c>
      <c r="M548" s="38" t="s">
        <v>619</v>
      </c>
      <c r="N548" s="38" t="n">
        <f aca="false">ROUND(SUMIFS($J$2:$J$1137,$A$2:$A$1137,A548,$C$2:$C$1137,C548),9)</f>
        <v>1</v>
      </c>
    </row>
    <row r="549" customFormat="false" ht="15" hidden="false" customHeight="true" outlineLevel="0" collapsed="false">
      <c r="A549" s="38" t="n">
        <v>35</v>
      </c>
      <c r="B549" s="38" t="s">
        <v>653</v>
      </c>
      <c r="C549" s="38" t="s">
        <v>172</v>
      </c>
      <c r="D549" s="38" t="s">
        <v>171</v>
      </c>
      <c r="E549" s="38" t="str">
        <f aca="false">A549&amp;"|"&amp;C549&amp;"|"&amp;D549</f>
        <v>35|A|U</v>
      </c>
      <c r="F549" s="43" t="n">
        <v>28</v>
      </c>
      <c r="G549" s="38" t="n">
        <f aca="false">SUMIFS($F$2:$F$1137,$A$2:$A$1137,A549,$C$2:$C$1137,C549)</f>
        <v>61</v>
      </c>
      <c r="H549" s="43" t="n">
        <v>1</v>
      </c>
      <c r="I549" s="45" t="n">
        <f aca="false">IF(G549=0,"",F549/G549)</f>
        <v>0.459016393442623</v>
      </c>
      <c r="J549" s="45" t="n">
        <f aca="false">K549/L549</f>
        <v>0.446153846153846</v>
      </c>
      <c r="K549" s="38" t="n">
        <f aca="false">F549+H549</f>
        <v>29</v>
      </c>
      <c r="L549" s="38" t="n">
        <f aca="false">G549+4*H549</f>
        <v>65</v>
      </c>
      <c r="M549" s="38" t="s">
        <v>619</v>
      </c>
      <c r="N549" s="38" t="n">
        <f aca="false">ROUND(SUMIFS($J$2:$J$1137,$A$2:$A$1137,A549,$C$2:$C$1137,C549),9)</f>
        <v>1</v>
      </c>
    </row>
    <row r="550" customFormat="false" ht="15" hidden="false" customHeight="true" outlineLevel="0" collapsed="false">
      <c r="A550" s="38" t="n">
        <v>35</v>
      </c>
      <c r="B550" s="38" t="s">
        <v>653</v>
      </c>
      <c r="C550" s="38" t="s">
        <v>170</v>
      </c>
      <c r="D550" s="38" t="s">
        <v>172</v>
      </c>
      <c r="E550" s="38" t="str">
        <f aca="false">A550&amp;"|"&amp;C550&amp;"|"&amp;D550</f>
        <v>35|C|A</v>
      </c>
      <c r="F550" s="43" t="n">
        <v>20</v>
      </c>
      <c r="G550" s="38" t="n">
        <f aca="false">SUMIFS($F$2:$F$1137,$A$2:$A$1137,A550,$C$2:$C$1137,C550)</f>
        <v>46</v>
      </c>
      <c r="H550" s="43" t="n">
        <v>1</v>
      </c>
      <c r="I550" s="45" t="n">
        <f aca="false">IF(G550=0,"",F550/G550)</f>
        <v>0.434782608695652</v>
      </c>
      <c r="J550" s="45" t="n">
        <f aca="false">K550/L550</f>
        <v>0.42</v>
      </c>
      <c r="K550" s="38" t="n">
        <f aca="false">F550+H550</f>
        <v>21</v>
      </c>
      <c r="L550" s="38" t="n">
        <f aca="false">G550+4*H550</f>
        <v>50</v>
      </c>
      <c r="M550" s="38" t="s">
        <v>619</v>
      </c>
      <c r="N550" s="38" t="n">
        <f aca="false">ROUND(SUMIFS($J$2:$J$1137,$A$2:$A$1137,A550,$C$2:$C$1137,C550),9)</f>
        <v>1</v>
      </c>
    </row>
    <row r="551" customFormat="false" ht="15" hidden="false" customHeight="true" outlineLevel="0" collapsed="false">
      <c r="A551" s="38" t="n">
        <v>35</v>
      </c>
      <c r="B551" s="38" t="s">
        <v>653</v>
      </c>
      <c r="C551" s="38" t="s">
        <v>170</v>
      </c>
      <c r="D551" s="38" t="s">
        <v>170</v>
      </c>
      <c r="E551" s="38" t="str">
        <f aca="false">A551&amp;"|"&amp;C551&amp;"|"&amp;D551</f>
        <v>35|C|C</v>
      </c>
      <c r="F551" s="43" t="n">
        <v>12</v>
      </c>
      <c r="G551" s="38" t="n">
        <f aca="false">SUMIFS($F$2:$F$1137,$A$2:$A$1137,A551,$C$2:$C$1137,C551)</f>
        <v>46</v>
      </c>
      <c r="H551" s="43" t="n">
        <v>1</v>
      </c>
      <c r="I551" s="45" t="n">
        <f aca="false">IF(G551=0,"",F551/G551)</f>
        <v>0.260869565217391</v>
      </c>
      <c r="J551" s="45" t="n">
        <f aca="false">K551/L551</f>
        <v>0.26</v>
      </c>
      <c r="K551" s="38" t="n">
        <f aca="false">F551+H551</f>
        <v>13</v>
      </c>
      <c r="L551" s="38" t="n">
        <f aca="false">G551+4*H551</f>
        <v>50</v>
      </c>
      <c r="M551" s="38" t="s">
        <v>619</v>
      </c>
      <c r="N551" s="38" t="n">
        <f aca="false">ROUND(SUMIFS($J$2:$J$1137,$A$2:$A$1137,A551,$C$2:$C$1137,C551),9)</f>
        <v>1</v>
      </c>
    </row>
    <row r="552" customFormat="false" ht="15" hidden="false" customHeight="true" outlineLevel="0" collapsed="false">
      <c r="A552" s="38" t="n">
        <v>35</v>
      </c>
      <c r="B552" s="38" t="s">
        <v>653</v>
      </c>
      <c r="C552" s="38" t="s">
        <v>170</v>
      </c>
      <c r="D552" s="38" t="s">
        <v>169</v>
      </c>
      <c r="E552" s="38" t="str">
        <f aca="false">A552&amp;"|"&amp;C552&amp;"|"&amp;D552</f>
        <v>35|C|G</v>
      </c>
      <c r="F552" s="43" t="n">
        <v>6</v>
      </c>
      <c r="G552" s="38" t="n">
        <f aca="false">SUMIFS($F$2:$F$1137,$A$2:$A$1137,A552,$C$2:$C$1137,C552)</f>
        <v>46</v>
      </c>
      <c r="H552" s="43" t="n">
        <v>1</v>
      </c>
      <c r="I552" s="45" t="n">
        <f aca="false">IF(G552=0,"",F552/G552)</f>
        <v>0.130434782608696</v>
      </c>
      <c r="J552" s="45" t="n">
        <f aca="false">K552/L552</f>
        <v>0.14</v>
      </c>
      <c r="K552" s="38" t="n">
        <f aca="false">F552+H552</f>
        <v>7</v>
      </c>
      <c r="L552" s="38" t="n">
        <f aca="false">G552+4*H552</f>
        <v>50</v>
      </c>
      <c r="M552" s="38" t="s">
        <v>619</v>
      </c>
      <c r="N552" s="38" t="n">
        <f aca="false">ROUND(SUMIFS($J$2:$J$1137,$A$2:$A$1137,A552,$C$2:$C$1137,C552),9)</f>
        <v>1</v>
      </c>
    </row>
    <row r="553" customFormat="false" ht="15" hidden="false" customHeight="true" outlineLevel="0" collapsed="false">
      <c r="A553" s="38" t="n">
        <v>35</v>
      </c>
      <c r="B553" s="38" t="s">
        <v>653</v>
      </c>
      <c r="C553" s="38" t="s">
        <v>170</v>
      </c>
      <c r="D553" s="38" t="s">
        <v>171</v>
      </c>
      <c r="E553" s="38" t="str">
        <f aca="false">A553&amp;"|"&amp;C553&amp;"|"&amp;D553</f>
        <v>35|C|U</v>
      </c>
      <c r="F553" s="43" t="n">
        <v>8</v>
      </c>
      <c r="G553" s="38" t="n">
        <f aca="false">SUMIFS($F$2:$F$1137,$A$2:$A$1137,A553,$C$2:$C$1137,C553)</f>
        <v>46</v>
      </c>
      <c r="H553" s="43" t="n">
        <v>1</v>
      </c>
      <c r="I553" s="45" t="n">
        <f aca="false">IF(G553=0,"",F553/G553)</f>
        <v>0.173913043478261</v>
      </c>
      <c r="J553" s="45" t="n">
        <f aca="false">K553/L553</f>
        <v>0.18</v>
      </c>
      <c r="K553" s="38" t="n">
        <f aca="false">F553+H553</f>
        <v>9</v>
      </c>
      <c r="L553" s="38" t="n">
        <f aca="false">G553+4*H553</f>
        <v>50</v>
      </c>
      <c r="M553" s="38" t="s">
        <v>619</v>
      </c>
      <c r="N553" s="38" t="n">
        <f aca="false">ROUND(SUMIFS($J$2:$J$1137,$A$2:$A$1137,A553,$C$2:$C$1137,C553),9)</f>
        <v>1</v>
      </c>
    </row>
    <row r="554" customFormat="false" ht="15" hidden="false" customHeight="true" outlineLevel="0" collapsed="false">
      <c r="A554" s="38" t="n">
        <v>35</v>
      </c>
      <c r="B554" s="38" t="s">
        <v>653</v>
      </c>
      <c r="C554" s="38" t="s">
        <v>169</v>
      </c>
      <c r="D554" s="38" t="s">
        <v>172</v>
      </c>
      <c r="E554" s="38" t="str">
        <f aca="false">A554&amp;"|"&amp;C554&amp;"|"&amp;D554</f>
        <v>35|G|A</v>
      </c>
      <c r="F554" s="43" t="n">
        <v>5</v>
      </c>
      <c r="G554" s="38" t="n">
        <f aca="false">SUMIFS($F$2:$F$1137,$A$2:$A$1137,A554,$C$2:$C$1137,C554)</f>
        <v>51</v>
      </c>
      <c r="H554" s="43" t="n">
        <v>1</v>
      </c>
      <c r="I554" s="45" t="n">
        <f aca="false">IF(G554=0,"",F554/G554)</f>
        <v>0.0980392156862745</v>
      </c>
      <c r="J554" s="45" t="n">
        <f aca="false">K554/L554</f>
        <v>0.109090909090909</v>
      </c>
      <c r="K554" s="38" t="n">
        <f aca="false">F554+H554</f>
        <v>6</v>
      </c>
      <c r="L554" s="38" t="n">
        <f aca="false">G554+4*H554</f>
        <v>55</v>
      </c>
      <c r="M554" s="38" t="s">
        <v>619</v>
      </c>
      <c r="N554" s="38" t="n">
        <f aca="false">ROUND(SUMIFS($J$2:$J$1137,$A$2:$A$1137,A554,$C$2:$C$1137,C554),9)</f>
        <v>1</v>
      </c>
    </row>
    <row r="555" customFormat="false" ht="15" hidden="false" customHeight="true" outlineLevel="0" collapsed="false">
      <c r="A555" s="38" t="n">
        <v>35</v>
      </c>
      <c r="B555" s="38" t="s">
        <v>653</v>
      </c>
      <c r="C555" s="38" t="s">
        <v>169</v>
      </c>
      <c r="D555" s="38" t="s">
        <v>170</v>
      </c>
      <c r="E555" s="38" t="str">
        <f aca="false">A555&amp;"|"&amp;C555&amp;"|"&amp;D555</f>
        <v>35|G|C</v>
      </c>
      <c r="F555" s="43" t="n">
        <v>15</v>
      </c>
      <c r="G555" s="38" t="n">
        <f aca="false">SUMIFS($F$2:$F$1137,$A$2:$A$1137,A555,$C$2:$C$1137,C555)</f>
        <v>51</v>
      </c>
      <c r="H555" s="43" t="n">
        <v>1</v>
      </c>
      <c r="I555" s="45" t="n">
        <f aca="false">IF(G555=0,"",F555/G555)</f>
        <v>0.294117647058824</v>
      </c>
      <c r="J555" s="45" t="n">
        <f aca="false">K555/L555</f>
        <v>0.290909090909091</v>
      </c>
      <c r="K555" s="38" t="n">
        <f aca="false">F555+H555</f>
        <v>16</v>
      </c>
      <c r="L555" s="38" t="n">
        <f aca="false">G555+4*H555</f>
        <v>55</v>
      </c>
      <c r="M555" s="38" t="s">
        <v>619</v>
      </c>
      <c r="N555" s="38" t="n">
        <f aca="false">ROUND(SUMIFS($J$2:$J$1137,$A$2:$A$1137,A555,$C$2:$C$1137,C555),9)</f>
        <v>1</v>
      </c>
    </row>
    <row r="556" customFormat="false" ht="15" hidden="false" customHeight="true" outlineLevel="0" collapsed="false">
      <c r="A556" s="38" t="n">
        <v>35</v>
      </c>
      <c r="B556" s="38" t="s">
        <v>653</v>
      </c>
      <c r="C556" s="38" t="s">
        <v>169</v>
      </c>
      <c r="D556" s="38" t="s">
        <v>169</v>
      </c>
      <c r="E556" s="38" t="str">
        <f aca="false">A556&amp;"|"&amp;C556&amp;"|"&amp;D556</f>
        <v>35|G|G</v>
      </c>
      <c r="F556" s="43" t="n">
        <v>12</v>
      </c>
      <c r="G556" s="38" t="n">
        <f aca="false">SUMIFS($F$2:$F$1137,$A$2:$A$1137,A556,$C$2:$C$1137,C556)</f>
        <v>51</v>
      </c>
      <c r="H556" s="43" t="n">
        <v>1</v>
      </c>
      <c r="I556" s="45" t="n">
        <f aca="false">IF(G556=0,"",F556/G556)</f>
        <v>0.235294117647059</v>
      </c>
      <c r="J556" s="45" t="n">
        <f aca="false">K556/L556</f>
        <v>0.236363636363636</v>
      </c>
      <c r="K556" s="38" t="n">
        <f aca="false">F556+H556</f>
        <v>13</v>
      </c>
      <c r="L556" s="38" t="n">
        <f aca="false">G556+4*H556</f>
        <v>55</v>
      </c>
      <c r="M556" s="38" t="s">
        <v>619</v>
      </c>
      <c r="N556" s="38" t="n">
        <f aca="false">ROUND(SUMIFS($J$2:$J$1137,$A$2:$A$1137,A556,$C$2:$C$1137,C556),9)</f>
        <v>1</v>
      </c>
    </row>
    <row r="557" customFormat="false" ht="15" hidden="false" customHeight="true" outlineLevel="0" collapsed="false">
      <c r="A557" s="38" t="n">
        <v>35</v>
      </c>
      <c r="B557" s="38" t="s">
        <v>653</v>
      </c>
      <c r="C557" s="38" t="s">
        <v>169</v>
      </c>
      <c r="D557" s="38" t="s">
        <v>171</v>
      </c>
      <c r="E557" s="38" t="str">
        <f aca="false">A557&amp;"|"&amp;C557&amp;"|"&amp;D557</f>
        <v>35|G|U</v>
      </c>
      <c r="F557" s="43" t="n">
        <v>19</v>
      </c>
      <c r="G557" s="38" t="n">
        <f aca="false">SUMIFS($F$2:$F$1137,$A$2:$A$1137,A557,$C$2:$C$1137,C557)</f>
        <v>51</v>
      </c>
      <c r="H557" s="43" t="n">
        <v>1</v>
      </c>
      <c r="I557" s="45" t="n">
        <f aca="false">IF(G557=0,"",F557/G557)</f>
        <v>0.372549019607843</v>
      </c>
      <c r="J557" s="45" t="n">
        <f aca="false">K557/L557</f>
        <v>0.363636363636364</v>
      </c>
      <c r="K557" s="38" t="n">
        <f aca="false">F557+H557</f>
        <v>20</v>
      </c>
      <c r="L557" s="38" t="n">
        <f aca="false">G557+4*H557</f>
        <v>55</v>
      </c>
      <c r="M557" s="38" t="s">
        <v>619</v>
      </c>
      <c r="N557" s="38" t="n">
        <f aca="false">ROUND(SUMIFS($J$2:$J$1137,$A$2:$A$1137,A557,$C$2:$C$1137,C557),9)</f>
        <v>1</v>
      </c>
    </row>
    <row r="558" customFormat="false" ht="15" hidden="false" customHeight="true" outlineLevel="0" collapsed="false">
      <c r="A558" s="38" t="n">
        <v>35</v>
      </c>
      <c r="B558" s="38" t="s">
        <v>653</v>
      </c>
      <c r="C558" s="38" t="s">
        <v>171</v>
      </c>
      <c r="D558" s="38" t="s">
        <v>172</v>
      </c>
      <c r="E558" s="38" t="str">
        <f aca="false">A558&amp;"|"&amp;C558&amp;"|"&amp;D558</f>
        <v>35|U|A</v>
      </c>
      <c r="F558" s="43" t="n">
        <v>7</v>
      </c>
      <c r="G558" s="38" t="n">
        <f aca="false">SUMIFS($F$2:$F$1137,$A$2:$A$1137,A558,$C$2:$C$1137,C558)</f>
        <v>41</v>
      </c>
      <c r="H558" s="43" t="n">
        <v>1</v>
      </c>
      <c r="I558" s="45" t="n">
        <f aca="false">IF(G558=0,"",F558/G558)</f>
        <v>0.170731707317073</v>
      </c>
      <c r="J558" s="45" t="n">
        <f aca="false">K558/L558</f>
        <v>0.177777777777778</v>
      </c>
      <c r="K558" s="38" t="n">
        <f aca="false">F558+H558</f>
        <v>8</v>
      </c>
      <c r="L558" s="38" t="n">
        <f aca="false">G558+4*H558</f>
        <v>45</v>
      </c>
      <c r="M558" s="38" t="s">
        <v>619</v>
      </c>
      <c r="N558" s="38" t="n">
        <f aca="false">ROUND(SUMIFS($J$2:$J$1137,$A$2:$A$1137,A558,$C$2:$C$1137,C558),9)</f>
        <v>1</v>
      </c>
    </row>
    <row r="559" customFormat="false" ht="15" hidden="false" customHeight="true" outlineLevel="0" collapsed="false">
      <c r="A559" s="38" t="n">
        <v>35</v>
      </c>
      <c r="B559" s="38" t="s">
        <v>653</v>
      </c>
      <c r="C559" s="38" t="s">
        <v>171</v>
      </c>
      <c r="D559" s="38" t="s">
        <v>170</v>
      </c>
      <c r="E559" s="38" t="str">
        <f aca="false">A559&amp;"|"&amp;C559&amp;"|"&amp;D559</f>
        <v>35|U|C</v>
      </c>
      <c r="F559" s="43" t="n">
        <v>8</v>
      </c>
      <c r="G559" s="38" t="n">
        <f aca="false">SUMIFS($F$2:$F$1137,$A$2:$A$1137,A559,$C$2:$C$1137,C559)</f>
        <v>41</v>
      </c>
      <c r="H559" s="43" t="n">
        <v>1</v>
      </c>
      <c r="I559" s="45" t="n">
        <f aca="false">IF(G559=0,"",F559/G559)</f>
        <v>0.195121951219512</v>
      </c>
      <c r="J559" s="45" t="n">
        <f aca="false">K559/L559</f>
        <v>0.2</v>
      </c>
      <c r="K559" s="38" t="n">
        <f aca="false">F559+H559</f>
        <v>9</v>
      </c>
      <c r="L559" s="38" t="n">
        <f aca="false">G559+4*H559</f>
        <v>45</v>
      </c>
      <c r="M559" s="38" t="s">
        <v>619</v>
      </c>
      <c r="N559" s="38" t="n">
        <f aca="false">ROUND(SUMIFS($J$2:$J$1137,$A$2:$A$1137,A559,$C$2:$C$1137,C559),9)</f>
        <v>1</v>
      </c>
    </row>
    <row r="560" customFormat="false" ht="15" hidden="false" customHeight="true" outlineLevel="0" collapsed="false">
      <c r="A560" s="38" t="n">
        <v>35</v>
      </c>
      <c r="B560" s="38" t="s">
        <v>653</v>
      </c>
      <c r="C560" s="38" t="s">
        <v>171</v>
      </c>
      <c r="D560" s="38" t="s">
        <v>169</v>
      </c>
      <c r="E560" s="38" t="str">
        <f aca="false">A560&amp;"|"&amp;C560&amp;"|"&amp;D560</f>
        <v>35|U|G</v>
      </c>
      <c r="F560" s="43" t="n">
        <v>10</v>
      </c>
      <c r="G560" s="38" t="n">
        <f aca="false">SUMIFS($F$2:$F$1137,$A$2:$A$1137,A560,$C$2:$C$1137,C560)</f>
        <v>41</v>
      </c>
      <c r="H560" s="43" t="n">
        <v>1</v>
      </c>
      <c r="I560" s="45" t="n">
        <f aca="false">IF(G560=0,"",F560/G560)</f>
        <v>0.24390243902439</v>
      </c>
      <c r="J560" s="45" t="n">
        <f aca="false">K560/L560</f>
        <v>0.244444444444444</v>
      </c>
      <c r="K560" s="38" t="n">
        <f aca="false">F560+H560</f>
        <v>11</v>
      </c>
      <c r="L560" s="38" t="n">
        <f aca="false">G560+4*H560</f>
        <v>45</v>
      </c>
      <c r="M560" s="38" t="s">
        <v>619</v>
      </c>
      <c r="N560" s="38" t="n">
        <f aca="false">ROUND(SUMIFS($J$2:$J$1137,$A$2:$A$1137,A560,$C$2:$C$1137,C560),9)</f>
        <v>1</v>
      </c>
    </row>
    <row r="561" customFormat="false" ht="15" hidden="false" customHeight="true" outlineLevel="0" collapsed="false">
      <c r="A561" s="38" t="n">
        <v>35</v>
      </c>
      <c r="B561" s="38" t="s">
        <v>653</v>
      </c>
      <c r="C561" s="38" t="s">
        <v>171</v>
      </c>
      <c r="D561" s="38" t="s">
        <v>171</v>
      </c>
      <c r="E561" s="38" t="str">
        <f aca="false">A561&amp;"|"&amp;C561&amp;"|"&amp;D561</f>
        <v>35|U|U</v>
      </c>
      <c r="F561" s="43" t="n">
        <v>16</v>
      </c>
      <c r="G561" s="38" t="n">
        <f aca="false">SUMIFS($F$2:$F$1137,$A$2:$A$1137,A561,$C$2:$C$1137,C561)</f>
        <v>41</v>
      </c>
      <c r="H561" s="43" t="n">
        <v>1</v>
      </c>
      <c r="I561" s="45" t="n">
        <f aca="false">IF(G561=0,"",F561/G561)</f>
        <v>0.390243902439024</v>
      </c>
      <c r="J561" s="45" t="n">
        <f aca="false">K561/L561</f>
        <v>0.377777777777778</v>
      </c>
      <c r="K561" s="38" t="n">
        <f aca="false">F561+H561</f>
        <v>17</v>
      </c>
      <c r="L561" s="38" t="n">
        <f aca="false">G561+4*H561</f>
        <v>45</v>
      </c>
      <c r="M561" s="38" t="s">
        <v>619</v>
      </c>
      <c r="N561" s="38" t="n">
        <f aca="false">ROUND(SUMIFS($J$2:$J$1137,$A$2:$A$1137,A561,$C$2:$C$1137,C561),9)</f>
        <v>1</v>
      </c>
    </row>
    <row r="562" customFormat="false" ht="15" hidden="false" customHeight="true" outlineLevel="0" collapsed="false">
      <c r="A562" s="38" t="n">
        <v>36</v>
      </c>
      <c r="B562" s="38" t="s">
        <v>654</v>
      </c>
      <c r="C562" s="38" t="s">
        <v>172</v>
      </c>
      <c r="D562" s="38" t="s">
        <v>172</v>
      </c>
      <c r="E562" s="38" t="str">
        <f aca="false">A562&amp;"|"&amp;C562&amp;"|"&amp;D562</f>
        <v>36|A|A</v>
      </c>
      <c r="F562" s="43" t="n">
        <v>25</v>
      </c>
      <c r="G562" s="38" t="n">
        <f aca="false">SUMIFS($F$2:$F$1137,$A$2:$A$1137,A562,$C$2:$C$1137,C562)</f>
        <v>43</v>
      </c>
      <c r="H562" s="43" t="n">
        <v>1</v>
      </c>
      <c r="I562" s="45" t="n">
        <f aca="false">IF(G562=0,"",F562/G562)</f>
        <v>0.581395348837209</v>
      </c>
      <c r="J562" s="45" t="n">
        <f aca="false">K562/L562</f>
        <v>0.553191489361702</v>
      </c>
      <c r="K562" s="38" t="n">
        <f aca="false">F562+H562</f>
        <v>26</v>
      </c>
      <c r="L562" s="38" t="n">
        <f aca="false">G562+4*H562</f>
        <v>47</v>
      </c>
      <c r="M562" s="38" t="s">
        <v>619</v>
      </c>
      <c r="N562" s="38" t="n">
        <f aca="false">ROUND(SUMIFS($J$2:$J$1137,$A$2:$A$1137,A562,$C$2:$C$1137,C562),9)</f>
        <v>1</v>
      </c>
    </row>
    <row r="563" customFormat="false" ht="15" hidden="false" customHeight="true" outlineLevel="0" collapsed="false">
      <c r="A563" s="38" t="n">
        <v>36</v>
      </c>
      <c r="B563" s="38" t="s">
        <v>654</v>
      </c>
      <c r="C563" s="38" t="s">
        <v>172</v>
      </c>
      <c r="D563" s="38" t="s">
        <v>170</v>
      </c>
      <c r="E563" s="38" t="str">
        <f aca="false">A563&amp;"|"&amp;C563&amp;"|"&amp;D563</f>
        <v>36|A|C</v>
      </c>
      <c r="F563" s="43" t="n">
        <v>1</v>
      </c>
      <c r="G563" s="38" t="n">
        <f aca="false">SUMIFS($F$2:$F$1137,$A$2:$A$1137,A563,$C$2:$C$1137,C563)</f>
        <v>43</v>
      </c>
      <c r="H563" s="43" t="n">
        <v>1</v>
      </c>
      <c r="I563" s="45" t="n">
        <f aca="false">IF(G563=0,"",F563/G563)</f>
        <v>0.0232558139534884</v>
      </c>
      <c r="J563" s="45" t="n">
        <f aca="false">K563/L563</f>
        <v>0.0425531914893617</v>
      </c>
      <c r="K563" s="38" t="n">
        <f aca="false">F563+H563</f>
        <v>2</v>
      </c>
      <c r="L563" s="38" t="n">
        <f aca="false">G563+4*H563</f>
        <v>47</v>
      </c>
      <c r="M563" s="38" t="s">
        <v>619</v>
      </c>
      <c r="N563" s="38" t="n">
        <f aca="false">ROUND(SUMIFS($J$2:$J$1137,$A$2:$A$1137,A563,$C$2:$C$1137,C563),9)</f>
        <v>1</v>
      </c>
    </row>
    <row r="564" customFormat="false" ht="15" hidden="false" customHeight="true" outlineLevel="0" collapsed="false">
      <c r="A564" s="38" t="n">
        <v>36</v>
      </c>
      <c r="B564" s="38" t="s">
        <v>654</v>
      </c>
      <c r="C564" s="38" t="s">
        <v>172</v>
      </c>
      <c r="D564" s="38" t="s">
        <v>169</v>
      </c>
      <c r="E564" s="38" t="str">
        <f aca="false">A564&amp;"|"&amp;C564&amp;"|"&amp;D564</f>
        <v>36|A|G</v>
      </c>
      <c r="F564" s="43" t="n">
        <v>17</v>
      </c>
      <c r="G564" s="38" t="n">
        <f aca="false">SUMIFS($F$2:$F$1137,$A$2:$A$1137,A564,$C$2:$C$1137,C564)</f>
        <v>43</v>
      </c>
      <c r="H564" s="43" t="n">
        <v>1</v>
      </c>
      <c r="I564" s="45" t="n">
        <f aca="false">IF(G564=0,"",F564/G564)</f>
        <v>0.395348837209302</v>
      </c>
      <c r="J564" s="45" t="n">
        <f aca="false">K564/L564</f>
        <v>0.382978723404255</v>
      </c>
      <c r="K564" s="38" t="n">
        <f aca="false">F564+H564</f>
        <v>18</v>
      </c>
      <c r="L564" s="38" t="n">
        <f aca="false">G564+4*H564</f>
        <v>47</v>
      </c>
      <c r="M564" s="38" t="s">
        <v>619</v>
      </c>
      <c r="N564" s="38" t="n">
        <f aca="false">ROUND(SUMIFS($J$2:$J$1137,$A$2:$A$1137,A564,$C$2:$C$1137,C564),9)</f>
        <v>1</v>
      </c>
    </row>
    <row r="565" customFormat="false" ht="15" hidden="false" customHeight="true" outlineLevel="0" collapsed="false">
      <c r="A565" s="38" t="n">
        <v>36</v>
      </c>
      <c r="B565" s="38" t="s">
        <v>654</v>
      </c>
      <c r="C565" s="38" t="s">
        <v>172</v>
      </c>
      <c r="D565" s="38" t="s">
        <v>171</v>
      </c>
      <c r="E565" s="38" t="str">
        <f aca="false">A565&amp;"|"&amp;C565&amp;"|"&amp;D565</f>
        <v>36|A|U</v>
      </c>
      <c r="F565" s="43" t="n">
        <v>0</v>
      </c>
      <c r="G565" s="38" t="n">
        <f aca="false">SUMIFS($F$2:$F$1137,$A$2:$A$1137,A565,$C$2:$C$1137,C565)</f>
        <v>43</v>
      </c>
      <c r="H565" s="43" t="n">
        <v>1</v>
      </c>
      <c r="I565" s="45" t="n">
        <f aca="false">IF(G565=0,"",F565/G565)</f>
        <v>0</v>
      </c>
      <c r="J565" s="45" t="n">
        <f aca="false">K565/L565</f>
        <v>0.0212765957446809</v>
      </c>
      <c r="K565" s="38" t="n">
        <f aca="false">F565+H565</f>
        <v>1</v>
      </c>
      <c r="L565" s="38" t="n">
        <f aca="false">G565+4*H565</f>
        <v>47</v>
      </c>
      <c r="M565" s="38" t="s">
        <v>619</v>
      </c>
      <c r="N565" s="38" t="n">
        <f aca="false">ROUND(SUMIFS($J$2:$J$1137,$A$2:$A$1137,A565,$C$2:$C$1137,C565),9)</f>
        <v>1</v>
      </c>
    </row>
    <row r="566" customFormat="false" ht="15" hidden="false" customHeight="true" outlineLevel="0" collapsed="false">
      <c r="A566" s="38" t="n">
        <v>36</v>
      </c>
      <c r="B566" s="38" t="s">
        <v>654</v>
      </c>
      <c r="C566" s="38" t="s">
        <v>170</v>
      </c>
      <c r="D566" s="38" t="s">
        <v>172</v>
      </c>
      <c r="E566" s="38" t="str">
        <f aca="false">A566&amp;"|"&amp;C566&amp;"|"&amp;D566</f>
        <v>36|C|A</v>
      </c>
      <c r="F566" s="43" t="n">
        <v>50</v>
      </c>
      <c r="G566" s="38" t="n">
        <f aca="false">SUMIFS($F$2:$F$1137,$A$2:$A$1137,A566,$C$2:$C$1137,C566)</f>
        <v>53</v>
      </c>
      <c r="H566" s="43" t="n">
        <v>1</v>
      </c>
      <c r="I566" s="45" t="n">
        <f aca="false">IF(G566=0,"",F566/G566)</f>
        <v>0.943396226415094</v>
      </c>
      <c r="J566" s="45" t="n">
        <f aca="false">K566/L566</f>
        <v>0.894736842105263</v>
      </c>
      <c r="K566" s="38" t="n">
        <f aca="false">F566+H566</f>
        <v>51</v>
      </c>
      <c r="L566" s="38" t="n">
        <f aca="false">G566+4*H566</f>
        <v>57</v>
      </c>
      <c r="M566" s="38" t="s">
        <v>619</v>
      </c>
      <c r="N566" s="38" t="n">
        <f aca="false">ROUND(SUMIFS($J$2:$J$1137,$A$2:$A$1137,A566,$C$2:$C$1137,C566),9)</f>
        <v>1</v>
      </c>
    </row>
    <row r="567" customFormat="false" ht="15" hidden="false" customHeight="true" outlineLevel="0" collapsed="false">
      <c r="A567" s="38" t="n">
        <v>36</v>
      </c>
      <c r="B567" s="38" t="s">
        <v>654</v>
      </c>
      <c r="C567" s="38" t="s">
        <v>170</v>
      </c>
      <c r="D567" s="38" t="s">
        <v>170</v>
      </c>
      <c r="E567" s="38" t="str">
        <f aca="false">A567&amp;"|"&amp;C567&amp;"|"&amp;D567</f>
        <v>36|C|C</v>
      </c>
      <c r="F567" s="43" t="n">
        <v>0</v>
      </c>
      <c r="G567" s="38" t="n">
        <f aca="false">SUMIFS($F$2:$F$1137,$A$2:$A$1137,A567,$C$2:$C$1137,C567)</f>
        <v>53</v>
      </c>
      <c r="H567" s="43" t="n">
        <v>1</v>
      </c>
      <c r="I567" s="45" t="n">
        <f aca="false">IF(G567=0,"",F567/G567)</f>
        <v>0</v>
      </c>
      <c r="J567" s="45" t="n">
        <f aca="false">K567/L567</f>
        <v>0.0175438596491228</v>
      </c>
      <c r="K567" s="38" t="n">
        <f aca="false">F567+H567</f>
        <v>1</v>
      </c>
      <c r="L567" s="38" t="n">
        <f aca="false">G567+4*H567</f>
        <v>57</v>
      </c>
      <c r="M567" s="38" t="s">
        <v>619</v>
      </c>
      <c r="N567" s="38" t="n">
        <f aca="false">ROUND(SUMIFS($J$2:$J$1137,$A$2:$A$1137,A567,$C$2:$C$1137,C567),9)</f>
        <v>1</v>
      </c>
    </row>
    <row r="568" customFormat="false" ht="15" hidden="false" customHeight="true" outlineLevel="0" collapsed="false">
      <c r="A568" s="38" t="n">
        <v>36</v>
      </c>
      <c r="B568" s="38" t="s">
        <v>654</v>
      </c>
      <c r="C568" s="38" t="s">
        <v>170</v>
      </c>
      <c r="D568" s="38" t="s">
        <v>169</v>
      </c>
      <c r="E568" s="38" t="str">
        <f aca="false">A568&amp;"|"&amp;C568&amp;"|"&amp;D568</f>
        <v>36|C|G</v>
      </c>
      <c r="F568" s="43" t="n">
        <v>3</v>
      </c>
      <c r="G568" s="38" t="n">
        <f aca="false">SUMIFS($F$2:$F$1137,$A$2:$A$1137,A568,$C$2:$C$1137,C568)</f>
        <v>53</v>
      </c>
      <c r="H568" s="43" t="n">
        <v>1</v>
      </c>
      <c r="I568" s="45" t="n">
        <f aca="false">IF(G568=0,"",F568/G568)</f>
        <v>0.0566037735849057</v>
      </c>
      <c r="J568" s="45" t="n">
        <f aca="false">K568/L568</f>
        <v>0.0701754385964912</v>
      </c>
      <c r="K568" s="38" t="n">
        <f aca="false">F568+H568</f>
        <v>4</v>
      </c>
      <c r="L568" s="38" t="n">
        <f aca="false">G568+4*H568</f>
        <v>57</v>
      </c>
      <c r="M568" s="38" t="s">
        <v>619</v>
      </c>
      <c r="N568" s="38" t="n">
        <f aca="false">ROUND(SUMIFS($J$2:$J$1137,$A$2:$A$1137,A568,$C$2:$C$1137,C568),9)</f>
        <v>1</v>
      </c>
    </row>
    <row r="569" customFormat="false" ht="15" hidden="false" customHeight="true" outlineLevel="0" collapsed="false">
      <c r="A569" s="38" t="n">
        <v>36</v>
      </c>
      <c r="B569" s="38" t="s">
        <v>654</v>
      </c>
      <c r="C569" s="38" t="s">
        <v>170</v>
      </c>
      <c r="D569" s="38" t="s">
        <v>171</v>
      </c>
      <c r="E569" s="38" t="str">
        <f aca="false">A569&amp;"|"&amp;C569&amp;"|"&amp;D569</f>
        <v>36|C|U</v>
      </c>
      <c r="F569" s="43" t="n">
        <v>0</v>
      </c>
      <c r="G569" s="38" t="n">
        <f aca="false">SUMIFS($F$2:$F$1137,$A$2:$A$1137,A569,$C$2:$C$1137,C569)</f>
        <v>53</v>
      </c>
      <c r="H569" s="43" t="n">
        <v>1</v>
      </c>
      <c r="I569" s="45" t="n">
        <f aca="false">IF(G569=0,"",F569/G569)</f>
        <v>0</v>
      </c>
      <c r="J569" s="45" t="n">
        <f aca="false">K569/L569</f>
        <v>0.0175438596491228</v>
      </c>
      <c r="K569" s="38" t="n">
        <f aca="false">F569+H569</f>
        <v>1</v>
      </c>
      <c r="L569" s="38" t="n">
        <f aca="false">G569+4*H569</f>
        <v>57</v>
      </c>
      <c r="M569" s="38" t="s">
        <v>619</v>
      </c>
      <c r="N569" s="38" t="n">
        <f aca="false">ROUND(SUMIFS($J$2:$J$1137,$A$2:$A$1137,A569,$C$2:$C$1137,C569),9)</f>
        <v>1</v>
      </c>
    </row>
    <row r="570" customFormat="false" ht="15" hidden="false" customHeight="true" outlineLevel="0" collapsed="false">
      <c r="A570" s="38" t="n">
        <v>36</v>
      </c>
      <c r="B570" s="38" t="s">
        <v>654</v>
      </c>
      <c r="C570" s="38" t="s">
        <v>169</v>
      </c>
      <c r="D570" s="38" t="s">
        <v>172</v>
      </c>
      <c r="E570" s="38" t="str">
        <f aca="false">A570&amp;"|"&amp;C570&amp;"|"&amp;D570</f>
        <v>36|G|A</v>
      </c>
      <c r="F570" s="43" t="n">
        <v>4</v>
      </c>
      <c r="G570" s="38" t="n">
        <f aca="false">SUMIFS($F$2:$F$1137,$A$2:$A$1137,A570,$C$2:$C$1137,C570)</f>
        <v>32</v>
      </c>
      <c r="H570" s="43" t="n">
        <v>1</v>
      </c>
      <c r="I570" s="45" t="n">
        <f aca="false">IF(G570=0,"",F570/G570)</f>
        <v>0.125</v>
      </c>
      <c r="J570" s="45" t="n">
        <f aca="false">K570/L570</f>
        <v>0.138888888888889</v>
      </c>
      <c r="K570" s="38" t="n">
        <f aca="false">F570+H570</f>
        <v>5</v>
      </c>
      <c r="L570" s="38" t="n">
        <f aca="false">G570+4*H570</f>
        <v>36</v>
      </c>
      <c r="M570" s="38" t="s">
        <v>619</v>
      </c>
      <c r="N570" s="38" t="n">
        <f aca="false">ROUND(SUMIFS($J$2:$J$1137,$A$2:$A$1137,A570,$C$2:$C$1137,C570),9)</f>
        <v>1</v>
      </c>
    </row>
    <row r="571" customFormat="false" ht="15" hidden="false" customHeight="true" outlineLevel="0" collapsed="false">
      <c r="A571" s="38" t="n">
        <v>36</v>
      </c>
      <c r="B571" s="38" t="s">
        <v>654</v>
      </c>
      <c r="C571" s="38" t="s">
        <v>169</v>
      </c>
      <c r="D571" s="38" t="s">
        <v>170</v>
      </c>
      <c r="E571" s="38" t="str">
        <f aca="false">A571&amp;"|"&amp;C571&amp;"|"&amp;D571</f>
        <v>36|G|C</v>
      </c>
      <c r="F571" s="43" t="n">
        <v>0</v>
      </c>
      <c r="G571" s="38" t="n">
        <f aca="false">SUMIFS($F$2:$F$1137,$A$2:$A$1137,A571,$C$2:$C$1137,C571)</f>
        <v>32</v>
      </c>
      <c r="H571" s="43" t="n">
        <v>1</v>
      </c>
      <c r="I571" s="45" t="n">
        <f aca="false">IF(G571=0,"",F571/G571)</f>
        <v>0</v>
      </c>
      <c r="J571" s="45" t="n">
        <f aca="false">K571/L571</f>
        <v>0.0277777777777778</v>
      </c>
      <c r="K571" s="38" t="n">
        <f aca="false">F571+H571</f>
        <v>1</v>
      </c>
      <c r="L571" s="38" t="n">
        <f aca="false">G571+4*H571</f>
        <v>36</v>
      </c>
      <c r="M571" s="38" t="s">
        <v>619</v>
      </c>
      <c r="N571" s="38" t="n">
        <f aca="false">ROUND(SUMIFS($J$2:$J$1137,$A$2:$A$1137,A571,$C$2:$C$1137,C571),9)</f>
        <v>1</v>
      </c>
    </row>
    <row r="572" customFormat="false" ht="15" hidden="false" customHeight="true" outlineLevel="0" collapsed="false">
      <c r="A572" s="38" t="n">
        <v>36</v>
      </c>
      <c r="B572" s="38" t="s">
        <v>654</v>
      </c>
      <c r="C572" s="38" t="s">
        <v>169</v>
      </c>
      <c r="D572" s="38" t="s">
        <v>169</v>
      </c>
      <c r="E572" s="38" t="str">
        <f aca="false">A572&amp;"|"&amp;C572&amp;"|"&amp;D572</f>
        <v>36|G|G</v>
      </c>
      <c r="F572" s="43" t="n">
        <v>28</v>
      </c>
      <c r="G572" s="38" t="n">
        <f aca="false">SUMIFS($F$2:$F$1137,$A$2:$A$1137,A572,$C$2:$C$1137,C572)</f>
        <v>32</v>
      </c>
      <c r="H572" s="43" t="n">
        <v>1</v>
      </c>
      <c r="I572" s="45" t="n">
        <f aca="false">IF(G572=0,"",F572/G572)</f>
        <v>0.875</v>
      </c>
      <c r="J572" s="45" t="n">
        <f aca="false">K572/L572</f>
        <v>0.805555555555556</v>
      </c>
      <c r="K572" s="38" t="n">
        <f aca="false">F572+H572</f>
        <v>29</v>
      </c>
      <c r="L572" s="38" t="n">
        <f aca="false">G572+4*H572</f>
        <v>36</v>
      </c>
      <c r="M572" s="38" t="s">
        <v>619</v>
      </c>
      <c r="N572" s="38" t="n">
        <f aca="false">ROUND(SUMIFS($J$2:$J$1137,$A$2:$A$1137,A572,$C$2:$C$1137,C572),9)</f>
        <v>1</v>
      </c>
    </row>
    <row r="573" customFormat="false" ht="15" hidden="false" customHeight="true" outlineLevel="0" collapsed="false">
      <c r="A573" s="38" t="n">
        <v>36</v>
      </c>
      <c r="B573" s="38" t="s">
        <v>654</v>
      </c>
      <c r="C573" s="38" t="s">
        <v>169</v>
      </c>
      <c r="D573" s="38" t="s">
        <v>171</v>
      </c>
      <c r="E573" s="38" t="str">
        <f aca="false">A573&amp;"|"&amp;C573&amp;"|"&amp;D573</f>
        <v>36|G|U</v>
      </c>
      <c r="F573" s="43" t="n">
        <v>0</v>
      </c>
      <c r="G573" s="38" t="n">
        <f aca="false">SUMIFS($F$2:$F$1137,$A$2:$A$1137,A573,$C$2:$C$1137,C573)</f>
        <v>32</v>
      </c>
      <c r="H573" s="43" t="n">
        <v>1</v>
      </c>
      <c r="I573" s="45" t="n">
        <f aca="false">IF(G573=0,"",F573/G573)</f>
        <v>0</v>
      </c>
      <c r="J573" s="45" t="n">
        <f aca="false">K573/L573</f>
        <v>0.0277777777777778</v>
      </c>
      <c r="K573" s="38" t="n">
        <f aca="false">F573+H573</f>
        <v>1</v>
      </c>
      <c r="L573" s="38" t="n">
        <f aca="false">G573+4*H573</f>
        <v>36</v>
      </c>
      <c r="M573" s="38" t="s">
        <v>619</v>
      </c>
      <c r="N573" s="38" t="n">
        <f aca="false">ROUND(SUMIFS($J$2:$J$1137,$A$2:$A$1137,A573,$C$2:$C$1137,C573),9)</f>
        <v>1</v>
      </c>
    </row>
    <row r="574" customFormat="false" ht="15" hidden="false" customHeight="true" outlineLevel="0" collapsed="false">
      <c r="A574" s="38" t="n">
        <v>36</v>
      </c>
      <c r="B574" s="38" t="s">
        <v>654</v>
      </c>
      <c r="C574" s="38" t="s">
        <v>171</v>
      </c>
      <c r="D574" s="38" t="s">
        <v>172</v>
      </c>
      <c r="E574" s="38" t="str">
        <f aca="false">A574&amp;"|"&amp;C574&amp;"|"&amp;D574</f>
        <v>36|U|A</v>
      </c>
      <c r="F574" s="43" t="n">
        <v>71</v>
      </c>
      <c r="G574" s="38" t="n">
        <f aca="false">SUMIFS($F$2:$F$1137,$A$2:$A$1137,A574,$C$2:$C$1137,C574)</f>
        <v>71</v>
      </c>
      <c r="H574" s="43" t="n">
        <v>1</v>
      </c>
      <c r="I574" s="45" t="n">
        <f aca="false">IF(G574=0,"",F574/G574)</f>
        <v>1</v>
      </c>
      <c r="J574" s="45" t="n">
        <f aca="false">K574/L574</f>
        <v>0.96</v>
      </c>
      <c r="K574" s="38" t="n">
        <f aca="false">F574+H574</f>
        <v>72</v>
      </c>
      <c r="L574" s="38" t="n">
        <f aca="false">G574+4*H574</f>
        <v>75</v>
      </c>
      <c r="M574" s="38" t="s">
        <v>619</v>
      </c>
      <c r="N574" s="38" t="n">
        <f aca="false">ROUND(SUMIFS($J$2:$J$1137,$A$2:$A$1137,A574,$C$2:$C$1137,C574),9)</f>
        <v>1</v>
      </c>
    </row>
    <row r="575" customFormat="false" ht="15" hidden="false" customHeight="true" outlineLevel="0" collapsed="false">
      <c r="A575" s="38" t="n">
        <v>36</v>
      </c>
      <c r="B575" s="38" t="s">
        <v>654</v>
      </c>
      <c r="C575" s="38" t="s">
        <v>171</v>
      </c>
      <c r="D575" s="38" t="s">
        <v>170</v>
      </c>
      <c r="E575" s="38" t="str">
        <f aca="false">A575&amp;"|"&amp;C575&amp;"|"&amp;D575</f>
        <v>36|U|C</v>
      </c>
      <c r="F575" s="43" t="n">
        <v>0</v>
      </c>
      <c r="G575" s="38" t="n">
        <f aca="false">SUMIFS($F$2:$F$1137,$A$2:$A$1137,A575,$C$2:$C$1137,C575)</f>
        <v>71</v>
      </c>
      <c r="H575" s="43" t="n">
        <v>1</v>
      </c>
      <c r="I575" s="45" t="n">
        <f aca="false">IF(G575=0,"",F575/G575)</f>
        <v>0</v>
      </c>
      <c r="J575" s="45" t="n">
        <f aca="false">K575/L575</f>
        <v>0.0133333333333333</v>
      </c>
      <c r="K575" s="38" t="n">
        <f aca="false">F575+H575</f>
        <v>1</v>
      </c>
      <c r="L575" s="38" t="n">
        <f aca="false">G575+4*H575</f>
        <v>75</v>
      </c>
      <c r="M575" s="38" t="s">
        <v>619</v>
      </c>
      <c r="N575" s="38" t="n">
        <f aca="false">ROUND(SUMIFS($J$2:$J$1137,$A$2:$A$1137,A575,$C$2:$C$1137,C575),9)</f>
        <v>1</v>
      </c>
    </row>
    <row r="576" customFormat="false" ht="15" hidden="false" customHeight="true" outlineLevel="0" collapsed="false">
      <c r="A576" s="38" t="n">
        <v>36</v>
      </c>
      <c r="B576" s="38" t="s">
        <v>654</v>
      </c>
      <c r="C576" s="38" t="s">
        <v>171</v>
      </c>
      <c r="D576" s="38" t="s">
        <v>169</v>
      </c>
      <c r="E576" s="38" t="str">
        <f aca="false">A576&amp;"|"&amp;C576&amp;"|"&amp;D576</f>
        <v>36|U|G</v>
      </c>
      <c r="F576" s="43" t="n">
        <v>0</v>
      </c>
      <c r="G576" s="38" t="n">
        <f aca="false">SUMIFS($F$2:$F$1137,$A$2:$A$1137,A576,$C$2:$C$1137,C576)</f>
        <v>71</v>
      </c>
      <c r="H576" s="43" t="n">
        <v>1</v>
      </c>
      <c r="I576" s="45" t="n">
        <f aca="false">IF(G576=0,"",F576/G576)</f>
        <v>0</v>
      </c>
      <c r="J576" s="45" t="n">
        <f aca="false">K576/L576</f>
        <v>0.0133333333333333</v>
      </c>
      <c r="K576" s="38" t="n">
        <f aca="false">F576+H576</f>
        <v>1</v>
      </c>
      <c r="L576" s="38" t="n">
        <f aca="false">G576+4*H576</f>
        <v>75</v>
      </c>
      <c r="M576" s="38" t="s">
        <v>619</v>
      </c>
      <c r="N576" s="38" t="n">
        <f aca="false">ROUND(SUMIFS($J$2:$J$1137,$A$2:$A$1137,A576,$C$2:$C$1137,C576),9)</f>
        <v>1</v>
      </c>
    </row>
    <row r="577" customFormat="false" ht="15" hidden="false" customHeight="true" outlineLevel="0" collapsed="false">
      <c r="A577" s="38" t="n">
        <v>36</v>
      </c>
      <c r="B577" s="38" t="s">
        <v>654</v>
      </c>
      <c r="C577" s="38" t="s">
        <v>171</v>
      </c>
      <c r="D577" s="38" t="s">
        <v>171</v>
      </c>
      <c r="E577" s="38" t="str">
        <f aca="false">A577&amp;"|"&amp;C577&amp;"|"&amp;D577</f>
        <v>36|U|U</v>
      </c>
      <c r="F577" s="43" t="n">
        <v>0</v>
      </c>
      <c r="G577" s="38" t="n">
        <f aca="false">SUMIFS($F$2:$F$1137,$A$2:$A$1137,A577,$C$2:$C$1137,C577)</f>
        <v>71</v>
      </c>
      <c r="H577" s="43" t="n">
        <v>1</v>
      </c>
      <c r="I577" s="45" t="n">
        <f aca="false">IF(G577=0,"",F577/G577)</f>
        <v>0</v>
      </c>
      <c r="J577" s="45" t="n">
        <f aca="false">K577/L577</f>
        <v>0.0133333333333333</v>
      </c>
      <c r="K577" s="38" t="n">
        <f aca="false">F577+H577</f>
        <v>1</v>
      </c>
      <c r="L577" s="38" t="n">
        <f aca="false">G577+4*H577</f>
        <v>75</v>
      </c>
      <c r="M577" s="38" t="s">
        <v>619</v>
      </c>
      <c r="N577" s="38" t="n">
        <f aca="false">ROUND(SUMIFS($J$2:$J$1137,$A$2:$A$1137,A577,$C$2:$C$1137,C577),9)</f>
        <v>1</v>
      </c>
    </row>
    <row r="578" customFormat="false" ht="15" hidden="false" customHeight="true" outlineLevel="0" collapsed="false">
      <c r="A578" s="38" t="n">
        <v>37</v>
      </c>
      <c r="B578" s="38" t="s">
        <v>655</v>
      </c>
      <c r="C578" s="38" t="s">
        <v>172</v>
      </c>
      <c r="D578" s="38" t="s">
        <v>172</v>
      </c>
      <c r="E578" s="38" t="str">
        <f aca="false">A578&amp;"|"&amp;C578&amp;"|"&amp;D578</f>
        <v>37|A|A</v>
      </c>
      <c r="F578" s="43" t="n">
        <v>114</v>
      </c>
      <c r="G578" s="38" t="n">
        <f aca="false">SUMIFS($F$2:$F$1137,$A$2:$A$1137,A578,$C$2:$C$1137,C578)</f>
        <v>150</v>
      </c>
      <c r="H578" s="43" t="n">
        <v>1</v>
      </c>
      <c r="I578" s="45" t="n">
        <f aca="false">IF(G578=0,"",F578/G578)</f>
        <v>0.76</v>
      </c>
      <c r="J578" s="45" t="n">
        <f aca="false">K578/L578</f>
        <v>0.746753246753247</v>
      </c>
      <c r="K578" s="38" t="n">
        <f aca="false">F578+H578</f>
        <v>115</v>
      </c>
      <c r="L578" s="38" t="n">
        <f aca="false">G578+4*H578</f>
        <v>154</v>
      </c>
      <c r="M578" s="38" t="s">
        <v>619</v>
      </c>
      <c r="N578" s="38" t="n">
        <f aca="false">ROUND(SUMIFS($J$2:$J$1137,$A$2:$A$1137,A578,$C$2:$C$1137,C578),9)</f>
        <v>1</v>
      </c>
    </row>
    <row r="579" customFormat="false" ht="15" hidden="false" customHeight="true" outlineLevel="0" collapsed="false">
      <c r="A579" s="38" t="n">
        <v>37</v>
      </c>
      <c r="B579" s="38" t="s">
        <v>655</v>
      </c>
      <c r="C579" s="38" t="s">
        <v>172</v>
      </c>
      <c r="D579" s="38" t="s">
        <v>170</v>
      </c>
      <c r="E579" s="38" t="str">
        <f aca="false">A579&amp;"|"&amp;C579&amp;"|"&amp;D579</f>
        <v>37|A|C</v>
      </c>
      <c r="F579" s="43" t="n">
        <v>22</v>
      </c>
      <c r="G579" s="38" t="n">
        <f aca="false">SUMIFS($F$2:$F$1137,$A$2:$A$1137,A579,$C$2:$C$1137,C579)</f>
        <v>150</v>
      </c>
      <c r="H579" s="43" t="n">
        <v>1</v>
      </c>
      <c r="I579" s="45" t="n">
        <f aca="false">IF(G579=0,"",F579/G579)</f>
        <v>0.146666666666667</v>
      </c>
      <c r="J579" s="45" t="n">
        <f aca="false">K579/L579</f>
        <v>0.149350649350649</v>
      </c>
      <c r="K579" s="38" t="n">
        <f aca="false">F579+H579</f>
        <v>23</v>
      </c>
      <c r="L579" s="38" t="n">
        <f aca="false">G579+4*H579</f>
        <v>154</v>
      </c>
      <c r="M579" s="38" t="s">
        <v>619</v>
      </c>
      <c r="N579" s="38" t="n">
        <f aca="false">ROUND(SUMIFS($J$2:$J$1137,$A$2:$A$1137,A579,$C$2:$C$1137,C579),9)</f>
        <v>1</v>
      </c>
    </row>
    <row r="580" customFormat="false" ht="15" hidden="false" customHeight="true" outlineLevel="0" collapsed="false">
      <c r="A580" s="38" t="n">
        <v>37</v>
      </c>
      <c r="B580" s="38" t="s">
        <v>655</v>
      </c>
      <c r="C580" s="38" t="s">
        <v>172</v>
      </c>
      <c r="D580" s="38" t="s">
        <v>169</v>
      </c>
      <c r="E580" s="38" t="str">
        <f aca="false">A580&amp;"|"&amp;C580&amp;"|"&amp;D580</f>
        <v>37|A|G</v>
      </c>
      <c r="F580" s="43" t="n">
        <v>0</v>
      </c>
      <c r="G580" s="38" t="n">
        <f aca="false">SUMIFS($F$2:$F$1137,$A$2:$A$1137,A580,$C$2:$C$1137,C580)</f>
        <v>150</v>
      </c>
      <c r="H580" s="43" t="n">
        <v>1</v>
      </c>
      <c r="I580" s="45" t="n">
        <f aca="false">IF(G580=0,"",F580/G580)</f>
        <v>0</v>
      </c>
      <c r="J580" s="45" t="n">
        <f aca="false">K580/L580</f>
        <v>0.00649350649350649</v>
      </c>
      <c r="K580" s="38" t="n">
        <f aca="false">F580+H580</f>
        <v>1</v>
      </c>
      <c r="L580" s="38" t="n">
        <f aca="false">G580+4*H580</f>
        <v>154</v>
      </c>
      <c r="M580" s="38" t="s">
        <v>619</v>
      </c>
      <c r="N580" s="38" t="n">
        <f aca="false">ROUND(SUMIFS($J$2:$J$1137,$A$2:$A$1137,A580,$C$2:$C$1137,C580),9)</f>
        <v>1</v>
      </c>
    </row>
    <row r="581" customFormat="false" ht="15" hidden="false" customHeight="true" outlineLevel="0" collapsed="false">
      <c r="A581" s="38" t="n">
        <v>37</v>
      </c>
      <c r="B581" s="38" t="s">
        <v>655</v>
      </c>
      <c r="C581" s="38" t="s">
        <v>172</v>
      </c>
      <c r="D581" s="38" t="s">
        <v>171</v>
      </c>
      <c r="E581" s="38" t="str">
        <f aca="false">A581&amp;"|"&amp;C581&amp;"|"&amp;D581</f>
        <v>37|A|U</v>
      </c>
      <c r="F581" s="43" t="n">
        <v>14</v>
      </c>
      <c r="G581" s="38" t="n">
        <f aca="false">SUMIFS($F$2:$F$1137,$A$2:$A$1137,A581,$C$2:$C$1137,C581)</f>
        <v>150</v>
      </c>
      <c r="H581" s="43" t="n">
        <v>1</v>
      </c>
      <c r="I581" s="45" t="n">
        <f aca="false">IF(G581=0,"",F581/G581)</f>
        <v>0.0933333333333333</v>
      </c>
      <c r="J581" s="45" t="n">
        <f aca="false">K581/L581</f>
        <v>0.0974025974025974</v>
      </c>
      <c r="K581" s="38" t="n">
        <f aca="false">F581+H581</f>
        <v>15</v>
      </c>
      <c r="L581" s="38" t="n">
        <f aca="false">G581+4*H581</f>
        <v>154</v>
      </c>
      <c r="M581" s="38" t="s">
        <v>619</v>
      </c>
      <c r="N581" s="38" t="n">
        <f aca="false">ROUND(SUMIFS($J$2:$J$1137,$A$2:$A$1137,A581,$C$2:$C$1137,C581),9)</f>
        <v>1</v>
      </c>
    </row>
    <row r="582" customFormat="false" ht="15" hidden="false" customHeight="true" outlineLevel="0" collapsed="false">
      <c r="A582" s="38" t="n">
        <v>37</v>
      </c>
      <c r="B582" s="38" t="s">
        <v>655</v>
      </c>
      <c r="C582" s="38" t="s">
        <v>170</v>
      </c>
      <c r="D582" s="38" t="s">
        <v>172</v>
      </c>
      <c r="E582" s="38" t="str">
        <f aca="false">A582&amp;"|"&amp;C582&amp;"|"&amp;D582</f>
        <v>37|C|A</v>
      </c>
      <c r="F582" s="43" t="n">
        <v>1</v>
      </c>
      <c r="G582" s="38" t="n">
        <f aca="false">SUMIFS($F$2:$F$1137,$A$2:$A$1137,A582,$C$2:$C$1137,C582)</f>
        <v>1</v>
      </c>
      <c r="H582" s="43" t="n">
        <v>1</v>
      </c>
      <c r="I582" s="45" t="n">
        <f aca="false">IF(G582=0,"",F582/G582)</f>
        <v>1</v>
      </c>
      <c r="J582" s="45" t="n">
        <f aca="false">K582/L582</f>
        <v>0.4</v>
      </c>
      <c r="K582" s="38" t="n">
        <f aca="false">F582+H582</f>
        <v>2</v>
      </c>
      <c r="L582" s="38" t="n">
        <f aca="false">G582+4*H582</f>
        <v>5</v>
      </c>
      <c r="M582" s="38" t="s">
        <v>619</v>
      </c>
      <c r="N582" s="38" t="n">
        <f aca="false">ROUND(SUMIFS($J$2:$J$1137,$A$2:$A$1137,A582,$C$2:$C$1137,C582),9)</f>
        <v>1</v>
      </c>
    </row>
    <row r="583" customFormat="false" ht="15" hidden="false" customHeight="true" outlineLevel="0" collapsed="false">
      <c r="A583" s="38" t="n">
        <v>37</v>
      </c>
      <c r="B583" s="38" t="s">
        <v>655</v>
      </c>
      <c r="C583" s="38" t="s">
        <v>170</v>
      </c>
      <c r="D583" s="38" t="s">
        <v>170</v>
      </c>
      <c r="E583" s="38" t="str">
        <f aca="false">A583&amp;"|"&amp;C583&amp;"|"&amp;D583</f>
        <v>37|C|C</v>
      </c>
      <c r="F583" s="43" t="n">
        <v>0</v>
      </c>
      <c r="G583" s="38" t="n">
        <f aca="false">SUMIFS($F$2:$F$1137,$A$2:$A$1137,A583,$C$2:$C$1137,C583)</f>
        <v>1</v>
      </c>
      <c r="H583" s="43" t="n">
        <v>1</v>
      </c>
      <c r="I583" s="45" t="n">
        <f aca="false">IF(G583=0,"",F583/G583)</f>
        <v>0</v>
      </c>
      <c r="J583" s="45" t="n">
        <f aca="false">K583/L583</f>
        <v>0.2</v>
      </c>
      <c r="K583" s="38" t="n">
        <f aca="false">F583+H583</f>
        <v>1</v>
      </c>
      <c r="L583" s="38" t="n">
        <f aca="false">G583+4*H583</f>
        <v>5</v>
      </c>
      <c r="M583" s="38" t="s">
        <v>619</v>
      </c>
      <c r="N583" s="38" t="n">
        <f aca="false">ROUND(SUMIFS($J$2:$J$1137,$A$2:$A$1137,A583,$C$2:$C$1137,C583),9)</f>
        <v>1</v>
      </c>
    </row>
    <row r="584" customFormat="false" ht="15" hidden="false" customHeight="true" outlineLevel="0" collapsed="false">
      <c r="A584" s="38" t="n">
        <v>37</v>
      </c>
      <c r="B584" s="38" t="s">
        <v>655</v>
      </c>
      <c r="C584" s="38" t="s">
        <v>170</v>
      </c>
      <c r="D584" s="38" t="s">
        <v>169</v>
      </c>
      <c r="E584" s="38" t="str">
        <f aca="false">A584&amp;"|"&amp;C584&amp;"|"&amp;D584</f>
        <v>37|C|G</v>
      </c>
      <c r="F584" s="43" t="n">
        <v>0</v>
      </c>
      <c r="G584" s="38" t="n">
        <f aca="false">SUMIFS($F$2:$F$1137,$A$2:$A$1137,A584,$C$2:$C$1137,C584)</f>
        <v>1</v>
      </c>
      <c r="H584" s="43" t="n">
        <v>1</v>
      </c>
      <c r="I584" s="45" t="n">
        <f aca="false">IF(G584=0,"",F584/G584)</f>
        <v>0</v>
      </c>
      <c r="J584" s="45" t="n">
        <f aca="false">K584/L584</f>
        <v>0.2</v>
      </c>
      <c r="K584" s="38" t="n">
        <f aca="false">F584+H584</f>
        <v>1</v>
      </c>
      <c r="L584" s="38" t="n">
        <f aca="false">G584+4*H584</f>
        <v>5</v>
      </c>
      <c r="M584" s="38" t="s">
        <v>619</v>
      </c>
      <c r="N584" s="38" t="n">
        <f aca="false">ROUND(SUMIFS($J$2:$J$1137,$A$2:$A$1137,A584,$C$2:$C$1137,C584),9)</f>
        <v>1</v>
      </c>
    </row>
    <row r="585" customFormat="false" ht="15" hidden="false" customHeight="true" outlineLevel="0" collapsed="false">
      <c r="A585" s="38" t="n">
        <v>37</v>
      </c>
      <c r="B585" s="38" t="s">
        <v>655</v>
      </c>
      <c r="C585" s="38" t="s">
        <v>170</v>
      </c>
      <c r="D585" s="38" t="s">
        <v>171</v>
      </c>
      <c r="E585" s="38" t="str">
        <f aca="false">A585&amp;"|"&amp;C585&amp;"|"&amp;D585</f>
        <v>37|C|U</v>
      </c>
      <c r="F585" s="43" t="n">
        <v>0</v>
      </c>
      <c r="G585" s="38" t="n">
        <f aca="false">SUMIFS($F$2:$F$1137,$A$2:$A$1137,A585,$C$2:$C$1137,C585)</f>
        <v>1</v>
      </c>
      <c r="H585" s="43" t="n">
        <v>1</v>
      </c>
      <c r="I585" s="45" t="n">
        <f aca="false">IF(G585=0,"",F585/G585)</f>
        <v>0</v>
      </c>
      <c r="J585" s="45" t="n">
        <f aca="false">K585/L585</f>
        <v>0.2</v>
      </c>
      <c r="K585" s="38" t="n">
        <f aca="false">F585+H585</f>
        <v>1</v>
      </c>
      <c r="L585" s="38" t="n">
        <f aca="false">G585+4*H585</f>
        <v>5</v>
      </c>
      <c r="M585" s="38" t="s">
        <v>619</v>
      </c>
      <c r="N585" s="38" t="n">
        <f aca="false">ROUND(SUMIFS($J$2:$J$1137,$A$2:$A$1137,A585,$C$2:$C$1137,C585),9)</f>
        <v>1</v>
      </c>
    </row>
    <row r="586" customFormat="false" ht="15" hidden="false" customHeight="true" outlineLevel="0" collapsed="false">
      <c r="A586" s="38" t="n">
        <v>37</v>
      </c>
      <c r="B586" s="38" t="s">
        <v>655</v>
      </c>
      <c r="C586" s="38" t="s">
        <v>169</v>
      </c>
      <c r="D586" s="38" t="s">
        <v>172</v>
      </c>
      <c r="E586" s="38" t="str">
        <f aca="false">A586&amp;"|"&amp;C586&amp;"|"&amp;D586</f>
        <v>37|G|A</v>
      </c>
      <c r="F586" s="43" t="n">
        <v>31</v>
      </c>
      <c r="G586" s="38" t="n">
        <f aca="false">SUMIFS($F$2:$F$1137,$A$2:$A$1137,A586,$C$2:$C$1137,C586)</f>
        <v>48</v>
      </c>
      <c r="H586" s="43" t="n">
        <v>1</v>
      </c>
      <c r="I586" s="45" t="n">
        <f aca="false">IF(G586=0,"",F586/G586)</f>
        <v>0.645833333333333</v>
      </c>
      <c r="J586" s="45" t="n">
        <f aca="false">K586/L586</f>
        <v>0.615384615384615</v>
      </c>
      <c r="K586" s="38" t="n">
        <f aca="false">F586+H586</f>
        <v>32</v>
      </c>
      <c r="L586" s="38" t="n">
        <f aca="false">G586+4*H586</f>
        <v>52</v>
      </c>
      <c r="M586" s="38" t="s">
        <v>619</v>
      </c>
      <c r="N586" s="38" t="n">
        <f aca="false">ROUND(SUMIFS($J$2:$J$1137,$A$2:$A$1137,A586,$C$2:$C$1137,C586),9)</f>
        <v>1</v>
      </c>
    </row>
    <row r="587" customFormat="false" ht="15" hidden="false" customHeight="true" outlineLevel="0" collapsed="false">
      <c r="A587" s="38" t="n">
        <v>37</v>
      </c>
      <c r="B587" s="38" t="s">
        <v>655</v>
      </c>
      <c r="C587" s="38" t="s">
        <v>169</v>
      </c>
      <c r="D587" s="38" t="s">
        <v>170</v>
      </c>
      <c r="E587" s="38" t="str">
        <f aca="false">A587&amp;"|"&amp;C587&amp;"|"&amp;D587</f>
        <v>37|G|C</v>
      </c>
      <c r="F587" s="43" t="n">
        <v>7</v>
      </c>
      <c r="G587" s="38" t="n">
        <f aca="false">SUMIFS($F$2:$F$1137,$A$2:$A$1137,A587,$C$2:$C$1137,C587)</f>
        <v>48</v>
      </c>
      <c r="H587" s="43" t="n">
        <v>1</v>
      </c>
      <c r="I587" s="45" t="n">
        <f aca="false">IF(G587=0,"",F587/G587)</f>
        <v>0.145833333333333</v>
      </c>
      <c r="J587" s="45" t="n">
        <f aca="false">K587/L587</f>
        <v>0.153846153846154</v>
      </c>
      <c r="K587" s="38" t="n">
        <f aca="false">F587+H587</f>
        <v>8</v>
      </c>
      <c r="L587" s="38" t="n">
        <f aca="false">G587+4*H587</f>
        <v>52</v>
      </c>
      <c r="M587" s="38" t="s">
        <v>619</v>
      </c>
      <c r="N587" s="38" t="n">
        <f aca="false">ROUND(SUMIFS($J$2:$J$1137,$A$2:$A$1137,A587,$C$2:$C$1137,C587),9)</f>
        <v>1</v>
      </c>
    </row>
    <row r="588" customFormat="false" ht="15" hidden="false" customHeight="true" outlineLevel="0" collapsed="false">
      <c r="A588" s="38" t="n">
        <v>37</v>
      </c>
      <c r="B588" s="38" t="s">
        <v>655</v>
      </c>
      <c r="C588" s="38" t="s">
        <v>169</v>
      </c>
      <c r="D588" s="38" t="s">
        <v>169</v>
      </c>
      <c r="E588" s="38" t="str">
        <f aca="false">A588&amp;"|"&amp;C588&amp;"|"&amp;D588</f>
        <v>37|G|G</v>
      </c>
      <c r="F588" s="43" t="n">
        <v>1</v>
      </c>
      <c r="G588" s="38" t="n">
        <f aca="false">SUMIFS($F$2:$F$1137,$A$2:$A$1137,A588,$C$2:$C$1137,C588)</f>
        <v>48</v>
      </c>
      <c r="H588" s="43" t="n">
        <v>1</v>
      </c>
      <c r="I588" s="45" t="n">
        <f aca="false">IF(G588=0,"",F588/G588)</f>
        <v>0.0208333333333333</v>
      </c>
      <c r="J588" s="45" t="n">
        <f aca="false">K588/L588</f>
        <v>0.0384615384615385</v>
      </c>
      <c r="K588" s="38" t="n">
        <f aca="false">F588+H588</f>
        <v>2</v>
      </c>
      <c r="L588" s="38" t="n">
        <f aca="false">G588+4*H588</f>
        <v>52</v>
      </c>
      <c r="M588" s="38" t="s">
        <v>619</v>
      </c>
      <c r="N588" s="38" t="n">
        <f aca="false">ROUND(SUMIFS($J$2:$J$1137,$A$2:$A$1137,A588,$C$2:$C$1137,C588),9)</f>
        <v>1</v>
      </c>
    </row>
    <row r="589" customFormat="false" ht="15" hidden="false" customHeight="true" outlineLevel="0" collapsed="false">
      <c r="A589" s="38" t="n">
        <v>37</v>
      </c>
      <c r="B589" s="38" t="s">
        <v>655</v>
      </c>
      <c r="C589" s="38" t="s">
        <v>169</v>
      </c>
      <c r="D589" s="38" t="s">
        <v>171</v>
      </c>
      <c r="E589" s="38" t="str">
        <f aca="false">A589&amp;"|"&amp;C589&amp;"|"&amp;D589</f>
        <v>37|G|U</v>
      </c>
      <c r="F589" s="43" t="n">
        <v>9</v>
      </c>
      <c r="G589" s="38" t="n">
        <f aca="false">SUMIFS($F$2:$F$1137,$A$2:$A$1137,A589,$C$2:$C$1137,C589)</f>
        <v>48</v>
      </c>
      <c r="H589" s="43" t="n">
        <v>1</v>
      </c>
      <c r="I589" s="45" t="n">
        <f aca="false">IF(G589=0,"",F589/G589)</f>
        <v>0.1875</v>
      </c>
      <c r="J589" s="45" t="n">
        <f aca="false">K589/L589</f>
        <v>0.192307692307692</v>
      </c>
      <c r="K589" s="38" t="n">
        <f aca="false">F589+H589</f>
        <v>10</v>
      </c>
      <c r="L589" s="38" t="n">
        <f aca="false">G589+4*H589</f>
        <v>52</v>
      </c>
      <c r="M589" s="38" t="s">
        <v>619</v>
      </c>
      <c r="N589" s="38" t="n">
        <f aca="false">ROUND(SUMIFS($J$2:$J$1137,$A$2:$A$1137,A589,$C$2:$C$1137,C589),9)</f>
        <v>1</v>
      </c>
    </row>
    <row r="590" customFormat="false" ht="15" hidden="false" customHeight="true" outlineLevel="0" collapsed="false">
      <c r="A590" s="38" t="n">
        <v>37</v>
      </c>
      <c r="B590" s="38" t="s">
        <v>655</v>
      </c>
      <c r="C590" s="38" t="s">
        <v>171</v>
      </c>
      <c r="D590" s="38" t="s">
        <v>172</v>
      </c>
      <c r="E590" s="38" t="str">
        <f aca="false">A590&amp;"|"&amp;C590&amp;"|"&amp;D590</f>
        <v>37|U|A</v>
      </c>
      <c r="F590" s="43" t="n">
        <v>0</v>
      </c>
      <c r="G590" s="38" t="n">
        <f aca="false">SUMIFS($F$2:$F$1137,$A$2:$A$1137,A590,$C$2:$C$1137,C590)</f>
        <v>0</v>
      </c>
      <c r="H590" s="43" t="n">
        <v>1</v>
      </c>
      <c r="I590" s="45" t="str">
        <f aca="false">IF(G590=0,"",F590/G590)</f>
        <v/>
      </c>
      <c r="J590" s="45" t="n">
        <f aca="false">K590/L590</f>
        <v>0.25</v>
      </c>
      <c r="K590" s="38" t="n">
        <f aca="false">F590+H590</f>
        <v>1</v>
      </c>
      <c r="L590" s="38" t="n">
        <f aca="false">G590+4*H590</f>
        <v>4</v>
      </c>
      <c r="M590" s="38" t="s">
        <v>619</v>
      </c>
      <c r="N590" s="38" t="n">
        <f aca="false">ROUND(SUMIFS($J$2:$J$1137,$A$2:$A$1137,A590,$C$2:$C$1137,C590),9)</f>
        <v>1</v>
      </c>
    </row>
    <row r="591" customFormat="false" ht="15" hidden="false" customHeight="true" outlineLevel="0" collapsed="false">
      <c r="A591" s="38" t="n">
        <v>37</v>
      </c>
      <c r="B591" s="38" t="s">
        <v>655</v>
      </c>
      <c r="C591" s="38" t="s">
        <v>171</v>
      </c>
      <c r="D591" s="38" t="s">
        <v>170</v>
      </c>
      <c r="E591" s="38" t="str">
        <f aca="false">A591&amp;"|"&amp;C591&amp;"|"&amp;D591</f>
        <v>37|U|C</v>
      </c>
      <c r="F591" s="43" t="n">
        <v>0</v>
      </c>
      <c r="G591" s="38" t="n">
        <f aca="false">SUMIFS($F$2:$F$1137,$A$2:$A$1137,A591,$C$2:$C$1137,C591)</f>
        <v>0</v>
      </c>
      <c r="H591" s="43" t="n">
        <v>1</v>
      </c>
      <c r="I591" s="45" t="str">
        <f aca="false">IF(G591=0,"",F591/G591)</f>
        <v/>
      </c>
      <c r="J591" s="45" t="n">
        <f aca="false">K591/L591</f>
        <v>0.25</v>
      </c>
      <c r="K591" s="38" t="n">
        <f aca="false">F591+H591</f>
        <v>1</v>
      </c>
      <c r="L591" s="38" t="n">
        <f aca="false">G591+4*H591</f>
        <v>4</v>
      </c>
      <c r="M591" s="38" t="s">
        <v>619</v>
      </c>
      <c r="N591" s="38" t="n">
        <f aca="false">ROUND(SUMIFS($J$2:$J$1137,$A$2:$A$1137,A591,$C$2:$C$1137,C591),9)</f>
        <v>1</v>
      </c>
    </row>
    <row r="592" customFormat="false" ht="15" hidden="false" customHeight="true" outlineLevel="0" collapsed="false">
      <c r="A592" s="38" t="n">
        <v>37</v>
      </c>
      <c r="B592" s="38" t="s">
        <v>655</v>
      </c>
      <c r="C592" s="38" t="s">
        <v>171</v>
      </c>
      <c r="D592" s="38" t="s">
        <v>169</v>
      </c>
      <c r="E592" s="38" t="str">
        <f aca="false">A592&amp;"|"&amp;C592&amp;"|"&amp;D592</f>
        <v>37|U|G</v>
      </c>
      <c r="F592" s="43" t="n">
        <v>0</v>
      </c>
      <c r="G592" s="38" t="n">
        <f aca="false">SUMIFS($F$2:$F$1137,$A$2:$A$1137,A592,$C$2:$C$1137,C592)</f>
        <v>0</v>
      </c>
      <c r="H592" s="43" t="n">
        <v>1</v>
      </c>
      <c r="I592" s="45" t="str">
        <f aca="false">IF(G592=0,"",F592/G592)</f>
        <v/>
      </c>
      <c r="J592" s="45" t="n">
        <f aca="false">K592/L592</f>
        <v>0.25</v>
      </c>
      <c r="K592" s="38" t="n">
        <f aca="false">F592+H592</f>
        <v>1</v>
      </c>
      <c r="L592" s="38" t="n">
        <f aca="false">G592+4*H592</f>
        <v>4</v>
      </c>
      <c r="M592" s="38" t="s">
        <v>619</v>
      </c>
      <c r="N592" s="38" t="n">
        <f aca="false">ROUND(SUMIFS($J$2:$J$1137,$A$2:$A$1137,A592,$C$2:$C$1137,C592),9)</f>
        <v>1</v>
      </c>
    </row>
    <row r="593" customFormat="false" ht="15" hidden="false" customHeight="true" outlineLevel="0" collapsed="false">
      <c r="A593" s="38" t="n">
        <v>37</v>
      </c>
      <c r="B593" s="38" t="s">
        <v>655</v>
      </c>
      <c r="C593" s="38" t="s">
        <v>171</v>
      </c>
      <c r="D593" s="38" t="s">
        <v>171</v>
      </c>
      <c r="E593" s="38" t="str">
        <f aca="false">A593&amp;"|"&amp;C593&amp;"|"&amp;D593</f>
        <v>37|U|U</v>
      </c>
      <c r="F593" s="43" t="n">
        <v>0</v>
      </c>
      <c r="G593" s="38" t="n">
        <f aca="false">SUMIFS($F$2:$F$1137,$A$2:$A$1137,A593,$C$2:$C$1137,C593)</f>
        <v>0</v>
      </c>
      <c r="H593" s="43" t="n">
        <v>1</v>
      </c>
      <c r="I593" s="45" t="str">
        <f aca="false">IF(G593=0,"",F593/G593)</f>
        <v/>
      </c>
      <c r="J593" s="45" t="n">
        <f aca="false">K593/L593</f>
        <v>0.25</v>
      </c>
      <c r="K593" s="38" t="n">
        <f aca="false">F593+H593</f>
        <v>1</v>
      </c>
      <c r="L593" s="38" t="n">
        <f aca="false">G593+4*H593</f>
        <v>4</v>
      </c>
      <c r="M593" s="38" t="s">
        <v>619</v>
      </c>
      <c r="N593" s="38" t="n">
        <f aca="false">ROUND(SUMIFS($J$2:$J$1137,$A$2:$A$1137,A593,$C$2:$C$1137,C593),9)</f>
        <v>1</v>
      </c>
    </row>
    <row r="594" customFormat="false" ht="15" hidden="false" customHeight="true" outlineLevel="0" collapsed="false">
      <c r="A594" s="38" t="n">
        <v>38</v>
      </c>
      <c r="B594" s="38" t="s">
        <v>656</v>
      </c>
      <c r="C594" s="38" t="s">
        <v>172</v>
      </c>
      <c r="D594" s="38" t="s">
        <v>172</v>
      </c>
      <c r="E594" s="38" t="str">
        <f aca="false">A594&amp;"|"&amp;C594&amp;"|"&amp;D594</f>
        <v>38|A|A</v>
      </c>
      <c r="F594" s="43" t="n">
        <v>16</v>
      </c>
      <c r="G594" s="38" t="n">
        <f aca="false">SUMIFS($F$2:$F$1137,$A$2:$A$1137,A594,$C$2:$C$1137,C594)</f>
        <v>146</v>
      </c>
      <c r="H594" s="43" t="n">
        <v>1</v>
      </c>
      <c r="I594" s="45" t="n">
        <f aca="false">IF(G594=0,"",F594/G594)</f>
        <v>0.10958904109589</v>
      </c>
      <c r="J594" s="45" t="n">
        <f aca="false">K594/L594</f>
        <v>0.113333333333333</v>
      </c>
      <c r="K594" s="38" t="n">
        <f aca="false">F594+H594</f>
        <v>17</v>
      </c>
      <c r="L594" s="38" t="n">
        <f aca="false">G594+4*H594</f>
        <v>150</v>
      </c>
      <c r="M594" s="38" t="s">
        <v>619</v>
      </c>
      <c r="N594" s="38" t="n">
        <f aca="false">ROUND(SUMIFS($J$2:$J$1137,$A$2:$A$1137,A594,$C$2:$C$1137,C594),9)</f>
        <v>1</v>
      </c>
    </row>
    <row r="595" customFormat="false" ht="15" hidden="false" customHeight="true" outlineLevel="0" collapsed="false">
      <c r="A595" s="38" t="n">
        <v>38</v>
      </c>
      <c r="B595" s="38" t="s">
        <v>656</v>
      </c>
      <c r="C595" s="38" t="s">
        <v>172</v>
      </c>
      <c r="D595" s="38" t="s">
        <v>170</v>
      </c>
      <c r="E595" s="38" t="str">
        <f aca="false">A595&amp;"|"&amp;C595&amp;"|"&amp;D595</f>
        <v>38|A|C</v>
      </c>
      <c r="F595" s="43" t="n">
        <v>38</v>
      </c>
      <c r="G595" s="38" t="n">
        <f aca="false">SUMIFS($F$2:$F$1137,$A$2:$A$1137,A595,$C$2:$C$1137,C595)</f>
        <v>146</v>
      </c>
      <c r="H595" s="43" t="n">
        <v>1</v>
      </c>
      <c r="I595" s="45" t="n">
        <f aca="false">IF(G595=0,"",F595/G595)</f>
        <v>0.26027397260274</v>
      </c>
      <c r="J595" s="45" t="n">
        <f aca="false">K595/L595</f>
        <v>0.26</v>
      </c>
      <c r="K595" s="38" t="n">
        <f aca="false">F595+H595</f>
        <v>39</v>
      </c>
      <c r="L595" s="38" t="n">
        <f aca="false">G595+4*H595</f>
        <v>150</v>
      </c>
      <c r="M595" s="38" t="s">
        <v>619</v>
      </c>
      <c r="N595" s="38" t="n">
        <f aca="false">ROUND(SUMIFS($J$2:$J$1137,$A$2:$A$1137,A595,$C$2:$C$1137,C595),9)</f>
        <v>1</v>
      </c>
    </row>
    <row r="596" customFormat="false" ht="15" hidden="false" customHeight="true" outlineLevel="0" collapsed="false">
      <c r="A596" s="38" t="n">
        <v>38</v>
      </c>
      <c r="B596" s="38" t="s">
        <v>656</v>
      </c>
      <c r="C596" s="38" t="s">
        <v>172</v>
      </c>
      <c r="D596" s="38" t="s">
        <v>169</v>
      </c>
      <c r="E596" s="38" t="str">
        <f aca="false">A596&amp;"|"&amp;C596&amp;"|"&amp;D596</f>
        <v>38|A|G</v>
      </c>
      <c r="F596" s="43" t="n">
        <v>42</v>
      </c>
      <c r="G596" s="38" t="n">
        <f aca="false">SUMIFS($F$2:$F$1137,$A$2:$A$1137,A596,$C$2:$C$1137,C596)</f>
        <v>146</v>
      </c>
      <c r="H596" s="43" t="n">
        <v>1</v>
      </c>
      <c r="I596" s="45" t="n">
        <f aca="false">IF(G596=0,"",F596/G596)</f>
        <v>0.287671232876712</v>
      </c>
      <c r="J596" s="45" t="n">
        <f aca="false">K596/L596</f>
        <v>0.286666666666667</v>
      </c>
      <c r="K596" s="38" t="n">
        <f aca="false">F596+H596</f>
        <v>43</v>
      </c>
      <c r="L596" s="38" t="n">
        <f aca="false">G596+4*H596</f>
        <v>150</v>
      </c>
      <c r="M596" s="38" t="s">
        <v>619</v>
      </c>
      <c r="N596" s="38" t="n">
        <f aca="false">ROUND(SUMIFS($J$2:$J$1137,$A$2:$A$1137,A596,$C$2:$C$1137,C596),9)</f>
        <v>1</v>
      </c>
    </row>
    <row r="597" customFormat="false" ht="15" hidden="false" customHeight="true" outlineLevel="0" collapsed="false">
      <c r="A597" s="38" t="n">
        <v>38</v>
      </c>
      <c r="B597" s="38" t="s">
        <v>656</v>
      </c>
      <c r="C597" s="38" t="s">
        <v>172</v>
      </c>
      <c r="D597" s="38" t="s">
        <v>171</v>
      </c>
      <c r="E597" s="38" t="str">
        <f aca="false">A597&amp;"|"&amp;C597&amp;"|"&amp;D597</f>
        <v>38|A|U</v>
      </c>
      <c r="F597" s="43" t="n">
        <v>50</v>
      </c>
      <c r="G597" s="38" t="n">
        <f aca="false">SUMIFS($F$2:$F$1137,$A$2:$A$1137,A597,$C$2:$C$1137,C597)</f>
        <v>146</v>
      </c>
      <c r="H597" s="43" t="n">
        <v>1</v>
      </c>
      <c r="I597" s="45" t="n">
        <f aca="false">IF(G597=0,"",F597/G597)</f>
        <v>0.342465753424658</v>
      </c>
      <c r="J597" s="45" t="n">
        <f aca="false">K597/L597</f>
        <v>0.34</v>
      </c>
      <c r="K597" s="38" t="n">
        <f aca="false">F597+H597</f>
        <v>51</v>
      </c>
      <c r="L597" s="38" t="n">
        <f aca="false">G597+4*H597</f>
        <v>150</v>
      </c>
      <c r="M597" s="38" t="s">
        <v>619</v>
      </c>
      <c r="N597" s="38" t="n">
        <f aca="false">ROUND(SUMIFS($J$2:$J$1137,$A$2:$A$1137,A597,$C$2:$C$1137,C597),9)</f>
        <v>1</v>
      </c>
    </row>
    <row r="598" customFormat="false" ht="15" hidden="false" customHeight="true" outlineLevel="0" collapsed="false">
      <c r="A598" s="38" t="n">
        <v>38</v>
      </c>
      <c r="B598" s="38" t="s">
        <v>656</v>
      </c>
      <c r="C598" s="38" t="s">
        <v>170</v>
      </c>
      <c r="D598" s="38" t="s">
        <v>172</v>
      </c>
      <c r="E598" s="38" t="str">
        <f aca="false">A598&amp;"|"&amp;C598&amp;"|"&amp;D598</f>
        <v>38|C|A</v>
      </c>
      <c r="F598" s="43" t="n">
        <v>0</v>
      </c>
      <c r="G598" s="38" t="n">
        <f aca="false">SUMIFS($F$2:$F$1137,$A$2:$A$1137,A598,$C$2:$C$1137,C598)</f>
        <v>29</v>
      </c>
      <c r="H598" s="43" t="n">
        <v>1</v>
      </c>
      <c r="I598" s="45" t="n">
        <f aca="false">IF(G598=0,"",F598/G598)</f>
        <v>0</v>
      </c>
      <c r="J598" s="45" t="n">
        <f aca="false">K598/L598</f>
        <v>0.0303030303030303</v>
      </c>
      <c r="K598" s="38" t="n">
        <f aca="false">F598+H598</f>
        <v>1</v>
      </c>
      <c r="L598" s="38" t="n">
        <f aca="false">G598+4*H598</f>
        <v>33</v>
      </c>
      <c r="M598" s="38" t="s">
        <v>619</v>
      </c>
      <c r="N598" s="38" t="n">
        <f aca="false">ROUND(SUMIFS($J$2:$J$1137,$A$2:$A$1137,A598,$C$2:$C$1137,C598),9)</f>
        <v>1</v>
      </c>
    </row>
    <row r="599" customFormat="false" ht="15" hidden="false" customHeight="true" outlineLevel="0" collapsed="false">
      <c r="A599" s="38" t="n">
        <v>38</v>
      </c>
      <c r="B599" s="38" t="s">
        <v>656</v>
      </c>
      <c r="C599" s="38" t="s">
        <v>170</v>
      </c>
      <c r="D599" s="38" t="s">
        <v>170</v>
      </c>
      <c r="E599" s="38" t="str">
        <f aca="false">A599&amp;"|"&amp;C599&amp;"|"&amp;D599</f>
        <v>38|C|C</v>
      </c>
      <c r="F599" s="43" t="n">
        <v>8</v>
      </c>
      <c r="G599" s="38" t="n">
        <f aca="false">SUMIFS($F$2:$F$1137,$A$2:$A$1137,A599,$C$2:$C$1137,C599)</f>
        <v>29</v>
      </c>
      <c r="H599" s="43" t="n">
        <v>1</v>
      </c>
      <c r="I599" s="45" t="n">
        <f aca="false">IF(G599=0,"",F599/G599)</f>
        <v>0.275862068965517</v>
      </c>
      <c r="J599" s="45" t="n">
        <f aca="false">K599/L599</f>
        <v>0.272727272727273</v>
      </c>
      <c r="K599" s="38" t="n">
        <f aca="false">F599+H599</f>
        <v>9</v>
      </c>
      <c r="L599" s="38" t="n">
        <f aca="false">G599+4*H599</f>
        <v>33</v>
      </c>
      <c r="M599" s="38" t="s">
        <v>619</v>
      </c>
      <c r="N599" s="38" t="n">
        <f aca="false">ROUND(SUMIFS($J$2:$J$1137,$A$2:$A$1137,A599,$C$2:$C$1137,C599),9)</f>
        <v>1</v>
      </c>
    </row>
    <row r="600" customFormat="false" ht="15" hidden="false" customHeight="true" outlineLevel="0" collapsed="false">
      <c r="A600" s="38" t="n">
        <v>38</v>
      </c>
      <c r="B600" s="38" t="s">
        <v>656</v>
      </c>
      <c r="C600" s="38" t="s">
        <v>170</v>
      </c>
      <c r="D600" s="38" t="s">
        <v>169</v>
      </c>
      <c r="E600" s="38" t="str">
        <f aca="false">A600&amp;"|"&amp;C600&amp;"|"&amp;D600</f>
        <v>38|C|G</v>
      </c>
      <c r="F600" s="43" t="n">
        <v>16</v>
      </c>
      <c r="G600" s="38" t="n">
        <f aca="false">SUMIFS($F$2:$F$1137,$A$2:$A$1137,A600,$C$2:$C$1137,C600)</f>
        <v>29</v>
      </c>
      <c r="H600" s="43" t="n">
        <v>1</v>
      </c>
      <c r="I600" s="45" t="n">
        <f aca="false">IF(G600=0,"",F600/G600)</f>
        <v>0.551724137931035</v>
      </c>
      <c r="J600" s="45" t="n">
        <f aca="false">K600/L600</f>
        <v>0.515151515151515</v>
      </c>
      <c r="K600" s="38" t="n">
        <f aca="false">F600+H600</f>
        <v>17</v>
      </c>
      <c r="L600" s="38" t="n">
        <f aca="false">G600+4*H600</f>
        <v>33</v>
      </c>
      <c r="M600" s="38" t="s">
        <v>619</v>
      </c>
      <c r="N600" s="38" t="n">
        <f aca="false">ROUND(SUMIFS($J$2:$J$1137,$A$2:$A$1137,A600,$C$2:$C$1137,C600),9)</f>
        <v>1</v>
      </c>
    </row>
    <row r="601" customFormat="false" ht="15" hidden="false" customHeight="true" outlineLevel="0" collapsed="false">
      <c r="A601" s="38" t="n">
        <v>38</v>
      </c>
      <c r="B601" s="38" t="s">
        <v>656</v>
      </c>
      <c r="C601" s="38" t="s">
        <v>170</v>
      </c>
      <c r="D601" s="38" t="s">
        <v>171</v>
      </c>
      <c r="E601" s="38" t="str">
        <f aca="false">A601&amp;"|"&amp;C601&amp;"|"&amp;D601</f>
        <v>38|C|U</v>
      </c>
      <c r="F601" s="43" t="n">
        <v>5</v>
      </c>
      <c r="G601" s="38" t="n">
        <f aca="false">SUMIFS($F$2:$F$1137,$A$2:$A$1137,A601,$C$2:$C$1137,C601)</f>
        <v>29</v>
      </c>
      <c r="H601" s="43" t="n">
        <v>1</v>
      </c>
      <c r="I601" s="45" t="n">
        <f aca="false">IF(G601=0,"",F601/G601)</f>
        <v>0.172413793103448</v>
      </c>
      <c r="J601" s="45" t="n">
        <f aca="false">K601/L601</f>
        <v>0.181818181818182</v>
      </c>
      <c r="K601" s="38" t="n">
        <f aca="false">F601+H601</f>
        <v>6</v>
      </c>
      <c r="L601" s="38" t="n">
        <f aca="false">G601+4*H601</f>
        <v>33</v>
      </c>
      <c r="M601" s="38" t="s">
        <v>619</v>
      </c>
      <c r="N601" s="38" t="n">
        <f aca="false">ROUND(SUMIFS($J$2:$J$1137,$A$2:$A$1137,A601,$C$2:$C$1137,C601),9)</f>
        <v>1</v>
      </c>
    </row>
    <row r="602" customFormat="false" ht="15" hidden="false" customHeight="true" outlineLevel="0" collapsed="false">
      <c r="A602" s="38" t="n">
        <v>38</v>
      </c>
      <c r="B602" s="38" t="s">
        <v>656</v>
      </c>
      <c r="C602" s="38" t="s">
        <v>169</v>
      </c>
      <c r="D602" s="38" t="s">
        <v>172</v>
      </c>
      <c r="E602" s="38" t="str">
        <f aca="false">A602&amp;"|"&amp;C602&amp;"|"&amp;D602</f>
        <v>38|G|A</v>
      </c>
      <c r="F602" s="43" t="n">
        <v>0</v>
      </c>
      <c r="G602" s="38" t="n">
        <f aca="false">SUMIFS($F$2:$F$1137,$A$2:$A$1137,A602,$C$2:$C$1137,C602)</f>
        <v>1</v>
      </c>
      <c r="H602" s="43" t="n">
        <v>1</v>
      </c>
      <c r="I602" s="45" t="n">
        <f aca="false">IF(G602=0,"",F602/G602)</f>
        <v>0</v>
      </c>
      <c r="J602" s="45" t="n">
        <f aca="false">K602/L602</f>
        <v>0.2</v>
      </c>
      <c r="K602" s="38" t="n">
        <f aca="false">F602+H602</f>
        <v>1</v>
      </c>
      <c r="L602" s="38" t="n">
        <f aca="false">G602+4*H602</f>
        <v>5</v>
      </c>
      <c r="M602" s="38" t="s">
        <v>619</v>
      </c>
      <c r="N602" s="38" t="n">
        <f aca="false">ROUND(SUMIFS($J$2:$J$1137,$A$2:$A$1137,A602,$C$2:$C$1137,C602),9)</f>
        <v>1</v>
      </c>
    </row>
    <row r="603" customFormat="false" ht="15" hidden="false" customHeight="true" outlineLevel="0" collapsed="false">
      <c r="A603" s="38" t="n">
        <v>38</v>
      </c>
      <c r="B603" s="38" t="s">
        <v>656</v>
      </c>
      <c r="C603" s="38" t="s">
        <v>169</v>
      </c>
      <c r="D603" s="38" t="s">
        <v>170</v>
      </c>
      <c r="E603" s="38" t="str">
        <f aca="false">A603&amp;"|"&amp;C603&amp;"|"&amp;D603</f>
        <v>38|G|C</v>
      </c>
      <c r="F603" s="43" t="n">
        <v>0</v>
      </c>
      <c r="G603" s="38" t="n">
        <f aca="false">SUMIFS($F$2:$F$1137,$A$2:$A$1137,A603,$C$2:$C$1137,C603)</f>
        <v>1</v>
      </c>
      <c r="H603" s="43" t="n">
        <v>1</v>
      </c>
      <c r="I603" s="45" t="n">
        <f aca="false">IF(G603=0,"",F603/G603)</f>
        <v>0</v>
      </c>
      <c r="J603" s="45" t="n">
        <f aca="false">K603/L603</f>
        <v>0.2</v>
      </c>
      <c r="K603" s="38" t="n">
        <f aca="false">F603+H603</f>
        <v>1</v>
      </c>
      <c r="L603" s="38" t="n">
        <f aca="false">G603+4*H603</f>
        <v>5</v>
      </c>
      <c r="M603" s="38" t="s">
        <v>619</v>
      </c>
      <c r="N603" s="38" t="n">
        <f aca="false">ROUND(SUMIFS($J$2:$J$1137,$A$2:$A$1137,A603,$C$2:$C$1137,C603),9)</f>
        <v>1</v>
      </c>
    </row>
    <row r="604" customFormat="false" ht="15" hidden="false" customHeight="true" outlineLevel="0" collapsed="false">
      <c r="A604" s="38" t="n">
        <v>38</v>
      </c>
      <c r="B604" s="38" t="s">
        <v>656</v>
      </c>
      <c r="C604" s="38" t="s">
        <v>169</v>
      </c>
      <c r="D604" s="38" t="s">
        <v>169</v>
      </c>
      <c r="E604" s="38" t="str">
        <f aca="false">A604&amp;"|"&amp;C604&amp;"|"&amp;D604</f>
        <v>38|G|G</v>
      </c>
      <c r="F604" s="43" t="n">
        <v>0</v>
      </c>
      <c r="G604" s="38" t="n">
        <f aca="false">SUMIFS($F$2:$F$1137,$A$2:$A$1137,A604,$C$2:$C$1137,C604)</f>
        <v>1</v>
      </c>
      <c r="H604" s="43" t="n">
        <v>1</v>
      </c>
      <c r="I604" s="45" t="n">
        <f aca="false">IF(G604=0,"",F604/G604)</f>
        <v>0</v>
      </c>
      <c r="J604" s="45" t="n">
        <f aca="false">K604/L604</f>
        <v>0.2</v>
      </c>
      <c r="K604" s="38" t="n">
        <f aca="false">F604+H604</f>
        <v>1</v>
      </c>
      <c r="L604" s="38" t="n">
        <f aca="false">G604+4*H604</f>
        <v>5</v>
      </c>
      <c r="M604" s="38" t="s">
        <v>619</v>
      </c>
      <c r="N604" s="38" t="n">
        <f aca="false">ROUND(SUMIFS($J$2:$J$1137,$A$2:$A$1137,A604,$C$2:$C$1137,C604),9)</f>
        <v>1</v>
      </c>
    </row>
    <row r="605" customFormat="false" ht="15" hidden="false" customHeight="true" outlineLevel="0" collapsed="false">
      <c r="A605" s="38" t="n">
        <v>38</v>
      </c>
      <c r="B605" s="38" t="s">
        <v>656</v>
      </c>
      <c r="C605" s="38" t="s">
        <v>169</v>
      </c>
      <c r="D605" s="38" t="s">
        <v>171</v>
      </c>
      <c r="E605" s="38" t="str">
        <f aca="false">A605&amp;"|"&amp;C605&amp;"|"&amp;D605</f>
        <v>38|G|U</v>
      </c>
      <c r="F605" s="43" t="n">
        <v>1</v>
      </c>
      <c r="G605" s="38" t="n">
        <f aca="false">SUMIFS($F$2:$F$1137,$A$2:$A$1137,A605,$C$2:$C$1137,C605)</f>
        <v>1</v>
      </c>
      <c r="H605" s="43" t="n">
        <v>1</v>
      </c>
      <c r="I605" s="45" t="n">
        <f aca="false">IF(G605=0,"",F605/G605)</f>
        <v>1</v>
      </c>
      <c r="J605" s="45" t="n">
        <f aca="false">K605/L605</f>
        <v>0.4</v>
      </c>
      <c r="K605" s="38" t="n">
        <f aca="false">F605+H605</f>
        <v>2</v>
      </c>
      <c r="L605" s="38" t="n">
        <f aca="false">G605+4*H605</f>
        <v>5</v>
      </c>
      <c r="M605" s="38" t="s">
        <v>619</v>
      </c>
      <c r="N605" s="38" t="n">
        <f aca="false">ROUND(SUMIFS($J$2:$J$1137,$A$2:$A$1137,A605,$C$2:$C$1137,C605),9)</f>
        <v>1</v>
      </c>
    </row>
    <row r="606" customFormat="false" ht="15" hidden="false" customHeight="true" outlineLevel="0" collapsed="false">
      <c r="A606" s="38" t="n">
        <v>38</v>
      </c>
      <c r="B606" s="38" t="s">
        <v>656</v>
      </c>
      <c r="C606" s="38" t="s">
        <v>171</v>
      </c>
      <c r="D606" s="38" t="s">
        <v>172</v>
      </c>
      <c r="E606" s="38" t="str">
        <f aca="false">A606&amp;"|"&amp;C606&amp;"|"&amp;D606</f>
        <v>38|U|A</v>
      </c>
      <c r="F606" s="43" t="n">
        <v>2</v>
      </c>
      <c r="G606" s="38" t="n">
        <f aca="false">SUMIFS($F$2:$F$1137,$A$2:$A$1137,A606,$C$2:$C$1137,C606)</f>
        <v>23</v>
      </c>
      <c r="H606" s="43" t="n">
        <v>1</v>
      </c>
      <c r="I606" s="45" t="n">
        <f aca="false">IF(G606=0,"",F606/G606)</f>
        <v>0.0869565217391304</v>
      </c>
      <c r="J606" s="45" t="n">
        <f aca="false">K606/L606</f>
        <v>0.111111111111111</v>
      </c>
      <c r="K606" s="38" t="n">
        <f aca="false">F606+H606</f>
        <v>3</v>
      </c>
      <c r="L606" s="38" t="n">
        <f aca="false">G606+4*H606</f>
        <v>27</v>
      </c>
      <c r="M606" s="38" t="s">
        <v>619</v>
      </c>
      <c r="N606" s="38" t="n">
        <f aca="false">ROUND(SUMIFS($J$2:$J$1137,$A$2:$A$1137,A606,$C$2:$C$1137,C606),9)</f>
        <v>1</v>
      </c>
    </row>
    <row r="607" customFormat="false" ht="15" hidden="false" customHeight="true" outlineLevel="0" collapsed="false">
      <c r="A607" s="38" t="n">
        <v>38</v>
      </c>
      <c r="B607" s="38" t="s">
        <v>656</v>
      </c>
      <c r="C607" s="38" t="s">
        <v>171</v>
      </c>
      <c r="D607" s="38" t="s">
        <v>170</v>
      </c>
      <c r="E607" s="38" t="str">
        <f aca="false">A607&amp;"|"&amp;C607&amp;"|"&amp;D607</f>
        <v>38|U|C</v>
      </c>
      <c r="F607" s="43" t="n">
        <v>4</v>
      </c>
      <c r="G607" s="38" t="n">
        <f aca="false">SUMIFS($F$2:$F$1137,$A$2:$A$1137,A607,$C$2:$C$1137,C607)</f>
        <v>23</v>
      </c>
      <c r="H607" s="43" t="n">
        <v>1</v>
      </c>
      <c r="I607" s="45" t="n">
        <f aca="false">IF(G607=0,"",F607/G607)</f>
        <v>0.173913043478261</v>
      </c>
      <c r="J607" s="45" t="n">
        <f aca="false">K607/L607</f>
        <v>0.185185185185185</v>
      </c>
      <c r="K607" s="38" t="n">
        <f aca="false">F607+H607</f>
        <v>5</v>
      </c>
      <c r="L607" s="38" t="n">
        <f aca="false">G607+4*H607</f>
        <v>27</v>
      </c>
      <c r="M607" s="38" t="s">
        <v>619</v>
      </c>
      <c r="N607" s="38" t="n">
        <f aca="false">ROUND(SUMIFS($J$2:$J$1137,$A$2:$A$1137,A607,$C$2:$C$1137,C607),9)</f>
        <v>1</v>
      </c>
    </row>
    <row r="608" customFormat="false" ht="15" hidden="false" customHeight="true" outlineLevel="0" collapsed="false">
      <c r="A608" s="38" t="n">
        <v>38</v>
      </c>
      <c r="B608" s="38" t="s">
        <v>656</v>
      </c>
      <c r="C608" s="38" t="s">
        <v>171</v>
      </c>
      <c r="D608" s="38" t="s">
        <v>169</v>
      </c>
      <c r="E608" s="38" t="str">
        <f aca="false">A608&amp;"|"&amp;C608&amp;"|"&amp;D608</f>
        <v>38|U|G</v>
      </c>
      <c r="F608" s="43" t="n">
        <v>14</v>
      </c>
      <c r="G608" s="38" t="n">
        <f aca="false">SUMIFS($F$2:$F$1137,$A$2:$A$1137,A608,$C$2:$C$1137,C608)</f>
        <v>23</v>
      </c>
      <c r="H608" s="43" t="n">
        <v>1</v>
      </c>
      <c r="I608" s="45" t="n">
        <f aca="false">IF(G608=0,"",F608/G608)</f>
        <v>0.608695652173913</v>
      </c>
      <c r="J608" s="45" t="n">
        <f aca="false">K608/L608</f>
        <v>0.555555555555556</v>
      </c>
      <c r="K608" s="38" t="n">
        <f aca="false">F608+H608</f>
        <v>15</v>
      </c>
      <c r="L608" s="38" t="n">
        <f aca="false">G608+4*H608</f>
        <v>27</v>
      </c>
      <c r="M608" s="38" t="s">
        <v>619</v>
      </c>
      <c r="N608" s="38" t="n">
        <f aca="false">ROUND(SUMIFS($J$2:$J$1137,$A$2:$A$1137,A608,$C$2:$C$1137,C608),9)</f>
        <v>1</v>
      </c>
    </row>
    <row r="609" customFormat="false" ht="15" hidden="false" customHeight="true" outlineLevel="0" collapsed="false">
      <c r="A609" s="38" t="n">
        <v>38</v>
      </c>
      <c r="B609" s="38" t="s">
        <v>656</v>
      </c>
      <c r="C609" s="38" t="s">
        <v>171</v>
      </c>
      <c r="D609" s="38" t="s">
        <v>171</v>
      </c>
      <c r="E609" s="38" t="str">
        <f aca="false">A609&amp;"|"&amp;C609&amp;"|"&amp;D609</f>
        <v>38|U|U</v>
      </c>
      <c r="F609" s="43" t="n">
        <v>3</v>
      </c>
      <c r="G609" s="38" t="n">
        <f aca="false">SUMIFS($F$2:$F$1137,$A$2:$A$1137,A609,$C$2:$C$1137,C609)</f>
        <v>23</v>
      </c>
      <c r="H609" s="43" t="n">
        <v>1</v>
      </c>
      <c r="I609" s="45" t="n">
        <f aca="false">IF(G609=0,"",F609/G609)</f>
        <v>0.130434782608696</v>
      </c>
      <c r="J609" s="45" t="n">
        <f aca="false">K609/L609</f>
        <v>0.148148148148148</v>
      </c>
      <c r="K609" s="38" t="n">
        <f aca="false">F609+H609</f>
        <v>4</v>
      </c>
      <c r="L609" s="38" t="n">
        <f aca="false">G609+4*H609</f>
        <v>27</v>
      </c>
      <c r="M609" s="38" t="s">
        <v>619</v>
      </c>
      <c r="N609" s="38" t="n">
        <f aca="false">ROUND(SUMIFS($J$2:$J$1137,$A$2:$A$1137,A609,$C$2:$C$1137,C609),9)</f>
        <v>1</v>
      </c>
    </row>
    <row r="610" customFormat="false" ht="15" hidden="false" customHeight="true" outlineLevel="0" collapsed="false">
      <c r="A610" s="38" t="n">
        <v>39</v>
      </c>
      <c r="B610" s="38" t="s">
        <v>657</v>
      </c>
      <c r="C610" s="38" t="s">
        <v>172</v>
      </c>
      <c r="D610" s="38" t="s">
        <v>172</v>
      </c>
      <c r="E610" s="38" t="str">
        <f aca="false">A610&amp;"|"&amp;C610&amp;"|"&amp;D610</f>
        <v>39|A|A</v>
      </c>
      <c r="F610" s="43" t="n">
        <v>0</v>
      </c>
      <c r="G610" s="38" t="n">
        <f aca="false">SUMIFS($F$2:$F$1137,$A$2:$A$1137,A610,$C$2:$C$1137,C610)</f>
        <v>18</v>
      </c>
      <c r="H610" s="43" t="n">
        <v>1</v>
      </c>
      <c r="I610" s="45" t="n">
        <f aca="false">IF(G610=0,"",F610/G610)</f>
        <v>0</v>
      </c>
      <c r="J610" s="45" t="n">
        <f aca="false">K610/L610</f>
        <v>0.0454545454545455</v>
      </c>
      <c r="K610" s="38" t="n">
        <f aca="false">F610+H610</f>
        <v>1</v>
      </c>
      <c r="L610" s="38" t="n">
        <f aca="false">G610+4*H610</f>
        <v>22</v>
      </c>
      <c r="M610" s="38" t="s">
        <v>619</v>
      </c>
      <c r="N610" s="38" t="n">
        <f aca="false">ROUND(SUMIFS($J$2:$J$1137,$A$2:$A$1137,A610,$C$2:$C$1137,C610),9)</f>
        <v>1</v>
      </c>
    </row>
    <row r="611" customFormat="false" ht="15" hidden="false" customHeight="true" outlineLevel="0" collapsed="false">
      <c r="A611" s="38" t="n">
        <v>39</v>
      </c>
      <c r="B611" s="38" t="s">
        <v>657</v>
      </c>
      <c r="C611" s="38" t="s">
        <v>172</v>
      </c>
      <c r="D611" s="38" t="s">
        <v>170</v>
      </c>
      <c r="E611" s="38" t="str">
        <f aca="false">A611&amp;"|"&amp;C611&amp;"|"&amp;D611</f>
        <v>39|A|C</v>
      </c>
      <c r="F611" s="43" t="n">
        <v>14</v>
      </c>
      <c r="G611" s="38" t="n">
        <f aca="false">SUMIFS($F$2:$F$1137,$A$2:$A$1137,A611,$C$2:$C$1137,C611)</f>
        <v>18</v>
      </c>
      <c r="H611" s="43" t="n">
        <v>1</v>
      </c>
      <c r="I611" s="45" t="n">
        <f aca="false">IF(G611=0,"",F611/G611)</f>
        <v>0.777777777777778</v>
      </c>
      <c r="J611" s="45" t="n">
        <f aca="false">K611/L611</f>
        <v>0.681818181818182</v>
      </c>
      <c r="K611" s="38" t="n">
        <f aca="false">F611+H611</f>
        <v>15</v>
      </c>
      <c r="L611" s="38" t="n">
        <f aca="false">G611+4*H611</f>
        <v>22</v>
      </c>
      <c r="M611" s="38" t="s">
        <v>619</v>
      </c>
      <c r="N611" s="38" t="n">
        <f aca="false">ROUND(SUMIFS($J$2:$J$1137,$A$2:$A$1137,A611,$C$2:$C$1137,C611),9)</f>
        <v>1</v>
      </c>
    </row>
    <row r="612" customFormat="false" ht="15" hidden="false" customHeight="true" outlineLevel="0" collapsed="false">
      <c r="A612" s="38" t="n">
        <v>39</v>
      </c>
      <c r="B612" s="38" t="s">
        <v>657</v>
      </c>
      <c r="C612" s="38" t="s">
        <v>172</v>
      </c>
      <c r="D612" s="38" t="s">
        <v>169</v>
      </c>
      <c r="E612" s="38" t="str">
        <f aca="false">A612&amp;"|"&amp;C612&amp;"|"&amp;D612</f>
        <v>39|A|G</v>
      </c>
      <c r="F612" s="43" t="n">
        <v>2</v>
      </c>
      <c r="G612" s="38" t="n">
        <f aca="false">SUMIFS($F$2:$F$1137,$A$2:$A$1137,A612,$C$2:$C$1137,C612)</f>
        <v>18</v>
      </c>
      <c r="H612" s="43" t="n">
        <v>1</v>
      </c>
      <c r="I612" s="45" t="n">
        <f aca="false">IF(G612=0,"",F612/G612)</f>
        <v>0.111111111111111</v>
      </c>
      <c r="J612" s="45" t="n">
        <f aca="false">K612/L612</f>
        <v>0.136363636363636</v>
      </c>
      <c r="K612" s="38" t="n">
        <f aca="false">F612+H612</f>
        <v>3</v>
      </c>
      <c r="L612" s="38" t="n">
        <f aca="false">G612+4*H612</f>
        <v>22</v>
      </c>
      <c r="M612" s="38" t="s">
        <v>619</v>
      </c>
      <c r="N612" s="38" t="n">
        <f aca="false">ROUND(SUMIFS($J$2:$J$1137,$A$2:$A$1137,A612,$C$2:$C$1137,C612),9)</f>
        <v>1</v>
      </c>
    </row>
    <row r="613" customFormat="false" ht="15" hidden="false" customHeight="true" outlineLevel="0" collapsed="false">
      <c r="A613" s="38" t="n">
        <v>39</v>
      </c>
      <c r="B613" s="38" t="s">
        <v>657</v>
      </c>
      <c r="C613" s="38" t="s">
        <v>172</v>
      </c>
      <c r="D613" s="38" t="s">
        <v>171</v>
      </c>
      <c r="E613" s="38" t="str">
        <f aca="false">A613&amp;"|"&amp;C613&amp;"|"&amp;D613</f>
        <v>39|A|U</v>
      </c>
      <c r="F613" s="43" t="n">
        <v>2</v>
      </c>
      <c r="G613" s="38" t="n">
        <f aca="false">SUMIFS($F$2:$F$1137,$A$2:$A$1137,A613,$C$2:$C$1137,C613)</f>
        <v>18</v>
      </c>
      <c r="H613" s="43" t="n">
        <v>1</v>
      </c>
      <c r="I613" s="45" t="n">
        <f aca="false">IF(G613=0,"",F613/G613)</f>
        <v>0.111111111111111</v>
      </c>
      <c r="J613" s="45" t="n">
        <f aca="false">K613/L613</f>
        <v>0.136363636363636</v>
      </c>
      <c r="K613" s="38" t="n">
        <f aca="false">F613+H613</f>
        <v>3</v>
      </c>
      <c r="L613" s="38" t="n">
        <f aca="false">G613+4*H613</f>
        <v>22</v>
      </c>
      <c r="M613" s="38" t="s">
        <v>619</v>
      </c>
      <c r="N613" s="38" t="n">
        <f aca="false">ROUND(SUMIFS($J$2:$J$1137,$A$2:$A$1137,A613,$C$2:$C$1137,C613),9)</f>
        <v>1</v>
      </c>
    </row>
    <row r="614" customFormat="false" ht="15" hidden="false" customHeight="true" outlineLevel="0" collapsed="false">
      <c r="A614" s="38" t="n">
        <v>39</v>
      </c>
      <c r="B614" s="38" t="s">
        <v>657</v>
      </c>
      <c r="C614" s="38" t="s">
        <v>170</v>
      </c>
      <c r="D614" s="38" t="s">
        <v>172</v>
      </c>
      <c r="E614" s="38" t="str">
        <f aca="false">A614&amp;"|"&amp;C614&amp;"|"&amp;D614</f>
        <v>39|C|A</v>
      </c>
      <c r="F614" s="43" t="n">
        <v>0</v>
      </c>
      <c r="G614" s="38" t="n">
        <f aca="false">SUMIFS($F$2:$F$1137,$A$2:$A$1137,A614,$C$2:$C$1137,C614)</f>
        <v>50</v>
      </c>
      <c r="H614" s="43" t="n">
        <v>1</v>
      </c>
      <c r="I614" s="45" t="n">
        <f aca="false">IF(G614=0,"",F614/G614)</f>
        <v>0</v>
      </c>
      <c r="J614" s="45" t="n">
        <f aca="false">K614/L614</f>
        <v>0.0185185185185185</v>
      </c>
      <c r="K614" s="38" t="n">
        <f aca="false">F614+H614</f>
        <v>1</v>
      </c>
      <c r="L614" s="38" t="n">
        <f aca="false">G614+4*H614</f>
        <v>54</v>
      </c>
      <c r="M614" s="38" t="s">
        <v>619</v>
      </c>
      <c r="N614" s="38" t="n">
        <f aca="false">ROUND(SUMIFS($J$2:$J$1137,$A$2:$A$1137,A614,$C$2:$C$1137,C614),9)</f>
        <v>1</v>
      </c>
    </row>
    <row r="615" customFormat="false" ht="15" hidden="false" customHeight="true" outlineLevel="0" collapsed="false">
      <c r="A615" s="38" t="n">
        <v>39</v>
      </c>
      <c r="B615" s="38" t="s">
        <v>657</v>
      </c>
      <c r="C615" s="38" t="s">
        <v>170</v>
      </c>
      <c r="D615" s="38" t="s">
        <v>170</v>
      </c>
      <c r="E615" s="38" t="str">
        <f aca="false">A615&amp;"|"&amp;C615&amp;"|"&amp;D615</f>
        <v>39|C|C</v>
      </c>
      <c r="F615" s="43" t="n">
        <v>38</v>
      </c>
      <c r="G615" s="38" t="n">
        <f aca="false">SUMIFS($F$2:$F$1137,$A$2:$A$1137,A615,$C$2:$C$1137,C615)</f>
        <v>50</v>
      </c>
      <c r="H615" s="43" t="n">
        <v>1</v>
      </c>
      <c r="I615" s="45" t="n">
        <f aca="false">IF(G615=0,"",F615/G615)</f>
        <v>0.76</v>
      </c>
      <c r="J615" s="45" t="n">
        <f aca="false">K615/L615</f>
        <v>0.722222222222222</v>
      </c>
      <c r="K615" s="38" t="n">
        <f aca="false">F615+H615</f>
        <v>39</v>
      </c>
      <c r="L615" s="38" t="n">
        <f aca="false">G615+4*H615</f>
        <v>54</v>
      </c>
      <c r="M615" s="38" t="s">
        <v>619</v>
      </c>
      <c r="N615" s="38" t="n">
        <f aca="false">ROUND(SUMIFS($J$2:$J$1137,$A$2:$A$1137,A615,$C$2:$C$1137,C615),9)</f>
        <v>1</v>
      </c>
    </row>
    <row r="616" customFormat="false" ht="15" hidden="false" customHeight="true" outlineLevel="0" collapsed="false">
      <c r="A616" s="38" t="n">
        <v>39</v>
      </c>
      <c r="B616" s="38" t="s">
        <v>657</v>
      </c>
      <c r="C616" s="38" t="s">
        <v>170</v>
      </c>
      <c r="D616" s="38" t="s">
        <v>169</v>
      </c>
      <c r="E616" s="38" t="str">
        <f aca="false">A616&amp;"|"&amp;C616&amp;"|"&amp;D616</f>
        <v>39|C|G</v>
      </c>
      <c r="F616" s="43" t="n">
        <v>12</v>
      </c>
      <c r="G616" s="38" t="n">
        <f aca="false">SUMIFS($F$2:$F$1137,$A$2:$A$1137,A616,$C$2:$C$1137,C616)</f>
        <v>50</v>
      </c>
      <c r="H616" s="43" t="n">
        <v>1</v>
      </c>
      <c r="I616" s="45" t="n">
        <f aca="false">IF(G616=0,"",F616/G616)</f>
        <v>0.24</v>
      </c>
      <c r="J616" s="45" t="n">
        <f aca="false">K616/L616</f>
        <v>0.240740740740741</v>
      </c>
      <c r="K616" s="38" t="n">
        <f aca="false">F616+H616</f>
        <v>13</v>
      </c>
      <c r="L616" s="38" t="n">
        <f aca="false">G616+4*H616</f>
        <v>54</v>
      </c>
      <c r="M616" s="38" t="s">
        <v>619</v>
      </c>
      <c r="N616" s="38" t="n">
        <f aca="false">ROUND(SUMIFS($J$2:$J$1137,$A$2:$A$1137,A616,$C$2:$C$1137,C616),9)</f>
        <v>1</v>
      </c>
    </row>
    <row r="617" customFormat="false" ht="15" hidden="false" customHeight="true" outlineLevel="0" collapsed="false">
      <c r="A617" s="38" t="n">
        <v>39</v>
      </c>
      <c r="B617" s="38" t="s">
        <v>657</v>
      </c>
      <c r="C617" s="38" t="s">
        <v>170</v>
      </c>
      <c r="D617" s="38" t="s">
        <v>171</v>
      </c>
      <c r="E617" s="38" t="str">
        <f aca="false">A617&amp;"|"&amp;C617&amp;"|"&amp;D617</f>
        <v>39|C|U</v>
      </c>
      <c r="F617" s="43" t="n">
        <v>0</v>
      </c>
      <c r="G617" s="38" t="n">
        <f aca="false">SUMIFS($F$2:$F$1137,$A$2:$A$1137,A617,$C$2:$C$1137,C617)</f>
        <v>50</v>
      </c>
      <c r="H617" s="43" t="n">
        <v>1</v>
      </c>
      <c r="I617" s="45" t="n">
        <f aca="false">IF(G617=0,"",F617/G617)</f>
        <v>0</v>
      </c>
      <c r="J617" s="45" t="n">
        <f aca="false">K617/L617</f>
        <v>0.0185185185185185</v>
      </c>
      <c r="K617" s="38" t="n">
        <f aca="false">F617+H617</f>
        <v>1</v>
      </c>
      <c r="L617" s="38" t="n">
        <f aca="false">G617+4*H617</f>
        <v>54</v>
      </c>
      <c r="M617" s="38" t="s">
        <v>619</v>
      </c>
      <c r="N617" s="38" t="n">
        <f aca="false">ROUND(SUMIFS($J$2:$J$1137,$A$2:$A$1137,A617,$C$2:$C$1137,C617),9)</f>
        <v>1</v>
      </c>
    </row>
    <row r="618" customFormat="false" ht="15" hidden="false" customHeight="true" outlineLevel="0" collapsed="false">
      <c r="A618" s="38" t="n">
        <v>39</v>
      </c>
      <c r="B618" s="38" t="s">
        <v>657</v>
      </c>
      <c r="C618" s="38" t="s">
        <v>169</v>
      </c>
      <c r="D618" s="38" t="s">
        <v>172</v>
      </c>
      <c r="E618" s="38" t="str">
        <f aca="false">A618&amp;"|"&amp;C618&amp;"|"&amp;D618</f>
        <v>39|G|A</v>
      </c>
      <c r="F618" s="43" t="n">
        <v>0</v>
      </c>
      <c r="G618" s="38" t="n">
        <f aca="false">SUMIFS($F$2:$F$1137,$A$2:$A$1137,A618,$C$2:$C$1137,C618)</f>
        <v>72</v>
      </c>
      <c r="H618" s="43" t="n">
        <v>1</v>
      </c>
      <c r="I618" s="45" t="n">
        <f aca="false">IF(G618=0,"",F618/G618)</f>
        <v>0</v>
      </c>
      <c r="J618" s="45" t="n">
        <f aca="false">K618/L618</f>
        <v>0.0131578947368421</v>
      </c>
      <c r="K618" s="38" t="n">
        <f aca="false">F618+H618</f>
        <v>1</v>
      </c>
      <c r="L618" s="38" t="n">
        <f aca="false">G618+4*H618</f>
        <v>76</v>
      </c>
      <c r="M618" s="38" t="s">
        <v>619</v>
      </c>
      <c r="N618" s="38" t="n">
        <f aca="false">ROUND(SUMIFS($J$2:$J$1137,$A$2:$A$1137,A618,$C$2:$C$1137,C618),9)</f>
        <v>1</v>
      </c>
    </row>
    <row r="619" customFormat="false" ht="15" hidden="false" customHeight="true" outlineLevel="0" collapsed="false">
      <c r="A619" s="38" t="n">
        <v>39</v>
      </c>
      <c r="B619" s="38" t="s">
        <v>657</v>
      </c>
      <c r="C619" s="38" t="s">
        <v>169</v>
      </c>
      <c r="D619" s="38" t="s">
        <v>170</v>
      </c>
      <c r="E619" s="38" t="str">
        <f aca="false">A619&amp;"|"&amp;C619&amp;"|"&amp;D619</f>
        <v>39|G|C</v>
      </c>
      <c r="F619" s="43" t="n">
        <v>39</v>
      </c>
      <c r="G619" s="38" t="n">
        <f aca="false">SUMIFS($F$2:$F$1137,$A$2:$A$1137,A619,$C$2:$C$1137,C619)</f>
        <v>72</v>
      </c>
      <c r="H619" s="43" t="n">
        <v>1</v>
      </c>
      <c r="I619" s="45" t="n">
        <f aca="false">IF(G619=0,"",F619/G619)</f>
        <v>0.541666666666667</v>
      </c>
      <c r="J619" s="45" t="n">
        <f aca="false">K619/L619</f>
        <v>0.526315789473684</v>
      </c>
      <c r="K619" s="38" t="n">
        <f aca="false">F619+H619</f>
        <v>40</v>
      </c>
      <c r="L619" s="38" t="n">
        <f aca="false">G619+4*H619</f>
        <v>76</v>
      </c>
      <c r="M619" s="38" t="s">
        <v>619</v>
      </c>
      <c r="N619" s="38" t="n">
        <f aca="false">ROUND(SUMIFS($J$2:$J$1137,$A$2:$A$1137,A619,$C$2:$C$1137,C619),9)</f>
        <v>1</v>
      </c>
    </row>
    <row r="620" customFormat="false" ht="15" hidden="false" customHeight="true" outlineLevel="0" collapsed="false">
      <c r="A620" s="38" t="n">
        <v>39</v>
      </c>
      <c r="B620" s="38" t="s">
        <v>657</v>
      </c>
      <c r="C620" s="38" t="s">
        <v>169</v>
      </c>
      <c r="D620" s="38" t="s">
        <v>169</v>
      </c>
      <c r="E620" s="38" t="str">
        <f aca="false">A620&amp;"|"&amp;C620&amp;"|"&amp;D620</f>
        <v>39|G|G</v>
      </c>
      <c r="F620" s="43" t="n">
        <v>28</v>
      </c>
      <c r="G620" s="38" t="n">
        <f aca="false">SUMIFS($F$2:$F$1137,$A$2:$A$1137,A620,$C$2:$C$1137,C620)</f>
        <v>72</v>
      </c>
      <c r="H620" s="43" t="n">
        <v>1</v>
      </c>
      <c r="I620" s="45" t="n">
        <f aca="false">IF(G620=0,"",F620/G620)</f>
        <v>0.388888888888889</v>
      </c>
      <c r="J620" s="45" t="n">
        <f aca="false">K620/L620</f>
        <v>0.381578947368421</v>
      </c>
      <c r="K620" s="38" t="n">
        <f aca="false">F620+H620</f>
        <v>29</v>
      </c>
      <c r="L620" s="38" t="n">
        <f aca="false">G620+4*H620</f>
        <v>76</v>
      </c>
      <c r="M620" s="38" t="s">
        <v>619</v>
      </c>
      <c r="N620" s="38" t="n">
        <f aca="false">ROUND(SUMIFS($J$2:$J$1137,$A$2:$A$1137,A620,$C$2:$C$1137,C620),9)</f>
        <v>1</v>
      </c>
    </row>
    <row r="621" customFormat="false" ht="15" hidden="false" customHeight="true" outlineLevel="0" collapsed="false">
      <c r="A621" s="38" t="n">
        <v>39</v>
      </c>
      <c r="B621" s="38" t="s">
        <v>657</v>
      </c>
      <c r="C621" s="38" t="s">
        <v>169</v>
      </c>
      <c r="D621" s="38" t="s">
        <v>171</v>
      </c>
      <c r="E621" s="38" t="str">
        <f aca="false">A621&amp;"|"&amp;C621&amp;"|"&amp;D621</f>
        <v>39|G|U</v>
      </c>
      <c r="F621" s="43" t="n">
        <v>5</v>
      </c>
      <c r="G621" s="38" t="n">
        <f aca="false">SUMIFS($F$2:$F$1137,$A$2:$A$1137,A621,$C$2:$C$1137,C621)</f>
        <v>72</v>
      </c>
      <c r="H621" s="43" t="n">
        <v>1</v>
      </c>
      <c r="I621" s="45" t="n">
        <f aca="false">IF(G621=0,"",F621/G621)</f>
        <v>0.0694444444444445</v>
      </c>
      <c r="J621" s="45" t="n">
        <f aca="false">K621/L621</f>
        <v>0.0789473684210526</v>
      </c>
      <c r="K621" s="38" t="n">
        <f aca="false">F621+H621</f>
        <v>6</v>
      </c>
      <c r="L621" s="38" t="n">
        <f aca="false">G621+4*H621</f>
        <v>76</v>
      </c>
      <c r="M621" s="38" t="s">
        <v>619</v>
      </c>
      <c r="N621" s="38" t="n">
        <f aca="false">ROUND(SUMIFS($J$2:$J$1137,$A$2:$A$1137,A621,$C$2:$C$1137,C621),9)</f>
        <v>1</v>
      </c>
    </row>
    <row r="622" customFormat="false" ht="15" hidden="false" customHeight="true" outlineLevel="0" collapsed="false">
      <c r="A622" s="38" t="n">
        <v>39</v>
      </c>
      <c r="B622" s="38" t="s">
        <v>657</v>
      </c>
      <c r="C622" s="38" t="s">
        <v>171</v>
      </c>
      <c r="D622" s="38" t="s">
        <v>172</v>
      </c>
      <c r="E622" s="38" t="str">
        <f aca="false">A622&amp;"|"&amp;C622&amp;"|"&amp;D622</f>
        <v>39|U|A</v>
      </c>
      <c r="F622" s="43" t="n">
        <v>1</v>
      </c>
      <c r="G622" s="38" t="n">
        <f aca="false">SUMIFS($F$2:$F$1137,$A$2:$A$1137,A622,$C$2:$C$1137,C622)</f>
        <v>59</v>
      </c>
      <c r="H622" s="43" t="n">
        <v>1</v>
      </c>
      <c r="I622" s="45" t="n">
        <f aca="false">IF(G622=0,"",F622/G622)</f>
        <v>0.0169491525423729</v>
      </c>
      <c r="J622" s="45" t="n">
        <f aca="false">K622/L622</f>
        <v>0.0317460317460317</v>
      </c>
      <c r="K622" s="38" t="n">
        <f aca="false">F622+H622</f>
        <v>2</v>
      </c>
      <c r="L622" s="38" t="n">
        <f aca="false">G622+4*H622</f>
        <v>63</v>
      </c>
      <c r="M622" s="38" t="s">
        <v>619</v>
      </c>
      <c r="N622" s="38" t="n">
        <f aca="false">ROUND(SUMIFS($J$2:$J$1137,$A$2:$A$1137,A622,$C$2:$C$1137,C622),9)</f>
        <v>1</v>
      </c>
    </row>
    <row r="623" customFormat="false" ht="15" hidden="false" customHeight="true" outlineLevel="0" collapsed="false">
      <c r="A623" s="38" t="n">
        <v>39</v>
      </c>
      <c r="B623" s="38" t="s">
        <v>657</v>
      </c>
      <c r="C623" s="38" t="s">
        <v>171</v>
      </c>
      <c r="D623" s="38" t="s">
        <v>170</v>
      </c>
      <c r="E623" s="38" t="str">
        <f aca="false">A623&amp;"|"&amp;C623&amp;"|"&amp;D623</f>
        <v>39|U|C</v>
      </c>
      <c r="F623" s="43" t="n">
        <v>52</v>
      </c>
      <c r="G623" s="38" t="n">
        <f aca="false">SUMIFS($F$2:$F$1137,$A$2:$A$1137,A623,$C$2:$C$1137,C623)</f>
        <v>59</v>
      </c>
      <c r="H623" s="43" t="n">
        <v>1</v>
      </c>
      <c r="I623" s="45" t="n">
        <f aca="false">IF(G623=0,"",F623/G623)</f>
        <v>0.88135593220339</v>
      </c>
      <c r="J623" s="45" t="n">
        <f aca="false">K623/L623</f>
        <v>0.841269841269841</v>
      </c>
      <c r="K623" s="38" t="n">
        <f aca="false">F623+H623</f>
        <v>53</v>
      </c>
      <c r="L623" s="38" t="n">
        <f aca="false">G623+4*H623</f>
        <v>63</v>
      </c>
      <c r="M623" s="38" t="s">
        <v>619</v>
      </c>
      <c r="N623" s="38" t="n">
        <f aca="false">ROUND(SUMIFS($J$2:$J$1137,$A$2:$A$1137,A623,$C$2:$C$1137,C623),9)</f>
        <v>1</v>
      </c>
    </row>
    <row r="624" customFormat="false" ht="15" hidden="false" customHeight="true" outlineLevel="0" collapsed="false">
      <c r="A624" s="38" t="n">
        <v>39</v>
      </c>
      <c r="B624" s="38" t="s">
        <v>657</v>
      </c>
      <c r="C624" s="38" t="s">
        <v>171</v>
      </c>
      <c r="D624" s="38" t="s">
        <v>169</v>
      </c>
      <c r="E624" s="38" t="str">
        <f aca="false">A624&amp;"|"&amp;C624&amp;"|"&amp;D624</f>
        <v>39|U|G</v>
      </c>
      <c r="F624" s="43" t="n">
        <v>5</v>
      </c>
      <c r="G624" s="38" t="n">
        <f aca="false">SUMIFS($F$2:$F$1137,$A$2:$A$1137,A624,$C$2:$C$1137,C624)</f>
        <v>59</v>
      </c>
      <c r="H624" s="43" t="n">
        <v>1</v>
      </c>
      <c r="I624" s="45" t="n">
        <f aca="false">IF(G624=0,"",F624/G624)</f>
        <v>0.0847457627118644</v>
      </c>
      <c r="J624" s="45" t="n">
        <f aca="false">K624/L624</f>
        <v>0.0952380952380952</v>
      </c>
      <c r="K624" s="38" t="n">
        <f aca="false">F624+H624</f>
        <v>6</v>
      </c>
      <c r="L624" s="38" t="n">
        <f aca="false">G624+4*H624</f>
        <v>63</v>
      </c>
      <c r="M624" s="38" t="s">
        <v>619</v>
      </c>
      <c r="N624" s="38" t="n">
        <f aca="false">ROUND(SUMIFS($J$2:$J$1137,$A$2:$A$1137,A624,$C$2:$C$1137,C624),9)</f>
        <v>1</v>
      </c>
    </row>
    <row r="625" customFormat="false" ht="15" hidden="false" customHeight="true" outlineLevel="0" collapsed="false">
      <c r="A625" s="38" t="n">
        <v>39</v>
      </c>
      <c r="B625" s="38" t="s">
        <v>657</v>
      </c>
      <c r="C625" s="38" t="s">
        <v>171</v>
      </c>
      <c r="D625" s="38" t="s">
        <v>171</v>
      </c>
      <c r="E625" s="38" t="str">
        <f aca="false">A625&amp;"|"&amp;C625&amp;"|"&amp;D625</f>
        <v>39|U|U</v>
      </c>
      <c r="F625" s="43" t="n">
        <v>1</v>
      </c>
      <c r="G625" s="38" t="n">
        <f aca="false">SUMIFS($F$2:$F$1137,$A$2:$A$1137,A625,$C$2:$C$1137,C625)</f>
        <v>59</v>
      </c>
      <c r="H625" s="43" t="n">
        <v>1</v>
      </c>
      <c r="I625" s="45" t="n">
        <f aca="false">IF(G625=0,"",F625/G625)</f>
        <v>0.0169491525423729</v>
      </c>
      <c r="J625" s="45" t="n">
        <f aca="false">K625/L625</f>
        <v>0.0317460317460317</v>
      </c>
      <c r="K625" s="38" t="n">
        <f aca="false">F625+H625</f>
        <v>2</v>
      </c>
      <c r="L625" s="38" t="n">
        <f aca="false">G625+4*H625</f>
        <v>63</v>
      </c>
      <c r="M625" s="38" t="s">
        <v>619</v>
      </c>
      <c r="N625" s="38" t="n">
        <f aca="false">ROUND(SUMIFS($J$2:$J$1137,$A$2:$A$1137,A625,$C$2:$C$1137,C625),9)</f>
        <v>1</v>
      </c>
    </row>
    <row r="626" customFormat="false" ht="15" hidden="false" customHeight="true" outlineLevel="0" collapsed="false">
      <c r="A626" s="38" t="n">
        <v>40</v>
      </c>
      <c r="B626" s="38" t="s">
        <v>658</v>
      </c>
      <c r="C626" s="38" t="s">
        <v>172</v>
      </c>
      <c r="D626" s="38" t="s">
        <v>172</v>
      </c>
      <c r="E626" s="38" t="str">
        <f aca="false">A626&amp;"|"&amp;C626&amp;"|"&amp;D626</f>
        <v>40|A|A</v>
      </c>
      <c r="F626" s="43" t="n">
        <v>0</v>
      </c>
      <c r="G626" s="38" t="n">
        <f aca="false">SUMIFS($F$2:$F$1137,$A$2:$A$1137,A626,$C$2:$C$1137,C626)</f>
        <v>1</v>
      </c>
      <c r="H626" s="43" t="n">
        <v>1</v>
      </c>
      <c r="I626" s="45" t="n">
        <f aca="false">IF(G626=0,"",F626/G626)</f>
        <v>0</v>
      </c>
      <c r="J626" s="45" t="n">
        <f aca="false">K626/L626</f>
        <v>0.2</v>
      </c>
      <c r="K626" s="38" t="n">
        <f aca="false">F626+H626</f>
        <v>1</v>
      </c>
      <c r="L626" s="38" t="n">
        <f aca="false">G626+4*H626</f>
        <v>5</v>
      </c>
      <c r="M626" s="38" t="s">
        <v>619</v>
      </c>
      <c r="N626" s="38" t="n">
        <f aca="false">ROUND(SUMIFS($J$2:$J$1137,$A$2:$A$1137,A626,$C$2:$C$1137,C626),9)</f>
        <v>1</v>
      </c>
    </row>
    <row r="627" customFormat="false" ht="15" hidden="false" customHeight="true" outlineLevel="0" collapsed="false">
      <c r="A627" s="38" t="n">
        <v>40</v>
      </c>
      <c r="B627" s="38" t="s">
        <v>658</v>
      </c>
      <c r="C627" s="38" t="s">
        <v>172</v>
      </c>
      <c r="D627" s="38" t="s">
        <v>170</v>
      </c>
      <c r="E627" s="38" t="str">
        <f aca="false">A627&amp;"|"&amp;C627&amp;"|"&amp;D627</f>
        <v>40|A|C</v>
      </c>
      <c r="F627" s="43" t="n">
        <v>1</v>
      </c>
      <c r="G627" s="38" t="n">
        <f aca="false">SUMIFS($F$2:$F$1137,$A$2:$A$1137,A627,$C$2:$C$1137,C627)</f>
        <v>1</v>
      </c>
      <c r="H627" s="43" t="n">
        <v>1</v>
      </c>
      <c r="I627" s="45" t="n">
        <f aca="false">IF(G627=0,"",F627/G627)</f>
        <v>1</v>
      </c>
      <c r="J627" s="45" t="n">
        <f aca="false">K627/L627</f>
        <v>0.4</v>
      </c>
      <c r="K627" s="38" t="n">
        <f aca="false">F627+H627</f>
        <v>2</v>
      </c>
      <c r="L627" s="38" t="n">
        <f aca="false">G627+4*H627</f>
        <v>5</v>
      </c>
      <c r="M627" s="38" t="s">
        <v>619</v>
      </c>
      <c r="N627" s="38" t="n">
        <f aca="false">ROUND(SUMIFS($J$2:$J$1137,$A$2:$A$1137,A627,$C$2:$C$1137,C627),9)</f>
        <v>1</v>
      </c>
    </row>
    <row r="628" customFormat="false" ht="15" hidden="false" customHeight="true" outlineLevel="0" collapsed="false">
      <c r="A628" s="38" t="n">
        <v>40</v>
      </c>
      <c r="B628" s="38" t="s">
        <v>658</v>
      </c>
      <c r="C628" s="38" t="s">
        <v>172</v>
      </c>
      <c r="D628" s="38" t="s">
        <v>169</v>
      </c>
      <c r="E628" s="38" t="str">
        <f aca="false">A628&amp;"|"&amp;C628&amp;"|"&amp;D628</f>
        <v>40|A|G</v>
      </c>
      <c r="F628" s="43" t="n">
        <v>0</v>
      </c>
      <c r="G628" s="38" t="n">
        <f aca="false">SUMIFS($F$2:$F$1137,$A$2:$A$1137,A628,$C$2:$C$1137,C628)</f>
        <v>1</v>
      </c>
      <c r="H628" s="43" t="n">
        <v>1</v>
      </c>
      <c r="I628" s="45" t="n">
        <f aca="false">IF(G628=0,"",F628/G628)</f>
        <v>0</v>
      </c>
      <c r="J628" s="45" t="n">
        <f aca="false">K628/L628</f>
        <v>0.2</v>
      </c>
      <c r="K628" s="38" t="n">
        <f aca="false">F628+H628</f>
        <v>1</v>
      </c>
      <c r="L628" s="38" t="n">
        <f aca="false">G628+4*H628</f>
        <v>5</v>
      </c>
      <c r="M628" s="38" t="s">
        <v>619</v>
      </c>
      <c r="N628" s="38" t="n">
        <f aca="false">ROUND(SUMIFS($J$2:$J$1137,$A$2:$A$1137,A628,$C$2:$C$1137,C628),9)</f>
        <v>1</v>
      </c>
    </row>
    <row r="629" customFormat="false" ht="15" hidden="false" customHeight="true" outlineLevel="0" collapsed="false">
      <c r="A629" s="38" t="n">
        <v>40</v>
      </c>
      <c r="B629" s="38" t="s">
        <v>658</v>
      </c>
      <c r="C629" s="38" t="s">
        <v>172</v>
      </c>
      <c r="D629" s="38" t="s">
        <v>171</v>
      </c>
      <c r="E629" s="38" t="str">
        <f aca="false">A629&amp;"|"&amp;C629&amp;"|"&amp;D629</f>
        <v>40|A|U</v>
      </c>
      <c r="F629" s="43" t="n">
        <v>0</v>
      </c>
      <c r="G629" s="38" t="n">
        <f aca="false">SUMIFS($F$2:$F$1137,$A$2:$A$1137,A629,$C$2:$C$1137,C629)</f>
        <v>1</v>
      </c>
      <c r="H629" s="43" t="n">
        <v>1</v>
      </c>
      <c r="I629" s="45" t="n">
        <f aca="false">IF(G629=0,"",F629/G629)</f>
        <v>0</v>
      </c>
      <c r="J629" s="45" t="n">
        <f aca="false">K629/L629</f>
        <v>0.2</v>
      </c>
      <c r="K629" s="38" t="n">
        <f aca="false">F629+H629</f>
        <v>1</v>
      </c>
      <c r="L629" s="38" t="n">
        <f aca="false">G629+4*H629</f>
        <v>5</v>
      </c>
      <c r="M629" s="38" t="s">
        <v>619</v>
      </c>
      <c r="N629" s="38" t="n">
        <f aca="false">ROUND(SUMIFS($J$2:$J$1137,$A$2:$A$1137,A629,$C$2:$C$1137,C629),9)</f>
        <v>1</v>
      </c>
    </row>
    <row r="630" customFormat="false" ht="15" hidden="false" customHeight="true" outlineLevel="0" collapsed="false">
      <c r="A630" s="38" t="n">
        <v>40</v>
      </c>
      <c r="B630" s="38" t="s">
        <v>658</v>
      </c>
      <c r="C630" s="38" t="s">
        <v>170</v>
      </c>
      <c r="D630" s="38" t="s">
        <v>172</v>
      </c>
      <c r="E630" s="38" t="str">
        <f aca="false">A630&amp;"|"&amp;C630&amp;"|"&amp;D630</f>
        <v>40|C|A</v>
      </c>
      <c r="F630" s="43" t="n">
        <v>34</v>
      </c>
      <c r="G630" s="38" t="n">
        <f aca="false">SUMIFS($F$2:$F$1137,$A$2:$A$1137,A630,$C$2:$C$1137,C630)</f>
        <v>143</v>
      </c>
      <c r="H630" s="43" t="n">
        <v>1</v>
      </c>
      <c r="I630" s="45" t="n">
        <f aca="false">IF(G630=0,"",F630/G630)</f>
        <v>0.237762237762238</v>
      </c>
      <c r="J630" s="45" t="n">
        <f aca="false">K630/L630</f>
        <v>0.238095238095238</v>
      </c>
      <c r="K630" s="38" t="n">
        <f aca="false">F630+H630</f>
        <v>35</v>
      </c>
      <c r="L630" s="38" t="n">
        <f aca="false">G630+4*H630</f>
        <v>147</v>
      </c>
      <c r="M630" s="38" t="s">
        <v>619</v>
      </c>
      <c r="N630" s="38" t="n">
        <f aca="false">ROUND(SUMIFS($J$2:$J$1137,$A$2:$A$1137,A630,$C$2:$C$1137,C630),9)</f>
        <v>1</v>
      </c>
    </row>
    <row r="631" customFormat="false" ht="15" hidden="false" customHeight="true" outlineLevel="0" collapsed="false">
      <c r="A631" s="38" t="n">
        <v>40</v>
      </c>
      <c r="B631" s="38" t="s">
        <v>658</v>
      </c>
      <c r="C631" s="38" t="s">
        <v>170</v>
      </c>
      <c r="D631" s="38" t="s">
        <v>170</v>
      </c>
      <c r="E631" s="38" t="str">
        <f aca="false">A631&amp;"|"&amp;C631&amp;"|"&amp;D631</f>
        <v>40|C|C</v>
      </c>
      <c r="F631" s="43" t="n">
        <v>57</v>
      </c>
      <c r="G631" s="38" t="n">
        <f aca="false">SUMIFS($F$2:$F$1137,$A$2:$A$1137,A631,$C$2:$C$1137,C631)</f>
        <v>143</v>
      </c>
      <c r="H631" s="43" t="n">
        <v>1</v>
      </c>
      <c r="I631" s="45" t="n">
        <f aca="false">IF(G631=0,"",F631/G631)</f>
        <v>0.398601398601399</v>
      </c>
      <c r="J631" s="45" t="n">
        <f aca="false">K631/L631</f>
        <v>0.394557823129252</v>
      </c>
      <c r="K631" s="38" t="n">
        <f aca="false">F631+H631</f>
        <v>58</v>
      </c>
      <c r="L631" s="38" t="n">
        <f aca="false">G631+4*H631</f>
        <v>147</v>
      </c>
      <c r="M631" s="38" t="s">
        <v>619</v>
      </c>
      <c r="N631" s="38" t="n">
        <f aca="false">ROUND(SUMIFS($J$2:$J$1137,$A$2:$A$1137,A631,$C$2:$C$1137,C631),9)</f>
        <v>1</v>
      </c>
    </row>
    <row r="632" customFormat="false" ht="15" hidden="false" customHeight="true" outlineLevel="0" collapsed="false">
      <c r="A632" s="38" t="n">
        <v>40</v>
      </c>
      <c r="B632" s="38" t="s">
        <v>658</v>
      </c>
      <c r="C632" s="38" t="s">
        <v>170</v>
      </c>
      <c r="D632" s="38" t="s">
        <v>169</v>
      </c>
      <c r="E632" s="38" t="str">
        <f aca="false">A632&amp;"|"&amp;C632&amp;"|"&amp;D632</f>
        <v>40|C|G</v>
      </c>
      <c r="F632" s="43" t="n">
        <v>27</v>
      </c>
      <c r="G632" s="38" t="n">
        <f aca="false">SUMIFS($F$2:$F$1137,$A$2:$A$1137,A632,$C$2:$C$1137,C632)</f>
        <v>143</v>
      </c>
      <c r="H632" s="43" t="n">
        <v>1</v>
      </c>
      <c r="I632" s="45" t="n">
        <f aca="false">IF(G632=0,"",F632/G632)</f>
        <v>0.188811188811189</v>
      </c>
      <c r="J632" s="45" t="n">
        <f aca="false">K632/L632</f>
        <v>0.19047619047619</v>
      </c>
      <c r="K632" s="38" t="n">
        <f aca="false">F632+H632</f>
        <v>28</v>
      </c>
      <c r="L632" s="38" t="n">
        <f aca="false">G632+4*H632</f>
        <v>147</v>
      </c>
      <c r="M632" s="38" t="s">
        <v>619</v>
      </c>
      <c r="N632" s="38" t="n">
        <f aca="false">ROUND(SUMIFS($J$2:$J$1137,$A$2:$A$1137,A632,$C$2:$C$1137,C632),9)</f>
        <v>1</v>
      </c>
    </row>
    <row r="633" customFormat="false" ht="15" hidden="false" customHeight="true" outlineLevel="0" collapsed="false">
      <c r="A633" s="38" t="n">
        <v>40</v>
      </c>
      <c r="B633" s="38" t="s">
        <v>658</v>
      </c>
      <c r="C633" s="38" t="s">
        <v>170</v>
      </c>
      <c r="D633" s="38" t="s">
        <v>171</v>
      </c>
      <c r="E633" s="38" t="str">
        <f aca="false">A633&amp;"|"&amp;C633&amp;"|"&amp;D633</f>
        <v>40|C|U</v>
      </c>
      <c r="F633" s="43" t="n">
        <v>25</v>
      </c>
      <c r="G633" s="38" t="n">
        <f aca="false">SUMIFS($F$2:$F$1137,$A$2:$A$1137,A633,$C$2:$C$1137,C633)</f>
        <v>143</v>
      </c>
      <c r="H633" s="43" t="n">
        <v>1</v>
      </c>
      <c r="I633" s="45" t="n">
        <f aca="false">IF(G633=0,"",F633/G633)</f>
        <v>0.174825174825175</v>
      </c>
      <c r="J633" s="45" t="n">
        <f aca="false">K633/L633</f>
        <v>0.17687074829932</v>
      </c>
      <c r="K633" s="38" t="n">
        <f aca="false">F633+H633</f>
        <v>26</v>
      </c>
      <c r="L633" s="38" t="n">
        <f aca="false">G633+4*H633</f>
        <v>147</v>
      </c>
      <c r="M633" s="38" t="s">
        <v>619</v>
      </c>
      <c r="N633" s="38" t="n">
        <f aca="false">ROUND(SUMIFS($J$2:$J$1137,$A$2:$A$1137,A633,$C$2:$C$1137,C633),9)</f>
        <v>1</v>
      </c>
    </row>
    <row r="634" customFormat="false" ht="15" hidden="false" customHeight="true" outlineLevel="0" collapsed="false">
      <c r="A634" s="38" t="n">
        <v>40</v>
      </c>
      <c r="B634" s="38" t="s">
        <v>658</v>
      </c>
      <c r="C634" s="38" t="s">
        <v>169</v>
      </c>
      <c r="D634" s="38" t="s">
        <v>172</v>
      </c>
      <c r="E634" s="38" t="str">
        <f aca="false">A634&amp;"|"&amp;C634&amp;"|"&amp;D634</f>
        <v>40|G|A</v>
      </c>
      <c r="F634" s="43" t="n">
        <v>18</v>
      </c>
      <c r="G634" s="38" t="n">
        <f aca="false">SUMIFS($F$2:$F$1137,$A$2:$A$1137,A634,$C$2:$C$1137,C634)</f>
        <v>47</v>
      </c>
      <c r="H634" s="43" t="n">
        <v>1</v>
      </c>
      <c r="I634" s="45" t="n">
        <f aca="false">IF(G634=0,"",F634/G634)</f>
        <v>0.382978723404255</v>
      </c>
      <c r="J634" s="45" t="n">
        <f aca="false">K634/L634</f>
        <v>0.372549019607843</v>
      </c>
      <c r="K634" s="38" t="n">
        <f aca="false">F634+H634</f>
        <v>19</v>
      </c>
      <c r="L634" s="38" t="n">
        <f aca="false">G634+4*H634</f>
        <v>51</v>
      </c>
      <c r="M634" s="38" t="s">
        <v>619</v>
      </c>
      <c r="N634" s="38" t="n">
        <f aca="false">ROUND(SUMIFS($J$2:$J$1137,$A$2:$A$1137,A634,$C$2:$C$1137,C634),9)</f>
        <v>1</v>
      </c>
    </row>
    <row r="635" customFormat="false" ht="15" hidden="false" customHeight="true" outlineLevel="0" collapsed="false">
      <c r="A635" s="38" t="n">
        <v>40</v>
      </c>
      <c r="B635" s="38" t="s">
        <v>658</v>
      </c>
      <c r="C635" s="38" t="s">
        <v>169</v>
      </c>
      <c r="D635" s="38" t="s">
        <v>170</v>
      </c>
      <c r="E635" s="38" t="str">
        <f aca="false">A635&amp;"|"&amp;C635&amp;"|"&amp;D635</f>
        <v>40|G|C</v>
      </c>
      <c r="F635" s="43" t="n">
        <v>15</v>
      </c>
      <c r="G635" s="38" t="n">
        <f aca="false">SUMIFS($F$2:$F$1137,$A$2:$A$1137,A635,$C$2:$C$1137,C635)</f>
        <v>47</v>
      </c>
      <c r="H635" s="43" t="n">
        <v>1</v>
      </c>
      <c r="I635" s="45" t="n">
        <f aca="false">IF(G635=0,"",F635/G635)</f>
        <v>0.319148936170213</v>
      </c>
      <c r="J635" s="45" t="n">
        <f aca="false">K635/L635</f>
        <v>0.313725490196078</v>
      </c>
      <c r="K635" s="38" t="n">
        <f aca="false">F635+H635</f>
        <v>16</v>
      </c>
      <c r="L635" s="38" t="n">
        <f aca="false">G635+4*H635</f>
        <v>51</v>
      </c>
      <c r="M635" s="38" t="s">
        <v>619</v>
      </c>
      <c r="N635" s="38" t="n">
        <f aca="false">ROUND(SUMIFS($J$2:$J$1137,$A$2:$A$1137,A635,$C$2:$C$1137,C635),9)</f>
        <v>1</v>
      </c>
    </row>
    <row r="636" customFormat="false" ht="15" hidden="false" customHeight="true" outlineLevel="0" collapsed="false">
      <c r="A636" s="38" t="n">
        <v>40</v>
      </c>
      <c r="B636" s="38" t="s">
        <v>658</v>
      </c>
      <c r="C636" s="38" t="s">
        <v>169</v>
      </c>
      <c r="D636" s="38" t="s">
        <v>169</v>
      </c>
      <c r="E636" s="38" t="str">
        <f aca="false">A636&amp;"|"&amp;C636&amp;"|"&amp;D636</f>
        <v>40|G|G</v>
      </c>
      <c r="F636" s="43" t="n">
        <v>6</v>
      </c>
      <c r="G636" s="38" t="n">
        <f aca="false">SUMIFS($F$2:$F$1137,$A$2:$A$1137,A636,$C$2:$C$1137,C636)</f>
        <v>47</v>
      </c>
      <c r="H636" s="43" t="n">
        <v>1</v>
      </c>
      <c r="I636" s="45" t="n">
        <f aca="false">IF(G636=0,"",F636/G636)</f>
        <v>0.127659574468085</v>
      </c>
      <c r="J636" s="45" t="n">
        <f aca="false">K636/L636</f>
        <v>0.137254901960784</v>
      </c>
      <c r="K636" s="38" t="n">
        <f aca="false">F636+H636</f>
        <v>7</v>
      </c>
      <c r="L636" s="38" t="n">
        <f aca="false">G636+4*H636</f>
        <v>51</v>
      </c>
      <c r="M636" s="38" t="s">
        <v>619</v>
      </c>
      <c r="N636" s="38" t="n">
        <f aca="false">ROUND(SUMIFS($J$2:$J$1137,$A$2:$A$1137,A636,$C$2:$C$1137,C636),9)</f>
        <v>1</v>
      </c>
    </row>
    <row r="637" customFormat="false" ht="15" hidden="false" customHeight="true" outlineLevel="0" collapsed="false">
      <c r="A637" s="38" t="n">
        <v>40</v>
      </c>
      <c r="B637" s="38" t="s">
        <v>658</v>
      </c>
      <c r="C637" s="38" t="s">
        <v>169</v>
      </c>
      <c r="D637" s="38" t="s">
        <v>171</v>
      </c>
      <c r="E637" s="38" t="str">
        <f aca="false">A637&amp;"|"&amp;C637&amp;"|"&amp;D637</f>
        <v>40|G|U</v>
      </c>
      <c r="F637" s="43" t="n">
        <v>8</v>
      </c>
      <c r="G637" s="38" t="n">
        <f aca="false">SUMIFS($F$2:$F$1137,$A$2:$A$1137,A637,$C$2:$C$1137,C637)</f>
        <v>47</v>
      </c>
      <c r="H637" s="43" t="n">
        <v>1</v>
      </c>
      <c r="I637" s="45" t="n">
        <f aca="false">IF(G637=0,"",F637/G637)</f>
        <v>0.170212765957447</v>
      </c>
      <c r="J637" s="45" t="n">
        <f aca="false">K637/L637</f>
        <v>0.176470588235294</v>
      </c>
      <c r="K637" s="38" t="n">
        <f aca="false">F637+H637</f>
        <v>9</v>
      </c>
      <c r="L637" s="38" t="n">
        <f aca="false">G637+4*H637</f>
        <v>51</v>
      </c>
      <c r="M637" s="38" t="s">
        <v>619</v>
      </c>
      <c r="N637" s="38" t="n">
        <f aca="false">ROUND(SUMIFS($J$2:$J$1137,$A$2:$A$1137,A637,$C$2:$C$1137,C637),9)</f>
        <v>1</v>
      </c>
    </row>
    <row r="638" customFormat="false" ht="15" hidden="false" customHeight="true" outlineLevel="0" collapsed="false">
      <c r="A638" s="38" t="n">
        <v>40</v>
      </c>
      <c r="B638" s="38" t="s">
        <v>658</v>
      </c>
      <c r="C638" s="38" t="s">
        <v>171</v>
      </c>
      <c r="D638" s="38" t="s">
        <v>172</v>
      </c>
      <c r="E638" s="38" t="str">
        <f aca="false">A638&amp;"|"&amp;C638&amp;"|"&amp;D638</f>
        <v>40|U|A</v>
      </c>
      <c r="F638" s="43" t="n">
        <v>2</v>
      </c>
      <c r="G638" s="38" t="n">
        <f aca="false">SUMIFS($F$2:$F$1137,$A$2:$A$1137,A638,$C$2:$C$1137,C638)</f>
        <v>8</v>
      </c>
      <c r="H638" s="43" t="n">
        <v>1</v>
      </c>
      <c r="I638" s="45" t="n">
        <f aca="false">IF(G638=0,"",F638/G638)</f>
        <v>0.25</v>
      </c>
      <c r="J638" s="45" t="n">
        <f aca="false">K638/L638</f>
        <v>0.25</v>
      </c>
      <c r="K638" s="38" t="n">
        <f aca="false">F638+H638</f>
        <v>3</v>
      </c>
      <c r="L638" s="38" t="n">
        <f aca="false">G638+4*H638</f>
        <v>12</v>
      </c>
      <c r="M638" s="38" t="s">
        <v>619</v>
      </c>
      <c r="N638" s="38" t="n">
        <f aca="false">ROUND(SUMIFS($J$2:$J$1137,$A$2:$A$1137,A638,$C$2:$C$1137,C638),9)</f>
        <v>1</v>
      </c>
    </row>
    <row r="639" customFormat="false" ht="15" hidden="false" customHeight="true" outlineLevel="0" collapsed="false">
      <c r="A639" s="38" t="n">
        <v>40</v>
      </c>
      <c r="B639" s="38" t="s">
        <v>658</v>
      </c>
      <c r="C639" s="38" t="s">
        <v>171</v>
      </c>
      <c r="D639" s="38" t="s">
        <v>170</v>
      </c>
      <c r="E639" s="38" t="str">
        <f aca="false">A639&amp;"|"&amp;C639&amp;"|"&amp;D639</f>
        <v>40|U|C</v>
      </c>
      <c r="F639" s="43" t="n">
        <v>4</v>
      </c>
      <c r="G639" s="38" t="n">
        <f aca="false">SUMIFS($F$2:$F$1137,$A$2:$A$1137,A639,$C$2:$C$1137,C639)</f>
        <v>8</v>
      </c>
      <c r="H639" s="43" t="n">
        <v>1</v>
      </c>
      <c r="I639" s="45" t="n">
        <f aca="false">IF(G639=0,"",F639/G639)</f>
        <v>0.5</v>
      </c>
      <c r="J639" s="45" t="n">
        <f aca="false">K639/L639</f>
        <v>0.416666666666667</v>
      </c>
      <c r="K639" s="38" t="n">
        <f aca="false">F639+H639</f>
        <v>5</v>
      </c>
      <c r="L639" s="38" t="n">
        <f aca="false">G639+4*H639</f>
        <v>12</v>
      </c>
      <c r="M639" s="38" t="s">
        <v>619</v>
      </c>
      <c r="N639" s="38" t="n">
        <f aca="false">ROUND(SUMIFS($J$2:$J$1137,$A$2:$A$1137,A639,$C$2:$C$1137,C639),9)</f>
        <v>1</v>
      </c>
    </row>
    <row r="640" customFormat="false" ht="15" hidden="false" customHeight="true" outlineLevel="0" collapsed="false">
      <c r="A640" s="38" t="n">
        <v>40</v>
      </c>
      <c r="B640" s="38" t="s">
        <v>658</v>
      </c>
      <c r="C640" s="38" t="s">
        <v>171</v>
      </c>
      <c r="D640" s="38" t="s">
        <v>169</v>
      </c>
      <c r="E640" s="38" t="str">
        <f aca="false">A640&amp;"|"&amp;C640&amp;"|"&amp;D640</f>
        <v>40|U|G</v>
      </c>
      <c r="F640" s="43" t="n">
        <v>2</v>
      </c>
      <c r="G640" s="38" t="n">
        <f aca="false">SUMIFS($F$2:$F$1137,$A$2:$A$1137,A640,$C$2:$C$1137,C640)</f>
        <v>8</v>
      </c>
      <c r="H640" s="43" t="n">
        <v>1</v>
      </c>
      <c r="I640" s="45" t="n">
        <f aca="false">IF(G640=0,"",F640/G640)</f>
        <v>0.25</v>
      </c>
      <c r="J640" s="45" t="n">
        <f aca="false">K640/L640</f>
        <v>0.25</v>
      </c>
      <c r="K640" s="38" t="n">
        <f aca="false">F640+H640</f>
        <v>3</v>
      </c>
      <c r="L640" s="38" t="n">
        <f aca="false">G640+4*H640</f>
        <v>12</v>
      </c>
      <c r="M640" s="38" t="s">
        <v>619</v>
      </c>
      <c r="N640" s="38" t="n">
        <f aca="false">ROUND(SUMIFS($J$2:$J$1137,$A$2:$A$1137,A640,$C$2:$C$1137,C640),9)</f>
        <v>1</v>
      </c>
    </row>
    <row r="641" customFormat="false" ht="15" hidden="false" customHeight="true" outlineLevel="0" collapsed="false">
      <c r="A641" s="38" t="n">
        <v>40</v>
      </c>
      <c r="B641" s="38" t="s">
        <v>658</v>
      </c>
      <c r="C641" s="38" t="s">
        <v>171</v>
      </c>
      <c r="D641" s="38" t="s">
        <v>171</v>
      </c>
      <c r="E641" s="38" t="str">
        <f aca="false">A641&amp;"|"&amp;C641&amp;"|"&amp;D641</f>
        <v>40|U|U</v>
      </c>
      <c r="F641" s="43" t="n">
        <v>0</v>
      </c>
      <c r="G641" s="38" t="n">
        <f aca="false">SUMIFS($F$2:$F$1137,$A$2:$A$1137,A641,$C$2:$C$1137,C641)</f>
        <v>8</v>
      </c>
      <c r="H641" s="43" t="n">
        <v>1</v>
      </c>
      <c r="I641" s="45" t="n">
        <f aca="false">IF(G641=0,"",F641/G641)</f>
        <v>0</v>
      </c>
      <c r="J641" s="45" t="n">
        <f aca="false">K641/L641</f>
        <v>0.0833333333333333</v>
      </c>
      <c r="K641" s="38" t="n">
        <f aca="false">F641+H641</f>
        <v>1</v>
      </c>
      <c r="L641" s="38" t="n">
        <f aca="false">G641+4*H641</f>
        <v>12</v>
      </c>
      <c r="M641" s="38" t="s">
        <v>619</v>
      </c>
      <c r="N641" s="38" t="n">
        <f aca="false">ROUND(SUMIFS($J$2:$J$1137,$A$2:$A$1137,A641,$C$2:$C$1137,C641),9)</f>
        <v>1</v>
      </c>
    </row>
    <row r="642" customFormat="false" ht="15" hidden="false" customHeight="true" outlineLevel="0" collapsed="false">
      <c r="A642" s="38" t="n">
        <v>41</v>
      </c>
      <c r="B642" s="38" t="s">
        <v>659</v>
      </c>
      <c r="C642" s="38" t="s">
        <v>172</v>
      </c>
      <c r="D642" s="38" t="s">
        <v>172</v>
      </c>
      <c r="E642" s="38" t="str">
        <f aca="false">A642&amp;"|"&amp;C642&amp;"|"&amp;D642</f>
        <v>41|A|A</v>
      </c>
      <c r="F642" s="43" t="n">
        <v>14</v>
      </c>
      <c r="G642" s="38" t="n">
        <f aca="false">SUMIFS($F$2:$F$1137,$A$2:$A$1137,A642,$C$2:$C$1137,C642)</f>
        <v>54</v>
      </c>
      <c r="H642" s="43" t="n">
        <v>1</v>
      </c>
      <c r="I642" s="45" t="n">
        <f aca="false">IF(G642=0,"",F642/G642)</f>
        <v>0.259259259259259</v>
      </c>
      <c r="J642" s="45" t="n">
        <f aca="false">K642/L642</f>
        <v>0.258620689655172</v>
      </c>
      <c r="K642" s="38" t="n">
        <f aca="false">F642+H642</f>
        <v>15</v>
      </c>
      <c r="L642" s="38" t="n">
        <f aca="false">G642+4*H642</f>
        <v>58</v>
      </c>
      <c r="M642" s="38" t="s">
        <v>619</v>
      </c>
      <c r="N642" s="38" t="n">
        <f aca="false">ROUND(SUMIFS($J$2:$J$1137,$A$2:$A$1137,A642,$C$2:$C$1137,C642),9)</f>
        <v>1</v>
      </c>
    </row>
    <row r="643" customFormat="false" ht="15" hidden="false" customHeight="true" outlineLevel="0" collapsed="false">
      <c r="A643" s="38" t="n">
        <v>41</v>
      </c>
      <c r="B643" s="38" t="s">
        <v>659</v>
      </c>
      <c r="C643" s="38" t="s">
        <v>172</v>
      </c>
      <c r="D643" s="38" t="s">
        <v>170</v>
      </c>
      <c r="E643" s="38" t="str">
        <f aca="false">A643&amp;"|"&amp;C643&amp;"|"&amp;D643</f>
        <v>41|A|C</v>
      </c>
      <c r="F643" s="43" t="n">
        <v>1</v>
      </c>
      <c r="G643" s="38" t="n">
        <f aca="false">SUMIFS($F$2:$F$1137,$A$2:$A$1137,A643,$C$2:$C$1137,C643)</f>
        <v>54</v>
      </c>
      <c r="H643" s="43" t="n">
        <v>1</v>
      </c>
      <c r="I643" s="45" t="n">
        <f aca="false">IF(G643=0,"",F643/G643)</f>
        <v>0.0185185185185185</v>
      </c>
      <c r="J643" s="45" t="n">
        <f aca="false">K643/L643</f>
        <v>0.0344827586206897</v>
      </c>
      <c r="K643" s="38" t="n">
        <f aca="false">F643+H643</f>
        <v>2</v>
      </c>
      <c r="L643" s="38" t="n">
        <f aca="false">G643+4*H643</f>
        <v>58</v>
      </c>
      <c r="M643" s="38" t="s">
        <v>619</v>
      </c>
      <c r="N643" s="38" t="n">
        <f aca="false">ROUND(SUMIFS($J$2:$J$1137,$A$2:$A$1137,A643,$C$2:$C$1137,C643),9)</f>
        <v>1</v>
      </c>
    </row>
    <row r="644" customFormat="false" ht="15" hidden="false" customHeight="true" outlineLevel="0" collapsed="false">
      <c r="A644" s="38" t="n">
        <v>41</v>
      </c>
      <c r="B644" s="38" t="s">
        <v>659</v>
      </c>
      <c r="C644" s="38" t="s">
        <v>172</v>
      </c>
      <c r="D644" s="38" t="s">
        <v>169</v>
      </c>
      <c r="E644" s="38" t="str">
        <f aca="false">A644&amp;"|"&amp;C644&amp;"|"&amp;D644</f>
        <v>41|A|G</v>
      </c>
      <c r="F644" s="43" t="n">
        <v>30</v>
      </c>
      <c r="G644" s="38" t="n">
        <f aca="false">SUMIFS($F$2:$F$1137,$A$2:$A$1137,A644,$C$2:$C$1137,C644)</f>
        <v>54</v>
      </c>
      <c r="H644" s="43" t="n">
        <v>1</v>
      </c>
      <c r="I644" s="45" t="n">
        <f aca="false">IF(G644=0,"",F644/G644)</f>
        <v>0.555555555555556</v>
      </c>
      <c r="J644" s="45" t="n">
        <f aca="false">K644/L644</f>
        <v>0.53448275862069</v>
      </c>
      <c r="K644" s="38" t="n">
        <f aca="false">F644+H644</f>
        <v>31</v>
      </c>
      <c r="L644" s="38" t="n">
        <f aca="false">G644+4*H644</f>
        <v>58</v>
      </c>
      <c r="M644" s="38" t="s">
        <v>619</v>
      </c>
      <c r="N644" s="38" t="n">
        <f aca="false">ROUND(SUMIFS($J$2:$J$1137,$A$2:$A$1137,A644,$C$2:$C$1137,C644),9)</f>
        <v>1</v>
      </c>
    </row>
    <row r="645" customFormat="false" ht="15" hidden="false" customHeight="true" outlineLevel="0" collapsed="false">
      <c r="A645" s="38" t="n">
        <v>41</v>
      </c>
      <c r="B645" s="38" t="s">
        <v>659</v>
      </c>
      <c r="C645" s="38" t="s">
        <v>172</v>
      </c>
      <c r="D645" s="38" t="s">
        <v>171</v>
      </c>
      <c r="E645" s="38" t="str">
        <f aca="false">A645&amp;"|"&amp;C645&amp;"|"&amp;D645</f>
        <v>41|A|U</v>
      </c>
      <c r="F645" s="43" t="n">
        <v>9</v>
      </c>
      <c r="G645" s="38" t="n">
        <f aca="false">SUMIFS($F$2:$F$1137,$A$2:$A$1137,A645,$C$2:$C$1137,C645)</f>
        <v>54</v>
      </c>
      <c r="H645" s="43" t="n">
        <v>1</v>
      </c>
      <c r="I645" s="45" t="n">
        <f aca="false">IF(G645=0,"",F645/G645)</f>
        <v>0.166666666666667</v>
      </c>
      <c r="J645" s="45" t="n">
        <f aca="false">K645/L645</f>
        <v>0.172413793103448</v>
      </c>
      <c r="K645" s="38" t="n">
        <f aca="false">F645+H645</f>
        <v>10</v>
      </c>
      <c r="L645" s="38" t="n">
        <f aca="false">G645+4*H645</f>
        <v>58</v>
      </c>
      <c r="M645" s="38" t="s">
        <v>619</v>
      </c>
      <c r="N645" s="38" t="n">
        <f aca="false">ROUND(SUMIFS($J$2:$J$1137,$A$2:$A$1137,A645,$C$2:$C$1137,C645),9)</f>
        <v>1</v>
      </c>
    </row>
    <row r="646" customFormat="false" ht="15" hidden="false" customHeight="true" outlineLevel="0" collapsed="false">
      <c r="A646" s="38" t="n">
        <v>41</v>
      </c>
      <c r="B646" s="38" t="s">
        <v>659</v>
      </c>
      <c r="C646" s="38" t="s">
        <v>170</v>
      </c>
      <c r="D646" s="38" t="s">
        <v>172</v>
      </c>
      <c r="E646" s="38" t="str">
        <f aca="false">A646&amp;"|"&amp;C646&amp;"|"&amp;D646</f>
        <v>41|C|A</v>
      </c>
      <c r="F646" s="43" t="n">
        <v>16</v>
      </c>
      <c r="G646" s="38" t="n">
        <f aca="false">SUMIFS($F$2:$F$1137,$A$2:$A$1137,A646,$C$2:$C$1137,C646)</f>
        <v>77</v>
      </c>
      <c r="H646" s="43" t="n">
        <v>1</v>
      </c>
      <c r="I646" s="45" t="n">
        <f aca="false">IF(G646=0,"",F646/G646)</f>
        <v>0.207792207792208</v>
      </c>
      <c r="J646" s="45" t="n">
        <f aca="false">K646/L646</f>
        <v>0.209876543209877</v>
      </c>
      <c r="K646" s="38" t="n">
        <f aca="false">F646+H646</f>
        <v>17</v>
      </c>
      <c r="L646" s="38" t="n">
        <f aca="false">G646+4*H646</f>
        <v>81</v>
      </c>
      <c r="M646" s="38" t="s">
        <v>619</v>
      </c>
      <c r="N646" s="38" t="n">
        <f aca="false">ROUND(SUMIFS($J$2:$J$1137,$A$2:$A$1137,A646,$C$2:$C$1137,C646),9)</f>
        <v>1</v>
      </c>
    </row>
    <row r="647" customFormat="false" ht="15" hidden="false" customHeight="true" outlineLevel="0" collapsed="false">
      <c r="A647" s="38" t="n">
        <v>41</v>
      </c>
      <c r="B647" s="38" t="s">
        <v>659</v>
      </c>
      <c r="C647" s="38" t="s">
        <v>170</v>
      </c>
      <c r="D647" s="38" t="s">
        <v>170</v>
      </c>
      <c r="E647" s="38" t="str">
        <f aca="false">A647&amp;"|"&amp;C647&amp;"|"&amp;D647</f>
        <v>41|C|C</v>
      </c>
      <c r="F647" s="43" t="n">
        <v>10</v>
      </c>
      <c r="G647" s="38" t="n">
        <f aca="false">SUMIFS($F$2:$F$1137,$A$2:$A$1137,A647,$C$2:$C$1137,C647)</f>
        <v>77</v>
      </c>
      <c r="H647" s="43" t="n">
        <v>1</v>
      </c>
      <c r="I647" s="45" t="n">
        <f aca="false">IF(G647=0,"",F647/G647)</f>
        <v>0.12987012987013</v>
      </c>
      <c r="J647" s="45" t="n">
        <f aca="false">K647/L647</f>
        <v>0.135802469135802</v>
      </c>
      <c r="K647" s="38" t="n">
        <f aca="false">F647+H647</f>
        <v>11</v>
      </c>
      <c r="L647" s="38" t="n">
        <f aca="false">G647+4*H647</f>
        <v>81</v>
      </c>
      <c r="M647" s="38" t="s">
        <v>619</v>
      </c>
      <c r="N647" s="38" t="n">
        <f aca="false">ROUND(SUMIFS($J$2:$J$1137,$A$2:$A$1137,A647,$C$2:$C$1137,C647),9)</f>
        <v>1</v>
      </c>
    </row>
    <row r="648" customFormat="false" ht="15" hidden="false" customHeight="true" outlineLevel="0" collapsed="false">
      <c r="A648" s="38" t="n">
        <v>41</v>
      </c>
      <c r="B648" s="38" t="s">
        <v>659</v>
      </c>
      <c r="C648" s="38" t="s">
        <v>170</v>
      </c>
      <c r="D648" s="38" t="s">
        <v>169</v>
      </c>
      <c r="E648" s="38" t="str">
        <f aca="false">A648&amp;"|"&amp;C648&amp;"|"&amp;D648</f>
        <v>41|C|G</v>
      </c>
      <c r="F648" s="43" t="n">
        <v>47</v>
      </c>
      <c r="G648" s="38" t="n">
        <f aca="false">SUMIFS($F$2:$F$1137,$A$2:$A$1137,A648,$C$2:$C$1137,C648)</f>
        <v>77</v>
      </c>
      <c r="H648" s="43" t="n">
        <v>1</v>
      </c>
      <c r="I648" s="45" t="n">
        <f aca="false">IF(G648=0,"",F648/G648)</f>
        <v>0.61038961038961</v>
      </c>
      <c r="J648" s="45" t="n">
        <f aca="false">K648/L648</f>
        <v>0.592592592592593</v>
      </c>
      <c r="K648" s="38" t="n">
        <f aca="false">F648+H648</f>
        <v>48</v>
      </c>
      <c r="L648" s="38" t="n">
        <f aca="false">G648+4*H648</f>
        <v>81</v>
      </c>
      <c r="M648" s="38" t="s">
        <v>619</v>
      </c>
      <c r="N648" s="38" t="n">
        <f aca="false">ROUND(SUMIFS($J$2:$J$1137,$A$2:$A$1137,A648,$C$2:$C$1137,C648),9)</f>
        <v>1</v>
      </c>
    </row>
    <row r="649" customFormat="false" ht="15" hidden="false" customHeight="true" outlineLevel="0" collapsed="false">
      <c r="A649" s="38" t="n">
        <v>41</v>
      </c>
      <c r="B649" s="38" t="s">
        <v>659</v>
      </c>
      <c r="C649" s="38" t="s">
        <v>170</v>
      </c>
      <c r="D649" s="38" t="s">
        <v>171</v>
      </c>
      <c r="E649" s="38" t="str">
        <f aca="false">A649&amp;"|"&amp;C649&amp;"|"&amp;D649</f>
        <v>41|C|U</v>
      </c>
      <c r="F649" s="43" t="n">
        <v>4</v>
      </c>
      <c r="G649" s="38" t="n">
        <f aca="false">SUMIFS($F$2:$F$1137,$A$2:$A$1137,A649,$C$2:$C$1137,C649)</f>
        <v>77</v>
      </c>
      <c r="H649" s="43" t="n">
        <v>1</v>
      </c>
      <c r="I649" s="45" t="n">
        <f aca="false">IF(G649=0,"",F649/G649)</f>
        <v>0.051948051948052</v>
      </c>
      <c r="J649" s="45" t="n">
        <f aca="false">K649/L649</f>
        <v>0.0617283950617284</v>
      </c>
      <c r="K649" s="38" t="n">
        <f aca="false">F649+H649</f>
        <v>5</v>
      </c>
      <c r="L649" s="38" t="n">
        <f aca="false">G649+4*H649</f>
        <v>81</v>
      </c>
      <c r="M649" s="38" t="s">
        <v>619</v>
      </c>
      <c r="N649" s="38" t="n">
        <f aca="false">ROUND(SUMIFS($J$2:$J$1137,$A$2:$A$1137,A649,$C$2:$C$1137,C649),9)</f>
        <v>1</v>
      </c>
    </row>
    <row r="650" customFormat="false" ht="15" hidden="false" customHeight="true" outlineLevel="0" collapsed="false">
      <c r="A650" s="38" t="n">
        <v>41</v>
      </c>
      <c r="B650" s="38" t="s">
        <v>659</v>
      </c>
      <c r="C650" s="38" t="s">
        <v>169</v>
      </c>
      <c r="D650" s="38" t="s">
        <v>172</v>
      </c>
      <c r="E650" s="38" t="str">
        <f aca="false">A650&amp;"|"&amp;C650&amp;"|"&amp;D650</f>
        <v>41|G|A</v>
      </c>
      <c r="F650" s="43" t="n">
        <v>11</v>
      </c>
      <c r="G650" s="38" t="n">
        <f aca="false">SUMIFS($F$2:$F$1137,$A$2:$A$1137,A650,$C$2:$C$1137,C650)</f>
        <v>35</v>
      </c>
      <c r="H650" s="43" t="n">
        <v>1</v>
      </c>
      <c r="I650" s="45" t="n">
        <f aca="false">IF(G650=0,"",F650/G650)</f>
        <v>0.314285714285714</v>
      </c>
      <c r="J650" s="45" t="n">
        <f aca="false">K650/L650</f>
        <v>0.307692307692308</v>
      </c>
      <c r="K650" s="38" t="n">
        <f aca="false">F650+H650</f>
        <v>12</v>
      </c>
      <c r="L650" s="38" t="n">
        <f aca="false">G650+4*H650</f>
        <v>39</v>
      </c>
      <c r="M650" s="38" t="s">
        <v>619</v>
      </c>
      <c r="N650" s="38" t="n">
        <f aca="false">ROUND(SUMIFS($J$2:$J$1137,$A$2:$A$1137,A650,$C$2:$C$1137,C650),9)</f>
        <v>1</v>
      </c>
    </row>
    <row r="651" customFormat="false" ht="15" hidden="false" customHeight="true" outlineLevel="0" collapsed="false">
      <c r="A651" s="38" t="n">
        <v>41</v>
      </c>
      <c r="B651" s="38" t="s">
        <v>659</v>
      </c>
      <c r="C651" s="38" t="s">
        <v>169</v>
      </c>
      <c r="D651" s="38" t="s">
        <v>170</v>
      </c>
      <c r="E651" s="38" t="str">
        <f aca="false">A651&amp;"|"&amp;C651&amp;"|"&amp;D651</f>
        <v>41|G|C</v>
      </c>
      <c r="F651" s="43" t="n">
        <v>4</v>
      </c>
      <c r="G651" s="38" t="n">
        <f aca="false">SUMIFS($F$2:$F$1137,$A$2:$A$1137,A651,$C$2:$C$1137,C651)</f>
        <v>35</v>
      </c>
      <c r="H651" s="43" t="n">
        <v>1</v>
      </c>
      <c r="I651" s="45" t="n">
        <f aca="false">IF(G651=0,"",F651/G651)</f>
        <v>0.114285714285714</v>
      </c>
      <c r="J651" s="45" t="n">
        <f aca="false">K651/L651</f>
        <v>0.128205128205128</v>
      </c>
      <c r="K651" s="38" t="n">
        <f aca="false">F651+H651</f>
        <v>5</v>
      </c>
      <c r="L651" s="38" t="n">
        <f aca="false">G651+4*H651</f>
        <v>39</v>
      </c>
      <c r="M651" s="38" t="s">
        <v>619</v>
      </c>
      <c r="N651" s="38" t="n">
        <f aca="false">ROUND(SUMIFS($J$2:$J$1137,$A$2:$A$1137,A651,$C$2:$C$1137,C651),9)</f>
        <v>1</v>
      </c>
    </row>
    <row r="652" customFormat="false" ht="15" hidden="false" customHeight="true" outlineLevel="0" collapsed="false">
      <c r="A652" s="38" t="n">
        <v>41</v>
      </c>
      <c r="B652" s="38" t="s">
        <v>659</v>
      </c>
      <c r="C652" s="38" t="s">
        <v>169</v>
      </c>
      <c r="D652" s="38" t="s">
        <v>169</v>
      </c>
      <c r="E652" s="38" t="str">
        <f aca="false">A652&amp;"|"&amp;C652&amp;"|"&amp;D652</f>
        <v>41|G|G</v>
      </c>
      <c r="F652" s="43" t="n">
        <v>10</v>
      </c>
      <c r="G652" s="38" t="n">
        <f aca="false">SUMIFS($F$2:$F$1137,$A$2:$A$1137,A652,$C$2:$C$1137,C652)</f>
        <v>35</v>
      </c>
      <c r="H652" s="43" t="n">
        <v>1</v>
      </c>
      <c r="I652" s="45" t="n">
        <f aca="false">IF(G652=0,"",F652/G652)</f>
        <v>0.285714285714286</v>
      </c>
      <c r="J652" s="45" t="n">
        <f aca="false">K652/L652</f>
        <v>0.282051282051282</v>
      </c>
      <c r="K652" s="38" t="n">
        <f aca="false">F652+H652</f>
        <v>11</v>
      </c>
      <c r="L652" s="38" t="n">
        <f aca="false">G652+4*H652</f>
        <v>39</v>
      </c>
      <c r="M652" s="38" t="s">
        <v>619</v>
      </c>
      <c r="N652" s="38" t="n">
        <f aca="false">ROUND(SUMIFS($J$2:$J$1137,$A$2:$A$1137,A652,$C$2:$C$1137,C652),9)</f>
        <v>1</v>
      </c>
    </row>
    <row r="653" customFormat="false" ht="15" hidden="false" customHeight="true" outlineLevel="0" collapsed="false">
      <c r="A653" s="38" t="n">
        <v>41</v>
      </c>
      <c r="B653" s="38" t="s">
        <v>659</v>
      </c>
      <c r="C653" s="38" t="s">
        <v>169</v>
      </c>
      <c r="D653" s="38" t="s">
        <v>171</v>
      </c>
      <c r="E653" s="38" t="str">
        <f aca="false">A653&amp;"|"&amp;C653&amp;"|"&amp;D653</f>
        <v>41|G|U</v>
      </c>
      <c r="F653" s="43" t="n">
        <v>10</v>
      </c>
      <c r="G653" s="38" t="n">
        <f aca="false">SUMIFS($F$2:$F$1137,$A$2:$A$1137,A653,$C$2:$C$1137,C653)</f>
        <v>35</v>
      </c>
      <c r="H653" s="43" t="n">
        <v>1</v>
      </c>
      <c r="I653" s="45" t="n">
        <f aca="false">IF(G653=0,"",F653/G653)</f>
        <v>0.285714285714286</v>
      </c>
      <c r="J653" s="45" t="n">
        <f aca="false">K653/L653</f>
        <v>0.282051282051282</v>
      </c>
      <c r="K653" s="38" t="n">
        <f aca="false">F653+H653</f>
        <v>11</v>
      </c>
      <c r="L653" s="38" t="n">
        <f aca="false">G653+4*H653</f>
        <v>39</v>
      </c>
      <c r="M653" s="38" t="s">
        <v>619</v>
      </c>
      <c r="N653" s="38" t="n">
        <f aca="false">ROUND(SUMIFS($J$2:$J$1137,$A$2:$A$1137,A653,$C$2:$C$1137,C653),9)</f>
        <v>1</v>
      </c>
    </row>
    <row r="654" customFormat="false" ht="15" hidden="false" customHeight="true" outlineLevel="0" collapsed="false">
      <c r="A654" s="38" t="n">
        <v>41</v>
      </c>
      <c r="B654" s="38" t="s">
        <v>659</v>
      </c>
      <c r="C654" s="38" t="s">
        <v>171</v>
      </c>
      <c r="D654" s="38" t="s">
        <v>172</v>
      </c>
      <c r="E654" s="38" t="str">
        <f aca="false">A654&amp;"|"&amp;C654&amp;"|"&amp;D654</f>
        <v>41|U|A</v>
      </c>
      <c r="F654" s="43" t="n">
        <v>7</v>
      </c>
      <c r="G654" s="38" t="n">
        <f aca="false">SUMIFS($F$2:$F$1137,$A$2:$A$1137,A654,$C$2:$C$1137,C654)</f>
        <v>33</v>
      </c>
      <c r="H654" s="43" t="n">
        <v>1</v>
      </c>
      <c r="I654" s="45" t="n">
        <f aca="false">IF(G654=0,"",F654/G654)</f>
        <v>0.212121212121212</v>
      </c>
      <c r="J654" s="45" t="n">
        <f aca="false">K654/L654</f>
        <v>0.216216216216216</v>
      </c>
      <c r="K654" s="38" t="n">
        <f aca="false">F654+H654</f>
        <v>8</v>
      </c>
      <c r="L654" s="38" t="n">
        <f aca="false">G654+4*H654</f>
        <v>37</v>
      </c>
      <c r="M654" s="38" t="s">
        <v>619</v>
      </c>
      <c r="N654" s="38" t="n">
        <f aca="false">ROUND(SUMIFS($J$2:$J$1137,$A$2:$A$1137,A654,$C$2:$C$1137,C654),9)</f>
        <v>1</v>
      </c>
    </row>
    <row r="655" customFormat="false" ht="15" hidden="false" customHeight="true" outlineLevel="0" collapsed="false">
      <c r="A655" s="38" t="n">
        <v>41</v>
      </c>
      <c r="B655" s="38" t="s">
        <v>659</v>
      </c>
      <c r="C655" s="38" t="s">
        <v>171</v>
      </c>
      <c r="D655" s="38" t="s">
        <v>170</v>
      </c>
      <c r="E655" s="38" t="str">
        <f aca="false">A655&amp;"|"&amp;C655&amp;"|"&amp;D655</f>
        <v>41|U|C</v>
      </c>
      <c r="F655" s="43" t="n">
        <v>5</v>
      </c>
      <c r="G655" s="38" t="n">
        <f aca="false">SUMIFS($F$2:$F$1137,$A$2:$A$1137,A655,$C$2:$C$1137,C655)</f>
        <v>33</v>
      </c>
      <c r="H655" s="43" t="n">
        <v>1</v>
      </c>
      <c r="I655" s="45" t="n">
        <f aca="false">IF(G655=0,"",F655/G655)</f>
        <v>0.151515151515152</v>
      </c>
      <c r="J655" s="45" t="n">
        <f aca="false">K655/L655</f>
        <v>0.162162162162162</v>
      </c>
      <c r="K655" s="38" t="n">
        <f aca="false">F655+H655</f>
        <v>6</v>
      </c>
      <c r="L655" s="38" t="n">
        <f aca="false">G655+4*H655</f>
        <v>37</v>
      </c>
      <c r="M655" s="38" t="s">
        <v>619</v>
      </c>
      <c r="N655" s="38" t="n">
        <f aca="false">ROUND(SUMIFS($J$2:$J$1137,$A$2:$A$1137,A655,$C$2:$C$1137,C655),9)</f>
        <v>1</v>
      </c>
    </row>
    <row r="656" customFormat="false" ht="15" hidden="false" customHeight="true" outlineLevel="0" collapsed="false">
      <c r="A656" s="38" t="n">
        <v>41</v>
      </c>
      <c r="B656" s="38" t="s">
        <v>659</v>
      </c>
      <c r="C656" s="38" t="s">
        <v>171</v>
      </c>
      <c r="D656" s="38" t="s">
        <v>169</v>
      </c>
      <c r="E656" s="38" t="str">
        <f aca="false">A656&amp;"|"&amp;C656&amp;"|"&amp;D656</f>
        <v>41|U|G</v>
      </c>
      <c r="F656" s="43" t="n">
        <v>18</v>
      </c>
      <c r="G656" s="38" t="n">
        <f aca="false">SUMIFS($F$2:$F$1137,$A$2:$A$1137,A656,$C$2:$C$1137,C656)</f>
        <v>33</v>
      </c>
      <c r="H656" s="43" t="n">
        <v>1</v>
      </c>
      <c r="I656" s="45" t="n">
        <f aca="false">IF(G656=0,"",F656/G656)</f>
        <v>0.545454545454545</v>
      </c>
      <c r="J656" s="45" t="n">
        <f aca="false">K656/L656</f>
        <v>0.513513513513514</v>
      </c>
      <c r="K656" s="38" t="n">
        <f aca="false">F656+H656</f>
        <v>19</v>
      </c>
      <c r="L656" s="38" t="n">
        <f aca="false">G656+4*H656</f>
        <v>37</v>
      </c>
      <c r="M656" s="38" t="s">
        <v>619</v>
      </c>
      <c r="N656" s="38" t="n">
        <f aca="false">ROUND(SUMIFS($J$2:$J$1137,$A$2:$A$1137,A656,$C$2:$C$1137,C656),9)</f>
        <v>1</v>
      </c>
    </row>
    <row r="657" customFormat="false" ht="15" hidden="false" customHeight="true" outlineLevel="0" collapsed="false">
      <c r="A657" s="38" t="n">
        <v>41</v>
      </c>
      <c r="B657" s="38" t="s">
        <v>659</v>
      </c>
      <c r="C657" s="38" t="s">
        <v>171</v>
      </c>
      <c r="D657" s="38" t="s">
        <v>171</v>
      </c>
      <c r="E657" s="38" t="str">
        <f aca="false">A657&amp;"|"&amp;C657&amp;"|"&amp;D657</f>
        <v>41|U|U</v>
      </c>
      <c r="F657" s="43" t="n">
        <v>3</v>
      </c>
      <c r="G657" s="38" t="n">
        <f aca="false">SUMIFS($F$2:$F$1137,$A$2:$A$1137,A657,$C$2:$C$1137,C657)</f>
        <v>33</v>
      </c>
      <c r="H657" s="43" t="n">
        <v>1</v>
      </c>
      <c r="I657" s="45" t="n">
        <f aca="false">IF(G657=0,"",F657/G657)</f>
        <v>0.0909090909090909</v>
      </c>
      <c r="J657" s="45" t="n">
        <f aca="false">K657/L657</f>
        <v>0.108108108108108</v>
      </c>
      <c r="K657" s="38" t="n">
        <f aca="false">F657+H657</f>
        <v>4</v>
      </c>
      <c r="L657" s="38" t="n">
        <f aca="false">G657+4*H657</f>
        <v>37</v>
      </c>
      <c r="M657" s="38" t="s">
        <v>619</v>
      </c>
      <c r="N657" s="38" t="n">
        <f aca="false">ROUND(SUMIFS($J$2:$J$1137,$A$2:$A$1137,A657,$C$2:$C$1137,C657),9)</f>
        <v>1</v>
      </c>
    </row>
    <row r="658" customFormat="false" ht="15" hidden="false" customHeight="true" outlineLevel="0" collapsed="false">
      <c r="A658" s="38" t="n">
        <v>42</v>
      </c>
      <c r="B658" s="38" t="s">
        <v>660</v>
      </c>
      <c r="C658" s="38" t="s">
        <v>172</v>
      </c>
      <c r="D658" s="38" t="s">
        <v>172</v>
      </c>
      <c r="E658" s="38" t="str">
        <f aca="false">A658&amp;"|"&amp;C658&amp;"|"&amp;D658</f>
        <v>42|A|A</v>
      </c>
      <c r="F658" s="43" t="n">
        <v>13</v>
      </c>
      <c r="G658" s="38" t="n">
        <f aca="false">SUMIFS($F$2:$F$1137,$A$2:$A$1137,A658,$C$2:$C$1137,C658)</f>
        <v>48</v>
      </c>
      <c r="H658" s="43" t="n">
        <v>1</v>
      </c>
      <c r="I658" s="45" t="n">
        <f aca="false">IF(G658=0,"",F658/G658)</f>
        <v>0.270833333333333</v>
      </c>
      <c r="J658" s="45" t="n">
        <f aca="false">K658/L658</f>
        <v>0.269230769230769</v>
      </c>
      <c r="K658" s="38" t="n">
        <f aca="false">F658+H658</f>
        <v>14</v>
      </c>
      <c r="L658" s="38" t="n">
        <f aca="false">G658+4*H658</f>
        <v>52</v>
      </c>
      <c r="M658" s="38" t="s">
        <v>619</v>
      </c>
      <c r="N658" s="38" t="n">
        <f aca="false">ROUND(SUMIFS($J$2:$J$1137,$A$2:$A$1137,A658,$C$2:$C$1137,C658),9)</f>
        <v>1</v>
      </c>
    </row>
    <row r="659" customFormat="false" ht="15" hidden="false" customHeight="true" outlineLevel="0" collapsed="false">
      <c r="A659" s="38" t="n">
        <v>42</v>
      </c>
      <c r="B659" s="38" t="s">
        <v>660</v>
      </c>
      <c r="C659" s="38" t="s">
        <v>172</v>
      </c>
      <c r="D659" s="38" t="s">
        <v>170</v>
      </c>
      <c r="E659" s="38" t="str">
        <f aca="false">A659&amp;"|"&amp;C659&amp;"|"&amp;D659</f>
        <v>42|A|C</v>
      </c>
      <c r="F659" s="43" t="n">
        <v>0</v>
      </c>
      <c r="G659" s="38" t="n">
        <f aca="false">SUMIFS($F$2:$F$1137,$A$2:$A$1137,A659,$C$2:$C$1137,C659)</f>
        <v>48</v>
      </c>
      <c r="H659" s="43" t="n">
        <v>1</v>
      </c>
      <c r="I659" s="45" t="n">
        <f aca="false">IF(G659=0,"",F659/G659)</f>
        <v>0</v>
      </c>
      <c r="J659" s="45" t="n">
        <f aca="false">K659/L659</f>
        <v>0.0192307692307692</v>
      </c>
      <c r="K659" s="38" t="n">
        <f aca="false">F659+H659</f>
        <v>1</v>
      </c>
      <c r="L659" s="38" t="n">
        <f aca="false">G659+4*H659</f>
        <v>52</v>
      </c>
      <c r="M659" s="38" t="s">
        <v>619</v>
      </c>
      <c r="N659" s="38" t="n">
        <f aca="false">ROUND(SUMIFS($J$2:$J$1137,$A$2:$A$1137,A659,$C$2:$C$1137,C659),9)</f>
        <v>1</v>
      </c>
    </row>
    <row r="660" customFormat="false" ht="15" hidden="false" customHeight="true" outlineLevel="0" collapsed="false">
      <c r="A660" s="38" t="n">
        <v>42</v>
      </c>
      <c r="B660" s="38" t="s">
        <v>660</v>
      </c>
      <c r="C660" s="38" t="s">
        <v>172</v>
      </c>
      <c r="D660" s="38" t="s">
        <v>169</v>
      </c>
      <c r="E660" s="38" t="str">
        <f aca="false">A660&amp;"|"&amp;C660&amp;"|"&amp;D660</f>
        <v>42|A|G</v>
      </c>
      <c r="F660" s="43" t="n">
        <v>30</v>
      </c>
      <c r="G660" s="38" t="n">
        <f aca="false">SUMIFS($F$2:$F$1137,$A$2:$A$1137,A660,$C$2:$C$1137,C660)</f>
        <v>48</v>
      </c>
      <c r="H660" s="43" t="n">
        <v>1</v>
      </c>
      <c r="I660" s="45" t="n">
        <f aca="false">IF(G660=0,"",F660/G660)</f>
        <v>0.625</v>
      </c>
      <c r="J660" s="45" t="n">
        <f aca="false">K660/L660</f>
        <v>0.596153846153846</v>
      </c>
      <c r="K660" s="38" t="n">
        <f aca="false">F660+H660</f>
        <v>31</v>
      </c>
      <c r="L660" s="38" t="n">
        <f aca="false">G660+4*H660</f>
        <v>52</v>
      </c>
      <c r="M660" s="38" t="s">
        <v>619</v>
      </c>
      <c r="N660" s="38" t="n">
        <f aca="false">ROUND(SUMIFS($J$2:$J$1137,$A$2:$A$1137,A660,$C$2:$C$1137,C660),9)</f>
        <v>1</v>
      </c>
    </row>
    <row r="661" customFormat="false" ht="15" hidden="false" customHeight="true" outlineLevel="0" collapsed="false">
      <c r="A661" s="38" t="n">
        <v>42</v>
      </c>
      <c r="B661" s="38" t="s">
        <v>660</v>
      </c>
      <c r="C661" s="38" t="s">
        <v>172</v>
      </c>
      <c r="D661" s="38" t="s">
        <v>171</v>
      </c>
      <c r="E661" s="38" t="str">
        <f aca="false">A661&amp;"|"&amp;C661&amp;"|"&amp;D661</f>
        <v>42|A|U</v>
      </c>
      <c r="F661" s="43" t="n">
        <v>5</v>
      </c>
      <c r="G661" s="38" t="n">
        <f aca="false">SUMIFS($F$2:$F$1137,$A$2:$A$1137,A661,$C$2:$C$1137,C661)</f>
        <v>48</v>
      </c>
      <c r="H661" s="43" t="n">
        <v>1</v>
      </c>
      <c r="I661" s="45" t="n">
        <f aca="false">IF(G661=0,"",F661/G661)</f>
        <v>0.104166666666667</v>
      </c>
      <c r="J661" s="45" t="n">
        <f aca="false">K661/L661</f>
        <v>0.115384615384615</v>
      </c>
      <c r="K661" s="38" t="n">
        <f aca="false">F661+H661</f>
        <v>6</v>
      </c>
      <c r="L661" s="38" t="n">
        <f aca="false">G661+4*H661</f>
        <v>52</v>
      </c>
      <c r="M661" s="38" t="s">
        <v>619</v>
      </c>
      <c r="N661" s="38" t="n">
        <f aca="false">ROUND(SUMIFS($J$2:$J$1137,$A$2:$A$1137,A661,$C$2:$C$1137,C661),9)</f>
        <v>1</v>
      </c>
    </row>
    <row r="662" customFormat="false" ht="15" hidden="false" customHeight="true" outlineLevel="0" collapsed="false">
      <c r="A662" s="38" t="n">
        <v>42</v>
      </c>
      <c r="B662" s="38" t="s">
        <v>660</v>
      </c>
      <c r="C662" s="38" t="s">
        <v>170</v>
      </c>
      <c r="D662" s="38" t="s">
        <v>172</v>
      </c>
      <c r="E662" s="38" t="str">
        <f aca="false">A662&amp;"|"&amp;C662&amp;"|"&amp;D662</f>
        <v>42|C|A</v>
      </c>
      <c r="F662" s="43" t="n">
        <v>5</v>
      </c>
      <c r="G662" s="38" t="n">
        <f aca="false">SUMIFS($F$2:$F$1137,$A$2:$A$1137,A662,$C$2:$C$1137,C662)</f>
        <v>20</v>
      </c>
      <c r="H662" s="43" t="n">
        <v>1</v>
      </c>
      <c r="I662" s="45" t="n">
        <f aca="false">IF(G662=0,"",F662/G662)</f>
        <v>0.25</v>
      </c>
      <c r="J662" s="45" t="n">
        <f aca="false">K662/L662</f>
        <v>0.25</v>
      </c>
      <c r="K662" s="38" t="n">
        <f aca="false">F662+H662</f>
        <v>6</v>
      </c>
      <c r="L662" s="38" t="n">
        <f aca="false">G662+4*H662</f>
        <v>24</v>
      </c>
      <c r="M662" s="38" t="s">
        <v>619</v>
      </c>
      <c r="N662" s="38" t="n">
        <f aca="false">ROUND(SUMIFS($J$2:$J$1137,$A$2:$A$1137,A662,$C$2:$C$1137,C662),9)</f>
        <v>1</v>
      </c>
    </row>
    <row r="663" customFormat="false" ht="15" hidden="false" customHeight="true" outlineLevel="0" collapsed="false">
      <c r="A663" s="38" t="n">
        <v>42</v>
      </c>
      <c r="B663" s="38" t="s">
        <v>660</v>
      </c>
      <c r="C663" s="38" t="s">
        <v>170</v>
      </c>
      <c r="D663" s="38" t="s">
        <v>170</v>
      </c>
      <c r="E663" s="38" t="str">
        <f aca="false">A663&amp;"|"&amp;C663&amp;"|"&amp;D663</f>
        <v>42|C|C</v>
      </c>
      <c r="F663" s="43" t="n">
        <v>2</v>
      </c>
      <c r="G663" s="38" t="n">
        <f aca="false">SUMIFS($F$2:$F$1137,$A$2:$A$1137,A663,$C$2:$C$1137,C663)</f>
        <v>20</v>
      </c>
      <c r="H663" s="43" t="n">
        <v>1</v>
      </c>
      <c r="I663" s="45" t="n">
        <f aca="false">IF(G663=0,"",F663/G663)</f>
        <v>0.1</v>
      </c>
      <c r="J663" s="45" t="n">
        <f aca="false">K663/L663</f>
        <v>0.125</v>
      </c>
      <c r="K663" s="38" t="n">
        <f aca="false">F663+H663</f>
        <v>3</v>
      </c>
      <c r="L663" s="38" t="n">
        <f aca="false">G663+4*H663</f>
        <v>24</v>
      </c>
      <c r="M663" s="38" t="s">
        <v>619</v>
      </c>
      <c r="N663" s="38" t="n">
        <f aca="false">ROUND(SUMIFS($J$2:$J$1137,$A$2:$A$1137,A663,$C$2:$C$1137,C663),9)</f>
        <v>1</v>
      </c>
    </row>
    <row r="664" customFormat="false" ht="15" hidden="false" customHeight="true" outlineLevel="0" collapsed="false">
      <c r="A664" s="38" t="n">
        <v>42</v>
      </c>
      <c r="B664" s="38" t="s">
        <v>660</v>
      </c>
      <c r="C664" s="38" t="s">
        <v>170</v>
      </c>
      <c r="D664" s="38" t="s">
        <v>169</v>
      </c>
      <c r="E664" s="38" t="str">
        <f aca="false">A664&amp;"|"&amp;C664&amp;"|"&amp;D664</f>
        <v>42|C|G</v>
      </c>
      <c r="F664" s="43" t="n">
        <v>9</v>
      </c>
      <c r="G664" s="38" t="n">
        <f aca="false">SUMIFS($F$2:$F$1137,$A$2:$A$1137,A664,$C$2:$C$1137,C664)</f>
        <v>20</v>
      </c>
      <c r="H664" s="43" t="n">
        <v>1</v>
      </c>
      <c r="I664" s="45" t="n">
        <f aca="false">IF(G664=0,"",F664/G664)</f>
        <v>0.45</v>
      </c>
      <c r="J664" s="45" t="n">
        <f aca="false">K664/L664</f>
        <v>0.416666666666667</v>
      </c>
      <c r="K664" s="38" t="n">
        <f aca="false">F664+H664</f>
        <v>10</v>
      </c>
      <c r="L664" s="38" t="n">
        <f aca="false">G664+4*H664</f>
        <v>24</v>
      </c>
      <c r="M664" s="38" t="s">
        <v>619</v>
      </c>
      <c r="N664" s="38" t="n">
        <f aca="false">ROUND(SUMIFS($J$2:$J$1137,$A$2:$A$1137,A664,$C$2:$C$1137,C664),9)</f>
        <v>1</v>
      </c>
    </row>
    <row r="665" customFormat="false" ht="15" hidden="false" customHeight="true" outlineLevel="0" collapsed="false">
      <c r="A665" s="38" t="n">
        <v>42</v>
      </c>
      <c r="B665" s="38" t="s">
        <v>660</v>
      </c>
      <c r="C665" s="38" t="s">
        <v>170</v>
      </c>
      <c r="D665" s="38" t="s">
        <v>171</v>
      </c>
      <c r="E665" s="38" t="str">
        <f aca="false">A665&amp;"|"&amp;C665&amp;"|"&amp;D665</f>
        <v>42|C|U</v>
      </c>
      <c r="F665" s="43" t="n">
        <v>4</v>
      </c>
      <c r="G665" s="38" t="n">
        <f aca="false">SUMIFS($F$2:$F$1137,$A$2:$A$1137,A665,$C$2:$C$1137,C665)</f>
        <v>20</v>
      </c>
      <c r="H665" s="43" t="n">
        <v>1</v>
      </c>
      <c r="I665" s="45" t="n">
        <f aca="false">IF(G665=0,"",F665/G665)</f>
        <v>0.2</v>
      </c>
      <c r="J665" s="45" t="n">
        <f aca="false">K665/L665</f>
        <v>0.208333333333333</v>
      </c>
      <c r="K665" s="38" t="n">
        <f aca="false">F665+H665</f>
        <v>5</v>
      </c>
      <c r="L665" s="38" t="n">
        <f aca="false">G665+4*H665</f>
        <v>24</v>
      </c>
      <c r="M665" s="38" t="s">
        <v>619</v>
      </c>
      <c r="N665" s="38" t="n">
        <f aca="false">ROUND(SUMIFS($J$2:$J$1137,$A$2:$A$1137,A665,$C$2:$C$1137,C665),9)</f>
        <v>1</v>
      </c>
    </row>
    <row r="666" customFormat="false" ht="15" hidden="false" customHeight="true" outlineLevel="0" collapsed="false">
      <c r="A666" s="38" t="n">
        <v>42</v>
      </c>
      <c r="B666" s="38" t="s">
        <v>660</v>
      </c>
      <c r="C666" s="38" t="s">
        <v>169</v>
      </c>
      <c r="D666" s="38" t="s">
        <v>172</v>
      </c>
      <c r="E666" s="38" t="str">
        <f aca="false">A666&amp;"|"&amp;C666&amp;"|"&amp;D666</f>
        <v>42|G|A</v>
      </c>
      <c r="F666" s="43" t="n">
        <v>25</v>
      </c>
      <c r="G666" s="38" t="n">
        <f aca="false">SUMIFS($F$2:$F$1137,$A$2:$A$1137,A666,$C$2:$C$1137,C666)</f>
        <v>105</v>
      </c>
      <c r="H666" s="43" t="n">
        <v>1</v>
      </c>
      <c r="I666" s="45" t="n">
        <f aca="false">IF(G666=0,"",F666/G666)</f>
        <v>0.238095238095238</v>
      </c>
      <c r="J666" s="45" t="n">
        <f aca="false">K666/L666</f>
        <v>0.238532110091743</v>
      </c>
      <c r="K666" s="38" t="n">
        <f aca="false">F666+H666</f>
        <v>26</v>
      </c>
      <c r="L666" s="38" t="n">
        <f aca="false">G666+4*H666</f>
        <v>109</v>
      </c>
      <c r="M666" s="38" t="s">
        <v>619</v>
      </c>
      <c r="N666" s="38" t="n">
        <f aca="false">ROUND(SUMIFS($J$2:$J$1137,$A$2:$A$1137,A666,$C$2:$C$1137,C666),9)</f>
        <v>1</v>
      </c>
    </row>
    <row r="667" customFormat="false" ht="15" hidden="false" customHeight="true" outlineLevel="0" collapsed="false">
      <c r="A667" s="38" t="n">
        <v>42</v>
      </c>
      <c r="B667" s="38" t="s">
        <v>660</v>
      </c>
      <c r="C667" s="38" t="s">
        <v>169</v>
      </c>
      <c r="D667" s="38" t="s">
        <v>170</v>
      </c>
      <c r="E667" s="38" t="str">
        <f aca="false">A667&amp;"|"&amp;C667&amp;"|"&amp;D667</f>
        <v>42|G|C</v>
      </c>
      <c r="F667" s="43" t="n">
        <v>18</v>
      </c>
      <c r="G667" s="38" t="n">
        <f aca="false">SUMIFS($F$2:$F$1137,$A$2:$A$1137,A667,$C$2:$C$1137,C667)</f>
        <v>105</v>
      </c>
      <c r="H667" s="43" t="n">
        <v>1</v>
      </c>
      <c r="I667" s="45" t="n">
        <f aca="false">IF(G667=0,"",F667/G667)</f>
        <v>0.171428571428571</v>
      </c>
      <c r="J667" s="45" t="n">
        <f aca="false">K667/L667</f>
        <v>0.174311926605505</v>
      </c>
      <c r="K667" s="38" t="n">
        <f aca="false">F667+H667</f>
        <v>19</v>
      </c>
      <c r="L667" s="38" t="n">
        <f aca="false">G667+4*H667</f>
        <v>109</v>
      </c>
      <c r="M667" s="38" t="s">
        <v>619</v>
      </c>
      <c r="N667" s="38" t="n">
        <f aca="false">ROUND(SUMIFS($J$2:$J$1137,$A$2:$A$1137,A667,$C$2:$C$1137,C667),9)</f>
        <v>1</v>
      </c>
    </row>
    <row r="668" customFormat="false" ht="15" hidden="false" customHeight="true" outlineLevel="0" collapsed="false">
      <c r="A668" s="38" t="n">
        <v>42</v>
      </c>
      <c r="B668" s="38" t="s">
        <v>660</v>
      </c>
      <c r="C668" s="38" t="s">
        <v>169</v>
      </c>
      <c r="D668" s="38" t="s">
        <v>169</v>
      </c>
      <c r="E668" s="38" t="str">
        <f aca="false">A668&amp;"|"&amp;C668&amp;"|"&amp;D668</f>
        <v>42|G|G</v>
      </c>
      <c r="F668" s="43" t="n">
        <v>42</v>
      </c>
      <c r="G668" s="38" t="n">
        <f aca="false">SUMIFS($F$2:$F$1137,$A$2:$A$1137,A668,$C$2:$C$1137,C668)</f>
        <v>105</v>
      </c>
      <c r="H668" s="43" t="n">
        <v>1</v>
      </c>
      <c r="I668" s="45" t="n">
        <f aca="false">IF(G668=0,"",F668/G668)</f>
        <v>0.4</v>
      </c>
      <c r="J668" s="45" t="n">
        <f aca="false">K668/L668</f>
        <v>0.394495412844037</v>
      </c>
      <c r="K668" s="38" t="n">
        <f aca="false">F668+H668</f>
        <v>43</v>
      </c>
      <c r="L668" s="38" t="n">
        <f aca="false">G668+4*H668</f>
        <v>109</v>
      </c>
      <c r="M668" s="38" t="s">
        <v>619</v>
      </c>
      <c r="N668" s="38" t="n">
        <f aca="false">ROUND(SUMIFS($J$2:$J$1137,$A$2:$A$1137,A668,$C$2:$C$1137,C668),9)</f>
        <v>1</v>
      </c>
    </row>
    <row r="669" customFormat="false" ht="15" hidden="false" customHeight="true" outlineLevel="0" collapsed="false">
      <c r="A669" s="38" t="n">
        <v>42</v>
      </c>
      <c r="B669" s="38" t="s">
        <v>660</v>
      </c>
      <c r="C669" s="38" t="s">
        <v>169</v>
      </c>
      <c r="D669" s="38" t="s">
        <v>171</v>
      </c>
      <c r="E669" s="38" t="str">
        <f aca="false">A669&amp;"|"&amp;C669&amp;"|"&amp;D669</f>
        <v>42|G|U</v>
      </c>
      <c r="F669" s="43" t="n">
        <v>20</v>
      </c>
      <c r="G669" s="38" t="n">
        <f aca="false">SUMIFS($F$2:$F$1137,$A$2:$A$1137,A669,$C$2:$C$1137,C669)</f>
        <v>105</v>
      </c>
      <c r="H669" s="43" t="n">
        <v>1</v>
      </c>
      <c r="I669" s="45" t="n">
        <f aca="false">IF(G669=0,"",F669/G669)</f>
        <v>0.19047619047619</v>
      </c>
      <c r="J669" s="45" t="n">
        <f aca="false">K669/L669</f>
        <v>0.192660550458716</v>
      </c>
      <c r="K669" s="38" t="n">
        <f aca="false">F669+H669</f>
        <v>21</v>
      </c>
      <c r="L669" s="38" t="n">
        <f aca="false">G669+4*H669</f>
        <v>109</v>
      </c>
      <c r="M669" s="38" t="s">
        <v>619</v>
      </c>
      <c r="N669" s="38" t="n">
        <f aca="false">ROUND(SUMIFS($J$2:$J$1137,$A$2:$A$1137,A669,$C$2:$C$1137,C669),9)</f>
        <v>1</v>
      </c>
    </row>
    <row r="670" customFormat="false" ht="15" hidden="false" customHeight="true" outlineLevel="0" collapsed="false">
      <c r="A670" s="38" t="n">
        <v>42</v>
      </c>
      <c r="B670" s="38" t="s">
        <v>660</v>
      </c>
      <c r="C670" s="38" t="s">
        <v>171</v>
      </c>
      <c r="D670" s="38" t="s">
        <v>172</v>
      </c>
      <c r="E670" s="38" t="str">
        <f aca="false">A670&amp;"|"&amp;C670&amp;"|"&amp;D670</f>
        <v>42|U|A</v>
      </c>
      <c r="F670" s="43" t="n">
        <v>2</v>
      </c>
      <c r="G670" s="38" t="n">
        <f aca="false">SUMIFS($F$2:$F$1137,$A$2:$A$1137,A670,$C$2:$C$1137,C670)</f>
        <v>26</v>
      </c>
      <c r="H670" s="43" t="n">
        <v>1</v>
      </c>
      <c r="I670" s="45" t="n">
        <f aca="false">IF(G670=0,"",F670/G670)</f>
        <v>0.0769230769230769</v>
      </c>
      <c r="J670" s="45" t="n">
        <f aca="false">K670/L670</f>
        <v>0.1</v>
      </c>
      <c r="K670" s="38" t="n">
        <f aca="false">F670+H670</f>
        <v>3</v>
      </c>
      <c r="L670" s="38" t="n">
        <f aca="false">G670+4*H670</f>
        <v>30</v>
      </c>
      <c r="M670" s="38" t="s">
        <v>619</v>
      </c>
      <c r="N670" s="38" t="n">
        <f aca="false">ROUND(SUMIFS($J$2:$J$1137,$A$2:$A$1137,A670,$C$2:$C$1137,C670),9)</f>
        <v>1</v>
      </c>
    </row>
    <row r="671" customFormat="false" ht="15" hidden="false" customHeight="true" outlineLevel="0" collapsed="false">
      <c r="A671" s="38" t="n">
        <v>42</v>
      </c>
      <c r="B671" s="38" t="s">
        <v>660</v>
      </c>
      <c r="C671" s="38" t="s">
        <v>171</v>
      </c>
      <c r="D671" s="38" t="s">
        <v>170</v>
      </c>
      <c r="E671" s="38" t="str">
        <f aca="false">A671&amp;"|"&amp;C671&amp;"|"&amp;D671</f>
        <v>42|U|C</v>
      </c>
      <c r="F671" s="43" t="n">
        <v>3</v>
      </c>
      <c r="G671" s="38" t="n">
        <f aca="false">SUMIFS($F$2:$F$1137,$A$2:$A$1137,A671,$C$2:$C$1137,C671)</f>
        <v>26</v>
      </c>
      <c r="H671" s="43" t="n">
        <v>1</v>
      </c>
      <c r="I671" s="45" t="n">
        <f aca="false">IF(G671=0,"",F671/G671)</f>
        <v>0.115384615384615</v>
      </c>
      <c r="J671" s="45" t="n">
        <f aca="false">K671/L671</f>
        <v>0.133333333333333</v>
      </c>
      <c r="K671" s="38" t="n">
        <f aca="false">F671+H671</f>
        <v>4</v>
      </c>
      <c r="L671" s="38" t="n">
        <f aca="false">G671+4*H671</f>
        <v>30</v>
      </c>
      <c r="M671" s="38" t="s">
        <v>619</v>
      </c>
      <c r="N671" s="38" t="n">
        <f aca="false">ROUND(SUMIFS($J$2:$J$1137,$A$2:$A$1137,A671,$C$2:$C$1137,C671),9)</f>
        <v>1</v>
      </c>
    </row>
    <row r="672" customFormat="false" ht="15" hidden="false" customHeight="true" outlineLevel="0" collapsed="false">
      <c r="A672" s="38" t="n">
        <v>42</v>
      </c>
      <c r="B672" s="38" t="s">
        <v>660</v>
      </c>
      <c r="C672" s="38" t="s">
        <v>171</v>
      </c>
      <c r="D672" s="38" t="s">
        <v>169</v>
      </c>
      <c r="E672" s="38" t="str">
        <f aca="false">A672&amp;"|"&amp;C672&amp;"|"&amp;D672</f>
        <v>42|U|G</v>
      </c>
      <c r="F672" s="43" t="n">
        <v>18</v>
      </c>
      <c r="G672" s="38" t="n">
        <f aca="false">SUMIFS($F$2:$F$1137,$A$2:$A$1137,A672,$C$2:$C$1137,C672)</f>
        <v>26</v>
      </c>
      <c r="H672" s="43" t="n">
        <v>1</v>
      </c>
      <c r="I672" s="45" t="n">
        <f aca="false">IF(G672=0,"",F672/G672)</f>
        <v>0.692307692307692</v>
      </c>
      <c r="J672" s="45" t="n">
        <f aca="false">K672/L672</f>
        <v>0.633333333333333</v>
      </c>
      <c r="K672" s="38" t="n">
        <f aca="false">F672+H672</f>
        <v>19</v>
      </c>
      <c r="L672" s="38" t="n">
        <f aca="false">G672+4*H672</f>
        <v>30</v>
      </c>
      <c r="M672" s="38" t="s">
        <v>619</v>
      </c>
      <c r="N672" s="38" t="n">
        <f aca="false">ROUND(SUMIFS($J$2:$J$1137,$A$2:$A$1137,A672,$C$2:$C$1137,C672),9)</f>
        <v>1</v>
      </c>
    </row>
    <row r="673" customFormat="false" ht="15" hidden="false" customHeight="true" outlineLevel="0" collapsed="false">
      <c r="A673" s="38" t="n">
        <v>42</v>
      </c>
      <c r="B673" s="38" t="s">
        <v>660</v>
      </c>
      <c r="C673" s="38" t="s">
        <v>171</v>
      </c>
      <c r="D673" s="38" t="s">
        <v>171</v>
      </c>
      <c r="E673" s="38" t="str">
        <f aca="false">A673&amp;"|"&amp;C673&amp;"|"&amp;D673</f>
        <v>42|U|U</v>
      </c>
      <c r="F673" s="43" t="n">
        <v>3</v>
      </c>
      <c r="G673" s="38" t="n">
        <f aca="false">SUMIFS($F$2:$F$1137,$A$2:$A$1137,A673,$C$2:$C$1137,C673)</f>
        <v>26</v>
      </c>
      <c r="H673" s="43" t="n">
        <v>1</v>
      </c>
      <c r="I673" s="45" t="n">
        <f aca="false">IF(G673=0,"",F673/G673)</f>
        <v>0.115384615384615</v>
      </c>
      <c r="J673" s="45" t="n">
        <f aca="false">K673/L673</f>
        <v>0.133333333333333</v>
      </c>
      <c r="K673" s="38" t="n">
        <f aca="false">F673+H673</f>
        <v>4</v>
      </c>
      <c r="L673" s="38" t="n">
        <f aca="false">G673+4*H673</f>
        <v>30</v>
      </c>
      <c r="M673" s="38" t="s">
        <v>619</v>
      </c>
      <c r="N673" s="38" t="n">
        <f aca="false">ROUND(SUMIFS($J$2:$J$1137,$A$2:$A$1137,A673,$C$2:$C$1137,C673),9)</f>
        <v>1</v>
      </c>
    </row>
    <row r="674" customFormat="false" ht="15" hidden="false" customHeight="true" outlineLevel="0" collapsed="false">
      <c r="A674" s="38" t="n">
        <v>43</v>
      </c>
      <c r="B674" s="38" t="s">
        <v>661</v>
      </c>
      <c r="C674" s="38" t="s">
        <v>172</v>
      </c>
      <c r="D674" s="38" t="s">
        <v>172</v>
      </c>
      <c r="E674" s="38" t="str">
        <f aca="false">A674&amp;"|"&amp;C674&amp;"|"&amp;D674</f>
        <v>43|A|A</v>
      </c>
      <c r="F674" s="43" t="n">
        <v>22</v>
      </c>
      <c r="G674" s="38" t="n">
        <f aca="false">SUMIFS($F$2:$F$1137,$A$2:$A$1137,A674,$C$2:$C$1137,C674)</f>
        <v>45</v>
      </c>
      <c r="H674" s="43" t="n">
        <v>1</v>
      </c>
      <c r="I674" s="45" t="n">
        <f aca="false">IF(G674=0,"",F674/G674)</f>
        <v>0.488888888888889</v>
      </c>
      <c r="J674" s="45" t="n">
        <f aca="false">K674/L674</f>
        <v>0.469387755102041</v>
      </c>
      <c r="K674" s="38" t="n">
        <f aca="false">F674+H674</f>
        <v>23</v>
      </c>
      <c r="L674" s="38" t="n">
        <f aca="false">G674+4*H674</f>
        <v>49</v>
      </c>
      <c r="M674" s="38" t="s">
        <v>619</v>
      </c>
      <c r="N674" s="38" t="n">
        <f aca="false">ROUND(SUMIFS($J$2:$J$1137,$A$2:$A$1137,A674,$C$2:$C$1137,C674),9)</f>
        <v>1</v>
      </c>
    </row>
    <row r="675" customFormat="false" ht="15" hidden="false" customHeight="true" outlineLevel="0" collapsed="false">
      <c r="A675" s="38" t="n">
        <v>43</v>
      </c>
      <c r="B675" s="38" t="s">
        <v>661</v>
      </c>
      <c r="C675" s="38" t="s">
        <v>172</v>
      </c>
      <c r="D675" s="38" t="s">
        <v>170</v>
      </c>
      <c r="E675" s="38" t="str">
        <f aca="false">A675&amp;"|"&amp;C675&amp;"|"&amp;D675</f>
        <v>43|A|C</v>
      </c>
      <c r="F675" s="43" t="n">
        <v>6</v>
      </c>
      <c r="G675" s="38" t="n">
        <f aca="false">SUMIFS($F$2:$F$1137,$A$2:$A$1137,A675,$C$2:$C$1137,C675)</f>
        <v>45</v>
      </c>
      <c r="H675" s="43" t="n">
        <v>1</v>
      </c>
      <c r="I675" s="45" t="n">
        <f aca="false">IF(G675=0,"",F675/G675)</f>
        <v>0.133333333333333</v>
      </c>
      <c r="J675" s="45" t="n">
        <f aca="false">K675/L675</f>
        <v>0.142857142857143</v>
      </c>
      <c r="K675" s="38" t="n">
        <f aca="false">F675+H675</f>
        <v>7</v>
      </c>
      <c r="L675" s="38" t="n">
        <f aca="false">G675+4*H675</f>
        <v>49</v>
      </c>
      <c r="M675" s="38" t="s">
        <v>619</v>
      </c>
      <c r="N675" s="38" t="n">
        <f aca="false">ROUND(SUMIFS($J$2:$J$1137,$A$2:$A$1137,A675,$C$2:$C$1137,C675),9)</f>
        <v>1</v>
      </c>
    </row>
    <row r="676" customFormat="false" ht="15" hidden="false" customHeight="true" outlineLevel="0" collapsed="false">
      <c r="A676" s="38" t="n">
        <v>43</v>
      </c>
      <c r="B676" s="38" t="s">
        <v>661</v>
      </c>
      <c r="C676" s="38" t="s">
        <v>172</v>
      </c>
      <c r="D676" s="38" t="s">
        <v>169</v>
      </c>
      <c r="E676" s="38" t="str">
        <f aca="false">A676&amp;"|"&amp;C676&amp;"|"&amp;D676</f>
        <v>43|A|G</v>
      </c>
      <c r="F676" s="43" t="n">
        <v>13</v>
      </c>
      <c r="G676" s="38" t="n">
        <f aca="false">SUMIFS($F$2:$F$1137,$A$2:$A$1137,A676,$C$2:$C$1137,C676)</f>
        <v>45</v>
      </c>
      <c r="H676" s="43" t="n">
        <v>1</v>
      </c>
      <c r="I676" s="45" t="n">
        <f aca="false">IF(G676=0,"",F676/G676)</f>
        <v>0.288888888888889</v>
      </c>
      <c r="J676" s="45" t="n">
        <f aca="false">K676/L676</f>
        <v>0.285714285714286</v>
      </c>
      <c r="K676" s="38" t="n">
        <f aca="false">F676+H676</f>
        <v>14</v>
      </c>
      <c r="L676" s="38" t="n">
        <f aca="false">G676+4*H676</f>
        <v>49</v>
      </c>
      <c r="M676" s="38" t="s">
        <v>619</v>
      </c>
      <c r="N676" s="38" t="n">
        <f aca="false">ROUND(SUMIFS($J$2:$J$1137,$A$2:$A$1137,A676,$C$2:$C$1137,C676),9)</f>
        <v>1</v>
      </c>
    </row>
    <row r="677" customFormat="false" ht="15" hidden="false" customHeight="true" outlineLevel="0" collapsed="false">
      <c r="A677" s="38" t="n">
        <v>43</v>
      </c>
      <c r="B677" s="38" t="s">
        <v>661</v>
      </c>
      <c r="C677" s="38" t="s">
        <v>172</v>
      </c>
      <c r="D677" s="38" t="s">
        <v>171</v>
      </c>
      <c r="E677" s="38" t="str">
        <f aca="false">A677&amp;"|"&amp;C677&amp;"|"&amp;D677</f>
        <v>43|A|U</v>
      </c>
      <c r="F677" s="43" t="n">
        <v>4</v>
      </c>
      <c r="G677" s="38" t="n">
        <f aca="false">SUMIFS($F$2:$F$1137,$A$2:$A$1137,A677,$C$2:$C$1137,C677)</f>
        <v>45</v>
      </c>
      <c r="H677" s="43" t="n">
        <v>1</v>
      </c>
      <c r="I677" s="45" t="n">
        <f aca="false">IF(G677=0,"",F677/G677)</f>
        <v>0.0888888888888889</v>
      </c>
      <c r="J677" s="45" t="n">
        <f aca="false">K677/L677</f>
        <v>0.102040816326531</v>
      </c>
      <c r="K677" s="38" t="n">
        <f aca="false">F677+H677</f>
        <v>5</v>
      </c>
      <c r="L677" s="38" t="n">
        <f aca="false">G677+4*H677</f>
        <v>49</v>
      </c>
      <c r="M677" s="38" t="s">
        <v>619</v>
      </c>
      <c r="N677" s="38" t="n">
        <f aca="false">ROUND(SUMIFS($J$2:$J$1137,$A$2:$A$1137,A677,$C$2:$C$1137,C677),9)</f>
        <v>1</v>
      </c>
    </row>
    <row r="678" customFormat="false" ht="15" hidden="false" customHeight="true" outlineLevel="0" collapsed="false">
      <c r="A678" s="38" t="n">
        <v>43</v>
      </c>
      <c r="B678" s="38" t="s">
        <v>661</v>
      </c>
      <c r="C678" s="38" t="s">
        <v>170</v>
      </c>
      <c r="D678" s="38" t="s">
        <v>172</v>
      </c>
      <c r="E678" s="38" t="str">
        <f aca="false">A678&amp;"|"&amp;C678&amp;"|"&amp;D678</f>
        <v>43|C|A</v>
      </c>
      <c r="F678" s="43" t="n">
        <v>9</v>
      </c>
      <c r="G678" s="38" t="n">
        <f aca="false">SUMIFS($F$2:$F$1137,$A$2:$A$1137,A678,$C$2:$C$1137,C678)</f>
        <v>23</v>
      </c>
      <c r="H678" s="43" t="n">
        <v>1</v>
      </c>
      <c r="I678" s="45" t="n">
        <f aca="false">IF(G678=0,"",F678/G678)</f>
        <v>0.391304347826087</v>
      </c>
      <c r="J678" s="45" t="n">
        <f aca="false">K678/L678</f>
        <v>0.37037037037037</v>
      </c>
      <c r="K678" s="38" t="n">
        <f aca="false">F678+H678</f>
        <v>10</v>
      </c>
      <c r="L678" s="38" t="n">
        <f aca="false">G678+4*H678</f>
        <v>27</v>
      </c>
      <c r="M678" s="38" t="s">
        <v>619</v>
      </c>
      <c r="N678" s="38" t="n">
        <f aca="false">ROUND(SUMIFS($J$2:$J$1137,$A$2:$A$1137,A678,$C$2:$C$1137,C678),9)</f>
        <v>1</v>
      </c>
    </row>
    <row r="679" customFormat="false" ht="15" hidden="false" customHeight="true" outlineLevel="0" collapsed="false">
      <c r="A679" s="38" t="n">
        <v>43</v>
      </c>
      <c r="B679" s="38" t="s">
        <v>661</v>
      </c>
      <c r="C679" s="38" t="s">
        <v>170</v>
      </c>
      <c r="D679" s="38" t="s">
        <v>170</v>
      </c>
      <c r="E679" s="38" t="str">
        <f aca="false">A679&amp;"|"&amp;C679&amp;"|"&amp;D679</f>
        <v>43|C|C</v>
      </c>
      <c r="F679" s="43" t="n">
        <v>4</v>
      </c>
      <c r="G679" s="38" t="n">
        <f aca="false">SUMIFS($F$2:$F$1137,$A$2:$A$1137,A679,$C$2:$C$1137,C679)</f>
        <v>23</v>
      </c>
      <c r="H679" s="43" t="n">
        <v>1</v>
      </c>
      <c r="I679" s="45" t="n">
        <f aca="false">IF(G679=0,"",F679/G679)</f>
        <v>0.173913043478261</v>
      </c>
      <c r="J679" s="45" t="n">
        <f aca="false">K679/L679</f>
        <v>0.185185185185185</v>
      </c>
      <c r="K679" s="38" t="n">
        <f aca="false">F679+H679</f>
        <v>5</v>
      </c>
      <c r="L679" s="38" t="n">
        <f aca="false">G679+4*H679</f>
        <v>27</v>
      </c>
      <c r="M679" s="38" t="s">
        <v>619</v>
      </c>
      <c r="N679" s="38" t="n">
        <f aca="false">ROUND(SUMIFS($J$2:$J$1137,$A$2:$A$1137,A679,$C$2:$C$1137,C679),9)</f>
        <v>1</v>
      </c>
    </row>
    <row r="680" customFormat="false" ht="15" hidden="false" customHeight="true" outlineLevel="0" collapsed="false">
      <c r="A680" s="38" t="n">
        <v>43</v>
      </c>
      <c r="B680" s="38" t="s">
        <v>661</v>
      </c>
      <c r="C680" s="38" t="s">
        <v>170</v>
      </c>
      <c r="D680" s="38" t="s">
        <v>169</v>
      </c>
      <c r="E680" s="38" t="str">
        <f aca="false">A680&amp;"|"&amp;C680&amp;"|"&amp;D680</f>
        <v>43|C|G</v>
      </c>
      <c r="F680" s="43" t="n">
        <v>7</v>
      </c>
      <c r="G680" s="38" t="n">
        <f aca="false">SUMIFS($F$2:$F$1137,$A$2:$A$1137,A680,$C$2:$C$1137,C680)</f>
        <v>23</v>
      </c>
      <c r="H680" s="43" t="n">
        <v>1</v>
      </c>
      <c r="I680" s="45" t="n">
        <f aca="false">IF(G680=0,"",F680/G680)</f>
        <v>0.304347826086957</v>
      </c>
      <c r="J680" s="45" t="n">
        <f aca="false">K680/L680</f>
        <v>0.296296296296296</v>
      </c>
      <c r="K680" s="38" t="n">
        <f aca="false">F680+H680</f>
        <v>8</v>
      </c>
      <c r="L680" s="38" t="n">
        <f aca="false">G680+4*H680</f>
        <v>27</v>
      </c>
      <c r="M680" s="38" t="s">
        <v>619</v>
      </c>
      <c r="N680" s="38" t="n">
        <f aca="false">ROUND(SUMIFS($J$2:$J$1137,$A$2:$A$1137,A680,$C$2:$C$1137,C680),9)</f>
        <v>1</v>
      </c>
    </row>
    <row r="681" customFormat="false" ht="15" hidden="false" customHeight="true" outlineLevel="0" collapsed="false">
      <c r="A681" s="38" t="n">
        <v>43</v>
      </c>
      <c r="B681" s="38" t="s">
        <v>661</v>
      </c>
      <c r="C681" s="38" t="s">
        <v>170</v>
      </c>
      <c r="D681" s="38" t="s">
        <v>171</v>
      </c>
      <c r="E681" s="38" t="str">
        <f aca="false">A681&amp;"|"&amp;C681&amp;"|"&amp;D681</f>
        <v>43|C|U</v>
      </c>
      <c r="F681" s="43" t="n">
        <v>3</v>
      </c>
      <c r="G681" s="38" t="n">
        <f aca="false">SUMIFS($F$2:$F$1137,$A$2:$A$1137,A681,$C$2:$C$1137,C681)</f>
        <v>23</v>
      </c>
      <c r="H681" s="43" t="n">
        <v>1</v>
      </c>
      <c r="I681" s="45" t="n">
        <f aca="false">IF(G681=0,"",F681/G681)</f>
        <v>0.130434782608696</v>
      </c>
      <c r="J681" s="45" t="n">
        <f aca="false">K681/L681</f>
        <v>0.148148148148148</v>
      </c>
      <c r="K681" s="38" t="n">
        <f aca="false">F681+H681</f>
        <v>4</v>
      </c>
      <c r="L681" s="38" t="n">
        <f aca="false">G681+4*H681</f>
        <v>27</v>
      </c>
      <c r="M681" s="38" t="s">
        <v>619</v>
      </c>
      <c r="N681" s="38" t="n">
        <f aca="false">ROUND(SUMIFS($J$2:$J$1137,$A$2:$A$1137,A681,$C$2:$C$1137,C681),9)</f>
        <v>1</v>
      </c>
    </row>
    <row r="682" customFormat="false" ht="15" hidden="false" customHeight="true" outlineLevel="0" collapsed="false">
      <c r="A682" s="38" t="n">
        <v>43</v>
      </c>
      <c r="B682" s="38" t="s">
        <v>661</v>
      </c>
      <c r="C682" s="38" t="s">
        <v>169</v>
      </c>
      <c r="D682" s="38" t="s">
        <v>172</v>
      </c>
      <c r="E682" s="38" t="str">
        <f aca="false">A682&amp;"|"&amp;C682&amp;"|"&amp;D682</f>
        <v>43|G|A</v>
      </c>
      <c r="F682" s="43" t="n">
        <v>53</v>
      </c>
      <c r="G682" s="38" t="n">
        <f aca="false">SUMIFS($F$2:$F$1137,$A$2:$A$1137,A682,$C$2:$C$1137,C682)</f>
        <v>99</v>
      </c>
      <c r="H682" s="43" t="n">
        <v>1</v>
      </c>
      <c r="I682" s="45" t="n">
        <f aca="false">IF(G682=0,"",F682/G682)</f>
        <v>0.535353535353535</v>
      </c>
      <c r="J682" s="45" t="n">
        <f aca="false">K682/L682</f>
        <v>0.524271844660194</v>
      </c>
      <c r="K682" s="38" t="n">
        <f aca="false">F682+H682</f>
        <v>54</v>
      </c>
      <c r="L682" s="38" t="n">
        <f aca="false">G682+4*H682</f>
        <v>103</v>
      </c>
      <c r="M682" s="38" t="s">
        <v>619</v>
      </c>
      <c r="N682" s="38" t="n">
        <f aca="false">ROUND(SUMIFS($J$2:$J$1137,$A$2:$A$1137,A682,$C$2:$C$1137,C682),9)</f>
        <v>1</v>
      </c>
    </row>
    <row r="683" customFormat="false" ht="15" hidden="false" customHeight="true" outlineLevel="0" collapsed="false">
      <c r="A683" s="38" t="n">
        <v>43</v>
      </c>
      <c r="B683" s="38" t="s">
        <v>661</v>
      </c>
      <c r="C683" s="38" t="s">
        <v>169</v>
      </c>
      <c r="D683" s="38" t="s">
        <v>170</v>
      </c>
      <c r="E683" s="38" t="str">
        <f aca="false">A683&amp;"|"&amp;C683&amp;"|"&amp;D683</f>
        <v>43|G|C</v>
      </c>
      <c r="F683" s="43" t="n">
        <v>13</v>
      </c>
      <c r="G683" s="38" t="n">
        <f aca="false">SUMIFS($F$2:$F$1137,$A$2:$A$1137,A683,$C$2:$C$1137,C683)</f>
        <v>99</v>
      </c>
      <c r="H683" s="43" t="n">
        <v>1</v>
      </c>
      <c r="I683" s="45" t="n">
        <f aca="false">IF(G683=0,"",F683/G683)</f>
        <v>0.131313131313131</v>
      </c>
      <c r="J683" s="45" t="n">
        <f aca="false">K683/L683</f>
        <v>0.135922330097087</v>
      </c>
      <c r="K683" s="38" t="n">
        <f aca="false">F683+H683</f>
        <v>14</v>
      </c>
      <c r="L683" s="38" t="n">
        <f aca="false">G683+4*H683</f>
        <v>103</v>
      </c>
      <c r="M683" s="38" t="s">
        <v>619</v>
      </c>
      <c r="N683" s="38" t="n">
        <f aca="false">ROUND(SUMIFS($J$2:$J$1137,$A$2:$A$1137,A683,$C$2:$C$1137,C683),9)</f>
        <v>1</v>
      </c>
    </row>
    <row r="684" customFormat="false" ht="15" hidden="false" customHeight="true" outlineLevel="0" collapsed="false">
      <c r="A684" s="38" t="n">
        <v>43</v>
      </c>
      <c r="B684" s="38" t="s">
        <v>661</v>
      </c>
      <c r="C684" s="38" t="s">
        <v>169</v>
      </c>
      <c r="D684" s="38" t="s">
        <v>169</v>
      </c>
      <c r="E684" s="38" t="str">
        <f aca="false">A684&amp;"|"&amp;C684&amp;"|"&amp;D684</f>
        <v>43|G|G</v>
      </c>
      <c r="F684" s="43" t="n">
        <v>20</v>
      </c>
      <c r="G684" s="38" t="n">
        <f aca="false">SUMIFS($F$2:$F$1137,$A$2:$A$1137,A684,$C$2:$C$1137,C684)</f>
        <v>99</v>
      </c>
      <c r="H684" s="43" t="n">
        <v>1</v>
      </c>
      <c r="I684" s="45" t="n">
        <f aca="false">IF(G684=0,"",F684/G684)</f>
        <v>0.202020202020202</v>
      </c>
      <c r="J684" s="45" t="n">
        <f aca="false">K684/L684</f>
        <v>0.203883495145631</v>
      </c>
      <c r="K684" s="38" t="n">
        <f aca="false">F684+H684</f>
        <v>21</v>
      </c>
      <c r="L684" s="38" t="n">
        <f aca="false">G684+4*H684</f>
        <v>103</v>
      </c>
      <c r="M684" s="38" t="s">
        <v>619</v>
      </c>
      <c r="N684" s="38" t="n">
        <f aca="false">ROUND(SUMIFS($J$2:$J$1137,$A$2:$A$1137,A684,$C$2:$C$1137,C684),9)</f>
        <v>1</v>
      </c>
    </row>
    <row r="685" customFormat="false" ht="15" hidden="false" customHeight="true" outlineLevel="0" collapsed="false">
      <c r="A685" s="38" t="n">
        <v>43</v>
      </c>
      <c r="B685" s="38" t="s">
        <v>661</v>
      </c>
      <c r="C685" s="38" t="s">
        <v>169</v>
      </c>
      <c r="D685" s="38" t="s">
        <v>171</v>
      </c>
      <c r="E685" s="38" t="str">
        <f aca="false">A685&amp;"|"&amp;C685&amp;"|"&amp;D685</f>
        <v>43|G|U</v>
      </c>
      <c r="F685" s="43" t="n">
        <v>13</v>
      </c>
      <c r="G685" s="38" t="n">
        <f aca="false">SUMIFS($F$2:$F$1137,$A$2:$A$1137,A685,$C$2:$C$1137,C685)</f>
        <v>99</v>
      </c>
      <c r="H685" s="43" t="n">
        <v>1</v>
      </c>
      <c r="I685" s="45" t="n">
        <f aca="false">IF(G685=0,"",F685/G685)</f>
        <v>0.131313131313131</v>
      </c>
      <c r="J685" s="45" t="n">
        <f aca="false">K685/L685</f>
        <v>0.135922330097087</v>
      </c>
      <c r="K685" s="38" t="n">
        <f aca="false">F685+H685</f>
        <v>14</v>
      </c>
      <c r="L685" s="38" t="n">
        <f aca="false">G685+4*H685</f>
        <v>103</v>
      </c>
      <c r="M685" s="38" t="s">
        <v>619</v>
      </c>
      <c r="N685" s="38" t="n">
        <f aca="false">ROUND(SUMIFS($J$2:$J$1137,$A$2:$A$1137,A685,$C$2:$C$1137,C685),9)</f>
        <v>1</v>
      </c>
    </row>
    <row r="686" customFormat="false" ht="15" hidden="false" customHeight="true" outlineLevel="0" collapsed="false">
      <c r="A686" s="38" t="n">
        <v>43</v>
      </c>
      <c r="B686" s="38" t="s">
        <v>661</v>
      </c>
      <c r="C686" s="38" t="s">
        <v>171</v>
      </c>
      <c r="D686" s="38" t="s">
        <v>172</v>
      </c>
      <c r="E686" s="38" t="str">
        <f aca="false">A686&amp;"|"&amp;C686&amp;"|"&amp;D686</f>
        <v>43|U|A</v>
      </c>
      <c r="F686" s="43" t="n">
        <v>15</v>
      </c>
      <c r="G686" s="38" t="n">
        <f aca="false">SUMIFS($F$2:$F$1137,$A$2:$A$1137,A686,$C$2:$C$1137,C686)</f>
        <v>32</v>
      </c>
      <c r="H686" s="43" t="n">
        <v>1</v>
      </c>
      <c r="I686" s="45" t="n">
        <f aca="false">IF(G686=0,"",F686/G686)</f>
        <v>0.46875</v>
      </c>
      <c r="J686" s="45" t="n">
        <f aca="false">K686/L686</f>
        <v>0.444444444444444</v>
      </c>
      <c r="K686" s="38" t="n">
        <f aca="false">F686+H686</f>
        <v>16</v>
      </c>
      <c r="L686" s="38" t="n">
        <f aca="false">G686+4*H686</f>
        <v>36</v>
      </c>
      <c r="M686" s="38" t="s">
        <v>619</v>
      </c>
      <c r="N686" s="38" t="n">
        <f aca="false">ROUND(SUMIFS($J$2:$J$1137,$A$2:$A$1137,A686,$C$2:$C$1137,C686),9)</f>
        <v>1</v>
      </c>
    </row>
    <row r="687" customFormat="false" ht="15" hidden="false" customHeight="true" outlineLevel="0" collapsed="false">
      <c r="A687" s="38" t="n">
        <v>43</v>
      </c>
      <c r="B687" s="38" t="s">
        <v>661</v>
      </c>
      <c r="C687" s="38" t="s">
        <v>171</v>
      </c>
      <c r="D687" s="38" t="s">
        <v>170</v>
      </c>
      <c r="E687" s="38" t="str">
        <f aca="false">A687&amp;"|"&amp;C687&amp;"|"&amp;D687</f>
        <v>43|U|C</v>
      </c>
      <c r="F687" s="43" t="n">
        <v>8</v>
      </c>
      <c r="G687" s="38" t="n">
        <f aca="false">SUMIFS($F$2:$F$1137,$A$2:$A$1137,A687,$C$2:$C$1137,C687)</f>
        <v>32</v>
      </c>
      <c r="H687" s="43" t="n">
        <v>1</v>
      </c>
      <c r="I687" s="45" t="n">
        <f aca="false">IF(G687=0,"",F687/G687)</f>
        <v>0.25</v>
      </c>
      <c r="J687" s="45" t="n">
        <f aca="false">K687/L687</f>
        <v>0.25</v>
      </c>
      <c r="K687" s="38" t="n">
        <f aca="false">F687+H687</f>
        <v>9</v>
      </c>
      <c r="L687" s="38" t="n">
        <f aca="false">G687+4*H687</f>
        <v>36</v>
      </c>
      <c r="M687" s="38" t="s">
        <v>619</v>
      </c>
      <c r="N687" s="38" t="n">
        <f aca="false">ROUND(SUMIFS($J$2:$J$1137,$A$2:$A$1137,A687,$C$2:$C$1137,C687),9)</f>
        <v>1</v>
      </c>
    </row>
    <row r="688" customFormat="false" ht="15" hidden="false" customHeight="true" outlineLevel="0" collapsed="false">
      <c r="A688" s="38" t="n">
        <v>43</v>
      </c>
      <c r="B688" s="38" t="s">
        <v>661</v>
      </c>
      <c r="C688" s="38" t="s">
        <v>171</v>
      </c>
      <c r="D688" s="38" t="s">
        <v>169</v>
      </c>
      <c r="E688" s="38" t="str">
        <f aca="false">A688&amp;"|"&amp;C688&amp;"|"&amp;D688</f>
        <v>43|U|G</v>
      </c>
      <c r="F688" s="43" t="n">
        <v>6</v>
      </c>
      <c r="G688" s="38" t="n">
        <f aca="false">SUMIFS($F$2:$F$1137,$A$2:$A$1137,A688,$C$2:$C$1137,C688)</f>
        <v>32</v>
      </c>
      <c r="H688" s="43" t="n">
        <v>1</v>
      </c>
      <c r="I688" s="45" t="n">
        <f aca="false">IF(G688=0,"",F688/G688)</f>
        <v>0.1875</v>
      </c>
      <c r="J688" s="45" t="n">
        <f aca="false">K688/L688</f>
        <v>0.194444444444444</v>
      </c>
      <c r="K688" s="38" t="n">
        <f aca="false">F688+H688</f>
        <v>7</v>
      </c>
      <c r="L688" s="38" t="n">
        <f aca="false">G688+4*H688</f>
        <v>36</v>
      </c>
      <c r="M688" s="38" t="s">
        <v>619</v>
      </c>
      <c r="N688" s="38" t="n">
        <f aca="false">ROUND(SUMIFS($J$2:$J$1137,$A$2:$A$1137,A688,$C$2:$C$1137,C688),9)</f>
        <v>1</v>
      </c>
    </row>
    <row r="689" customFormat="false" ht="15" hidden="false" customHeight="true" outlineLevel="0" collapsed="false">
      <c r="A689" s="38" t="n">
        <v>43</v>
      </c>
      <c r="B689" s="38" t="s">
        <v>661</v>
      </c>
      <c r="C689" s="38" t="s">
        <v>171</v>
      </c>
      <c r="D689" s="38" t="s">
        <v>171</v>
      </c>
      <c r="E689" s="38" t="str">
        <f aca="false">A689&amp;"|"&amp;C689&amp;"|"&amp;D689</f>
        <v>43|U|U</v>
      </c>
      <c r="F689" s="43" t="n">
        <v>3</v>
      </c>
      <c r="G689" s="38" t="n">
        <f aca="false">SUMIFS($F$2:$F$1137,$A$2:$A$1137,A689,$C$2:$C$1137,C689)</f>
        <v>32</v>
      </c>
      <c r="H689" s="43" t="n">
        <v>1</v>
      </c>
      <c r="I689" s="45" t="n">
        <f aca="false">IF(G689=0,"",F689/G689)</f>
        <v>0.09375</v>
      </c>
      <c r="J689" s="45" t="n">
        <f aca="false">K689/L689</f>
        <v>0.111111111111111</v>
      </c>
      <c r="K689" s="38" t="n">
        <f aca="false">F689+H689</f>
        <v>4</v>
      </c>
      <c r="L689" s="38" t="n">
        <f aca="false">G689+4*H689</f>
        <v>36</v>
      </c>
      <c r="M689" s="38" t="s">
        <v>619</v>
      </c>
      <c r="N689" s="38" t="n">
        <f aca="false">ROUND(SUMIFS($J$2:$J$1137,$A$2:$A$1137,A689,$C$2:$C$1137,C689),9)</f>
        <v>1</v>
      </c>
    </row>
    <row r="690" customFormat="false" ht="15" hidden="false" customHeight="true" outlineLevel="0" collapsed="false">
      <c r="A690" s="38" t="n">
        <v>44</v>
      </c>
      <c r="B690" s="38" t="s">
        <v>662</v>
      </c>
      <c r="C690" s="38" t="s">
        <v>172</v>
      </c>
      <c r="D690" s="38" t="s">
        <v>172</v>
      </c>
      <c r="E690" s="38" t="str">
        <f aca="false">A690&amp;"|"&amp;C690&amp;"|"&amp;D690</f>
        <v>44|A|A</v>
      </c>
      <c r="F690" s="43" t="n">
        <v>1</v>
      </c>
      <c r="G690" s="38" t="n">
        <f aca="false">SUMIFS($F$2:$F$1137,$A$2:$A$1137,A690,$C$2:$C$1137,C690)</f>
        <v>98</v>
      </c>
      <c r="H690" s="43" t="n">
        <v>1</v>
      </c>
      <c r="I690" s="45" t="n">
        <f aca="false">IF(G690=0,"",F690/G690)</f>
        <v>0.0102040816326531</v>
      </c>
      <c r="J690" s="45" t="n">
        <f aca="false">K690/L690</f>
        <v>0.0196078431372549</v>
      </c>
      <c r="K690" s="38" t="n">
        <f aca="false">F690+H690</f>
        <v>2</v>
      </c>
      <c r="L690" s="38" t="n">
        <f aca="false">G690+4*H690</f>
        <v>102</v>
      </c>
      <c r="M690" s="38" t="s">
        <v>619</v>
      </c>
      <c r="N690" s="38" t="n">
        <f aca="false">ROUND(SUMIFS($J$2:$J$1137,$A$2:$A$1137,A690,$C$2:$C$1137,C690),9)</f>
        <v>1</v>
      </c>
    </row>
    <row r="691" customFormat="false" ht="15" hidden="false" customHeight="true" outlineLevel="0" collapsed="false">
      <c r="A691" s="38" t="n">
        <v>44</v>
      </c>
      <c r="B691" s="38" t="s">
        <v>662</v>
      </c>
      <c r="C691" s="38" t="s">
        <v>172</v>
      </c>
      <c r="D691" s="38" t="s">
        <v>170</v>
      </c>
      <c r="E691" s="38" t="str">
        <f aca="false">A691&amp;"|"&amp;C691&amp;"|"&amp;D691</f>
        <v>44|A|C</v>
      </c>
      <c r="F691" s="43" t="n">
        <v>2</v>
      </c>
      <c r="G691" s="38" t="n">
        <f aca="false">SUMIFS($F$2:$F$1137,$A$2:$A$1137,A691,$C$2:$C$1137,C691)</f>
        <v>98</v>
      </c>
      <c r="H691" s="43" t="n">
        <v>1</v>
      </c>
      <c r="I691" s="45" t="n">
        <f aca="false">IF(G691=0,"",F691/G691)</f>
        <v>0.0204081632653061</v>
      </c>
      <c r="J691" s="45" t="n">
        <f aca="false">K691/L691</f>
        <v>0.0294117647058824</v>
      </c>
      <c r="K691" s="38" t="n">
        <f aca="false">F691+H691</f>
        <v>3</v>
      </c>
      <c r="L691" s="38" t="n">
        <f aca="false">G691+4*H691</f>
        <v>102</v>
      </c>
      <c r="M691" s="38" t="s">
        <v>619</v>
      </c>
      <c r="N691" s="38" t="n">
        <f aca="false">ROUND(SUMIFS($J$2:$J$1137,$A$2:$A$1137,A691,$C$2:$C$1137,C691),9)</f>
        <v>1</v>
      </c>
    </row>
    <row r="692" customFormat="false" ht="15" hidden="false" customHeight="true" outlineLevel="0" collapsed="false">
      <c r="A692" s="38" t="n">
        <v>44</v>
      </c>
      <c r="B692" s="38" t="s">
        <v>662</v>
      </c>
      <c r="C692" s="38" t="s">
        <v>172</v>
      </c>
      <c r="D692" s="38" t="s">
        <v>169</v>
      </c>
      <c r="E692" s="38" t="str">
        <f aca="false">A692&amp;"|"&amp;C692&amp;"|"&amp;D692</f>
        <v>44|A|G</v>
      </c>
      <c r="F692" s="43" t="n">
        <v>86</v>
      </c>
      <c r="G692" s="38" t="n">
        <f aca="false">SUMIFS($F$2:$F$1137,$A$2:$A$1137,A692,$C$2:$C$1137,C692)</f>
        <v>98</v>
      </c>
      <c r="H692" s="43" t="n">
        <v>1</v>
      </c>
      <c r="I692" s="45" t="n">
        <f aca="false">IF(G692=0,"",F692/G692)</f>
        <v>0.877551020408163</v>
      </c>
      <c r="J692" s="45" t="n">
        <f aca="false">K692/L692</f>
        <v>0.852941176470588</v>
      </c>
      <c r="K692" s="38" t="n">
        <f aca="false">F692+H692</f>
        <v>87</v>
      </c>
      <c r="L692" s="38" t="n">
        <f aca="false">G692+4*H692</f>
        <v>102</v>
      </c>
      <c r="M692" s="38" t="s">
        <v>619</v>
      </c>
      <c r="N692" s="38" t="n">
        <f aca="false">ROUND(SUMIFS($J$2:$J$1137,$A$2:$A$1137,A692,$C$2:$C$1137,C692),9)</f>
        <v>1</v>
      </c>
    </row>
    <row r="693" customFormat="false" ht="15" hidden="false" customHeight="true" outlineLevel="0" collapsed="false">
      <c r="A693" s="38" t="n">
        <v>44</v>
      </c>
      <c r="B693" s="38" t="s">
        <v>662</v>
      </c>
      <c r="C693" s="38" t="s">
        <v>172</v>
      </c>
      <c r="D693" s="38" t="s">
        <v>171</v>
      </c>
      <c r="E693" s="38" t="str">
        <f aca="false">A693&amp;"|"&amp;C693&amp;"|"&amp;D693</f>
        <v>44|A|U</v>
      </c>
      <c r="F693" s="43" t="n">
        <v>9</v>
      </c>
      <c r="G693" s="38" t="n">
        <f aca="false">SUMIFS($F$2:$F$1137,$A$2:$A$1137,A693,$C$2:$C$1137,C693)</f>
        <v>98</v>
      </c>
      <c r="H693" s="43" t="n">
        <v>1</v>
      </c>
      <c r="I693" s="45" t="n">
        <f aca="false">IF(G693=0,"",F693/G693)</f>
        <v>0.0918367346938776</v>
      </c>
      <c r="J693" s="45" t="n">
        <f aca="false">K693/L693</f>
        <v>0.0980392156862745</v>
      </c>
      <c r="K693" s="38" t="n">
        <f aca="false">F693+H693</f>
        <v>10</v>
      </c>
      <c r="L693" s="38" t="n">
        <f aca="false">G693+4*H693</f>
        <v>102</v>
      </c>
      <c r="M693" s="38" t="s">
        <v>619</v>
      </c>
      <c r="N693" s="38" t="n">
        <f aca="false">ROUND(SUMIFS($J$2:$J$1137,$A$2:$A$1137,A693,$C$2:$C$1137,C693),9)</f>
        <v>1</v>
      </c>
    </row>
    <row r="694" customFormat="false" ht="15" hidden="false" customHeight="true" outlineLevel="0" collapsed="false">
      <c r="A694" s="38" t="n">
        <v>44</v>
      </c>
      <c r="B694" s="38" t="s">
        <v>662</v>
      </c>
      <c r="C694" s="38" t="s">
        <v>170</v>
      </c>
      <c r="D694" s="38" t="s">
        <v>172</v>
      </c>
      <c r="E694" s="38" t="str">
        <f aca="false">A694&amp;"|"&amp;C694&amp;"|"&amp;D694</f>
        <v>44|C|A</v>
      </c>
      <c r="F694" s="43" t="n">
        <v>7</v>
      </c>
      <c r="G694" s="38" t="n">
        <f aca="false">SUMIFS($F$2:$F$1137,$A$2:$A$1137,A694,$C$2:$C$1137,C694)</f>
        <v>30</v>
      </c>
      <c r="H694" s="43" t="n">
        <v>1</v>
      </c>
      <c r="I694" s="45" t="n">
        <f aca="false">IF(G694=0,"",F694/G694)</f>
        <v>0.233333333333333</v>
      </c>
      <c r="J694" s="45" t="n">
        <f aca="false">K694/L694</f>
        <v>0.235294117647059</v>
      </c>
      <c r="K694" s="38" t="n">
        <f aca="false">F694+H694</f>
        <v>8</v>
      </c>
      <c r="L694" s="38" t="n">
        <f aca="false">G694+4*H694</f>
        <v>34</v>
      </c>
      <c r="M694" s="38" t="s">
        <v>619</v>
      </c>
      <c r="N694" s="38" t="n">
        <f aca="false">ROUND(SUMIFS($J$2:$J$1137,$A$2:$A$1137,A694,$C$2:$C$1137,C694),9)</f>
        <v>1</v>
      </c>
    </row>
    <row r="695" customFormat="false" ht="15" hidden="false" customHeight="true" outlineLevel="0" collapsed="false">
      <c r="A695" s="38" t="n">
        <v>44</v>
      </c>
      <c r="B695" s="38" t="s">
        <v>662</v>
      </c>
      <c r="C695" s="38" t="s">
        <v>170</v>
      </c>
      <c r="D695" s="38" t="s">
        <v>170</v>
      </c>
      <c r="E695" s="38" t="str">
        <f aca="false">A695&amp;"|"&amp;C695&amp;"|"&amp;D695</f>
        <v>44|C|C</v>
      </c>
      <c r="F695" s="43" t="n">
        <v>1</v>
      </c>
      <c r="G695" s="38" t="n">
        <f aca="false">SUMIFS($F$2:$F$1137,$A$2:$A$1137,A695,$C$2:$C$1137,C695)</f>
        <v>30</v>
      </c>
      <c r="H695" s="43" t="n">
        <v>1</v>
      </c>
      <c r="I695" s="45" t="n">
        <f aca="false">IF(G695=0,"",F695/G695)</f>
        <v>0.0333333333333333</v>
      </c>
      <c r="J695" s="45" t="n">
        <f aca="false">K695/L695</f>
        <v>0.0588235294117647</v>
      </c>
      <c r="K695" s="38" t="n">
        <f aca="false">F695+H695</f>
        <v>2</v>
      </c>
      <c r="L695" s="38" t="n">
        <f aca="false">G695+4*H695</f>
        <v>34</v>
      </c>
      <c r="M695" s="38" t="s">
        <v>619</v>
      </c>
      <c r="N695" s="38" t="n">
        <f aca="false">ROUND(SUMIFS($J$2:$J$1137,$A$2:$A$1137,A695,$C$2:$C$1137,C695),9)</f>
        <v>1</v>
      </c>
    </row>
    <row r="696" customFormat="false" ht="15" hidden="false" customHeight="true" outlineLevel="0" collapsed="false">
      <c r="A696" s="38" t="n">
        <v>44</v>
      </c>
      <c r="B696" s="38" t="s">
        <v>662</v>
      </c>
      <c r="C696" s="38" t="s">
        <v>170</v>
      </c>
      <c r="D696" s="38" t="s">
        <v>169</v>
      </c>
      <c r="E696" s="38" t="str">
        <f aca="false">A696&amp;"|"&amp;C696&amp;"|"&amp;D696</f>
        <v>44|C|G</v>
      </c>
      <c r="F696" s="43" t="n">
        <v>16</v>
      </c>
      <c r="G696" s="38" t="n">
        <f aca="false">SUMIFS($F$2:$F$1137,$A$2:$A$1137,A696,$C$2:$C$1137,C696)</f>
        <v>30</v>
      </c>
      <c r="H696" s="43" t="n">
        <v>1</v>
      </c>
      <c r="I696" s="45" t="n">
        <f aca="false">IF(G696=0,"",F696/G696)</f>
        <v>0.533333333333333</v>
      </c>
      <c r="J696" s="45" t="n">
        <f aca="false">K696/L696</f>
        <v>0.5</v>
      </c>
      <c r="K696" s="38" t="n">
        <f aca="false">F696+H696</f>
        <v>17</v>
      </c>
      <c r="L696" s="38" t="n">
        <f aca="false">G696+4*H696</f>
        <v>34</v>
      </c>
      <c r="M696" s="38" t="s">
        <v>619</v>
      </c>
      <c r="N696" s="38" t="n">
        <f aca="false">ROUND(SUMIFS($J$2:$J$1137,$A$2:$A$1137,A696,$C$2:$C$1137,C696),9)</f>
        <v>1</v>
      </c>
    </row>
    <row r="697" customFormat="false" ht="15" hidden="false" customHeight="true" outlineLevel="0" collapsed="false">
      <c r="A697" s="38" t="n">
        <v>44</v>
      </c>
      <c r="B697" s="38" t="s">
        <v>662</v>
      </c>
      <c r="C697" s="38" t="s">
        <v>170</v>
      </c>
      <c r="D697" s="38" t="s">
        <v>171</v>
      </c>
      <c r="E697" s="38" t="str">
        <f aca="false">A697&amp;"|"&amp;C697&amp;"|"&amp;D697</f>
        <v>44|C|U</v>
      </c>
      <c r="F697" s="43" t="n">
        <v>6</v>
      </c>
      <c r="G697" s="38" t="n">
        <f aca="false">SUMIFS($F$2:$F$1137,$A$2:$A$1137,A697,$C$2:$C$1137,C697)</f>
        <v>30</v>
      </c>
      <c r="H697" s="43" t="n">
        <v>1</v>
      </c>
      <c r="I697" s="45" t="n">
        <f aca="false">IF(G697=0,"",F697/G697)</f>
        <v>0.2</v>
      </c>
      <c r="J697" s="45" t="n">
        <f aca="false">K697/L697</f>
        <v>0.205882352941176</v>
      </c>
      <c r="K697" s="38" t="n">
        <f aca="false">F697+H697</f>
        <v>7</v>
      </c>
      <c r="L697" s="38" t="n">
        <f aca="false">G697+4*H697</f>
        <v>34</v>
      </c>
      <c r="M697" s="38" t="s">
        <v>619</v>
      </c>
      <c r="N697" s="38" t="n">
        <f aca="false">ROUND(SUMIFS($J$2:$J$1137,$A$2:$A$1137,A697,$C$2:$C$1137,C697),9)</f>
        <v>1</v>
      </c>
    </row>
    <row r="698" customFormat="false" ht="15" hidden="false" customHeight="true" outlineLevel="0" collapsed="false">
      <c r="A698" s="38" t="n">
        <v>44</v>
      </c>
      <c r="B698" s="38" t="s">
        <v>662</v>
      </c>
      <c r="C698" s="38" t="s">
        <v>169</v>
      </c>
      <c r="D698" s="38" t="s">
        <v>172</v>
      </c>
      <c r="E698" s="38" t="str">
        <f aca="false">A698&amp;"|"&amp;C698&amp;"|"&amp;D698</f>
        <v>44|G|A</v>
      </c>
      <c r="F698" s="43" t="n">
        <v>6</v>
      </c>
      <c r="G698" s="38" t="n">
        <f aca="false">SUMIFS($F$2:$F$1137,$A$2:$A$1137,A698,$C$2:$C$1137,C698)</f>
        <v>46</v>
      </c>
      <c r="H698" s="43" t="n">
        <v>1</v>
      </c>
      <c r="I698" s="45" t="n">
        <f aca="false">IF(G698=0,"",F698/G698)</f>
        <v>0.130434782608696</v>
      </c>
      <c r="J698" s="45" t="n">
        <f aca="false">K698/L698</f>
        <v>0.14</v>
      </c>
      <c r="K698" s="38" t="n">
        <f aca="false">F698+H698</f>
        <v>7</v>
      </c>
      <c r="L698" s="38" t="n">
        <f aca="false">G698+4*H698</f>
        <v>50</v>
      </c>
      <c r="M698" s="38" t="s">
        <v>619</v>
      </c>
      <c r="N698" s="38" t="n">
        <f aca="false">ROUND(SUMIFS($J$2:$J$1137,$A$2:$A$1137,A698,$C$2:$C$1137,C698),9)</f>
        <v>1</v>
      </c>
    </row>
    <row r="699" customFormat="false" ht="15" hidden="false" customHeight="true" outlineLevel="0" collapsed="false">
      <c r="A699" s="38" t="n">
        <v>44</v>
      </c>
      <c r="B699" s="38" t="s">
        <v>662</v>
      </c>
      <c r="C699" s="38" t="s">
        <v>169</v>
      </c>
      <c r="D699" s="38" t="s">
        <v>170</v>
      </c>
      <c r="E699" s="38" t="str">
        <f aca="false">A699&amp;"|"&amp;C699&amp;"|"&amp;D699</f>
        <v>44|G|C</v>
      </c>
      <c r="F699" s="43" t="n">
        <v>1</v>
      </c>
      <c r="G699" s="38" t="n">
        <f aca="false">SUMIFS($F$2:$F$1137,$A$2:$A$1137,A699,$C$2:$C$1137,C699)</f>
        <v>46</v>
      </c>
      <c r="H699" s="43" t="n">
        <v>1</v>
      </c>
      <c r="I699" s="45" t="n">
        <f aca="false">IF(G699=0,"",F699/G699)</f>
        <v>0.0217391304347826</v>
      </c>
      <c r="J699" s="45" t="n">
        <f aca="false">K699/L699</f>
        <v>0.04</v>
      </c>
      <c r="K699" s="38" t="n">
        <f aca="false">F699+H699</f>
        <v>2</v>
      </c>
      <c r="L699" s="38" t="n">
        <f aca="false">G699+4*H699</f>
        <v>50</v>
      </c>
      <c r="M699" s="38" t="s">
        <v>619</v>
      </c>
      <c r="N699" s="38" t="n">
        <f aca="false">ROUND(SUMIFS($J$2:$J$1137,$A$2:$A$1137,A699,$C$2:$C$1137,C699),9)</f>
        <v>1</v>
      </c>
    </row>
    <row r="700" customFormat="false" ht="15" hidden="false" customHeight="true" outlineLevel="0" collapsed="false">
      <c r="A700" s="38" t="n">
        <v>44</v>
      </c>
      <c r="B700" s="38" t="s">
        <v>662</v>
      </c>
      <c r="C700" s="38" t="s">
        <v>169</v>
      </c>
      <c r="D700" s="38" t="s">
        <v>169</v>
      </c>
      <c r="E700" s="38" t="str">
        <f aca="false">A700&amp;"|"&amp;C700&amp;"|"&amp;D700</f>
        <v>44|G|G</v>
      </c>
      <c r="F700" s="43" t="n">
        <v>32</v>
      </c>
      <c r="G700" s="38" t="n">
        <f aca="false">SUMIFS($F$2:$F$1137,$A$2:$A$1137,A700,$C$2:$C$1137,C700)</f>
        <v>46</v>
      </c>
      <c r="H700" s="43" t="n">
        <v>1</v>
      </c>
      <c r="I700" s="45" t="n">
        <f aca="false">IF(G700=0,"",F700/G700)</f>
        <v>0.695652173913044</v>
      </c>
      <c r="J700" s="45" t="n">
        <f aca="false">K700/L700</f>
        <v>0.66</v>
      </c>
      <c r="K700" s="38" t="n">
        <f aca="false">F700+H700</f>
        <v>33</v>
      </c>
      <c r="L700" s="38" t="n">
        <f aca="false">G700+4*H700</f>
        <v>50</v>
      </c>
      <c r="M700" s="38" t="s">
        <v>619</v>
      </c>
      <c r="N700" s="38" t="n">
        <f aca="false">ROUND(SUMIFS($J$2:$J$1137,$A$2:$A$1137,A700,$C$2:$C$1137,C700),9)</f>
        <v>1</v>
      </c>
    </row>
    <row r="701" customFormat="false" ht="15" hidden="false" customHeight="true" outlineLevel="0" collapsed="false">
      <c r="A701" s="38" t="n">
        <v>44</v>
      </c>
      <c r="B701" s="38" t="s">
        <v>662</v>
      </c>
      <c r="C701" s="38" t="s">
        <v>169</v>
      </c>
      <c r="D701" s="38" t="s">
        <v>171</v>
      </c>
      <c r="E701" s="38" t="str">
        <f aca="false">A701&amp;"|"&amp;C701&amp;"|"&amp;D701</f>
        <v>44|G|U</v>
      </c>
      <c r="F701" s="43" t="n">
        <v>7</v>
      </c>
      <c r="G701" s="38" t="n">
        <f aca="false">SUMIFS($F$2:$F$1137,$A$2:$A$1137,A701,$C$2:$C$1137,C701)</f>
        <v>46</v>
      </c>
      <c r="H701" s="43" t="n">
        <v>1</v>
      </c>
      <c r="I701" s="45" t="n">
        <f aca="false">IF(G701=0,"",F701/G701)</f>
        <v>0.152173913043478</v>
      </c>
      <c r="J701" s="45" t="n">
        <f aca="false">K701/L701</f>
        <v>0.16</v>
      </c>
      <c r="K701" s="38" t="n">
        <f aca="false">F701+H701</f>
        <v>8</v>
      </c>
      <c r="L701" s="38" t="n">
        <f aca="false">G701+4*H701</f>
        <v>50</v>
      </c>
      <c r="M701" s="38" t="s">
        <v>619</v>
      </c>
      <c r="N701" s="38" t="n">
        <f aca="false">ROUND(SUMIFS($J$2:$J$1137,$A$2:$A$1137,A701,$C$2:$C$1137,C701),9)</f>
        <v>1</v>
      </c>
    </row>
    <row r="702" customFormat="false" ht="15" hidden="false" customHeight="true" outlineLevel="0" collapsed="false">
      <c r="A702" s="38" t="n">
        <v>44</v>
      </c>
      <c r="B702" s="38" t="s">
        <v>662</v>
      </c>
      <c r="C702" s="38" t="s">
        <v>171</v>
      </c>
      <c r="D702" s="38" t="s">
        <v>172</v>
      </c>
      <c r="E702" s="38" t="str">
        <f aca="false">A702&amp;"|"&amp;C702&amp;"|"&amp;D702</f>
        <v>44|U|A</v>
      </c>
      <c r="F702" s="43" t="n">
        <v>1</v>
      </c>
      <c r="G702" s="38" t="n">
        <f aca="false">SUMIFS($F$2:$F$1137,$A$2:$A$1137,A702,$C$2:$C$1137,C702)</f>
        <v>23</v>
      </c>
      <c r="H702" s="43" t="n">
        <v>1</v>
      </c>
      <c r="I702" s="45" t="n">
        <f aca="false">IF(G702=0,"",F702/G702)</f>
        <v>0.0434782608695652</v>
      </c>
      <c r="J702" s="45" t="n">
        <f aca="false">K702/L702</f>
        <v>0.0740740740740741</v>
      </c>
      <c r="K702" s="38" t="n">
        <f aca="false">F702+H702</f>
        <v>2</v>
      </c>
      <c r="L702" s="38" t="n">
        <f aca="false">G702+4*H702</f>
        <v>27</v>
      </c>
      <c r="M702" s="38" t="s">
        <v>619</v>
      </c>
      <c r="N702" s="38" t="n">
        <f aca="false">ROUND(SUMIFS($J$2:$J$1137,$A$2:$A$1137,A702,$C$2:$C$1137,C702),9)</f>
        <v>1</v>
      </c>
    </row>
    <row r="703" customFormat="false" ht="15" hidden="false" customHeight="true" outlineLevel="0" collapsed="false">
      <c r="A703" s="38" t="n">
        <v>44</v>
      </c>
      <c r="B703" s="38" t="s">
        <v>662</v>
      </c>
      <c r="C703" s="38" t="s">
        <v>171</v>
      </c>
      <c r="D703" s="38" t="s">
        <v>170</v>
      </c>
      <c r="E703" s="38" t="str">
        <f aca="false">A703&amp;"|"&amp;C703&amp;"|"&amp;D703</f>
        <v>44|U|C</v>
      </c>
      <c r="F703" s="43" t="n">
        <v>1</v>
      </c>
      <c r="G703" s="38" t="n">
        <f aca="false">SUMIFS($F$2:$F$1137,$A$2:$A$1137,A703,$C$2:$C$1137,C703)</f>
        <v>23</v>
      </c>
      <c r="H703" s="43" t="n">
        <v>1</v>
      </c>
      <c r="I703" s="45" t="n">
        <f aca="false">IF(G703=0,"",F703/G703)</f>
        <v>0.0434782608695652</v>
      </c>
      <c r="J703" s="45" t="n">
        <f aca="false">K703/L703</f>
        <v>0.0740740740740741</v>
      </c>
      <c r="K703" s="38" t="n">
        <f aca="false">F703+H703</f>
        <v>2</v>
      </c>
      <c r="L703" s="38" t="n">
        <f aca="false">G703+4*H703</f>
        <v>27</v>
      </c>
      <c r="M703" s="38" t="s">
        <v>619</v>
      </c>
      <c r="N703" s="38" t="n">
        <f aca="false">ROUND(SUMIFS($J$2:$J$1137,$A$2:$A$1137,A703,$C$2:$C$1137,C703),9)</f>
        <v>1</v>
      </c>
    </row>
    <row r="704" customFormat="false" ht="15" hidden="false" customHeight="true" outlineLevel="0" collapsed="false">
      <c r="A704" s="38" t="n">
        <v>44</v>
      </c>
      <c r="B704" s="38" t="s">
        <v>662</v>
      </c>
      <c r="C704" s="38" t="s">
        <v>171</v>
      </c>
      <c r="D704" s="38" t="s">
        <v>169</v>
      </c>
      <c r="E704" s="38" t="str">
        <f aca="false">A704&amp;"|"&amp;C704&amp;"|"&amp;D704</f>
        <v>44|U|G</v>
      </c>
      <c r="F704" s="43" t="n">
        <v>15</v>
      </c>
      <c r="G704" s="38" t="n">
        <f aca="false">SUMIFS($F$2:$F$1137,$A$2:$A$1137,A704,$C$2:$C$1137,C704)</f>
        <v>23</v>
      </c>
      <c r="H704" s="43" t="n">
        <v>1</v>
      </c>
      <c r="I704" s="45" t="n">
        <f aca="false">IF(G704=0,"",F704/G704)</f>
        <v>0.652173913043478</v>
      </c>
      <c r="J704" s="45" t="n">
        <f aca="false">K704/L704</f>
        <v>0.592592592592593</v>
      </c>
      <c r="K704" s="38" t="n">
        <f aca="false">F704+H704</f>
        <v>16</v>
      </c>
      <c r="L704" s="38" t="n">
        <f aca="false">G704+4*H704</f>
        <v>27</v>
      </c>
      <c r="M704" s="38" t="s">
        <v>619</v>
      </c>
      <c r="N704" s="38" t="n">
        <f aca="false">ROUND(SUMIFS($J$2:$J$1137,$A$2:$A$1137,A704,$C$2:$C$1137,C704),9)</f>
        <v>1</v>
      </c>
    </row>
    <row r="705" customFormat="false" ht="15" hidden="false" customHeight="true" outlineLevel="0" collapsed="false">
      <c r="A705" s="38" t="n">
        <v>44</v>
      </c>
      <c r="B705" s="38" t="s">
        <v>662</v>
      </c>
      <c r="C705" s="38" t="s">
        <v>171</v>
      </c>
      <c r="D705" s="38" t="s">
        <v>171</v>
      </c>
      <c r="E705" s="38" t="str">
        <f aca="false">A705&amp;"|"&amp;C705&amp;"|"&amp;D705</f>
        <v>44|U|U</v>
      </c>
      <c r="F705" s="43" t="n">
        <v>6</v>
      </c>
      <c r="G705" s="38" t="n">
        <f aca="false">SUMIFS($F$2:$F$1137,$A$2:$A$1137,A705,$C$2:$C$1137,C705)</f>
        <v>23</v>
      </c>
      <c r="H705" s="43" t="n">
        <v>1</v>
      </c>
      <c r="I705" s="45" t="n">
        <f aca="false">IF(G705=0,"",F705/G705)</f>
        <v>0.260869565217391</v>
      </c>
      <c r="J705" s="45" t="n">
        <f aca="false">K705/L705</f>
        <v>0.259259259259259</v>
      </c>
      <c r="K705" s="38" t="n">
        <f aca="false">F705+H705</f>
        <v>7</v>
      </c>
      <c r="L705" s="38" t="n">
        <f aca="false">G705+4*H705</f>
        <v>27</v>
      </c>
      <c r="M705" s="38" t="s">
        <v>619</v>
      </c>
      <c r="N705" s="38" t="n">
        <f aca="false">ROUND(SUMIFS($J$2:$J$1137,$A$2:$A$1137,A705,$C$2:$C$1137,C705),9)</f>
        <v>1</v>
      </c>
    </row>
    <row r="706" customFormat="false" ht="15" hidden="false" customHeight="true" outlineLevel="0" collapsed="false">
      <c r="A706" s="38" t="n">
        <v>45</v>
      </c>
      <c r="B706" s="38" t="s">
        <v>663</v>
      </c>
      <c r="C706" s="38" t="s">
        <v>172</v>
      </c>
      <c r="D706" s="38" t="s">
        <v>172</v>
      </c>
      <c r="E706" s="38" t="str">
        <f aca="false">A706&amp;"|"&amp;C706&amp;"|"&amp;D706</f>
        <v>45|A|A</v>
      </c>
      <c r="F706" s="43" t="n">
        <v>0</v>
      </c>
      <c r="G706" s="38" t="n">
        <f aca="false">SUMIFS($F$2:$F$1137,$A$2:$A$1137,A706,$C$2:$C$1137,C706)</f>
        <v>9</v>
      </c>
      <c r="H706" s="43" t="n">
        <v>1</v>
      </c>
      <c r="I706" s="45" t="n">
        <f aca="false">IF(G706=0,"",F706/G706)</f>
        <v>0</v>
      </c>
      <c r="J706" s="45" t="n">
        <f aca="false">K706/L706</f>
        <v>0.0769230769230769</v>
      </c>
      <c r="K706" s="38" t="n">
        <f aca="false">F706+H706</f>
        <v>1</v>
      </c>
      <c r="L706" s="38" t="n">
        <f aca="false">G706+4*H706</f>
        <v>13</v>
      </c>
      <c r="M706" s="38" t="s">
        <v>619</v>
      </c>
      <c r="N706" s="38" t="n">
        <f aca="false">ROUND(SUMIFS($J$2:$J$1137,$A$2:$A$1137,A706,$C$2:$C$1137,C706),9)</f>
        <v>1</v>
      </c>
    </row>
    <row r="707" customFormat="false" ht="15" hidden="false" customHeight="true" outlineLevel="0" collapsed="false">
      <c r="A707" s="38" t="n">
        <v>45</v>
      </c>
      <c r="B707" s="38" t="s">
        <v>663</v>
      </c>
      <c r="C707" s="38" t="s">
        <v>172</v>
      </c>
      <c r="D707" s="38" t="s">
        <v>170</v>
      </c>
      <c r="E707" s="38" t="str">
        <f aca="false">A707&amp;"|"&amp;C707&amp;"|"&amp;D707</f>
        <v>45|A|C</v>
      </c>
      <c r="F707" s="43" t="n">
        <v>1</v>
      </c>
      <c r="G707" s="38" t="n">
        <f aca="false">SUMIFS($F$2:$F$1137,$A$2:$A$1137,A707,$C$2:$C$1137,C707)</f>
        <v>9</v>
      </c>
      <c r="H707" s="43" t="n">
        <v>1</v>
      </c>
      <c r="I707" s="45" t="n">
        <f aca="false">IF(G707=0,"",F707/G707)</f>
        <v>0.111111111111111</v>
      </c>
      <c r="J707" s="45" t="n">
        <f aca="false">K707/L707</f>
        <v>0.153846153846154</v>
      </c>
      <c r="K707" s="38" t="n">
        <f aca="false">F707+H707</f>
        <v>2</v>
      </c>
      <c r="L707" s="38" t="n">
        <f aca="false">G707+4*H707</f>
        <v>13</v>
      </c>
      <c r="M707" s="38" t="s">
        <v>619</v>
      </c>
      <c r="N707" s="38" t="n">
        <f aca="false">ROUND(SUMIFS($J$2:$J$1137,$A$2:$A$1137,A707,$C$2:$C$1137,C707),9)</f>
        <v>1</v>
      </c>
    </row>
    <row r="708" customFormat="false" ht="15" hidden="false" customHeight="true" outlineLevel="0" collapsed="false">
      <c r="A708" s="38" t="n">
        <v>45</v>
      </c>
      <c r="B708" s="38" t="s">
        <v>663</v>
      </c>
      <c r="C708" s="38" t="s">
        <v>172</v>
      </c>
      <c r="D708" s="38" t="s">
        <v>169</v>
      </c>
      <c r="E708" s="38" t="str">
        <f aca="false">A708&amp;"|"&amp;C708&amp;"|"&amp;D708</f>
        <v>45|A|G</v>
      </c>
      <c r="F708" s="43" t="n">
        <v>5</v>
      </c>
      <c r="G708" s="38" t="n">
        <f aca="false">SUMIFS($F$2:$F$1137,$A$2:$A$1137,A708,$C$2:$C$1137,C708)</f>
        <v>9</v>
      </c>
      <c r="H708" s="43" t="n">
        <v>1</v>
      </c>
      <c r="I708" s="45" t="n">
        <f aca="false">IF(G708=0,"",F708/G708)</f>
        <v>0.555555555555556</v>
      </c>
      <c r="J708" s="45" t="n">
        <f aca="false">K708/L708</f>
        <v>0.461538461538462</v>
      </c>
      <c r="K708" s="38" t="n">
        <f aca="false">F708+H708</f>
        <v>6</v>
      </c>
      <c r="L708" s="38" t="n">
        <f aca="false">G708+4*H708</f>
        <v>13</v>
      </c>
      <c r="M708" s="38" t="s">
        <v>619</v>
      </c>
      <c r="N708" s="38" t="n">
        <f aca="false">ROUND(SUMIFS($J$2:$J$1137,$A$2:$A$1137,A708,$C$2:$C$1137,C708),9)</f>
        <v>1</v>
      </c>
    </row>
    <row r="709" customFormat="false" ht="15" hidden="false" customHeight="true" outlineLevel="0" collapsed="false">
      <c r="A709" s="38" t="n">
        <v>45</v>
      </c>
      <c r="B709" s="38" t="s">
        <v>663</v>
      </c>
      <c r="C709" s="38" t="s">
        <v>172</v>
      </c>
      <c r="D709" s="38" t="s">
        <v>171</v>
      </c>
      <c r="E709" s="38" t="str">
        <f aca="false">A709&amp;"|"&amp;C709&amp;"|"&amp;D709</f>
        <v>45|A|U</v>
      </c>
      <c r="F709" s="43" t="n">
        <v>3</v>
      </c>
      <c r="G709" s="38" t="n">
        <f aca="false">SUMIFS($F$2:$F$1137,$A$2:$A$1137,A709,$C$2:$C$1137,C709)</f>
        <v>9</v>
      </c>
      <c r="H709" s="43" t="n">
        <v>1</v>
      </c>
      <c r="I709" s="45" t="n">
        <f aca="false">IF(G709=0,"",F709/G709)</f>
        <v>0.333333333333333</v>
      </c>
      <c r="J709" s="45" t="n">
        <f aca="false">K709/L709</f>
        <v>0.307692307692308</v>
      </c>
      <c r="K709" s="38" t="n">
        <f aca="false">F709+H709</f>
        <v>4</v>
      </c>
      <c r="L709" s="38" t="n">
        <f aca="false">G709+4*H709</f>
        <v>13</v>
      </c>
      <c r="M709" s="38" t="s">
        <v>619</v>
      </c>
      <c r="N709" s="38" t="n">
        <f aca="false">ROUND(SUMIFS($J$2:$J$1137,$A$2:$A$1137,A709,$C$2:$C$1137,C709),9)</f>
        <v>1</v>
      </c>
    </row>
    <row r="710" customFormat="false" ht="15" hidden="false" customHeight="true" outlineLevel="0" collapsed="false">
      <c r="A710" s="38" t="n">
        <v>45</v>
      </c>
      <c r="B710" s="38" t="s">
        <v>663</v>
      </c>
      <c r="C710" s="38" t="s">
        <v>170</v>
      </c>
      <c r="D710" s="38" t="s">
        <v>172</v>
      </c>
      <c r="E710" s="38" t="str">
        <f aca="false">A710&amp;"|"&amp;C710&amp;"|"&amp;D710</f>
        <v>45|C|A</v>
      </c>
      <c r="F710" s="43" t="n">
        <v>0</v>
      </c>
      <c r="G710" s="38" t="n">
        <f aca="false">SUMIFS($F$2:$F$1137,$A$2:$A$1137,A710,$C$2:$C$1137,C710)</f>
        <v>5</v>
      </c>
      <c r="H710" s="43" t="n">
        <v>1</v>
      </c>
      <c r="I710" s="45" t="n">
        <f aca="false">IF(G710=0,"",F710/G710)</f>
        <v>0</v>
      </c>
      <c r="J710" s="45" t="n">
        <f aca="false">K710/L710</f>
        <v>0.111111111111111</v>
      </c>
      <c r="K710" s="38" t="n">
        <f aca="false">F710+H710</f>
        <v>1</v>
      </c>
      <c r="L710" s="38" t="n">
        <f aca="false">G710+4*H710</f>
        <v>9</v>
      </c>
      <c r="M710" s="38" t="s">
        <v>619</v>
      </c>
      <c r="N710" s="38" t="n">
        <f aca="false">ROUND(SUMIFS($J$2:$J$1137,$A$2:$A$1137,A710,$C$2:$C$1137,C710),9)</f>
        <v>1</v>
      </c>
    </row>
    <row r="711" customFormat="false" ht="15" hidden="false" customHeight="true" outlineLevel="0" collapsed="false">
      <c r="A711" s="38" t="n">
        <v>45</v>
      </c>
      <c r="B711" s="38" t="s">
        <v>663</v>
      </c>
      <c r="C711" s="38" t="s">
        <v>170</v>
      </c>
      <c r="D711" s="38" t="s">
        <v>170</v>
      </c>
      <c r="E711" s="38" t="str">
        <f aca="false">A711&amp;"|"&amp;C711&amp;"|"&amp;D711</f>
        <v>45|C|C</v>
      </c>
      <c r="F711" s="43" t="n">
        <v>1</v>
      </c>
      <c r="G711" s="38" t="n">
        <f aca="false">SUMIFS($F$2:$F$1137,$A$2:$A$1137,A711,$C$2:$C$1137,C711)</f>
        <v>5</v>
      </c>
      <c r="H711" s="43" t="n">
        <v>1</v>
      </c>
      <c r="I711" s="45" t="n">
        <f aca="false">IF(G711=0,"",F711/G711)</f>
        <v>0.2</v>
      </c>
      <c r="J711" s="45" t="n">
        <f aca="false">K711/L711</f>
        <v>0.222222222222222</v>
      </c>
      <c r="K711" s="38" t="n">
        <f aca="false">F711+H711</f>
        <v>2</v>
      </c>
      <c r="L711" s="38" t="n">
        <f aca="false">G711+4*H711</f>
        <v>9</v>
      </c>
      <c r="M711" s="38" t="s">
        <v>619</v>
      </c>
      <c r="N711" s="38" t="n">
        <f aca="false">ROUND(SUMIFS($J$2:$J$1137,$A$2:$A$1137,A711,$C$2:$C$1137,C711),9)</f>
        <v>1</v>
      </c>
    </row>
    <row r="712" customFormat="false" ht="15" hidden="false" customHeight="true" outlineLevel="0" collapsed="false">
      <c r="A712" s="38" t="n">
        <v>45</v>
      </c>
      <c r="B712" s="38" t="s">
        <v>663</v>
      </c>
      <c r="C712" s="38" t="s">
        <v>170</v>
      </c>
      <c r="D712" s="38" t="s">
        <v>169</v>
      </c>
      <c r="E712" s="38" t="str">
        <f aca="false">A712&amp;"|"&amp;C712&amp;"|"&amp;D712</f>
        <v>45|C|G</v>
      </c>
      <c r="F712" s="43" t="n">
        <v>3</v>
      </c>
      <c r="G712" s="38" t="n">
        <f aca="false">SUMIFS($F$2:$F$1137,$A$2:$A$1137,A712,$C$2:$C$1137,C712)</f>
        <v>5</v>
      </c>
      <c r="H712" s="43" t="n">
        <v>1</v>
      </c>
      <c r="I712" s="45" t="n">
        <f aca="false">IF(G712=0,"",F712/G712)</f>
        <v>0.6</v>
      </c>
      <c r="J712" s="45" t="n">
        <f aca="false">K712/L712</f>
        <v>0.444444444444444</v>
      </c>
      <c r="K712" s="38" t="n">
        <f aca="false">F712+H712</f>
        <v>4</v>
      </c>
      <c r="L712" s="38" t="n">
        <f aca="false">G712+4*H712</f>
        <v>9</v>
      </c>
      <c r="M712" s="38" t="s">
        <v>619</v>
      </c>
      <c r="N712" s="38" t="n">
        <f aca="false">ROUND(SUMIFS($J$2:$J$1137,$A$2:$A$1137,A712,$C$2:$C$1137,C712),9)</f>
        <v>1</v>
      </c>
    </row>
    <row r="713" customFormat="false" ht="15" hidden="false" customHeight="true" outlineLevel="0" collapsed="false">
      <c r="A713" s="38" t="n">
        <v>45</v>
      </c>
      <c r="B713" s="38" t="s">
        <v>663</v>
      </c>
      <c r="C713" s="38" t="s">
        <v>170</v>
      </c>
      <c r="D713" s="38" t="s">
        <v>171</v>
      </c>
      <c r="E713" s="38" t="str">
        <f aca="false">A713&amp;"|"&amp;C713&amp;"|"&amp;D713</f>
        <v>45|C|U</v>
      </c>
      <c r="F713" s="43" t="n">
        <v>1</v>
      </c>
      <c r="G713" s="38" t="n">
        <f aca="false">SUMIFS($F$2:$F$1137,$A$2:$A$1137,A713,$C$2:$C$1137,C713)</f>
        <v>5</v>
      </c>
      <c r="H713" s="43" t="n">
        <v>1</v>
      </c>
      <c r="I713" s="45" t="n">
        <f aca="false">IF(G713=0,"",F713/G713)</f>
        <v>0.2</v>
      </c>
      <c r="J713" s="45" t="n">
        <f aca="false">K713/L713</f>
        <v>0.222222222222222</v>
      </c>
      <c r="K713" s="38" t="n">
        <f aca="false">F713+H713</f>
        <v>2</v>
      </c>
      <c r="L713" s="38" t="n">
        <f aca="false">G713+4*H713</f>
        <v>9</v>
      </c>
      <c r="M713" s="38" t="s">
        <v>619</v>
      </c>
      <c r="N713" s="38" t="n">
        <f aca="false">ROUND(SUMIFS($J$2:$J$1137,$A$2:$A$1137,A713,$C$2:$C$1137,C713),9)</f>
        <v>1</v>
      </c>
    </row>
    <row r="714" customFormat="false" ht="15" hidden="false" customHeight="true" outlineLevel="0" collapsed="false">
      <c r="A714" s="38" t="n">
        <v>45</v>
      </c>
      <c r="B714" s="38" t="s">
        <v>663</v>
      </c>
      <c r="C714" s="38" t="s">
        <v>169</v>
      </c>
      <c r="D714" s="38" t="s">
        <v>172</v>
      </c>
      <c r="E714" s="38" t="str">
        <f aca="false">A714&amp;"|"&amp;C714&amp;"|"&amp;D714</f>
        <v>45|G|A</v>
      </c>
      <c r="F714" s="43" t="n">
        <v>15</v>
      </c>
      <c r="G714" s="38" t="n">
        <f aca="false">SUMIFS($F$2:$F$1137,$A$2:$A$1137,A714,$C$2:$C$1137,C714)</f>
        <v>133</v>
      </c>
      <c r="H714" s="43" t="n">
        <v>1</v>
      </c>
      <c r="I714" s="45" t="n">
        <f aca="false">IF(G714=0,"",F714/G714)</f>
        <v>0.112781954887218</v>
      </c>
      <c r="J714" s="45" t="n">
        <f aca="false">K714/L714</f>
        <v>0.116788321167883</v>
      </c>
      <c r="K714" s="38" t="n">
        <f aca="false">F714+H714</f>
        <v>16</v>
      </c>
      <c r="L714" s="38" t="n">
        <f aca="false">G714+4*H714</f>
        <v>137</v>
      </c>
      <c r="M714" s="38" t="s">
        <v>619</v>
      </c>
      <c r="N714" s="38" t="n">
        <f aca="false">ROUND(SUMIFS($J$2:$J$1137,$A$2:$A$1137,A714,$C$2:$C$1137,C714),9)</f>
        <v>1</v>
      </c>
    </row>
    <row r="715" customFormat="false" ht="15" hidden="false" customHeight="true" outlineLevel="0" collapsed="false">
      <c r="A715" s="38" t="n">
        <v>45</v>
      </c>
      <c r="B715" s="38" t="s">
        <v>663</v>
      </c>
      <c r="C715" s="38" t="s">
        <v>169</v>
      </c>
      <c r="D715" s="38" t="s">
        <v>170</v>
      </c>
      <c r="E715" s="38" t="str">
        <f aca="false">A715&amp;"|"&amp;C715&amp;"|"&amp;D715</f>
        <v>45|G|C</v>
      </c>
      <c r="F715" s="43" t="n">
        <v>2</v>
      </c>
      <c r="G715" s="38" t="n">
        <f aca="false">SUMIFS($F$2:$F$1137,$A$2:$A$1137,A715,$C$2:$C$1137,C715)</f>
        <v>133</v>
      </c>
      <c r="H715" s="43" t="n">
        <v>1</v>
      </c>
      <c r="I715" s="45" t="n">
        <f aca="false">IF(G715=0,"",F715/G715)</f>
        <v>0.0150375939849624</v>
      </c>
      <c r="J715" s="45" t="n">
        <f aca="false">K715/L715</f>
        <v>0.0218978102189781</v>
      </c>
      <c r="K715" s="38" t="n">
        <f aca="false">F715+H715</f>
        <v>3</v>
      </c>
      <c r="L715" s="38" t="n">
        <f aca="false">G715+4*H715</f>
        <v>137</v>
      </c>
      <c r="M715" s="38" t="s">
        <v>619</v>
      </c>
      <c r="N715" s="38" t="n">
        <f aca="false">ROUND(SUMIFS($J$2:$J$1137,$A$2:$A$1137,A715,$C$2:$C$1137,C715),9)</f>
        <v>1</v>
      </c>
    </row>
    <row r="716" customFormat="false" ht="15" hidden="false" customHeight="true" outlineLevel="0" collapsed="false">
      <c r="A716" s="38" t="n">
        <v>45</v>
      </c>
      <c r="B716" s="38" t="s">
        <v>663</v>
      </c>
      <c r="C716" s="38" t="s">
        <v>169</v>
      </c>
      <c r="D716" s="38" t="s">
        <v>169</v>
      </c>
      <c r="E716" s="38" t="str">
        <f aca="false">A716&amp;"|"&amp;C716&amp;"|"&amp;D716</f>
        <v>45|G|G</v>
      </c>
      <c r="F716" s="43" t="n">
        <v>112</v>
      </c>
      <c r="G716" s="38" t="n">
        <f aca="false">SUMIFS($F$2:$F$1137,$A$2:$A$1137,A716,$C$2:$C$1137,C716)</f>
        <v>133</v>
      </c>
      <c r="H716" s="43" t="n">
        <v>1</v>
      </c>
      <c r="I716" s="45" t="n">
        <f aca="false">IF(G716=0,"",F716/G716)</f>
        <v>0.842105263157895</v>
      </c>
      <c r="J716" s="45" t="n">
        <f aca="false">K716/L716</f>
        <v>0.824817518248175</v>
      </c>
      <c r="K716" s="38" t="n">
        <f aca="false">F716+H716</f>
        <v>113</v>
      </c>
      <c r="L716" s="38" t="n">
        <f aca="false">G716+4*H716</f>
        <v>137</v>
      </c>
      <c r="M716" s="38" t="s">
        <v>619</v>
      </c>
      <c r="N716" s="38" t="n">
        <f aca="false">ROUND(SUMIFS($J$2:$J$1137,$A$2:$A$1137,A716,$C$2:$C$1137,C716),9)</f>
        <v>1</v>
      </c>
    </row>
    <row r="717" customFormat="false" ht="15" hidden="false" customHeight="true" outlineLevel="0" collapsed="false">
      <c r="A717" s="38" t="n">
        <v>45</v>
      </c>
      <c r="B717" s="38" t="s">
        <v>663</v>
      </c>
      <c r="C717" s="38" t="s">
        <v>169</v>
      </c>
      <c r="D717" s="38" t="s">
        <v>171</v>
      </c>
      <c r="E717" s="38" t="str">
        <f aca="false">A717&amp;"|"&amp;C717&amp;"|"&amp;D717</f>
        <v>45|G|U</v>
      </c>
      <c r="F717" s="43" t="n">
        <v>4</v>
      </c>
      <c r="G717" s="38" t="n">
        <f aca="false">SUMIFS($F$2:$F$1137,$A$2:$A$1137,A717,$C$2:$C$1137,C717)</f>
        <v>133</v>
      </c>
      <c r="H717" s="43" t="n">
        <v>1</v>
      </c>
      <c r="I717" s="45" t="n">
        <f aca="false">IF(G717=0,"",F717/G717)</f>
        <v>0.0300751879699248</v>
      </c>
      <c r="J717" s="45" t="n">
        <f aca="false">K717/L717</f>
        <v>0.0364963503649635</v>
      </c>
      <c r="K717" s="38" t="n">
        <f aca="false">F717+H717</f>
        <v>5</v>
      </c>
      <c r="L717" s="38" t="n">
        <f aca="false">G717+4*H717</f>
        <v>137</v>
      </c>
      <c r="M717" s="38" t="s">
        <v>619</v>
      </c>
      <c r="N717" s="38" t="n">
        <f aca="false">ROUND(SUMIFS($J$2:$J$1137,$A$2:$A$1137,A717,$C$2:$C$1137,C717),9)</f>
        <v>1</v>
      </c>
    </row>
    <row r="718" customFormat="false" ht="15" hidden="false" customHeight="true" outlineLevel="0" collapsed="false">
      <c r="A718" s="38" t="n">
        <v>45</v>
      </c>
      <c r="B718" s="38" t="s">
        <v>663</v>
      </c>
      <c r="C718" s="38" t="s">
        <v>171</v>
      </c>
      <c r="D718" s="38" t="s">
        <v>172</v>
      </c>
      <c r="E718" s="38" t="str">
        <f aca="false">A718&amp;"|"&amp;C718&amp;"|"&amp;D718</f>
        <v>45|U|A</v>
      </c>
      <c r="F718" s="43" t="n">
        <v>1</v>
      </c>
      <c r="G718" s="38" t="n">
        <f aca="false">SUMIFS($F$2:$F$1137,$A$2:$A$1137,A718,$C$2:$C$1137,C718)</f>
        <v>21</v>
      </c>
      <c r="H718" s="43" t="n">
        <v>1</v>
      </c>
      <c r="I718" s="45" t="n">
        <f aca="false">IF(G718=0,"",F718/G718)</f>
        <v>0.0476190476190476</v>
      </c>
      <c r="J718" s="45" t="n">
        <f aca="false">K718/L718</f>
        <v>0.08</v>
      </c>
      <c r="K718" s="38" t="n">
        <f aca="false">F718+H718</f>
        <v>2</v>
      </c>
      <c r="L718" s="38" t="n">
        <f aca="false">G718+4*H718</f>
        <v>25</v>
      </c>
      <c r="M718" s="38" t="s">
        <v>619</v>
      </c>
      <c r="N718" s="38" t="n">
        <f aca="false">ROUND(SUMIFS($J$2:$J$1137,$A$2:$A$1137,A718,$C$2:$C$1137,C718),9)</f>
        <v>1</v>
      </c>
    </row>
    <row r="719" customFormat="false" ht="15" hidden="false" customHeight="true" outlineLevel="0" collapsed="false">
      <c r="A719" s="38" t="n">
        <v>45</v>
      </c>
      <c r="B719" s="38" t="s">
        <v>663</v>
      </c>
      <c r="C719" s="38" t="s">
        <v>171</v>
      </c>
      <c r="D719" s="38" t="s">
        <v>170</v>
      </c>
      <c r="E719" s="38" t="str">
        <f aca="false">A719&amp;"|"&amp;C719&amp;"|"&amp;D719</f>
        <v>45|U|C</v>
      </c>
      <c r="F719" s="43" t="n">
        <v>0</v>
      </c>
      <c r="G719" s="38" t="n">
        <f aca="false">SUMIFS($F$2:$F$1137,$A$2:$A$1137,A719,$C$2:$C$1137,C719)</f>
        <v>21</v>
      </c>
      <c r="H719" s="43" t="n">
        <v>1</v>
      </c>
      <c r="I719" s="45" t="n">
        <f aca="false">IF(G719=0,"",F719/G719)</f>
        <v>0</v>
      </c>
      <c r="J719" s="45" t="n">
        <f aca="false">K719/L719</f>
        <v>0.04</v>
      </c>
      <c r="K719" s="38" t="n">
        <f aca="false">F719+H719</f>
        <v>1</v>
      </c>
      <c r="L719" s="38" t="n">
        <f aca="false">G719+4*H719</f>
        <v>25</v>
      </c>
      <c r="M719" s="38" t="s">
        <v>619</v>
      </c>
      <c r="N719" s="38" t="n">
        <f aca="false">ROUND(SUMIFS($J$2:$J$1137,$A$2:$A$1137,A719,$C$2:$C$1137,C719),9)</f>
        <v>1</v>
      </c>
    </row>
    <row r="720" customFormat="false" ht="15" hidden="false" customHeight="true" outlineLevel="0" collapsed="false">
      <c r="A720" s="38" t="n">
        <v>45</v>
      </c>
      <c r="B720" s="38" t="s">
        <v>663</v>
      </c>
      <c r="C720" s="38" t="s">
        <v>171</v>
      </c>
      <c r="D720" s="38" t="s">
        <v>169</v>
      </c>
      <c r="E720" s="38" t="str">
        <f aca="false">A720&amp;"|"&amp;C720&amp;"|"&amp;D720</f>
        <v>45|U|G</v>
      </c>
      <c r="F720" s="43" t="n">
        <v>16</v>
      </c>
      <c r="G720" s="38" t="n">
        <f aca="false">SUMIFS($F$2:$F$1137,$A$2:$A$1137,A720,$C$2:$C$1137,C720)</f>
        <v>21</v>
      </c>
      <c r="H720" s="43" t="n">
        <v>1</v>
      </c>
      <c r="I720" s="45" t="n">
        <f aca="false">IF(G720=0,"",F720/G720)</f>
        <v>0.761904761904762</v>
      </c>
      <c r="J720" s="45" t="n">
        <f aca="false">K720/L720</f>
        <v>0.68</v>
      </c>
      <c r="K720" s="38" t="n">
        <f aca="false">F720+H720</f>
        <v>17</v>
      </c>
      <c r="L720" s="38" t="n">
        <f aca="false">G720+4*H720</f>
        <v>25</v>
      </c>
      <c r="M720" s="38" t="s">
        <v>619</v>
      </c>
      <c r="N720" s="38" t="n">
        <f aca="false">ROUND(SUMIFS($J$2:$J$1137,$A$2:$A$1137,A720,$C$2:$C$1137,C720),9)</f>
        <v>1</v>
      </c>
    </row>
    <row r="721" customFormat="false" ht="15" hidden="false" customHeight="true" outlineLevel="0" collapsed="false">
      <c r="A721" s="38" t="n">
        <v>45</v>
      </c>
      <c r="B721" s="38" t="s">
        <v>663</v>
      </c>
      <c r="C721" s="38" t="s">
        <v>171</v>
      </c>
      <c r="D721" s="38" t="s">
        <v>171</v>
      </c>
      <c r="E721" s="38" t="str">
        <f aca="false">A721&amp;"|"&amp;C721&amp;"|"&amp;D721</f>
        <v>45|U|U</v>
      </c>
      <c r="F721" s="43" t="n">
        <v>4</v>
      </c>
      <c r="G721" s="38" t="n">
        <f aca="false">SUMIFS($F$2:$F$1137,$A$2:$A$1137,A721,$C$2:$C$1137,C721)</f>
        <v>21</v>
      </c>
      <c r="H721" s="43" t="n">
        <v>1</v>
      </c>
      <c r="I721" s="45" t="n">
        <f aca="false">IF(G721=0,"",F721/G721)</f>
        <v>0.19047619047619</v>
      </c>
      <c r="J721" s="45" t="n">
        <f aca="false">K721/L721</f>
        <v>0.2</v>
      </c>
      <c r="K721" s="38" t="n">
        <f aca="false">F721+H721</f>
        <v>5</v>
      </c>
      <c r="L721" s="38" t="n">
        <f aca="false">G721+4*H721</f>
        <v>25</v>
      </c>
      <c r="M721" s="38" t="s">
        <v>619</v>
      </c>
      <c r="N721" s="38" t="n">
        <f aca="false">ROUND(SUMIFS($J$2:$J$1137,$A$2:$A$1137,A721,$C$2:$C$1137,C721),9)</f>
        <v>1</v>
      </c>
    </row>
    <row r="722" customFormat="false" ht="15" hidden="false" customHeight="true" outlineLevel="0" collapsed="false">
      <c r="A722" s="38" t="n">
        <v>46</v>
      </c>
      <c r="B722" s="38" t="s">
        <v>664</v>
      </c>
      <c r="C722" s="38" t="s">
        <v>172</v>
      </c>
      <c r="D722" s="38" t="s">
        <v>172</v>
      </c>
      <c r="E722" s="38" t="str">
        <f aca="false">A722&amp;"|"&amp;C722&amp;"|"&amp;D722</f>
        <v>46|A|A</v>
      </c>
      <c r="F722" s="43" t="n">
        <v>0</v>
      </c>
      <c r="G722" s="38" t="n">
        <f aca="false">SUMIFS($F$2:$F$1137,$A$2:$A$1137,A722,$C$2:$C$1137,C722)</f>
        <v>16</v>
      </c>
      <c r="H722" s="43" t="n">
        <v>1</v>
      </c>
      <c r="I722" s="45" t="n">
        <f aca="false">IF(G722=0,"",F722/G722)</f>
        <v>0</v>
      </c>
      <c r="J722" s="45" t="n">
        <f aca="false">K722/L722</f>
        <v>0.05</v>
      </c>
      <c r="K722" s="38" t="n">
        <f aca="false">F722+H722</f>
        <v>1</v>
      </c>
      <c r="L722" s="38" t="n">
        <f aca="false">G722+4*H722</f>
        <v>20</v>
      </c>
      <c r="M722" s="38" t="s">
        <v>619</v>
      </c>
      <c r="N722" s="38" t="n">
        <f aca="false">ROUND(SUMIFS($J$2:$J$1137,$A$2:$A$1137,A722,$C$2:$C$1137,C722),9)</f>
        <v>1</v>
      </c>
    </row>
    <row r="723" customFormat="false" ht="15" hidden="false" customHeight="true" outlineLevel="0" collapsed="false">
      <c r="A723" s="38" t="n">
        <v>46</v>
      </c>
      <c r="B723" s="38" t="s">
        <v>664</v>
      </c>
      <c r="C723" s="38" t="s">
        <v>172</v>
      </c>
      <c r="D723" s="38" t="s">
        <v>170</v>
      </c>
      <c r="E723" s="38" t="str">
        <f aca="false">A723&amp;"|"&amp;C723&amp;"|"&amp;D723</f>
        <v>46|A|C</v>
      </c>
      <c r="F723" s="43" t="n">
        <v>3</v>
      </c>
      <c r="G723" s="38" t="n">
        <f aca="false">SUMIFS($F$2:$F$1137,$A$2:$A$1137,A723,$C$2:$C$1137,C723)</f>
        <v>16</v>
      </c>
      <c r="H723" s="43" t="n">
        <v>1</v>
      </c>
      <c r="I723" s="45" t="n">
        <f aca="false">IF(G723=0,"",F723/G723)</f>
        <v>0.1875</v>
      </c>
      <c r="J723" s="45" t="n">
        <f aca="false">K723/L723</f>
        <v>0.2</v>
      </c>
      <c r="K723" s="38" t="n">
        <f aca="false">F723+H723</f>
        <v>4</v>
      </c>
      <c r="L723" s="38" t="n">
        <f aca="false">G723+4*H723</f>
        <v>20</v>
      </c>
      <c r="M723" s="38" t="s">
        <v>619</v>
      </c>
      <c r="N723" s="38" t="n">
        <f aca="false">ROUND(SUMIFS($J$2:$J$1137,$A$2:$A$1137,A723,$C$2:$C$1137,C723),9)</f>
        <v>1</v>
      </c>
    </row>
    <row r="724" customFormat="false" ht="15" hidden="false" customHeight="true" outlineLevel="0" collapsed="false">
      <c r="A724" s="38" t="n">
        <v>46</v>
      </c>
      <c r="B724" s="38" t="s">
        <v>664</v>
      </c>
      <c r="C724" s="38" t="s">
        <v>172</v>
      </c>
      <c r="D724" s="38" t="s">
        <v>169</v>
      </c>
      <c r="E724" s="38" t="str">
        <f aca="false">A724&amp;"|"&amp;C724&amp;"|"&amp;D724</f>
        <v>46|A|G</v>
      </c>
      <c r="F724" s="43" t="n">
        <v>1</v>
      </c>
      <c r="G724" s="38" t="n">
        <f aca="false">SUMIFS($F$2:$F$1137,$A$2:$A$1137,A724,$C$2:$C$1137,C724)</f>
        <v>16</v>
      </c>
      <c r="H724" s="43" t="n">
        <v>1</v>
      </c>
      <c r="I724" s="45" t="n">
        <f aca="false">IF(G724=0,"",F724/G724)</f>
        <v>0.0625</v>
      </c>
      <c r="J724" s="45" t="n">
        <f aca="false">K724/L724</f>
        <v>0.1</v>
      </c>
      <c r="K724" s="38" t="n">
        <f aca="false">F724+H724</f>
        <v>2</v>
      </c>
      <c r="L724" s="38" t="n">
        <f aca="false">G724+4*H724</f>
        <v>20</v>
      </c>
      <c r="M724" s="38" t="s">
        <v>619</v>
      </c>
      <c r="N724" s="38" t="n">
        <f aca="false">ROUND(SUMIFS($J$2:$J$1137,$A$2:$A$1137,A724,$C$2:$C$1137,C724),9)</f>
        <v>1</v>
      </c>
    </row>
    <row r="725" customFormat="false" ht="15" hidden="false" customHeight="true" outlineLevel="0" collapsed="false">
      <c r="A725" s="38" t="n">
        <v>46</v>
      </c>
      <c r="B725" s="38" t="s">
        <v>664</v>
      </c>
      <c r="C725" s="38" t="s">
        <v>172</v>
      </c>
      <c r="D725" s="38" t="s">
        <v>171</v>
      </c>
      <c r="E725" s="38" t="str">
        <f aca="false">A725&amp;"|"&amp;C725&amp;"|"&amp;D725</f>
        <v>46|A|U</v>
      </c>
      <c r="F725" s="43" t="n">
        <v>12</v>
      </c>
      <c r="G725" s="38" t="n">
        <f aca="false">SUMIFS($F$2:$F$1137,$A$2:$A$1137,A725,$C$2:$C$1137,C725)</f>
        <v>16</v>
      </c>
      <c r="H725" s="43" t="n">
        <v>1</v>
      </c>
      <c r="I725" s="45" t="n">
        <f aca="false">IF(G725=0,"",F725/G725)</f>
        <v>0.75</v>
      </c>
      <c r="J725" s="45" t="n">
        <f aca="false">K725/L725</f>
        <v>0.65</v>
      </c>
      <c r="K725" s="38" t="n">
        <f aca="false">F725+H725</f>
        <v>13</v>
      </c>
      <c r="L725" s="38" t="n">
        <f aca="false">G725+4*H725</f>
        <v>20</v>
      </c>
      <c r="M725" s="38" t="s">
        <v>619</v>
      </c>
      <c r="N725" s="38" t="n">
        <f aca="false">ROUND(SUMIFS($J$2:$J$1137,$A$2:$A$1137,A725,$C$2:$C$1137,C725),9)</f>
        <v>1</v>
      </c>
    </row>
    <row r="726" customFormat="false" ht="15" hidden="false" customHeight="true" outlineLevel="0" collapsed="false">
      <c r="A726" s="38" t="n">
        <v>46</v>
      </c>
      <c r="B726" s="38" t="s">
        <v>664</v>
      </c>
      <c r="C726" s="38" t="s">
        <v>170</v>
      </c>
      <c r="D726" s="38" t="s">
        <v>172</v>
      </c>
      <c r="E726" s="38" t="str">
        <f aca="false">A726&amp;"|"&amp;C726&amp;"|"&amp;D726</f>
        <v>46|C|A</v>
      </c>
      <c r="F726" s="43" t="n">
        <v>1</v>
      </c>
      <c r="G726" s="38" t="n">
        <f aca="false">SUMIFS($F$2:$F$1137,$A$2:$A$1137,A726,$C$2:$C$1137,C726)</f>
        <v>4</v>
      </c>
      <c r="H726" s="43" t="n">
        <v>1</v>
      </c>
      <c r="I726" s="45" t="n">
        <f aca="false">IF(G726=0,"",F726/G726)</f>
        <v>0.25</v>
      </c>
      <c r="J726" s="45" t="n">
        <f aca="false">K726/L726</f>
        <v>0.25</v>
      </c>
      <c r="K726" s="38" t="n">
        <f aca="false">F726+H726</f>
        <v>2</v>
      </c>
      <c r="L726" s="38" t="n">
        <f aca="false">G726+4*H726</f>
        <v>8</v>
      </c>
      <c r="M726" s="38" t="s">
        <v>619</v>
      </c>
      <c r="N726" s="38" t="n">
        <f aca="false">ROUND(SUMIFS($J$2:$J$1137,$A$2:$A$1137,A726,$C$2:$C$1137,C726),9)</f>
        <v>1</v>
      </c>
    </row>
    <row r="727" customFormat="false" ht="15" hidden="false" customHeight="true" outlineLevel="0" collapsed="false">
      <c r="A727" s="38" t="n">
        <v>46</v>
      </c>
      <c r="B727" s="38" t="s">
        <v>664</v>
      </c>
      <c r="C727" s="38" t="s">
        <v>170</v>
      </c>
      <c r="D727" s="38" t="s">
        <v>170</v>
      </c>
      <c r="E727" s="38" t="str">
        <f aca="false">A727&amp;"|"&amp;C727&amp;"|"&amp;D727</f>
        <v>46|C|C</v>
      </c>
      <c r="F727" s="43" t="n">
        <v>1</v>
      </c>
      <c r="G727" s="38" t="n">
        <f aca="false">SUMIFS($F$2:$F$1137,$A$2:$A$1137,A727,$C$2:$C$1137,C727)</f>
        <v>4</v>
      </c>
      <c r="H727" s="43" t="n">
        <v>1</v>
      </c>
      <c r="I727" s="45" t="n">
        <f aca="false">IF(G727=0,"",F727/G727)</f>
        <v>0.25</v>
      </c>
      <c r="J727" s="45" t="n">
        <f aca="false">K727/L727</f>
        <v>0.25</v>
      </c>
      <c r="K727" s="38" t="n">
        <f aca="false">F727+H727</f>
        <v>2</v>
      </c>
      <c r="L727" s="38" t="n">
        <f aca="false">G727+4*H727</f>
        <v>8</v>
      </c>
      <c r="M727" s="38" t="s">
        <v>619</v>
      </c>
      <c r="N727" s="38" t="n">
        <f aca="false">ROUND(SUMIFS($J$2:$J$1137,$A$2:$A$1137,A727,$C$2:$C$1137,C727),9)</f>
        <v>1</v>
      </c>
    </row>
    <row r="728" customFormat="false" ht="15" hidden="false" customHeight="true" outlineLevel="0" collapsed="false">
      <c r="A728" s="38" t="n">
        <v>46</v>
      </c>
      <c r="B728" s="38" t="s">
        <v>664</v>
      </c>
      <c r="C728" s="38" t="s">
        <v>170</v>
      </c>
      <c r="D728" s="38" t="s">
        <v>169</v>
      </c>
      <c r="E728" s="38" t="str">
        <f aca="false">A728&amp;"|"&amp;C728&amp;"|"&amp;D728</f>
        <v>46|C|G</v>
      </c>
      <c r="F728" s="43" t="n">
        <v>1</v>
      </c>
      <c r="G728" s="38" t="n">
        <f aca="false">SUMIFS($F$2:$F$1137,$A$2:$A$1137,A728,$C$2:$C$1137,C728)</f>
        <v>4</v>
      </c>
      <c r="H728" s="43" t="n">
        <v>1</v>
      </c>
      <c r="I728" s="45" t="n">
        <f aca="false">IF(G728=0,"",F728/G728)</f>
        <v>0.25</v>
      </c>
      <c r="J728" s="45" t="n">
        <f aca="false">K728/L728</f>
        <v>0.25</v>
      </c>
      <c r="K728" s="38" t="n">
        <f aca="false">F728+H728</f>
        <v>2</v>
      </c>
      <c r="L728" s="38" t="n">
        <f aca="false">G728+4*H728</f>
        <v>8</v>
      </c>
      <c r="M728" s="38" t="s">
        <v>619</v>
      </c>
      <c r="N728" s="38" t="n">
        <f aca="false">ROUND(SUMIFS($J$2:$J$1137,$A$2:$A$1137,A728,$C$2:$C$1137,C728),9)</f>
        <v>1</v>
      </c>
    </row>
    <row r="729" customFormat="false" ht="15" hidden="false" customHeight="true" outlineLevel="0" collapsed="false">
      <c r="A729" s="38" t="n">
        <v>46</v>
      </c>
      <c r="B729" s="38" t="s">
        <v>664</v>
      </c>
      <c r="C729" s="38" t="s">
        <v>170</v>
      </c>
      <c r="D729" s="38" t="s">
        <v>171</v>
      </c>
      <c r="E729" s="38" t="str">
        <f aca="false">A729&amp;"|"&amp;C729&amp;"|"&amp;D729</f>
        <v>46|C|U</v>
      </c>
      <c r="F729" s="43" t="n">
        <v>1</v>
      </c>
      <c r="G729" s="38" t="n">
        <f aca="false">SUMIFS($F$2:$F$1137,$A$2:$A$1137,A729,$C$2:$C$1137,C729)</f>
        <v>4</v>
      </c>
      <c r="H729" s="43" t="n">
        <v>1</v>
      </c>
      <c r="I729" s="45" t="n">
        <f aca="false">IF(G729=0,"",F729/G729)</f>
        <v>0.25</v>
      </c>
      <c r="J729" s="45" t="n">
        <f aca="false">K729/L729</f>
        <v>0.25</v>
      </c>
      <c r="K729" s="38" t="n">
        <f aca="false">F729+H729</f>
        <v>2</v>
      </c>
      <c r="L729" s="38" t="n">
        <f aca="false">G729+4*H729</f>
        <v>8</v>
      </c>
      <c r="M729" s="38" t="s">
        <v>619</v>
      </c>
      <c r="N729" s="38" t="n">
        <f aca="false">ROUND(SUMIFS($J$2:$J$1137,$A$2:$A$1137,A729,$C$2:$C$1137,C729),9)</f>
        <v>1</v>
      </c>
    </row>
    <row r="730" customFormat="false" ht="15" hidden="false" customHeight="true" outlineLevel="0" collapsed="false">
      <c r="A730" s="38" t="n">
        <v>46</v>
      </c>
      <c r="B730" s="38" t="s">
        <v>664</v>
      </c>
      <c r="C730" s="38" t="s">
        <v>169</v>
      </c>
      <c r="D730" s="38" t="s">
        <v>172</v>
      </c>
      <c r="E730" s="38" t="str">
        <f aca="false">A730&amp;"|"&amp;C730&amp;"|"&amp;D730</f>
        <v>46|G|A</v>
      </c>
      <c r="F730" s="43" t="n">
        <v>0</v>
      </c>
      <c r="G730" s="38" t="n">
        <f aca="false">SUMIFS($F$2:$F$1137,$A$2:$A$1137,A730,$C$2:$C$1137,C730)</f>
        <v>136</v>
      </c>
      <c r="H730" s="43" t="n">
        <v>1</v>
      </c>
      <c r="I730" s="45" t="n">
        <f aca="false">IF(G730=0,"",F730/G730)</f>
        <v>0</v>
      </c>
      <c r="J730" s="45" t="n">
        <f aca="false">K730/L730</f>
        <v>0.00714285714285714</v>
      </c>
      <c r="K730" s="38" t="n">
        <f aca="false">F730+H730</f>
        <v>1</v>
      </c>
      <c r="L730" s="38" t="n">
        <f aca="false">G730+4*H730</f>
        <v>140</v>
      </c>
      <c r="M730" s="38" t="s">
        <v>619</v>
      </c>
      <c r="N730" s="38" t="n">
        <f aca="false">ROUND(SUMIFS($J$2:$J$1137,$A$2:$A$1137,A730,$C$2:$C$1137,C730),9)</f>
        <v>1</v>
      </c>
    </row>
    <row r="731" customFormat="false" ht="15" hidden="false" customHeight="true" outlineLevel="0" collapsed="false">
      <c r="A731" s="38" t="n">
        <v>46</v>
      </c>
      <c r="B731" s="38" t="s">
        <v>664</v>
      </c>
      <c r="C731" s="38" t="s">
        <v>169</v>
      </c>
      <c r="D731" s="38" t="s">
        <v>170</v>
      </c>
      <c r="E731" s="38" t="str">
        <f aca="false">A731&amp;"|"&amp;C731&amp;"|"&amp;D731</f>
        <v>46|G|C</v>
      </c>
      <c r="F731" s="43" t="n">
        <v>15</v>
      </c>
      <c r="G731" s="38" t="n">
        <f aca="false">SUMIFS($F$2:$F$1137,$A$2:$A$1137,A731,$C$2:$C$1137,C731)</f>
        <v>136</v>
      </c>
      <c r="H731" s="43" t="n">
        <v>1</v>
      </c>
      <c r="I731" s="45" t="n">
        <f aca="false">IF(G731=0,"",F731/G731)</f>
        <v>0.110294117647059</v>
      </c>
      <c r="J731" s="45" t="n">
        <f aca="false">K731/L731</f>
        <v>0.114285714285714</v>
      </c>
      <c r="K731" s="38" t="n">
        <f aca="false">F731+H731</f>
        <v>16</v>
      </c>
      <c r="L731" s="38" t="n">
        <f aca="false">G731+4*H731</f>
        <v>140</v>
      </c>
      <c r="M731" s="38" t="s">
        <v>619</v>
      </c>
      <c r="N731" s="38" t="n">
        <f aca="false">ROUND(SUMIFS($J$2:$J$1137,$A$2:$A$1137,A731,$C$2:$C$1137,C731),9)</f>
        <v>1</v>
      </c>
    </row>
    <row r="732" customFormat="false" ht="15" hidden="false" customHeight="true" outlineLevel="0" collapsed="false">
      <c r="A732" s="38" t="n">
        <v>46</v>
      </c>
      <c r="B732" s="38" t="s">
        <v>664</v>
      </c>
      <c r="C732" s="38" t="s">
        <v>169</v>
      </c>
      <c r="D732" s="38" t="s">
        <v>169</v>
      </c>
      <c r="E732" s="38" t="str">
        <f aca="false">A732&amp;"|"&amp;C732&amp;"|"&amp;D732</f>
        <v>46|G|G</v>
      </c>
      <c r="F732" s="43" t="n">
        <v>4</v>
      </c>
      <c r="G732" s="38" t="n">
        <f aca="false">SUMIFS($F$2:$F$1137,$A$2:$A$1137,A732,$C$2:$C$1137,C732)</f>
        <v>136</v>
      </c>
      <c r="H732" s="43" t="n">
        <v>1</v>
      </c>
      <c r="I732" s="45" t="n">
        <f aca="false">IF(G732=0,"",F732/G732)</f>
        <v>0.0294117647058824</v>
      </c>
      <c r="J732" s="45" t="n">
        <f aca="false">K732/L732</f>
        <v>0.0357142857142857</v>
      </c>
      <c r="K732" s="38" t="n">
        <f aca="false">F732+H732</f>
        <v>5</v>
      </c>
      <c r="L732" s="38" t="n">
        <f aca="false">G732+4*H732</f>
        <v>140</v>
      </c>
      <c r="M732" s="38" t="s">
        <v>619</v>
      </c>
      <c r="N732" s="38" t="n">
        <f aca="false">ROUND(SUMIFS($J$2:$J$1137,$A$2:$A$1137,A732,$C$2:$C$1137,C732),9)</f>
        <v>1</v>
      </c>
    </row>
    <row r="733" customFormat="false" ht="15" hidden="false" customHeight="true" outlineLevel="0" collapsed="false">
      <c r="A733" s="38" t="n">
        <v>46</v>
      </c>
      <c r="B733" s="38" t="s">
        <v>664</v>
      </c>
      <c r="C733" s="38" t="s">
        <v>169</v>
      </c>
      <c r="D733" s="38" t="s">
        <v>171</v>
      </c>
      <c r="E733" s="38" t="str">
        <f aca="false">A733&amp;"|"&amp;C733&amp;"|"&amp;D733</f>
        <v>46|G|U</v>
      </c>
      <c r="F733" s="43" t="n">
        <v>117</v>
      </c>
      <c r="G733" s="38" t="n">
        <f aca="false">SUMIFS($F$2:$F$1137,$A$2:$A$1137,A733,$C$2:$C$1137,C733)</f>
        <v>136</v>
      </c>
      <c r="H733" s="43" t="n">
        <v>1</v>
      </c>
      <c r="I733" s="45" t="n">
        <f aca="false">IF(G733=0,"",F733/G733)</f>
        <v>0.860294117647059</v>
      </c>
      <c r="J733" s="45" t="n">
        <f aca="false">K733/L733</f>
        <v>0.842857142857143</v>
      </c>
      <c r="K733" s="38" t="n">
        <f aca="false">F733+H733</f>
        <v>118</v>
      </c>
      <c r="L733" s="38" t="n">
        <f aca="false">G733+4*H733</f>
        <v>140</v>
      </c>
      <c r="M733" s="38" t="s">
        <v>619</v>
      </c>
      <c r="N733" s="38" t="n">
        <f aca="false">ROUND(SUMIFS($J$2:$J$1137,$A$2:$A$1137,A733,$C$2:$C$1137,C733),9)</f>
        <v>1</v>
      </c>
    </row>
    <row r="734" customFormat="false" ht="15" hidden="false" customHeight="true" outlineLevel="0" collapsed="false">
      <c r="A734" s="38" t="n">
        <v>46</v>
      </c>
      <c r="B734" s="38" t="s">
        <v>664</v>
      </c>
      <c r="C734" s="38" t="s">
        <v>171</v>
      </c>
      <c r="D734" s="38" t="s">
        <v>172</v>
      </c>
      <c r="E734" s="38" t="str">
        <f aca="false">A734&amp;"|"&amp;C734&amp;"|"&amp;D734</f>
        <v>46|U|A</v>
      </c>
      <c r="F734" s="43" t="n">
        <v>5</v>
      </c>
      <c r="G734" s="38" t="n">
        <f aca="false">SUMIFS($F$2:$F$1137,$A$2:$A$1137,A734,$C$2:$C$1137,C734)</f>
        <v>12</v>
      </c>
      <c r="H734" s="43" t="n">
        <v>1</v>
      </c>
      <c r="I734" s="45" t="n">
        <f aca="false">IF(G734=0,"",F734/G734)</f>
        <v>0.416666666666667</v>
      </c>
      <c r="J734" s="45" t="n">
        <f aca="false">K734/L734</f>
        <v>0.375</v>
      </c>
      <c r="K734" s="38" t="n">
        <f aca="false">F734+H734</f>
        <v>6</v>
      </c>
      <c r="L734" s="38" t="n">
        <f aca="false">G734+4*H734</f>
        <v>16</v>
      </c>
      <c r="M734" s="38" t="s">
        <v>619</v>
      </c>
      <c r="N734" s="38" t="n">
        <f aca="false">ROUND(SUMIFS($J$2:$J$1137,$A$2:$A$1137,A734,$C$2:$C$1137,C734),9)</f>
        <v>1</v>
      </c>
    </row>
    <row r="735" customFormat="false" ht="15" hidden="false" customHeight="true" outlineLevel="0" collapsed="false">
      <c r="A735" s="38" t="n">
        <v>46</v>
      </c>
      <c r="B735" s="38" t="s">
        <v>664</v>
      </c>
      <c r="C735" s="38" t="s">
        <v>171</v>
      </c>
      <c r="D735" s="38" t="s">
        <v>170</v>
      </c>
      <c r="E735" s="38" t="str">
        <f aca="false">A735&amp;"|"&amp;C735&amp;"|"&amp;D735</f>
        <v>46|U|C</v>
      </c>
      <c r="F735" s="43" t="n">
        <v>3</v>
      </c>
      <c r="G735" s="38" t="n">
        <f aca="false">SUMIFS($F$2:$F$1137,$A$2:$A$1137,A735,$C$2:$C$1137,C735)</f>
        <v>12</v>
      </c>
      <c r="H735" s="43" t="n">
        <v>1</v>
      </c>
      <c r="I735" s="45" t="n">
        <f aca="false">IF(G735=0,"",F735/G735)</f>
        <v>0.25</v>
      </c>
      <c r="J735" s="45" t="n">
        <f aca="false">K735/L735</f>
        <v>0.25</v>
      </c>
      <c r="K735" s="38" t="n">
        <f aca="false">F735+H735</f>
        <v>4</v>
      </c>
      <c r="L735" s="38" t="n">
        <f aca="false">G735+4*H735</f>
        <v>16</v>
      </c>
      <c r="M735" s="38" t="s">
        <v>619</v>
      </c>
      <c r="N735" s="38" t="n">
        <f aca="false">ROUND(SUMIFS($J$2:$J$1137,$A$2:$A$1137,A735,$C$2:$C$1137,C735),9)</f>
        <v>1</v>
      </c>
    </row>
    <row r="736" customFormat="false" ht="15" hidden="false" customHeight="true" outlineLevel="0" collapsed="false">
      <c r="A736" s="38" t="n">
        <v>46</v>
      </c>
      <c r="B736" s="38" t="s">
        <v>664</v>
      </c>
      <c r="C736" s="38" t="s">
        <v>171</v>
      </c>
      <c r="D736" s="38" t="s">
        <v>169</v>
      </c>
      <c r="E736" s="38" t="str">
        <f aca="false">A736&amp;"|"&amp;C736&amp;"|"&amp;D736</f>
        <v>46|U|G</v>
      </c>
      <c r="F736" s="43" t="n">
        <v>3</v>
      </c>
      <c r="G736" s="38" t="n">
        <f aca="false">SUMIFS($F$2:$F$1137,$A$2:$A$1137,A736,$C$2:$C$1137,C736)</f>
        <v>12</v>
      </c>
      <c r="H736" s="43" t="n">
        <v>1</v>
      </c>
      <c r="I736" s="45" t="n">
        <f aca="false">IF(G736=0,"",F736/G736)</f>
        <v>0.25</v>
      </c>
      <c r="J736" s="45" t="n">
        <f aca="false">K736/L736</f>
        <v>0.25</v>
      </c>
      <c r="K736" s="38" t="n">
        <f aca="false">F736+H736</f>
        <v>4</v>
      </c>
      <c r="L736" s="38" t="n">
        <f aca="false">G736+4*H736</f>
        <v>16</v>
      </c>
      <c r="M736" s="38" t="s">
        <v>619</v>
      </c>
      <c r="N736" s="38" t="n">
        <f aca="false">ROUND(SUMIFS($J$2:$J$1137,$A$2:$A$1137,A736,$C$2:$C$1137,C736),9)</f>
        <v>1</v>
      </c>
    </row>
    <row r="737" customFormat="false" ht="15" hidden="false" customHeight="true" outlineLevel="0" collapsed="false">
      <c r="A737" s="38" t="n">
        <v>46</v>
      </c>
      <c r="B737" s="38" t="s">
        <v>664</v>
      </c>
      <c r="C737" s="38" t="s">
        <v>171</v>
      </c>
      <c r="D737" s="38" t="s">
        <v>171</v>
      </c>
      <c r="E737" s="38" t="str">
        <f aca="false">A737&amp;"|"&amp;C737&amp;"|"&amp;D737</f>
        <v>46|U|U</v>
      </c>
      <c r="F737" s="43" t="n">
        <v>1</v>
      </c>
      <c r="G737" s="38" t="n">
        <f aca="false">SUMIFS($F$2:$F$1137,$A$2:$A$1137,A737,$C$2:$C$1137,C737)</f>
        <v>12</v>
      </c>
      <c r="H737" s="43" t="n">
        <v>1</v>
      </c>
      <c r="I737" s="45" t="n">
        <f aca="false">IF(G737=0,"",F737/G737)</f>
        <v>0.0833333333333333</v>
      </c>
      <c r="J737" s="45" t="n">
        <f aca="false">K737/L737</f>
        <v>0.125</v>
      </c>
      <c r="K737" s="38" t="n">
        <f aca="false">F737+H737</f>
        <v>2</v>
      </c>
      <c r="L737" s="38" t="n">
        <f aca="false">G737+4*H737</f>
        <v>16</v>
      </c>
      <c r="M737" s="38" t="s">
        <v>619</v>
      </c>
      <c r="N737" s="38" t="n">
        <f aca="false">ROUND(SUMIFS($J$2:$J$1137,$A$2:$A$1137,A737,$C$2:$C$1137,C737),9)</f>
        <v>1</v>
      </c>
    </row>
    <row r="738" customFormat="false" ht="15" hidden="false" customHeight="true" outlineLevel="0" collapsed="false">
      <c r="A738" s="38" t="n">
        <v>47</v>
      </c>
      <c r="B738" s="38" t="s">
        <v>665</v>
      </c>
      <c r="C738" s="38" t="s">
        <v>172</v>
      </c>
      <c r="D738" s="38" t="s">
        <v>172</v>
      </c>
      <c r="E738" s="38" t="str">
        <f aca="false">A738&amp;"|"&amp;C738&amp;"|"&amp;D738</f>
        <v>47|A|A</v>
      </c>
      <c r="F738" s="43" t="n">
        <v>1</v>
      </c>
      <c r="G738" s="38" t="n">
        <f aca="false">SUMIFS($F$2:$F$1137,$A$2:$A$1137,A738,$C$2:$C$1137,C738)</f>
        <v>26</v>
      </c>
      <c r="H738" s="43" t="n">
        <v>1</v>
      </c>
      <c r="I738" s="45" t="n">
        <f aca="false">IF(G738=0,"",F738/G738)</f>
        <v>0.0384615384615385</v>
      </c>
      <c r="J738" s="45" t="n">
        <f aca="false">K738/L738</f>
        <v>0.0666666666666667</v>
      </c>
      <c r="K738" s="38" t="n">
        <f aca="false">F738+H738</f>
        <v>2</v>
      </c>
      <c r="L738" s="38" t="n">
        <f aca="false">G738+4*H738</f>
        <v>30</v>
      </c>
      <c r="M738" s="38" t="s">
        <v>619</v>
      </c>
      <c r="N738" s="38" t="n">
        <f aca="false">ROUND(SUMIFS($J$2:$J$1137,$A$2:$A$1137,A738,$C$2:$C$1137,C738),9)</f>
        <v>1</v>
      </c>
    </row>
    <row r="739" customFormat="false" ht="15" hidden="false" customHeight="true" outlineLevel="0" collapsed="false">
      <c r="A739" s="38" t="n">
        <v>47</v>
      </c>
      <c r="B739" s="38" t="s">
        <v>665</v>
      </c>
      <c r="C739" s="38" t="s">
        <v>172</v>
      </c>
      <c r="D739" s="38" t="s">
        <v>170</v>
      </c>
      <c r="E739" s="38" t="str">
        <f aca="false">A739&amp;"|"&amp;C739&amp;"|"&amp;D739</f>
        <v>47|A|C</v>
      </c>
      <c r="F739" s="43" t="n">
        <v>20</v>
      </c>
      <c r="G739" s="38" t="n">
        <f aca="false">SUMIFS($F$2:$F$1137,$A$2:$A$1137,A739,$C$2:$C$1137,C739)</f>
        <v>26</v>
      </c>
      <c r="H739" s="43" t="n">
        <v>1</v>
      </c>
      <c r="I739" s="45" t="n">
        <f aca="false">IF(G739=0,"",F739/G739)</f>
        <v>0.769230769230769</v>
      </c>
      <c r="J739" s="45" t="n">
        <f aca="false">K739/L739</f>
        <v>0.7</v>
      </c>
      <c r="K739" s="38" t="n">
        <f aca="false">F739+H739</f>
        <v>21</v>
      </c>
      <c r="L739" s="38" t="n">
        <f aca="false">G739+4*H739</f>
        <v>30</v>
      </c>
      <c r="M739" s="38" t="s">
        <v>619</v>
      </c>
      <c r="N739" s="38" t="n">
        <f aca="false">ROUND(SUMIFS($J$2:$J$1137,$A$2:$A$1137,A739,$C$2:$C$1137,C739),9)</f>
        <v>1</v>
      </c>
    </row>
    <row r="740" customFormat="false" ht="15" hidden="false" customHeight="true" outlineLevel="0" collapsed="false">
      <c r="A740" s="38" t="n">
        <v>47</v>
      </c>
      <c r="B740" s="38" t="s">
        <v>665</v>
      </c>
      <c r="C740" s="38" t="s">
        <v>172</v>
      </c>
      <c r="D740" s="38" t="s">
        <v>169</v>
      </c>
      <c r="E740" s="38" t="str">
        <f aca="false">A740&amp;"|"&amp;C740&amp;"|"&amp;D740</f>
        <v>47|A|G</v>
      </c>
      <c r="F740" s="43" t="n">
        <v>1</v>
      </c>
      <c r="G740" s="38" t="n">
        <f aca="false">SUMIFS($F$2:$F$1137,$A$2:$A$1137,A740,$C$2:$C$1137,C740)</f>
        <v>26</v>
      </c>
      <c r="H740" s="43" t="n">
        <v>1</v>
      </c>
      <c r="I740" s="45" t="n">
        <f aca="false">IF(G740=0,"",F740/G740)</f>
        <v>0.0384615384615385</v>
      </c>
      <c r="J740" s="45" t="n">
        <f aca="false">K740/L740</f>
        <v>0.0666666666666667</v>
      </c>
      <c r="K740" s="38" t="n">
        <f aca="false">F740+H740</f>
        <v>2</v>
      </c>
      <c r="L740" s="38" t="n">
        <f aca="false">G740+4*H740</f>
        <v>30</v>
      </c>
      <c r="M740" s="38" t="s">
        <v>619</v>
      </c>
      <c r="N740" s="38" t="n">
        <f aca="false">ROUND(SUMIFS($J$2:$J$1137,$A$2:$A$1137,A740,$C$2:$C$1137,C740),9)</f>
        <v>1</v>
      </c>
    </row>
    <row r="741" customFormat="false" ht="15" hidden="false" customHeight="true" outlineLevel="0" collapsed="false">
      <c r="A741" s="38" t="n">
        <v>47</v>
      </c>
      <c r="B741" s="38" t="s">
        <v>665</v>
      </c>
      <c r="C741" s="38" t="s">
        <v>172</v>
      </c>
      <c r="D741" s="38" t="s">
        <v>171</v>
      </c>
      <c r="E741" s="38" t="str">
        <f aca="false">A741&amp;"|"&amp;C741&amp;"|"&amp;D741</f>
        <v>47|A|U</v>
      </c>
      <c r="F741" s="43" t="n">
        <v>4</v>
      </c>
      <c r="G741" s="38" t="n">
        <f aca="false">SUMIFS($F$2:$F$1137,$A$2:$A$1137,A741,$C$2:$C$1137,C741)</f>
        <v>26</v>
      </c>
      <c r="H741" s="43" t="n">
        <v>1</v>
      </c>
      <c r="I741" s="45" t="n">
        <f aca="false">IF(G741=0,"",F741/G741)</f>
        <v>0.153846153846154</v>
      </c>
      <c r="J741" s="45" t="n">
        <f aca="false">K741/L741</f>
        <v>0.166666666666667</v>
      </c>
      <c r="K741" s="38" t="n">
        <f aca="false">F741+H741</f>
        <v>5</v>
      </c>
      <c r="L741" s="38" t="n">
        <f aca="false">G741+4*H741</f>
        <v>30</v>
      </c>
      <c r="M741" s="38" t="s">
        <v>619</v>
      </c>
      <c r="N741" s="38" t="n">
        <f aca="false">ROUND(SUMIFS($J$2:$J$1137,$A$2:$A$1137,A741,$C$2:$C$1137,C741),9)</f>
        <v>1</v>
      </c>
    </row>
    <row r="742" customFormat="false" ht="15" hidden="false" customHeight="true" outlineLevel="0" collapsed="false">
      <c r="A742" s="38" t="n">
        <v>47</v>
      </c>
      <c r="B742" s="38" t="s">
        <v>665</v>
      </c>
      <c r="C742" s="38" t="s">
        <v>170</v>
      </c>
      <c r="D742" s="38" t="s">
        <v>172</v>
      </c>
      <c r="E742" s="38" t="str">
        <f aca="false">A742&amp;"|"&amp;C742&amp;"|"&amp;D742</f>
        <v>47|C|A</v>
      </c>
      <c r="F742" s="43" t="n">
        <v>0</v>
      </c>
      <c r="G742" s="38" t="n">
        <f aca="false">SUMIFS($F$2:$F$1137,$A$2:$A$1137,A742,$C$2:$C$1137,C742)</f>
        <v>23</v>
      </c>
      <c r="H742" s="43" t="n">
        <v>1</v>
      </c>
      <c r="I742" s="45" t="n">
        <f aca="false">IF(G742=0,"",F742/G742)</f>
        <v>0</v>
      </c>
      <c r="J742" s="45" t="n">
        <f aca="false">K742/L742</f>
        <v>0.037037037037037</v>
      </c>
      <c r="K742" s="38" t="n">
        <f aca="false">F742+H742</f>
        <v>1</v>
      </c>
      <c r="L742" s="38" t="n">
        <f aca="false">G742+4*H742</f>
        <v>27</v>
      </c>
      <c r="M742" s="38" t="s">
        <v>619</v>
      </c>
      <c r="N742" s="38" t="n">
        <f aca="false">ROUND(SUMIFS($J$2:$J$1137,$A$2:$A$1137,A742,$C$2:$C$1137,C742),9)</f>
        <v>1</v>
      </c>
    </row>
    <row r="743" customFormat="false" ht="15" hidden="false" customHeight="true" outlineLevel="0" collapsed="false">
      <c r="A743" s="38" t="n">
        <v>47</v>
      </c>
      <c r="B743" s="38" t="s">
        <v>665</v>
      </c>
      <c r="C743" s="38" t="s">
        <v>170</v>
      </c>
      <c r="D743" s="38" t="s">
        <v>170</v>
      </c>
      <c r="E743" s="38" t="str">
        <f aca="false">A743&amp;"|"&amp;C743&amp;"|"&amp;D743</f>
        <v>47|C|C</v>
      </c>
      <c r="F743" s="43" t="n">
        <v>22</v>
      </c>
      <c r="G743" s="38" t="n">
        <f aca="false">SUMIFS($F$2:$F$1137,$A$2:$A$1137,A743,$C$2:$C$1137,C743)</f>
        <v>23</v>
      </c>
      <c r="H743" s="43" t="n">
        <v>1</v>
      </c>
      <c r="I743" s="45" t="n">
        <f aca="false">IF(G743=0,"",F743/G743)</f>
        <v>0.956521739130435</v>
      </c>
      <c r="J743" s="45" t="n">
        <f aca="false">K743/L743</f>
        <v>0.851851851851852</v>
      </c>
      <c r="K743" s="38" t="n">
        <f aca="false">F743+H743</f>
        <v>23</v>
      </c>
      <c r="L743" s="38" t="n">
        <f aca="false">G743+4*H743</f>
        <v>27</v>
      </c>
      <c r="M743" s="38" t="s">
        <v>619</v>
      </c>
      <c r="N743" s="38" t="n">
        <f aca="false">ROUND(SUMIFS($J$2:$J$1137,$A$2:$A$1137,A743,$C$2:$C$1137,C743),9)</f>
        <v>1</v>
      </c>
    </row>
    <row r="744" customFormat="false" ht="15" hidden="false" customHeight="true" outlineLevel="0" collapsed="false">
      <c r="A744" s="38" t="n">
        <v>47</v>
      </c>
      <c r="B744" s="38" t="s">
        <v>665</v>
      </c>
      <c r="C744" s="38" t="s">
        <v>170</v>
      </c>
      <c r="D744" s="38" t="s">
        <v>169</v>
      </c>
      <c r="E744" s="38" t="str">
        <f aca="false">A744&amp;"|"&amp;C744&amp;"|"&amp;D744</f>
        <v>47|C|G</v>
      </c>
      <c r="F744" s="43" t="n">
        <v>0</v>
      </c>
      <c r="G744" s="38" t="n">
        <f aca="false">SUMIFS($F$2:$F$1137,$A$2:$A$1137,A744,$C$2:$C$1137,C744)</f>
        <v>23</v>
      </c>
      <c r="H744" s="43" t="n">
        <v>1</v>
      </c>
      <c r="I744" s="45" t="n">
        <f aca="false">IF(G744=0,"",F744/G744)</f>
        <v>0</v>
      </c>
      <c r="J744" s="45" t="n">
        <f aca="false">K744/L744</f>
        <v>0.037037037037037</v>
      </c>
      <c r="K744" s="38" t="n">
        <f aca="false">F744+H744</f>
        <v>1</v>
      </c>
      <c r="L744" s="38" t="n">
        <f aca="false">G744+4*H744</f>
        <v>27</v>
      </c>
      <c r="M744" s="38" t="s">
        <v>619</v>
      </c>
      <c r="N744" s="38" t="n">
        <f aca="false">ROUND(SUMIFS($J$2:$J$1137,$A$2:$A$1137,A744,$C$2:$C$1137,C744),9)</f>
        <v>1</v>
      </c>
    </row>
    <row r="745" customFormat="false" ht="15" hidden="false" customHeight="true" outlineLevel="0" collapsed="false">
      <c r="A745" s="38" t="n">
        <v>47</v>
      </c>
      <c r="B745" s="38" t="s">
        <v>665</v>
      </c>
      <c r="C745" s="38" t="s">
        <v>170</v>
      </c>
      <c r="D745" s="38" t="s">
        <v>171</v>
      </c>
      <c r="E745" s="38" t="str">
        <f aca="false">A745&amp;"|"&amp;C745&amp;"|"&amp;D745</f>
        <v>47|C|U</v>
      </c>
      <c r="F745" s="43" t="n">
        <v>1</v>
      </c>
      <c r="G745" s="38" t="n">
        <f aca="false">SUMIFS($F$2:$F$1137,$A$2:$A$1137,A745,$C$2:$C$1137,C745)</f>
        <v>23</v>
      </c>
      <c r="H745" s="43" t="n">
        <v>1</v>
      </c>
      <c r="I745" s="45" t="n">
        <f aca="false">IF(G745=0,"",F745/G745)</f>
        <v>0.0434782608695652</v>
      </c>
      <c r="J745" s="45" t="n">
        <f aca="false">K745/L745</f>
        <v>0.0740740740740741</v>
      </c>
      <c r="K745" s="38" t="n">
        <f aca="false">F745+H745</f>
        <v>2</v>
      </c>
      <c r="L745" s="38" t="n">
        <f aca="false">G745+4*H745</f>
        <v>27</v>
      </c>
      <c r="M745" s="38" t="s">
        <v>619</v>
      </c>
      <c r="N745" s="38" t="n">
        <f aca="false">ROUND(SUMIFS($J$2:$J$1137,$A$2:$A$1137,A745,$C$2:$C$1137,C745),9)</f>
        <v>1</v>
      </c>
    </row>
    <row r="746" customFormat="false" ht="15" hidden="false" customHeight="true" outlineLevel="0" collapsed="false">
      <c r="A746" s="38" t="n">
        <v>47</v>
      </c>
      <c r="B746" s="38" t="s">
        <v>665</v>
      </c>
      <c r="C746" s="38" t="s">
        <v>169</v>
      </c>
      <c r="D746" s="38" t="s">
        <v>172</v>
      </c>
      <c r="E746" s="38" t="str">
        <f aca="false">A746&amp;"|"&amp;C746&amp;"|"&amp;D746</f>
        <v>47|G|A</v>
      </c>
      <c r="F746" s="43" t="n">
        <v>0</v>
      </c>
      <c r="G746" s="38" t="n">
        <f aca="false">SUMIFS($F$2:$F$1137,$A$2:$A$1137,A746,$C$2:$C$1137,C746)</f>
        <v>16</v>
      </c>
      <c r="H746" s="43" t="n">
        <v>1</v>
      </c>
      <c r="I746" s="45" t="n">
        <f aca="false">IF(G746=0,"",F746/G746)</f>
        <v>0</v>
      </c>
      <c r="J746" s="45" t="n">
        <f aca="false">K746/L746</f>
        <v>0.05</v>
      </c>
      <c r="K746" s="38" t="n">
        <f aca="false">F746+H746</f>
        <v>1</v>
      </c>
      <c r="L746" s="38" t="n">
        <f aca="false">G746+4*H746</f>
        <v>20</v>
      </c>
      <c r="M746" s="38" t="s">
        <v>619</v>
      </c>
      <c r="N746" s="38" t="n">
        <f aca="false">ROUND(SUMIFS($J$2:$J$1137,$A$2:$A$1137,A746,$C$2:$C$1137,C746),9)</f>
        <v>1</v>
      </c>
    </row>
    <row r="747" customFormat="false" ht="15" hidden="false" customHeight="true" outlineLevel="0" collapsed="false">
      <c r="A747" s="38" t="n">
        <v>47</v>
      </c>
      <c r="B747" s="38" t="s">
        <v>665</v>
      </c>
      <c r="C747" s="38" t="s">
        <v>169</v>
      </c>
      <c r="D747" s="38" t="s">
        <v>170</v>
      </c>
      <c r="E747" s="38" t="str">
        <f aca="false">A747&amp;"|"&amp;C747&amp;"|"&amp;D747</f>
        <v>47|G|C</v>
      </c>
      <c r="F747" s="43" t="n">
        <v>8</v>
      </c>
      <c r="G747" s="38" t="n">
        <f aca="false">SUMIFS($F$2:$F$1137,$A$2:$A$1137,A747,$C$2:$C$1137,C747)</f>
        <v>16</v>
      </c>
      <c r="H747" s="43" t="n">
        <v>1</v>
      </c>
      <c r="I747" s="45" t="n">
        <f aca="false">IF(G747=0,"",F747/G747)</f>
        <v>0.5</v>
      </c>
      <c r="J747" s="45" t="n">
        <f aca="false">K747/L747</f>
        <v>0.45</v>
      </c>
      <c r="K747" s="38" t="n">
        <f aca="false">F747+H747</f>
        <v>9</v>
      </c>
      <c r="L747" s="38" t="n">
        <f aca="false">G747+4*H747</f>
        <v>20</v>
      </c>
      <c r="M747" s="38" t="s">
        <v>619</v>
      </c>
      <c r="N747" s="38" t="n">
        <f aca="false">ROUND(SUMIFS($J$2:$J$1137,$A$2:$A$1137,A747,$C$2:$C$1137,C747),9)</f>
        <v>1</v>
      </c>
    </row>
    <row r="748" customFormat="false" ht="15" hidden="false" customHeight="true" outlineLevel="0" collapsed="false">
      <c r="A748" s="38" t="n">
        <v>47</v>
      </c>
      <c r="B748" s="38" t="s">
        <v>665</v>
      </c>
      <c r="C748" s="38" t="s">
        <v>169</v>
      </c>
      <c r="D748" s="38" t="s">
        <v>169</v>
      </c>
      <c r="E748" s="38" t="str">
        <f aca="false">A748&amp;"|"&amp;C748&amp;"|"&amp;D748</f>
        <v>47|G|G</v>
      </c>
      <c r="F748" s="43" t="n">
        <v>0</v>
      </c>
      <c r="G748" s="38" t="n">
        <f aca="false">SUMIFS($F$2:$F$1137,$A$2:$A$1137,A748,$C$2:$C$1137,C748)</f>
        <v>16</v>
      </c>
      <c r="H748" s="43" t="n">
        <v>1</v>
      </c>
      <c r="I748" s="45" t="n">
        <f aca="false">IF(G748=0,"",F748/G748)</f>
        <v>0</v>
      </c>
      <c r="J748" s="45" t="n">
        <f aca="false">K748/L748</f>
        <v>0.05</v>
      </c>
      <c r="K748" s="38" t="n">
        <f aca="false">F748+H748</f>
        <v>1</v>
      </c>
      <c r="L748" s="38" t="n">
        <f aca="false">G748+4*H748</f>
        <v>20</v>
      </c>
      <c r="M748" s="38" t="s">
        <v>619</v>
      </c>
      <c r="N748" s="38" t="n">
        <f aca="false">ROUND(SUMIFS($J$2:$J$1137,$A$2:$A$1137,A748,$C$2:$C$1137,C748),9)</f>
        <v>1</v>
      </c>
    </row>
    <row r="749" customFormat="false" ht="15" hidden="false" customHeight="true" outlineLevel="0" collapsed="false">
      <c r="A749" s="38" t="n">
        <v>47</v>
      </c>
      <c r="B749" s="38" t="s">
        <v>665</v>
      </c>
      <c r="C749" s="38" t="s">
        <v>169</v>
      </c>
      <c r="D749" s="38" t="s">
        <v>171</v>
      </c>
      <c r="E749" s="38" t="str">
        <f aca="false">A749&amp;"|"&amp;C749&amp;"|"&amp;D749</f>
        <v>47|G|U</v>
      </c>
      <c r="F749" s="43" t="n">
        <v>8</v>
      </c>
      <c r="G749" s="38" t="n">
        <f aca="false">SUMIFS($F$2:$F$1137,$A$2:$A$1137,A749,$C$2:$C$1137,C749)</f>
        <v>16</v>
      </c>
      <c r="H749" s="43" t="n">
        <v>1</v>
      </c>
      <c r="I749" s="45" t="n">
        <f aca="false">IF(G749=0,"",F749/G749)</f>
        <v>0.5</v>
      </c>
      <c r="J749" s="45" t="n">
        <f aca="false">K749/L749</f>
        <v>0.45</v>
      </c>
      <c r="K749" s="38" t="n">
        <f aca="false">F749+H749</f>
        <v>9</v>
      </c>
      <c r="L749" s="38" t="n">
        <f aca="false">G749+4*H749</f>
        <v>20</v>
      </c>
      <c r="M749" s="38" t="s">
        <v>619</v>
      </c>
      <c r="N749" s="38" t="n">
        <f aca="false">ROUND(SUMIFS($J$2:$J$1137,$A$2:$A$1137,A749,$C$2:$C$1137,C749),9)</f>
        <v>1</v>
      </c>
    </row>
    <row r="750" customFormat="false" ht="15" hidden="false" customHeight="true" outlineLevel="0" collapsed="false">
      <c r="A750" s="38" t="n">
        <v>47</v>
      </c>
      <c r="B750" s="38" t="s">
        <v>665</v>
      </c>
      <c r="C750" s="38" t="s">
        <v>171</v>
      </c>
      <c r="D750" s="38" t="s">
        <v>172</v>
      </c>
      <c r="E750" s="38" t="str">
        <f aca="false">A750&amp;"|"&amp;C750&amp;"|"&amp;D750</f>
        <v>47|U|A</v>
      </c>
      <c r="F750" s="43" t="n">
        <v>0</v>
      </c>
      <c r="G750" s="38" t="n">
        <f aca="false">SUMIFS($F$2:$F$1137,$A$2:$A$1137,A750,$C$2:$C$1137,C750)</f>
        <v>134</v>
      </c>
      <c r="H750" s="43" t="n">
        <v>1</v>
      </c>
      <c r="I750" s="45" t="n">
        <f aca="false">IF(G750=0,"",F750/G750)</f>
        <v>0</v>
      </c>
      <c r="J750" s="45" t="n">
        <f aca="false">K750/L750</f>
        <v>0.0072463768115942</v>
      </c>
      <c r="K750" s="38" t="n">
        <f aca="false">F750+H750</f>
        <v>1</v>
      </c>
      <c r="L750" s="38" t="n">
        <f aca="false">G750+4*H750</f>
        <v>138</v>
      </c>
      <c r="M750" s="38" t="s">
        <v>619</v>
      </c>
      <c r="N750" s="38" t="n">
        <f aca="false">ROUND(SUMIFS($J$2:$J$1137,$A$2:$A$1137,A750,$C$2:$C$1137,C750),9)</f>
        <v>1</v>
      </c>
    </row>
    <row r="751" customFormat="false" ht="15" hidden="false" customHeight="true" outlineLevel="0" collapsed="false">
      <c r="A751" s="38" t="n">
        <v>47</v>
      </c>
      <c r="B751" s="38" t="s">
        <v>665</v>
      </c>
      <c r="C751" s="38" t="s">
        <v>171</v>
      </c>
      <c r="D751" s="38" t="s">
        <v>170</v>
      </c>
      <c r="E751" s="38" t="str">
        <f aca="false">A751&amp;"|"&amp;C751&amp;"|"&amp;D751</f>
        <v>47|U|C</v>
      </c>
      <c r="F751" s="43" t="n">
        <v>117</v>
      </c>
      <c r="G751" s="38" t="n">
        <f aca="false">SUMIFS($F$2:$F$1137,$A$2:$A$1137,A751,$C$2:$C$1137,C751)</f>
        <v>134</v>
      </c>
      <c r="H751" s="43" t="n">
        <v>1</v>
      </c>
      <c r="I751" s="45" t="n">
        <f aca="false">IF(G751=0,"",F751/G751)</f>
        <v>0.873134328358209</v>
      </c>
      <c r="J751" s="45" t="n">
        <f aca="false">K751/L751</f>
        <v>0.855072463768116</v>
      </c>
      <c r="K751" s="38" t="n">
        <f aca="false">F751+H751</f>
        <v>118</v>
      </c>
      <c r="L751" s="38" t="n">
        <f aca="false">G751+4*H751</f>
        <v>138</v>
      </c>
      <c r="M751" s="38" t="s">
        <v>619</v>
      </c>
      <c r="N751" s="38" t="n">
        <f aca="false">ROUND(SUMIFS($J$2:$J$1137,$A$2:$A$1137,A751,$C$2:$C$1137,C751),9)</f>
        <v>1</v>
      </c>
    </row>
    <row r="752" customFormat="false" ht="15" hidden="false" customHeight="true" outlineLevel="0" collapsed="false">
      <c r="A752" s="38" t="n">
        <v>47</v>
      </c>
      <c r="B752" s="38" t="s">
        <v>665</v>
      </c>
      <c r="C752" s="38" t="s">
        <v>171</v>
      </c>
      <c r="D752" s="38" t="s">
        <v>169</v>
      </c>
      <c r="E752" s="38" t="str">
        <f aca="false">A752&amp;"|"&amp;C752&amp;"|"&amp;D752</f>
        <v>47|U|G</v>
      </c>
      <c r="F752" s="43" t="n">
        <v>1</v>
      </c>
      <c r="G752" s="38" t="n">
        <f aca="false">SUMIFS($F$2:$F$1137,$A$2:$A$1137,A752,$C$2:$C$1137,C752)</f>
        <v>134</v>
      </c>
      <c r="H752" s="43" t="n">
        <v>1</v>
      </c>
      <c r="I752" s="45" t="n">
        <f aca="false">IF(G752=0,"",F752/G752)</f>
        <v>0.00746268656716418</v>
      </c>
      <c r="J752" s="45" t="n">
        <f aca="false">K752/L752</f>
        <v>0.0144927536231884</v>
      </c>
      <c r="K752" s="38" t="n">
        <f aca="false">F752+H752</f>
        <v>2</v>
      </c>
      <c r="L752" s="38" t="n">
        <f aca="false">G752+4*H752</f>
        <v>138</v>
      </c>
      <c r="M752" s="38" t="s">
        <v>619</v>
      </c>
      <c r="N752" s="38" t="n">
        <f aca="false">ROUND(SUMIFS($J$2:$J$1137,$A$2:$A$1137,A752,$C$2:$C$1137,C752),9)</f>
        <v>1</v>
      </c>
    </row>
    <row r="753" customFormat="false" ht="15" hidden="false" customHeight="true" outlineLevel="0" collapsed="false">
      <c r="A753" s="38" t="n">
        <v>47</v>
      </c>
      <c r="B753" s="38" t="s">
        <v>665</v>
      </c>
      <c r="C753" s="38" t="s">
        <v>171</v>
      </c>
      <c r="D753" s="38" t="s">
        <v>171</v>
      </c>
      <c r="E753" s="38" t="str">
        <f aca="false">A753&amp;"|"&amp;C753&amp;"|"&amp;D753</f>
        <v>47|U|U</v>
      </c>
      <c r="F753" s="43" t="n">
        <v>16</v>
      </c>
      <c r="G753" s="38" t="n">
        <f aca="false">SUMIFS($F$2:$F$1137,$A$2:$A$1137,A753,$C$2:$C$1137,C753)</f>
        <v>134</v>
      </c>
      <c r="H753" s="43" t="n">
        <v>1</v>
      </c>
      <c r="I753" s="45" t="n">
        <f aca="false">IF(G753=0,"",F753/G753)</f>
        <v>0.119402985074627</v>
      </c>
      <c r="J753" s="45" t="n">
        <f aca="false">K753/L753</f>
        <v>0.123188405797101</v>
      </c>
      <c r="K753" s="38" t="n">
        <f aca="false">F753+H753</f>
        <v>17</v>
      </c>
      <c r="L753" s="38" t="n">
        <f aca="false">G753+4*H753</f>
        <v>138</v>
      </c>
      <c r="M753" s="38" t="s">
        <v>619</v>
      </c>
      <c r="N753" s="38" t="n">
        <f aca="false">ROUND(SUMIFS($J$2:$J$1137,$A$2:$A$1137,A753,$C$2:$C$1137,C753),9)</f>
        <v>1</v>
      </c>
    </row>
    <row r="754" customFormat="false" ht="15" hidden="false" customHeight="true" outlineLevel="0" collapsed="false">
      <c r="A754" s="38" t="n">
        <v>48</v>
      </c>
      <c r="B754" s="38" t="s">
        <v>666</v>
      </c>
      <c r="C754" s="38" t="s">
        <v>172</v>
      </c>
      <c r="D754" s="38" t="s">
        <v>172</v>
      </c>
      <c r="E754" s="38" t="str">
        <f aca="false">A754&amp;"|"&amp;C754&amp;"|"&amp;D754</f>
        <v>48|A|A</v>
      </c>
      <c r="F754" s="43" t="n">
        <v>1</v>
      </c>
      <c r="G754" s="38" t="n">
        <f aca="false">SUMIFS($F$2:$F$1137,$A$2:$A$1137,A754,$C$2:$C$1137,C754)</f>
        <v>1</v>
      </c>
      <c r="H754" s="43" t="n">
        <v>1</v>
      </c>
      <c r="I754" s="45" t="n">
        <f aca="false">IF(G754=0,"",F754/G754)</f>
        <v>1</v>
      </c>
      <c r="J754" s="45" t="n">
        <f aca="false">K754/L754</f>
        <v>0.4</v>
      </c>
      <c r="K754" s="38" t="n">
        <f aca="false">F754+H754</f>
        <v>2</v>
      </c>
      <c r="L754" s="38" t="n">
        <f aca="false">G754+4*H754</f>
        <v>5</v>
      </c>
      <c r="M754" s="38" t="s">
        <v>619</v>
      </c>
      <c r="N754" s="38" t="n">
        <f aca="false">ROUND(SUMIFS($J$2:$J$1137,$A$2:$A$1137,A754,$C$2:$C$1137,C754),9)</f>
        <v>1</v>
      </c>
    </row>
    <row r="755" customFormat="false" ht="15" hidden="false" customHeight="true" outlineLevel="0" collapsed="false">
      <c r="A755" s="38" t="n">
        <v>48</v>
      </c>
      <c r="B755" s="38" t="s">
        <v>666</v>
      </c>
      <c r="C755" s="38" t="s">
        <v>172</v>
      </c>
      <c r="D755" s="38" t="s">
        <v>170</v>
      </c>
      <c r="E755" s="38" t="str">
        <f aca="false">A755&amp;"|"&amp;C755&amp;"|"&amp;D755</f>
        <v>48|A|C</v>
      </c>
      <c r="F755" s="43" t="n">
        <v>0</v>
      </c>
      <c r="G755" s="38" t="n">
        <f aca="false">SUMIFS($F$2:$F$1137,$A$2:$A$1137,A755,$C$2:$C$1137,C755)</f>
        <v>1</v>
      </c>
      <c r="H755" s="43" t="n">
        <v>1</v>
      </c>
      <c r="I755" s="45" t="n">
        <f aca="false">IF(G755=0,"",F755/G755)</f>
        <v>0</v>
      </c>
      <c r="J755" s="45" t="n">
        <f aca="false">K755/L755</f>
        <v>0.2</v>
      </c>
      <c r="K755" s="38" t="n">
        <f aca="false">F755+H755</f>
        <v>1</v>
      </c>
      <c r="L755" s="38" t="n">
        <f aca="false">G755+4*H755</f>
        <v>5</v>
      </c>
      <c r="M755" s="38" t="s">
        <v>619</v>
      </c>
      <c r="N755" s="38" t="n">
        <f aca="false">ROUND(SUMIFS($J$2:$J$1137,$A$2:$A$1137,A755,$C$2:$C$1137,C755),9)</f>
        <v>1</v>
      </c>
    </row>
    <row r="756" customFormat="false" ht="15" hidden="false" customHeight="true" outlineLevel="0" collapsed="false">
      <c r="A756" s="38" t="n">
        <v>48</v>
      </c>
      <c r="B756" s="38" t="s">
        <v>666</v>
      </c>
      <c r="C756" s="38" t="s">
        <v>172</v>
      </c>
      <c r="D756" s="38" t="s">
        <v>169</v>
      </c>
      <c r="E756" s="38" t="str">
        <f aca="false">A756&amp;"|"&amp;C756&amp;"|"&amp;D756</f>
        <v>48|A|G</v>
      </c>
      <c r="F756" s="43" t="n">
        <v>0</v>
      </c>
      <c r="G756" s="38" t="n">
        <f aca="false">SUMIFS($F$2:$F$1137,$A$2:$A$1137,A756,$C$2:$C$1137,C756)</f>
        <v>1</v>
      </c>
      <c r="H756" s="43" t="n">
        <v>1</v>
      </c>
      <c r="I756" s="45" t="n">
        <f aca="false">IF(G756=0,"",F756/G756)</f>
        <v>0</v>
      </c>
      <c r="J756" s="45" t="n">
        <f aca="false">K756/L756</f>
        <v>0.2</v>
      </c>
      <c r="K756" s="38" t="n">
        <f aca="false">F756+H756</f>
        <v>1</v>
      </c>
      <c r="L756" s="38" t="n">
        <f aca="false">G756+4*H756</f>
        <v>5</v>
      </c>
      <c r="M756" s="38" t="s">
        <v>619</v>
      </c>
      <c r="N756" s="38" t="n">
        <f aca="false">ROUND(SUMIFS($J$2:$J$1137,$A$2:$A$1137,A756,$C$2:$C$1137,C756),9)</f>
        <v>1</v>
      </c>
    </row>
    <row r="757" customFormat="false" ht="15" hidden="false" customHeight="true" outlineLevel="0" collapsed="false">
      <c r="A757" s="38" t="n">
        <v>48</v>
      </c>
      <c r="B757" s="38" t="s">
        <v>666</v>
      </c>
      <c r="C757" s="38" t="s">
        <v>172</v>
      </c>
      <c r="D757" s="38" t="s">
        <v>171</v>
      </c>
      <c r="E757" s="38" t="str">
        <f aca="false">A757&amp;"|"&amp;C757&amp;"|"&amp;D757</f>
        <v>48|A|U</v>
      </c>
      <c r="F757" s="43" t="n">
        <v>0</v>
      </c>
      <c r="G757" s="38" t="n">
        <f aca="false">SUMIFS($F$2:$F$1137,$A$2:$A$1137,A757,$C$2:$C$1137,C757)</f>
        <v>1</v>
      </c>
      <c r="H757" s="43" t="n">
        <v>1</v>
      </c>
      <c r="I757" s="45" t="n">
        <f aca="false">IF(G757=0,"",F757/G757)</f>
        <v>0</v>
      </c>
      <c r="J757" s="45" t="n">
        <f aca="false">K757/L757</f>
        <v>0.2</v>
      </c>
      <c r="K757" s="38" t="n">
        <f aca="false">F757+H757</f>
        <v>1</v>
      </c>
      <c r="L757" s="38" t="n">
        <f aca="false">G757+4*H757</f>
        <v>5</v>
      </c>
      <c r="M757" s="38" t="s">
        <v>619</v>
      </c>
      <c r="N757" s="38" t="n">
        <f aca="false">ROUND(SUMIFS($J$2:$J$1137,$A$2:$A$1137,A757,$C$2:$C$1137,C757),9)</f>
        <v>1</v>
      </c>
    </row>
    <row r="758" customFormat="false" ht="15" hidden="false" customHeight="true" outlineLevel="0" collapsed="false">
      <c r="A758" s="38" t="n">
        <v>48</v>
      </c>
      <c r="B758" s="38" t="s">
        <v>666</v>
      </c>
      <c r="C758" s="38" t="s">
        <v>170</v>
      </c>
      <c r="D758" s="38" t="s">
        <v>172</v>
      </c>
      <c r="E758" s="38" t="str">
        <f aca="false">A758&amp;"|"&amp;C758&amp;"|"&amp;D758</f>
        <v>48|C|A</v>
      </c>
      <c r="F758" s="43" t="n">
        <v>23</v>
      </c>
      <c r="G758" s="38" t="n">
        <f aca="false">SUMIFS($F$2:$F$1137,$A$2:$A$1137,A758,$C$2:$C$1137,C758)</f>
        <v>167</v>
      </c>
      <c r="H758" s="43" t="n">
        <v>1</v>
      </c>
      <c r="I758" s="45" t="n">
        <f aca="false">IF(G758=0,"",F758/G758)</f>
        <v>0.137724550898204</v>
      </c>
      <c r="J758" s="45" t="n">
        <f aca="false">K758/L758</f>
        <v>0.140350877192982</v>
      </c>
      <c r="K758" s="38" t="n">
        <f aca="false">F758+H758</f>
        <v>24</v>
      </c>
      <c r="L758" s="38" t="n">
        <f aca="false">G758+4*H758</f>
        <v>171</v>
      </c>
      <c r="M758" s="38" t="s">
        <v>619</v>
      </c>
      <c r="N758" s="38" t="n">
        <f aca="false">ROUND(SUMIFS($J$2:$J$1137,$A$2:$A$1137,A758,$C$2:$C$1137,C758),9)</f>
        <v>1</v>
      </c>
    </row>
    <row r="759" customFormat="false" ht="15" hidden="false" customHeight="true" outlineLevel="0" collapsed="false">
      <c r="A759" s="38" t="n">
        <v>48</v>
      </c>
      <c r="B759" s="38" t="s">
        <v>666</v>
      </c>
      <c r="C759" s="38" t="s">
        <v>170</v>
      </c>
      <c r="D759" s="38" t="s">
        <v>170</v>
      </c>
      <c r="E759" s="38" t="str">
        <f aca="false">A759&amp;"|"&amp;C759&amp;"|"&amp;D759</f>
        <v>48|C|C</v>
      </c>
      <c r="F759" s="43" t="n">
        <v>51</v>
      </c>
      <c r="G759" s="38" t="n">
        <f aca="false">SUMIFS($F$2:$F$1137,$A$2:$A$1137,A759,$C$2:$C$1137,C759)</f>
        <v>167</v>
      </c>
      <c r="H759" s="43" t="n">
        <v>1</v>
      </c>
      <c r="I759" s="45" t="n">
        <f aca="false">IF(G759=0,"",F759/G759)</f>
        <v>0.305389221556886</v>
      </c>
      <c r="J759" s="45" t="n">
        <f aca="false">K759/L759</f>
        <v>0.304093567251462</v>
      </c>
      <c r="K759" s="38" t="n">
        <f aca="false">F759+H759</f>
        <v>52</v>
      </c>
      <c r="L759" s="38" t="n">
        <f aca="false">G759+4*H759</f>
        <v>171</v>
      </c>
      <c r="M759" s="38" t="s">
        <v>619</v>
      </c>
      <c r="N759" s="38" t="n">
        <f aca="false">ROUND(SUMIFS($J$2:$J$1137,$A$2:$A$1137,A759,$C$2:$C$1137,C759),9)</f>
        <v>1</v>
      </c>
    </row>
    <row r="760" customFormat="false" ht="15" hidden="false" customHeight="true" outlineLevel="0" collapsed="false">
      <c r="A760" s="38" t="n">
        <v>48</v>
      </c>
      <c r="B760" s="38" t="s">
        <v>666</v>
      </c>
      <c r="C760" s="38" t="s">
        <v>170</v>
      </c>
      <c r="D760" s="38" t="s">
        <v>169</v>
      </c>
      <c r="E760" s="38" t="str">
        <f aca="false">A760&amp;"|"&amp;C760&amp;"|"&amp;D760</f>
        <v>48|C|G</v>
      </c>
      <c r="F760" s="43" t="n">
        <v>84</v>
      </c>
      <c r="G760" s="38" t="n">
        <f aca="false">SUMIFS($F$2:$F$1137,$A$2:$A$1137,A760,$C$2:$C$1137,C760)</f>
        <v>167</v>
      </c>
      <c r="H760" s="43" t="n">
        <v>1</v>
      </c>
      <c r="I760" s="45" t="n">
        <f aca="false">IF(G760=0,"",F760/G760)</f>
        <v>0.502994011976048</v>
      </c>
      <c r="J760" s="45" t="n">
        <f aca="false">K760/L760</f>
        <v>0.497076023391813</v>
      </c>
      <c r="K760" s="38" t="n">
        <f aca="false">F760+H760</f>
        <v>85</v>
      </c>
      <c r="L760" s="38" t="n">
        <f aca="false">G760+4*H760</f>
        <v>171</v>
      </c>
      <c r="M760" s="38" t="s">
        <v>619</v>
      </c>
      <c r="N760" s="38" t="n">
        <f aca="false">ROUND(SUMIFS($J$2:$J$1137,$A$2:$A$1137,A760,$C$2:$C$1137,C760),9)</f>
        <v>1</v>
      </c>
    </row>
    <row r="761" customFormat="false" ht="15" hidden="false" customHeight="true" outlineLevel="0" collapsed="false">
      <c r="A761" s="38" t="n">
        <v>48</v>
      </c>
      <c r="B761" s="38" t="s">
        <v>666</v>
      </c>
      <c r="C761" s="38" t="s">
        <v>170</v>
      </c>
      <c r="D761" s="38" t="s">
        <v>171</v>
      </c>
      <c r="E761" s="38" t="str">
        <f aca="false">A761&amp;"|"&amp;C761&amp;"|"&amp;D761</f>
        <v>48|C|U</v>
      </c>
      <c r="F761" s="43" t="n">
        <v>9</v>
      </c>
      <c r="G761" s="38" t="n">
        <f aca="false">SUMIFS($F$2:$F$1137,$A$2:$A$1137,A761,$C$2:$C$1137,C761)</f>
        <v>167</v>
      </c>
      <c r="H761" s="43" t="n">
        <v>1</v>
      </c>
      <c r="I761" s="45" t="n">
        <f aca="false">IF(G761=0,"",F761/G761)</f>
        <v>0.0538922155688623</v>
      </c>
      <c r="J761" s="45" t="n">
        <f aca="false">K761/L761</f>
        <v>0.0584795321637427</v>
      </c>
      <c r="K761" s="38" t="n">
        <f aca="false">F761+H761</f>
        <v>10</v>
      </c>
      <c r="L761" s="38" t="n">
        <f aca="false">G761+4*H761</f>
        <v>171</v>
      </c>
      <c r="M761" s="38" t="s">
        <v>619</v>
      </c>
      <c r="N761" s="38" t="n">
        <f aca="false">ROUND(SUMIFS($J$2:$J$1137,$A$2:$A$1137,A761,$C$2:$C$1137,C761),9)</f>
        <v>1</v>
      </c>
    </row>
    <row r="762" customFormat="false" ht="15" hidden="false" customHeight="true" outlineLevel="0" collapsed="false">
      <c r="A762" s="38" t="n">
        <v>48</v>
      </c>
      <c r="B762" s="38" t="s">
        <v>666</v>
      </c>
      <c r="C762" s="38" t="s">
        <v>169</v>
      </c>
      <c r="D762" s="38" t="s">
        <v>172</v>
      </c>
      <c r="E762" s="38" t="str">
        <f aca="false">A762&amp;"|"&amp;C762&amp;"|"&amp;D762</f>
        <v>48|G|A</v>
      </c>
      <c r="F762" s="43" t="n">
        <v>0</v>
      </c>
      <c r="G762" s="38" t="n">
        <f aca="false">SUMIFS($F$2:$F$1137,$A$2:$A$1137,A762,$C$2:$C$1137,C762)</f>
        <v>2</v>
      </c>
      <c r="H762" s="43" t="n">
        <v>1</v>
      </c>
      <c r="I762" s="45" t="n">
        <f aca="false">IF(G762=0,"",F762/G762)</f>
        <v>0</v>
      </c>
      <c r="J762" s="45" t="n">
        <f aca="false">K762/L762</f>
        <v>0.166666666666667</v>
      </c>
      <c r="K762" s="38" t="n">
        <f aca="false">F762+H762</f>
        <v>1</v>
      </c>
      <c r="L762" s="38" t="n">
        <f aca="false">G762+4*H762</f>
        <v>6</v>
      </c>
      <c r="M762" s="38" t="s">
        <v>619</v>
      </c>
      <c r="N762" s="38" t="n">
        <f aca="false">ROUND(SUMIFS($J$2:$J$1137,$A$2:$A$1137,A762,$C$2:$C$1137,C762),9)</f>
        <v>1</v>
      </c>
    </row>
    <row r="763" customFormat="false" ht="15" hidden="false" customHeight="true" outlineLevel="0" collapsed="false">
      <c r="A763" s="38" t="n">
        <v>48</v>
      </c>
      <c r="B763" s="38" t="s">
        <v>666</v>
      </c>
      <c r="C763" s="38" t="s">
        <v>169</v>
      </c>
      <c r="D763" s="38" t="s">
        <v>170</v>
      </c>
      <c r="E763" s="38" t="str">
        <f aca="false">A763&amp;"|"&amp;C763&amp;"|"&amp;D763</f>
        <v>48|G|C</v>
      </c>
      <c r="F763" s="43" t="n">
        <v>2</v>
      </c>
      <c r="G763" s="38" t="n">
        <f aca="false">SUMIFS($F$2:$F$1137,$A$2:$A$1137,A763,$C$2:$C$1137,C763)</f>
        <v>2</v>
      </c>
      <c r="H763" s="43" t="n">
        <v>1</v>
      </c>
      <c r="I763" s="45" t="n">
        <f aca="false">IF(G763=0,"",F763/G763)</f>
        <v>1</v>
      </c>
      <c r="J763" s="45" t="n">
        <f aca="false">K763/L763</f>
        <v>0.5</v>
      </c>
      <c r="K763" s="38" t="n">
        <f aca="false">F763+H763</f>
        <v>3</v>
      </c>
      <c r="L763" s="38" t="n">
        <f aca="false">G763+4*H763</f>
        <v>6</v>
      </c>
      <c r="M763" s="38" t="s">
        <v>619</v>
      </c>
      <c r="N763" s="38" t="n">
        <f aca="false">ROUND(SUMIFS($J$2:$J$1137,$A$2:$A$1137,A763,$C$2:$C$1137,C763),9)</f>
        <v>1</v>
      </c>
    </row>
    <row r="764" customFormat="false" ht="15" hidden="false" customHeight="true" outlineLevel="0" collapsed="false">
      <c r="A764" s="38" t="n">
        <v>48</v>
      </c>
      <c r="B764" s="38" t="s">
        <v>666</v>
      </c>
      <c r="C764" s="38" t="s">
        <v>169</v>
      </c>
      <c r="D764" s="38" t="s">
        <v>169</v>
      </c>
      <c r="E764" s="38" t="str">
        <f aca="false">A764&amp;"|"&amp;C764&amp;"|"&amp;D764</f>
        <v>48|G|G</v>
      </c>
      <c r="F764" s="43" t="n">
        <v>0</v>
      </c>
      <c r="G764" s="38" t="n">
        <f aca="false">SUMIFS($F$2:$F$1137,$A$2:$A$1137,A764,$C$2:$C$1137,C764)</f>
        <v>2</v>
      </c>
      <c r="H764" s="43" t="n">
        <v>1</v>
      </c>
      <c r="I764" s="45" t="n">
        <f aca="false">IF(G764=0,"",F764/G764)</f>
        <v>0</v>
      </c>
      <c r="J764" s="45" t="n">
        <f aca="false">K764/L764</f>
        <v>0.166666666666667</v>
      </c>
      <c r="K764" s="38" t="n">
        <f aca="false">F764+H764</f>
        <v>1</v>
      </c>
      <c r="L764" s="38" t="n">
        <f aca="false">G764+4*H764</f>
        <v>6</v>
      </c>
      <c r="M764" s="38" t="s">
        <v>619</v>
      </c>
      <c r="N764" s="38" t="n">
        <f aca="false">ROUND(SUMIFS($J$2:$J$1137,$A$2:$A$1137,A764,$C$2:$C$1137,C764),9)</f>
        <v>1</v>
      </c>
    </row>
    <row r="765" customFormat="false" ht="15" hidden="false" customHeight="true" outlineLevel="0" collapsed="false">
      <c r="A765" s="38" t="n">
        <v>48</v>
      </c>
      <c r="B765" s="38" t="s">
        <v>666</v>
      </c>
      <c r="C765" s="38" t="s">
        <v>169</v>
      </c>
      <c r="D765" s="38" t="s">
        <v>171</v>
      </c>
      <c r="E765" s="38" t="str">
        <f aca="false">A765&amp;"|"&amp;C765&amp;"|"&amp;D765</f>
        <v>48|G|U</v>
      </c>
      <c r="F765" s="43" t="n">
        <v>0</v>
      </c>
      <c r="G765" s="38" t="n">
        <f aca="false">SUMIFS($F$2:$F$1137,$A$2:$A$1137,A765,$C$2:$C$1137,C765)</f>
        <v>2</v>
      </c>
      <c r="H765" s="43" t="n">
        <v>1</v>
      </c>
      <c r="I765" s="45" t="n">
        <f aca="false">IF(G765=0,"",F765/G765)</f>
        <v>0</v>
      </c>
      <c r="J765" s="45" t="n">
        <f aca="false">K765/L765</f>
        <v>0.166666666666667</v>
      </c>
      <c r="K765" s="38" t="n">
        <f aca="false">F765+H765</f>
        <v>1</v>
      </c>
      <c r="L765" s="38" t="n">
        <f aca="false">G765+4*H765</f>
        <v>6</v>
      </c>
      <c r="M765" s="38" t="s">
        <v>619</v>
      </c>
      <c r="N765" s="38" t="n">
        <f aca="false">ROUND(SUMIFS($J$2:$J$1137,$A$2:$A$1137,A765,$C$2:$C$1137,C765),9)</f>
        <v>1</v>
      </c>
    </row>
    <row r="766" customFormat="false" ht="15" hidden="false" customHeight="true" outlineLevel="0" collapsed="false">
      <c r="A766" s="38" t="n">
        <v>48</v>
      </c>
      <c r="B766" s="38" t="s">
        <v>666</v>
      </c>
      <c r="C766" s="38" t="s">
        <v>171</v>
      </c>
      <c r="D766" s="38" t="s">
        <v>172</v>
      </c>
      <c r="E766" s="38" t="str">
        <f aca="false">A766&amp;"|"&amp;C766&amp;"|"&amp;D766</f>
        <v>48|U|A</v>
      </c>
      <c r="F766" s="43" t="n">
        <v>7</v>
      </c>
      <c r="G766" s="38" t="n">
        <f aca="false">SUMIFS($F$2:$F$1137,$A$2:$A$1137,A766,$C$2:$C$1137,C766)</f>
        <v>29</v>
      </c>
      <c r="H766" s="43" t="n">
        <v>1</v>
      </c>
      <c r="I766" s="45" t="n">
        <f aca="false">IF(G766=0,"",F766/G766)</f>
        <v>0.241379310344828</v>
      </c>
      <c r="J766" s="45" t="n">
        <f aca="false">K766/L766</f>
        <v>0.242424242424242</v>
      </c>
      <c r="K766" s="38" t="n">
        <f aca="false">F766+H766</f>
        <v>8</v>
      </c>
      <c r="L766" s="38" t="n">
        <f aca="false">G766+4*H766</f>
        <v>33</v>
      </c>
      <c r="M766" s="38" t="s">
        <v>619</v>
      </c>
      <c r="N766" s="38" t="n">
        <f aca="false">ROUND(SUMIFS($J$2:$J$1137,$A$2:$A$1137,A766,$C$2:$C$1137,C766),9)</f>
        <v>1</v>
      </c>
    </row>
    <row r="767" customFormat="false" ht="15" hidden="false" customHeight="true" outlineLevel="0" collapsed="false">
      <c r="A767" s="38" t="n">
        <v>48</v>
      </c>
      <c r="B767" s="38" t="s">
        <v>666</v>
      </c>
      <c r="C767" s="38" t="s">
        <v>171</v>
      </c>
      <c r="D767" s="38" t="s">
        <v>170</v>
      </c>
      <c r="E767" s="38" t="str">
        <f aca="false">A767&amp;"|"&amp;C767&amp;"|"&amp;D767</f>
        <v>48|U|C</v>
      </c>
      <c r="F767" s="43" t="n">
        <v>4</v>
      </c>
      <c r="G767" s="38" t="n">
        <f aca="false">SUMIFS($F$2:$F$1137,$A$2:$A$1137,A767,$C$2:$C$1137,C767)</f>
        <v>29</v>
      </c>
      <c r="H767" s="43" t="n">
        <v>1</v>
      </c>
      <c r="I767" s="45" t="n">
        <f aca="false">IF(G767=0,"",F767/G767)</f>
        <v>0.137931034482759</v>
      </c>
      <c r="J767" s="45" t="n">
        <f aca="false">K767/L767</f>
        <v>0.151515151515152</v>
      </c>
      <c r="K767" s="38" t="n">
        <f aca="false">F767+H767</f>
        <v>5</v>
      </c>
      <c r="L767" s="38" t="n">
        <f aca="false">G767+4*H767</f>
        <v>33</v>
      </c>
      <c r="M767" s="38" t="s">
        <v>619</v>
      </c>
      <c r="N767" s="38" t="n">
        <f aca="false">ROUND(SUMIFS($J$2:$J$1137,$A$2:$A$1137,A767,$C$2:$C$1137,C767),9)</f>
        <v>1</v>
      </c>
    </row>
    <row r="768" customFormat="false" ht="15" hidden="false" customHeight="true" outlineLevel="0" collapsed="false">
      <c r="A768" s="38" t="n">
        <v>48</v>
      </c>
      <c r="B768" s="38" t="s">
        <v>666</v>
      </c>
      <c r="C768" s="38" t="s">
        <v>171</v>
      </c>
      <c r="D768" s="38" t="s">
        <v>169</v>
      </c>
      <c r="E768" s="38" t="str">
        <f aca="false">A768&amp;"|"&amp;C768&amp;"|"&amp;D768</f>
        <v>48|U|G</v>
      </c>
      <c r="F768" s="43" t="n">
        <v>16</v>
      </c>
      <c r="G768" s="38" t="n">
        <f aca="false">SUMIFS($F$2:$F$1137,$A$2:$A$1137,A768,$C$2:$C$1137,C768)</f>
        <v>29</v>
      </c>
      <c r="H768" s="43" t="n">
        <v>1</v>
      </c>
      <c r="I768" s="45" t="n">
        <f aca="false">IF(G768=0,"",F768/G768)</f>
        <v>0.551724137931035</v>
      </c>
      <c r="J768" s="45" t="n">
        <f aca="false">K768/L768</f>
        <v>0.515151515151515</v>
      </c>
      <c r="K768" s="38" t="n">
        <f aca="false">F768+H768</f>
        <v>17</v>
      </c>
      <c r="L768" s="38" t="n">
        <f aca="false">G768+4*H768</f>
        <v>33</v>
      </c>
      <c r="M768" s="38" t="s">
        <v>619</v>
      </c>
      <c r="N768" s="38" t="n">
        <f aca="false">ROUND(SUMIFS($J$2:$J$1137,$A$2:$A$1137,A768,$C$2:$C$1137,C768),9)</f>
        <v>1</v>
      </c>
    </row>
    <row r="769" customFormat="false" ht="15" hidden="false" customHeight="true" outlineLevel="0" collapsed="false">
      <c r="A769" s="38" t="n">
        <v>48</v>
      </c>
      <c r="B769" s="38" t="s">
        <v>666</v>
      </c>
      <c r="C769" s="38" t="s">
        <v>171</v>
      </c>
      <c r="D769" s="38" t="s">
        <v>171</v>
      </c>
      <c r="E769" s="38" t="str">
        <f aca="false">A769&amp;"|"&amp;C769&amp;"|"&amp;D769</f>
        <v>48|U|U</v>
      </c>
      <c r="F769" s="43" t="n">
        <v>2</v>
      </c>
      <c r="G769" s="38" t="n">
        <f aca="false">SUMIFS($F$2:$F$1137,$A$2:$A$1137,A769,$C$2:$C$1137,C769)</f>
        <v>29</v>
      </c>
      <c r="H769" s="43" t="n">
        <v>1</v>
      </c>
      <c r="I769" s="45" t="n">
        <f aca="false">IF(G769=0,"",F769/G769)</f>
        <v>0.0689655172413793</v>
      </c>
      <c r="J769" s="45" t="n">
        <f aca="false">K769/L769</f>
        <v>0.0909090909090909</v>
      </c>
      <c r="K769" s="38" t="n">
        <f aca="false">F769+H769</f>
        <v>3</v>
      </c>
      <c r="L769" s="38" t="n">
        <f aca="false">G769+4*H769</f>
        <v>33</v>
      </c>
      <c r="M769" s="38" t="s">
        <v>619</v>
      </c>
      <c r="N769" s="38" t="n">
        <f aca="false">ROUND(SUMIFS($J$2:$J$1137,$A$2:$A$1137,A769,$C$2:$C$1137,C769),9)</f>
        <v>1</v>
      </c>
    </row>
    <row r="770" customFormat="false" ht="15" hidden="false" customHeight="true" outlineLevel="0" collapsed="false">
      <c r="A770" s="38" t="n">
        <v>49</v>
      </c>
      <c r="B770" s="38" t="s">
        <v>667</v>
      </c>
      <c r="C770" s="38" t="s">
        <v>172</v>
      </c>
      <c r="D770" s="38" t="s">
        <v>172</v>
      </c>
      <c r="E770" s="38" t="str">
        <f aca="false">A770&amp;"|"&amp;C770&amp;"|"&amp;D770</f>
        <v>49|A|A</v>
      </c>
      <c r="F770" s="43" t="n">
        <v>2</v>
      </c>
      <c r="G770" s="38" t="n">
        <f aca="false">SUMIFS($F$2:$F$1137,$A$2:$A$1137,A770,$C$2:$C$1137,C770)</f>
        <v>31</v>
      </c>
      <c r="H770" s="43" t="n">
        <v>1</v>
      </c>
      <c r="I770" s="45" t="n">
        <f aca="false">IF(G770=0,"",F770/G770)</f>
        <v>0.0645161290322581</v>
      </c>
      <c r="J770" s="45" t="n">
        <f aca="false">K770/L770</f>
        <v>0.0857142857142857</v>
      </c>
      <c r="K770" s="38" t="n">
        <f aca="false">F770+H770</f>
        <v>3</v>
      </c>
      <c r="L770" s="38" t="n">
        <f aca="false">G770+4*H770</f>
        <v>35</v>
      </c>
      <c r="M770" s="38" t="s">
        <v>619</v>
      </c>
      <c r="N770" s="38" t="n">
        <f aca="false">ROUND(SUMIFS($J$2:$J$1137,$A$2:$A$1137,A770,$C$2:$C$1137,C770),9)</f>
        <v>1</v>
      </c>
    </row>
    <row r="771" customFormat="false" ht="15" hidden="false" customHeight="true" outlineLevel="0" collapsed="false">
      <c r="A771" s="38" t="n">
        <v>49</v>
      </c>
      <c r="B771" s="38" t="s">
        <v>667</v>
      </c>
      <c r="C771" s="38" t="s">
        <v>172</v>
      </c>
      <c r="D771" s="38" t="s">
        <v>170</v>
      </c>
      <c r="E771" s="38" t="str">
        <f aca="false">A771&amp;"|"&amp;C771&amp;"|"&amp;D771</f>
        <v>49|A|C</v>
      </c>
      <c r="F771" s="43" t="n">
        <v>15</v>
      </c>
      <c r="G771" s="38" t="n">
        <f aca="false">SUMIFS($F$2:$F$1137,$A$2:$A$1137,A771,$C$2:$C$1137,C771)</f>
        <v>31</v>
      </c>
      <c r="H771" s="43" t="n">
        <v>1</v>
      </c>
      <c r="I771" s="45" t="n">
        <f aca="false">IF(G771=0,"",F771/G771)</f>
        <v>0.483870967741936</v>
      </c>
      <c r="J771" s="45" t="n">
        <f aca="false">K771/L771</f>
        <v>0.457142857142857</v>
      </c>
      <c r="K771" s="38" t="n">
        <f aca="false">F771+H771</f>
        <v>16</v>
      </c>
      <c r="L771" s="38" t="n">
        <f aca="false">G771+4*H771</f>
        <v>35</v>
      </c>
      <c r="M771" s="38" t="s">
        <v>619</v>
      </c>
      <c r="N771" s="38" t="n">
        <f aca="false">ROUND(SUMIFS($J$2:$J$1137,$A$2:$A$1137,A771,$C$2:$C$1137,C771),9)</f>
        <v>1</v>
      </c>
    </row>
    <row r="772" customFormat="false" ht="15" hidden="false" customHeight="true" outlineLevel="0" collapsed="false">
      <c r="A772" s="38" t="n">
        <v>49</v>
      </c>
      <c r="B772" s="38" t="s">
        <v>667</v>
      </c>
      <c r="C772" s="38" t="s">
        <v>172</v>
      </c>
      <c r="D772" s="38" t="s">
        <v>169</v>
      </c>
      <c r="E772" s="38" t="str">
        <f aca="false">A772&amp;"|"&amp;C772&amp;"|"&amp;D772</f>
        <v>49|A|G</v>
      </c>
      <c r="F772" s="43" t="n">
        <v>8</v>
      </c>
      <c r="G772" s="38" t="n">
        <f aca="false">SUMIFS($F$2:$F$1137,$A$2:$A$1137,A772,$C$2:$C$1137,C772)</f>
        <v>31</v>
      </c>
      <c r="H772" s="43" t="n">
        <v>1</v>
      </c>
      <c r="I772" s="45" t="n">
        <f aca="false">IF(G772=0,"",F772/G772)</f>
        <v>0.258064516129032</v>
      </c>
      <c r="J772" s="45" t="n">
        <f aca="false">K772/L772</f>
        <v>0.257142857142857</v>
      </c>
      <c r="K772" s="38" t="n">
        <f aca="false">F772+H772</f>
        <v>9</v>
      </c>
      <c r="L772" s="38" t="n">
        <f aca="false">G772+4*H772</f>
        <v>35</v>
      </c>
      <c r="M772" s="38" t="s">
        <v>619</v>
      </c>
      <c r="N772" s="38" t="n">
        <f aca="false">ROUND(SUMIFS($J$2:$J$1137,$A$2:$A$1137,A772,$C$2:$C$1137,C772),9)</f>
        <v>1</v>
      </c>
    </row>
    <row r="773" customFormat="false" ht="15" hidden="false" customHeight="true" outlineLevel="0" collapsed="false">
      <c r="A773" s="38" t="n">
        <v>49</v>
      </c>
      <c r="B773" s="38" t="s">
        <v>667</v>
      </c>
      <c r="C773" s="38" t="s">
        <v>172</v>
      </c>
      <c r="D773" s="38" t="s">
        <v>171</v>
      </c>
      <c r="E773" s="38" t="str">
        <f aca="false">A773&amp;"|"&amp;C773&amp;"|"&amp;D773</f>
        <v>49|A|U</v>
      </c>
      <c r="F773" s="43" t="n">
        <v>6</v>
      </c>
      <c r="G773" s="38" t="n">
        <f aca="false">SUMIFS($F$2:$F$1137,$A$2:$A$1137,A773,$C$2:$C$1137,C773)</f>
        <v>31</v>
      </c>
      <c r="H773" s="43" t="n">
        <v>1</v>
      </c>
      <c r="I773" s="45" t="n">
        <f aca="false">IF(G773=0,"",F773/G773)</f>
        <v>0.193548387096774</v>
      </c>
      <c r="J773" s="45" t="n">
        <f aca="false">K773/L773</f>
        <v>0.2</v>
      </c>
      <c r="K773" s="38" t="n">
        <f aca="false">F773+H773</f>
        <v>7</v>
      </c>
      <c r="L773" s="38" t="n">
        <f aca="false">G773+4*H773</f>
        <v>35</v>
      </c>
      <c r="M773" s="38" t="s">
        <v>619</v>
      </c>
      <c r="N773" s="38" t="n">
        <f aca="false">ROUND(SUMIFS($J$2:$J$1137,$A$2:$A$1137,A773,$C$2:$C$1137,C773),9)</f>
        <v>1</v>
      </c>
    </row>
    <row r="774" customFormat="false" ht="15" hidden="false" customHeight="true" outlineLevel="0" collapsed="false">
      <c r="A774" s="38" t="n">
        <v>49</v>
      </c>
      <c r="B774" s="38" t="s">
        <v>667</v>
      </c>
      <c r="C774" s="38" t="s">
        <v>170</v>
      </c>
      <c r="D774" s="38" t="s">
        <v>172</v>
      </c>
      <c r="E774" s="38" t="str">
        <f aca="false">A774&amp;"|"&amp;C774&amp;"|"&amp;D774</f>
        <v>49|C|A</v>
      </c>
      <c r="F774" s="43" t="n">
        <v>3</v>
      </c>
      <c r="G774" s="38" t="n">
        <f aca="false">SUMIFS($F$2:$F$1137,$A$2:$A$1137,A774,$C$2:$C$1137,C774)</f>
        <v>57</v>
      </c>
      <c r="H774" s="43" t="n">
        <v>1</v>
      </c>
      <c r="I774" s="45" t="n">
        <f aca="false">IF(G774=0,"",F774/G774)</f>
        <v>0.0526315789473684</v>
      </c>
      <c r="J774" s="45" t="n">
        <f aca="false">K774/L774</f>
        <v>0.0655737704918033</v>
      </c>
      <c r="K774" s="38" t="n">
        <f aca="false">F774+H774</f>
        <v>4</v>
      </c>
      <c r="L774" s="38" t="n">
        <f aca="false">G774+4*H774</f>
        <v>61</v>
      </c>
      <c r="M774" s="38" t="s">
        <v>619</v>
      </c>
      <c r="N774" s="38" t="n">
        <f aca="false">ROUND(SUMIFS($J$2:$J$1137,$A$2:$A$1137,A774,$C$2:$C$1137,C774),9)</f>
        <v>1</v>
      </c>
    </row>
    <row r="775" customFormat="false" ht="15" hidden="false" customHeight="true" outlineLevel="0" collapsed="false">
      <c r="A775" s="38" t="n">
        <v>49</v>
      </c>
      <c r="B775" s="38" t="s">
        <v>667</v>
      </c>
      <c r="C775" s="38" t="s">
        <v>170</v>
      </c>
      <c r="D775" s="38" t="s">
        <v>170</v>
      </c>
      <c r="E775" s="38" t="str">
        <f aca="false">A775&amp;"|"&amp;C775&amp;"|"&amp;D775</f>
        <v>49|C|C</v>
      </c>
      <c r="F775" s="43" t="n">
        <v>34</v>
      </c>
      <c r="G775" s="38" t="n">
        <f aca="false">SUMIFS($F$2:$F$1137,$A$2:$A$1137,A775,$C$2:$C$1137,C775)</f>
        <v>57</v>
      </c>
      <c r="H775" s="43" t="n">
        <v>1</v>
      </c>
      <c r="I775" s="45" t="n">
        <f aca="false">IF(G775=0,"",F775/G775)</f>
        <v>0.596491228070175</v>
      </c>
      <c r="J775" s="45" t="n">
        <f aca="false">K775/L775</f>
        <v>0.573770491803279</v>
      </c>
      <c r="K775" s="38" t="n">
        <f aca="false">F775+H775</f>
        <v>35</v>
      </c>
      <c r="L775" s="38" t="n">
        <f aca="false">G775+4*H775</f>
        <v>61</v>
      </c>
      <c r="M775" s="38" t="s">
        <v>619</v>
      </c>
      <c r="N775" s="38" t="n">
        <f aca="false">ROUND(SUMIFS($J$2:$J$1137,$A$2:$A$1137,A775,$C$2:$C$1137,C775),9)</f>
        <v>1</v>
      </c>
    </row>
    <row r="776" customFormat="false" ht="15" hidden="false" customHeight="true" outlineLevel="0" collapsed="false">
      <c r="A776" s="38" t="n">
        <v>49</v>
      </c>
      <c r="B776" s="38" t="s">
        <v>667</v>
      </c>
      <c r="C776" s="38" t="s">
        <v>170</v>
      </c>
      <c r="D776" s="38" t="s">
        <v>169</v>
      </c>
      <c r="E776" s="38" t="str">
        <f aca="false">A776&amp;"|"&amp;C776&amp;"|"&amp;D776</f>
        <v>49|C|G</v>
      </c>
      <c r="F776" s="43" t="n">
        <v>12</v>
      </c>
      <c r="G776" s="38" t="n">
        <f aca="false">SUMIFS($F$2:$F$1137,$A$2:$A$1137,A776,$C$2:$C$1137,C776)</f>
        <v>57</v>
      </c>
      <c r="H776" s="43" t="n">
        <v>1</v>
      </c>
      <c r="I776" s="45" t="n">
        <f aca="false">IF(G776=0,"",F776/G776)</f>
        <v>0.210526315789474</v>
      </c>
      <c r="J776" s="45" t="n">
        <f aca="false">K776/L776</f>
        <v>0.213114754098361</v>
      </c>
      <c r="K776" s="38" t="n">
        <f aca="false">F776+H776</f>
        <v>13</v>
      </c>
      <c r="L776" s="38" t="n">
        <f aca="false">G776+4*H776</f>
        <v>61</v>
      </c>
      <c r="M776" s="38" t="s">
        <v>619</v>
      </c>
      <c r="N776" s="38" t="n">
        <f aca="false">ROUND(SUMIFS($J$2:$J$1137,$A$2:$A$1137,A776,$C$2:$C$1137,C776),9)</f>
        <v>1</v>
      </c>
    </row>
    <row r="777" customFormat="false" ht="15" hidden="false" customHeight="true" outlineLevel="0" collapsed="false">
      <c r="A777" s="38" t="n">
        <v>49</v>
      </c>
      <c r="B777" s="38" t="s">
        <v>667</v>
      </c>
      <c r="C777" s="38" t="s">
        <v>170</v>
      </c>
      <c r="D777" s="38" t="s">
        <v>171</v>
      </c>
      <c r="E777" s="38" t="str">
        <f aca="false">A777&amp;"|"&amp;C777&amp;"|"&amp;D777</f>
        <v>49|C|U</v>
      </c>
      <c r="F777" s="43" t="n">
        <v>8</v>
      </c>
      <c r="G777" s="38" t="n">
        <f aca="false">SUMIFS($F$2:$F$1137,$A$2:$A$1137,A777,$C$2:$C$1137,C777)</f>
        <v>57</v>
      </c>
      <c r="H777" s="43" t="n">
        <v>1</v>
      </c>
      <c r="I777" s="45" t="n">
        <f aca="false">IF(G777=0,"",F777/G777)</f>
        <v>0.140350877192982</v>
      </c>
      <c r="J777" s="45" t="n">
        <f aca="false">K777/L777</f>
        <v>0.147540983606557</v>
      </c>
      <c r="K777" s="38" t="n">
        <f aca="false">F777+H777</f>
        <v>9</v>
      </c>
      <c r="L777" s="38" t="n">
        <f aca="false">G777+4*H777</f>
        <v>61</v>
      </c>
      <c r="M777" s="38" t="s">
        <v>619</v>
      </c>
      <c r="N777" s="38" t="n">
        <f aca="false">ROUND(SUMIFS($J$2:$J$1137,$A$2:$A$1137,A777,$C$2:$C$1137,C777),9)</f>
        <v>1</v>
      </c>
    </row>
    <row r="778" customFormat="false" ht="15" hidden="false" customHeight="true" outlineLevel="0" collapsed="false">
      <c r="A778" s="38" t="n">
        <v>49</v>
      </c>
      <c r="B778" s="38" t="s">
        <v>667</v>
      </c>
      <c r="C778" s="38" t="s">
        <v>169</v>
      </c>
      <c r="D778" s="38" t="s">
        <v>172</v>
      </c>
      <c r="E778" s="38" t="str">
        <f aca="false">A778&amp;"|"&amp;C778&amp;"|"&amp;D778</f>
        <v>49|G|A</v>
      </c>
      <c r="F778" s="43" t="n">
        <v>16</v>
      </c>
      <c r="G778" s="38" t="n">
        <f aca="false">SUMIFS($F$2:$F$1137,$A$2:$A$1137,A778,$C$2:$C$1137,C778)</f>
        <v>100</v>
      </c>
      <c r="H778" s="43" t="n">
        <v>1</v>
      </c>
      <c r="I778" s="45" t="n">
        <f aca="false">IF(G778=0,"",F778/G778)</f>
        <v>0.16</v>
      </c>
      <c r="J778" s="45" t="n">
        <f aca="false">K778/L778</f>
        <v>0.163461538461538</v>
      </c>
      <c r="K778" s="38" t="n">
        <f aca="false">F778+H778</f>
        <v>17</v>
      </c>
      <c r="L778" s="38" t="n">
        <f aca="false">G778+4*H778</f>
        <v>104</v>
      </c>
      <c r="M778" s="38" t="s">
        <v>619</v>
      </c>
      <c r="N778" s="38" t="n">
        <f aca="false">ROUND(SUMIFS($J$2:$J$1137,$A$2:$A$1137,A778,$C$2:$C$1137,C778),9)</f>
        <v>1</v>
      </c>
    </row>
    <row r="779" customFormat="false" ht="15" hidden="false" customHeight="true" outlineLevel="0" collapsed="false">
      <c r="A779" s="38" t="n">
        <v>49</v>
      </c>
      <c r="B779" s="38" t="s">
        <v>667</v>
      </c>
      <c r="C779" s="38" t="s">
        <v>169</v>
      </c>
      <c r="D779" s="38" t="s">
        <v>170</v>
      </c>
      <c r="E779" s="38" t="str">
        <f aca="false">A779&amp;"|"&amp;C779&amp;"|"&amp;D779</f>
        <v>49|G|C</v>
      </c>
      <c r="F779" s="43" t="n">
        <v>33</v>
      </c>
      <c r="G779" s="38" t="n">
        <f aca="false">SUMIFS($F$2:$F$1137,$A$2:$A$1137,A779,$C$2:$C$1137,C779)</f>
        <v>100</v>
      </c>
      <c r="H779" s="43" t="n">
        <v>1</v>
      </c>
      <c r="I779" s="45" t="n">
        <f aca="false">IF(G779=0,"",F779/G779)</f>
        <v>0.33</v>
      </c>
      <c r="J779" s="45" t="n">
        <f aca="false">K779/L779</f>
        <v>0.326923076923077</v>
      </c>
      <c r="K779" s="38" t="n">
        <f aca="false">F779+H779</f>
        <v>34</v>
      </c>
      <c r="L779" s="38" t="n">
        <f aca="false">G779+4*H779</f>
        <v>104</v>
      </c>
      <c r="M779" s="38" t="s">
        <v>619</v>
      </c>
      <c r="N779" s="38" t="n">
        <f aca="false">ROUND(SUMIFS($J$2:$J$1137,$A$2:$A$1137,A779,$C$2:$C$1137,C779),9)</f>
        <v>1</v>
      </c>
    </row>
    <row r="780" customFormat="false" ht="15" hidden="false" customHeight="true" outlineLevel="0" collapsed="false">
      <c r="A780" s="38" t="n">
        <v>49</v>
      </c>
      <c r="B780" s="38" t="s">
        <v>667</v>
      </c>
      <c r="C780" s="38" t="s">
        <v>169</v>
      </c>
      <c r="D780" s="38" t="s">
        <v>169</v>
      </c>
      <c r="E780" s="38" t="str">
        <f aca="false">A780&amp;"|"&amp;C780&amp;"|"&amp;D780</f>
        <v>49|G|G</v>
      </c>
      <c r="F780" s="43" t="n">
        <v>30</v>
      </c>
      <c r="G780" s="38" t="n">
        <f aca="false">SUMIFS($F$2:$F$1137,$A$2:$A$1137,A780,$C$2:$C$1137,C780)</f>
        <v>100</v>
      </c>
      <c r="H780" s="43" t="n">
        <v>1</v>
      </c>
      <c r="I780" s="45" t="n">
        <f aca="false">IF(G780=0,"",F780/G780)</f>
        <v>0.3</v>
      </c>
      <c r="J780" s="45" t="n">
        <f aca="false">K780/L780</f>
        <v>0.298076923076923</v>
      </c>
      <c r="K780" s="38" t="n">
        <f aca="false">F780+H780</f>
        <v>31</v>
      </c>
      <c r="L780" s="38" t="n">
        <f aca="false">G780+4*H780</f>
        <v>104</v>
      </c>
      <c r="M780" s="38" t="s">
        <v>619</v>
      </c>
      <c r="N780" s="38" t="n">
        <f aca="false">ROUND(SUMIFS($J$2:$J$1137,$A$2:$A$1137,A780,$C$2:$C$1137,C780),9)</f>
        <v>1</v>
      </c>
    </row>
    <row r="781" customFormat="false" ht="15" hidden="false" customHeight="true" outlineLevel="0" collapsed="false">
      <c r="A781" s="38" t="n">
        <v>49</v>
      </c>
      <c r="B781" s="38" t="s">
        <v>667</v>
      </c>
      <c r="C781" s="38" t="s">
        <v>169</v>
      </c>
      <c r="D781" s="38" t="s">
        <v>171</v>
      </c>
      <c r="E781" s="38" t="str">
        <f aca="false">A781&amp;"|"&amp;C781&amp;"|"&amp;D781</f>
        <v>49|G|U</v>
      </c>
      <c r="F781" s="43" t="n">
        <v>21</v>
      </c>
      <c r="G781" s="38" t="n">
        <f aca="false">SUMIFS($F$2:$F$1137,$A$2:$A$1137,A781,$C$2:$C$1137,C781)</f>
        <v>100</v>
      </c>
      <c r="H781" s="43" t="n">
        <v>1</v>
      </c>
      <c r="I781" s="45" t="n">
        <f aca="false">IF(G781=0,"",F781/G781)</f>
        <v>0.21</v>
      </c>
      <c r="J781" s="45" t="n">
        <f aca="false">K781/L781</f>
        <v>0.211538461538462</v>
      </c>
      <c r="K781" s="38" t="n">
        <f aca="false">F781+H781</f>
        <v>22</v>
      </c>
      <c r="L781" s="38" t="n">
        <f aca="false">G781+4*H781</f>
        <v>104</v>
      </c>
      <c r="M781" s="38" t="s">
        <v>619</v>
      </c>
      <c r="N781" s="38" t="n">
        <f aca="false">ROUND(SUMIFS($J$2:$J$1137,$A$2:$A$1137,A781,$C$2:$C$1137,C781),9)</f>
        <v>1</v>
      </c>
    </row>
    <row r="782" customFormat="false" ht="15" hidden="false" customHeight="true" outlineLevel="0" collapsed="false">
      <c r="A782" s="38" t="n">
        <v>49</v>
      </c>
      <c r="B782" s="38" t="s">
        <v>667</v>
      </c>
      <c r="C782" s="38" t="s">
        <v>171</v>
      </c>
      <c r="D782" s="38" t="s">
        <v>172</v>
      </c>
      <c r="E782" s="38" t="str">
        <f aca="false">A782&amp;"|"&amp;C782&amp;"|"&amp;D782</f>
        <v>49|U|A</v>
      </c>
      <c r="F782" s="43" t="n">
        <v>2</v>
      </c>
      <c r="G782" s="38" t="n">
        <f aca="false">SUMIFS($F$2:$F$1137,$A$2:$A$1137,A782,$C$2:$C$1137,C782)</f>
        <v>11</v>
      </c>
      <c r="H782" s="43" t="n">
        <v>1</v>
      </c>
      <c r="I782" s="45" t="n">
        <f aca="false">IF(G782=0,"",F782/G782)</f>
        <v>0.181818181818182</v>
      </c>
      <c r="J782" s="45" t="n">
        <f aca="false">K782/L782</f>
        <v>0.2</v>
      </c>
      <c r="K782" s="38" t="n">
        <f aca="false">F782+H782</f>
        <v>3</v>
      </c>
      <c r="L782" s="38" t="n">
        <f aca="false">G782+4*H782</f>
        <v>15</v>
      </c>
      <c r="M782" s="38" t="s">
        <v>619</v>
      </c>
      <c r="N782" s="38" t="n">
        <f aca="false">ROUND(SUMIFS($J$2:$J$1137,$A$2:$A$1137,A782,$C$2:$C$1137,C782),9)</f>
        <v>1</v>
      </c>
    </row>
    <row r="783" customFormat="false" ht="15" hidden="false" customHeight="true" outlineLevel="0" collapsed="false">
      <c r="A783" s="38" t="n">
        <v>49</v>
      </c>
      <c r="B783" s="38" t="s">
        <v>667</v>
      </c>
      <c r="C783" s="38" t="s">
        <v>171</v>
      </c>
      <c r="D783" s="38" t="s">
        <v>170</v>
      </c>
      <c r="E783" s="38" t="str">
        <f aca="false">A783&amp;"|"&amp;C783&amp;"|"&amp;D783</f>
        <v>49|U|C</v>
      </c>
      <c r="F783" s="43" t="n">
        <v>5</v>
      </c>
      <c r="G783" s="38" t="n">
        <f aca="false">SUMIFS($F$2:$F$1137,$A$2:$A$1137,A783,$C$2:$C$1137,C783)</f>
        <v>11</v>
      </c>
      <c r="H783" s="43" t="n">
        <v>1</v>
      </c>
      <c r="I783" s="45" t="n">
        <f aca="false">IF(G783=0,"",F783/G783)</f>
        <v>0.454545454545455</v>
      </c>
      <c r="J783" s="45" t="n">
        <f aca="false">K783/L783</f>
        <v>0.4</v>
      </c>
      <c r="K783" s="38" t="n">
        <f aca="false">F783+H783</f>
        <v>6</v>
      </c>
      <c r="L783" s="38" t="n">
        <f aca="false">G783+4*H783</f>
        <v>15</v>
      </c>
      <c r="M783" s="38" t="s">
        <v>619</v>
      </c>
      <c r="N783" s="38" t="n">
        <f aca="false">ROUND(SUMIFS($J$2:$J$1137,$A$2:$A$1137,A783,$C$2:$C$1137,C783),9)</f>
        <v>1</v>
      </c>
    </row>
    <row r="784" customFormat="false" ht="15" hidden="false" customHeight="true" outlineLevel="0" collapsed="false">
      <c r="A784" s="38" t="n">
        <v>49</v>
      </c>
      <c r="B784" s="38" t="s">
        <v>667</v>
      </c>
      <c r="C784" s="38" t="s">
        <v>171</v>
      </c>
      <c r="D784" s="38" t="s">
        <v>169</v>
      </c>
      <c r="E784" s="38" t="str">
        <f aca="false">A784&amp;"|"&amp;C784&amp;"|"&amp;D784</f>
        <v>49|U|G</v>
      </c>
      <c r="F784" s="43" t="n">
        <v>4</v>
      </c>
      <c r="G784" s="38" t="n">
        <f aca="false">SUMIFS($F$2:$F$1137,$A$2:$A$1137,A784,$C$2:$C$1137,C784)</f>
        <v>11</v>
      </c>
      <c r="H784" s="43" t="n">
        <v>1</v>
      </c>
      <c r="I784" s="45" t="n">
        <f aca="false">IF(G784=0,"",F784/G784)</f>
        <v>0.363636363636364</v>
      </c>
      <c r="J784" s="45" t="n">
        <f aca="false">K784/L784</f>
        <v>0.333333333333333</v>
      </c>
      <c r="K784" s="38" t="n">
        <f aca="false">F784+H784</f>
        <v>5</v>
      </c>
      <c r="L784" s="38" t="n">
        <f aca="false">G784+4*H784</f>
        <v>15</v>
      </c>
      <c r="M784" s="38" t="s">
        <v>619</v>
      </c>
      <c r="N784" s="38" t="n">
        <f aca="false">ROUND(SUMIFS($J$2:$J$1137,$A$2:$A$1137,A784,$C$2:$C$1137,C784),9)</f>
        <v>1</v>
      </c>
    </row>
    <row r="785" customFormat="false" ht="15" hidden="false" customHeight="true" outlineLevel="0" collapsed="false">
      <c r="A785" s="38" t="n">
        <v>49</v>
      </c>
      <c r="B785" s="38" t="s">
        <v>667</v>
      </c>
      <c r="C785" s="38" t="s">
        <v>171</v>
      </c>
      <c r="D785" s="38" t="s">
        <v>171</v>
      </c>
      <c r="E785" s="38" t="str">
        <f aca="false">A785&amp;"|"&amp;C785&amp;"|"&amp;D785</f>
        <v>49|U|U</v>
      </c>
      <c r="F785" s="43" t="n">
        <v>0</v>
      </c>
      <c r="G785" s="38" t="n">
        <f aca="false">SUMIFS($F$2:$F$1137,$A$2:$A$1137,A785,$C$2:$C$1137,C785)</f>
        <v>11</v>
      </c>
      <c r="H785" s="43" t="n">
        <v>1</v>
      </c>
      <c r="I785" s="45" t="n">
        <f aca="false">IF(G785=0,"",F785/G785)</f>
        <v>0</v>
      </c>
      <c r="J785" s="45" t="n">
        <f aca="false">K785/L785</f>
        <v>0.0666666666666667</v>
      </c>
      <c r="K785" s="38" t="n">
        <f aca="false">F785+H785</f>
        <v>1</v>
      </c>
      <c r="L785" s="38" t="n">
        <f aca="false">G785+4*H785</f>
        <v>15</v>
      </c>
      <c r="M785" s="38" t="s">
        <v>619</v>
      </c>
      <c r="N785" s="38" t="n">
        <f aca="false">ROUND(SUMIFS($J$2:$J$1137,$A$2:$A$1137,A785,$C$2:$C$1137,C785),9)</f>
        <v>1</v>
      </c>
    </row>
    <row r="786" customFormat="false" ht="15" hidden="false" customHeight="true" outlineLevel="0" collapsed="false">
      <c r="A786" s="38" t="n">
        <v>50</v>
      </c>
      <c r="B786" s="38" t="s">
        <v>668</v>
      </c>
      <c r="C786" s="38" t="s">
        <v>172</v>
      </c>
      <c r="D786" s="38" t="s">
        <v>172</v>
      </c>
      <c r="E786" s="38" t="str">
        <f aca="false">A786&amp;"|"&amp;C786&amp;"|"&amp;D786</f>
        <v>50|A|A</v>
      </c>
      <c r="F786" s="43" t="n">
        <v>3</v>
      </c>
      <c r="G786" s="38" t="n">
        <f aca="false">SUMIFS($F$2:$F$1137,$A$2:$A$1137,A786,$C$2:$C$1137,C786)</f>
        <v>23</v>
      </c>
      <c r="H786" s="43" t="n">
        <v>1</v>
      </c>
      <c r="I786" s="45" t="n">
        <f aca="false">IF(G786=0,"",F786/G786)</f>
        <v>0.130434782608696</v>
      </c>
      <c r="J786" s="45" t="n">
        <f aca="false">K786/L786</f>
        <v>0.148148148148148</v>
      </c>
      <c r="K786" s="38" t="n">
        <f aca="false">F786+H786</f>
        <v>4</v>
      </c>
      <c r="L786" s="38" t="n">
        <f aca="false">G786+4*H786</f>
        <v>27</v>
      </c>
      <c r="M786" s="38" t="s">
        <v>619</v>
      </c>
      <c r="N786" s="38" t="n">
        <f aca="false">ROUND(SUMIFS($J$2:$J$1137,$A$2:$A$1137,A786,$C$2:$C$1137,C786),9)</f>
        <v>1</v>
      </c>
    </row>
    <row r="787" customFormat="false" ht="15" hidden="false" customHeight="true" outlineLevel="0" collapsed="false">
      <c r="A787" s="38" t="n">
        <v>50</v>
      </c>
      <c r="B787" s="38" t="s">
        <v>668</v>
      </c>
      <c r="C787" s="38" t="s">
        <v>172</v>
      </c>
      <c r="D787" s="38" t="s">
        <v>170</v>
      </c>
      <c r="E787" s="38" t="str">
        <f aca="false">A787&amp;"|"&amp;C787&amp;"|"&amp;D787</f>
        <v>50|A|C</v>
      </c>
      <c r="F787" s="43" t="n">
        <v>2</v>
      </c>
      <c r="G787" s="38" t="n">
        <f aca="false">SUMIFS($F$2:$F$1137,$A$2:$A$1137,A787,$C$2:$C$1137,C787)</f>
        <v>23</v>
      </c>
      <c r="H787" s="43" t="n">
        <v>1</v>
      </c>
      <c r="I787" s="45" t="n">
        <f aca="false">IF(G787=0,"",F787/G787)</f>
        <v>0.0869565217391304</v>
      </c>
      <c r="J787" s="45" t="n">
        <f aca="false">K787/L787</f>
        <v>0.111111111111111</v>
      </c>
      <c r="K787" s="38" t="n">
        <f aca="false">F787+H787</f>
        <v>3</v>
      </c>
      <c r="L787" s="38" t="n">
        <f aca="false">G787+4*H787</f>
        <v>27</v>
      </c>
      <c r="M787" s="38" t="s">
        <v>619</v>
      </c>
      <c r="N787" s="38" t="n">
        <f aca="false">ROUND(SUMIFS($J$2:$J$1137,$A$2:$A$1137,A787,$C$2:$C$1137,C787),9)</f>
        <v>1</v>
      </c>
    </row>
    <row r="788" customFormat="false" ht="15" hidden="false" customHeight="true" outlineLevel="0" collapsed="false">
      <c r="A788" s="38" t="n">
        <v>50</v>
      </c>
      <c r="B788" s="38" t="s">
        <v>668</v>
      </c>
      <c r="C788" s="38" t="s">
        <v>172</v>
      </c>
      <c r="D788" s="38" t="s">
        <v>169</v>
      </c>
      <c r="E788" s="38" t="str">
        <f aca="false">A788&amp;"|"&amp;C788&amp;"|"&amp;D788</f>
        <v>50|A|G</v>
      </c>
      <c r="F788" s="43" t="n">
        <v>16</v>
      </c>
      <c r="G788" s="38" t="n">
        <f aca="false">SUMIFS($F$2:$F$1137,$A$2:$A$1137,A788,$C$2:$C$1137,C788)</f>
        <v>23</v>
      </c>
      <c r="H788" s="43" t="n">
        <v>1</v>
      </c>
      <c r="I788" s="45" t="n">
        <f aca="false">IF(G788=0,"",F788/G788)</f>
        <v>0.695652173913044</v>
      </c>
      <c r="J788" s="45" t="n">
        <f aca="false">K788/L788</f>
        <v>0.62962962962963</v>
      </c>
      <c r="K788" s="38" t="n">
        <f aca="false">F788+H788</f>
        <v>17</v>
      </c>
      <c r="L788" s="38" t="n">
        <f aca="false">G788+4*H788</f>
        <v>27</v>
      </c>
      <c r="M788" s="38" t="s">
        <v>619</v>
      </c>
      <c r="N788" s="38" t="n">
        <f aca="false">ROUND(SUMIFS($J$2:$J$1137,$A$2:$A$1137,A788,$C$2:$C$1137,C788),9)</f>
        <v>1</v>
      </c>
    </row>
    <row r="789" customFormat="false" ht="15" hidden="false" customHeight="true" outlineLevel="0" collapsed="false">
      <c r="A789" s="38" t="n">
        <v>50</v>
      </c>
      <c r="B789" s="38" t="s">
        <v>668</v>
      </c>
      <c r="C789" s="38" t="s">
        <v>172</v>
      </c>
      <c r="D789" s="38" t="s">
        <v>171</v>
      </c>
      <c r="E789" s="38" t="str">
        <f aca="false">A789&amp;"|"&amp;C789&amp;"|"&amp;D789</f>
        <v>50|A|U</v>
      </c>
      <c r="F789" s="43" t="n">
        <v>2</v>
      </c>
      <c r="G789" s="38" t="n">
        <f aca="false">SUMIFS($F$2:$F$1137,$A$2:$A$1137,A789,$C$2:$C$1137,C789)</f>
        <v>23</v>
      </c>
      <c r="H789" s="43" t="n">
        <v>1</v>
      </c>
      <c r="I789" s="45" t="n">
        <f aca="false">IF(G789=0,"",F789/G789)</f>
        <v>0.0869565217391304</v>
      </c>
      <c r="J789" s="45" t="n">
        <f aca="false">K789/L789</f>
        <v>0.111111111111111</v>
      </c>
      <c r="K789" s="38" t="n">
        <f aca="false">F789+H789</f>
        <v>3</v>
      </c>
      <c r="L789" s="38" t="n">
        <f aca="false">G789+4*H789</f>
        <v>27</v>
      </c>
      <c r="M789" s="38" t="s">
        <v>619</v>
      </c>
      <c r="N789" s="38" t="n">
        <f aca="false">ROUND(SUMIFS($J$2:$J$1137,$A$2:$A$1137,A789,$C$2:$C$1137,C789),9)</f>
        <v>1</v>
      </c>
    </row>
    <row r="790" customFormat="false" ht="15" hidden="false" customHeight="true" outlineLevel="0" collapsed="false">
      <c r="A790" s="38" t="n">
        <v>50</v>
      </c>
      <c r="B790" s="38" t="s">
        <v>668</v>
      </c>
      <c r="C790" s="38" t="s">
        <v>170</v>
      </c>
      <c r="D790" s="38" t="s">
        <v>172</v>
      </c>
      <c r="E790" s="38" t="str">
        <f aca="false">A790&amp;"|"&amp;C790&amp;"|"&amp;D790</f>
        <v>50|C|A</v>
      </c>
      <c r="F790" s="43" t="n">
        <v>16</v>
      </c>
      <c r="G790" s="38" t="n">
        <f aca="false">SUMIFS($F$2:$F$1137,$A$2:$A$1137,A790,$C$2:$C$1137,C790)</f>
        <v>87</v>
      </c>
      <c r="H790" s="43" t="n">
        <v>1</v>
      </c>
      <c r="I790" s="45" t="n">
        <f aca="false">IF(G790=0,"",F790/G790)</f>
        <v>0.183908045977012</v>
      </c>
      <c r="J790" s="45" t="n">
        <f aca="false">K790/L790</f>
        <v>0.186813186813187</v>
      </c>
      <c r="K790" s="38" t="n">
        <f aca="false">F790+H790</f>
        <v>17</v>
      </c>
      <c r="L790" s="38" t="n">
        <f aca="false">G790+4*H790</f>
        <v>91</v>
      </c>
      <c r="M790" s="38" t="s">
        <v>619</v>
      </c>
      <c r="N790" s="38" t="n">
        <f aca="false">ROUND(SUMIFS($J$2:$J$1137,$A$2:$A$1137,A790,$C$2:$C$1137,C790),9)</f>
        <v>1</v>
      </c>
    </row>
    <row r="791" customFormat="false" ht="15" hidden="false" customHeight="true" outlineLevel="0" collapsed="false">
      <c r="A791" s="38" t="n">
        <v>50</v>
      </c>
      <c r="B791" s="38" t="s">
        <v>668</v>
      </c>
      <c r="C791" s="38" t="s">
        <v>170</v>
      </c>
      <c r="D791" s="38" t="s">
        <v>170</v>
      </c>
      <c r="E791" s="38" t="str">
        <f aca="false">A791&amp;"|"&amp;C791&amp;"|"&amp;D791</f>
        <v>50|C|C</v>
      </c>
      <c r="F791" s="43" t="n">
        <v>18</v>
      </c>
      <c r="G791" s="38" t="n">
        <f aca="false">SUMIFS($F$2:$F$1137,$A$2:$A$1137,A791,$C$2:$C$1137,C791)</f>
        <v>87</v>
      </c>
      <c r="H791" s="43" t="n">
        <v>1</v>
      </c>
      <c r="I791" s="45" t="n">
        <f aca="false">IF(G791=0,"",F791/G791)</f>
        <v>0.206896551724138</v>
      </c>
      <c r="J791" s="45" t="n">
        <f aca="false">K791/L791</f>
        <v>0.208791208791209</v>
      </c>
      <c r="K791" s="38" t="n">
        <f aca="false">F791+H791</f>
        <v>19</v>
      </c>
      <c r="L791" s="38" t="n">
        <f aca="false">G791+4*H791</f>
        <v>91</v>
      </c>
      <c r="M791" s="38" t="s">
        <v>619</v>
      </c>
      <c r="N791" s="38" t="n">
        <f aca="false">ROUND(SUMIFS($J$2:$J$1137,$A$2:$A$1137,A791,$C$2:$C$1137,C791),9)</f>
        <v>1</v>
      </c>
    </row>
    <row r="792" customFormat="false" ht="15" hidden="false" customHeight="true" outlineLevel="0" collapsed="false">
      <c r="A792" s="38" t="n">
        <v>50</v>
      </c>
      <c r="B792" s="38" t="s">
        <v>668</v>
      </c>
      <c r="C792" s="38" t="s">
        <v>170</v>
      </c>
      <c r="D792" s="38" t="s">
        <v>169</v>
      </c>
      <c r="E792" s="38" t="str">
        <f aca="false">A792&amp;"|"&amp;C792&amp;"|"&amp;D792</f>
        <v>50|C|G</v>
      </c>
      <c r="F792" s="43" t="n">
        <v>38</v>
      </c>
      <c r="G792" s="38" t="n">
        <f aca="false">SUMIFS($F$2:$F$1137,$A$2:$A$1137,A792,$C$2:$C$1137,C792)</f>
        <v>87</v>
      </c>
      <c r="H792" s="43" t="n">
        <v>1</v>
      </c>
      <c r="I792" s="45" t="n">
        <f aca="false">IF(G792=0,"",F792/G792)</f>
        <v>0.436781609195402</v>
      </c>
      <c r="J792" s="45" t="n">
        <f aca="false">K792/L792</f>
        <v>0.428571428571429</v>
      </c>
      <c r="K792" s="38" t="n">
        <f aca="false">F792+H792</f>
        <v>39</v>
      </c>
      <c r="L792" s="38" t="n">
        <f aca="false">G792+4*H792</f>
        <v>91</v>
      </c>
      <c r="M792" s="38" t="s">
        <v>619</v>
      </c>
      <c r="N792" s="38" t="n">
        <f aca="false">ROUND(SUMIFS($J$2:$J$1137,$A$2:$A$1137,A792,$C$2:$C$1137,C792),9)</f>
        <v>1</v>
      </c>
    </row>
    <row r="793" customFormat="false" ht="15" hidden="false" customHeight="true" outlineLevel="0" collapsed="false">
      <c r="A793" s="38" t="n">
        <v>50</v>
      </c>
      <c r="B793" s="38" t="s">
        <v>668</v>
      </c>
      <c r="C793" s="38" t="s">
        <v>170</v>
      </c>
      <c r="D793" s="38" t="s">
        <v>171</v>
      </c>
      <c r="E793" s="38" t="str">
        <f aca="false">A793&amp;"|"&amp;C793&amp;"|"&amp;D793</f>
        <v>50|C|U</v>
      </c>
      <c r="F793" s="43" t="n">
        <v>15</v>
      </c>
      <c r="G793" s="38" t="n">
        <f aca="false">SUMIFS($F$2:$F$1137,$A$2:$A$1137,A793,$C$2:$C$1137,C793)</f>
        <v>87</v>
      </c>
      <c r="H793" s="43" t="n">
        <v>1</v>
      </c>
      <c r="I793" s="45" t="n">
        <f aca="false">IF(G793=0,"",F793/G793)</f>
        <v>0.172413793103448</v>
      </c>
      <c r="J793" s="45" t="n">
        <f aca="false">K793/L793</f>
        <v>0.175824175824176</v>
      </c>
      <c r="K793" s="38" t="n">
        <f aca="false">F793+H793</f>
        <v>16</v>
      </c>
      <c r="L793" s="38" t="n">
        <f aca="false">G793+4*H793</f>
        <v>91</v>
      </c>
      <c r="M793" s="38" t="s">
        <v>619</v>
      </c>
      <c r="N793" s="38" t="n">
        <f aca="false">ROUND(SUMIFS($J$2:$J$1137,$A$2:$A$1137,A793,$C$2:$C$1137,C793),9)</f>
        <v>1</v>
      </c>
    </row>
    <row r="794" customFormat="false" ht="15" hidden="false" customHeight="true" outlineLevel="0" collapsed="false">
      <c r="A794" s="38" t="n">
        <v>50</v>
      </c>
      <c r="B794" s="38" t="s">
        <v>668</v>
      </c>
      <c r="C794" s="38" t="s">
        <v>169</v>
      </c>
      <c r="D794" s="38" t="s">
        <v>172</v>
      </c>
      <c r="E794" s="38" t="str">
        <f aca="false">A794&amp;"|"&amp;C794&amp;"|"&amp;D794</f>
        <v>50|G|A</v>
      </c>
      <c r="F794" s="43" t="n">
        <v>4</v>
      </c>
      <c r="G794" s="38" t="n">
        <f aca="false">SUMIFS($F$2:$F$1137,$A$2:$A$1137,A794,$C$2:$C$1137,C794)</f>
        <v>53</v>
      </c>
      <c r="H794" s="43" t="n">
        <v>1</v>
      </c>
      <c r="I794" s="45" t="n">
        <f aca="false">IF(G794=0,"",F794/G794)</f>
        <v>0.0754716981132075</v>
      </c>
      <c r="J794" s="45" t="n">
        <f aca="false">K794/L794</f>
        <v>0.087719298245614</v>
      </c>
      <c r="K794" s="38" t="n">
        <f aca="false">F794+H794</f>
        <v>5</v>
      </c>
      <c r="L794" s="38" t="n">
        <f aca="false">G794+4*H794</f>
        <v>57</v>
      </c>
      <c r="M794" s="38" t="s">
        <v>619</v>
      </c>
      <c r="N794" s="38" t="n">
        <f aca="false">ROUND(SUMIFS($J$2:$J$1137,$A$2:$A$1137,A794,$C$2:$C$1137,C794),9)</f>
        <v>1</v>
      </c>
    </row>
    <row r="795" customFormat="false" ht="15" hidden="false" customHeight="true" outlineLevel="0" collapsed="false">
      <c r="A795" s="38" t="n">
        <v>50</v>
      </c>
      <c r="B795" s="38" t="s">
        <v>668</v>
      </c>
      <c r="C795" s="38" t="s">
        <v>169</v>
      </c>
      <c r="D795" s="38" t="s">
        <v>170</v>
      </c>
      <c r="E795" s="38" t="str">
        <f aca="false">A795&amp;"|"&amp;C795&amp;"|"&amp;D795</f>
        <v>50|G|C</v>
      </c>
      <c r="F795" s="43" t="n">
        <v>14</v>
      </c>
      <c r="G795" s="38" t="n">
        <f aca="false">SUMIFS($F$2:$F$1137,$A$2:$A$1137,A795,$C$2:$C$1137,C795)</f>
        <v>53</v>
      </c>
      <c r="H795" s="43" t="n">
        <v>1</v>
      </c>
      <c r="I795" s="45" t="n">
        <f aca="false">IF(G795=0,"",F795/G795)</f>
        <v>0.264150943396226</v>
      </c>
      <c r="J795" s="45" t="n">
        <f aca="false">K795/L795</f>
        <v>0.263157894736842</v>
      </c>
      <c r="K795" s="38" t="n">
        <f aca="false">F795+H795</f>
        <v>15</v>
      </c>
      <c r="L795" s="38" t="n">
        <f aca="false">G795+4*H795</f>
        <v>57</v>
      </c>
      <c r="M795" s="38" t="s">
        <v>619</v>
      </c>
      <c r="N795" s="38" t="n">
        <f aca="false">ROUND(SUMIFS($J$2:$J$1137,$A$2:$A$1137,A795,$C$2:$C$1137,C795),9)</f>
        <v>1</v>
      </c>
    </row>
    <row r="796" customFormat="false" ht="15" hidden="false" customHeight="true" outlineLevel="0" collapsed="false">
      <c r="A796" s="38" t="n">
        <v>50</v>
      </c>
      <c r="B796" s="38" t="s">
        <v>668</v>
      </c>
      <c r="C796" s="38" t="s">
        <v>169</v>
      </c>
      <c r="D796" s="38" t="s">
        <v>169</v>
      </c>
      <c r="E796" s="38" t="str">
        <f aca="false">A796&amp;"|"&amp;C796&amp;"|"&amp;D796</f>
        <v>50|G|G</v>
      </c>
      <c r="F796" s="43" t="n">
        <v>26</v>
      </c>
      <c r="G796" s="38" t="n">
        <f aca="false">SUMIFS($F$2:$F$1137,$A$2:$A$1137,A796,$C$2:$C$1137,C796)</f>
        <v>53</v>
      </c>
      <c r="H796" s="43" t="n">
        <v>1</v>
      </c>
      <c r="I796" s="45" t="n">
        <f aca="false">IF(G796=0,"",F796/G796)</f>
        <v>0.490566037735849</v>
      </c>
      <c r="J796" s="45" t="n">
        <f aca="false">K796/L796</f>
        <v>0.473684210526316</v>
      </c>
      <c r="K796" s="38" t="n">
        <f aca="false">F796+H796</f>
        <v>27</v>
      </c>
      <c r="L796" s="38" t="n">
        <f aca="false">G796+4*H796</f>
        <v>57</v>
      </c>
      <c r="M796" s="38" t="s">
        <v>619</v>
      </c>
      <c r="N796" s="38" t="n">
        <f aca="false">ROUND(SUMIFS($J$2:$J$1137,$A$2:$A$1137,A796,$C$2:$C$1137,C796),9)</f>
        <v>1</v>
      </c>
    </row>
    <row r="797" customFormat="false" ht="15" hidden="false" customHeight="true" outlineLevel="0" collapsed="false">
      <c r="A797" s="38" t="n">
        <v>50</v>
      </c>
      <c r="B797" s="38" t="s">
        <v>668</v>
      </c>
      <c r="C797" s="38" t="s">
        <v>169</v>
      </c>
      <c r="D797" s="38" t="s">
        <v>171</v>
      </c>
      <c r="E797" s="38" t="str">
        <f aca="false">A797&amp;"|"&amp;C797&amp;"|"&amp;D797</f>
        <v>50|G|U</v>
      </c>
      <c r="F797" s="43" t="n">
        <v>9</v>
      </c>
      <c r="G797" s="38" t="n">
        <f aca="false">SUMIFS($F$2:$F$1137,$A$2:$A$1137,A797,$C$2:$C$1137,C797)</f>
        <v>53</v>
      </c>
      <c r="H797" s="43" t="n">
        <v>1</v>
      </c>
      <c r="I797" s="45" t="n">
        <f aca="false">IF(G797=0,"",F797/G797)</f>
        <v>0.169811320754717</v>
      </c>
      <c r="J797" s="45" t="n">
        <f aca="false">K797/L797</f>
        <v>0.175438596491228</v>
      </c>
      <c r="K797" s="38" t="n">
        <f aca="false">F797+H797</f>
        <v>10</v>
      </c>
      <c r="L797" s="38" t="n">
        <f aca="false">G797+4*H797</f>
        <v>57</v>
      </c>
      <c r="M797" s="38" t="s">
        <v>619</v>
      </c>
      <c r="N797" s="38" t="n">
        <f aca="false">ROUND(SUMIFS($J$2:$J$1137,$A$2:$A$1137,A797,$C$2:$C$1137,C797),9)</f>
        <v>1</v>
      </c>
    </row>
    <row r="798" customFormat="false" ht="15" hidden="false" customHeight="true" outlineLevel="0" collapsed="false">
      <c r="A798" s="38" t="n">
        <v>50</v>
      </c>
      <c r="B798" s="38" t="s">
        <v>668</v>
      </c>
      <c r="C798" s="38" t="s">
        <v>171</v>
      </c>
      <c r="D798" s="38" t="s">
        <v>172</v>
      </c>
      <c r="E798" s="38" t="str">
        <f aca="false">A798&amp;"|"&amp;C798&amp;"|"&amp;D798</f>
        <v>50|U|A</v>
      </c>
      <c r="F798" s="43" t="n">
        <v>5</v>
      </c>
      <c r="G798" s="38" t="n">
        <f aca="false">SUMIFS($F$2:$F$1137,$A$2:$A$1137,A798,$C$2:$C$1137,C798)</f>
        <v>35</v>
      </c>
      <c r="H798" s="43" t="n">
        <v>1</v>
      </c>
      <c r="I798" s="45" t="n">
        <f aca="false">IF(G798=0,"",F798/G798)</f>
        <v>0.142857142857143</v>
      </c>
      <c r="J798" s="45" t="n">
        <f aca="false">K798/L798</f>
        <v>0.153846153846154</v>
      </c>
      <c r="K798" s="38" t="n">
        <f aca="false">F798+H798</f>
        <v>6</v>
      </c>
      <c r="L798" s="38" t="n">
        <f aca="false">G798+4*H798</f>
        <v>39</v>
      </c>
      <c r="M798" s="38" t="s">
        <v>619</v>
      </c>
      <c r="N798" s="38" t="n">
        <f aca="false">ROUND(SUMIFS($J$2:$J$1137,$A$2:$A$1137,A798,$C$2:$C$1137,C798),9)</f>
        <v>1</v>
      </c>
    </row>
    <row r="799" customFormat="false" ht="15" hidden="false" customHeight="true" outlineLevel="0" collapsed="false">
      <c r="A799" s="38" t="n">
        <v>50</v>
      </c>
      <c r="B799" s="38" t="s">
        <v>668</v>
      </c>
      <c r="C799" s="38" t="s">
        <v>171</v>
      </c>
      <c r="D799" s="38" t="s">
        <v>170</v>
      </c>
      <c r="E799" s="38" t="str">
        <f aca="false">A799&amp;"|"&amp;C799&amp;"|"&amp;D799</f>
        <v>50|U|C</v>
      </c>
      <c r="F799" s="43" t="n">
        <v>7</v>
      </c>
      <c r="G799" s="38" t="n">
        <f aca="false">SUMIFS($F$2:$F$1137,$A$2:$A$1137,A799,$C$2:$C$1137,C799)</f>
        <v>35</v>
      </c>
      <c r="H799" s="43" t="n">
        <v>1</v>
      </c>
      <c r="I799" s="45" t="n">
        <f aca="false">IF(G799=0,"",F799/G799)</f>
        <v>0.2</v>
      </c>
      <c r="J799" s="45" t="n">
        <f aca="false">K799/L799</f>
        <v>0.205128205128205</v>
      </c>
      <c r="K799" s="38" t="n">
        <f aca="false">F799+H799</f>
        <v>8</v>
      </c>
      <c r="L799" s="38" t="n">
        <f aca="false">G799+4*H799</f>
        <v>39</v>
      </c>
      <c r="M799" s="38" t="s">
        <v>619</v>
      </c>
      <c r="N799" s="38" t="n">
        <f aca="false">ROUND(SUMIFS($J$2:$J$1137,$A$2:$A$1137,A799,$C$2:$C$1137,C799),9)</f>
        <v>1</v>
      </c>
    </row>
    <row r="800" customFormat="false" ht="15" hidden="false" customHeight="true" outlineLevel="0" collapsed="false">
      <c r="A800" s="38" t="n">
        <v>50</v>
      </c>
      <c r="B800" s="38" t="s">
        <v>668</v>
      </c>
      <c r="C800" s="38" t="s">
        <v>171</v>
      </c>
      <c r="D800" s="38" t="s">
        <v>169</v>
      </c>
      <c r="E800" s="38" t="str">
        <f aca="false">A800&amp;"|"&amp;C800&amp;"|"&amp;D800</f>
        <v>50|U|G</v>
      </c>
      <c r="F800" s="43" t="n">
        <v>19</v>
      </c>
      <c r="G800" s="38" t="n">
        <f aca="false">SUMIFS($F$2:$F$1137,$A$2:$A$1137,A800,$C$2:$C$1137,C800)</f>
        <v>35</v>
      </c>
      <c r="H800" s="43" t="n">
        <v>1</v>
      </c>
      <c r="I800" s="45" t="n">
        <f aca="false">IF(G800=0,"",F800/G800)</f>
        <v>0.542857142857143</v>
      </c>
      <c r="J800" s="45" t="n">
        <f aca="false">K800/L800</f>
        <v>0.512820512820513</v>
      </c>
      <c r="K800" s="38" t="n">
        <f aca="false">F800+H800</f>
        <v>20</v>
      </c>
      <c r="L800" s="38" t="n">
        <f aca="false">G800+4*H800</f>
        <v>39</v>
      </c>
      <c r="M800" s="38" t="s">
        <v>619</v>
      </c>
      <c r="N800" s="38" t="n">
        <f aca="false">ROUND(SUMIFS($J$2:$J$1137,$A$2:$A$1137,A800,$C$2:$C$1137,C800),9)</f>
        <v>1</v>
      </c>
    </row>
    <row r="801" customFormat="false" ht="15" hidden="false" customHeight="true" outlineLevel="0" collapsed="false">
      <c r="A801" s="38" t="n">
        <v>50</v>
      </c>
      <c r="B801" s="38" t="s">
        <v>668</v>
      </c>
      <c r="C801" s="38" t="s">
        <v>171</v>
      </c>
      <c r="D801" s="38" t="s">
        <v>171</v>
      </c>
      <c r="E801" s="38" t="str">
        <f aca="false">A801&amp;"|"&amp;C801&amp;"|"&amp;D801</f>
        <v>50|U|U</v>
      </c>
      <c r="F801" s="43" t="n">
        <v>4</v>
      </c>
      <c r="G801" s="38" t="n">
        <f aca="false">SUMIFS($F$2:$F$1137,$A$2:$A$1137,A801,$C$2:$C$1137,C801)</f>
        <v>35</v>
      </c>
      <c r="H801" s="43" t="n">
        <v>1</v>
      </c>
      <c r="I801" s="45" t="n">
        <f aca="false">IF(G801=0,"",F801/G801)</f>
        <v>0.114285714285714</v>
      </c>
      <c r="J801" s="45" t="n">
        <f aca="false">K801/L801</f>
        <v>0.128205128205128</v>
      </c>
      <c r="K801" s="38" t="n">
        <f aca="false">F801+H801</f>
        <v>5</v>
      </c>
      <c r="L801" s="38" t="n">
        <f aca="false">G801+4*H801</f>
        <v>39</v>
      </c>
      <c r="M801" s="38" t="s">
        <v>619</v>
      </c>
      <c r="N801" s="38" t="n">
        <f aca="false">ROUND(SUMIFS($J$2:$J$1137,$A$2:$A$1137,A801,$C$2:$C$1137,C801),9)</f>
        <v>1</v>
      </c>
    </row>
    <row r="802" customFormat="false" ht="15" hidden="false" customHeight="true" outlineLevel="0" collapsed="false">
      <c r="A802" s="38" t="n">
        <v>51</v>
      </c>
      <c r="B802" s="38" t="s">
        <v>669</v>
      </c>
      <c r="C802" s="38" t="s">
        <v>172</v>
      </c>
      <c r="D802" s="38" t="s">
        <v>172</v>
      </c>
      <c r="E802" s="38" t="str">
        <f aca="false">A802&amp;"|"&amp;C802&amp;"|"&amp;D802</f>
        <v>51|A|A</v>
      </c>
      <c r="F802" s="43" t="n">
        <v>1</v>
      </c>
      <c r="G802" s="38" t="n">
        <f aca="false">SUMIFS($F$2:$F$1137,$A$2:$A$1137,A802,$C$2:$C$1137,C802)</f>
        <v>28</v>
      </c>
      <c r="H802" s="43" t="n">
        <v>1</v>
      </c>
      <c r="I802" s="45" t="n">
        <f aca="false">IF(G802=0,"",F802/G802)</f>
        <v>0.0357142857142857</v>
      </c>
      <c r="J802" s="45" t="n">
        <f aca="false">K802/L802</f>
        <v>0.0625</v>
      </c>
      <c r="K802" s="38" t="n">
        <f aca="false">F802+H802</f>
        <v>2</v>
      </c>
      <c r="L802" s="38" t="n">
        <f aca="false">G802+4*H802</f>
        <v>32</v>
      </c>
      <c r="M802" s="38" t="s">
        <v>619</v>
      </c>
      <c r="N802" s="38" t="n">
        <f aca="false">ROUND(SUMIFS($J$2:$J$1137,$A$2:$A$1137,A802,$C$2:$C$1137,C802),9)</f>
        <v>1</v>
      </c>
    </row>
    <row r="803" customFormat="false" ht="15" hidden="false" customHeight="true" outlineLevel="0" collapsed="false">
      <c r="A803" s="38" t="n">
        <v>51</v>
      </c>
      <c r="B803" s="38" t="s">
        <v>669</v>
      </c>
      <c r="C803" s="38" t="s">
        <v>172</v>
      </c>
      <c r="D803" s="38" t="s">
        <v>170</v>
      </c>
      <c r="E803" s="38" t="str">
        <f aca="false">A803&amp;"|"&amp;C803&amp;"|"&amp;D803</f>
        <v>51|A|C</v>
      </c>
      <c r="F803" s="43" t="n">
        <v>0</v>
      </c>
      <c r="G803" s="38" t="n">
        <f aca="false">SUMIFS($F$2:$F$1137,$A$2:$A$1137,A803,$C$2:$C$1137,C803)</f>
        <v>28</v>
      </c>
      <c r="H803" s="43" t="n">
        <v>1</v>
      </c>
      <c r="I803" s="45" t="n">
        <f aca="false">IF(G803=0,"",F803/G803)</f>
        <v>0</v>
      </c>
      <c r="J803" s="45" t="n">
        <f aca="false">K803/L803</f>
        <v>0.03125</v>
      </c>
      <c r="K803" s="38" t="n">
        <f aca="false">F803+H803</f>
        <v>1</v>
      </c>
      <c r="L803" s="38" t="n">
        <f aca="false">G803+4*H803</f>
        <v>32</v>
      </c>
      <c r="M803" s="38" t="s">
        <v>619</v>
      </c>
      <c r="N803" s="38" t="n">
        <f aca="false">ROUND(SUMIFS($J$2:$J$1137,$A$2:$A$1137,A803,$C$2:$C$1137,C803),9)</f>
        <v>1</v>
      </c>
    </row>
    <row r="804" customFormat="false" ht="15" hidden="false" customHeight="true" outlineLevel="0" collapsed="false">
      <c r="A804" s="38" t="n">
        <v>51</v>
      </c>
      <c r="B804" s="38" t="s">
        <v>669</v>
      </c>
      <c r="C804" s="38" t="s">
        <v>172</v>
      </c>
      <c r="D804" s="38" t="s">
        <v>169</v>
      </c>
      <c r="E804" s="38" t="str">
        <f aca="false">A804&amp;"|"&amp;C804&amp;"|"&amp;D804</f>
        <v>51|A|G</v>
      </c>
      <c r="F804" s="43" t="n">
        <v>27</v>
      </c>
      <c r="G804" s="38" t="n">
        <f aca="false">SUMIFS($F$2:$F$1137,$A$2:$A$1137,A804,$C$2:$C$1137,C804)</f>
        <v>28</v>
      </c>
      <c r="H804" s="43" t="n">
        <v>1</v>
      </c>
      <c r="I804" s="45" t="n">
        <f aca="false">IF(G804=0,"",F804/G804)</f>
        <v>0.964285714285714</v>
      </c>
      <c r="J804" s="45" t="n">
        <f aca="false">K804/L804</f>
        <v>0.875</v>
      </c>
      <c r="K804" s="38" t="n">
        <f aca="false">F804+H804</f>
        <v>28</v>
      </c>
      <c r="L804" s="38" t="n">
        <f aca="false">G804+4*H804</f>
        <v>32</v>
      </c>
      <c r="M804" s="38" t="s">
        <v>619</v>
      </c>
      <c r="N804" s="38" t="n">
        <f aca="false">ROUND(SUMIFS($J$2:$J$1137,$A$2:$A$1137,A804,$C$2:$C$1137,C804),9)</f>
        <v>1</v>
      </c>
    </row>
    <row r="805" customFormat="false" ht="15" hidden="false" customHeight="true" outlineLevel="0" collapsed="false">
      <c r="A805" s="38" t="n">
        <v>51</v>
      </c>
      <c r="B805" s="38" t="s">
        <v>669</v>
      </c>
      <c r="C805" s="38" t="s">
        <v>172</v>
      </c>
      <c r="D805" s="38" t="s">
        <v>171</v>
      </c>
      <c r="E805" s="38" t="str">
        <f aca="false">A805&amp;"|"&amp;C805&amp;"|"&amp;D805</f>
        <v>51|A|U</v>
      </c>
      <c r="F805" s="43" t="n">
        <v>0</v>
      </c>
      <c r="G805" s="38" t="n">
        <f aca="false">SUMIFS($F$2:$F$1137,$A$2:$A$1137,A805,$C$2:$C$1137,C805)</f>
        <v>28</v>
      </c>
      <c r="H805" s="43" t="n">
        <v>1</v>
      </c>
      <c r="I805" s="45" t="n">
        <f aca="false">IF(G805=0,"",F805/G805)</f>
        <v>0</v>
      </c>
      <c r="J805" s="45" t="n">
        <f aca="false">K805/L805</f>
        <v>0.03125</v>
      </c>
      <c r="K805" s="38" t="n">
        <f aca="false">F805+H805</f>
        <v>1</v>
      </c>
      <c r="L805" s="38" t="n">
        <f aca="false">G805+4*H805</f>
        <v>32</v>
      </c>
      <c r="M805" s="38" t="s">
        <v>619</v>
      </c>
      <c r="N805" s="38" t="n">
        <f aca="false">ROUND(SUMIFS($J$2:$J$1137,$A$2:$A$1137,A805,$C$2:$C$1137,C805),9)</f>
        <v>1</v>
      </c>
    </row>
    <row r="806" customFormat="false" ht="15" hidden="false" customHeight="true" outlineLevel="0" collapsed="false">
      <c r="A806" s="38" t="n">
        <v>51</v>
      </c>
      <c r="B806" s="38" t="s">
        <v>669</v>
      </c>
      <c r="C806" s="38" t="s">
        <v>170</v>
      </c>
      <c r="D806" s="38" t="s">
        <v>172</v>
      </c>
      <c r="E806" s="38" t="str">
        <f aca="false">A806&amp;"|"&amp;C806&amp;"|"&amp;D806</f>
        <v>51|C|A</v>
      </c>
      <c r="F806" s="43" t="n">
        <v>9</v>
      </c>
      <c r="G806" s="38" t="n">
        <f aca="false">SUMIFS($F$2:$F$1137,$A$2:$A$1137,A806,$C$2:$C$1137,C806)</f>
        <v>41</v>
      </c>
      <c r="H806" s="43" t="n">
        <v>1</v>
      </c>
      <c r="I806" s="45" t="n">
        <f aca="false">IF(G806=0,"",F806/G806)</f>
        <v>0.219512195121951</v>
      </c>
      <c r="J806" s="45" t="n">
        <f aca="false">K806/L806</f>
        <v>0.222222222222222</v>
      </c>
      <c r="K806" s="38" t="n">
        <f aca="false">F806+H806</f>
        <v>10</v>
      </c>
      <c r="L806" s="38" t="n">
        <f aca="false">G806+4*H806</f>
        <v>45</v>
      </c>
      <c r="M806" s="38" t="s">
        <v>619</v>
      </c>
      <c r="N806" s="38" t="n">
        <f aca="false">ROUND(SUMIFS($J$2:$J$1137,$A$2:$A$1137,A806,$C$2:$C$1137,C806),9)</f>
        <v>1</v>
      </c>
    </row>
    <row r="807" customFormat="false" ht="15" hidden="false" customHeight="true" outlineLevel="0" collapsed="false">
      <c r="A807" s="38" t="n">
        <v>51</v>
      </c>
      <c r="B807" s="38" t="s">
        <v>669</v>
      </c>
      <c r="C807" s="38" t="s">
        <v>170</v>
      </c>
      <c r="D807" s="38" t="s">
        <v>170</v>
      </c>
      <c r="E807" s="38" t="str">
        <f aca="false">A807&amp;"|"&amp;C807&amp;"|"&amp;D807</f>
        <v>51|C|C</v>
      </c>
      <c r="F807" s="43" t="n">
        <v>0</v>
      </c>
      <c r="G807" s="38" t="n">
        <f aca="false">SUMIFS($F$2:$F$1137,$A$2:$A$1137,A807,$C$2:$C$1137,C807)</f>
        <v>41</v>
      </c>
      <c r="H807" s="43" t="n">
        <v>1</v>
      </c>
      <c r="I807" s="45" t="n">
        <f aca="false">IF(G807=0,"",F807/G807)</f>
        <v>0</v>
      </c>
      <c r="J807" s="45" t="n">
        <f aca="false">K807/L807</f>
        <v>0.0222222222222222</v>
      </c>
      <c r="K807" s="38" t="n">
        <f aca="false">F807+H807</f>
        <v>1</v>
      </c>
      <c r="L807" s="38" t="n">
        <f aca="false">G807+4*H807</f>
        <v>45</v>
      </c>
      <c r="M807" s="38" t="s">
        <v>619</v>
      </c>
      <c r="N807" s="38" t="n">
        <f aca="false">ROUND(SUMIFS($J$2:$J$1137,$A$2:$A$1137,A807,$C$2:$C$1137,C807),9)</f>
        <v>1</v>
      </c>
    </row>
    <row r="808" customFormat="false" ht="15" hidden="false" customHeight="true" outlineLevel="0" collapsed="false">
      <c r="A808" s="38" t="n">
        <v>51</v>
      </c>
      <c r="B808" s="38" t="s">
        <v>669</v>
      </c>
      <c r="C808" s="38" t="s">
        <v>170</v>
      </c>
      <c r="D808" s="38" t="s">
        <v>169</v>
      </c>
      <c r="E808" s="38" t="str">
        <f aca="false">A808&amp;"|"&amp;C808&amp;"|"&amp;D808</f>
        <v>51|C|G</v>
      </c>
      <c r="F808" s="43" t="n">
        <v>32</v>
      </c>
      <c r="G808" s="38" t="n">
        <f aca="false">SUMIFS($F$2:$F$1137,$A$2:$A$1137,A808,$C$2:$C$1137,C808)</f>
        <v>41</v>
      </c>
      <c r="H808" s="43" t="n">
        <v>1</v>
      </c>
      <c r="I808" s="45" t="n">
        <f aca="false">IF(G808=0,"",F808/G808)</f>
        <v>0.780487804878049</v>
      </c>
      <c r="J808" s="45" t="n">
        <f aca="false">K808/L808</f>
        <v>0.733333333333333</v>
      </c>
      <c r="K808" s="38" t="n">
        <f aca="false">F808+H808</f>
        <v>33</v>
      </c>
      <c r="L808" s="38" t="n">
        <f aca="false">G808+4*H808</f>
        <v>45</v>
      </c>
      <c r="M808" s="38" t="s">
        <v>619</v>
      </c>
      <c r="N808" s="38" t="n">
        <f aca="false">ROUND(SUMIFS($J$2:$J$1137,$A$2:$A$1137,A808,$C$2:$C$1137,C808),9)</f>
        <v>1</v>
      </c>
    </row>
    <row r="809" customFormat="false" ht="15" hidden="false" customHeight="true" outlineLevel="0" collapsed="false">
      <c r="A809" s="38" t="n">
        <v>51</v>
      </c>
      <c r="B809" s="38" t="s">
        <v>669</v>
      </c>
      <c r="C809" s="38" t="s">
        <v>170</v>
      </c>
      <c r="D809" s="38" t="s">
        <v>171</v>
      </c>
      <c r="E809" s="38" t="str">
        <f aca="false">A809&amp;"|"&amp;C809&amp;"|"&amp;D809</f>
        <v>51|C|U</v>
      </c>
      <c r="F809" s="43" t="n">
        <v>0</v>
      </c>
      <c r="G809" s="38" t="n">
        <f aca="false">SUMIFS($F$2:$F$1137,$A$2:$A$1137,A809,$C$2:$C$1137,C809)</f>
        <v>41</v>
      </c>
      <c r="H809" s="43" t="n">
        <v>1</v>
      </c>
      <c r="I809" s="45" t="n">
        <f aca="false">IF(G809=0,"",F809/G809)</f>
        <v>0</v>
      </c>
      <c r="J809" s="45" t="n">
        <f aca="false">K809/L809</f>
        <v>0.0222222222222222</v>
      </c>
      <c r="K809" s="38" t="n">
        <f aca="false">F809+H809</f>
        <v>1</v>
      </c>
      <c r="L809" s="38" t="n">
        <f aca="false">G809+4*H809</f>
        <v>45</v>
      </c>
      <c r="M809" s="38" t="s">
        <v>619</v>
      </c>
      <c r="N809" s="38" t="n">
        <f aca="false">ROUND(SUMIFS($J$2:$J$1137,$A$2:$A$1137,A809,$C$2:$C$1137,C809),9)</f>
        <v>1</v>
      </c>
    </row>
    <row r="810" customFormat="false" ht="15" hidden="false" customHeight="true" outlineLevel="0" collapsed="false">
      <c r="A810" s="38" t="n">
        <v>51</v>
      </c>
      <c r="B810" s="38" t="s">
        <v>669</v>
      </c>
      <c r="C810" s="38" t="s">
        <v>169</v>
      </c>
      <c r="D810" s="38" t="s">
        <v>172</v>
      </c>
      <c r="E810" s="38" t="str">
        <f aca="false">A810&amp;"|"&amp;C810&amp;"|"&amp;D810</f>
        <v>51|G|A</v>
      </c>
      <c r="F810" s="43" t="n">
        <v>15</v>
      </c>
      <c r="G810" s="38" t="n">
        <f aca="false">SUMIFS($F$2:$F$1137,$A$2:$A$1137,A810,$C$2:$C$1137,C810)</f>
        <v>99</v>
      </c>
      <c r="H810" s="43" t="n">
        <v>1</v>
      </c>
      <c r="I810" s="45" t="n">
        <f aca="false">IF(G810=0,"",F810/G810)</f>
        <v>0.151515151515152</v>
      </c>
      <c r="J810" s="45" t="n">
        <f aca="false">K810/L810</f>
        <v>0.155339805825243</v>
      </c>
      <c r="K810" s="38" t="n">
        <f aca="false">F810+H810</f>
        <v>16</v>
      </c>
      <c r="L810" s="38" t="n">
        <f aca="false">G810+4*H810</f>
        <v>103</v>
      </c>
      <c r="M810" s="38" t="s">
        <v>619</v>
      </c>
      <c r="N810" s="38" t="n">
        <f aca="false">ROUND(SUMIFS($J$2:$J$1137,$A$2:$A$1137,A810,$C$2:$C$1137,C810),9)</f>
        <v>1</v>
      </c>
    </row>
    <row r="811" customFormat="false" ht="15" hidden="false" customHeight="true" outlineLevel="0" collapsed="false">
      <c r="A811" s="38" t="n">
        <v>51</v>
      </c>
      <c r="B811" s="38" t="s">
        <v>669</v>
      </c>
      <c r="C811" s="38" t="s">
        <v>169</v>
      </c>
      <c r="D811" s="38" t="s">
        <v>170</v>
      </c>
      <c r="E811" s="38" t="str">
        <f aca="false">A811&amp;"|"&amp;C811&amp;"|"&amp;D811</f>
        <v>51|G|C</v>
      </c>
      <c r="F811" s="43" t="n">
        <v>1</v>
      </c>
      <c r="G811" s="38" t="n">
        <f aca="false">SUMIFS($F$2:$F$1137,$A$2:$A$1137,A811,$C$2:$C$1137,C811)</f>
        <v>99</v>
      </c>
      <c r="H811" s="43" t="n">
        <v>1</v>
      </c>
      <c r="I811" s="45" t="n">
        <f aca="false">IF(G811=0,"",F811/G811)</f>
        <v>0.0101010101010101</v>
      </c>
      <c r="J811" s="45" t="n">
        <f aca="false">K811/L811</f>
        <v>0.0194174757281553</v>
      </c>
      <c r="K811" s="38" t="n">
        <f aca="false">F811+H811</f>
        <v>2</v>
      </c>
      <c r="L811" s="38" t="n">
        <f aca="false">G811+4*H811</f>
        <v>103</v>
      </c>
      <c r="M811" s="38" t="s">
        <v>619</v>
      </c>
      <c r="N811" s="38" t="n">
        <f aca="false">ROUND(SUMIFS($J$2:$J$1137,$A$2:$A$1137,A811,$C$2:$C$1137,C811),9)</f>
        <v>1</v>
      </c>
    </row>
    <row r="812" customFormat="false" ht="15" hidden="false" customHeight="true" outlineLevel="0" collapsed="false">
      <c r="A812" s="38" t="n">
        <v>51</v>
      </c>
      <c r="B812" s="38" t="s">
        <v>669</v>
      </c>
      <c r="C812" s="38" t="s">
        <v>169</v>
      </c>
      <c r="D812" s="38" t="s">
        <v>169</v>
      </c>
      <c r="E812" s="38" t="str">
        <f aca="false">A812&amp;"|"&amp;C812&amp;"|"&amp;D812</f>
        <v>51|G|G</v>
      </c>
      <c r="F812" s="43" t="n">
        <v>80</v>
      </c>
      <c r="G812" s="38" t="n">
        <f aca="false">SUMIFS($F$2:$F$1137,$A$2:$A$1137,A812,$C$2:$C$1137,C812)</f>
        <v>99</v>
      </c>
      <c r="H812" s="43" t="n">
        <v>1</v>
      </c>
      <c r="I812" s="45" t="n">
        <f aca="false">IF(G812=0,"",F812/G812)</f>
        <v>0.808080808080808</v>
      </c>
      <c r="J812" s="45" t="n">
        <f aca="false">K812/L812</f>
        <v>0.786407766990291</v>
      </c>
      <c r="K812" s="38" t="n">
        <f aca="false">F812+H812</f>
        <v>81</v>
      </c>
      <c r="L812" s="38" t="n">
        <f aca="false">G812+4*H812</f>
        <v>103</v>
      </c>
      <c r="M812" s="38" t="s">
        <v>619</v>
      </c>
      <c r="N812" s="38" t="n">
        <f aca="false">ROUND(SUMIFS($J$2:$J$1137,$A$2:$A$1137,A812,$C$2:$C$1137,C812),9)</f>
        <v>1</v>
      </c>
    </row>
    <row r="813" customFormat="false" ht="15" hidden="false" customHeight="true" outlineLevel="0" collapsed="false">
      <c r="A813" s="38" t="n">
        <v>51</v>
      </c>
      <c r="B813" s="38" t="s">
        <v>669</v>
      </c>
      <c r="C813" s="38" t="s">
        <v>169</v>
      </c>
      <c r="D813" s="38" t="s">
        <v>171</v>
      </c>
      <c r="E813" s="38" t="str">
        <f aca="false">A813&amp;"|"&amp;C813&amp;"|"&amp;D813</f>
        <v>51|G|U</v>
      </c>
      <c r="F813" s="43" t="n">
        <v>3</v>
      </c>
      <c r="G813" s="38" t="n">
        <f aca="false">SUMIFS($F$2:$F$1137,$A$2:$A$1137,A813,$C$2:$C$1137,C813)</f>
        <v>99</v>
      </c>
      <c r="H813" s="43" t="n">
        <v>1</v>
      </c>
      <c r="I813" s="45" t="n">
        <f aca="false">IF(G813=0,"",F813/G813)</f>
        <v>0.0303030303030303</v>
      </c>
      <c r="J813" s="45" t="n">
        <f aca="false">K813/L813</f>
        <v>0.0388349514563107</v>
      </c>
      <c r="K813" s="38" t="n">
        <f aca="false">F813+H813</f>
        <v>4</v>
      </c>
      <c r="L813" s="38" t="n">
        <f aca="false">G813+4*H813</f>
        <v>103</v>
      </c>
      <c r="M813" s="38" t="s">
        <v>619</v>
      </c>
      <c r="N813" s="38" t="n">
        <f aca="false">ROUND(SUMIFS($J$2:$J$1137,$A$2:$A$1137,A813,$C$2:$C$1137,C813),9)</f>
        <v>1</v>
      </c>
    </row>
    <row r="814" customFormat="false" ht="15" hidden="false" customHeight="true" outlineLevel="0" collapsed="false">
      <c r="A814" s="38" t="n">
        <v>51</v>
      </c>
      <c r="B814" s="38" t="s">
        <v>669</v>
      </c>
      <c r="C814" s="38" t="s">
        <v>171</v>
      </c>
      <c r="D814" s="38" t="s">
        <v>172</v>
      </c>
      <c r="E814" s="38" t="str">
        <f aca="false">A814&amp;"|"&amp;C814&amp;"|"&amp;D814</f>
        <v>51|U|A</v>
      </c>
      <c r="F814" s="43" t="n">
        <v>1</v>
      </c>
      <c r="G814" s="38" t="n">
        <f aca="false">SUMIFS($F$2:$F$1137,$A$2:$A$1137,A814,$C$2:$C$1137,C814)</f>
        <v>30</v>
      </c>
      <c r="H814" s="43" t="n">
        <v>1</v>
      </c>
      <c r="I814" s="45" t="n">
        <f aca="false">IF(G814=0,"",F814/G814)</f>
        <v>0.0333333333333333</v>
      </c>
      <c r="J814" s="45" t="n">
        <f aca="false">K814/L814</f>
        <v>0.0588235294117647</v>
      </c>
      <c r="K814" s="38" t="n">
        <f aca="false">F814+H814</f>
        <v>2</v>
      </c>
      <c r="L814" s="38" t="n">
        <f aca="false">G814+4*H814</f>
        <v>34</v>
      </c>
      <c r="M814" s="38" t="s">
        <v>619</v>
      </c>
      <c r="N814" s="38" t="n">
        <f aca="false">ROUND(SUMIFS($J$2:$J$1137,$A$2:$A$1137,A814,$C$2:$C$1137,C814),9)</f>
        <v>1</v>
      </c>
    </row>
    <row r="815" customFormat="false" ht="15" hidden="false" customHeight="true" outlineLevel="0" collapsed="false">
      <c r="A815" s="38" t="n">
        <v>51</v>
      </c>
      <c r="B815" s="38" t="s">
        <v>669</v>
      </c>
      <c r="C815" s="38" t="s">
        <v>171</v>
      </c>
      <c r="D815" s="38" t="s">
        <v>170</v>
      </c>
      <c r="E815" s="38" t="str">
        <f aca="false">A815&amp;"|"&amp;C815&amp;"|"&amp;D815</f>
        <v>51|U|C</v>
      </c>
      <c r="F815" s="43" t="n">
        <v>0</v>
      </c>
      <c r="G815" s="38" t="n">
        <f aca="false">SUMIFS($F$2:$F$1137,$A$2:$A$1137,A815,$C$2:$C$1137,C815)</f>
        <v>30</v>
      </c>
      <c r="H815" s="43" t="n">
        <v>1</v>
      </c>
      <c r="I815" s="45" t="n">
        <f aca="false">IF(G815=0,"",F815/G815)</f>
        <v>0</v>
      </c>
      <c r="J815" s="45" t="n">
        <f aca="false">K815/L815</f>
        <v>0.0294117647058824</v>
      </c>
      <c r="K815" s="38" t="n">
        <f aca="false">F815+H815</f>
        <v>1</v>
      </c>
      <c r="L815" s="38" t="n">
        <f aca="false">G815+4*H815</f>
        <v>34</v>
      </c>
      <c r="M815" s="38" t="s">
        <v>619</v>
      </c>
      <c r="N815" s="38" t="n">
        <f aca="false">ROUND(SUMIFS($J$2:$J$1137,$A$2:$A$1137,A815,$C$2:$C$1137,C815),9)</f>
        <v>1</v>
      </c>
    </row>
    <row r="816" customFormat="false" ht="15" hidden="false" customHeight="true" outlineLevel="0" collapsed="false">
      <c r="A816" s="38" t="n">
        <v>51</v>
      </c>
      <c r="B816" s="38" t="s">
        <v>669</v>
      </c>
      <c r="C816" s="38" t="s">
        <v>171</v>
      </c>
      <c r="D816" s="38" t="s">
        <v>169</v>
      </c>
      <c r="E816" s="38" t="str">
        <f aca="false">A816&amp;"|"&amp;C816&amp;"|"&amp;D816</f>
        <v>51|U|G</v>
      </c>
      <c r="F816" s="43" t="n">
        <v>28</v>
      </c>
      <c r="G816" s="38" t="n">
        <f aca="false">SUMIFS($F$2:$F$1137,$A$2:$A$1137,A816,$C$2:$C$1137,C816)</f>
        <v>30</v>
      </c>
      <c r="H816" s="43" t="n">
        <v>1</v>
      </c>
      <c r="I816" s="45" t="n">
        <f aca="false">IF(G816=0,"",F816/G816)</f>
        <v>0.933333333333333</v>
      </c>
      <c r="J816" s="45" t="n">
        <f aca="false">K816/L816</f>
        <v>0.852941176470588</v>
      </c>
      <c r="K816" s="38" t="n">
        <f aca="false">F816+H816</f>
        <v>29</v>
      </c>
      <c r="L816" s="38" t="n">
        <f aca="false">G816+4*H816</f>
        <v>34</v>
      </c>
      <c r="M816" s="38" t="s">
        <v>619</v>
      </c>
      <c r="N816" s="38" t="n">
        <f aca="false">ROUND(SUMIFS($J$2:$J$1137,$A$2:$A$1137,A816,$C$2:$C$1137,C816),9)</f>
        <v>1</v>
      </c>
    </row>
    <row r="817" customFormat="false" ht="15" hidden="false" customHeight="true" outlineLevel="0" collapsed="false">
      <c r="A817" s="38" t="n">
        <v>51</v>
      </c>
      <c r="B817" s="38" t="s">
        <v>669</v>
      </c>
      <c r="C817" s="38" t="s">
        <v>171</v>
      </c>
      <c r="D817" s="38" t="s">
        <v>171</v>
      </c>
      <c r="E817" s="38" t="str">
        <f aca="false">A817&amp;"|"&amp;C817&amp;"|"&amp;D817</f>
        <v>51|U|U</v>
      </c>
      <c r="F817" s="43" t="n">
        <v>1</v>
      </c>
      <c r="G817" s="38" t="n">
        <f aca="false">SUMIFS($F$2:$F$1137,$A$2:$A$1137,A817,$C$2:$C$1137,C817)</f>
        <v>30</v>
      </c>
      <c r="H817" s="43" t="n">
        <v>1</v>
      </c>
      <c r="I817" s="45" t="n">
        <f aca="false">IF(G817=0,"",F817/G817)</f>
        <v>0.0333333333333333</v>
      </c>
      <c r="J817" s="45" t="n">
        <f aca="false">K817/L817</f>
        <v>0.0588235294117647</v>
      </c>
      <c r="K817" s="38" t="n">
        <f aca="false">F817+H817</f>
        <v>2</v>
      </c>
      <c r="L817" s="38" t="n">
        <f aca="false">G817+4*H817</f>
        <v>34</v>
      </c>
      <c r="M817" s="38" t="s">
        <v>619</v>
      </c>
      <c r="N817" s="38" t="n">
        <f aca="false">ROUND(SUMIFS($J$2:$J$1137,$A$2:$A$1137,A817,$C$2:$C$1137,C817),9)</f>
        <v>1</v>
      </c>
    </row>
    <row r="818" customFormat="false" ht="15" hidden="false" customHeight="true" outlineLevel="0" collapsed="false">
      <c r="A818" s="38" t="n">
        <v>52</v>
      </c>
      <c r="B818" s="38" t="s">
        <v>670</v>
      </c>
      <c r="C818" s="38" t="s">
        <v>172</v>
      </c>
      <c r="D818" s="38" t="s">
        <v>172</v>
      </c>
      <c r="E818" s="38" t="str">
        <f aca="false">A818&amp;"|"&amp;C818&amp;"|"&amp;D818</f>
        <v>52|A|A</v>
      </c>
      <c r="F818" s="43" t="n">
        <v>0</v>
      </c>
      <c r="G818" s="38" t="n">
        <f aca="false">SUMIFS($F$2:$F$1137,$A$2:$A$1137,A818,$C$2:$C$1137,C818)</f>
        <v>26</v>
      </c>
      <c r="H818" s="43" t="n">
        <v>1</v>
      </c>
      <c r="I818" s="45" t="n">
        <f aca="false">IF(G818=0,"",F818/G818)</f>
        <v>0</v>
      </c>
      <c r="J818" s="45" t="n">
        <f aca="false">K818/L818</f>
        <v>0.0333333333333333</v>
      </c>
      <c r="K818" s="38" t="n">
        <f aca="false">F818+H818</f>
        <v>1</v>
      </c>
      <c r="L818" s="38" t="n">
        <f aca="false">G818+4*H818</f>
        <v>30</v>
      </c>
      <c r="M818" s="38" t="s">
        <v>619</v>
      </c>
      <c r="N818" s="38" t="n">
        <f aca="false">ROUND(SUMIFS($J$2:$J$1137,$A$2:$A$1137,A818,$C$2:$C$1137,C818),9)</f>
        <v>1</v>
      </c>
    </row>
    <row r="819" customFormat="false" ht="15" hidden="false" customHeight="true" outlineLevel="0" collapsed="false">
      <c r="A819" s="38" t="n">
        <v>52</v>
      </c>
      <c r="B819" s="38" t="s">
        <v>670</v>
      </c>
      <c r="C819" s="38" t="s">
        <v>172</v>
      </c>
      <c r="D819" s="38" t="s">
        <v>170</v>
      </c>
      <c r="E819" s="38" t="str">
        <f aca="false">A819&amp;"|"&amp;C819&amp;"|"&amp;D819</f>
        <v>52|A|C</v>
      </c>
      <c r="F819" s="43" t="n">
        <v>0</v>
      </c>
      <c r="G819" s="38" t="n">
        <f aca="false">SUMIFS($F$2:$F$1137,$A$2:$A$1137,A819,$C$2:$C$1137,C819)</f>
        <v>26</v>
      </c>
      <c r="H819" s="43" t="n">
        <v>1</v>
      </c>
      <c r="I819" s="45" t="n">
        <f aca="false">IF(G819=0,"",F819/G819)</f>
        <v>0</v>
      </c>
      <c r="J819" s="45" t="n">
        <f aca="false">K819/L819</f>
        <v>0.0333333333333333</v>
      </c>
      <c r="K819" s="38" t="n">
        <f aca="false">F819+H819</f>
        <v>1</v>
      </c>
      <c r="L819" s="38" t="n">
        <f aca="false">G819+4*H819</f>
        <v>30</v>
      </c>
      <c r="M819" s="38" t="s">
        <v>619</v>
      </c>
      <c r="N819" s="38" t="n">
        <f aca="false">ROUND(SUMIFS($J$2:$J$1137,$A$2:$A$1137,A819,$C$2:$C$1137,C819),9)</f>
        <v>1</v>
      </c>
    </row>
    <row r="820" customFormat="false" ht="15" hidden="false" customHeight="true" outlineLevel="0" collapsed="false">
      <c r="A820" s="38" t="n">
        <v>52</v>
      </c>
      <c r="B820" s="38" t="s">
        <v>670</v>
      </c>
      <c r="C820" s="38" t="s">
        <v>172</v>
      </c>
      <c r="D820" s="38" t="s">
        <v>169</v>
      </c>
      <c r="E820" s="38" t="str">
        <f aca="false">A820&amp;"|"&amp;C820&amp;"|"&amp;D820</f>
        <v>52|A|G</v>
      </c>
      <c r="F820" s="43" t="n">
        <v>26</v>
      </c>
      <c r="G820" s="38" t="n">
        <f aca="false">SUMIFS($F$2:$F$1137,$A$2:$A$1137,A820,$C$2:$C$1137,C820)</f>
        <v>26</v>
      </c>
      <c r="H820" s="43" t="n">
        <v>1</v>
      </c>
      <c r="I820" s="45" t="n">
        <f aca="false">IF(G820=0,"",F820/G820)</f>
        <v>1</v>
      </c>
      <c r="J820" s="45" t="n">
        <f aca="false">K820/L820</f>
        <v>0.9</v>
      </c>
      <c r="K820" s="38" t="n">
        <f aca="false">F820+H820</f>
        <v>27</v>
      </c>
      <c r="L820" s="38" t="n">
        <f aca="false">G820+4*H820</f>
        <v>30</v>
      </c>
      <c r="M820" s="38" t="s">
        <v>619</v>
      </c>
      <c r="N820" s="38" t="n">
        <f aca="false">ROUND(SUMIFS($J$2:$J$1137,$A$2:$A$1137,A820,$C$2:$C$1137,C820),9)</f>
        <v>1</v>
      </c>
    </row>
    <row r="821" customFormat="false" ht="15" hidden="false" customHeight="true" outlineLevel="0" collapsed="false">
      <c r="A821" s="38" t="n">
        <v>52</v>
      </c>
      <c r="B821" s="38" t="s">
        <v>670</v>
      </c>
      <c r="C821" s="38" t="s">
        <v>172</v>
      </c>
      <c r="D821" s="38" t="s">
        <v>171</v>
      </c>
      <c r="E821" s="38" t="str">
        <f aca="false">A821&amp;"|"&amp;C821&amp;"|"&amp;D821</f>
        <v>52|A|U</v>
      </c>
      <c r="F821" s="43" t="n">
        <v>0</v>
      </c>
      <c r="G821" s="38" t="n">
        <f aca="false">SUMIFS($F$2:$F$1137,$A$2:$A$1137,A821,$C$2:$C$1137,C821)</f>
        <v>26</v>
      </c>
      <c r="H821" s="43" t="n">
        <v>1</v>
      </c>
      <c r="I821" s="45" t="n">
        <f aca="false">IF(G821=0,"",F821/G821)</f>
        <v>0</v>
      </c>
      <c r="J821" s="45" t="n">
        <f aca="false">K821/L821</f>
        <v>0.0333333333333333</v>
      </c>
      <c r="K821" s="38" t="n">
        <f aca="false">F821+H821</f>
        <v>1</v>
      </c>
      <c r="L821" s="38" t="n">
        <f aca="false">G821+4*H821</f>
        <v>30</v>
      </c>
      <c r="M821" s="38" t="s">
        <v>619</v>
      </c>
      <c r="N821" s="38" t="n">
        <f aca="false">ROUND(SUMIFS($J$2:$J$1137,$A$2:$A$1137,A821,$C$2:$C$1137,C821),9)</f>
        <v>1</v>
      </c>
    </row>
    <row r="822" customFormat="false" ht="15" hidden="false" customHeight="true" outlineLevel="0" collapsed="false">
      <c r="A822" s="38" t="n">
        <v>52</v>
      </c>
      <c r="B822" s="38" t="s">
        <v>670</v>
      </c>
      <c r="C822" s="38" t="s">
        <v>170</v>
      </c>
      <c r="D822" s="38" t="s">
        <v>172</v>
      </c>
      <c r="E822" s="38" t="str">
        <f aca="false">A822&amp;"|"&amp;C822&amp;"|"&amp;D822</f>
        <v>52|C|A</v>
      </c>
      <c r="F822" s="43" t="n">
        <v>0</v>
      </c>
      <c r="G822" s="38" t="n">
        <f aca="false">SUMIFS($F$2:$F$1137,$A$2:$A$1137,A822,$C$2:$C$1137,C822)</f>
        <v>2</v>
      </c>
      <c r="H822" s="43" t="n">
        <v>1</v>
      </c>
      <c r="I822" s="45" t="n">
        <f aca="false">IF(G822=0,"",F822/G822)</f>
        <v>0</v>
      </c>
      <c r="J822" s="45" t="n">
        <f aca="false">K822/L822</f>
        <v>0.166666666666667</v>
      </c>
      <c r="K822" s="38" t="n">
        <f aca="false">F822+H822</f>
        <v>1</v>
      </c>
      <c r="L822" s="38" t="n">
        <f aca="false">G822+4*H822</f>
        <v>6</v>
      </c>
      <c r="M822" s="38" t="s">
        <v>619</v>
      </c>
      <c r="N822" s="38" t="n">
        <f aca="false">ROUND(SUMIFS($J$2:$J$1137,$A$2:$A$1137,A822,$C$2:$C$1137,C822),9)</f>
        <v>1</v>
      </c>
    </row>
    <row r="823" customFormat="false" ht="15" hidden="false" customHeight="true" outlineLevel="0" collapsed="false">
      <c r="A823" s="38" t="n">
        <v>52</v>
      </c>
      <c r="B823" s="38" t="s">
        <v>670</v>
      </c>
      <c r="C823" s="38" t="s">
        <v>170</v>
      </c>
      <c r="D823" s="38" t="s">
        <v>170</v>
      </c>
      <c r="E823" s="38" t="str">
        <f aca="false">A823&amp;"|"&amp;C823&amp;"|"&amp;D823</f>
        <v>52|C|C</v>
      </c>
      <c r="F823" s="43" t="n">
        <v>0</v>
      </c>
      <c r="G823" s="38" t="n">
        <f aca="false">SUMIFS($F$2:$F$1137,$A$2:$A$1137,A823,$C$2:$C$1137,C823)</f>
        <v>2</v>
      </c>
      <c r="H823" s="43" t="n">
        <v>1</v>
      </c>
      <c r="I823" s="45" t="n">
        <f aca="false">IF(G823=0,"",F823/G823)</f>
        <v>0</v>
      </c>
      <c r="J823" s="45" t="n">
        <f aca="false">K823/L823</f>
        <v>0.166666666666667</v>
      </c>
      <c r="K823" s="38" t="n">
        <f aca="false">F823+H823</f>
        <v>1</v>
      </c>
      <c r="L823" s="38" t="n">
        <f aca="false">G823+4*H823</f>
        <v>6</v>
      </c>
      <c r="M823" s="38" t="s">
        <v>619</v>
      </c>
      <c r="N823" s="38" t="n">
        <f aca="false">ROUND(SUMIFS($J$2:$J$1137,$A$2:$A$1137,A823,$C$2:$C$1137,C823),9)</f>
        <v>1</v>
      </c>
    </row>
    <row r="824" customFormat="false" ht="15" hidden="false" customHeight="true" outlineLevel="0" collapsed="false">
      <c r="A824" s="38" t="n">
        <v>52</v>
      </c>
      <c r="B824" s="38" t="s">
        <v>670</v>
      </c>
      <c r="C824" s="38" t="s">
        <v>170</v>
      </c>
      <c r="D824" s="38" t="s">
        <v>169</v>
      </c>
      <c r="E824" s="38" t="str">
        <f aca="false">A824&amp;"|"&amp;C824&amp;"|"&amp;D824</f>
        <v>52|C|G</v>
      </c>
      <c r="F824" s="43" t="n">
        <v>2</v>
      </c>
      <c r="G824" s="38" t="n">
        <f aca="false">SUMIFS($F$2:$F$1137,$A$2:$A$1137,A824,$C$2:$C$1137,C824)</f>
        <v>2</v>
      </c>
      <c r="H824" s="43" t="n">
        <v>1</v>
      </c>
      <c r="I824" s="45" t="n">
        <f aca="false">IF(G824=0,"",F824/G824)</f>
        <v>1</v>
      </c>
      <c r="J824" s="45" t="n">
        <f aca="false">K824/L824</f>
        <v>0.5</v>
      </c>
      <c r="K824" s="38" t="n">
        <f aca="false">F824+H824</f>
        <v>3</v>
      </c>
      <c r="L824" s="38" t="n">
        <f aca="false">G824+4*H824</f>
        <v>6</v>
      </c>
      <c r="M824" s="38" t="s">
        <v>619</v>
      </c>
      <c r="N824" s="38" t="n">
        <f aca="false">ROUND(SUMIFS($J$2:$J$1137,$A$2:$A$1137,A824,$C$2:$C$1137,C824),9)</f>
        <v>1</v>
      </c>
    </row>
    <row r="825" customFormat="false" ht="15" hidden="false" customHeight="true" outlineLevel="0" collapsed="false">
      <c r="A825" s="38" t="n">
        <v>52</v>
      </c>
      <c r="B825" s="38" t="s">
        <v>670</v>
      </c>
      <c r="C825" s="38" t="s">
        <v>170</v>
      </c>
      <c r="D825" s="38" t="s">
        <v>171</v>
      </c>
      <c r="E825" s="38" t="str">
        <f aca="false">A825&amp;"|"&amp;C825&amp;"|"&amp;D825</f>
        <v>52|C|U</v>
      </c>
      <c r="F825" s="43" t="n">
        <v>0</v>
      </c>
      <c r="G825" s="38" t="n">
        <f aca="false">SUMIFS($F$2:$F$1137,$A$2:$A$1137,A825,$C$2:$C$1137,C825)</f>
        <v>2</v>
      </c>
      <c r="H825" s="43" t="n">
        <v>1</v>
      </c>
      <c r="I825" s="45" t="n">
        <f aca="false">IF(G825=0,"",F825/G825)</f>
        <v>0</v>
      </c>
      <c r="J825" s="45" t="n">
        <f aca="false">K825/L825</f>
        <v>0.166666666666667</v>
      </c>
      <c r="K825" s="38" t="n">
        <f aca="false">F825+H825</f>
        <v>1</v>
      </c>
      <c r="L825" s="38" t="n">
        <f aca="false">G825+4*H825</f>
        <v>6</v>
      </c>
      <c r="M825" s="38" t="s">
        <v>619</v>
      </c>
      <c r="N825" s="38" t="n">
        <f aca="false">ROUND(SUMIFS($J$2:$J$1137,$A$2:$A$1137,A825,$C$2:$C$1137,C825),9)</f>
        <v>1</v>
      </c>
    </row>
    <row r="826" customFormat="false" ht="15" hidden="false" customHeight="true" outlineLevel="0" collapsed="false">
      <c r="A826" s="38" t="n">
        <v>52</v>
      </c>
      <c r="B826" s="38" t="s">
        <v>670</v>
      </c>
      <c r="C826" s="38" t="s">
        <v>169</v>
      </c>
      <c r="D826" s="38" t="s">
        <v>172</v>
      </c>
      <c r="E826" s="38" t="str">
        <f aca="false">A826&amp;"|"&amp;C826&amp;"|"&amp;D826</f>
        <v>52|G|A</v>
      </c>
      <c r="F826" s="43" t="n">
        <v>1</v>
      </c>
      <c r="G826" s="38" t="n">
        <f aca="false">SUMIFS($F$2:$F$1137,$A$2:$A$1137,A826,$C$2:$C$1137,C826)</f>
        <v>167</v>
      </c>
      <c r="H826" s="43" t="n">
        <v>1</v>
      </c>
      <c r="I826" s="45" t="n">
        <f aca="false">IF(G826=0,"",F826/G826)</f>
        <v>0.00598802395209581</v>
      </c>
      <c r="J826" s="45" t="n">
        <f aca="false">K826/L826</f>
        <v>0.0116959064327485</v>
      </c>
      <c r="K826" s="38" t="n">
        <f aca="false">F826+H826</f>
        <v>2</v>
      </c>
      <c r="L826" s="38" t="n">
        <f aca="false">G826+4*H826</f>
        <v>171</v>
      </c>
      <c r="M826" s="38" t="s">
        <v>619</v>
      </c>
      <c r="N826" s="38" t="n">
        <f aca="false">ROUND(SUMIFS($J$2:$J$1137,$A$2:$A$1137,A826,$C$2:$C$1137,C826),9)</f>
        <v>1</v>
      </c>
    </row>
    <row r="827" customFormat="false" ht="15" hidden="false" customHeight="true" outlineLevel="0" collapsed="false">
      <c r="A827" s="38" t="n">
        <v>52</v>
      </c>
      <c r="B827" s="38" t="s">
        <v>670</v>
      </c>
      <c r="C827" s="38" t="s">
        <v>169</v>
      </c>
      <c r="D827" s="38" t="s">
        <v>170</v>
      </c>
      <c r="E827" s="38" t="str">
        <f aca="false">A827&amp;"|"&amp;C827&amp;"|"&amp;D827</f>
        <v>52|G|C</v>
      </c>
      <c r="F827" s="43" t="n">
        <v>0</v>
      </c>
      <c r="G827" s="38" t="n">
        <f aca="false">SUMIFS($F$2:$F$1137,$A$2:$A$1137,A827,$C$2:$C$1137,C827)</f>
        <v>167</v>
      </c>
      <c r="H827" s="43" t="n">
        <v>1</v>
      </c>
      <c r="I827" s="45" t="n">
        <f aca="false">IF(G827=0,"",F827/G827)</f>
        <v>0</v>
      </c>
      <c r="J827" s="45" t="n">
        <f aca="false">K827/L827</f>
        <v>0.00584795321637427</v>
      </c>
      <c r="K827" s="38" t="n">
        <f aca="false">F827+H827</f>
        <v>1</v>
      </c>
      <c r="L827" s="38" t="n">
        <f aca="false">G827+4*H827</f>
        <v>171</v>
      </c>
      <c r="M827" s="38" t="s">
        <v>619</v>
      </c>
      <c r="N827" s="38" t="n">
        <f aca="false">ROUND(SUMIFS($J$2:$J$1137,$A$2:$A$1137,A827,$C$2:$C$1137,C827),9)</f>
        <v>1</v>
      </c>
    </row>
    <row r="828" customFormat="false" ht="15" hidden="false" customHeight="true" outlineLevel="0" collapsed="false">
      <c r="A828" s="38" t="n">
        <v>52</v>
      </c>
      <c r="B828" s="38" t="s">
        <v>670</v>
      </c>
      <c r="C828" s="38" t="s">
        <v>169</v>
      </c>
      <c r="D828" s="38" t="s">
        <v>169</v>
      </c>
      <c r="E828" s="38" t="str">
        <f aca="false">A828&amp;"|"&amp;C828&amp;"|"&amp;D828</f>
        <v>52|G|G</v>
      </c>
      <c r="F828" s="43" t="n">
        <v>164</v>
      </c>
      <c r="G828" s="38" t="n">
        <f aca="false">SUMIFS($F$2:$F$1137,$A$2:$A$1137,A828,$C$2:$C$1137,C828)</f>
        <v>167</v>
      </c>
      <c r="H828" s="43" t="n">
        <v>1</v>
      </c>
      <c r="I828" s="45" t="n">
        <f aca="false">IF(G828=0,"",F828/G828)</f>
        <v>0.982035928143713</v>
      </c>
      <c r="J828" s="45" t="n">
        <f aca="false">K828/L828</f>
        <v>0.964912280701754</v>
      </c>
      <c r="K828" s="38" t="n">
        <f aca="false">F828+H828</f>
        <v>165</v>
      </c>
      <c r="L828" s="38" t="n">
        <f aca="false">G828+4*H828</f>
        <v>171</v>
      </c>
      <c r="M828" s="38" t="s">
        <v>619</v>
      </c>
      <c r="N828" s="38" t="n">
        <f aca="false">ROUND(SUMIFS($J$2:$J$1137,$A$2:$A$1137,A828,$C$2:$C$1137,C828),9)</f>
        <v>1</v>
      </c>
    </row>
    <row r="829" customFormat="false" ht="15" hidden="false" customHeight="true" outlineLevel="0" collapsed="false">
      <c r="A829" s="38" t="n">
        <v>52</v>
      </c>
      <c r="B829" s="38" t="s">
        <v>670</v>
      </c>
      <c r="C829" s="38" t="s">
        <v>169</v>
      </c>
      <c r="D829" s="38" t="s">
        <v>171</v>
      </c>
      <c r="E829" s="38" t="str">
        <f aca="false">A829&amp;"|"&amp;C829&amp;"|"&amp;D829</f>
        <v>52|G|U</v>
      </c>
      <c r="F829" s="43" t="n">
        <v>2</v>
      </c>
      <c r="G829" s="38" t="n">
        <f aca="false">SUMIFS($F$2:$F$1137,$A$2:$A$1137,A829,$C$2:$C$1137,C829)</f>
        <v>167</v>
      </c>
      <c r="H829" s="43" t="n">
        <v>1</v>
      </c>
      <c r="I829" s="45" t="n">
        <f aca="false">IF(G829=0,"",F829/G829)</f>
        <v>0.0119760479041916</v>
      </c>
      <c r="J829" s="45" t="n">
        <f aca="false">K829/L829</f>
        <v>0.0175438596491228</v>
      </c>
      <c r="K829" s="38" t="n">
        <f aca="false">F829+H829</f>
        <v>3</v>
      </c>
      <c r="L829" s="38" t="n">
        <f aca="false">G829+4*H829</f>
        <v>171</v>
      </c>
      <c r="M829" s="38" t="s">
        <v>619</v>
      </c>
      <c r="N829" s="38" t="n">
        <f aca="false">ROUND(SUMIFS($J$2:$J$1137,$A$2:$A$1137,A829,$C$2:$C$1137,C829),9)</f>
        <v>1</v>
      </c>
    </row>
    <row r="830" customFormat="false" ht="15" hidden="false" customHeight="true" outlineLevel="0" collapsed="false">
      <c r="A830" s="38" t="n">
        <v>52</v>
      </c>
      <c r="B830" s="38" t="s">
        <v>670</v>
      </c>
      <c r="C830" s="38" t="s">
        <v>171</v>
      </c>
      <c r="D830" s="38" t="s">
        <v>172</v>
      </c>
      <c r="E830" s="38" t="str">
        <f aca="false">A830&amp;"|"&amp;C830&amp;"|"&amp;D830</f>
        <v>52|U|A</v>
      </c>
      <c r="F830" s="43" t="n">
        <v>0</v>
      </c>
      <c r="G830" s="38" t="n">
        <f aca="false">SUMIFS($F$2:$F$1137,$A$2:$A$1137,A830,$C$2:$C$1137,C830)</f>
        <v>4</v>
      </c>
      <c r="H830" s="43" t="n">
        <v>1</v>
      </c>
      <c r="I830" s="45" t="n">
        <f aca="false">IF(G830=0,"",F830/G830)</f>
        <v>0</v>
      </c>
      <c r="J830" s="45" t="n">
        <f aca="false">K830/L830</f>
        <v>0.125</v>
      </c>
      <c r="K830" s="38" t="n">
        <f aca="false">F830+H830</f>
        <v>1</v>
      </c>
      <c r="L830" s="38" t="n">
        <f aca="false">G830+4*H830</f>
        <v>8</v>
      </c>
      <c r="M830" s="38" t="s">
        <v>619</v>
      </c>
      <c r="N830" s="38" t="n">
        <f aca="false">ROUND(SUMIFS($J$2:$J$1137,$A$2:$A$1137,A830,$C$2:$C$1137,C830),9)</f>
        <v>1</v>
      </c>
    </row>
    <row r="831" customFormat="false" ht="15" hidden="false" customHeight="true" outlineLevel="0" collapsed="false">
      <c r="A831" s="38" t="n">
        <v>52</v>
      </c>
      <c r="B831" s="38" t="s">
        <v>670</v>
      </c>
      <c r="C831" s="38" t="s">
        <v>171</v>
      </c>
      <c r="D831" s="38" t="s">
        <v>170</v>
      </c>
      <c r="E831" s="38" t="str">
        <f aca="false">A831&amp;"|"&amp;C831&amp;"|"&amp;D831</f>
        <v>52|U|C</v>
      </c>
      <c r="F831" s="43" t="n">
        <v>1</v>
      </c>
      <c r="G831" s="38" t="n">
        <f aca="false">SUMIFS($F$2:$F$1137,$A$2:$A$1137,A831,$C$2:$C$1137,C831)</f>
        <v>4</v>
      </c>
      <c r="H831" s="43" t="n">
        <v>1</v>
      </c>
      <c r="I831" s="45" t="n">
        <f aca="false">IF(G831=0,"",F831/G831)</f>
        <v>0.25</v>
      </c>
      <c r="J831" s="45" t="n">
        <f aca="false">K831/L831</f>
        <v>0.25</v>
      </c>
      <c r="K831" s="38" t="n">
        <f aca="false">F831+H831</f>
        <v>2</v>
      </c>
      <c r="L831" s="38" t="n">
        <f aca="false">G831+4*H831</f>
        <v>8</v>
      </c>
      <c r="M831" s="38" t="s">
        <v>619</v>
      </c>
      <c r="N831" s="38" t="n">
        <f aca="false">ROUND(SUMIFS($J$2:$J$1137,$A$2:$A$1137,A831,$C$2:$C$1137,C831),9)</f>
        <v>1</v>
      </c>
    </row>
    <row r="832" customFormat="false" ht="15" hidden="false" customHeight="true" outlineLevel="0" collapsed="false">
      <c r="A832" s="38" t="n">
        <v>52</v>
      </c>
      <c r="B832" s="38" t="s">
        <v>670</v>
      </c>
      <c r="C832" s="38" t="s">
        <v>171</v>
      </c>
      <c r="D832" s="38" t="s">
        <v>169</v>
      </c>
      <c r="E832" s="38" t="str">
        <f aca="false">A832&amp;"|"&amp;C832&amp;"|"&amp;D832</f>
        <v>52|U|G</v>
      </c>
      <c r="F832" s="43" t="n">
        <v>3</v>
      </c>
      <c r="G832" s="38" t="n">
        <f aca="false">SUMIFS($F$2:$F$1137,$A$2:$A$1137,A832,$C$2:$C$1137,C832)</f>
        <v>4</v>
      </c>
      <c r="H832" s="43" t="n">
        <v>1</v>
      </c>
      <c r="I832" s="45" t="n">
        <f aca="false">IF(G832=0,"",F832/G832)</f>
        <v>0.75</v>
      </c>
      <c r="J832" s="45" t="n">
        <f aca="false">K832/L832</f>
        <v>0.5</v>
      </c>
      <c r="K832" s="38" t="n">
        <f aca="false">F832+H832</f>
        <v>4</v>
      </c>
      <c r="L832" s="38" t="n">
        <f aca="false">G832+4*H832</f>
        <v>8</v>
      </c>
      <c r="M832" s="38" t="s">
        <v>619</v>
      </c>
      <c r="N832" s="38" t="n">
        <f aca="false">ROUND(SUMIFS($J$2:$J$1137,$A$2:$A$1137,A832,$C$2:$C$1137,C832),9)</f>
        <v>1</v>
      </c>
    </row>
    <row r="833" customFormat="false" ht="15" hidden="false" customHeight="true" outlineLevel="0" collapsed="false">
      <c r="A833" s="38" t="n">
        <v>52</v>
      </c>
      <c r="B833" s="38" t="s">
        <v>670</v>
      </c>
      <c r="C833" s="38" t="s">
        <v>171</v>
      </c>
      <c r="D833" s="38" t="s">
        <v>171</v>
      </c>
      <c r="E833" s="38" t="str">
        <f aca="false">A833&amp;"|"&amp;C833&amp;"|"&amp;D833</f>
        <v>52|U|U</v>
      </c>
      <c r="F833" s="43" t="n">
        <v>0</v>
      </c>
      <c r="G833" s="38" t="n">
        <f aca="false">SUMIFS($F$2:$F$1137,$A$2:$A$1137,A833,$C$2:$C$1137,C833)</f>
        <v>4</v>
      </c>
      <c r="H833" s="43" t="n">
        <v>1</v>
      </c>
      <c r="I833" s="45" t="n">
        <f aca="false">IF(G833=0,"",F833/G833)</f>
        <v>0</v>
      </c>
      <c r="J833" s="45" t="n">
        <f aca="false">K833/L833</f>
        <v>0.125</v>
      </c>
      <c r="K833" s="38" t="n">
        <f aca="false">F833+H833</f>
        <v>1</v>
      </c>
      <c r="L833" s="38" t="n">
        <f aca="false">G833+4*H833</f>
        <v>8</v>
      </c>
      <c r="M833" s="38" t="s">
        <v>619</v>
      </c>
      <c r="N833" s="38" t="n">
        <f aca="false">ROUND(SUMIFS($J$2:$J$1137,$A$2:$A$1137,A833,$C$2:$C$1137,C833),9)</f>
        <v>1</v>
      </c>
    </row>
    <row r="834" customFormat="false" ht="15" hidden="false" customHeight="true" outlineLevel="0" collapsed="false">
      <c r="A834" s="38" t="n">
        <v>53</v>
      </c>
      <c r="B834" s="38" t="s">
        <v>671</v>
      </c>
      <c r="C834" s="38" t="s">
        <v>172</v>
      </c>
      <c r="D834" s="38" t="s">
        <v>172</v>
      </c>
      <c r="E834" s="38" t="str">
        <f aca="false">A834&amp;"|"&amp;C834&amp;"|"&amp;D834</f>
        <v>53|A|A</v>
      </c>
      <c r="F834" s="43" t="n">
        <v>0</v>
      </c>
      <c r="G834" s="38" t="n">
        <f aca="false">SUMIFS($F$2:$F$1137,$A$2:$A$1137,A834,$C$2:$C$1137,C834)</f>
        <v>1</v>
      </c>
      <c r="H834" s="43" t="n">
        <v>1</v>
      </c>
      <c r="I834" s="45" t="n">
        <f aca="false">IF(G834=0,"",F834/G834)</f>
        <v>0</v>
      </c>
      <c r="J834" s="45" t="n">
        <f aca="false">K834/L834</f>
        <v>0.2</v>
      </c>
      <c r="K834" s="38" t="n">
        <f aca="false">F834+H834</f>
        <v>1</v>
      </c>
      <c r="L834" s="38" t="n">
        <f aca="false">G834+4*H834</f>
        <v>5</v>
      </c>
      <c r="M834" s="38" t="s">
        <v>619</v>
      </c>
      <c r="N834" s="38" t="n">
        <f aca="false">ROUND(SUMIFS($J$2:$J$1137,$A$2:$A$1137,A834,$C$2:$C$1137,C834),9)</f>
        <v>1</v>
      </c>
    </row>
    <row r="835" customFormat="false" ht="15" hidden="false" customHeight="true" outlineLevel="0" collapsed="false">
      <c r="A835" s="38" t="n">
        <v>53</v>
      </c>
      <c r="B835" s="38" t="s">
        <v>671</v>
      </c>
      <c r="C835" s="38" t="s">
        <v>172</v>
      </c>
      <c r="D835" s="38" t="s">
        <v>170</v>
      </c>
      <c r="E835" s="38" t="str">
        <f aca="false">A835&amp;"|"&amp;C835&amp;"|"&amp;D835</f>
        <v>53|A|C</v>
      </c>
      <c r="F835" s="43" t="n">
        <v>0</v>
      </c>
      <c r="G835" s="38" t="n">
        <f aca="false">SUMIFS($F$2:$F$1137,$A$2:$A$1137,A835,$C$2:$C$1137,C835)</f>
        <v>1</v>
      </c>
      <c r="H835" s="43" t="n">
        <v>1</v>
      </c>
      <c r="I835" s="45" t="n">
        <f aca="false">IF(G835=0,"",F835/G835)</f>
        <v>0</v>
      </c>
      <c r="J835" s="45" t="n">
        <f aca="false">K835/L835</f>
        <v>0.2</v>
      </c>
      <c r="K835" s="38" t="n">
        <f aca="false">F835+H835</f>
        <v>1</v>
      </c>
      <c r="L835" s="38" t="n">
        <f aca="false">G835+4*H835</f>
        <v>5</v>
      </c>
      <c r="M835" s="38" t="s">
        <v>619</v>
      </c>
      <c r="N835" s="38" t="n">
        <f aca="false">ROUND(SUMIFS($J$2:$J$1137,$A$2:$A$1137,A835,$C$2:$C$1137,C835),9)</f>
        <v>1</v>
      </c>
    </row>
    <row r="836" customFormat="false" ht="15" hidden="false" customHeight="true" outlineLevel="0" collapsed="false">
      <c r="A836" s="38" t="n">
        <v>53</v>
      </c>
      <c r="B836" s="38" t="s">
        <v>671</v>
      </c>
      <c r="C836" s="38" t="s">
        <v>172</v>
      </c>
      <c r="D836" s="38" t="s">
        <v>169</v>
      </c>
      <c r="E836" s="38" t="str">
        <f aca="false">A836&amp;"|"&amp;C836&amp;"|"&amp;D836</f>
        <v>53|A|G</v>
      </c>
      <c r="F836" s="43" t="n">
        <v>0</v>
      </c>
      <c r="G836" s="38" t="n">
        <f aca="false">SUMIFS($F$2:$F$1137,$A$2:$A$1137,A836,$C$2:$C$1137,C836)</f>
        <v>1</v>
      </c>
      <c r="H836" s="43" t="n">
        <v>1</v>
      </c>
      <c r="I836" s="45" t="n">
        <f aca="false">IF(G836=0,"",F836/G836)</f>
        <v>0</v>
      </c>
      <c r="J836" s="45" t="n">
        <f aca="false">K836/L836</f>
        <v>0.2</v>
      </c>
      <c r="K836" s="38" t="n">
        <f aca="false">F836+H836</f>
        <v>1</v>
      </c>
      <c r="L836" s="38" t="n">
        <f aca="false">G836+4*H836</f>
        <v>5</v>
      </c>
      <c r="M836" s="38" t="s">
        <v>619</v>
      </c>
      <c r="N836" s="38" t="n">
        <f aca="false">ROUND(SUMIFS($J$2:$J$1137,$A$2:$A$1137,A836,$C$2:$C$1137,C836),9)</f>
        <v>1</v>
      </c>
    </row>
    <row r="837" customFormat="false" ht="15" hidden="false" customHeight="true" outlineLevel="0" collapsed="false">
      <c r="A837" s="38" t="n">
        <v>53</v>
      </c>
      <c r="B837" s="38" t="s">
        <v>671</v>
      </c>
      <c r="C837" s="38" t="s">
        <v>172</v>
      </c>
      <c r="D837" s="38" t="s">
        <v>171</v>
      </c>
      <c r="E837" s="38" t="str">
        <f aca="false">A837&amp;"|"&amp;C837&amp;"|"&amp;D837</f>
        <v>53|A|U</v>
      </c>
      <c r="F837" s="43" t="n">
        <v>1</v>
      </c>
      <c r="G837" s="38" t="n">
        <f aca="false">SUMIFS($F$2:$F$1137,$A$2:$A$1137,A837,$C$2:$C$1137,C837)</f>
        <v>1</v>
      </c>
      <c r="H837" s="43" t="n">
        <v>1</v>
      </c>
      <c r="I837" s="45" t="n">
        <f aca="false">IF(G837=0,"",F837/G837)</f>
        <v>1</v>
      </c>
      <c r="J837" s="45" t="n">
        <f aca="false">K837/L837</f>
        <v>0.4</v>
      </c>
      <c r="K837" s="38" t="n">
        <f aca="false">F837+H837</f>
        <v>2</v>
      </c>
      <c r="L837" s="38" t="n">
        <f aca="false">G837+4*H837</f>
        <v>5</v>
      </c>
      <c r="M837" s="38" t="s">
        <v>619</v>
      </c>
      <c r="N837" s="38" t="n">
        <f aca="false">ROUND(SUMIFS($J$2:$J$1137,$A$2:$A$1137,A837,$C$2:$C$1137,C837),9)</f>
        <v>1</v>
      </c>
    </row>
    <row r="838" customFormat="false" ht="15" hidden="false" customHeight="true" outlineLevel="0" collapsed="false">
      <c r="A838" s="38" t="n">
        <v>53</v>
      </c>
      <c r="B838" s="38" t="s">
        <v>671</v>
      </c>
      <c r="C838" s="38" t="s">
        <v>170</v>
      </c>
      <c r="D838" s="38" t="s">
        <v>172</v>
      </c>
      <c r="E838" s="38" t="str">
        <f aca="false">A838&amp;"|"&amp;C838&amp;"|"&amp;D838</f>
        <v>53|C|A</v>
      </c>
      <c r="F838" s="43" t="n">
        <v>0</v>
      </c>
      <c r="G838" s="38" t="n">
        <f aca="false">SUMIFS($F$2:$F$1137,$A$2:$A$1137,A838,$C$2:$C$1137,C838)</f>
        <v>1</v>
      </c>
      <c r="H838" s="43" t="n">
        <v>1</v>
      </c>
      <c r="I838" s="45" t="n">
        <f aca="false">IF(G838=0,"",F838/G838)</f>
        <v>0</v>
      </c>
      <c r="J838" s="45" t="n">
        <f aca="false">K838/L838</f>
        <v>0.2</v>
      </c>
      <c r="K838" s="38" t="n">
        <f aca="false">F838+H838</f>
        <v>1</v>
      </c>
      <c r="L838" s="38" t="n">
        <f aca="false">G838+4*H838</f>
        <v>5</v>
      </c>
      <c r="M838" s="38" t="s">
        <v>619</v>
      </c>
      <c r="N838" s="38" t="n">
        <f aca="false">ROUND(SUMIFS($J$2:$J$1137,$A$2:$A$1137,A838,$C$2:$C$1137,C838),9)</f>
        <v>1</v>
      </c>
    </row>
    <row r="839" customFormat="false" ht="15" hidden="false" customHeight="true" outlineLevel="0" collapsed="false">
      <c r="A839" s="38" t="n">
        <v>53</v>
      </c>
      <c r="B839" s="38" t="s">
        <v>671</v>
      </c>
      <c r="C839" s="38" t="s">
        <v>170</v>
      </c>
      <c r="D839" s="38" t="s">
        <v>170</v>
      </c>
      <c r="E839" s="38" t="str">
        <f aca="false">A839&amp;"|"&amp;C839&amp;"|"&amp;D839</f>
        <v>53|C|C</v>
      </c>
      <c r="F839" s="43" t="n">
        <v>0</v>
      </c>
      <c r="G839" s="38" t="n">
        <f aca="false">SUMIFS($F$2:$F$1137,$A$2:$A$1137,A839,$C$2:$C$1137,C839)</f>
        <v>1</v>
      </c>
      <c r="H839" s="43" t="n">
        <v>1</v>
      </c>
      <c r="I839" s="45" t="n">
        <f aca="false">IF(G839=0,"",F839/G839)</f>
        <v>0</v>
      </c>
      <c r="J839" s="45" t="n">
        <f aca="false">K839/L839</f>
        <v>0.2</v>
      </c>
      <c r="K839" s="38" t="n">
        <f aca="false">F839+H839</f>
        <v>1</v>
      </c>
      <c r="L839" s="38" t="n">
        <f aca="false">G839+4*H839</f>
        <v>5</v>
      </c>
      <c r="M839" s="38" t="s">
        <v>619</v>
      </c>
      <c r="N839" s="38" t="n">
        <f aca="false">ROUND(SUMIFS($J$2:$J$1137,$A$2:$A$1137,A839,$C$2:$C$1137,C839),9)</f>
        <v>1</v>
      </c>
    </row>
    <row r="840" customFormat="false" ht="15" hidden="false" customHeight="true" outlineLevel="0" collapsed="false">
      <c r="A840" s="38" t="n">
        <v>53</v>
      </c>
      <c r="B840" s="38" t="s">
        <v>671</v>
      </c>
      <c r="C840" s="38" t="s">
        <v>170</v>
      </c>
      <c r="D840" s="38" t="s">
        <v>169</v>
      </c>
      <c r="E840" s="38" t="str">
        <f aca="false">A840&amp;"|"&amp;C840&amp;"|"&amp;D840</f>
        <v>53|C|G</v>
      </c>
      <c r="F840" s="43" t="n">
        <v>0</v>
      </c>
      <c r="G840" s="38" t="n">
        <f aca="false">SUMIFS($F$2:$F$1137,$A$2:$A$1137,A840,$C$2:$C$1137,C840)</f>
        <v>1</v>
      </c>
      <c r="H840" s="43" t="n">
        <v>1</v>
      </c>
      <c r="I840" s="45" t="n">
        <f aca="false">IF(G840=0,"",F840/G840)</f>
        <v>0</v>
      </c>
      <c r="J840" s="45" t="n">
        <f aca="false">K840/L840</f>
        <v>0.2</v>
      </c>
      <c r="K840" s="38" t="n">
        <f aca="false">F840+H840</f>
        <v>1</v>
      </c>
      <c r="L840" s="38" t="n">
        <f aca="false">G840+4*H840</f>
        <v>5</v>
      </c>
      <c r="M840" s="38" t="s">
        <v>619</v>
      </c>
      <c r="N840" s="38" t="n">
        <f aca="false">ROUND(SUMIFS($J$2:$J$1137,$A$2:$A$1137,A840,$C$2:$C$1137,C840),9)</f>
        <v>1</v>
      </c>
    </row>
    <row r="841" customFormat="false" ht="15" hidden="false" customHeight="true" outlineLevel="0" collapsed="false">
      <c r="A841" s="38" t="n">
        <v>53</v>
      </c>
      <c r="B841" s="38" t="s">
        <v>671</v>
      </c>
      <c r="C841" s="38" t="s">
        <v>170</v>
      </c>
      <c r="D841" s="38" t="s">
        <v>171</v>
      </c>
      <c r="E841" s="38" t="str">
        <f aca="false">A841&amp;"|"&amp;C841&amp;"|"&amp;D841</f>
        <v>53|C|U</v>
      </c>
      <c r="F841" s="43" t="n">
        <v>1</v>
      </c>
      <c r="G841" s="38" t="n">
        <f aca="false">SUMIFS($F$2:$F$1137,$A$2:$A$1137,A841,$C$2:$C$1137,C841)</f>
        <v>1</v>
      </c>
      <c r="H841" s="43" t="n">
        <v>1</v>
      </c>
      <c r="I841" s="45" t="n">
        <f aca="false">IF(G841=0,"",F841/G841)</f>
        <v>1</v>
      </c>
      <c r="J841" s="45" t="n">
        <f aca="false">K841/L841</f>
        <v>0.4</v>
      </c>
      <c r="K841" s="38" t="n">
        <f aca="false">F841+H841</f>
        <v>2</v>
      </c>
      <c r="L841" s="38" t="n">
        <f aca="false">G841+4*H841</f>
        <v>5</v>
      </c>
      <c r="M841" s="38" t="s">
        <v>619</v>
      </c>
      <c r="N841" s="38" t="n">
        <f aca="false">ROUND(SUMIFS($J$2:$J$1137,$A$2:$A$1137,A841,$C$2:$C$1137,C841),9)</f>
        <v>1</v>
      </c>
    </row>
    <row r="842" customFormat="false" ht="15" hidden="false" customHeight="true" outlineLevel="0" collapsed="false">
      <c r="A842" s="38" t="n">
        <v>53</v>
      </c>
      <c r="B842" s="38" t="s">
        <v>671</v>
      </c>
      <c r="C842" s="38" t="s">
        <v>169</v>
      </c>
      <c r="D842" s="38" t="s">
        <v>172</v>
      </c>
      <c r="E842" s="38" t="str">
        <f aca="false">A842&amp;"|"&amp;C842&amp;"|"&amp;D842</f>
        <v>53|G|A</v>
      </c>
      <c r="F842" s="43" t="n">
        <v>2</v>
      </c>
      <c r="G842" s="38" t="n">
        <f aca="false">SUMIFS($F$2:$F$1137,$A$2:$A$1137,A842,$C$2:$C$1137,C842)</f>
        <v>195</v>
      </c>
      <c r="H842" s="43" t="n">
        <v>1</v>
      </c>
      <c r="I842" s="45" t="n">
        <f aca="false">IF(G842=0,"",F842/G842)</f>
        <v>0.0102564102564103</v>
      </c>
      <c r="J842" s="45" t="n">
        <f aca="false">K842/L842</f>
        <v>0.0150753768844221</v>
      </c>
      <c r="K842" s="38" t="n">
        <f aca="false">F842+H842</f>
        <v>3</v>
      </c>
      <c r="L842" s="38" t="n">
        <f aca="false">G842+4*H842</f>
        <v>199</v>
      </c>
      <c r="M842" s="38" t="s">
        <v>619</v>
      </c>
      <c r="N842" s="38" t="n">
        <f aca="false">ROUND(SUMIFS($J$2:$J$1137,$A$2:$A$1137,A842,$C$2:$C$1137,C842),9)</f>
        <v>1</v>
      </c>
    </row>
    <row r="843" customFormat="false" ht="15" hidden="false" customHeight="true" outlineLevel="0" collapsed="false">
      <c r="A843" s="38" t="n">
        <v>53</v>
      </c>
      <c r="B843" s="38" t="s">
        <v>671</v>
      </c>
      <c r="C843" s="38" t="s">
        <v>169</v>
      </c>
      <c r="D843" s="38" t="s">
        <v>170</v>
      </c>
      <c r="E843" s="38" t="str">
        <f aca="false">A843&amp;"|"&amp;C843&amp;"|"&amp;D843</f>
        <v>53|G|C</v>
      </c>
      <c r="F843" s="43" t="n">
        <v>0</v>
      </c>
      <c r="G843" s="38" t="n">
        <f aca="false">SUMIFS($F$2:$F$1137,$A$2:$A$1137,A843,$C$2:$C$1137,C843)</f>
        <v>195</v>
      </c>
      <c r="H843" s="43" t="n">
        <v>1</v>
      </c>
      <c r="I843" s="45" t="n">
        <f aca="false">IF(G843=0,"",F843/G843)</f>
        <v>0</v>
      </c>
      <c r="J843" s="45" t="n">
        <f aca="false">K843/L843</f>
        <v>0.0050251256281407</v>
      </c>
      <c r="K843" s="38" t="n">
        <f aca="false">F843+H843</f>
        <v>1</v>
      </c>
      <c r="L843" s="38" t="n">
        <f aca="false">G843+4*H843</f>
        <v>199</v>
      </c>
      <c r="M843" s="38" t="s">
        <v>619</v>
      </c>
      <c r="N843" s="38" t="n">
        <f aca="false">ROUND(SUMIFS($J$2:$J$1137,$A$2:$A$1137,A843,$C$2:$C$1137,C843),9)</f>
        <v>1</v>
      </c>
    </row>
    <row r="844" customFormat="false" ht="15" hidden="false" customHeight="true" outlineLevel="0" collapsed="false">
      <c r="A844" s="38" t="n">
        <v>53</v>
      </c>
      <c r="B844" s="38" t="s">
        <v>671</v>
      </c>
      <c r="C844" s="38" t="s">
        <v>169</v>
      </c>
      <c r="D844" s="38" t="s">
        <v>169</v>
      </c>
      <c r="E844" s="38" t="str">
        <f aca="false">A844&amp;"|"&amp;C844&amp;"|"&amp;D844</f>
        <v>53|G|G</v>
      </c>
      <c r="F844" s="43" t="n">
        <v>0</v>
      </c>
      <c r="G844" s="38" t="n">
        <f aca="false">SUMIFS($F$2:$F$1137,$A$2:$A$1137,A844,$C$2:$C$1137,C844)</f>
        <v>195</v>
      </c>
      <c r="H844" s="43" t="n">
        <v>1</v>
      </c>
      <c r="I844" s="45" t="n">
        <f aca="false">IF(G844=0,"",F844/G844)</f>
        <v>0</v>
      </c>
      <c r="J844" s="45" t="n">
        <f aca="false">K844/L844</f>
        <v>0.0050251256281407</v>
      </c>
      <c r="K844" s="38" t="n">
        <f aca="false">F844+H844</f>
        <v>1</v>
      </c>
      <c r="L844" s="38" t="n">
        <f aca="false">G844+4*H844</f>
        <v>199</v>
      </c>
      <c r="M844" s="38" t="s">
        <v>619</v>
      </c>
      <c r="N844" s="38" t="n">
        <f aca="false">ROUND(SUMIFS($J$2:$J$1137,$A$2:$A$1137,A844,$C$2:$C$1137,C844),9)</f>
        <v>1</v>
      </c>
    </row>
    <row r="845" customFormat="false" ht="15" hidden="false" customHeight="true" outlineLevel="0" collapsed="false">
      <c r="A845" s="38" t="n">
        <v>53</v>
      </c>
      <c r="B845" s="38" t="s">
        <v>671</v>
      </c>
      <c r="C845" s="38" t="s">
        <v>169</v>
      </c>
      <c r="D845" s="38" t="s">
        <v>171</v>
      </c>
      <c r="E845" s="38" t="str">
        <f aca="false">A845&amp;"|"&amp;C845&amp;"|"&amp;D845</f>
        <v>53|G|U</v>
      </c>
      <c r="F845" s="43" t="n">
        <v>193</v>
      </c>
      <c r="G845" s="38" t="n">
        <f aca="false">SUMIFS($F$2:$F$1137,$A$2:$A$1137,A845,$C$2:$C$1137,C845)</f>
        <v>195</v>
      </c>
      <c r="H845" s="43" t="n">
        <v>1</v>
      </c>
      <c r="I845" s="45" t="n">
        <f aca="false">IF(G845=0,"",F845/G845)</f>
        <v>0.98974358974359</v>
      </c>
      <c r="J845" s="45" t="n">
        <f aca="false">K845/L845</f>
        <v>0.974874371859297</v>
      </c>
      <c r="K845" s="38" t="n">
        <f aca="false">F845+H845</f>
        <v>194</v>
      </c>
      <c r="L845" s="38" t="n">
        <f aca="false">G845+4*H845</f>
        <v>199</v>
      </c>
      <c r="M845" s="38" t="s">
        <v>619</v>
      </c>
      <c r="N845" s="38" t="n">
        <f aca="false">ROUND(SUMIFS($J$2:$J$1137,$A$2:$A$1137,A845,$C$2:$C$1137,C845),9)</f>
        <v>1</v>
      </c>
    </row>
    <row r="846" customFormat="false" ht="15" hidden="false" customHeight="true" outlineLevel="0" collapsed="false">
      <c r="A846" s="38" t="n">
        <v>53</v>
      </c>
      <c r="B846" s="38" t="s">
        <v>671</v>
      </c>
      <c r="C846" s="38" t="s">
        <v>171</v>
      </c>
      <c r="D846" s="38" t="s">
        <v>172</v>
      </c>
      <c r="E846" s="38" t="str">
        <f aca="false">A846&amp;"|"&amp;C846&amp;"|"&amp;D846</f>
        <v>53|U|A</v>
      </c>
      <c r="F846" s="43" t="n">
        <v>0</v>
      </c>
      <c r="G846" s="38" t="n">
        <f aca="false">SUMIFS($F$2:$F$1137,$A$2:$A$1137,A846,$C$2:$C$1137,C846)</f>
        <v>2</v>
      </c>
      <c r="H846" s="43" t="n">
        <v>1</v>
      </c>
      <c r="I846" s="45" t="n">
        <f aca="false">IF(G846=0,"",F846/G846)</f>
        <v>0</v>
      </c>
      <c r="J846" s="45" t="n">
        <f aca="false">K846/L846</f>
        <v>0.166666666666667</v>
      </c>
      <c r="K846" s="38" t="n">
        <f aca="false">F846+H846</f>
        <v>1</v>
      </c>
      <c r="L846" s="38" t="n">
        <f aca="false">G846+4*H846</f>
        <v>6</v>
      </c>
      <c r="M846" s="38" t="s">
        <v>619</v>
      </c>
      <c r="N846" s="38" t="n">
        <f aca="false">ROUND(SUMIFS($J$2:$J$1137,$A$2:$A$1137,A846,$C$2:$C$1137,C846),9)</f>
        <v>1</v>
      </c>
    </row>
    <row r="847" customFormat="false" ht="15" hidden="false" customHeight="true" outlineLevel="0" collapsed="false">
      <c r="A847" s="38" t="n">
        <v>53</v>
      </c>
      <c r="B847" s="38" t="s">
        <v>671</v>
      </c>
      <c r="C847" s="38" t="s">
        <v>171</v>
      </c>
      <c r="D847" s="38" t="s">
        <v>170</v>
      </c>
      <c r="E847" s="38" t="str">
        <f aca="false">A847&amp;"|"&amp;C847&amp;"|"&amp;D847</f>
        <v>53|U|C</v>
      </c>
      <c r="F847" s="43" t="n">
        <v>0</v>
      </c>
      <c r="G847" s="38" t="n">
        <f aca="false">SUMIFS($F$2:$F$1137,$A$2:$A$1137,A847,$C$2:$C$1137,C847)</f>
        <v>2</v>
      </c>
      <c r="H847" s="43" t="n">
        <v>1</v>
      </c>
      <c r="I847" s="45" t="n">
        <f aca="false">IF(G847=0,"",F847/G847)</f>
        <v>0</v>
      </c>
      <c r="J847" s="45" t="n">
        <f aca="false">K847/L847</f>
        <v>0.166666666666667</v>
      </c>
      <c r="K847" s="38" t="n">
        <f aca="false">F847+H847</f>
        <v>1</v>
      </c>
      <c r="L847" s="38" t="n">
        <f aca="false">G847+4*H847</f>
        <v>6</v>
      </c>
      <c r="M847" s="38" t="s">
        <v>619</v>
      </c>
      <c r="N847" s="38" t="n">
        <f aca="false">ROUND(SUMIFS($J$2:$J$1137,$A$2:$A$1137,A847,$C$2:$C$1137,C847),9)</f>
        <v>1</v>
      </c>
    </row>
    <row r="848" customFormat="false" ht="15" hidden="false" customHeight="true" outlineLevel="0" collapsed="false">
      <c r="A848" s="38" t="n">
        <v>53</v>
      </c>
      <c r="B848" s="38" t="s">
        <v>671</v>
      </c>
      <c r="C848" s="38" t="s">
        <v>171</v>
      </c>
      <c r="D848" s="38" t="s">
        <v>169</v>
      </c>
      <c r="E848" s="38" t="str">
        <f aca="false">A848&amp;"|"&amp;C848&amp;"|"&amp;D848</f>
        <v>53|U|G</v>
      </c>
      <c r="F848" s="43" t="n">
        <v>0</v>
      </c>
      <c r="G848" s="38" t="n">
        <f aca="false">SUMIFS($F$2:$F$1137,$A$2:$A$1137,A848,$C$2:$C$1137,C848)</f>
        <v>2</v>
      </c>
      <c r="H848" s="43" t="n">
        <v>1</v>
      </c>
      <c r="I848" s="45" t="n">
        <f aca="false">IF(G848=0,"",F848/G848)</f>
        <v>0</v>
      </c>
      <c r="J848" s="45" t="n">
        <f aca="false">K848/L848</f>
        <v>0.166666666666667</v>
      </c>
      <c r="K848" s="38" t="n">
        <f aca="false">F848+H848</f>
        <v>1</v>
      </c>
      <c r="L848" s="38" t="n">
        <f aca="false">G848+4*H848</f>
        <v>6</v>
      </c>
      <c r="M848" s="38" t="s">
        <v>619</v>
      </c>
      <c r="N848" s="38" t="n">
        <f aca="false">ROUND(SUMIFS($J$2:$J$1137,$A$2:$A$1137,A848,$C$2:$C$1137,C848),9)</f>
        <v>1</v>
      </c>
    </row>
    <row r="849" customFormat="false" ht="15" hidden="false" customHeight="true" outlineLevel="0" collapsed="false">
      <c r="A849" s="38" t="n">
        <v>53</v>
      </c>
      <c r="B849" s="38" t="s">
        <v>671</v>
      </c>
      <c r="C849" s="38" t="s">
        <v>171</v>
      </c>
      <c r="D849" s="38" t="s">
        <v>171</v>
      </c>
      <c r="E849" s="38" t="str">
        <f aca="false">A849&amp;"|"&amp;C849&amp;"|"&amp;D849</f>
        <v>53|U|U</v>
      </c>
      <c r="F849" s="43" t="n">
        <v>2</v>
      </c>
      <c r="G849" s="38" t="n">
        <f aca="false">SUMIFS($F$2:$F$1137,$A$2:$A$1137,A849,$C$2:$C$1137,C849)</f>
        <v>2</v>
      </c>
      <c r="H849" s="43" t="n">
        <v>1</v>
      </c>
      <c r="I849" s="45" t="n">
        <f aca="false">IF(G849=0,"",F849/G849)</f>
        <v>1</v>
      </c>
      <c r="J849" s="45" t="n">
        <f aca="false">K849/L849</f>
        <v>0.5</v>
      </c>
      <c r="K849" s="38" t="n">
        <f aca="false">F849+H849</f>
        <v>3</v>
      </c>
      <c r="L849" s="38" t="n">
        <f aca="false">G849+4*H849</f>
        <v>6</v>
      </c>
      <c r="M849" s="38" t="s">
        <v>619</v>
      </c>
      <c r="N849" s="38" t="n">
        <f aca="false">ROUND(SUMIFS($J$2:$J$1137,$A$2:$A$1137,A849,$C$2:$C$1137,C849),9)</f>
        <v>1</v>
      </c>
    </row>
    <row r="850" customFormat="false" ht="15" hidden="false" customHeight="true" outlineLevel="0" collapsed="false">
      <c r="A850" s="38" t="n">
        <v>54</v>
      </c>
      <c r="B850" s="38" t="s">
        <v>672</v>
      </c>
      <c r="C850" s="38" t="s">
        <v>172</v>
      </c>
      <c r="D850" s="38" t="s">
        <v>172</v>
      </c>
      <c r="E850" s="38" t="str">
        <f aca="false">A850&amp;"|"&amp;C850&amp;"|"&amp;D850</f>
        <v>54|A|A</v>
      </c>
      <c r="F850" s="43" t="n">
        <v>0</v>
      </c>
      <c r="G850" s="38" t="n">
        <f aca="false">SUMIFS($F$2:$F$1137,$A$2:$A$1137,A850,$C$2:$C$1137,C850)</f>
        <v>2</v>
      </c>
      <c r="H850" s="43" t="n">
        <v>1</v>
      </c>
      <c r="I850" s="45" t="n">
        <f aca="false">IF(G850=0,"",F850/G850)</f>
        <v>0</v>
      </c>
      <c r="J850" s="45" t="n">
        <f aca="false">K850/L850</f>
        <v>0.166666666666667</v>
      </c>
      <c r="K850" s="38" t="n">
        <f aca="false">F850+H850</f>
        <v>1</v>
      </c>
      <c r="L850" s="38" t="n">
        <f aca="false">G850+4*H850</f>
        <v>6</v>
      </c>
      <c r="M850" s="38" t="s">
        <v>619</v>
      </c>
      <c r="N850" s="38" t="n">
        <f aca="false">ROUND(SUMIFS($J$2:$J$1137,$A$2:$A$1137,A850,$C$2:$C$1137,C850),9)</f>
        <v>1</v>
      </c>
    </row>
    <row r="851" customFormat="false" ht="15" hidden="false" customHeight="true" outlineLevel="0" collapsed="false">
      <c r="A851" s="38" t="n">
        <v>54</v>
      </c>
      <c r="B851" s="38" t="s">
        <v>672</v>
      </c>
      <c r="C851" s="38" t="s">
        <v>172</v>
      </c>
      <c r="D851" s="38" t="s">
        <v>170</v>
      </c>
      <c r="E851" s="38" t="str">
        <f aca="false">A851&amp;"|"&amp;C851&amp;"|"&amp;D851</f>
        <v>54|A|C</v>
      </c>
      <c r="F851" s="43" t="n">
        <v>0</v>
      </c>
      <c r="G851" s="38" t="n">
        <f aca="false">SUMIFS($F$2:$F$1137,$A$2:$A$1137,A851,$C$2:$C$1137,C851)</f>
        <v>2</v>
      </c>
      <c r="H851" s="43" t="n">
        <v>1</v>
      </c>
      <c r="I851" s="45" t="n">
        <f aca="false">IF(G851=0,"",F851/G851)</f>
        <v>0</v>
      </c>
      <c r="J851" s="45" t="n">
        <f aca="false">K851/L851</f>
        <v>0.166666666666667</v>
      </c>
      <c r="K851" s="38" t="n">
        <f aca="false">F851+H851</f>
        <v>1</v>
      </c>
      <c r="L851" s="38" t="n">
        <f aca="false">G851+4*H851</f>
        <v>6</v>
      </c>
      <c r="M851" s="38" t="s">
        <v>619</v>
      </c>
      <c r="N851" s="38" t="n">
        <f aca="false">ROUND(SUMIFS($J$2:$J$1137,$A$2:$A$1137,A851,$C$2:$C$1137,C851),9)</f>
        <v>1</v>
      </c>
    </row>
    <row r="852" customFormat="false" ht="15" hidden="false" customHeight="true" outlineLevel="0" collapsed="false">
      <c r="A852" s="38" t="n">
        <v>54</v>
      </c>
      <c r="B852" s="38" t="s">
        <v>672</v>
      </c>
      <c r="C852" s="38" t="s">
        <v>172</v>
      </c>
      <c r="D852" s="38" t="s">
        <v>169</v>
      </c>
      <c r="E852" s="38" t="str">
        <f aca="false">A852&amp;"|"&amp;C852&amp;"|"&amp;D852</f>
        <v>54|A|G</v>
      </c>
      <c r="F852" s="43" t="n">
        <v>0</v>
      </c>
      <c r="G852" s="38" t="n">
        <f aca="false">SUMIFS($F$2:$F$1137,$A$2:$A$1137,A852,$C$2:$C$1137,C852)</f>
        <v>2</v>
      </c>
      <c r="H852" s="43" t="n">
        <v>1</v>
      </c>
      <c r="I852" s="45" t="n">
        <f aca="false">IF(G852=0,"",F852/G852)</f>
        <v>0</v>
      </c>
      <c r="J852" s="45" t="n">
        <f aca="false">K852/L852</f>
        <v>0.166666666666667</v>
      </c>
      <c r="K852" s="38" t="n">
        <f aca="false">F852+H852</f>
        <v>1</v>
      </c>
      <c r="L852" s="38" t="n">
        <f aca="false">G852+4*H852</f>
        <v>6</v>
      </c>
      <c r="M852" s="38" t="s">
        <v>619</v>
      </c>
      <c r="N852" s="38" t="n">
        <f aca="false">ROUND(SUMIFS($J$2:$J$1137,$A$2:$A$1137,A852,$C$2:$C$1137,C852),9)</f>
        <v>1</v>
      </c>
    </row>
    <row r="853" customFormat="false" ht="15" hidden="false" customHeight="true" outlineLevel="0" collapsed="false">
      <c r="A853" s="38" t="n">
        <v>54</v>
      </c>
      <c r="B853" s="38" t="s">
        <v>672</v>
      </c>
      <c r="C853" s="38" t="s">
        <v>172</v>
      </c>
      <c r="D853" s="38" t="s">
        <v>171</v>
      </c>
      <c r="E853" s="38" t="str">
        <f aca="false">A853&amp;"|"&amp;C853&amp;"|"&amp;D853</f>
        <v>54|A|U</v>
      </c>
      <c r="F853" s="43" t="n">
        <v>2</v>
      </c>
      <c r="G853" s="38" t="n">
        <f aca="false">SUMIFS($F$2:$F$1137,$A$2:$A$1137,A853,$C$2:$C$1137,C853)</f>
        <v>2</v>
      </c>
      <c r="H853" s="43" t="n">
        <v>1</v>
      </c>
      <c r="I853" s="45" t="n">
        <f aca="false">IF(G853=0,"",F853/G853)</f>
        <v>1</v>
      </c>
      <c r="J853" s="45" t="n">
        <f aca="false">K853/L853</f>
        <v>0.5</v>
      </c>
      <c r="K853" s="38" t="n">
        <f aca="false">F853+H853</f>
        <v>3</v>
      </c>
      <c r="L853" s="38" t="n">
        <f aca="false">G853+4*H853</f>
        <v>6</v>
      </c>
      <c r="M853" s="38" t="s">
        <v>619</v>
      </c>
      <c r="N853" s="38" t="n">
        <f aca="false">ROUND(SUMIFS($J$2:$J$1137,$A$2:$A$1137,A853,$C$2:$C$1137,C853),9)</f>
        <v>1</v>
      </c>
    </row>
    <row r="854" customFormat="false" ht="15" hidden="false" customHeight="true" outlineLevel="0" collapsed="false">
      <c r="A854" s="38" t="n">
        <v>54</v>
      </c>
      <c r="B854" s="38" t="s">
        <v>672</v>
      </c>
      <c r="C854" s="38" t="s">
        <v>170</v>
      </c>
      <c r="D854" s="38" t="s">
        <v>172</v>
      </c>
      <c r="E854" s="38" t="str">
        <f aca="false">A854&amp;"|"&amp;C854&amp;"|"&amp;D854</f>
        <v>54|C|A</v>
      </c>
      <c r="F854" s="43" t="n">
        <v>0</v>
      </c>
      <c r="G854" s="38" t="n">
        <f aca="false">SUMIFS($F$2:$F$1137,$A$2:$A$1137,A854,$C$2:$C$1137,C854)</f>
        <v>0</v>
      </c>
      <c r="H854" s="43" t="n">
        <v>1</v>
      </c>
      <c r="I854" s="45" t="str">
        <f aca="false">IF(G854=0,"",F854/G854)</f>
        <v/>
      </c>
      <c r="J854" s="45" t="n">
        <f aca="false">K854/L854</f>
        <v>0.25</v>
      </c>
      <c r="K854" s="38" t="n">
        <f aca="false">F854+H854</f>
        <v>1</v>
      </c>
      <c r="L854" s="38" t="n">
        <f aca="false">G854+4*H854</f>
        <v>4</v>
      </c>
      <c r="M854" s="38" t="s">
        <v>619</v>
      </c>
      <c r="N854" s="38" t="n">
        <f aca="false">ROUND(SUMIFS($J$2:$J$1137,$A$2:$A$1137,A854,$C$2:$C$1137,C854),9)</f>
        <v>1</v>
      </c>
    </row>
    <row r="855" customFormat="false" ht="15" hidden="false" customHeight="true" outlineLevel="0" collapsed="false">
      <c r="A855" s="38" t="n">
        <v>54</v>
      </c>
      <c r="B855" s="38" t="s">
        <v>672</v>
      </c>
      <c r="C855" s="38" t="s">
        <v>170</v>
      </c>
      <c r="D855" s="38" t="s">
        <v>170</v>
      </c>
      <c r="E855" s="38" t="str">
        <f aca="false">A855&amp;"|"&amp;C855&amp;"|"&amp;D855</f>
        <v>54|C|C</v>
      </c>
      <c r="F855" s="43" t="n">
        <v>0</v>
      </c>
      <c r="G855" s="38" t="n">
        <f aca="false">SUMIFS($F$2:$F$1137,$A$2:$A$1137,A855,$C$2:$C$1137,C855)</f>
        <v>0</v>
      </c>
      <c r="H855" s="43" t="n">
        <v>1</v>
      </c>
      <c r="I855" s="45" t="str">
        <f aca="false">IF(G855=0,"",F855/G855)</f>
        <v/>
      </c>
      <c r="J855" s="45" t="n">
        <f aca="false">K855/L855</f>
        <v>0.25</v>
      </c>
      <c r="K855" s="38" t="n">
        <f aca="false">F855+H855</f>
        <v>1</v>
      </c>
      <c r="L855" s="38" t="n">
        <f aca="false">G855+4*H855</f>
        <v>4</v>
      </c>
      <c r="M855" s="38" t="s">
        <v>619</v>
      </c>
      <c r="N855" s="38" t="n">
        <f aca="false">ROUND(SUMIFS($J$2:$J$1137,$A$2:$A$1137,A855,$C$2:$C$1137,C855),9)</f>
        <v>1</v>
      </c>
    </row>
    <row r="856" customFormat="false" ht="15" hidden="false" customHeight="true" outlineLevel="0" collapsed="false">
      <c r="A856" s="38" t="n">
        <v>54</v>
      </c>
      <c r="B856" s="38" t="s">
        <v>672</v>
      </c>
      <c r="C856" s="38" t="s">
        <v>170</v>
      </c>
      <c r="D856" s="38" t="s">
        <v>169</v>
      </c>
      <c r="E856" s="38" t="str">
        <f aca="false">A856&amp;"|"&amp;C856&amp;"|"&amp;D856</f>
        <v>54|C|G</v>
      </c>
      <c r="F856" s="43" t="n">
        <v>0</v>
      </c>
      <c r="G856" s="38" t="n">
        <f aca="false">SUMIFS($F$2:$F$1137,$A$2:$A$1137,A856,$C$2:$C$1137,C856)</f>
        <v>0</v>
      </c>
      <c r="H856" s="43" t="n">
        <v>1</v>
      </c>
      <c r="I856" s="45" t="str">
        <f aca="false">IF(G856=0,"",F856/G856)</f>
        <v/>
      </c>
      <c r="J856" s="45" t="n">
        <f aca="false">K856/L856</f>
        <v>0.25</v>
      </c>
      <c r="K856" s="38" t="n">
        <f aca="false">F856+H856</f>
        <v>1</v>
      </c>
      <c r="L856" s="38" t="n">
        <f aca="false">G856+4*H856</f>
        <v>4</v>
      </c>
      <c r="M856" s="38" t="s">
        <v>619</v>
      </c>
      <c r="N856" s="38" t="n">
        <f aca="false">ROUND(SUMIFS($J$2:$J$1137,$A$2:$A$1137,A856,$C$2:$C$1137,C856),9)</f>
        <v>1</v>
      </c>
    </row>
    <row r="857" customFormat="false" ht="15" hidden="false" customHeight="true" outlineLevel="0" collapsed="false">
      <c r="A857" s="38" t="n">
        <v>54</v>
      </c>
      <c r="B857" s="38" t="s">
        <v>672</v>
      </c>
      <c r="C857" s="38" t="s">
        <v>170</v>
      </c>
      <c r="D857" s="38" t="s">
        <v>171</v>
      </c>
      <c r="E857" s="38" t="str">
        <f aca="false">A857&amp;"|"&amp;C857&amp;"|"&amp;D857</f>
        <v>54|C|U</v>
      </c>
      <c r="F857" s="43" t="n">
        <v>0</v>
      </c>
      <c r="G857" s="38" t="n">
        <f aca="false">SUMIFS($F$2:$F$1137,$A$2:$A$1137,A857,$C$2:$C$1137,C857)</f>
        <v>0</v>
      </c>
      <c r="H857" s="43" t="n">
        <v>1</v>
      </c>
      <c r="I857" s="45" t="str">
        <f aca="false">IF(G857=0,"",F857/G857)</f>
        <v/>
      </c>
      <c r="J857" s="45" t="n">
        <f aca="false">K857/L857</f>
        <v>0.25</v>
      </c>
      <c r="K857" s="38" t="n">
        <f aca="false">F857+H857</f>
        <v>1</v>
      </c>
      <c r="L857" s="38" t="n">
        <f aca="false">G857+4*H857</f>
        <v>4</v>
      </c>
      <c r="M857" s="38" t="s">
        <v>619</v>
      </c>
      <c r="N857" s="38" t="n">
        <f aca="false">ROUND(SUMIFS($J$2:$J$1137,$A$2:$A$1137,A857,$C$2:$C$1137,C857),9)</f>
        <v>1</v>
      </c>
    </row>
    <row r="858" customFormat="false" ht="15" hidden="false" customHeight="true" outlineLevel="0" collapsed="false">
      <c r="A858" s="38" t="n">
        <v>54</v>
      </c>
      <c r="B858" s="38" t="s">
        <v>672</v>
      </c>
      <c r="C858" s="38" t="s">
        <v>169</v>
      </c>
      <c r="D858" s="38" t="s">
        <v>172</v>
      </c>
      <c r="E858" s="38" t="str">
        <f aca="false">A858&amp;"|"&amp;C858&amp;"|"&amp;D858</f>
        <v>54|G|A</v>
      </c>
      <c r="F858" s="43" t="n">
        <v>0</v>
      </c>
      <c r="G858" s="38" t="n">
        <f aca="false">SUMIFS($F$2:$F$1137,$A$2:$A$1137,A858,$C$2:$C$1137,C858)</f>
        <v>0</v>
      </c>
      <c r="H858" s="43" t="n">
        <v>1</v>
      </c>
      <c r="I858" s="45" t="str">
        <f aca="false">IF(G858=0,"",F858/G858)</f>
        <v/>
      </c>
      <c r="J858" s="45" t="n">
        <f aca="false">K858/L858</f>
        <v>0.25</v>
      </c>
      <c r="K858" s="38" t="n">
        <f aca="false">F858+H858</f>
        <v>1</v>
      </c>
      <c r="L858" s="38" t="n">
        <f aca="false">G858+4*H858</f>
        <v>4</v>
      </c>
      <c r="M858" s="38" t="s">
        <v>619</v>
      </c>
      <c r="N858" s="38" t="n">
        <f aca="false">ROUND(SUMIFS($J$2:$J$1137,$A$2:$A$1137,A858,$C$2:$C$1137,C858),9)</f>
        <v>1</v>
      </c>
    </row>
    <row r="859" customFormat="false" ht="15" hidden="false" customHeight="true" outlineLevel="0" collapsed="false">
      <c r="A859" s="38" t="n">
        <v>54</v>
      </c>
      <c r="B859" s="38" t="s">
        <v>672</v>
      </c>
      <c r="C859" s="38" t="s">
        <v>169</v>
      </c>
      <c r="D859" s="38" t="s">
        <v>170</v>
      </c>
      <c r="E859" s="38" t="str">
        <f aca="false">A859&amp;"|"&amp;C859&amp;"|"&amp;D859</f>
        <v>54|G|C</v>
      </c>
      <c r="F859" s="43" t="n">
        <v>0</v>
      </c>
      <c r="G859" s="38" t="n">
        <f aca="false">SUMIFS($F$2:$F$1137,$A$2:$A$1137,A859,$C$2:$C$1137,C859)</f>
        <v>0</v>
      </c>
      <c r="H859" s="43" t="n">
        <v>1</v>
      </c>
      <c r="I859" s="45" t="str">
        <f aca="false">IF(G859=0,"",F859/G859)</f>
        <v/>
      </c>
      <c r="J859" s="45" t="n">
        <f aca="false">K859/L859</f>
        <v>0.25</v>
      </c>
      <c r="K859" s="38" t="n">
        <f aca="false">F859+H859</f>
        <v>1</v>
      </c>
      <c r="L859" s="38" t="n">
        <f aca="false">G859+4*H859</f>
        <v>4</v>
      </c>
      <c r="M859" s="38" t="s">
        <v>619</v>
      </c>
      <c r="N859" s="38" t="n">
        <f aca="false">ROUND(SUMIFS($J$2:$J$1137,$A$2:$A$1137,A859,$C$2:$C$1137,C859),9)</f>
        <v>1</v>
      </c>
    </row>
    <row r="860" customFormat="false" ht="15" hidden="false" customHeight="true" outlineLevel="0" collapsed="false">
      <c r="A860" s="38" t="n">
        <v>54</v>
      </c>
      <c r="B860" s="38" t="s">
        <v>672</v>
      </c>
      <c r="C860" s="38" t="s">
        <v>169</v>
      </c>
      <c r="D860" s="38" t="s">
        <v>169</v>
      </c>
      <c r="E860" s="38" t="str">
        <f aca="false">A860&amp;"|"&amp;C860&amp;"|"&amp;D860</f>
        <v>54|G|G</v>
      </c>
      <c r="F860" s="43" t="n">
        <v>0</v>
      </c>
      <c r="G860" s="38" t="n">
        <f aca="false">SUMIFS($F$2:$F$1137,$A$2:$A$1137,A860,$C$2:$C$1137,C860)</f>
        <v>0</v>
      </c>
      <c r="H860" s="43" t="n">
        <v>1</v>
      </c>
      <c r="I860" s="45" t="str">
        <f aca="false">IF(G860=0,"",F860/G860)</f>
        <v/>
      </c>
      <c r="J860" s="45" t="n">
        <f aca="false">K860/L860</f>
        <v>0.25</v>
      </c>
      <c r="K860" s="38" t="n">
        <f aca="false">F860+H860</f>
        <v>1</v>
      </c>
      <c r="L860" s="38" t="n">
        <f aca="false">G860+4*H860</f>
        <v>4</v>
      </c>
      <c r="M860" s="38" t="s">
        <v>619</v>
      </c>
      <c r="N860" s="38" t="n">
        <f aca="false">ROUND(SUMIFS($J$2:$J$1137,$A$2:$A$1137,A860,$C$2:$C$1137,C860),9)</f>
        <v>1</v>
      </c>
    </row>
    <row r="861" customFormat="false" ht="15" hidden="false" customHeight="true" outlineLevel="0" collapsed="false">
      <c r="A861" s="38" t="n">
        <v>54</v>
      </c>
      <c r="B861" s="38" t="s">
        <v>672</v>
      </c>
      <c r="C861" s="38" t="s">
        <v>169</v>
      </c>
      <c r="D861" s="38" t="s">
        <v>171</v>
      </c>
      <c r="E861" s="38" t="str">
        <f aca="false">A861&amp;"|"&amp;C861&amp;"|"&amp;D861</f>
        <v>54|G|U</v>
      </c>
      <c r="F861" s="43" t="n">
        <v>0</v>
      </c>
      <c r="G861" s="38" t="n">
        <f aca="false">SUMIFS($F$2:$F$1137,$A$2:$A$1137,A861,$C$2:$C$1137,C861)</f>
        <v>0</v>
      </c>
      <c r="H861" s="43" t="n">
        <v>1</v>
      </c>
      <c r="I861" s="45" t="str">
        <f aca="false">IF(G861=0,"",F861/G861)</f>
        <v/>
      </c>
      <c r="J861" s="45" t="n">
        <f aca="false">K861/L861</f>
        <v>0.25</v>
      </c>
      <c r="K861" s="38" t="n">
        <f aca="false">F861+H861</f>
        <v>1</v>
      </c>
      <c r="L861" s="38" t="n">
        <f aca="false">G861+4*H861</f>
        <v>4</v>
      </c>
      <c r="M861" s="38" t="s">
        <v>619</v>
      </c>
      <c r="N861" s="38" t="n">
        <f aca="false">ROUND(SUMIFS($J$2:$J$1137,$A$2:$A$1137,A861,$C$2:$C$1137,C861),9)</f>
        <v>1</v>
      </c>
    </row>
    <row r="862" customFormat="false" ht="15" hidden="false" customHeight="true" outlineLevel="0" collapsed="false">
      <c r="A862" s="38" t="n">
        <v>54</v>
      </c>
      <c r="B862" s="38" t="s">
        <v>672</v>
      </c>
      <c r="C862" s="38" t="s">
        <v>171</v>
      </c>
      <c r="D862" s="38" t="s">
        <v>172</v>
      </c>
      <c r="E862" s="38" t="str">
        <f aca="false">A862&amp;"|"&amp;C862&amp;"|"&amp;D862</f>
        <v>54|U|A</v>
      </c>
      <c r="F862" s="43" t="n">
        <v>1</v>
      </c>
      <c r="G862" s="38" t="n">
        <f aca="false">SUMIFS($F$2:$F$1137,$A$2:$A$1137,A862,$C$2:$C$1137,C862)</f>
        <v>197</v>
      </c>
      <c r="H862" s="43" t="n">
        <v>1</v>
      </c>
      <c r="I862" s="45" t="n">
        <f aca="false">IF(G862=0,"",F862/G862)</f>
        <v>0.0050761421319797</v>
      </c>
      <c r="J862" s="45" t="n">
        <f aca="false">K862/L862</f>
        <v>0.00995024875621891</v>
      </c>
      <c r="K862" s="38" t="n">
        <f aca="false">F862+H862</f>
        <v>2</v>
      </c>
      <c r="L862" s="38" t="n">
        <f aca="false">G862+4*H862</f>
        <v>201</v>
      </c>
      <c r="M862" s="38" t="s">
        <v>619</v>
      </c>
      <c r="N862" s="38" t="n">
        <f aca="false">ROUND(SUMIFS($J$2:$J$1137,$A$2:$A$1137,A862,$C$2:$C$1137,C862),9)</f>
        <v>1</v>
      </c>
    </row>
    <row r="863" customFormat="false" ht="15" hidden="false" customHeight="true" outlineLevel="0" collapsed="false">
      <c r="A863" s="38" t="n">
        <v>54</v>
      </c>
      <c r="B863" s="38" t="s">
        <v>672</v>
      </c>
      <c r="C863" s="38" t="s">
        <v>171</v>
      </c>
      <c r="D863" s="38" t="s">
        <v>170</v>
      </c>
      <c r="E863" s="38" t="str">
        <f aca="false">A863&amp;"|"&amp;C863&amp;"|"&amp;D863</f>
        <v>54|U|C</v>
      </c>
      <c r="F863" s="43" t="n">
        <v>1</v>
      </c>
      <c r="G863" s="38" t="n">
        <f aca="false">SUMIFS($F$2:$F$1137,$A$2:$A$1137,A863,$C$2:$C$1137,C863)</f>
        <v>197</v>
      </c>
      <c r="H863" s="43" t="n">
        <v>1</v>
      </c>
      <c r="I863" s="45" t="n">
        <f aca="false">IF(G863=0,"",F863/G863)</f>
        <v>0.0050761421319797</v>
      </c>
      <c r="J863" s="45" t="n">
        <f aca="false">K863/L863</f>
        <v>0.00995024875621891</v>
      </c>
      <c r="K863" s="38" t="n">
        <f aca="false">F863+H863</f>
        <v>2</v>
      </c>
      <c r="L863" s="38" t="n">
        <f aca="false">G863+4*H863</f>
        <v>201</v>
      </c>
      <c r="M863" s="38" t="s">
        <v>619</v>
      </c>
      <c r="N863" s="38" t="n">
        <f aca="false">ROUND(SUMIFS($J$2:$J$1137,$A$2:$A$1137,A863,$C$2:$C$1137,C863),9)</f>
        <v>1</v>
      </c>
    </row>
    <row r="864" customFormat="false" ht="15" hidden="false" customHeight="true" outlineLevel="0" collapsed="false">
      <c r="A864" s="38" t="n">
        <v>54</v>
      </c>
      <c r="B864" s="38" t="s">
        <v>672</v>
      </c>
      <c r="C864" s="38" t="s">
        <v>171</v>
      </c>
      <c r="D864" s="38" t="s">
        <v>169</v>
      </c>
      <c r="E864" s="38" t="str">
        <f aca="false">A864&amp;"|"&amp;C864&amp;"|"&amp;D864</f>
        <v>54|U|G</v>
      </c>
      <c r="F864" s="43" t="n">
        <v>1</v>
      </c>
      <c r="G864" s="38" t="n">
        <f aca="false">SUMIFS($F$2:$F$1137,$A$2:$A$1137,A864,$C$2:$C$1137,C864)</f>
        <v>197</v>
      </c>
      <c r="H864" s="43" t="n">
        <v>1</v>
      </c>
      <c r="I864" s="45" t="n">
        <f aca="false">IF(G864=0,"",F864/G864)</f>
        <v>0.0050761421319797</v>
      </c>
      <c r="J864" s="45" t="n">
        <f aca="false">K864/L864</f>
        <v>0.00995024875621891</v>
      </c>
      <c r="K864" s="38" t="n">
        <f aca="false">F864+H864</f>
        <v>2</v>
      </c>
      <c r="L864" s="38" t="n">
        <f aca="false">G864+4*H864</f>
        <v>201</v>
      </c>
      <c r="M864" s="38" t="s">
        <v>619</v>
      </c>
      <c r="N864" s="38" t="n">
        <f aca="false">ROUND(SUMIFS($J$2:$J$1137,$A$2:$A$1137,A864,$C$2:$C$1137,C864),9)</f>
        <v>1</v>
      </c>
    </row>
    <row r="865" customFormat="false" ht="15" hidden="false" customHeight="true" outlineLevel="0" collapsed="false">
      <c r="A865" s="38" t="n">
        <v>54</v>
      </c>
      <c r="B865" s="38" t="s">
        <v>672</v>
      </c>
      <c r="C865" s="38" t="s">
        <v>171</v>
      </c>
      <c r="D865" s="38" t="s">
        <v>171</v>
      </c>
      <c r="E865" s="38" t="str">
        <f aca="false">A865&amp;"|"&amp;C865&amp;"|"&amp;D865</f>
        <v>54|U|U</v>
      </c>
      <c r="F865" s="43" t="n">
        <v>194</v>
      </c>
      <c r="G865" s="38" t="n">
        <f aca="false">SUMIFS($F$2:$F$1137,$A$2:$A$1137,A865,$C$2:$C$1137,C865)</f>
        <v>197</v>
      </c>
      <c r="H865" s="43" t="n">
        <v>1</v>
      </c>
      <c r="I865" s="45" t="n">
        <f aca="false">IF(G865=0,"",F865/G865)</f>
        <v>0.984771573604061</v>
      </c>
      <c r="J865" s="45" t="n">
        <f aca="false">K865/L865</f>
        <v>0.970149253731343</v>
      </c>
      <c r="K865" s="38" t="n">
        <f aca="false">F865+H865</f>
        <v>195</v>
      </c>
      <c r="L865" s="38" t="n">
        <f aca="false">G865+4*H865</f>
        <v>201</v>
      </c>
      <c r="M865" s="38" t="s">
        <v>619</v>
      </c>
      <c r="N865" s="38" t="n">
        <f aca="false">ROUND(SUMIFS($J$2:$J$1137,$A$2:$A$1137,A865,$C$2:$C$1137,C865),9)</f>
        <v>1</v>
      </c>
    </row>
    <row r="866" customFormat="false" ht="15" hidden="false" customHeight="true" outlineLevel="0" collapsed="false">
      <c r="A866" s="38" t="n">
        <v>55</v>
      </c>
      <c r="B866" s="38" t="s">
        <v>673</v>
      </c>
      <c r="C866" s="38" t="s">
        <v>172</v>
      </c>
      <c r="D866" s="38" t="s">
        <v>172</v>
      </c>
      <c r="E866" s="38" t="str">
        <f aca="false">A866&amp;"|"&amp;C866&amp;"|"&amp;D866</f>
        <v>55|A|A</v>
      </c>
      <c r="F866" s="43" t="n">
        <v>1</v>
      </c>
      <c r="G866" s="38" t="n">
        <f aca="false">SUMIFS($F$2:$F$1137,$A$2:$A$1137,A866,$C$2:$C$1137,C866)</f>
        <v>1</v>
      </c>
      <c r="H866" s="43" t="n">
        <v>1</v>
      </c>
      <c r="I866" s="45" t="n">
        <f aca="false">IF(G866=0,"",F866/G866)</f>
        <v>1</v>
      </c>
      <c r="J866" s="45" t="n">
        <f aca="false">K866/L866</f>
        <v>0.4</v>
      </c>
      <c r="K866" s="38" t="n">
        <f aca="false">F866+H866</f>
        <v>2</v>
      </c>
      <c r="L866" s="38" t="n">
        <f aca="false">G866+4*H866</f>
        <v>5</v>
      </c>
      <c r="M866" s="38" t="s">
        <v>619</v>
      </c>
      <c r="N866" s="38" t="n">
        <f aca="false">ROUND(SUMIFS($J$2:$J$1137,$A$2:$A$1137,A866,$C$2:$C$1137,C866),9)</f>
        <v>1</v>
      </c>
    </row>
    <row r="867" customFormat="false" ht="15" hidden="false" customHeight="true" outlineLevel="0" collapsed="false">
      <c r="A867" s="38" t="n">
        <v>55</v>
      </c>
      <c r="B867" s="38" t="s">
        <v>673</v>
      </c>
      <c r="C867" s="38" t="s">
        <v>172</v>
      </c>
      <c r="D867" s="38" t="s">
        <v>170</v>
      </c>
      <c r="E867" s="38" t="str">
        <f aca="false">A867&amp;"|"&amp;C867&amp;"|"&amp;D867</f>
        <v>55|A|C</v>
      </c>
      <c r="F867" s="43" t="n">
        <v>0</v>
      </c>
      <c r="G867" s="38" t="n">
        <f aca="false">SUMIFS($F$2:$F$1137,$A$2:$A$1137,A867,$C$2:$C$1137,C867)</f>
        <v>1</v>
      </c>
      <c r="H867" s="43" t="n">
        <v>1</v>
      </c>
      <c r="I867" s="45" t="n">
        <f aca="false">IF(G867=0,"",F867/G867)</f>
        <v>0</v>
      </c>
      <c r="J867" s="45" t="n">
        <f aca="false">K867/L867</f>
        <v>0.2</v>
      </c>
      <c r="K867" s="38" t="n">
        <f aca="false">F867+H867</f>
        <v>1</v>
      </c>
      <c r="L867" s="38" t="n">
        <f aca="false">G867+4*H867</f>
        <v>5</v>
      </c>
      <c r="M867" s="38" t="s">
        <v>619</v>
      </c>
      <c r="N867" s="38" t="n">
        <f aca="false">ROUND(SUMIFS($J$2:$J$1137,$A$2:$A$1137,A867,$C$2:$C$1137,C867),9)</f>
        <v>1</v>
      </c>
    </row>
    <row r="868" customFormat="false" ht="15" hidden="false" customHeight="true" outlineLevel="0" collapsed="false">
      <c r="A868" s="38" t="n">
        <v>55</v>
      </c>
      <c r="B868" s="38" t="s">
        <v>673</v>
      </c>
      <c r="C868" s="38" t="s">
        <v>172</v>
      </c>
      <c r="D868" s="38" t="s">
        <v>169</v>
      </c>
      <c r="E868" s="38" t="str">
        <f aca="false">A868&amp;"|"&amp;C868&amp;"|"&amp;D868</f>
        <v>55|A|G</v>
      </c>
      <c r="F868" s="43" t="n">
        <v>0</v>
      </c>
      <c r="G868" s="38" t="n">
        <f aca="false">SUMIFS($F$2:$F$1137,$A$2:$A$1137,A868,$C$2:$C$1137,C868)</f>
        <v>1</v>
      </c>
      <c r="H868" s="43" t="n">
        <v>1</v>
      </c>
      <c r="I868" s="45" t="n">
        <f aca="false">IF(G868=0,"",F868/G868)</f>
        <v>0</v>
      </c>
      <c r="J868" s="45" t="n">
        <f aca="false">K868/L868</f>
        <v>0.2</v>
      </c>
      <c r="K868" s="38" t="n">
        <f aca="false">F868+H868</f>
        <v>1</v>
      </c>
      <c r="L868" s="38" t="n">
        <f aca="false">G868+4*H868</f>
        <v>5</v>
      </c>
      <c r="M868" s="38" t="s">
        <v>619</v>
      </c>
      <c r="N868" s="38" t="n">
        <f aca="false">ROUND(SUMIFS($J$2:$J$1137,$A$2:$A$1137,A868,$C$2:$C$1137,C868),9)</f>
        <v>1</v>
      </c>
    </row>
    <row r="869" customFormat="false" ht="15" hidden="false" customHeight="true" outlineLevel="0" collapsed="false">
      <c r="A869" s="38" t="n">
        <v>55</v>
      </c>
      <c r="B869" s="38" t="s">
        <v>673</v>
      </c>
      <c r="C869" s="38" t="s">
        <v>172</v>
      </c>
      <c r="D869" s="38" t="s">
        <v>171</v>
      </c>
      <c r="E869" s="38" t="str">
        <f aca="false">A869&amp;"|"&amp;C869&amp;"|"&amp;D869</f>
        <v>55|A|U</v>
      </c>
      <c r="F869" s="43" t="n">
        <v>0</v>
      </c>
      <c r="G869" s="38" t="n">
        <f aca="false">SUMIFS($F$2:$F$1137,$A$2:$A$1137,A869,$C$2:$C$1137,C869)</f>
        <v>1</v>
      </c>
      <c r="H869" s="43" t="n">
        <v>1</v>
      </c>
      <c r="I869" s="45" t="n">
        <f aca="false">IF(G869=0,"",F869/G869)</f>
        <v>0</v>
      </c>
      <c r="J869" s="45" t="n">
        <f aca="false">K869/L869</f>
        <v>0.2</v>
      </c>
      <c r="K869" s="38" t="n">
        <f aca="false">F869+H869</f>
        <v>1</v>
      </c>
      <c r="L869" s="38" t="n">
        <f aca="false">G869+4*H869</f>
        <v>5</v>
      </c>
      <c r="M869" s="38" t="s">
        <v>619</v>
      </c>
      <c r="N869" s="38" t="n">
        <f aca="false">ROUND(SUMIFS($J$2:$J$1137,$A$2:$A$1137,A869,$C$2:$C$1137,C869),9)</f>
        <v>1</v>
      </c>
    </row>
    <row r="870" customFormat="false" ht="15" hidden="false" customHeight="true" outlineLevel="0" collapsed="false">
      <c r="A870" s="38" t="n">
        <v>55</v>
      </c>
      <c r="B870" s="38" t="s">
        <v>673</v>
      </c>
      <c r="C870" s="38" t="s">
        <v>170</v>
      </c>
      <c r="D870" s="38" t="s">
        <v>172</v>
      </c>
      <c r="E870" s="38" t="str">
        <f aca="false">A870&amp;"|"&amp;C870&amp;"|"&amp;D870</f>
        <v>55|C|A</v>
      </c>
      <c r="F870" s="43" t="n">
        <v>0</v>
      </c>
      <c r="G870" s="38" t="n">
        <f aca="false">SUMIFS($F$2:$F$1137,$A$2:$A$1137,A870,$C$2:$C$1137,C870)</f>
        <v>1</v>
      </c>
      <c r="H870" s="43" t="n">
        <v>1</v>
      </c>
      <c r="I870" s="45" t="n">
        <f aca="false">IF(G870=0,"",F870/G870)</f>
        <v>0</v>
      </c>
      <c r="J870" s="45" t="n">
        <f aca="false">K870/L870</f>
        <v>0.2</v>
      </c>
      <c r="K870" s="38" t="n">
        <f aca="false">F870+H870</f>
        <v>1</v>
      </c>
      <c r="L870" s="38" t="n">
        <f aca="false">G870+4*H870</f>
        <v>5</v>
      </c>
      <c r="M870" s="38" t="s">
        <v>619</v>
      </c>
      <c r="N870" s="38" t="n">
        <f aca="false">ROUND(SUMIFS($J$2:$J$1137,$A$2:$A$1137,A870,$C$2:$C$1137,C870),9)</f>
        <v>1</v>
      </c>
    </row>
    <row r="871" customFormat="false" ht="15" hidden="false" customHeight="true" outlineLevel="0" collapsed="false">
      <c r="A871" s="38" t="n">
        <v>55</v>
      </c>
      <c r="B871" s="38" t="s">
        <v>673</v>
      </c>
      <c r="C871" s="38" t="s">
        <v>170</v>
      </c>
      <c r="D871" s="38" t="s">
        <v>170</v>
      </c>
      <c r="E871" s="38" t="str">
        <f aca="false">A871&amp;"|"&amp;C871&amp;"|"&amp;D871</f>
        <v>55|C|C</v>
      </c>
      <c r="F871" s="43" t="n">
        <v>0</v>
      </c>
      <c r="G871" s="38" t="n">
        <f aca="false">SUMIFS($F$2:$F$1137,$A$2:$A$1137,A871,$C$2:$C$1137,C871)</f>
        <v>1</v>
      </c>
      <c r="H871" s="43" t="n">
        <v>1</v>
      </c>
      <c r="I871" s="45" t="n">
        <f aca="false">IF(G871=0,"",F871/G871)</f>
        <v>0</v>
      </c>
      <c r="J871" s="45" t="n">
        <f aca="false">K871/L871</f>
        <v>0.2</v>
      </c>
      <c r="K871" s="38" t="n">
        <f aca="false">F871+H871</f>
        <v>1</v>
      </c>
      <c r="L871" s="38" t="n">
        <f aca="false">G871+4*H871</f>
        <v>5</v>
      </c>
      <c r="M871" s="38" t="s">
        <v>619</v>
      </c>
      <c r="N871" s="38" t="n">
        <f aca="false">ROUND(SUMIFS($J$2:$J$1137,$A$2:$A$1137,A871,$C$2:$C$1137,C871),9)</f>
        <v>1</v>
      </c>
    </row>
    <row r="872" customFormat="false" ht="15" hidden="false" customHeight="true" outlineLevel="0" collapsed="false">
      <c r="A872" s="38" t="n">
        <v>55</v>
      </c>
      <c r="B872" s="38" t="s">
        <v>673</v>
      </c>
      <c r="C872" s="38" t="s">
        <v>170</v>
      </c>
      <c r="D872" s="38" t="s">
        <v>169</v>
      </c>
      <c r="E872" s="38" t="str">
        <f aca="false">A872&amp;"|"&amp;C872&amp;"|"&amp;D872</f>
        <v>55|C|G</v>
      </c>
      <c r="F872" s="43" t="n">
        <v>1</v>
      </c>
      <c r="G872" s="38" t="n">
        <f aca="false">SUMIFS($F$2:$F$1137,$A$2:$A$1137,A872,$C$2:$C$1137,C872)</f>
        <v>1</v>
      </c>
      <c r="H872" s="43" t="n">
        <v>1</v>
      </c>
      <c r="I872" s="45" t="n">
        <f aca="false">IF(G872=0,"",F872/G872)</f>
        <v>1</v>
      </c>
      <c r="J872" s="45" t="n">
        <f aca="false">K872/L872</f>
        <v>0.4</v>
      </c>
      <c r="K872" s="38" t="n">
        <f aca="false">F872+H872</f>
        <v>2</v>
      </c>
      <c r="L872" s="38" t="n">
        <f aca="false">G872+4*H872</f>
        <v>5</v>
      </c>
      <c r="M872" s="38" t="s">
        <v>619</v>
      </c>
      <c r="N872" s="38" t="n">
        <f aca="false">ROUND(SUMIFS($J$2:$J$1137,$A$2:$A$1137,A872,$C$2:$C$1137,C872),9)</f>
        <v>1</v>
      </c>
    </row>
    <row r="873" customFormat="false" ht="15" hidden="false" customHeight="true" outlineLevel="0" collapsed="false">
      <c r="A873" s="38" t="n">
        <v>55</v>
      </c>
      <c r="B873" s="38" t="s">
        <v>673</v>
      </c>
      <c r="C873" s="38" t="s">
        <v>170</v>
      </c>
      <c r="D873" s="38" t="s">
        <v>171</v>
      </c>
      <c r="E873" s="38" t="str">
        <f aca="false">A873&amp;"|"&amp;C873&amp;"|"&amp;D873</f>
        <v>55|C|U</v>
      </c>
      <c r="F873" s="43" t="n">
        <v>0</v>
      </c>
      <c r="G873" s="38" t="n">
        <f aca="false">SUMIFS($F$2:$F$1137,$A$2:$A$1137,A873,$C$2:$C$1137,C873)</f>
        <v>1</v>
      </c>
      <c r="H873" s="43" t="n">
        <v>1</v>
      </c>
      <c r="I873" s="45" t="n">
        <f aca="false">IF(G873=0,"",F873/G873)</f>
        <v>0</v>
      </c>
      <c r="J873" s="45" t="n">
        <f aca="false">K873/L873</f>
        <v>0.2</v>
      </c>
      <c r="K873" s="38" t="n">
        <f aca="false">F873+H873</f>
        <v>1</v>
      </c>
      <c r="L873" s="38" t="n">
        <f aca="false">G873+4*H873</f>
        <v>5</v>
      </c>
      <c r="M873" s="38" t="s">
        <v>619</v>
      </c>
      <c r="N873" s="38" t="n">
        <f aca="false">ROUND(SUMIFS($J$2:$J$1137,$A$2:$A$1137,A873,$C$2:$C$1137,C873),9)</f>
        <v>1</v>
      </c>
    </row>
    <row r="874" customFormat="false" ht="15" hidden="false" customHeight="true" outlineLevel="0" collapsed="false">
      <c r="A874" s="38" t="n">
        <v>55</v>
      </c>
      <c r="B874" s="38" t="s">
        <v>673</v>
      </c>
      <c r="C874" s="38" t="s">
        <v>169</v>
      </c>
      <c r="D874" s="38" t="s">
        <v>172</v>
      </c>
      <c r="E874" s="38" t="str">
        <f aca="false">A874&amp;"|"&amp;C874&amp;"|"&amp;D874</f>
        <v>55|G|A</v>
      </c>
      <c r="F874" s="43" t="n">
        <v>0</v>
      </c>
      <c r="G874" s="38" t="n">
        <f aca="false">SUMIFS($F$2:$F$1137,$A$2:$A$1137,A874,$C$2:$C$1137,C874)</f>
        <v>1</v>
      </c>
      <c r="H874" s="43" t="n">
        <v>1</v>
      </c>
      <c r="I874" s="45" t="n">
        <f aca="false">IF(G874=0,"",F874/G874)</f>
        <v>0</v>
      </c>
      <c r="J874" s="45" t="n">
        <f aca="false">K874/L874</f>
        <v>0.2</v>
      </c>
      <c r="K874" s="38" t="n">
        <f aca="false">F874+H874</f>
        <v>1</v>
      </c>
      <c r="L874" s="38" t="n">
        <f aca="false">G874+4*H874</f>
        <v>5</v>
      </c>
      <c r="M874" s="38" t="s">
        <v>619</v>
      </c>
      <c r="N874" s="38" t="n">
        <f aca="false">ROUND(SUMIFS($J$2:$J$1137,$A$2:$A$1137,A874,$C$2:$C$1137,C874),9)</f>
        <v>1</v>
      </c>
    </row>
    <row r="875" customFormat="false" ht="15" hidden="false" customHeight="true" outlineLevel="0" collapsed="false">
      <c r="A875" s="38" t="n">
        <v>55</v>
      </c>
      <c r="B875" s="38" t="s">
        <v>673</v>
      </c>
      <c r="C875" s="38" t="s">
        <v>169</v>
      </c>
      <c r="D875" s="38" t="s">
        <v>170</v>
      </c>
      <c r="E875" s="38" t="str">
        <f aca="false">A875&amp;"|"&amp;C875&amp;"|"&amp;D875</f>
        <v>55|G|C</v>
      </c>
      <c r="F875" s="43" t="n">
        <v>1</v>
      </c>
      <c r="G875" s="38" t="n">
        <f aca="false">SUMIFS($F$2:$F$1137,$A$2:$A$1137,A875,$C$2:$C$1137,C875)</f>
        <v>1</v>
      </c>
      <c r="H875" s="43" t="n">
        <v>1</v>
      </c>
      <c r="I875" s="45" t="n">
        <f aca="false">IF(G875=0,"",F875/G875)</f>
        <v>1</v>
      </c>
      <c r="J875" s="45" t="n">
        <f aca="false">K875/L875</f>
        <v>0.4</v>
      </c>
      <c r="K875" s="38" t="n">
        <f aca="false">F875+H875</f>
        <v>2</v>
      </c>
      <c r="L875" s="38" t="n">
        <f aca="false">G875+4*H875</f>
        <v>5</v>
      </c>
      <c r="M875" s="38" t="s">
        <v>619</v>
      </c>
      <c r="N875" s="38" t="n">
        <f aca="false">ROUND(SUMIFS($J$2:$J$1137,$A$2:$A$1137,A875,$C$2:$C$1137,C875),9)</f>
        <v>1</v>
      </c>
    </row>
    <row r="876" customFormat="false" ht="15" hidden="false" customHeight="true" outlineLevel="0" collapsed="false">
      <c r="A876" s="38" t="n">
        <v>55</v>
      </c>
      <c r="B876" s="38" t="s">
        <v>673</v>
      </c>
      <c r="C876" s="38" t="s">
        <v>169</v>
      </c>
      <c r="D876" s="38" t="s">
        <v>169</v>
      </c>
      <c r="E876" s="38" t="str">
        <f aca="false">A876&amp;"|"&amp;C876&amp;"|"&amp;D876</f>
        <v>55|G|G</v>
      </c>
      <c r="F876" s="43" t="n">
        <v>0</v>
      </c>
      <c r="G876" s="38" t="n">
        <f aca="false">SUMIFS($F$2:$F$1137,$A$2:$A$1137,A876,$C$2:$C$1137,C876)</f>
        <v>1</v>
      </c>
      <c r="H876" s="43" t="n">
        <v>1</v>
      </c>
      <c r="I876" s="45" t="n">
        <f aca="false">IF(G876=0,"",F876/G876)</f>
        <v>0</v>
      </c>
      <c r="J876" s="45" t="n">
        <f aca="false">K876/L876</f>
        <v>0.2</v>
      </c>
      <c r="K876" s="38" t="n">
        <f aca="false">F876+H876</f>
        <v>1</v>
      </c>
      <c r="L876" s="38" t="n">
        <f aca="false">G876+4*H876</f>
        <v>5</v>
      </c>
      <c r="M876" s="38" t="s">
        <v>619</v>
      </c>
      <c r="N876" s="38" t="n">
        <f aca="false">ROUND(SUMIFS($J$2:$J$1137,$A$2:$A$1137,A876,$C$2:$C$1137,C876),9)</f>
        <v>1</v>
      </c>
    </row>
    <row r="877" customFormat="false" ht="15" hidden="false" customHeight="true" outlineLevel="0" collapsed="false">
      <c r="A877" s="38" t="n">
        <v>55</v>
      </c>
      <c r="B877" s="38" t="s">
        <v>673</v>
      </c>
      <c r="C877" s="38" t="s">
        <v>169</v>
      </c>
      <c r="D877" s="38" t="s">
        <v>171</v>
      </c>
      <c r="E877" s="38" t="str">
        <f aca="false">A877&amp;"|"&amp;C877&amp;"|"&amp;D877</f>
        <v>55|G|U</v>
      </c>
      <c r="F877" s="43" t="n">
        <v>0</v>
      </c>
      <c r="G877" s="38" t="n">
        <f aca="false">SUMIFS($F$2:$F$1137,$A$2:$A$1137,A877,$C$2:$C$1137,C877)</f>
        <v>1</v>
      </c>
      <c r="H877" s="43" t="n">
        <v>1</v>
      </c>
      <c r="I877" s="45" t="n">
        <f aca="false">IF(G877=0,"",F877/G877)</f>
        <v>0</v>
      </c>
      <c r="J877" s="45" t="n">
        <f aca="false">K877/L877</f>
        <v>0.2</v>
      </c>
      <c r="K877" s="38" t="n">
        <f aca="false">F877+H877</f>
        <v>1</v>
      </c>
      <c r="L877" s="38" t="n">
        <f aca="false">G877+4*H877</f>
        <v>5</v>
      </c>
      <c r="M877" s="38" t="s">
        <v>619</v>
      </c>
      <c r="N877" s="38" t="n">
        <f aca="false">ROUND(SUMIFS($J$2:$J$1137,$A$2:$A$1137,A877,$C$2:$C$1137,C877),9)</f>
        <v>1</v>
      </c>
    </row>
    <row r="878" customFormat="false" ht="15" hidden="false" customHeight="true" outlineLevel="0" collapsed="false">
      <c r="A878" s="38" t="n">
        <v>55</v>
      </c>
      <c r="B878" s="38" t="s">
        <v>673</v>
      </c>
      <c r="C878" s="38" t="s">
        <v>171</v>
      </c>
      <c r="D878" s="38" t="s">
        <v>172</v>
      </c>
      <c r="E878" s="38" t="str">
        <f aca="false">A878&amp;"|"&amp;C878&amp;"|"&amp;D878</f>
        <v>55|U|A</v>
      </c>
      <c r="F878" s="43" t="n">
        <v>1</v>
      </c>
      <c r="G878" s="38" t="n">
        <f aca="false">SUMIFS($F$2:$F$1137,$A$2:$A$1137,A878,$C$2:$C$1137,C878)</f>
        <v>196</v>
      </c>
      <c r="H878" s="43" t="n">
        <v>1</v>
      </c>
      <c r="I878" s="45" t="n">
        <f aca="false">IF(G878=0,"",F878/G878)</f>
        <v>0.00510204081632653</v>
      </c>
      <c r="J878" s="45" t="n">
        <f aca="false">K878/L878</f>
        <v>0.01</v>
      </c>
      <c r="K878" s="38" t="n">
        <f aca="false">F878+H878</f>
        <v>2</v>
      </c>
      <c r="L878" s="38" t="n">
        <f aca="false">G878+4*H878</f>
        <v>200</v>
      </c>
      <c r="M878" s="38" t="s">
        <v>619</v>
      </c>
      <c r="N878" s="38" t="n">
        <f aca="false">ROUND(SUMIFS($J$2:$J$1137,$A$2:$A$1137,A878,$C$2:$C$1137,C878),9)</f>
        <v>1</v>
      </c>
    </row>
    <row r="879" customFormat="false" ht="15" hidden="false" customHeight="true" outlineLevel="0" collapsed="false">
      <c r="A879" s="38" t="n">
        <v>55</v>
      </c>
      <c r="B879" s="38" t="s">
        <v>673</v>
      </c>
      <c r="C879" s="38" t="s">
        <v>171</v>
      </c>
      <c r="D879" s="38" t="s">
        <v>170</v>
      </c>
      <c r="E879" s="38" t="str">
        <f aca="false">A879&amp;"|"&amp;C879&amp;"|"&amp;D879</f>
        <v>55|U|C</v>
      </c>
      <c r="F879" s="43" t="n">
        <v>194</v>
      </c>
      <c r="G879" s="38" t="n">
        <f aca="false">SUMIFS($F$2:$F$1137,$A$2:$A$1137,A879,$C$2:$C$1137,C879)</f>
        <v>196</v>
      </c>
      <c r="H879" s="43" t="n">
        <v>1</v>
      </c>
      <c r="I879" s="45" t="n">
        <f aca="false">IF(G879=0,"",F879/G879)</f>
        <v>0.989795918367347</v>
      </c>
      <c r="J879" s="45" t="n">
        <f aca="false">K879/L879</f>
        <v>0.975</v>
      </c>
      <c r="K879" s="38" t="n">
        <f aca="false">F879+H879</f>
        <v>195</v>
      </c>
      <c r="L879" s="38" t="n">
        <f aca="false">G879+4*H879</f>
        <v>200</v>
      </c>
      <c r="M879" s="38" t="s">
        <v>619</v>
      </c>
      <c r="N879" s="38" t="n">
        <f aca="false">ROUND(SUMIFS($J$2:$J$1137,$A$2:$A$1137,A879,$C$2:$C$1137,C879),9)</f>
        <v>1</v>
      </c>
    </row>
    <row r="880" customFormat="false" ht="15" hidden="false" customHeight="true" outlineLevel="0" collapsed="false">
      <c r="A880" s="38" t="n">
        <v>55</v>
      </c>
      <c r="B880" s="38" t="s">
        <v>673</v>
      </c>
      <c r="C880" s="38" t="s">
        <v>171</v>
      </c>
      <c r="D880" s="38" t="s">
        <v>169</v>
      </c>
      <c r="E880" s="38" t="str">
        <f aca="false">A880&amp;"|"&amp;C880&amp;"|"&amp;D880</f>
        <v>55|U|G</v>
      </c>
      <c r="F880" s="43" t="n">
        <v>0</v>
      </c>
      <c r="G880" s="38" t="n">
        <f aca="false">SUMIFS($F$2:$F$1137,$A$2:$A$1137,A880,$C$2:$C$1137,C880)</f>
        <v>196</v>
      </c>
      <c r="H880" s="43" t="n">
        <v>1</v>
      </c>
      <c r="I880" s="45" t="n">
        <f aca="false">IF(G880=0,"",F880/G880)</f>
        <v>0</v>
      </c>
      <c r="J880" s="45" t="n">
        <f aca="false">K880/L880</f>
        <v>0.005</v>
      </c>
      <c r="K880" s="38" t="n">
        <f aca="false">F880+H880</f>
        <v>1</v>
      </c>
      <c r="L880" s="38" t="n">
        <f aca="false">G880+4*H880</f>
        <v>200</v>
      </c>
      <c r="M880" s="38" t="s">
        <v>619</v>
      </c>
      <c r="N880" s="38" t="n">
        <f aca="false">ROUND(SUMIFS($J$2:$J$1137,$A$2:$A$1137,A880,$C$2:$C$1137,C880),9)</f>
        <v>1</v>
      </c>
    </row>
    <row r="881" customFormat="false" ht="15" hidden="false" customHeight="true" outlineLevel="0" collapsed="false">
      <c r="A881" s="38" t="n">
        <v>55</v>
      </c>
      <c r="B881" s="38" t="s">
        <v>673</v>
      </c>
      <c r="C881" s="38" t="s">
        <v>171</v>
      </c>
      <c r="D881" s="38" t="s">
        <v>171</v>
      </c>
      <c r="E881" s="38" t="str">
        <f aca="false">A881&amp;"|"&amp;C881&amp;"|"&amp;D881</f>
        <v>55|U|U</v>
      </c>
      <c r="F881" s="43" t="n">
        <v>1</v>
      </c>
      <c r="G881" s="38" t="n">
        <f aca="false">SUMIFS($F$2:$F$1137,$A$2:$A$1137,A881,$C$2:$C$1137,C881)</f>
        <v>196</v>
      </c>
      <c r="H881" s="43" t="n">
        <v>1</v>
      </c>
      <c r="I881" s="45" t="n">
        <f aca="false">IF(G881=0,"",F881/G881)</f>
        <v>0.00510204081632653</v>
      </c>
      <c r="J881" s="45" t="n">
        <f aca="false">K881/L881</f>
        <v>0.01</v>
      </c>
      <c r="K881" s="38" t="n">
        <f aca="false">F881+H881</f>
        <v>2</v>
      </c>
      <c r="L881" s="38" t="n">
        <f aca="false">G881+4*H881</f>
        <v>200</v>
      </c>
      <c r="M881" s="38" t="s">
        <v>619</v>
      </c>
      <c r="N881" s="38" t="n">
        <f aca="false">ROUND(SUMIFS($J$2:$J$1137,$A$2:$A$1137,A881,$C$2:$C$1137,C881),9)</f>
        <v>1</v>
      </c>
    </row>
    <row r="882" customFormat="false" ht="15" hidden="false" customHeight="true" outlineLevel="0" collapsed="false">
      <c r="A882" s="38" t="n">
        <v>56</v>
      </c>
      <c r="B882" s="38" t="s">
        <v>674</v>
      </c>
      <c r="C882" s="38" t="s">
        <v>172</v>
      </c>
      <c r="D882" s="38" t="s">
        <v>172</v>
      </c>
      <c r="E882" s="38" t="str">
        <f aca="false">A882&amp;"|"&amp;C882&amp;"|"&amp;D882</f>
        <v>56|A|A</v>
      </c>
      <c r="F882" s="43" t="n">
        <v>0</v>
      </c>
      <c r="G882" s="38" t="n">
        <f aca="false">SUMIFS($F$2:$F$1137,$A$2:$A$1137,A882,$C$2:$C$1137,C882)</f>
        <v>2</v>
      </c>
      <c r="H882" s="43" t="n">
        <v>1</v>
      </c>
      <c r="I882" s="45" t="n">
        <f aca="false">IF(G882=0,"",F882/G882)</f>
        <v>0</v>
      </c>
      <c r="J882" s="45" t="n">
        <f aca="false">K882/L882</f>
        <v>0.166666666666667</v>
      </c>
      <c r="K882" s="38" t="n">
        <f aca="false">F882+H882</f>
        <v>1</v>
      </c>
      <c r="L882" s="38" t="n">
        <f aca="false">G882+4*H882</f>
        <v>6</v>
      </c>
      <c r="M882" s="38" t="s">
        <v>619</v>
      </c>
      <c r="N882" s="38" t="n">
        <f aca="false">ROUND(SUMIFS($J$2:$J$1137,$A$2:$A$1137,A882,$C$2:$C$1137,C882),9)</f>
        <v>1</v>
      </c>
    </row>
    <row r="883" customFormat="false" ht="15" hidden="false" customHeight="true" outlineLevel="0" collapsed="false">
      <c r="A883" s="38" t="n">
        <v>56</v>
      </c>
      <c r="B883" s="38" t="s">
        <v>674</v>
      </c>
      <c r="C883" s="38" t="s">
        <v>172</v>
      </c>
      <c r="D883" s="38" t="s">
        <v>170</v>
      </c>
      <c r="E883" s="38" t="str">
        <f aca="false">A883&amp;"|"&amp;C883&amp;"|"&amp;D883</f>
        <v>56|A|C</v>
      </c>
      <c r="F883" s="43" t="n">
        <v>0</v>
      </c>
      <c r="G883" s="38" t="n">
        <f aca="false">SUMIFS($F$2:$F$1137,$A$2:$A$1137,A883,$C$2:$C$1137,C883)</f>
        <v>2</v>
      </c>
      <c r="H883" s="43" t="n">
        <v>1</v>
      </c>
      <c r="I883" s="45" t="n">
        <f aca="false">IF(G883=0,"",F883/G883)</f>
        <v>0</v>
      </c>
      <c r="J883" s="45" t="n">
        <f aca="false">K883/L883</f>
        <v>0.166666666666667</v>
      </c>
      <c r="K883" s="38" t="n">
        <f aca="false">F883+H883</f>
        <v>1</v>
      </c>
      <c r="L883" s="38" t="n">
        <f aca="false">G883+4*H883</f>
        <v>6</v>
      </c>
      <c r="M883" s="38" t="s">
        <v>619</v>
      </c>
      <c r="N883" s="38" t="n">
        <f aca="false">ROUND(SUMIFS($J$2:$J$1137,$A$2:$A$1137,A883,$C$2:$C$1137,C883),9)</f>
        <v>1</v>
      </c>
    </row>
    <row r="884" customFormat="false" ht="15" hidden="false" customHeight="true" outlineLevel="0" collapsed="false">
      <c r="A884" s="38" t="n">
        <v>56</v>
      </c>
      <c r="B884" s="38" t="s">
        <v>674</v>
      </c>
      <c r="C884" s="38" t="s">
        <v>172</v>
      </c>
      <c r="D884" s="38" t="s">
        <v>169</v>
      </c>
      <c r="E884" s="38" t="str">
        <f aca="false">A884&amp;"|"&amp;C884&amp;"|"&amp;D884</f>
        <v>56|A|G</v>
      </c>
      <c r="F884" s="43" t="n">
        <v>1</v>
      </c>
      <c r="G884" s="38" t="n">
        <f aca="false">SUMIFS($F$2:$F$1137,$A$2:$A$1137,A884,$C$2:$C$1137,C884)</f>
        <v>2</v>
      </c>
      <c r="H884" s="43" t="n">
        <v>1</v>
      </c>
      <c r="I884" s="45" t="n">
        <f aca="false">IF(G884=0,"",F884/G884)</f>
        <v>0.5</v>
      </c>
      <c r="J884" s="45" t="n">
        <f aca="false">K884/L884</f>
        <v>0.333333333333333</v>
      </c>
      <c r="K884" s="38" t="n">
        <f aca="false">F884+H884</f>
        <v>2</v>
      </c>
      <c r="L884" s="38" t="n">
        <f aca="false">G884+4*H884</f>
        <v>6</v>
      </c>
      <c r="M884" s="38" t="s">
        <v>619</v>
      </c>
      <c r="N884" s="38" t="n">
        <f aca="false">ROUND(SUMIFS($J$2:$J$1137,$A$2:$A$1137,A884,$C$2:$C$1137,C884),9)</f>
        <v>1</v>
      </c>
    </row>
    <row r="885" customFormat="false" ht="15" hidden="false" customHeight="true" outlineLevel="0" collapsed="false">
      <c r="A885" s="38" t="n">
        <v>56</v>
      </c>
      <c r="B885" s="38" t="s">
        <v>674</v>
      </c>
      <c r="C885" s="38" t="s">
        <v>172</v>
      </c>
      <c r="D885" s="38" t="s">
        <v>171</v>
      </c>
      <c r="E885" s="38" t="str">
        <f aca="false">A885&amp;"|"&amp;C885&amp;"|"&amp;D885</f>
        <v>56|A|U</v>
      </c>
      <c r="F885" s="43" t="n">
        <v>1</v>
      </c>
      <c r="G885" s="38" t="n">
        <f aca="false">SUMIFS($F$2:$F$1137,$A$2:$A$1137,A885,$C$2:$C$1137,C885)</f>
        <v>2</v>
      </c>
      <c r="H885" s="43" t="n">
        <v>1</v>
      </c>
      <c r="I885" s="45" t="n">
        <f aca="false">IF(G885=0,"",F885/G885)</f>
        <v>0.5</v>
      </c>
      <c r="J885" s="45" t="n">
        <f aca="false">K885/L885</f>
        <v>0.333333333333333</v>
      </c>
      <c r="K885" s="38" t="n">
        <f aca="false">F885+H885</f>
        <v>2</v>
      </c>
      <c r="L885" s="38" t="n">
        <f aca="false">G885+4*H885</f>
        <v>6</v>
      </c>
      <c r="M885" s="38" t="s">
        <v>619</v>
      </c>
      <c r="N885" s="38" t="n">
        <f aca="false">ROUND(SUMIFS($J$2:$J$1137,$A$2:$A$1137,A885,$C$2:$C$1137,C885),9)</f>
        <v>1</v>
      </c>
    </row>
    <row r="886" customFormat="false" ht="15" hidden="false" customHeight="true" outlineLevel="0" collapsed="false">
      <c r="A886" s="38" t="n">
        <v>56</v>
      </c>
      <c r="B886" s="38" t="s">
        <v>674</v>
      </c>
      <c r="C886" s="38" t="s">
        <v>170</v>
      </c>
      <c r="D886" s="38" t="s">
        <v>172</v>
      </c>
      <c r="E886" s="38" t="str">
        <f aca="false">A886&amp;"|"&amp;C886&amp;"|"&amp;D886</f>
        <v>56|C|A</v>
      </c>
      <c r="F886" s="43" t="n">
        <v>75</v>
      </c>
      <c r="G886" s="38" t="n">
        <f aca="false">SUMIFS($F$2:$F$1137,$A$2:$A$1137,A886,$C$2:$C$1137,C886)</f>
        <v>195</v>
      </c>
      <c r="H886" s="43" t="n">
        <v>1</v>
      </c>
      <c r="I886" s="45" t="n">
        <f aca="false">IF(G886=0,"",F886/G886)</f>
        <v>0.384615384615385</v>
      </c>
      <c r="J886" s="45" t="n">
        <f aca="false">K886/L886</f>
        <v>0.381909547738693</v>
      </c>
      <c r="K886" s="38" t="n">
        <f aca="false">F886+H886</f>
        <v>76</v>
      </c>
      <c r="L886" s="38" t="n">
        <f aca="false">G886+4*H886</f>
        <v>199</v>
      </c>
      <c r="M886" s="38" t="s">
        <v>619</v>
      </c>
      <c r="N886" s="38" t="n">
        <f aca="false">ROUND(SUMIFS($J$2:$J$1137,$A$2:$A$1137,A886,$C$2:$C$1137,C886),9)</f>
        <v>1</v>
      </c>
    </row>
    <row r="887" customFormat="false" ht="15" hidden="false" customHeight="true" outlineLevel="0" collapsed="false">
      <c r="A887" s="38" t="n">
        <v>56</v>
      </c>
      <c r="B887" s="38" t="s">
        <v>674</v>
      </c>
      <c r="C887" s="38" t="s">
        <v>170</v>
      </c>
      <c r="D887" s="38" t="s">
        <v>170</v>
      </c>
      <c r="E887" s="38" t="str">
        <f aca="false">A887&amp;"|"&amp;C887&amp;"|"&amp;D887</f>
        <v>56|C|C</v>
      </c>
      <c r="F887" s="43" t="n">
        <v>0</v>
      </c>
      <c r="G887" s="38" t="n">
        <f aca="false">SUMIFS($F$2:$F$1137,$A$2:$A$1137,A887,$C$2:$C$1137,C887)</f>
        <v>195</v>
      </c>
      <c r="H887" s="43" t="n">
        <v>1</v>
      </c>
      <c r="I887" s="45" t="n">
        <f aca="false">IF(G887=0,"",F887/G887)</f>
        <v>0</v>
      </c>
      <c r="J887" s="45" t="n">
        <f aca="false">K887/L887</f>
        <v>0.0050251256281407</v>
      </c>
      <c r="K887" s="38" t="n">
        <f aca="false">F887+H887</f>
        <v>1</v>
      </c>
      <c r="L887" s="38" t="n">
        <f aca="false">G887+4*H887</f>
        <v>199</v>
      </c>
      <c r="M887" s="38" t="s">
        <v>619</v>
      </c>
      <c r="N887" s="38" t="n">
        <f aca="false">ROUND(SUMIFS($J$2:$J$1137,$A$2:$A$1137,A887,$C$2:$C$1137,C887),9)</f>
        <v>1</v>
      </c>
    </row>
    <row r="888" customFormat="false" ht="15" hidden="false" customHeight="true" outlineLevel="0" collapsed="false">
      <c r="A888" s="38" t="n">
        <v>56</v>
      </c>
      <c r="B888" s="38" t="s">
        <v>674</v>
      </c>
      <c r="C888" s="38" t="s">
        <v>170</v>
      </c>
      <c r="D888" s="38" t="s">
        <v>169</v>
      </c>
      <c r="E888" s="38" t="str">
        <f aca="false">A888&amp;"|"&amp;C888&amp;"|"&amp;D888</f>
        <v>56|C|G</v>
      </c>
      <c r="F888" s="43" t="n">
        <v>120</v>
      </c>
      <c r="G888" s="38" t="n">
        <f aca="false">SUMIFS($F$2:$F$1137,$A$2:$A$1137,A888,$C$2:$C$1137,C888)</f>
        <v>195</v>
      </c>
      <c r="H888" s="43" t="n">
        <v>1</v>
      </c>
      <c r="I888" s="45" t="n">
        <f aca="false">IF(G888=0,"",F888/G888)</f>
        <v>0.615384615384615</v>
      </c>
      <c r="J888" s="45" t="n">
        <f aca="false">K888/L888</f>
        <v>0.608040201005025</v>
      </c>
      <c r="K888" s="38" t="n">
        <f aca="false">F888+H888</f>
        <v>121</v>
      </c>
      <c r="L888" s="38" t="n">
        <f aca="false">G888+4*H888</f>
        <v>199</v>
      </c>
      <c r="M888" s="38" t="s">
        <v>619</v>
      </c>
      <c r="N888" s="38" t="n">
        <f aca="false">ROUND(SUMIFS($J$2:$J$1137,$A$2:$A$1137,A888,$C$2:$C$1137,C888),9)</f>
        <v>1</v>
      </c>
    </row>
    <row r="889" customFormat="false" ht="15" hidden="false" customHeight="true" outlineLevel="0" collapsed="false">
      <c r="A889" s="38" t="n">
        <v>56</v>
      </c>
      <c r="B889" s="38" t="s">
        <v>674</v>
      </c>
      <c r="C889" s="38" t="s">
        <v>170</v>
      </c>
      <c r="D889" s="38" t="s">
        <v>171</v>
      </c>
      <c r="E889" s="38" t="str">
        <f aca="false">A889&amp;"|"&amp;C889&amp;"|"&amp;D889</f>
        <v>56|C|U</v>
      </c>
      <c r="F889" s="43" t="n">
        <v>0</v>
      </c>
      <c r="G889" s="38" t="n">
        <f aca="false">SUMIFS($F$2:$F$1137,$A$2:$A$1137,A889,$C$2:$C$1137,C889)</f>
        <v>195</v>
      </c>
      <c r="H889" s="43" t="n">
        <v>1</v>
      </c>
      <c r="I889" s="45" t="n">
        <f aca="false">IF(G889=0,"",F889/G889)</f>
        <v>0</v>
      </c>
      <c r="J889" s="45" t="n">
        <f aca="false">K889/L889</f>
        <v>0.0050251256281407</v>
      </c>
      <c r="K889" s="38" t="n">
        <f aca="false">F889+H889</f>
        <v>1</v>
      </c>
      <c r="L889" s="38" t="n">
        <f aca="false">G889+4*H889</f>
        <v>199</v>
      </c>
      <c r="M889" s="38" t="s">
        <v>619</v>
      </c>
      <c r="N889" s="38" t="n">
        <f aca="false">ROUND(SUMIFS($J$2:$J$1137,$A$2:$A$1137,A889,$C$2:$C$1137,C889),9)</f>
        <v>1</v>
      </c>
    </row>
    <row r="890" customFormat="false" ht="15" hidden="false" customHeight="true" outlineLevel="0" collapsed="false">
      <c r="A890" s="38" t="n">
        <v>56</v>
      </c>
      <c r="B890" s="38" t="s">
        <v>674</v>
      </c>
      <c r="C890" s="38" t="s">
        <v>169</v>
      </c>
      <c r="D890" s="38" t="s">
        <v>172</v>
      </c>
      <c r="E890" s="38" t="str">
        <f aca="false">A890&amp;"|"&amp;C890&amp;"|"&amp;D890</f>
        <v>56|G|A</v>
      </c>
      <c r="F890" s="43" t="n">
        <v>1</v>
      </c>
      <c r="G890" s="38" t="n">
        <f aca="false">SUMIFS($F$2:$F$1137,$A$2:$A$1137,A890,$C$2:$C$1137,C890)</f>
        <v>1</v>
      </c>
      <c r="H890" s="43" t="n">
        <v>1</v>
      </c>
      <c r="I890" s="45" t="n">
        <f aca="false">IF(G890=0,"",F890/G890)</f>
        <v>1</v>
      </c>
      <c r="J890" s="45" t="n">
        <f aca="false">K890/L890</f>
        <v>0.4</v>
      </c>
      <c r="K890" s="38" t="n">
        <f aca="false">F890+H890</f>
        <v>2</v>
      </c>
      <c r="L890" s="38" t="n">
        <f aca="false">G890+4*H890</f>
        <v>5</v>
      </c>
      <c r="M890" s="38" t="s">
        <v>619</v>
      </c>
      <c r="N890" s="38" t="n">
        <f aca="false">ROUND(SUMIFS($J$2:$J$1137,$A$2:$A$1137,A890,$C$2:$C$1137,C890),9)</f>
        <v>1</v>
      </c>
    </row>
    <row r="891" customFormat="false" ht="15" hidden="false" customHeight="true" outlineLevel="0" collapsed="false">
      <c r="A891" s="38" t="n">
        <v>56</v>
      </c>
      <c r="B891" s="38" t="s">
        <v>674</v>
      </c>
      <c r="C891" s="38" t="s">
        <v>169</v>
      </c>
      <c r="D891" s="38" t="s">
        <v>170</v>
      </c>
      <c r="E891" s="38" t="str">
        <f aca="false">A891&amp;"|"&amp;C891&amp;"|"&amp;D891</f>
        <v>56|G|C</v>
      </c>
      <c r="F891" s="43" t="n">
        <v>0</v>
      </c>
      <c r="G891" s="38" t="n">
        <f aca="false">SUMIFS($F$2:$F$1137,$A$2:$A$1137,A891,$C$2:$C$1137,C891)</f>
        <v>1</v>
      </c>
      <c r="H891" s="43" t="n">
        <v>1</v>
      </c>
      <c r="I891" s="45" t="n">
        <f aca="false">IF(G891=0,"",F891/G891)</f>
        <v>0</v>
      </c>
      <c r="J891" s="45" t="n">
        <f aca="false">K891/L891</f>
        <v>0.2</v>
      </c>
      <c r="K891" s="38" t="n">
        <f aca="false">F891+H891</f>
        <v>1</v>
      </c>
      <c r="L891" s="38" t="n">
        <f aca="false">G891+4*H891</f>
        <v>5</v>
      </c>
      <c r="M891" s="38" t="s">
        <v>619</v>
      </c>
      <c r="N891" s="38" t="n">
        <f aca="false">ROUND(SUMIFS($J$2:$J$1137,$A$2:$A$1137,A891,$C$2:$C$1137,C891),9)</f>
        <v>1</v>
      </c>
    </row>
    <row r="892" customFormat="false" ht="15" hidden="false" customHeight="true" outlineLevel="0" collapsed="false">
      <c r="A892" s="38" t="n">
        <v>56</v>
      </c>
      <c r="B892" s="38" t="s">
        <v>674</v>
      </c>
      <c r="C892" s="38" t="s">
        <v>169</v>
      </c>
      <c r="D892" s="38" t="s">
        <v>169</v>
      </c>
      <c r="E892" s="38" t="str">
        <f aca="false">A892&amp;"|"&amp;C892&amp;"|"&amp;D892</f>
        <v>56|G|G</v>
      </c>
      <c r="F892" s="43" t="n">
        <v>0</v>
      </c>
      <c r="G892" s="38" t="n">
        <f aca="false">SUMIFS($F$2:$F$1137,$A$2:$A$1137,A892,$C$2:$C$1137,C892)</f>
        <v>1</v>
      </c>
      <c r="H892" s="43" t="n">
        <v>1</v>
      </c>
      <c r="I892" s="45" t="n">
        <f aca="false">IF(G892=0,"",F892/G892)</f>
        <v>0</v>
      </c>
      <c r="J892" s="45" t="n">
        <f aca="false">K892/L892</f>
        <v>0.2</v>
      </c>
      <c r="K892" s="38" t="n">
        <f aca="false">F892+H892</f>
        <v>1</v>
      </c>
      <c r="L892" s="38" t="n">
        <f aca="false">G892+4*H892</f>
        <v>5</v>
      </c>
      <c r="M892" s="38" t="s">
        <v>619</v>
      </c>
      <c r="N892" s="38" t="n">
        <f aca="false">ROUND(SUMIFS($J$2:$J$1137,$A$2:$A$1137,A892,$C$2:$C$1137,C892),9)</f>
        <v>1</v>
      </c>
    </row>
    <row r="893" customFormat="false" ht="15" hidden="false" customHeight="true" outlineLevel="0" collapsed="false">
      <c r="A893" s="38" t="n">
        <v>56</v>
      </c>
      <c r="B893" s="38" t="s">
        <v>674</v>
      </c>
      <c r="C893" s="38" t="s">
        <v>169</v>
      </c>
      <c r="D893" s="38" t="s">
        <v>171</v>
      </c>
      <c r="E893" s="38" t="str">
        <f aca="false">A893&amp;"|"&amp;C893&amp;"|"&amp;D893</f>
        <v>56|G|U</v>
      </c>
      <c r="F893" s="43" t="n">
        <v>0</v>
      </c>
      <c r="G893" s="38" t="n">
        <f aca="false">SUMIFS($F$2:$F$1137,$A$2:$A$1137,A893,$C$2:$C$1137,C893)</f>
        <v>1</v>
      </c>
      <c r="H893" s="43" t="n">
        <v>1</v>
      </c>
      <c r="I893" s="45" t="n">
        <f aca="false">IF(G893=0,"",F893/G893)</f>
        <v>0</v>
      </c>
      <c r="J893" s="45" t="n">
        <f aca="false">K893/L893</f>
        <v>0.2</v>
      </c>
      <c r="K893" s="38" t="n">
        <f aca="false">F893+H893</f>
        <v>1</v>
      </c>
      <c r="L893" s="38" t="n">
        <f aca="false">G893+4*H893</f>
        <v>5</v>
      </c>
      <c r="M893" s="38" t="s">
        <v>619</v>
      </c>
      <c r="N893" s="38" t="n">
        <f aca="false">ROUND(SUMIFS($J$2:$J$1137,$A$2:$A$1137,A893,$C$2:$C$1137,C893),9)</f>
        <v>1</v>
      </c>
    </row>
    <row r="894" customFormat="false" ht="15" hidden="false" customHeight="true" outlineLevel="0" collapsed="false">
      <c r="A894" s="38" t="n">
        <v>56</v>
      </c>
      <c r="B894" s="38" t="s">
        <v>674</v>
      </c>
      <c r="C894" s="38" t="s">
        <v>171</v>
      </c>
      <c r="D894" s="38" t="s">
        <v>172</v>
      </c>
      <c r="E894" s="38" t="str">
        <f aca="false">A894&amp;"|"&amp;C894&amp;"|"&amp;D894</f>
        <v>56|U|A</v>
      </c>
      <c r="F894" s="43" t="n">
        <v>0</v>
      </c>
      <c r="G894" s="38" t="n">
        <f aca="false">SUMIFS($F$2:$F$1137,$A$2:$A$1137,A894,$C$2:$C$1137,C894)</f>
        <v>0</v>
      </c>
      <c r="H894" s="43" t="n">
        <v>1</v>
      </c>
      <c r="I894" s="45" t="str">
        <f aca="false">IF(G894=0,"",F894/G894)</f>
        <v/>
      </c>
      <c r="J894" s="45" t="n">
        <f aca="false">K894/L894</f>
        <v>0.25</v>
      </c>
      <c r="K894" s="38" t="n">
        <f aca="false">F894+H894</f>
        <v>1</v>
      </c>
      <c r="L894" s="38" t="n">
        <f aca="false">G894+4*H894</f>
        <v>4</v>
      </c>
      <c r="M894" s="38" t="s">
        <v>619</v>
      </c>
      <c r="N894" s="38" t="n">
        <f aca="false">ROUND(SUMIFS($J$2:$J$1137,$A$2:$A$1137,A894,$C$2:$C$1137,C894),9)</f>
        <v>1</v>
      </c>
    </row>
    <row r="895" customFormat="false" ht="15" hidden="false" customHeight="true" outlineLevel="0" collapsed="false">
      <c r="A895" s="38" t="n">
        <v>56</v>
      </c>
      <c r="B895" s="38" t="s">
        <v>674</v>
      </c>
      <c r="C895" s="38" t="s">
        <v>171</v>
      </c>
      <c r="D895" s="38" t="s">
        <v>170</v>
      </c>
      <c r="E895" s="38" t="str">
        <f aca="false">A895&amp;"|"&amp;C895&amp;"|"&amp;D895</f>
        <v>56|U|C</v>
      </c>
      <c r="F895" s="43" t="n">
        <v>0</v>
      </c>
      <c r="G895" s="38" t="n">
        <f aca="false">SUMIFS($F$2:$F$1137,$A$2:$A$1137,A895,$C$2:$C$1137,C895)</f>
        <v>0</v>
      </c>
      <c r="H895" s="43" t="n">
        <v>1</v>
      </c>
      <c r="I895" s="45" t="str">
        <f aca="false">IF(G895=0,"",F895/G895)</f>
        <v/>
      </c>
      <c r="J895" s="45" t="n">
        <f aca="false">K895/L895</f>
        <v>0.25</v>
      </c>
      <c r="K895" s="38" t="n">
        <f aca="false">F895+H895</f>
        <v>1</v>
      </c>
      <c r="L895" s="38" t="n">
        <f aca="false">G895+4*H895</f>
        <v>4</v>
      </c>
      <c r="M895" s="38" t="s">
        <v>619</v>
      </c>
      <c r="N895" s="38" t="n">
        <f aca="false">ROUND(SUMIFS($J$2:$J$1137,$A$2:$A$1137,A895,$C$2:$C$1137,C895),9)</f>
        <v>1</v>
      </c>
    </row>
    <row r="896" customFormat="false" ht="15" hidden="false" customHeight="true" outlineLevel="0" collapsed="false">
      <c r="A896" s="38" t="n">
        <v>56</v>
      </c>
      <c r="B896" s="38" t="s">
        <v>674</v>
      </c>
      <c r="C896" s="38" t="s">
        <v>171</v>
      </c>
      <c r="D896" s="38" t="s">
        <v>169</v>
      </c>
      <c r="E896" s="38" t="str">
        <f aca="false">A896&amp;"|"&amp;C896&amp;"|"&amp;D896</f>
        <v>56|U|G</v>
      </c>
      <c r="F896" s="43" t="n">
        <v>0</v>
      </c>
      <c r="G896" s="38" t="n">
        <f aca="false">SUMIFS($F$2:$F$1137,$A$2:$A$1137,A896,$C$2:$C$1137,C896)</f>
        <v>0</v>
      </c>
      <c r="H896" s="43" t="n">
        <v>1</v>
      </c>
      <c r="I896" s="45" t="str">
        <f aca="false">IF(G896=0,"",F896/G896)</f>
        <v/>
      </c>
      <c r="J896" s="45" t="n">
        <f aca="false">K896/L896</f>
        <v>0.25</v>
      </c>
      <c r="K896" s="38" t="n">
        <f aca="false">F896+H896</f>
        <v>1</v>
      </c>
      <c r="L896" s="38" t="n">
        <f aca="false">G896+4*H896</f>
        <v>4</v>
      </c>
      <c r="M896" s="38" t="s">
        <v>619</v>
      </c>
      <c r="N896" s="38" t="n">
        <f aca="false">ROUND(SUMIFS($J$2:$J$1137,$A$2:$A$1137,A896,$C$2:$C$1137,C896),9)</f>
        <v>1</v>
      </c>
    </row>
    <row r="897" customFormat="false" ht="15" hidden="false" customHeight="true" outlineLevel="0" collapsed="false">
      <c r="A897" s="38" t="n">
        <v>56</v>
      </c>
      <c r="B897" s="38" t="s">
        <v>674</v>
      </c>
      <c r="C897" s="38" t="s">
        <v>171</v>
      </c>
      <c r="D897" s="38" t="s">
        <v>171</v>
      </c>
      <c r="E897" s="38" t="str">
        <f aca="false">A897&amp;"|"&amp;C897&amp;"|"&amp;D897</f>
        <v>56|U|U</v>
      </c>
      <c r="F897" s="43" t="n">
        <v>0</v>
      </c>
      <c r="G897" s="38" t="n">
        <f aca="false">SUMIFS($F$2:$F$1137,$A$2:$A$1137,A897,$C$2:$C$1137,C897)</f>
        <v>0</v>
      </c>
      <c r="H897" s="43" t="n">
        <v>1</v>
      </c>
      <c r="I897" s="45" t="str">
        <f aca="false">IF(G897=0,"",F897/G897)</f>
        <v/>
      </c>
      <c r="J897" s="45" t="n">
        <f aca="false">K897/L897</f>
        <v>0.25</v>
      </c>
      <c r="K897" s="38" t="n">
        <f aca="false">F897+H897</f>
        <v>1</v>
      </c>
      <c r="L897" s="38" t="n">
        <f aca="false">G897+4*H897</f>
        <v>4</v>
      </c>
      <c r="M897" s="38" t="s">
        <v>619</v>
      </c>
      <c r="N897" s="38" t="n">
        <f aca="false">ROUND(SUMIFS($J$2:$J$1137,$A$2:$A$1137,A897,$C$2:$C$1137,C897),9)</f>
        <v>1</v>
      </c>
    </row>
    <row r="898" customFormat="false" ht="15" hidden="false" customHeight="true" outlineLevel="0" collapsed="false">
      <c r="A898" s="38" t="n">
        <v>57</v>
      </c>
      <c r="B898" s="38" t="s">
        <v>675</v>
      </c>
      <c r="C898" s="38" t="s">
        <v>172</v>
      </c>
      <c r="D898" s="38" t="s">
        <v>172</v>
      </c>
      <c r="E898" s="38" t="str">
        <f aca="false">A898&amp;"|"&amp;C898&amp;"|"&amp;D898</f>
        <v>57|A|A</v>
      </c>
      <c r="F898" s="43" t="n">
        <v>75</v>
      </c>
      <c r="G898" s="38" t="n">
        <f aca="false">SUMIFS($F$2:$F$1137,$A$2:$A$1137,A898,$C$2:$C$1137,C898)</f>
        <v>76</v>
      </c>
      <c r="H898" s="43" t="n">
        <v>1</v>
      </c>
      <c r="I898" s="45" t="n">
        <f aca="false">IF(G898=0,"",F898/G898)</f>
        <v>0.986842105263158</v>
      </c>
      <c r="J898" s="45" t="n">
        <f aca="false">K898/L898</f>
        <v>0.95</v>
      </c>
      <c r="K898" s="38" t="n">
        <f aca="false">F898+H898</f>
        <v>76</v>
      </c>
      <c r="L898" s="38" t="n">
        <f aca="false">G898+4*H898</f>
        <v>80</v>
      </c>
      <c r="M898" s="38" t="s">
        <v>619</v>
      </c>
      <c r="N898" s="38" t="n">
        <f aca="false">ROUND(SUMIFS($J$2:$J$1137,$A$2:$A$1137,A898,$C$2:$C$1137,C898),9)</f>
        <v>1</v>
      </c>
    </row>
    <row r="899" customFormat="false" ht="15" hidden="false" customHeight="true" outlineLevel="0" collapsed="false">
      <c r="A899" s="38" t="n">
        <v>57</v>
      </c>
      <c r="B899" s="38" t="s">
        <v>675</v>
      </c>
      <c r="C899" s="38" t="s">
        <v>172</v>
      </c>
      <c r="D899" s="38" t="s">
        <v>170</v>
      </c>
      <c r="E899" s="38" t="str">
        <f aca="false">A899&amp;"|"&amp;C899&amp;"|"&amp;D899</f>
        <v>57|A|C</v>
      </c>
      <c r="F899" s="43" t="n">
        <v>0</v>
      </c>
      <c r="G899" s="38" t="n">
        <f aca="false">SUMIFS($F$2:$F$1137,$A$2:$A$1137,A899,$C$2:$C$1137,C899)</f>
        <v>76</v>
      </c>
      <c r="H899" s="43" t="n">
        <v>1</v>
      </c>
      <c r="I899" s="45" t="n">
        <f aca="false">IF(G899=0,"",F899/G899)</f>
        <v>0</v>
      </c>
      <c r="J899" s="45" t="n">
        <f aca="false">K899/L899</f>
        <v>0.0125</v>
      </c>
      <c r="K899" s="38" t="n">
        <f aca="false">F899+H899</f>
        <v>1</v>
      </c>
      <c r="L899" s="38" t="n">
        <f aca="false">G899+4*H899</f>
        <v>80</v>
      </c>
      <c r="M899" s="38" t="s">
        <v>619</v>
      </c>
      <c r="N899" s="38" t="n">
        <f aca="false">ROUND(SUMIFS($J$2:$J$1137,$A$2:$A$1137,A899,$C$2:$C$1137,C899),9)</f>
        <v>1</v>
      </c>
    </row>
    <row r="900" customFormat="false" ht="15" hidden="false" customHeight="true" outlineLevel="0" collapsed="false">
      <c r="A900" s="38" t="n">
        <v>57</v>
      </c>
      <c r="B900" s="38" t="s">
        <v>675</v>
      </c>
      <c r="C900" s="38" t="s">
        <v>172</v>
      </c>
      <c r="D900" s="38" t="s">
        <v>169</v>
      </c>
      <c r="E900" s="38" t="str">
        <f aca="false">A900&amp;"|"&amp;C900&amp;"|"&amp;D900</f>
        <v>57|A|G</v>
      </c>
      <c r="F900" s="43" t="n">
        <v>0</v>
      </c>
      <c r="G900" s="38" t="n">
        <f aca="false">SUMIFS($F$2:$F$1137,$A$2:$A$1137,A900,$C$2:$C$1137,C900)</f>
        <v>76</v>
      </c>
      <c r="H900" s="43" t="n">
        <v>1</v>
      </c>
      <c r="I900" s="45" t="n">
        <f aca="false">IF(G900=0,"",F900/G900)</f>
        <v>0</v>
      </c>
      <c r="J900" s="45" t="n">
        <f aca="false">K900/L900</f>
        <v>0.0125</v>
      </c>
      <c r="K900" s="38" t="n">
        <f aca="false">F900+H900</f>
        <v>1</v>
      </c>
      <c r="L900" s="38" t="n">
        <f aca="false">G900+4*H900</f>
        <v>80</v>
      </c>
      <c r="M900" s="38" t="s">
        <v>619</v>
      </c>
      <c r="N900" s="38" t="n">
        <f aca="false">ROUND(SUMIFS($J$2:$J$1137,$A$2:$A$1137,A900,$C$2:$C$1137,C900),9)</f>
        <v>1</v>
      </c>
    </row>
    <row r="901" customFormat="false" ht="15" hidden="false" customHeight="true" outlineLevel="0" collapsed="false">
      <c r="A901" s="38" t="n">
        <v>57</v>
      </c>
      <c r="B901" s="38" t="s">
        <v>675</v>
      </c>
      <c r="C901" s="38" t="s">
        <v>172</v>
      </c>
      <c r="D901" s="38" t="s">
        <v>171</v>
      </c>
      <c r="E901" s="38" t="str">
        <f aca="false">A901&amp;"|"&amp;C901&amp;"|"&amp;D901</f>
        <v>57|A|U</v>
      </c>
      <c r="F901" s="43" t="n">
        <v>1</v>
      </c>
      <c r="G901" s="38" t="n">
        <f aca="false">SUMIFS($F$2:$F$1137,$A$2:$A$1137,A901,$C$2:$C$1137,C901)</f>
        <v>76</v>
      </c>
      <c r="H901" s="43" t="n">
        <v>1</v>
      </c>
      <c r="I901" s="45" t="n">
        <f aca="false">IF(G901=0,"",F901/G901)</f>
        <v>0.0131578947368421</v>
      </c>
      <c r="J901" s="45" t="n">
        <f aca="false">K901/L901</f>
        <v>0.025</v>
      </c>
      <c r="K901" s="38" t="n">
        <f aca="false">F901+H901</f>
        <v>2</v>
      </c>
      <c r="L901" s="38" t="n">
        <f aca="false">G901+4*H901</f>
        <v>80</v>
      </c>
      <c r="M901" s="38" t="s">
        <v>619</v>
      </c>
      <c r="N901" s="38" t="n">
        <f aca="false">ROUND(SUMIFS($J$2:$J$1137,$A$2:$A$1137,A901,$C$2:$C$1137,C901),9)</f>
        <v>1</v>
      </c>
    </row>
    <row r="902" customFormat="false" ht="15" hidden="false" customHeight="true" outlineLevel="0" collapsed="false">
      <c r="A902" s="38" t="n">
        <v>57</v>
      </c>
      <c r="B902" s="38" t="s">
        <v>675</v>
      </c>
      <c r="C902" s="38" t="s">
        <v>170</v>
      </c>
      <c r="D902" s="38" t="s">
        <v>172</v>
      </c>
      <c r="E902" s="38" t="str">
        <f aca="false">A902&amp;"|"&amp;C902&amp;"|"&amp;D902</f>
        <v>57|C|A</v>
      </c>
      <c r="F902" s="43" t="n">
        <v>0</v>
      </c>
      <c r="G902" s="38" t="n">
        <f aca="false">SUMIFS($F$2:$F$1137,$A$2:$A$1137,A902,$C$2:$C$1137,C902)</f>
        <v>0</v>
      </c>
      <c r="H902" s="43" t="n">
        <v>1</v>
      </c>
      <c r="I902" s="45" t="str">
        <f aca="false">IF(G902=0,"",F902/G902)</f>
        <v/>
      </c>
      <c r="J902" s="45" t="n">
        <f aca="false">K902/L902</f>
        <v>0.25</v>
      </c>
      <c r="K902" s="38" t="n">
        <f aca="false">F902+H902</f>
        <v>1</v>
      </c>
      <c r="L902" s="38" t="n">
        <f aca="false">G902+4*H902</f>
        <v>4</v>
      </c>
      <c r="M902" s="38" t="s">
        <v>619</v>
      </c>
      <c r="N902" s="38" t="n">
        <f aca="false">ROUND(SUMIFS($J$2:$J$1137,$A$2:$A$1137,A902,$C$2:$C$1137,C902),9)</f>
        <v>1</v>
      </c>
    </row>
    <row r="903" customFormat="false" ht="15" hidden="false" customHeight="true" outlineLevel="0" collapsed="false">
      <c r="A903" s="38" t="n">
        <v>57</v>
      </c>
      <c r="B903" s="38" t="s">
        <v>675</v>
      </c>
      <c r="C903" s="38" t="s">
        <v>170</v>
      </c>
      <c r="D903" s="38" t="s">
        <v>170</v>
      </c>
      <c r="E903" s="38" t="str">
        <f aca="false">A903&amp;"|"&amp;C903&amp;"|"&amp;D903</f>
        <v>57|C|C</v>
      </c>
      <c r="F903" s="43" t="n">
        <v>0</v>
      </c>
      <c r="G903" s="38" t="n">
        <f aca="false">SUMIFS($F$2:$F$1137,$A$2:$A$1137,A903,$C$2:$C$1137,C903)</f>
        <v>0</v>
      </c>
      <c r="H903" s="43" t="n">
        <v>1</v>
      </c>
      <c r="I903" s="45" t="str">
        <f aca="false">IF(G903=0,"",F903/G903)</f>
        <v/>
      </c>
      <c r="J903" s="45" t="n">
        <f aca="false">K903/L903</f>
        <v>0.25</v>
      </c>
      <c r="K903" s="38" t="n">
        <f aca="false">F903+H903</f>
        <v>1</v>
      </c>
      <c r="L903" s="38" t="n">
        <f aca="false">G903+4*H903</f>
        <v>4</v>
      </c>
      <c r="M903" s="38" t="s">
        <v>619</v>
      </c>
      <c r="N903" s="38" t="n">
        <f aca="false">ROUND(SUMIFS($J$2:$J$1137,$A$2:$A$1137,A903,$C$2:$C$1137,C903),9)</f>
        <v>1</v>
      </c>
    </row>
    <row r="904" customFormat="false" ht="15" hidden="false" customHeight="true" outlineLevel="0" collapsed="false">
      <c r="A904" s="38" t="n">
        <v>57</v>
      </c>
      <c r="B904" s="38" t="s">
        <v>675</v>
      </c>
      <c r="C904" s="38" t="s">
        <v>170</v>
      </c>
      <c r="D904" s="38" t="s">
        <v>169</v>
      </c>
      <c r="E904" s="38" t="str">
        <f aca="false">A904&amp;"|"&amp;C904&amp;"|"&amp;D904</f>
        <v>57|C|G</v>
      </c>
      <c r="F904" s="43" t="n">
        <v>0</v>
      </c>
      <c r="G904" s="38" t="n">
        <f aca="false">SUMIFS($F$2:$F$1137,$A$2:$A$1137,A904,$C$2:$C$1137,C904)</f>
        <v>0</v>
      </c>
      <c r="H904" s="43" t="n">
        <v>1</v>
      </c>
      <c r="I904" s="45" t="str">
        <f aca="false">IF(G904=0,"",F904/G904)</f>
        <v/>
      </c>
      <c r="J904" s="45" t="n">
        <f aca="false">K904/L904</f>
        <v>0.25</v>
      </c>
      <c r="K904" s="38" t="n">
        <f aca="false">F904+H904</f>
        <v>1</v>
      </c>
      <c r="L904" s="38" t="n">
        <f aca="false">G904+4*H904</f>
        <v>4</v>
      </c>
      <c r="M904" s="38" t="s">
        <v>619</v>
      </c>
      <c r="N904" s="38" t="n">
        <f aca="false">ROUND(SUMIFS($J$2:$J$1137,$A$2:$A$1137,A904,$C$2:$C$1137,C904),9)</f>
        <v>1</v>
      </c>
    </row>
    <row r="905" customFormat="false" ht="15" hidden="false" customHeight="true" outlineLevel="0" collapsed="false">
      <c r="A905" s="38" t="n">
        <v>57</v>
      </c>
      <c r="B905" s="38" t="s">
        <v>675</v>
      </c>
      <c r="C905" s="38" t="s">
        <v>170</v>
      </c>
      <c r="D905" s="38" t="s">
        <v>171</v>
      </c>
      <c r="E905" s="38" t="str">
        <f aca="false">A905&amp;"|"&amp;C905&amp;"|"&amp;D905</f>
        <v>57|C|U</v>
      </c>
      <c r="F905" s="43" t="n">
        <v>0</v>
      </c>
      <c r="G905" s="38" t="n">
        <f aca="false">SUMIFS($F$2:$F$1137,$A$2:$A$1137,A905,$C$2:$C$1137,C905)</f>
        <v>0</v>
      </c>
      <c r="H905" s="43" t="n">
        <v>1</v>
      </c>
      <c r="I905" s="45" t="str">
        <f aca="false">IF(G905=0,"",F905/G905)</f>
        <v/>
      </c>
      <c r="J905" s="45" t="n">
        <f aca="false">K905/L905</f>
        <v>0.25</v>
      </c>
      <c r="K905" s="38" t="n">
        <f aca="false">F905+H905</f>
        <v>1</v>
      </c>
      <c r="L905" s="38" t="n">
        <f aca="false">G905+4*H905</f>
        <v>4</v>
      </c>
      <c r="M905" s="38" t="s">
        <v>619</v>
      </c>
      <c r="N905" s="38" t="n">
        <f aca="false">ROUND(SUMIFS($J$2:$J$1137,$A$2:$A$1137,A905,$C$2:$C$1137,C905),9)</f>
        <v>1</v>
      </c>
    </row>
    <row r="906" customFormat="false" ht="15" hidden="false" customHeight="true" outlineLevel="0" collapsed="false">
      <c r="A906" s="38" t="n">
        <v>57</v>
      </c>
      <c r="B906" s="38" t="s">
        <v>675</v>
      </c>
      <c r="C906" s="38" t="s">
        <v>169</v>
      </c>
      <c r="D906" s="38" t="s">
        <v>172</v>
      </c>
      <c r="E906" s="38" t="str">
        <f aca="false">A906&amp;"|"&amp;C906&amp;"|"&amp;D906</f>
        <v>57|G|A</v>
      </c>
      <c r="F906" s="43" t="n">
        <v>121</v>
      </c>
      <c r="G906" s="38" t="n">
        <f aca="false">SUMIFS($F$2:$F$1137,$A$2:$A$1137,A906,$C$2:$C$1137,C906)</f>
        <v>121</v>
      </c>
      <c r="H906" s="43" t="n">
        <v>1</v>
      </c>
      <c r="I906" s="45" t="n">
        <f aca="false">IF(G906=0,"",F906/G906)</f>
        <v>1</v>
      </c>
      <c r="J906" s="45" t="n">
        <f aca="false">K906/L906</f>
        <v>0.976</v>
      </c>
      <c r="K906" s="38" t="n">
        <f aca="false">F906+H906</f>
        <v>122</v>
      </c>
      <c r="L906" s="38" t="n">
        <f aca="false">G906+4*H906</f>
        <v>125</v>
      </c>
      <c r="M906" s="38" t="s">
        <v>619</v>
      </c>
      <c r="N906" s="38" t="n">
        <f aca="false">ROUND(SUMIFS($J$2:$J$1137,$A$2:$A$1137,A906,$C$2:$C$1137,C906),9)</f>
        <v>1</v>
      </c>
    </row>
    <row r="907" customFormat="false" ht="15" hidden="false" customHeight="true" outlineLevel="0" collapsed="false">
      <c r="A907" s="38" t="n">
        <v>57</v>
      </c>
      <c r="B907" s="38" t="s">
        <v>675</v>
      </c>
      <c r="C907" s="38" t="s">
        <v>169</v>
      </c>
      <c r="D907" s="38" t="s">
        <v>170</v>
      </c>
      <c r="E907" s="38" t="str">
        <f aca="false">A907&amp;"|"&amp;C907&amp;"|"&amp;D907</f>
        <v>57|G|C</v>
      </c>
      <c r="F907" s="43" t="n">
        <v>0</v>
      </c>
      <c r="G907" s="38" t="n">
        <f aca="false">SUMIFS($F$2:$F$1137,$A$2:$A$1137,A907,$C$2:$C$1137,C907)</f>
        <v>121</v>
      </c>
      <c r="H907" s="43" t="n">
        <v>1</v>
      </c>
      <c r="I907" s="45" t="n">
        <f aca="false">IF(G907=0,"",F907/G907)</f>
        <v>0</v>
      </c>
      <c r="J907" s="45" t="n">
        <f aca="false">K907/L907</f>
        <v>0.008</v>
      </c>
      <c r="K907" s="38" t="n">
        <f aca="false">F907+H907</f>
        <v>1</v>
      </c>
      <c r="L907" s="38" t="n">
        <f aca="false">G907+4*H907</f>
        <v>125</v>
      </c>
      <c r="M907" s="38" t="s">
        <v>619</v>
      </c>
      <c r="N907" s="38" t="n">
        <f aca="false">ROUND(SUMIFS($J$2:$J$1137,$A$2:$A$1137,A907,$C$2:$C$1137,C907),9)</f>
        <v>1</v>
      </c>
    </row>
    <row r="908" customFormat="false" ht="15" hidden="false" customHeight="true" outlineLevel="0" collapsed="false">
      <c r="A908" s="38" t="n">
        <v>57</v>
      </c>
      <c r="B908" s="38" t="s">
        <v>675</v>
      </c>
      <c r="C908" s="38" t="s">
        <v>169</v>
      </c>
      <c r="D908" s="38" t="s">
        <v>169</v>
      </c>
      <c r="E908" s="38" t="str">
        <f aca="false">A908&amp;"|"&amp;C908&amp;"|"&amp;D908</f>
        <v>57|G|G</v>
      </c>
      <c r="F908" s="43" t="n">
        <v>0</v>
      </c>
      <c r="G908" s="38" t="n">
        <f aca="false">SUMIFS($F$2:$F$1137,$A$2:$A$1137,A908,$C$2:$C$1137,C908)</f>
        <v>121</v>
      </c>
      <c r="H908" s="43" t="n">
        <v>1</v>
      </c>
      <c r="I908" s="45" t="n">
        <f aca="false">IF(G908=0,"",F908/G908)</f>
        <v>0</v>
      </c>
      <c r="J908" s="45" t="n">
        <f aca="false">K908/L908</f>
        <v>0.008</v>
      </c>
      <c r="K908" s="38" t="n">
        <f aca="false">F908+H908</f>
        <v>1</v>
      </c>
      <c r="L908" s="38" t="n">
        <f aca="false">G908+4*H908</f>
        <v>125</v>
      </c>
      <c r="M908" s="38" t="s">
        <v>619</v>
      </c>
      <c r="N908" s="38" t="n">
        <f aca="false">ROUND(SUMIFS($J$2:$J$1137,$A$2:$A$1137,A908,$C$2:$C$1137,C908),9)</f>
        <v>1</v>
      </c>
    </row>
    <row r="909" customFormat="false" ht="15" hidden="false" customHeight="true" outlineLevel="0" collapsed="false">
      <c r="A909" s="38" t="n">
        <v>57</v>
      </c>
      <c r="B909" s="38" t="s">
        <v>675</v>
      </c>
      <c r="C909" s="38" t="s">
        <v>169</v>
      </c>
      <c r="D909" s="38" t="s">
        <v>171</v>
      </c>
      <c r="E909" s="38" t="str">
        <f aca="false">A909&amp;"|"&amp;C909&amp;"|"&amp;D909</f>
        <v>57|G|U</v>
      </c>
      <c r="F909" s="43" t="n">
        <v>0</v>
      </c>
      <c r="G909" s="38" t="n">
        <f aca="false">SUMIFS($F$2:$F$1137,$A$2:$A$1137,A909,$C$2:$C$1137,C909)</f>
        <v>121</v>
      </c>
      <c r="H909" s="43" t="n">
        <v>1</v>
      </c>
      <c r="I909" s="45" t="n">
        <f aca="false">IF(G909=0,"",F909/G909)</f>
        <v>0</v>
      </c>
      <c r="J909" s="45" t="n">
        <f aca="false">K909/L909</f>
        <v>0.008</v>
      </c>
      <c r="K909" s="38" t="n">
        <f aca="false">F909+H909</f>
        <v>1</v>
      </c>
      <c r="L909" s="38" t="n">
        <f aca="false">G909+4*H909</f>
        <v>125</v>
      </c>
      <c r="M909" s="38" t="s">
        <v>619</v>
      </c>
      <c r="N909" s="38" t="n">
        <f aca="false">ROUND(SUMIFS($J$2:$J$1137,$A$2:$A$1137,A909,$C$2:$C$1137,C909),9)</f>
        <v>1</v>
      </c>
    </row>
    <row r="910" customFormat="false" ht="15" hidden="false" customHeight="true" outlineLevel="0" collapsed="false">
      <c r="A910" s="38" t="n">
        <v>57</v>
      </c>
      <c r="B910" s="38" t="s">
        <v>675</v>
      </c>
      <c r="C910" s="38" t="s">
        <v>171</v>
      </c>
      <c r="D910" s="38" t="s">
        <v>172</v>
      </c>
      <c r="E910" s="38" t="str">
        <f aca="false">A910&amp;"|"&amp;C910&amp;"|"&amp;D910</f>
        <v>57|U|A</v>
      </c>
      <c r="F910" s="43" t="n">
        <v>0</v>
      </c>
      <c r="G910" s="38" t="n">
        <f aca="false">SUMIFS($F$2:$F$1137,$A$2:$A$1137,A910,$C$2:$C$1137,C910)</f>
        <v>1</v>
      </c>
      <c r="H910" s="43" t="n">
        <v>1</v>
      </c>
      <c r="I910" s="45" t="n">
        <f aca="false">IF(G910=0,"",F910/G910)</f>
        <v>0</v>
      </c>
      <c r="J910" s="45" t="n">
        <f aca="false">K910/L910</f>
        <v>0.2</v>
      </c>
      <c r="K910" s="38" t="n">
        <f aca="false">F910+H910</f>
        <v>1</v>
      </c>
      <c r="L910" s="38" t="n">
        <f aca="false">G910+4*H910</f>
        <v>5</v>
      </c>
      <c r="M910" s="38" t="s">
        <v>619</v>
      </c>
      <c r="N910" s="38" t="n">
        <f aca="false">ROUND(SUMIFS($J$2:$J$1137,$A$2:$A$1137,A910,$C$2:$C$1137,C910),9)</f>
        <v>1</v>
      </c>
    </row>
    <row r="911" customFormat="false" ht="15" hidden="false" customHeight="true" outlineLevel="0" collapsed="false">
      <c r="A911" s="38" t="n">
        <v>57</v>
      </c>
      <c r="B911" s="38" t="s">
        <v>675</v>
      </c>
      <c r="C911" s="38" t="s">
        <v>171</v>
      </c>
      <c r="D911" s="38" t="s">
        <v>170</v>
      </c>
      <c r="E911" s="38" t="str">
        <f aca="false">A911&amp;"|"&amp;C911&amp;"|"&amp;D911</f>
        <v>57|U|C</v>
      </c>
      <c r="F911" s="43" t="n">
        <v>1</v>
      </c>
      <c r="G911" s="38" t="n">
        <f aca="false">SUMIFS($F$2:$F$1137,$A$2:$A$1137,A911,$C$2:$C$1137,C911)</f>
        <v>1</v>
      </c>
      <c r="H911" s="43" t="n">
        <v>1</v>
      </c>
      <c r="I911" s="45" t="n">
        <f aca="false">IF(G911=0,"",F911/G911)</f>
        <v>1</v>
      </c>
      <c r="J911" s="45" t="n">
        <f aca="false">K911/L911</f>
        <v>0.4</v>
      </c>
      <c r="K911" s="38" t="n">
        <f aca="false">F911+H911</f>
        <v>2</v>
      </c>
      <c r="L911" s="38" t="n">
        <f aca="false">G911+4*H911</f>
        <v>5</v>
      </c>
      <c r="M911" s="38" t="s">
        <v>619</v>
      </c>
      <c r="N911" s="38" t="n">
        <f aca="false">ROUND(SUMIFS($J$2:$J$1137,$A$2:$A$1137,A911,$C$2:$C$1137,C911),9)</f>
        <v>1</v>
      </c>
    </row>
    <row r="912" customFormat="false" ht="15" hidden="false" customHeight="true" outlineLevel="0" collapsed="false">
      <c r="A912" s="38" t="n">
        <v>57</v>
      </c>
      <c r="B912" s="38" t="s">
        <v>675</v>
      </c>
      <c r="C912" s="38" t="s">
        <v>171</v>
      </c>
      <c r="D912" s="38" t="s">
        <v>169</v>
      </c>
      <c r="E912" s="38" t="str">
        <f aca="false">A912&amp;"|"&amp;C912&amp;"|"&amp;D912</f>
        <v>57|U|G</v>
      </c>
      <c r="F912" s="43" t="n">
        <v>0</v>
      </c>
      <c r="G912" s="38" t="n">
        <f aca="false">SUMIFS($F$2:$F$1137,$A$2:$A$1137,A912,$C$2:$C$1137,C912)</f>
        <v>1</v>
      </c>
      <c r="H912" s="43" t="n">
        <v>1</v>
      </c>
      <c r="I912" s="45" t="n">
        <f aca="false">IF(G912=0,"",F912/G912)</f>
        <v>0</v>
      </c>
      <c r="J912" s="45" t="n">
        <f aca="false">K912/L912</f>
        <v>0.2</v>
      </c>
      <c r="K912" s="38" t="n">
        <f aca="false">F912+H912</f>
        <v>1</v>
      </c>
      <c r="L912" s="38" t="n">
        <f aca="false">G912+4*H912</f>
        <v>5</v>
      </c>
      <c r="M912" s="38" t="s">
        <v>619</v>
      </c>
      <c r="N912" s="38" t="n">
        <f aca="false">ROUND(SUMIFS($J$2:$J$1137,$A$2:$A$1137,A912,$C$2:$C$1137,C912),9)</f>
        <v>1</v>
      </c>
    </row>
    <row r="913" customFormat="false" ht="15" hidden="false" customHeight="true" outlineLevel="0" collapsed="false">
      <c r="A913" s="38" t="n">
        <v>57</v>
      </c>
      <c r="B913" s="38" t="s">
        <v>675</v>
      </c>
      <c r="C913" s="38" t="s">
        <v>171</v>
      </c>
      <c r="D913" s="38" t="s">
        <v>171</v>
      </c>
      <c r="E913" s="38" t="str">
        <f aca="false">A913&amp;"|"&amp;C913&amp;"|"&amp;D913</f>
        <v>57|U|U</v>
      </c>
      <c r="F913" s="43" t="n">
        <v>0</v>
      </c>
      <c r="G913" s="38" t="n">
        <f aca="false">SUMIFS($F$2:$F$1137,$A$2:$A$1137,A913,$C$2:$C$1137,C913)</f>
        <v>1</v>
      </c>
      <c r="H913" s="43" t="n">
        <v>1</v>
      </c>
      <c r="I913" s="45" t="n">
        <f aca="false">IF(G913=0,"",F913/G913)</f>
        <v>0</v>
      </c>
      <c r="J913" s="45" t="n">
        <f aca="false">K913/L913</f>
        <v>0.2</v>
      </c>
      <c r="K913" s="38" t="n">
        <f aca="false">F913+H913</f>
        <v>1</v>
      </c>
      <c r="L913" s="38" t="n">
        <f aca="false">G913+4*H913</f>
        <v>5</v>
      </c>
      <c r="M913" s="38" t="s">
        <v>619</v>
      </c>
      <c r="N913" s="38" t="n">
        <f aca="false">ROUND(SUMIFS($J$2:$J$1137,$A$2:$A$1137,A913,$C$2:$C$1137,C913),9)</f>
        <v>1</v>
      </c>
    </row>
    <row r="914" customFormat="false" ht="15" hidden="false" customHeight="true" outlineLevel="0" collapsed="false">
      <c r="A914" s="38" t="n">
        <v>58</v>
      </c>
      <c r="B914" s="38" t="s">
        <v>676</v>
      </c>
      <c r="C914" s="38" t="s">
        <v>172</v>
      </c>
      <c r="D914" s="38" t="s">
        <v>172</v>
      </c>
      <c r="E914" s="38" t="str">
        <f aca="false">A914&amp;"|"&amp;C914&amp;"|"&amp;D914</f>
        <v>58|A|A</v>
      </c>
      <c r="F914" s="43" t="n">
        <v>91</v>
      </c>
      <c r="G914" s="38" t="n">
        <f aca="false">SUMIFS($F$2:$F$1137,$A$2:$A$1137,A914,$C$2:$C$1137,C914)</f>
        <v>197</v>
      </c>
      <c r="H914" s="43" t="n">
        <v>1</v>
      </c>
      <c r="I914" s="45" t="n">
        <f aca="false">IF(G914=0,"",F914/G914)</f>
        <v>0.461928934010152</v>
      </c>
      <c r="J914" s="45" t="n">
        <f aca="false">K914/L914</f>
        <v>0.45771144278607</v>
      </c>
      <c r="K914" s="38" t="n">
        <f aca="false">F914+H914</f>
        <v>92</v>
      </c>
      <c r="L914" s="38" t="n">
        <f aca="false">G914+4*H914</f>
        <v>201</v>
      </c>
      <c r="M914" s="38" t="s">
        <v>619</v>
      </c>
      <c r="N914" s="38" t="n">
        <f aca="false">ROUND(SUMIFS($J$2:$J$1137,$A$2:$A$1137,A914,$C$2:$C$1137,C914),9)</f>
        <v>1</v>
      </c>
    </row>
    <row r="915" customFormat="false" ht="15" hidden="false" customHeight="true" outlineLevel="0" collapsed="false">
      <c r="A915" s="38" t="n">
        <v>58</v>
      </c>
      <c r="B915" s="38" t="s">
        <v>676</v>
      </c>
      <c r="C915" s="38" t="s">
        <v>172</v>
      </c>
      <c r="D915" s="38" t="s">
        <v>170</v>
      </c>
      <c r="E915" s="38" t="str">
        <f aca="false">A915&amp;"|"&amp;C915&amp;"|"&amp;D915</f>
        <v>58|A|C</v>
      </c>
      <c r="F915" s="43" t="n">
        <v>10</v>
      </c>
      <c r="G915" s="38" t="n">
        <f aca="false">SUMIFS($F$2:$F$1137,$A$2:$A$1137,A915,$C$2:$C$1137,C915)</f>
        <v>197</v>
      </c>
      <c r="H915" s="43" t="n">
        <v>1</v>
      </c>
      <c r="I915" s="45" t="n">
        <f aca="false">IF(G915=0,"",F915/G915)</f>
        <v>0.050761421319797</v>
      </c>
      <c r="J915" s="45" t="n">
        <f aca="false">K915/L915</f>
        <v>0.054726368159204</v>
      </c>
      <c r="K915" s="38" t="n">
        <f aca="false">F915+H915</f>
        <v>11</v>
      </c>
      <c r="L915" s="38" t="n">
        <f aca="false">G915+4*H915</f>
        <v>201</v>
      </c>
      <c r="M915" s="38" t="s">
        <v>619</v>
      </c>
      <c r="N915" s="38" t="n">
        <f aca="false">ROUND(SUMIFS($J$2:$J$1137,$A$2:$A$1137,A915,$C$2:$C$1137,C915),9)</f>
        <v>1</v>
      </c>
    </row>
    <row r="916" customFormat="false" ht="15" hidden="false" customHeight="true" outlineLevel="0" collapsed="false">
      <c r="A916" s="38" t="n">
        <v>58</v>
      </c>
      <c r="B916" s="38" t="s">
        <v>676</v>
      </c>
      <c r="C916" s="38" t="s">
        <v>172</v>
      </c>
      <c r="D916" s="38" t="s">
        <v>169</v>
      </c>
      <c r="E916" s="38" t="str">
        <f aca="false">A916&amp;"|"&amp;C916&amp;"|"&amp;D916</f>
        <v>58|A|G</v>
      </c>
      <c r="F916" s="43" t="n">
        <v>46</v>
      </c>
      <c r="G916" s="38" t="n">
        <f aca="false">SUMIFS($F$2:$F$1137,$A$2:$A$1137,A916,$C$2:$C$1137,C916)</f>
        <v>197</v>
      </c>
      <c r="H916" s="43" t="n">
        <v>1</v>
      </c>
      <c r="I916" s="45" t="n">
        <f aca="false">IF(G916=0,"",F916/G916)</f>
        <v>0.233502538071066</v>
      </c>
      <c r="J916" s="45" t="n">
        <f aca="false">K916/L916</f>
        <v>0.233830845771144</v>
      </c>
      <c r="K916" s="38" t="n">
        <f aca="false">F916+H916</f>
        <v>47</v>
      </c>
      <c r="L916" s="38" t="n">
        <f aca="false">G916+4*H916</f>
        <v>201</v>
      </c>
      <c r="M916" s="38" t="s">
        <v>619</v>
      </c>
      <c r="N916" s="38" t="n">
        <f aca="false">ROUND(SUMIFS($J$2:$J$1137,$A$2:$A$1137,A916,$C$2:$C$1137,C916),9)</f>
        <v>1</v>
      </c>
    </row>
    <row r="917" customFormat="false" ht="15" hidden="false" customHeight="true" outlineLevel="0" collapsed="false">
      <c r="A917" s="38" t="n">
        <v>58</v>
      </c>
      <c r="B917" s="38" t="s">
        <v>676</v>
      </c>
      <c r="C917" s="38" t="s">
        <v>172</v>
      </c>
      <c r="D917" s="38" t="s">
        <v>171</v>
      </c>
      <c r="E917" s="38" t="str">
        <f aca="false">A917&amp;"|"&amp;C917&amp;"|"&amp;D917</f>
        <v>58|A|U</v>
      </c>
      <c r="F917" s="43" t="n">
        <v>50</v>
      </c>
      <c r="G917" s="38" t="n">
        <f aca="false">SUMIFS($F$2:$F$1137,$A$2:$A$1137,A917,$C$2:$C$1137,C917)</f>
        <v>197</v>
      </c>
      <c r="H917" s="43" t="n">
        <v>1</v>
      </c>
      <c r="I917" s="45" t="n">
        <f aca="false">IF(G917=0,"",F917/G917)</f>
        <v>0.253807106598985</v>
      </c>
      <c r="J917" s="45" t="n">
        <f aca="false">K917/L917</f>
        <v>0.253731343283582</v>
      </c>
      <c r="K917" s="38" t="n">
        <f aca="false">F917+H917</f>
        <v>51</v>
      </c>
      <c r="L917" s="38" t="n">
        <f aca="false">G917+4*H917</f>
        <v>201</v>
      </c>
      <c r="M917" s="38" t="s">
        <v>619</v>
      </c>
      <c r="N917" s="38" t="n">
        <f aca="false">ROUND(SUMIFS($J$2:$J$1137,$A$2:$A$1137,A917,$C$2:$C$1137,C917),9)</f>
        <v>1</v>
      </c>
    </row>
    <row r="918" customFormat="false" ht="15" hidden="false" customHeight="true" outlineLevel="0" collapsed="false">
      <c r="A918" s="38" t="n">
        <v>58</v>
      </c>
      <c r="B918" s="38" t="s">
        <v>676</v>
      </c>
      <c r="C918" s="38" t="s">
        <v>170</v>
      </c>
      <c r="D918" s="38" t="s">
        <v>172</v>
      </c>
      <c r="E918" s="38" t="str">
        <f aca="false">A918&amp;"|"&amp;C918&amp;"|"&amp;D918</f>
        <v>58|C|A</v>
      </c>
      <c r="F918" s="43" t="n">
        <v>0</v>
      </c>
      <c r="G918" s="38" t="n">
        <f aca="false">SUMIFS($F$2:$F$1137,$A$2:$A$1137,A918,$C$2:$C$1137,C918)</f>
        <v>1</v>
      </c>
      <c r="H918" s="43" t="n">
        <v>1</v>
      </c>
      <c r="I918" s="45" t="n">
        <f aca="false">IF(G918=0,"",F918/G918)</f>
        <v>0</v>
      </c>
      <c r="J918" s="45" t="n">
        <f aca="false">K918/L918</f>
        <v>0.2</v>
      </c>
      <c r="K918" s="38" t="n">
        <f aca="false">F918+H918</f>
        <v>1</v>
      </c>
      <c r="L918" s="38" t="n">
        <f aca="false">G918+4*H918</f>
        <v>5</v>
      </c>
      <c r="M918" s="38" t="s">
        <v>619</v>
      </c>
      <c r="N918" s="38" t="n">
        <f aca="false">ROUND(SUMIFS($J$2:$J$1137,$A$2:$A$1137,A918,$C$2:$C$1137,C918),9)</f>
        <v>1</v>
      </c>
    </row>
    <row r="919" customFormat="false" ht="15" hidden="false" customHeight="true" outlineLevel="0" collapsed="false">
      <c r="A919" s="38" t="n">
        <v>58</v>
      </c>
      <c r="B919" s="38" t="s">
        <v>676</v>
      </c>
      <c r="C919" s="38" t="s">
        <v>170</v>
      </c>
      <c r="D919" s="38" t="s">
        <v>170</v>
      </c>
      <c r="E919" s="38" t="str">
        <f aca="false">A919&amp;"|"&amp;C919&amp;"|"&amp;D919</f>
        <v>58|C|C</v>
      </c>
      <c r="F919" s="43" t="n">
        <v>1</v>
      </c>
      <c r="G919" s="38" t="n">
        <f aca="false">SUMIFS($F$2:$F$1137,$A$2:$A$1137,A919,$C$2:$C$1137,C919)</f>
        <v>1</v>
      </c>
      <c r="H919" s="43" t="n">
        <v>1</v>
      </c>
      <c r="I919" s="45" t="n">
        <f aca="false">IF(G919=0,"",F919/G919)</f>
        <v>1</v>
      </c>
      <c r="J919" s="45" t="n">
        <f aca="false">K919/L919</f>
        <v>0.4</v>
      </c>
      <c r="K919" s="38" t="n">
        <f aca="false">F919+H919</f>
        <v>2</v>
      </c>
      <c r="L919" s="38" t="n">
        <f aca="false">G919+4*H919</f>
        <v>5</v>
      </c>
      <c r="M919" s="38" t="s">
        <v>619</v>
      </c>
      <c r="N919" s="38" t="n">
        <f aca="false">ROUND(SUMIFS($J$2:$J$1137,$A$2:$A$1137,A919,$C$2:$C$1137,C919),9)</f>
        <v>1</v>
      </c>
    </row>
    <row r="920" customFormat="false" ht="15" hidden="false" customHeight="true" outlineLevel="0" collapsed="false">
      <c r="A920" s="38" t="n">
        <v>58</v>
      </c>
      <c r="B920" s="38" t="s">
        <v>676</v>
      </c>
      <c r="C920" s="38" t="s">
        <v>170</v>
      </c>
      <c r="D920" s="38" t="s">
        <v>169</v>
      </c>
      <c r="E920" s="38" t="str">
        <f aca="false">A920&amp;"|"&amp;C920&amp;"|"&amp;D920</f>
        <v>58|C|G</v>
      </c>
      <c r="F920" s="43" t="n">
        <v>0</v>
      </c>
      <c r="G920" s="38" t="n">
        <f aca="false">SUMIFS($F$2:$F$1137,$A$2:$A$1137,A920,$C$2:$C$1137,C920)</f>
        <v>1</v>
      </c>
      <c r="H920" s="43" t="n">
        <v>1</v>
      </c>
      <c r="I920" s="45" t="n">
        <f aca="false">IF(G920=0,"",F920/G920)</f>
        <v>0</v>
      </c>
      <c r="J920" s="45" t="n">
        <f aca="false">K920/L920</f>
        <v>0.2</v>
      </c>
      <c r="K920" s="38" t="n">
        <f aca="false">F920+H920</f>
        <v>1</v>
      </c>
      <c r="L920" s="38" t="n">
        <f aca="false">G920+4*H920</f>
        <v>5</v>
      </c>
      <c r="M920" s="38" t="s">
        <v>619</v>
      </c>
      <c r="N920" s="38" t="n">
        <f aca="false">ROUND(SUMIFS($J$2:$J$1137,$A$2:$A$1137,A920,$C$2:$C$1137,C920),9)</f>
        <v>1</v>
      </c>
    </row>
    <row r="921" customFormat="false" ht="15" hidden="false" customHeight="true" outlineLevel="0" collapsed="false">
      <c r="A921" s="38" t="n">
        <v>58</v>
      </c>
      <c r="B921" s="38" t="s">
        <v>676</v>
      </c>
      <c r="C921" s="38" t="s">
        <v>170</v>
      </c>
      <c r="D921" s="38" t="s">
        <v>171</v>
      </c>
      <c r="E921" s="38" t="str">
        <f aca="false">A921&amp;"|"&amp;C921&amp;"|"&amp;D921</f>
        <v>58|C|U</v>
      </c>
      <c r="F921" s="43" t="n">
        <v>0</v>
      </c>
      <c r="G921" s="38" t="n">
        <f aca="false">SUMIFS($F$2:$F$1137,$A$2:$A$1137,A921,$C$2:$C$1137,C921)</f>
        <v>1</v>
      </c>
      <c r="H921" s="43" t="n">
        <v>1</v>
      </c>
      <c r="I921" s="45" t="n">
        <f aca="false">IF(G921=0,"",F921/G921)</f>
        <v>0</v>
      </c>
      <c r="J921" s="45" t="n">
        <f aca="false">K921/L921</f>
        <v>0.2</v>
      </c>
      <c r="K921" s="38" t="n">
        <f aca="false">F921+H921</f>
        <v>1</v>
      </c>
      <c r="L921" s="38" t="n">
        <f aca="false">G921+4*H921</f>
        <v>5</v>
      </c>
      <c r="M921" s="38" t="s">
        <v>619</v>
      </c>
      <c r="N921" s="38" t="n">
        <f aca="false">ROUND(SUMIFS($J$2:$J$1137,$A$2:$A$1137,A921,$C$2:$C$1137,C921),9)</f>
        <v>1</v>
      </c>
    </row>
    <row r="922" customFormat="false" ht="15" hidden="false" customHeight="true" outlineLevel="0" collapsed="false">
      <c r="A922" s="38" t="n">
        <v>58</v>
      </c>
      <c r="B922" s="38" t="s">
        <v>676</v>
      </c>
      <c r="C922" s="38" t="s">
        <v>169</v>
      </c>
      <c r="D922" s="38" t="s">
        <v>172</v>
      </c>
      <c r="E922" s="38" t="str">
        <f aca="false">A922&amp;"|"&amp;C922&amp;"|"&amp;D922</f>
        <v>58|G|A</v>
      </c>
      <c r="F922" s="43" t="n">
        <v>0</v>
      </c>
      <c r="G922" s="38" t="n">
        <f aca="false">SUMIFS($F$2:$F$1137,$A$2:$A$1137,A922,$C$2:$C$1137,C922)</f>
        <v>0</v>
      </c>
      <c r="H922" s="43" t="n">
        <v>1</v>
      </c>
      <c r="I922" s="45" t="str">
        <f aca="false">IF(G922=0,"",F922/G922)</f>
        <v/>
      </c>
      <c r="J922" s="45" t="n">
        <f aca="false">K922/L922</f>
        <v>0.25</v>
      </c>
      <c r="K922" s="38" t="n">
        <f aca="false">F922+H922</f>
        <v>1</v>
      </c>
      <c r="L922" s="38" t="n">
        <f aca="false">G922+4*H922</f>
        <v>4</v>
      </c>
      <c r="M922" s="38" t="s">
        <v>619</v>
      </c>
      <c r="N922" s="38" t="n">
        <f aca="false">ROUND(SUMIFS($J$2:$J$1137,$A$2:$A$1137,A922,$C$2:$C$1137,C922),9)</f>
        <v>1</v>
      </c>
    </row>
    <row r="923" customFormat="false" ht="15" hidden="false" customHeight="true" outlineLevel="0" collapsed="false">
      <c r="A923" s="38" t="n">
        <v>58</v>
      </c>
      <c r="B923" s="38" t="s">
        <v>676</v>
      </c>
      <c r="C923" s="38" t="s">
        <v>169</v>
      </c>
      <c r="D923" s="38" t="s">
        <v>170</v>
      </c>
      <c r="E923" s="38" t="str">
        <f aca="false">A923&amp;"|"&amp;C923&amp;"|"&amp;D923</f>
        <v>58|G|C</v>
      </c>
      <c r="F923" s="43" t="n">
        <v>0</v>
      </c>
      <c r="G923" s="38" t="n">
        <f aca="false">SUMIFS($F$2:$F$1137,$A$2:$A$1137,A923,$C$2:$C$1137,C923)</f>
        <v>0</v>
      </c>
      <c r="H923" s="43" t="n">
        <v>1</v>
      </c>
      <c r="I923" s="45" t="str">
        <f aca="false">IF(G923=0,"",F923/G923)</f>
        <v/>
      </c>
      <c r="J923" s="45" t="n">
        <f aca="false">K923/L923</f>
        <v>0.25</v>
      </c>
      <c r="K923" s="38" t="n">
        <f aca="false">F923+H923</f>
        <v>1</v>
      </c>
      <c r="L923" s="38" t="n">
        <f aca="false">G923+4*H923</f>
        <v>4</v>
      </c>
      <c r="M923" s="38" t="s">
        <v>619</v>
      </c>
      <c r="N923" s="38" t="n">
        <f aca="false">ROUND(SUMIFS($J$2:$J$1137,$A$2:$A$1137,A923,$C$2:$C$1137,C923),9)</f>
        <v>1</v>
      </c>
    </row>
    <row r="924" customFormat="false" ht="15" hidden="false" customHeight="true" outlineLevel="0" collapsed="false">
      <c r="A924" s="38" t="n">
        <v>58</v>
      </c>
      <c r="B924" s="38" t="s">
        <v>676</v>
      </c>
      <c r="C924" s="38" t="s">
        <v>169</v>
      </c>
      <c r="D924" s="38" t="s">
        <v>169</v>
      </c>
      <c r="E924" s="38" t="str">
        <f aca="false">A924&amp;"|"&amp;C924&amp;"|"&amp;D924</f>
        <v>58|G|G</v>
      </c>
      <c r="F924" s="43" t="n">
        <v>0</v>
      </c>
      <c r="G924" s="38" t="n">
        <f aca="false">SUMIFS($F$2:$F$1137,$A$2:$A$1137,A924,$C$2:$C$1137,C924)</f>
        <v>0</v>
      </c>
      <c r="H924" s="43" t="n">
        <v>1</v>
      </c>
      <c r="I924" s="45" t="str">
        <f aca="false">IF(G924=0,"",F924/G924)</f>
        <v/>
      </c>
      <c r="J924" s="45" t="n">
        <f aca="false">K924/L924</f>
        <v>0.25</v>
      </c>
      <c r="K924" s="38" t="n">
        <f aca="false">F924+H924</f>
        <v>1</v>
      </c>
      <c r="L924" s="38" t="n">
        <f aca="false">G924+4*H924</f>
        <v>4</v>
      </c>
      <c r="M924" s="38" t="s">
        <v>619</v>
      </c>
      <c r="N924" s="38" t="n">
        <f aca="false">ROUND(SUMIFS($J$2:$J$1137,$A$2:$A$1137,A924,$C$2:$C$1137,C924),9)</f>
        <v>1</v>
      </c>
    </row>
    <row r="925" customFormat="false" ht="15" hidden="false" customHeight="true" outlineLevel="0" collapsed="false">
      <c r="A925" s="38" t="n">
        <v>58</v>
      </c>
      <c r="B925" s="38" t="s">
        <v>676</v>
      </c>
      <c r="C925" s="38" t="s">
        <v>169</v>
      </c>
      <c r="D925" s="38" t="s">
        <v>171</v>
      </c>
      <c r="E925" s="38" t="str">
        <f aca="false">A925&amp;"|"&amp;C925&amp;"|"&amp;D925</f>
        <v>58|G|U</v>
      </c>
      <c r="F925" s="43" t="n">
        <v>0</v>
      </c>
      <c r="G925" s="38" t="n">
        <f aca="false">SUMIFS($F$2:$F$1137,$A$2:$A$1137,A925,$C$2:$C$1137,C925)</f>
        <v>0</v>
      </c>
      <c r="H925" s="43" t="n">
        <v>1</v>
      </c>
      <c r="I925" s="45" t="str">
        <f aca="false">IF(G925=0,"",F925/G925)</f>
        <v/>
      </c>
      <c r="J925" s="45" t="n">
        <f aca="false">K925/L925</f>
        <v>0.25</v>
      </c>
      <c r="K925" s="38" t="n">
        <f aca="false">F925+H925</f>
        <v>1</v>
      </c>
      <c r="L925" s="38" t="n">
        <f aca="false">G925+4*H925</f>
        <v>4</v>
      </c>
      <c r="M925" s="38" t="s">
        <v>619</v>
      </c>
      <c r="N925" s="38" t="n">
        <f aca="false">ROUND(SUMIFS($J$2:$J$1137,$A$2:$A$1137,A925,$C$2:$C$1137,C925),9)</f>
        <v>1</v>
      </c>
    </row>
    <row r="926" customFormat="false" ht="15" hidden="false" customHeight="true" outlineLevel="0" collapsed="false">
      <c r="A926" s="38" t="n">
        <v>58</v>
      </c>
      <c r="B926" s="38" t="s">
        <v>676</v>
      </c>
      <c r="C926" s="38" t="s">
        <v>171</v>
      </c>
      <c r="D926" s="38" t="s">
        <v>172</v>
      </c>
      <c r="E926" s="38" t="str">
        <f aca="false">A926&amp;"|"&amp;C926&amp;"|"&amp;D926</f>
        <v>58|U|A</v>
      </c>
      <c r="F926" s="43" t="n">
        <v>0</v>
      </c>
      <c r="G926" s="38" t="n">
        <f aca="false">SUMIFS($F$2:$F$1137,$A$2:$A$1137,A926,$C$2:$C$1137,C926)</f>
        <v>1</v>
      </c>
      <c r="H926" s="43" t="n">
        <v>1</v>
      </c>
      <c r="I926" s="45" t="n">
        <f aca="false">IF(G926=0,"",F926/G926)</f>
        <v>0</v>
      </c>
      <c r="J926" s="45" t="n">
        <f aca="false">K926/L926</f>
        <v>0.2</v>
      </c>
      <c r="K926" s="38" t="n">
        <f aca="false">F926+H926</f>
        <v>1</v>
      </c>
      <c r="L926" s="38" t="n">
        <f aca="false">G926+4*H926</f>
        <v>5</v>
      </c>
      <c r="M926" s="38" t="s">
        <v>619</v>
      </c>
      <c r="N926" s="38" t="n">
        <f aca="false">ROUND(SUMIFS($J$2:$J$1137,$A$2:$A$1137,A926,$C$2:$C$1137,C926),9)</f>
        <v>1</v>
      </c>
    </row>
    <row r="927" customFormat="false" ht="15" hidden="false" customHeight="true" outlineLevel="0" collapsed="false">
      <c r="A927" s="38" t="n">
        <v>58</v>
      </c>
      <c r="B927" s="38" t="s">
        <v>676</v>
      </c>
      <c r="C927" s="38" t="s">
        <v>171</v>
      </c>
      <c r="D927" s="38" t="s">
        <v>170</v>
      </c>
      <c r="E927" s="38" t="str">
        <f aca="false">A927&amp;"|"&amp;C927&amp;"|"&amp;D927</f>
        <v>58|U|C</v>
      </c>
      <c r="F927" s="43" t="n">
        <v>1</v>
      </c>
      <c r="G927" s="38" t="n">
        <f aca="false">SUMIFS($F$2:$F$1137,$A$2:$A$1137,A927,$C$2:$C$1137,C927)</f>
        <v>1</v>
      </c>
      <c r="H927" s="43" t="n">
        <v>1</v>
      </c>
      <c r="I927" s="45" t="n">
        <f aca="false">IF(G927=0,"",F927/G927)</f>
        <v>1</v>
      </c>
      <c r="J927" s="45" t="n">
        <f aca="false">K927/L927</f>
        <v>0.4</v>
      </c>
      <c r="K927" s="38" t="n">
        <f aca="false">F927+H927</f>
        <v>2</v>
      </c>
      <c r="L927" s="38" t="n">
        <f aca="false">G927+4*H927</f>
        <v>5</v>
      </c>
      <c r="M927" s="38" t="s">
        <v>619</v>
      </c>
      <c r="N927" s="38" t="n">
        <f aca="false">ROUND(SUMIFS($J$2:$J$1137,$A$2:$A$1137,A927,$C$2:$C$1137,C927),9)</f>
        <v>1</v>
      </c>
    </row>
    <row r="928" customFormat="false" ht="15" hidden="false" customHeight="true" outlineLevel="0" collapsed="false">
      <c r="A928" s="38" t="n">
        <v>58</v>
      </c>
      <c r="B928" s="38" t="s">
        <v>676</v>
      </c>
      <c r="C928" s="38" t="s">
        <v>171</v>
      </c>
      <c r="D928" s="38" t="s">
        <v>169</v>
      </c>
      <c r="E928" s="38" t="str">
        <f aca="false">A928&amp;"|"&amp;C928&amp;"|"&amp;D928</f>
        <v>58|U|G</v>
      </c>
      <c r="F928" s="43" t="n">
        <v>0</v>
      </c>
      <c r="G928" s="38" t="n">
        <f aca="false">SUMIFS($F$2:$F$1137,$A$2:$A$1137,A928,$C$2:$C$1137,C928)</f>
        <v>1</v>
      </c>
      <c r="H928" s="43" t="n">
        <v>1</v>
      </c>
      <c r="I928" s="45" t="n">
        <f aca="false">IF(G928=0,"",F928/G928)</f>
        <v>0</v>
      </c>
      <c r="J928" s="45" t="n">
        <f aca="false">K928/L928</f>
        <v>0.2</v>
      </c>
      <c r="K928" s="38" t="n">
        <f aca="false">F928+H928</f>
        <v>1</v>
      </c>
      <c r="L928" s="38" t="n">
        <f aca="false">G928+4*H928</f>
        <v>5</v>
      </c>
      <c r="M928" s="38" t="s">
        <v>619</v>
      </c>
      <c r="N928" s="38" t="n">
        <f aca="false">ROUND(SUMIFS($J$2:$J$1137,$A$2:$A$1137,A928,$C$2:$C$1137,C928),9)</f>
        <v>1</v>
      </c>
    </row>
    <row r="929" customFormat="false" ht="15" hidden="false" customHeight="true" outlineLevel="0" collapsed="false">
      <c r="A929" s="38" t="n">
        <v>58</v>
      </c>
      <c r="B929" s="38" t="s">
        <v>676</v>
      </c>
      <c r="C929" s="38" t="s">
        <v>171</v>
      </c>
      <c r="D929" s="38" t="s">
        <v>171</v>
      </c>
      <c r="E929" s="38" t="str">
        <f aca="false">A929&amp;"|"&amp;C929&amp;"|"&amp;D929</f>
        <v>58|U|U</v>
      </c>
      <c r="F929" s="43" t="n">
        <v>0</v>
      </c>
      <c r="G929" s="38" t="n">
        <f aca="false">SUMIFS($F$2:$F$1137,$A$2:$A$1137,A929,$C$2:$C$1137,C929)</f>
        <v>1</v>
      </c>
      <c r="H929" s="43" t="n">
        <v>1</v>
      </c>
      <c r="I929" s="45" t="n">
        <f aca="false">IF(G929=0,"",F929/G929)</f>
        <v>0</v>
      </c>
      <c r="J929" s="45" t="n">
        <f aca="false">K929/L929</f>
        <v>0.2</v>
      </c>
      <c r="K929" s="38" t="n">
        <f aca="false">F929+H929</f>
        <v>1</v>
      </c>
      <c r="L929" s="38" t="n">
        <f aca="false">G929+4*H929</f>
        <v>5</v>
      </c>
      <c r="M929" s="38" t="s">
        <v>619</v>
      </c>
      <c r="N929" s="38" t="n">
        <f aca="false">ROUND(SUMIFS($J$2:$J$1137,$A$2:$A$1137,A929,$C$2:$C$1137,C929),9)</f>
        <v>1</v>
      </c>
    </row>
    <row r="930" customFormat="false" ht="15" hidden="false" customHeight="true" outlineLevel="0" collapsed="false">
      <c r="A930" s="38" t="n">
        <v>59</v>
      </c>
      <c r="B930" s="38" t="s">
        <v>677</v>
      </c>
      <c r="C930" s="38" t="s">
        <v>172</v>
      </c>
      <c r="D930" s="38" t="s">
        <v>172</v>
      </c>
      <c r="E930" s="38" t="str">
        <f aca="false">A930&amp;"|"&amp;C930&amp;"|"&amp;D930</f>
        <v>59|A|A</v>
      </c>
      <c r="F930" s="43" t="n">
        <v>1</v>
      </c>
      <c r="G930" s="38" t="n">
        <f aca="false">SUMIFS($F$2:$F$1137,$A$2:$A$1137,A930,$C$2:$C$1137,C930)</f>
        <v>91</v>
      </c>
      <c r="H930" s="43" t="n">
        <v>1</v>
      </c>
      <c r="I930" s="45" t="n">
        <f aca="false">IF(G930=0,"",F930/G930)</f>
        <v>0.010989010989011</v>
      </c>
      <c r="J930" s="45" t="n">
        <f aca="false">K930/L930</f>
        <v>0.0210526315789474</v>
      </c>
      <c r="K930" s="38" t="n">
        <f aca="false">F930+H930</f>
        <v>2</v>
      </c>
      <c r="L930" s="38" t="n">
        <f aca="false">G930+4*H930</f>
        <v>95</v>
      </c>
      <c r="M930" s="38" t="s">
        <v>619</v>
      </c>
      <c r="N930" s="38" t="n">
        <f aca="false">ROUND(SUMIFS($J$2:$J$1137,$A$2:$A$1137,A930,$C$2:$C$1137,C930),9)</f>
        <v>1</v>
      </c>
    </row>
    <row r="931" customFormat="false" ht="15" hidden="false" customHeight="true" outlineLevel="0" collapsed="false">
      <c r="A931" s="38" t="n">
        <v>59</v>
      </c>
      <c r="B931" s="38" t="s">
        <v>677</v>
      </c>
      <c r="C931" s="38" t="s">
        <v>172</v>
      </c>
      <c r="D931" s="38" t="s">
        <v>170</v>
      </c>
      <c r="E931" s="38" t="str">
        <f aca="false">A931&amp;"|"&amp;C931&amp;"|"&amp;D931</f>
        <v>59|A|C</v>
      </c>
      <c r="F931" s="43" t="n">
        <v>9</v>
      </c>
      <c r="G931" s="38" t="n">
        <f aca="false">SUMIFS($F$2:$F$1137,$A$2:$A$1137,A931,$C$2:$C$1137,C931)</f>
        <v>91</v>
      </c>
      <c r="H931" s="43" t="n">
        <v>1</v>
      </c>
      <c r="I931" s="45" t="n">
        <f aca="false">IF(G931=0,"",F931/G931)</f>
        <v>0.0989010989010989</v>
      </c>
      <c r="J931" s="45" t="n">
        <f aca="false">K931/L931</f>
        <v>0.105263157894737</v>
      </c>
      <c r="K931" s="38" t="n">
        <f aca="false">F931+H931</f>
        <v>10</v>
      </c>
      <c r="L931" s="38" t="n">
        <f aca="false">G931+4*H931</f>
        <v>95</v>
      </c>
      <c r="M931" s="38" t="s">
        <v>619</v>
      </c>
      <c r="N931" s="38" t="n">
        <f aca="false">ROUND(SUMIFS($J$2:$J$1137,$A$2:$A$1137,A931,$C$2:$C$1137,C931),9)</f>
        <v>1</v>
      </c>
    </row>
    <row r="932" customFormat="false" ht="15" hidden="false" customHeight="true" outlineLevel="0" collapsed="false">
      <c r="A932" s="38" t="n">
        <v>59</v>
      </c>
      <c r="B932" s="38" t="s">
        <v>677</v>
      </c>
      <c r="C932" s="38" t="s">
        <v>172</v>
      </c>
      <c r="D932" s="38" t="s">
        <v>169</v>
      </c>
      <c r="E932" s="38" t="str">
        <f aca="false">A932&amp;"|"&amp;C932&amp;"|"&amp;D932</f>
        <v>59|A|G</v>
      </c>
      <c r="F932" s="43" t="n">
        <v>1</v>
      </c>
      <c r="G932" s="38" t="n">
        <f aca="false">SUMIFS($F$2:$F$1137,$A$2:$A$1137,A932,$C$2:$C$1137,C932)</f>
        <v>91</v>
      </c>
      <c r="H932" s="43" t="n">
        <v>1</v>
      </c>
      <c r="I932" s="45" t="n">
        <f aca="false">IF(G932=0,"",F932/G932)</f>
        <v>0.010989010989011</v>
      </c>
      <c r="J932" s="45" t="n">
        <f aca="false">K932/L932</f>
        <v>0.0210526315789474</v>
      </c>
      <c r="K932" s="38" t="n">
        <f aca="false">F932+H932</f>
        <v>2</v>
      </c>
      <c r="L932" s="38" t="n">
        <f aca="false">G932+4*H932</f>
        <v>95</v>
      </c>
      <c r="M932" s="38" t="s">
        <v>619</v>
      </c>
      <c r="N932" s="38" t="n">
        <f aca="false">ROUND(SUMIFS($J$2:$J$1137,$A$2:$A$1137,A932,$C$2:$C$1137,C932),9)</f>
        <v>1</v>
      </c>
    </row>
    <row r="933" customFormat="false" ht="15" hidden="false" customHeight="true" outlineLevel="0" collapsed="false">
      <c r="A933" s="38" t="n">
        <v>59</v>
      </c>
      <c r="B933" s="38" t="s">
        <v>677</v>
      </c>
      <c r="C933" s="38" t="s">
        <v>172</v>
      </c>
      <c r="D933" s="38" t="s">
        <v>171</v>
      </c>
      <c r="E933" s="38" t="str">
        <f aca="false">A933&amp;"|"&amp;C933&amp;"|"&amp;D933</f>
        <v>59|A|U</v>
      </c>
      <c r="F933" s="43" t="n">
        <v>80</v>
      </c>
      <c r="G933" s="38" t="n">
        <f aca="false">SUMIFS($F$2:$F$1137,$A$2:$A$1137,A933,$C$2:$C$1137,C933)</f>
        <v>91</v>
      </c>
      <c r="H933" s="43" t="n">
        <v>1</v>
      </c>
      <c r="I933" s="45" t="n">
        <f aca="false">IF(G933=0,"",F933/G933)</f>
        <v>0.879120879120879</v>
      </c>
      <c r="J933" s="45" t="n">
        <f aca="false">K933/L933</f>
        <v>0.852631578947368</v>
      </c>
      <c r="K933" s="38" t="n">
        <f aca="false">F933+H933</f>
        <v>81</v>
      </c>
      <c r="L933" s="38" t="n">
        <f aca="false">G933+4*H933</f>
        <v>95</v>
      </c>
      <c r="M933" s="38" t="s">
        <v>619</v>
      </c>
      <c r="N933" s="38" t="n">
        <f aca="false">ROUND(SUMIFS($J$2:$J$1137,$A$2:$A$1137,A933,$C$2:$C$1137,C933),9)</f>
        <v>1</v>
      </c>
    </row>
    <row r="934" customFormat="false" ht="15" hidden="false" customHeight="true" outlineLevel="0" collapsed="false">
      <c r="A934" s="38" t="n">
        <v>59</v>
      </c>
      <c r="B934" s="38" t="s">
        <v>677</v>
      </c>
      <c r="C934" s="38" t="s">
        <v>170</v>
      </c>
      <c r="D934" s="38" t="s">
        <v>172</v>
      </c>
      <c r="E934" s="38" t="str">
        <f aca="false">A934&amp;"|"&amp;C934&amp;"|"&amp;D934</f>
        <v>59|C|A</v>
      </c>
      <c r="F934" s="43" t="n">
        <v>0</v>
      </c>
      <c r="G934" s="38" t="n">
        <f aca="false">SUMIFS($F$2:$F$1137,$A$2:$A$1137,A934,$C$2:$C$1137,C934)</f>
        <v>12</v>
      </c>
      <c r="H934" s="43" t="n">
        <v>1</v>
      </c>
      <c r="I934" s="45" t="n">
        <f aca="false">IF(G934=0,"",F934/G934)</f>
        <v>0</v>
      </c>
      <c r="J934" s="45" t="n">
        <f aca="false">K934/L934</f>
        <v>0.0625</v>
      </c>
      <c r="K934" s="38" t="n">
        <f aca="false">F934+H934</f>
        <v>1</v>
      </c>
      <c r="L934" s="38" t="n">
        <f aca="false">G934+4*H934</f>
        <v>16</v>
      </c>
      <c r="M934" s="38" t="s">
        <v>619</v>
      </c>
      <c r="N934" s="38" t="n">
        <f aca="false">ROUND(SUMIFS($J$2:$J$1137,$A$2:$A$1137,A934,$C$2:$C$1137,C934),9)</f>
        <v>1</v>
      </c>
    </row>
    <row r="935" customFormat="false" ht="15" hidden="false" customHeight="true" outlineLevel="0" collapsed="false">
      <c r="A935" s="38" t="n">
        <v>59</v>
      </c>
      <c r="B935" s="38" t="s">
        <v>677</v>
      </c>
      <c r="C935" s="38" t="s">
        <v>170</v>
      </c>
      <c r="D935" s="38" t="s">
        <v>170</v>
      </c>
      <c r="E935" s="38" t="str">
        <f aca="false">A935&amp;"|"&amp;C935&amp;"|"&amp;D935</f>
        <v>59|C|C</v>
      </c>
      <c r="F935" s="43" t="n">
        <v>3</v>
      </c>
      <c r="G935" s="38" t="n">
        <f aca="false">SUMIFS($F$2:$F$1137,$A$2:$A$1137,A935,$C$2:$C$1137,C935)</f>
        <v>12</v>
      </c>
      <c r="H935" s="43" t="n">
        <v>1</v>
      </c>
      <c r="I935" s="45" t="n">
        <f aca="false">IF(G935=0,"",F935/G935)</f>
        <v>0.25</v>
      </c>
      <c r="J935" s="45" t="n">
        <f aca="false">K935/L935</f>
        <v>0.25</v>
      </c>
      <c r="K935" s="38" t="n">
        <f aca="false">F935+H935</f>
        <v>4</v>
      </c>
      <c r="L935" s="38" t="n">
        <f aca="false">G935+4*H935</f>
        <v>16</v>
      </c>
      <c r="M935" s="38" t="s">
        <v>619</v>
      </c>
      <c r="N935" s="38" t="n">
        <f aca="false">ROUND(SUMIFS($J$2:$J$1137,$A$2:$A$1137,A935,$C$2:$C$1137,C935),9)</f>
        <v>1</v>
      </c>
    </row>
    <row r="936" customFormat="false" ht="15" hidden="false" customHeight="true" outlineLevel="0" collapsed="false">
      <c r="A936" s="38" t="n">
        <v>59</v>
      </c>
      <c r="B936" s="38" t="s">
        <v>677</v>
      </c>
      <c r="C936" s="38" t="s">
        <v>170</v>
      </c>
      <c r="D936" s="38" t="s">
        <v>169</v>
      </c>
      <c r="E936" s="38" t="str">
        <f aca="false">A936&amp;"|"&amp;C936&amp;"|"&amp;D936</f>
        <v>59|C|G</v>
      </c>
      <c r="F936" s="43" t="n">
        <v>1</v>
      </c>
      <c r="G936" s="38" t="n">
        <f aca="false">SUMIFS($F$2:$F$1137,$A$2:$A$1137,A936,$C$2:$C$1137,C936)</f>
        <v>12</v>
      </c>
      <c r="H936" s="43" t="n">
        <v>1</v>
      </c>
      <c r="I936" s="45" t="n">
        <f aca="false">IF(G936=0,"",F936/G936)</f>
        <v>0.0833333333333333</v>
      </c>
      <c r="J936" s="45" t="n">
        <f aca="false">K936/L936</f>
        <v>0.125</v>
      </c>
      <c r="K936" s="38" t="n">
        <f aca="false">F936+H936</f>
        <v>2</v>
      </c>
      <c r="L936" s="38" t="n">
        <f aca="false">G936+4*H936</f>
        <v>16</v>
      </c>
      <c r="M936" s="38" t="s">
        <v>619</v>
      </c>
      <c r="N936" s="38" t="n">
        <f aca="false">ROUND(SUMIFS($J$2:$J$1137,$A$2:$A$1137,A936,$C$2:$C$1137,C936),9)</f>
        <v>1</v>
      </c>
    </row>
    <row r="937" customFormat="false" ht="15" hidden="false" customHeight="true" outlineLevel="0" collapsed="false">
      <c r="A937" s="38" t="n">
        <v>59</v>
      </c>
      <c r="B937" s="38" t="s">
        <v>677</v>
      </c>
      <c r="C937" s="38" t="s">
        <v>170</v>
      </c>
      <c r="D937" s="38" t="s">
        <v>171</v>
      </c>
      <c r="E937" s="38" t="str">
        <f aca="false">A937&amp;"|"&amp;C937&amp;"|"&amp;D937</f>
        <v>59|C|U</v>
      </c>
      <c r="F937" s="43" t="n">
        <v>8</v>
      </c>
      <c r="G937" s="38" t="n">
        <f aca="false">SUMIFS($F$2:$F$1137,$A$2:$A$1137,A937,$C$2:$C$1137,C937)</f>
        <v>12</v>
      </c>
      <c r="H937" s="43" t="n">
        <v>1</v>
      </c>
      <c r="I937" s="45" t="n">
        <f aca="false">IF(G937=0,"",F937/G937)</f>
        <v>0.666666666666667</v>
      </c>
      <c r="J937" s="45" t="n">
        <f aca="false">K937/L937</f>
        <v>0.5625</v>
      </c>
      <c r="K937" s="38" t="n">
        <f aca="false">F937+H937</f>
        <v>9</v>
      </c>
      <c r="L937" s="38" t="n">
        <f aca="false">G937+4*H937</f>
        <v>16</v>
      </c>
      <c r="M937" s="38" t="s">
        <v>619</v>
      </c>
      <c r="N937" s="38" t="n">
        <f aca="false">ROUND(SUMIFS($J$2:$J$1137,$A$2:$A$1137,A937,$C$2:$C$1137,C937),9)</f>
        <v>1</v>
      </c>
    </row>
    <row r="938" customFormat="false" ht="15" hidden="false" customHeight="true" outlineLevel="0" collapsed="false">
      <c r="A938" s="38" t="n">
        <v>59</v>
      </c>
      <c r="B938" s="38" t="s">
        <v>677</v>
      </c>
      <c r="C938" s="38" t="s">
        <v>169</v>
      </c>
      <c r="D938" s="38" t="s">
        <v>172</v>
      </c>
      <c r="E938" s="38" t="str">
        <f aca="false">A938&amp;"|"&amp;C938&amp;"|"&amp;D938</f>
        <v>59|G|A</v>
      </c>
      <c r="F938" s="43" t="n">
        <v>0</v>
      </c>
      <c r="G938" s="38" t="n">
        <f aca="false">SUMIFS($F$2:$F$1137,$A$2:$A$1137,A938,$C$2:$C$1137,C938)</f>
        <v>46</v>
      </c>
      <c r="H938" s="43" t="n">
        <v>1</v>
      </c>
      <c r="I938" s="45" t="n">
        <f aca="false">IF(G938=0,"",F938/G938)</f>
        <v>0</v>
      </c>
      <c r="J938" s="45" t="n">
        <f aca="false">K938/L938</f>
        <v>0.02</v>
      </c>
      <c r="K938" s="38" t="n">
        <f aca="false">F938+H938</f>
        <v>1</v>
      </c>
      <c r="L938" s="38" t="n">
        <f aca="false">G938+4*H938</f>
        <v>50</v>
      </c>
      <c r="M938" s="38" t="s">
        <v>619</v>
      </c>
      <c r="N938" s="38" t="n">
        <f aca="false">ROUND(SUMIFS($J$2:$J$1137,$A$2:$A$1137,A938,$C$2:$C$1137,C938),9)</f>
        <v>1</v>
      </c>
    </row>
    <row r="939" customFormat="false" ht="15" hidden="false" customHeight="true" outlineLevel="0" collapsed="false">
      <c r="A939" s="38" t="n">
        <v>59</v>
      </c>
      <c r="B939" s="38" t="s">
        <v>677</v>
      </c>
      <c r="C939" s="38" t="s">
        <v>169</v>
      </c>
      <c r="D939" s="38" t="s">
        <v>170</v>
      </c>
      <c r="E939" s="38" t="str">
        <f aca="false">A939&amp;"|"&amp;C939&amp;"|"&amp;D939</f>
        <v>59|G|C</v>
      </c>
      <c r="F939" s="43" t="n">
        <v>6</v>
      </c>
      <c r="G939" s="38" t="n">
        <f aca="false">SUMIFS($F$2:$F$1137,$A$2:$A$1137,A939,$C$2:$C$1137,C939)</f>
        <v>46</v>
      </c>
      <c r="H939" s="43" t="n">
        <v>1</v>
      </c>
      <c r="I939" s="45" t="n">
        <f aca="false">IF(G939=0,"",F939/G939)</f>
        <v>0.130434782608696</v>
      </c>
      <c r="J939" s="45" t="n">
        <f aca="false">K939/L939</f>
        <v>0.14</v>
      </c>
      <c r="K939" s="38" t="n">
        <f aca="false">F939+H939</f>
        <v>7</v>
      </c>
      <c r="L939" s="38" t="n">
        <f aca="false">G939+4*H939</f>
        <v>50</v>
      </c>
      <c r="M939" s="38" t="s">
        <v>619</v>
      </c>
      <c r="N939" s="38" t="n">
        <f aca="false">ROUND(SUMIFS($J$2:$J$1137,$A$2:$A$1137,A939,$C$2:$C$1137,C939),9)</f>
        <v>1</v>
      </c>
    </row>
    <row r="940" customFormat="false" ht="15" hidden="false" customHeight="true" outlineLevel="0" collapsed="false">
      <c r="A940" s="38" t="n">
        <v>59</v>
      </c>
      <c r="B940" s="38" t="s">
        <v>677</v>
      </c>
      <c r="C940" s="38" t="s">
        <v>169</v>
      </c>
      <c r="D940" s="38" t="s">
        <v>169</v>
      </c>
      <c r="E940" s="38" t="str">
        <f aca="false">A940&amp;"|"&amp;C940&amp;"|"&amp;D940</f>
        <v>59|G|G</v>
      </c>
      <c r="F940" s="43" t="n">
        <v>0</v>
      </c>
      <c r="G940" s="38" t="n">
        <f aca="false">SUMIFS($F$2:$F$1137,$A$2:$A$1137,A940,$C$2:$C$1137,C940)</f>
        <v>46</v>
      </c>
      <c r="H940" s="43" t="n">
        <v>1</v>
      </c>
      <c r="I940" s="45" t="n">
        <f aca="false">IF(G940=0,"",F940/G940)</f>
        <v>0</v>
      </c>
      <c r="J940" s="45" t="n">
        <f aca="false">K940/L940</f>
        <v>0.02</v>
      </c>
      <c r="K940" s="38" t="n">
        <f aca="false">F940+H940</f>
        <v>1</v>
      </c>
      <c r="L940" s="38" t="n">
        <f aca="false">G940+4*H940</f>
        <v>50</v>
      </c>
      <c r="M940" s="38" t="s">
        <v>619</v>
      </c>
      <c r="N940" s="38" t="n">
        <f aca="false">ROUND(SUMIFS($J$2:$J$1137,$A$2:$A$1137,A940,$C$2:$C$1137,C940),9)</f>
        <v>1</v>
      </c>
    </row>
    <row r="941" customFormat="false" ht="15" hidden="false" customHeight="true" outlineLevel="0" collapsed="false">
      <c r="A941" s="38" t="n">
        <v>59</v>
      </c>
      <c r="B941" s="38" t="s">
        <v>677</v>
      </c>
      <c r="C941" s="38" t="s">
        <v>169</v>
      </c>
      <c r="D941" s="38" t="s">
        <v>171</v>
      </c>
      <c r="E941" s="38" t="str">
        <f aca="false">A941&amp;"|"&amp;C941&amp;"|"&amp;D941</f>
        <v>59|G|U</v>
      </c>
      <c r="F941" s="43" t="n">
        <v>40</v>
      </c>
      <c r="G941" s="38" t="n">
        <f aca="false">SUMIFS($F$2:$F$1137,$A$2:$A$1137,A941,$C$2:$C$1137,C941)</f>
        <v>46</v>
      </c>
      <c r="H941" s="43" t="n">
        <v>1</v>
      </c>
      <c r="I941" s="45" t="n">
        <f aca="false">IF(G941=0,"",F941/G941)</f>
        <v>0.869565217391304</v>
      </c>
      <c r="J941" s="45" t="n">
        <f aca="false">K941/L941</f>
        <v>0.82</v>
      </c>
      <c r="K941" s="38" t="n">
        <f aca="false">F941+H941</f>
        <v>41</v>
      </c>
      <c r="L941" s="38" t="n">
        <f aca="false">G941+4*H941</f>
        <v>50</v>
      </c>
      <c r="M941" s="38" t="s">
        <v>619</v>
      </c>
      <c r="N941" s="38" t="n">
        <f aca="false">ROUND(SUMIFS($J$2:$J$1137,$A$2:$A$1137,A941,$C$2:$C$1137,C941),9)</f>
        <v>1</v>
      </c>
    </row>
    <row r="942" customFormat="false" ht="15" hidden="false" customHeight="true" outlineLevel="0" collapsed="false">
      <c r="A942" s="38" t="n">
        <v>59</v>
      </c>
      <c r="B942" s="38" t="s">
        <v>677</v>
      </c>
      <c r="C942" s="38" t="s">
        <v>171</v>
      </c>
      <c r="D942" s="38" t="s">
        <v>172</v>
      </c>
      <c r="E942" s="38" t="str">
        <f aca="false">A942&amp;"|"&amp;C942&amp;"|"&amp;D942</f>
        <v>59|U|A</v>
      </c>
      <c r="F942" s="43" t="n">
        <v>0</v>
      </c>
      <c r="G942" s="38" t="n">
        <f aca="false">SUMIFS($F$2:$F$1137,$A$2:$A$1137,A942,$C$2:$C$1137,C942)</f>
        <v>50</v>
      </c>
      <c r="H942" s="43" t="n">
        <v>1</v>
      </c>
      <c r="I942" s="45" t="n">
        <f aca="false">IF(G942=0,"",F942/G942)</f>
        <v>0</v>
      </c>
      <c r="J942" s="45" t="n">
        <f aca="false">K942/L942</f>
        <v>0.0185185185185185</v>
      </c>
      <c r="K942" s="38" t="n">
        <f aca="false">F942+H942</f>
        <v>1</v>
      </c>
      <c r="L942" s="38" t="n">
        <f aca="false">G942+4*H942</f>
        <v>54</v>
      </c>
      <c r="M942" s="38" t="s">
        <v>619</v>
      </c>
      <c r="N942" s="38" t="n">
        <f aca="false">ROUND(SUMIFS($J$2:$J$1137,$A$2:$A$1137,A942,$C$2:$C$1137,C942),9)</f>
        <v>1</v>
      </c>
    </row>
    <row r="943" customFormat="false" ht="15" hidden="false" customHeight="true" outlineLevel="0" collapsed="false">
      <c r="A943" s="38" t="n">
        <v>59</v>
      </c>
      <c r="B943" s="38" t="s">
        <v>677</v>
      </c>
      <c r="C943" s="38" t="s">
        <v>171</v>
      </c>
      <c r="D943" s="38" t="s">
        <v>170</v>
      </c>
      <c r="E943" s="38" t="str">
        <f aca="false">A943&amp;"|"&amp;C943&amp;"|"&amp;D943</f>
        <v>59|U|C</v>
      </c>
      <c r="F943" s="43" t="n">
        <v>22</v>
      </c>
      <c r="G943" s="38" t="n">
        <f aca="false">SUMIFS($F$2:$F$1137,$A$2:$A$1137,A943,$C$2:$C$1137,C943)</f>
        <v>50</v>
      </c>
      <c r="H943" s="43" t="n">
        <v>1</v>
      </c>
      <c r="I943" s="45" t="n">
        <f aca="false">IF(G943=0,"",F943/G943)</f>
        <v>0.44</v>
      </c>
      <c r="J943" s="45" t="n">
        <f aca="false">K943/L943</f>
        <v>0.425925925925926</v>
      </c>
      <c r="K943" s="38" t="n">
        <f aca="false">F943+H943</f>
        <v>23</v>
      </c>
      <c r="L943" s="38" t="n">
        <f aca="false">G943+4*H943</f>
        <v>54</v>
      </c>
      <c r="M943" s="38" t="s">
        <v>619</v>
      </c>
      <c r="N943" s="38" t="n">
        <f aca="false">ROUND(SUMIFS($J$2:$J$1137,$A$2:$A$1137,A943,$C$2:$C$1137,C943),9)</f>
        <v>1</v>
      </c>
    </row>
    <row r="944" customFormat="false" ht="15" hidden="false" customHeight="true" outlineLevel="0" collapsed="false">
      <c r="A944" s="38" t="n">
        <v>59</v>
      </c>
      <c r="B944" s="38" t="s">
        <v>677</v>
      </c>
      <c r="C944" s="38" t="s">
        <v>171</v>
      </c>
      <c r="D944" s="38" t="s">
        <v>169</v>
      </c>
      <c r="E944" s="38" t="str">
        <f aca="false">A944&amp;"|"&amp;C944&amp;"|"&amp;D944</f>
        <v>59|U|G</v>
      </c>
      <c r="F944" s="43" t="n">
        <v>0</v>
      </c>
      <c r="G944" s="38" t="n">
        <f aca="false">SUMIFS($F$2:$F$1137,$A$2:$A$1137,A944,$C$2:$C$1137,C944)</f>
        <v>50</v>
      </c>
      <c r="H944" s="43" t="n">
        <v>1</v>
      </c>
      <c r="I944" s="45" t="n">
        <f aca="false">IF(G944=0,"",F944/G944)</f>
        <v>0</v>
      </c>
      <c r="J944" s="45" t="n">
        <f aca="false">K944/L944</f>
        <v>0.0185185185185185</v>
      </c>
      <c r="K944" s="38" t="n">
        <f aca="false">F944+H944</f>
        <v>1</v>
      </c>
      <c r="L944" s="38" t="n">
        <f aca="false">G944+4*H944</f>
        <v>54</v>
      </c>
      <c r="M944" s="38" t="s">
        <v>619</v>
      </c>
      <c r="N944" s="38" t="n">
        <f aca="false">ROUND(SUMIFS($J$2:$J$1137,$A$2:$A$1137,A944,$C$2:$C$1137,C944),9)</f>
        <v>1</v>
      </c>
    </row>
    <row r="945" customFormat="false" ht="15" hidden="false" customHeight="true" outlineLevel="0" collapsed="false">
      <c r="A945" s="38" t="n">
        <v>59</v>
      </c>
      <c r="B945" s="38" t="s">
        <v>677</v>
      </c>
      <c r="C945" s="38" t="s">
        <v>171</v>
      </c>
      <c r="D945" s="38" t="s">
        <v>171</v>
      </c>
      <c r="E945" s="38" t="str">
        <f aca="false">A945&amp;"|"&amp;C945&amp;"|"&amp;D945</f>
        <v>59|U|U</v>
      </c>
      <c r="F945" s="43" t="n">
        <v>28</v>
      </c>
      <c r="G945" s="38" t="n">
        <f aca="false">SUMIFS($F$2:$F$1137,$A$2:$A$1137,A945,$C$2:$C$1137,C945)</f>
        <v>50</v>
      </c>
      <c r="H945" s="43" t="n">
        <v>1</v>
      </c>
      <c r="I945" s="45" t="n">
        <f aca="false">IF(G945=0,"",F945/G945)</f>
        <v>0.56</v>
      </c>
      <c r="J945" s="45" t="n">
        <f aca="false">K945/L945</f>
        <v>0.537037037037037</v>
      </c>
      <c r="K945" s="38" t="n">
        <f aca="false">F945+H945</f>
        <v>29</v>
      </c>
      <c r="L945" s="38" t="n">
        <f aca="false">G945+4*H945</f>
        <v>54</v>
      </c>
      <c r="M945" s="38" t="s">
        <v>619</v>
      </c>
      <c r="N945" s="38" t="n">
        <f aca="false">ROUND(SUMIFS($J$2:$J$1137,$A$2:$A$1137,A945,$C$2:$C$1137,C945),9)</f>
        <v>1</v>
      </c>
    </row>
    <row r="946" customFormat="false" ht="15" hidden="false" customHeight="true" outlineLevel="0" collapsed="false">
      <c r="A946" s="38" t="n">
        <v>60</v>
      </c>
      <c r="B946" s="38" t="s">
        <v>678</v>
      </c>
      <c r="C946" s="38" t="s">
        <v>172</v>
      </c>
      <c r="D946" s="38" t="s">
        <v>172</v>
      </c>
      <c r="E946" s="38" t="str">
        <f aca="false">A946&amp;"|"&amp;C946&amp;"|"&amp;D946</f>
        <v>60|A|A</v>
      </c>
      <c r="F946" s="43" t="n">
        <v>0</v>
      </c>
      <c r="G946" s="38" t="n">
        <f aca="false">SUMIFS($F$2:$F$1137,$A$2:$A$1137,A946,$C$2:$C$1137,C946)</f>
        <v>1</v>
      </c>
      <c r="H946" s="43" t="n">
        <v>1</v>
      </c>
      <c r="I946" s="45" t="n">
        <f aca="false">IF(G946=0,"",F946/G946)</f>
        <v>0</v>
      </c>
      <c r="J946" s="45" t="n">
        <f aca="false">K946/L946</f>
        <v>0.2</v>
      </c>
      <c r="K946" s="38" t="n">
        <f aca="false">F946+H946</f>
        <v>1</v>
      </c>
      <c r="L946" s="38" t="n">
        <f aca="false">G946+4*H946</f>
        <v>5</v>
      </c>
      <c r="M946" s="38" t="s">
        <v>619</v>
      </c>
      <c r="N946" s="38" t="n">
        <f aca="false">ROUND(SUMIFS($J$2:$J$1137,$A$2:$A$1137,A946,$C$2:$C$1137,C946),9)</f>
        <v>1</v>
      </c>
    </row>
    <row r="947" customFormat="false" ht="15" hidden="false" customHeight="true" outlineLevel="0" collapsed="false">
      <c r="A947" s="38" t="n">
        <v>60</v>
      </c>
      <c r="B947" s="38" t="s">
        <v>678</v>
      </c>
      <c r="C947" s="38" t="s">
        <v>172</v>
      </c>
      <c r="D947" s="38" t="s">
        <v>170</v>
      </c>
      <c r="E947" s="38" t="str">
        <f aca="false">A947&amp;"|"&amp;C947&amp;"|"&amp;D947</f>
        <v>60|A|C</v>
      </c>
      <c r="F947" s="43" t="n">
        <v>1</v>
      </c>
      <c r="G947" s="38" t="n">
        <f aca="false">SUMIFS($F$2:$F$1137,$A$2:$A$1137,A947,$C$2:$C$1137,C947)</f>
        <v>1</v>
      </c>
      <c r="H947" s="43" t="n">
        <v>1</v>
      </c>
      <c r="I947" s="45" t="n">
        <f aca="false">IF(G947=0,"",F947/G947)</f>
        <v>1</v>
      </c>
      <c r="J947" s="45" t="n">
        <f aca="false">K947/L947</f>
        <v>0.4</v>
      </c>
      <c r="K947" s="38" t="n">
        <f aca="false">F947+H947</f>
        <v>2</v>
      </c>
      <c r="L947" s="38" t="n">
        <f aca="false">G947+4*H947</f>
        <v>5</v>
      </c>
      <c r="M947" s="38" t="s">
        <v>619</v>
      </c>
      <c r="N947" s="38" t="n">
        <f aca="false">ROUND(SUMIFS($J$2:$J$1137,$A$2:$A$1137,A947,$C$2:$C$1137,C947),9)</f>
        <v>1</v>
      </c>
    </row>
    <row r="948" customFormat="false" ht="15" hidden="false" customHeight="true" outlineLevel="0" collapsed="false">
      <c r="A948" s="38" t="n">
        <v>60</v>
      </c>
      <c r="B948" s="38" t="s">
        <v>678</v>
      </c>
      <c r="C948" s="38" t="s">
        <v>172</v>
      </c>
      <c r="D948" s="38" t="s">
        <v>169</v>
      </c>
      <c r="E948" s="38" t="str">
        <f aca="false">A948&amp;"|"&amp;C948&amp;"|"&amp;D948</f>
        <v>60|A|G</v>
      </c>
      <c r="F948" s="43" t="n">
        <v>0</v>
      </c>
      <c r="G948" s="38" t="n">
        <f aca="false">SUMIFS($F$2:$F$1137,$A$2:$A$1137,A948,$C$2:$C$1137,C948)</f>
        <v>1</v>
      </c>
      <c r="H948" s="43" t="n">
        <v>1</v>
      </c>
      <c r="I948" s="45" t="n">
        <f aca="false">IF(G948=0,"",F948/G948)</f>
        <v>0</v>
      </c>
      <c r="J948" s="45" t="n">
        <f aca="false">K948/L948</f>
        <v>0.2</v>
      </c>
      <c r="K948" s="38" t="n">
        <f aca="false">F948+H948</f>
        <v>1</v>
      </c>
      <c r="L948" s="38" t="n">
        <f aca="false">G948+4*H948</f>
        <v>5</v>
      </c>
      <c r="M948" s="38" t="s">
        <v>619</v>
      </c>
      <c r="N948" s="38" t="n">
        <f aca="false">ROUND(SUMIFS($J$2:$J$1137,$A$2:$A$1137,A948,$C$2:$C$1137,C948),9)</f>
        <v>1</v>
      </c>
    </row>
    <row r="949" customFormat="false" ht="15" hidden="false" customHeight="true" outlineLevel="0" collapsed="false">
      <c r="A949" s="38" t="n">
        <v>60</v>
      </c>
      <c r="B949" s="38" t="s">
        <v>678</v>
      </c>
      <c r="C949" s="38" t="s">
        <v>172</v>
      </c>
      <c r="D949" s="38" t="s">
        <v>171</v>
      </c>
      <c r="E949" s="38" t="str">
        <f aca="false">A949&amp;"|"&amp;C949&amp;"|"&amp;D949</f>
        <v>60|A|U</v>
      </c>
      <c r="F949" s="43" t="n">
        <v>0</v>
      </c>
      <c r="G949" s="38" t="n">
        <f aca="false">SUMIFS($F$2:$F$1137,$A$2:$A$1137,A949,$C$2:$C$1137,C949)</f>
        <v>1</v>
      </c>
      <c r="H949" s="43" t="n">
        <v>1</v>
      </c>
      <c r="I949" s="45" t="n">
        <f aca="false">IF(G949=0,"",F949/G949)</f>
        <v>0</v>
      </c>
      <c r="J949" s="45" t="n">
        <f aca="false">K949/L949</f>
        <v>0.2</v>
      </c>
      <c r="K949" s="38" t="n">
        <f aca="false">F949+H949</f>
        <v>1</v>
      </c>
      <c r="L949" s="38" t="n">
        <f aca="false">G949+4*H949</f>
        <v>5</v>
      </c>
      <c r="M949" s="38" t="s">
        <v>619</v>
      </c>
      <c r="N949" s="38" t="n">
        <f aca="false">ROUND(SUMIFS($J$2:$J$1137,$A$2:$A$1137,A949,$C$2:$C$1137,C949),9)</f>
        <v>1</v>
      </c>
    </row>
    <row r="950" customFormat="false" ht="15" hidden="false" customHeight="true" outlineLevel="0" collapsed="false">
      <c r="A950" s="38" t="n">
        <v>60</v>
      </c>
      <c r="B950" s="38" t="s">
        <v>678</v>
      </c>
      <c r="C950" s="38" t="s">
        <v>170</v>
      </c>
      <c r="D950" s="38" t="s">
        <v>172</v>
      </c>
      <c r="E950" s="38" t="str">
        <f aca="false">A950&amp;"|"&amp;C950&amp;"|"&amp;D950</f>
        <v>60|C|A</v>
      </c>
      <c r="F950" s="43" t="n">
        <v>0</v>
      </c>
      <c r="G950" s="38" t="n">
        <f aca="false">SUMIFS($F$2:$F$1137,$A$2:$A$1137,A950,$C$2:$C$1137,C950)</f>
        <v>40</v>
      </c>
      <c r="H950" s="43" t="n">
        <v>1</v>
      </c>
      <c r="I950" s="45" t="n">
        <f aca="false">IF(G950=0,"",F950/G950)</f>
        <v>0</v>
      </c>
      <c r="J950" s="45" t="n">
        <f aca="false">K950/L950</f>
        <v>0.0227272727272727</v>
      </c>
      <c r="K950" s="38" t="n">
        <f aca="false">F950+H950</f>
        <v>1</v>
      </c>
      <c r="L950" s="38" t="n">
        <f aca="false">G950+4*H950</f>
        <v>44</v>
      </c>
      <c r="M950" s="38" t="s">
        <v>619</v>
      </c>
      <c r="N950" s="38" t="n">
        <f aca="false">ROUND(SUMIFS($J$2:$J$1137,$A$2:$A$1137,A950,$C$2:$C$1137,C950),9)</f>
        <v>1</v>
      </c>
    </row>
    <row r="951" customFormat="false" ht="15" hidden="false" customHeight="true" outlineLevel="0" collapsed="false">
      <c r="A951" s="38" t="n">
        <v>60</v>
      </c>
      <c r="B951" s="38" t="s">
        <v>678</v>
      </c>
      <c r="C951" s="38" t="s">
        <v>170</v>
      </c>
      <c r="D951" s="38" t="s">
        <v>170</v>
      </c>
      <c r="E951" s="38" t="str">
        <f aca="false">A951&amp;"|"&amp;C951&amp;"|"&amp;D951</f>
        <v>60|C|C</v>
      </c>
      <c r="F951" s="43" t="n">
        <v>40</v>
      </c>
      <c r="G951" s="38" t="n">
        <f aca="false">SUMIFS($F$2:$F$1137,$A$2:$A$1137,A951,$C$2:$C$1137,C951)</f>
        <v>40</v>
      </c>
      <c r="H951" s="43" t="n">
        <v>1</v>
      </c>
      <c r="I951" s="45" t="n">
        <f aca="false">IF(G951=0,"",F951/G951)</f>
        <v>1</v>
      </c>
      <c r="J951" s="45" t="n">
        <f aca="false">K951/L951</f>
        <v>0.931818181818182</v>
      </c>
      <c r="K951" s="38" t="n">
        <f aca="false">F951+H951</f>
        <v>41</v>
      </c>
      <c r="L951" s="38" t="n">
        <f aca="false">G951+4*H951</f>
        <v>44</v>
      </c>
      <c r="M951" s="38" t="s">
        <v>619</v>
      </c>
      <c r="N951" s="38" t="n">
        <f aca="false">ROUND(SUMIFS($J$2:$J$1137,$A$2:$A$1137,A951,$C$2:$C$1137,C951),9)</f>
        <v>1</v>
      </c>
    </row>
    <row r="952" customFormat="false" ht="15" hidden="false" customHeight="true" outlineLevel="0" collapsed="false">
      <c r="A952" s="38" t="n">
        <v>60</v>
      </c>
      <c r="B952" s="38" t="s">
        <v>678</v>
      </c>
      <c r="C952" s="38" t="s">
        <v>170</v>
      </c>
      <c r="D952" s="38" t="s">
        <v>169</v>
      </c>
      <c r="E952" s="38" t="str">
        <f aca="false">A952&amp;"|"&amp;C952&amp;"|"&amp;D952</f>
        <v>60|C|G</v>
      </c>
      <c r="F952" s="43" t="n">
        <v>0</v>
      </c>
      <c r="G952" s="38" t="n">
        <f aca="false">SUMIFS($F$2:$F$1137,$A$2:$A$1137,A952,$C$2:$C$1137,C952)</f>
        <v>40</v>
      </c>
      <c r="H952" s="43" t="n">
        <v>1</v>
      </c>
      <c r="I952" s="45" t="n">
        <f aca="false">IF(G952=0,"",F952/G952)</f>
        <v>0</v>
      </c>
      <c r="J952" s="45" t="n">
        <f aca="false">K952/L952</f>
        <v>0.0227272727272727</v>
      </c>
      <c r="K952" s="38" t="n">
        <f aca="false">F952+H952</f>
        <v>1</v>
      </c>
      <c r="L952" s="38" t="n">
        <f aca="false">G952+4*H952</f>
        <v>44</v>
      </c>
      <c r="M952" s="38" t="s">
        <v>619</v>
      </c>
      <c r="N952" s="38" t="n">
        <f aca="false">ROUND(SUMIFS($J$2:$J$1137,$A$2:$A$1137,A952,$C$2:$C$1137,C952),9)</f>
        <v>1</v>
      </c>
    </row>
    <row r="953" customFormat="false" ht="15" hidden="false" customHeight="true" outlineLevel="0" collapsed="false">
      <c r="A953" s="38" t="n">
        <v>60</v>
      </c>
      <c r="B953" s="38" t="s">
        <v>678</v>
      </c>
      <c r="C953" s="38" t="s">
        <v>170</v>
      </c>
      <c r="D953" s="38" t="s">
        <v>171</v>
      </c>
      <c r="E953" s="38" t="str">
        <f aca="false">A953&amp;"|"&amp;C953&amp;"|"&amp;D953</f>
        <v>60|C|U</v>
      </c>
      <c r="F953" s="43" t="n">
        <v>0</v>
      </c>
      <c r="G953" s="38" t="n">
        <f aca="false">SUMIFS($F$2:$F$1137,$A$2:$A$1137,A953,$C$2:$C$1137,C953)</f>
        <v>40</v>
      </c>
      <c r="H953" s="43" t="n">
        <v>1</v>
      </c>
      <c r="I953" s="45" t="n">
        <f aca="false">IF(G953=0,"",F953/G953)</f>
        <v>0</v>
      </c>
      <c r="J953" s="45" t="n">
        <f aca="false">K953/L953</f>
        <v>0.0227272727272727</v>
      </c>
      <c r="K953" s="38" t="n">
        <f aca="false">F953+H953</f>
        <v>1</v>
      </c>
      <c r="L953" s="38" t="n">
        <f aca="false">G953+4*H953</f>
        <v>44</v>
      </c>
      <c r="M953" s="38" t="s">
        <v>619</v>
      </c>
      <c r="N953" s="38" t="n">
        <f aca="false">ROUND(SUMIFS($J$2:$J$1137,$A$2:$A$1137,A953,$C$2:$C$1137,C953),9)</f>
        <v>1</v>
      </c>
    </row>
    <row r="954" customFormat="false" ht="15" hidden="false" customHeight="true" outlineLevel="0" collapsed="false">
      <c r="A954" s="38" t="n">
        <v>60</v>
      </c>
      <c r="B954" s="38" t="s">
        <v>678</v>
      </c>
      <c r="C954" s="38" t="s">
        <v>169</v>
      </c>
      <c r="D954" s="38" t="s">
        <v>172</v>
      </c>
      <c r="E954" s="38" t="str">
        <f aca="false">A954&amp;"|"&amp;C954&amp;"|"&amp;D954</f>
        <v>60|G|A</v>
      </c>
      <c r="F954" s="43" t="n">
        <v>0</v>
      </c>
      <c r="G954" s="38" t="n">
        <f aca="false">SUMIFS($F$2:$F$1137,$A$2:$A$1137,A954,$C$2:$C$1137,C954)</f>
        <v>2</v>
      </c>
      <c r="H954" s="43" t="n">
        <v>1</v>
      </c>
      <c r="I954" s="45" t="n">
        <f aca="false">IF(G954=0,"",F954/G954)</f>
        <v>0</v>
      </c>
      <c r="J954" s="45" t="n">
        <f aca="false">K954/L954</f>
        <v>0.166666666666667</v>
      </c>
      <c r="K954" s="38" t="n">
        <f aca="false">F954+H954</f>
        <v>1</v>
      </c>
      <c r="L954" s="38" t="n">
        <f aca="false">G954+4*H954</f>
        <v>6</v>
      </c>
      <c r="M954" s="38" t="s">
        <v>619</v>
      </c>
      <c r="N954" s="38" t="n">
        <f aca="false">ROUND(SUMIFS($J$2:$J$1137,$A$2:$A$1137,A954,$C$2:$C$1137,C954),9)</f>
        <v>1</v>
      </c>
    </row>
    <row r="955" customFormat="false" ht="15" hidden="false" customHeight="true" outlineLevel="0" collapsed="false">
      <c r="A955" s="38" t="n">
        <v>60</v>
      </c>
      <c r="B955" s="38" t="s">
        <v>678</v>
      </c>
      <c r="C955" s="38" t="s">
        <v>169</v>
      </c>
      <c r="D955" s="38" t="s">
        <v>170</v>
      </c>
      <c r="E955" s="38" t="str">
        <f aca="false">A955&amp;"|"&amp;C955&amp;"|"&amp;D955</f>
        <v>60|G|C</v>
      </c>
      <c r="F955" s="43" t="n">
        <v>1</v>
      </c>
      <c r="G955" s="38" t="n">
        <f aca="false">SUMIFS($F$2:$F$1137,$A$2:$A$1137,A955,$C$2:$C$1137,C955)</f>
        <v>2</v>
      </c>
      <c r="H955" s="43" t="n">
        <v>1</v>
      </c>
      <c r="I955" s="45" t="n">
        <f aca="false">IF(G955=0,"",F955/G955)</f>
        <v>0.5</v>
      </c>
      <c r="J955" s="45" t="n">
        <f aca="false">K955/L955</f>
        <v>0.333333333333333</v>
      </c>
      <c r="K955" s="38" t="n">
        <f aca="false">F955+H955</f>
        <v>2</v>
      </c>
      <c r="L955" s="38" t="n">
        <f aca="false">G955+4*H955</f>
        <v>6</v>
      </c>
      <c r="M955" s="38" t="s">
        <v>619</v>
      </c>
      <c r="N955" s="38" t="n">
        <f aca="false">ROUND(SUMIFS($J$2:$J$1137,$A$2:$A$1137,A955,$C$2:$C$1137,C955),9)</f>
        <v>1</v>
      </c>
    </row>
    <row r="956" customFormat="false" ht="15" hidden="false" customHeight="true" outlineLevel="0" collapsed="false">
      <c r="A956" s="38" t="n">
        <v>60</v>
      </c>
      <c r="B956" s="38" t="s">
        <v>678</v>
      </c>
      <c r="C956" s="38" t="s">
        <v>169</v>
      </c>
      <c r="D956" s="38" t="s">
        <v>169</v>
      </c>
      <c r="E956" s="38" t="str">
        <f aca="false">A956&amp;"|"&amp;C956&amp;"|"&amp;D956</f>
        <v>60|G|G</v>
      </c>
      <c r="F956" s="43" t="n">
        <v>1</v>
      </c>
      <c r="G956" s="38" t="n">
        <f aca="false">SUMIFS($F$2:$F$1137,$A$2:$A$1137,A956,$C$2:$C$1137,C956)</f>
        <v>2</v>
      </c>
      <c r="H956" s="43" t="n">
        <v>1</v>
      </c>
      <c r="I956" s="45" t="n">
        <f aca="false">IF(G956=0,"",F956/G956)</f>
        <v>0.5</v>
      </c>
      <c r="J956" s="45" t="n">
        <f aca="false">K956/L956</f>
        <v>0.333333333333333</v>
      </c>
      <c r="K956" s="38" t="n">
        <f aca="false">F956+H956</f>
        <v>2</v>
      </c>
      <c r="L956" s="38" t="n">
        <f aca="false">G956+4*H956</f>
        <v>6</v>
      </c>
      <c r="M956" s="38" t="s">
        <v>619</v>
      </c>
      <c r="N956" s="38" t="n">
        <f aca="false">ROUND(SUMIFS($J$2:$J$1137,$A$2:$A$1137,A956,$C$2:$C$1137,C956),9)</f>
        <v>1</v>
      </c>
    </row>
    <row r="957" customFormat="false" ht="15" hidden="false" customHeight="true" outlineLevel="0" collapsed="false">
      <c r="A957" s="38" t="n">
        <v>60</v>
      </c>
      <c r="B957" s="38" t="s">
        <v>678</v>
      </c>
      <c r="C957" s="38" t="s">
        <v>169</v>
      </c>
      <c r="D957" s="38" t="s">
        <v>171</v>
      </c>
      <c r="E957" s="38" t="str">
        <f aca="false">A957&amp;"|"&amp;C957&amp;"|"&amp;D957</f>
        <v>60|G|U</v>
      </c>
      <c r="F957" s="43" t="n">
        <v>0</v>
      </c>
      <c r="G957" s="38" t="n">
        <f aca="false">SUMIFS($F$2:$F$1137,$A$2:$A$1137,A957,$C$2:$C$1137,C957)</f>
        <v>2</v>
      </c>
      <c r="H957" s="43" t="n">
        <v>1</v>
      </c>
      <c r="I957" s="45" t="n">
        <f aca="false">IF(G957=0,"",F957/G957)</f>
        <v>0</v>
      </c>
      <c r="J957" s="45" t="n">
        <f aca="false">K957/L957</f>
        <v>0.166666666666667</v>
      </c>
      <c r="K957" s="38" t="n">
        <f aca="false">F957+H957</f>
        <v>1</v>
      </c>
      <c r="L957" s="38" t="n">
        <f aca="false">G957+4*H957</f>
        <v>6</v>
      </c>
      <c r="M957" s="38" t="s">
        <v>619</v>
      </c>
      <c r="N957" s="38" t="n">
        <f aca="false">ROUND(SUMIFS($J$2:$J$1137,$A$2:$A$1137,A957,$C$2:$C$1137,C957),9)</f>
        <v>1</v>
      </c>
    </row>
    <row r="958" customFormat="false" ht="15" hidden="false" customHeight="true" outlineLevel="0" collapsed="false">
      <c r="A958" s="38" t="n">
        <v>60</v>
      </c>
      <c r="B958" s="38" t="s">
        <v>678</v>
      </c>
      <c r="C958" s="38" t="s">
        <v>171</v>
      </c>
      <c r="D958" s="38" t="s">
        <v>172</v>
      </c>
      <c r="E958" s="38" t="str">
        <f aca="false">A958&amp;"|"&amp;C958&amp;"|"&amp;D958</f>
        <v>60|U|A</v>
      </c>
      <c r="F958" s="43" t="n">
        <v>0</v>
      </c>
      <c r="G958" s="38" t="n">
        <f aca="false">SUMIFS($F$2:$F$1137,$A$2:$A$1137,A958,$C$2:$C$1137,C958)</f>
        <v>156</v>
      </c>
      <c r="H958" s="43" t="n">
        <v>1</v>
      </c>
      <c r="I958" s="45" t="n">
        <f aca="false">IF(G958=0,"",F958/G958)</f>
        <v>0</v>
      </c>
      <c r="J958" s="45" t="n">
        <f aca="false">K958/L958</f>
        <v>0.00625</v>
      </c>
      <c r="K958" s="38" t="n">
        <f aca="false">F958+H958</f>
        <v>1</v>
      </c>
      <c r="L958" s="38" t="n">
        <f aca="false">G958+4*H958</f>
        <v>160</v>
      </c>
      <c r="M958" s="38" t="s">
        <v>619</v>
      </c>
      <c r="N958" s="38" t="n">
        <f aca="false">ROUND(SUMIFS($J$2:$J$1137,$A$2:$A$1137,A958,$C$2:$C$1137,C958),9)</f>
        <v>1</v>
      </c>
    </row>
    <row r="959" customFormat="false" ht="15" hidden="false" customHeight="true" outlineLevel="0" collapsed="false">
      <c r="A959" s="38" t="n">
        <v>60</v>
      </c>
      <c r="B959" s="38" t="s">
        <v>678</v>
      </c>
      <c r="C959" s="38" t="s">
        <v>171</v>
      </c>
      <c r="D959" s="38" t="s">
        <v>170</v>
      </c>
      <c r="E959" s="38" t="str">
        <f aca="false">A959&amp;"|"&amp;C959&amp;"|"&amp;D959</f>
        <v>60|U|C</v>
      </c>
      <c r="F959" s="43" t="n">
        <v>155</v>
      </c>
      <c r="G959" s="38" t="n">
        <f aca="false">SUMIFS($F$2:$F$1137,$A$2:$A$1137,A959,$C$2:$C$1137,C959)</f>
        <v>156</v>
      </c>
      <c r="H959" s="43" t="n">
        <v>1</v>
      </c>
      <c r="I959" s="45" t="n">
        <f aca="false">IF(G959=0,"",F959/G959)</f>
        <v>0.993589743589744</v>
      </c>
      <c r="J959" s="45" t="n">
        <f aca="false">K959/L959</f>
        <v>0.975</v>
      </c>
      <c r="K959" s="38" t="n">
        <f aca="false">F959+H959</f>
        <v>156</v>
      </c>
      <c r="L959" s="38" t="n">
        <f aca="false">G959+4*H959</f>
        <v>160</v>
      </c>
      <c r="M959" s="38" t="s">
        <v>619</v>
      </c>
      <c r="N959" s="38" t="n">
        <f aca="false">ROUND(SUMIFS($J$2:$J$1137,$A$2:$A$1137,A959,$C$2:$C$1137,C959),9)</f>
        <v>1</v>
      </c>
    </row>
    <row r="960" customFormat="false" ht="15" hidden="false" customHeight="true" outlineLevel="0" collapsed="false">
      <c r="A960" s="38" t="n">
        <v>60</v>
      </c>
      <c r="B960" s="38" t="s">
        <v>678</v>
      </c>
      <c r="C960" s="38" t="s">
        <v>171</v>
      </c>
      <c r="D960" s="38" t="s">
        <v>169</v>
      </c>
      <c r="E960" s="38" t="str">
        <f aca="false">A960&amp;"|"&amp;C960&amp;"|"&amp;D960</f>
        <v>60|U|G</v>
      </c>
      <c r="F960" s="43" t="n">
        <v>0</v>
      </c>
      <c r="G960" s="38" t="n">
        <f aca="false">SUMIFS($F$2:$F$1137,$A$2:$A$1137,A960,$C$2:$C$1137,C960)</f>
        <v>156</v>
      </c>
      <c r="H960" s="43" t="n">
        <v>1</v>
      </c>
      <c r="I960" s="45" t="n">
        <f aca="false">IF(G960=0,"",F960/G960)</f>
        <v>0</v>
      </c>
      <c r="J960" s="45" t="n">
        <f aca="false">K960/L960</f>
        <v>0.00625</v>
      </c>
      <c r="K960" s="38" t="n">
        <f aca="false">F960+H960</f>
        <v>1</v>
      </c>
      <c r="L960" s="38" t="n">
        <f aca="false">G960+4*H960</f>
        <v>160</v>
      </c>
      <c r="M960" s="38" t="s">
        <v>619</v>
      </c>
      <c r="N960" s="38" t="n">
        <f aca="false">ROUND(SUMIFS($J$2:$J$1137,$A$2:$A$1137,A960,$C$2:$C$1137,C960),9)</f>
        <v>1</v>
      </c>
    </row>
    <row r="961" customFormat="false" ht="15" hidden="false" customHeight="true" outlineLevel="0" collapsed="false">
      <c r="A961" s="38" t="n">
        <v>60</v>
      </c>
      <c r="B961" s="38" t="s">
        <v>678</v>
      </c>
      <c r="C961" s="38" t="s">
        <v>171</v>
      </c>
      <c r="D961" s="38" t="s">
        <v>171</v>
      </c>
      <c r="E961" s="38" t="str">
        <f aca="false">A961&amp;"|"&amp;C961&amp;"|"&amp;D961</f>
        <v>60|U|U</v>
      </c>
      <c r="F961" s="43" t="n">
        <v>1</v>
      </c>
      <c r="G961" s="38" t="n">
        <f aca="false">SUMIFS($F$2:$F$1137,$A$2:$A$1137,A961,$C$2:$C$1137,C961)</f>
        <v>156</v>
      </c>
      <c r="H961" s="43" t="n">
        <v>1</v>
      </c>
      <c r="I961" s="45" t="n">
        <f aca="false">IF(G961=0,"",F961/G961)</f>
        <v>0.00641025641025641</v>
      </c>
      <c r="J961" s="45" t="n">
        <f aca="false">K961/L961</f>
        <v>0.0125</v>
      </c>
      <c r="K961" s="38" t="n">
        <f aca="false">F961+H961</f>
        <v>2</v>
      </c>
      <c r="L961" s="38" t="n">
        <f aca="false">G961+4*H961</f>
        <v>160</v>
      </c>
      <c r="M961" s="38" t="s">
        <v>619</v>
      </c>
      <c r="N961" s="38" t="n">
        <f aca="false">ROUND(SUMIFS($J$2:$J$1137,$A$2:$A$1137,A961,$C$2:$C$1137,C961),9)</f>
        <v>1</v>
      </c>
    </row>
    <row r="962" customFormat="false" ht="15" hidden="false" customHeight="true" outlineLevel="0" collapsed="false">
      <c r="A962" s="38" t="n">
        <v>61</v>
      </c>
      <c r="B962" s="38" t="s">
        <v>679</v>
      </c>
      <c r="C962" s="38" t="s">
        <v>172</v>
      </c>
      <c r="D962" s="38" t="s">
        <v>172</v>
      </c>
      <c r="E962" s="38" t="str">
        <f aca="false">A962&amp;"|"&amp;C962&amp;"|"&amp;D962</f>
        <v>61|A|A</v>
      </c>
      <c r="F962" s="43" t="n">
        <v>0</v>
      </c>
      <c r="G962" s="38" t="n">
        <f aca="false">SUMIFS($F$2:$F$1137,$A$2:$A$1137,A962,$C$2:$C$1137,C962)</f>
        <v>0</v>
      </c>
      <c r="H962" s="43" t="n">
        <v>1</v>
      </c>
      <c r="I962" s="45" t="str">
        <f aca="false">IF(G962=0,"",F962/G962)</f>
        <v/>
      </c>
      <c r="J962" s="45" t="n">
        <f aca="false">K962/L962</f>
        <v>0.25</v>
      </c>
      <c r="K962" s="38" t="n">
        <f aca="false">F962+H962</f>
        <v>1</v>
      </c>
      <c r="L962" s="38" t="n">
        <f aca="false">G962+4*H962</f>
        <v>4</v>
      </c>
      <c r="M962" s="38" t="s">
        <v>619</v>
      </c>
      <c r="N962" s="38" t="n">
        <f aca="false">ROUND(SUMIFS($J$2:$J$1137,$A$2:$A$1137,A962,$C$2:$C$1137,C962),9)</f>
        <v>1</v>
      </c>
    </row>
    <row r="963" customFormat="false" ht="15" hidden="false" customHeight="true" outlineLevel="0" collapsed="false">
      <c r="A963" s="38" t="n">
        <v>61</v>
      </c>
      <c r="B963" s="38" t="s">
        <v>679</v>
      </c>
      <c r="C963" s="38" t="s">
        <v>172</v>
      </c>
      <c r="D963" s="38" t="s">
        <v>170</v>
      </c>
      <c r="E963" s="38" t="str">
        <f aca="false">A963&amp;"|"&amp;C963&amp;"|"&amp;D963</f>
        <v>61|A|C</v>
      </c>
      <c r="F963" s="43" t="n">
        <v>0</v>
      </c>
      <c r="G963" s="38" t="n">
        <f aca="false">SUMIFS($F$2:$F$1137,$A$2:$A$1137,A963,$C$2:$C$1137,C963)</f>
        <v>0</v>
      </c>
      <c r="H963" s="43" t="n">
        <v>1</v>
      </c>
      <c r="I963" s="45" t="str">
        <f aca="false">IF(G963=0,"",F963/G963)</f>
        <v/>
      </c>
      <c r="J963" s="45" t="n">
        <f aca="false">K963/L963</f>
        <v>0.25</v>
      </c>
      <c r="K963" s="38" t="n">
        <f aca="false">F963+H963</f>
        <v>1</v>
      </c>
      <c r="L963" s="38" t="n">
        <f aca="false">G963+4*H963</f>
        <v>4</v>
      </c>
      <c r="M963" s="38" t="s">
        <v>619</v>
      </c>
      <c r="N963" s="38" t="n">
        <f aca="false">ROUND(SUMIFS($J$2:$J$1137,$A$2:$A$1137,A963,$C$2:$C$1137,C963),9)</f>
        <v>1</v>
      </c>
    </row>
    <row r="964" customFormat="false" ht="15" hidden="false" customHeight="true" outlineLevel="0" collapsed="false">
      <c r="A964" s="38" t="n">
        <v>61</v>
      </c>
      <c r="B964" s="38" t="s">
        <v>679</v>
      </c>
      <c r="C964" s="38" t="s">
        <v>172</v>
      </c>
      <c r="D964" s="38" t="s">
        <v>169</v>
      </c>
      <c r="E964" s="38" t="str">
        <f aca="false">A964&amp;"|"&amp;C964&amp;"|"&amp;D964</f>
        <v>61|A|G</v>
      </c>
      <c r="F964" s="43" t="n">
        <v>0</v>
      </c>
      <c r="G964" s="38" t="n">
        <f aca="false">SUMIFS($F$2:$F$1137,$A$2:$A$1137,A964,$C$2:$C$1137,C964)</f>
        <v>0</v>
      </c>
      <c r="H964" s="43" t="n">
        <v>1</v>
      </c>
      <c r="I964" s="45" t="str">
        <f aca="false">IF(G964=0,"",F964/G964)</f>
        <v/>
      </c>
      <c r="J964" s="45" t="n">
        <f aca="false">K964/L964</f>
        <v>0.25</v>
      </c>
      <c r="K964" s="38" t="n">
        <f aca="false">F964+H964</f>
        <v>1</v>
      </c>
      <c r="L964" s="38" t="n">
        <f aca="false">G964+4*H964</f>
        <v>4</v>
      </c>
      <c r="M964" s="38" t="s">
        <v>619</v>
      </c>
      <c r="N964" s="38" t="n">
        <f aca="false">ROUND(SUMIFS($J$2:$J$1137,$A$2:$A$1137,A964,$C$2:$C$1137,C964),9)</f>
        <v>1</v>
      </c>
    </row>
    <row r="965" customFormat="false" ht="15" hidden="false" customHeight="true" outlineLevel="0" collapsed="false">
      <c r="A965" s="38" t="n">
        <v>61</v>
      </c>
      <c r="B965" s="38" t="s">
        <v>679</v>
      </c>
      <c r="C965" s="38" t="s">
        <v>172</v>
      </c>
      <c r="D965" s="38" t="s">
        <v>171</v>
      </c>
      <c r="E965" s="38" t="str">
        <f aca="false">A965&amp;"|"&amp;C965&amp;"|"&amp;D965</f>
        <v>61|A|U</v>
      </c>
      <c r="F965" s="43" t="n">
        <v>0</v>
      </c>
      <c r="G965" s="38" t="n">
        <f aca="false">SUMIFS($F$2:$F$1137,$A$2:$A$1137,A965,$C$2:$C$1137,C965)</f>
        <v>0</v>
      </c>
      <c r="H965" s="43" t="n">
        <v>1</v>
      </c>
      <c r="I965" s="45" t="str">
        <f aca="false">IF(G965=0,"",F965/G965)</f>
        <v/>
      </c>
      <c r="J965" s="45" t="n">
        <f aca="false">K965/L965</f>
        <v>0.25</v>
      </c>
      <c r="K965" s="38" t="n">
        <f aca="false">F965+H965</f>
        <v>1</v>
      </c>
      <c r="L965" s="38" t="n">
        <f aca="false">G965+4*H965</f>
        <v>4</v>
      </c>
      <c r="M965" s="38" t="s">
        <v>619</v>
      </c>
      <c r="N965" s="38" t="n">
        <f aca="false">ROUND(SUMIFS($J$2:$J$1137,$A$2:$A$1137,A965,$C$2:$C$1137,C965),9)</f>
        <v>1</v>
      </c>
    </row>
    <row r="966" customFormat="false" ht="15" hidden="false" customHeight="true" outlineLevel="0" collapsed="false">
      <c r="A966" s="38" t="n">
        <v>61</v>
      </c>
      <c r="B966" s="38" t="s">
        <v>679</v>
      </c>
      <c r="C966" s="38" t="s">
        <v>170</v>
      </c>
      <c r="D966" s="38" t="s">
        <v>172</v>
      </c>
      <c r="E966" s="38" t="str">
        <f aca="false">A966&amp;"|"&amp;C966&amp;"|"&amp;D966</f>
        <v>61|C|A</v>
      </c>
      <c r="F966" s="43" t="n">
        <v>3</v>
      </c>
      <c r="G966" s="38" t="n">
        <f aca="false">SUMIFS($F$2:$F$1137,$A$2:$A$1137,A966,$C$2:$C$1137,C966)</f>
        <v>197</v>
      </c>
      <c r="H966" s="43" t="n">
        <v>1</v>
      </c>
      <c r="I966" s="45" t="n">
        <f aca="false">IF(G966=0,"",F966/G966)</f>
        <v>0.0152284263959391</v>
      </c>
      <c r="J966" s="45" t="n">
        <f aca="false">K966/L966</f>
        <v>0.0199004975124378</v>
      </c>
      <c r="K966" s="38" t="n">
        <f aca="false">F966+H966</f>
        <v>4</v>
      </c>
      <c r="L966" s="38" t="n">
        <f aca="false">G966+4*H966</f>
        <v>201</v>
      </c>
      <c r="M966" s="38" t="s">
        <v>619</v>
      </c>
      <c r="N966" s="38" t="n">
        <f aca="false">ROUND(SUMIFS($J$2:$J$1137,$A$2:$A$1137,A966,$C$2:$C$1137,C966),9)</f>
        <v>1</v>
      </c>
    </row>
    <row r="967" customFormat="false" ht="15" hidden="false" customHeight="true" outlineLevel="0" collapsed="false">
      <c r="A967" s="38" t="n">
        <v>61</v>
      </c>
      <c r="B967" s="38" t="s">
        <v>679</v>
      </c>
      <c r="C967" s="38" t="s">
        <v>170</v>
      </c>
      <c r="D967" s="38" t="s">
        <v>170</v>
      </c>
      <c r="E967" s="38" t="str">
        <f aca="false">A967&amp;"|"&amp;C967&amp;"|"&amp;D967</f>
        <v>61|C|C</v>
      </c>
      <c r="F967" s="43" t="n">
        <v>167</v>
      </c>
      <c r="G967" s="38" t="n">
        <f aca="false">SUMIFS($F$2:$F$1137,$A$2:$A$1137,A967,$C$2:$C$1137,C967)</f>
        <v>197</v>
      </c>
      <c r="H967" s="43" t="n">
        <v>1</v>
      </c>
      <c r="I967" s="45" t="n">
        <f aca="false">IF(G967=0,"",F967/G967)</f>
        <v>0.847715736040609</v>
      </c>
      <c r="J967" s="45" t="n">
        <f aca="false">K967/L967</f>
        <v>0.835820895522388</v>
      </c>
      <c r="K967" s="38" t="n">
        <f aca="false">F967+H967</f>
        <v>168</v>
      </c>
      <c r="L967" s="38" t="n">
        <f aca="false">G967+4*H967</f>
        <v>201</v>
      </c>
      <c r="M967" s="38" t="s">
        <v>619</v>
      </c>
      <c r="N967" s="38" t="n">
        <f aca="false">ROUND(SUMIFS($J$2:$J$1137,$A$2:$A$1137,A967,$C$2:$C$1137,C967),9)</f>
        <v>1</v>
      </c>
    </row>
    <row r="968" customFormat="false" ht="15" hidden="false" customHeight="true" outlineLevel="0" collapsed="false">
      <c r="A968" s="38" t="n">
        <v>61</v>
      </c>
      <c r="B968" s="38" t="s">
        <v>679</v>
      </c>
      <c r="C968" s="38" t="s">
        <v>170</v>
      </c>
      <c r="D968" s="38" t="s">
        <v>169</v>
      </c>
      <c r="E968" s="38" t="str">
        <f aca="false">A968&amp;"|"&amp;C968&amp;"|"&amp;D968</f>
        <v>61|C|G</v>
      </c>
      <c r="F968" s="43" t="n">
        <v>2</v>
      </c>
      <c r="G968" s="38" t="n">
        <f aca="false">SUMIFS($F$2:$F$1137,$A$2:$A$1137,A968,$C$2:$C$1137,C968)</f>
        <v>197</v>
      </c>
      <c r="H968" s="43" t="n">
        <v>1</v>
      </c>
      <c r="I968" s="45" t="n">
        <f aca="false">IF(G968=0,"",F968/G968)</f>
        <v>0.0101522842639594</v>
      </c>
      <c r="J968" s="45" t="n">
        <f aca="false">K968/L968</f>
        <v>0.0149253731343284</v>
      </c>
      <c r="K968" s="38" t="n">
        <f aca="false">F968+H968</f>
        <v>3</v>
      </c>
      <c r="L968" s="38" t="n">
        <f aca="false">G968+4*H968</f>
        <v>201</v>
      </c>
      <c r="M968" s="38" t="s">
        <v>619</v>
      </c>
      <c r="N968" s="38" t="n">
        <f aca="false">ROUND(SUMIFS($J$2:$J$1137,$A$2:$A$1137,A968,$C$2:$C$1137,C968),9)</f>
        <v>1</v>
      </c>
    </row>
    <row r="969" customFormat="false" ht="15" hidden="false" customHeight="true" outlineLevel="0" collapsed="false">
      <c r="A969" s="38" t="n">
        <v>61</v>
      </c>
      <c r="B969" s="38" t="s">
        <v>679</v>
      </c>
      <c r="C969" s="38" t="s">
        <v>170</v>
      </c>
      <c r="D969" s="38" t="s">
        <v>171</v>
      </c>
      <c r="E969" s="38" t="str">
        <f aca="false">A969&amp;"|"&amp;C969&amp;"|"&amp;D969</f>
        <v>61|C|U</v>
      </c>
      <c r="F969" s="43" t="n">
        <v>25</v>
      </c>
      <c r="G969" s="38" t="n">
        <f aca="false">SUMIFS($F$2:$F$1137,$A$2:$A$1137,A969,$C$2:$C$1137,C969)</f>
        <v>197</v>
      </c>
      <c r="H969" s="43" t="n">
        <v>1</v>
      </c>
      <c r="I969" s="45" t="n">
        <f aca="false">IF(G969=0,"",F969/G969)</f>
        <v>0.126903553299492</v>
      </c>
      <c r="J969" s="45" t="n">
        <f aca="false">K969/L969</f>
        <v>0.129353233830846</v>
      </c>
      <c r="K969" s="38" t="n">
        <f aca="false">F969+H969</f>
        <v>26</v>
      </c>
      <c r="L969" s="38" t="n">
        <f aca="false">G969+4*H969</f>
        <v>201</v>
      </c>
      <c r="M969" s="38" t="s">
        <v>619</v>
      </c>
      <c r="N969" s="38" t="n">
        <f aca="false">ROUND(SUMIFS($J$2:$J$1137,$A$2:$A$1137,A969,$C$2:$C$1137,C969),9)</f>
        <v>1</v>
      </c>
    </row>
    <row r="970" customFormat="false" ht="15" hidden="false" customHeight="true" outlineLevel="0" collapsed="false">
      <c r="A970" s="38" t="n">
        <v>61</v>
      </c>
      <c r="B970" s="38" t="s">
        <v>679</v>
      </c>
      <c r="C970" s="38" t="s">
        <v>169</v>
      </c>
      <c r="D970" s="38" t="s">
        <v>172</v>
      </c>
      <c r="E970" s="38" t="str">
        <f aca="false">A970&amp;"|"&amp;C970&amp;"|"&amp;D970</f>
        <v>61|G|A</v>
      </c>
      <c r="F970" s="43" t="n">
        <v>0</v>
      </c>
      <c r="G970" s="38" t="n">
        <f aca="false">SUMIFS($F$2:$F$1137,$A$2:$A$1137,A970,$C$2:$C$1137,C970)</f>
        <v>1</v>
      </c>
      <c r="H970" s="43" t="n">
        <v>1</v>
      </c>
      <c r="I970" s="45" t="n">
        <f aca="false">IF(G970=0,"",F970/G970)</f>
        <v>0</v>
      </c>
      <c r="J970" s="45" t="n">
        <f aca="false">K970/L970</f>
        <v>0.2</v>
      </c>
      <c r="K970" s="38" t="n">
        <f aca="false">F970+H970</f>
        <v>1</v>
      </c>
      <c r="L970" s="38" t="n">
        <f aca="false">G970+4*H970</f>
        <v>5</v>
      </c>
      <c r="M970" s="38" t="s">
        <v>619</v>
      </c>
      <c r="N970" s="38" t="n">
        <f aca="false">ROUND(SUMIFS($J$2:$J$1137,$A$2:$A$1137,A970,$C$2:$C$1137,C970),9)</f>
        <v>1</v>
      </c>
    </row>
    <row r="971" customFormat="false" ht="15" hidden="false" customHeight="true" outlineLevel="0" collapsed="false">
      <c r="A971" s="38" t="n">
        <v>61</v>
      </c>
      <c r="B971" s="38" t="s">
        <v>679</v>
      </c>
      <c r="C971" s="38" t="s">
        <v>169</v>
      </c>
      <c r="D971" s="38" t="s">
        <v>170</v>
      </c>
      <c r="E971" s="38" t="str">
        <f aca="false">A971&amp;"|"&amp;C971&amp;"|"&amp;D971</f>
        <v>61|G|C</v>
      </c>
      <c r="F971" s="43" t="n">
        <v>0</v>
      </c>
      <c r="G971" s="38" t="n">
        <f aca="false">SUMIFS($F$2:$F$1137,$A$2:$A$1137,A971,$C$2:$C$1137,C971)</f>
        <v>1</v>
      </c>
      <c r="H971" s="43" t="n">
        <v>1</v>
      </c>
      <c r="I971" s="45" t="n">
        <f aca="false">IF(G971=0,"",F971/G971)</f>
        <v>0</v>
      </c>
      <c r="J971" s="45" t="n">
        <f aca="false">K971/L971</f>
        <v>0.2</v>
      </c>
      <c r="K971" s="38" t="n">
        <f aca="false">F971+H971</f>
        <v>1</v>
      </c>
      <c r="L971" s="38" t="n">
        <f aca="false">G971+4*H971</f>
        <v>5</v>
      </c>
      <c r="M971" s="38" t="s">
        <v>619</v>
      </c>
      <c r="N971" s="38" t="n">
        <f aca="false">ROUND(SUMIFS($J$2:$J$1137,$A$2:$A$1137,A971,$C$2:$C$1137,C971),9)</f>
        <v>1</v>
      </c>
    </row>
    <row r="972" customFormat="false" ht="15" hidden="false" customHeight="true" outlineLevel="0" collapsed="false">
      <c r="A972" s="38" t="n">
        <v>61</v>
      </c>
      <c r="B972" s="38" t="s">
        <v>679</v>
      </c>
      <c r="C972" s="38" t="s">
        <v>169</v>
      </c>
      <c r="D972" s="38" t="s">
        <v>169</v>
      </c>
      <c r="E972" s="38" t="str">
        <f aca="false">A972&amp;"|"&amp;C972&amp;"|"&amp;D972</f>
        <v>61|G|G</v>
      </c>
      <c r="F972" s="43" t="n">
        <v>0</v>
      </c>
      <c r="G972" s="38" t="n">
        <f aca="false">SUMIFS($F$2:$F$1137,$A$2:$A$1137,A972,$C$2:$C$1137,C972)</f>
        <v>1</v>
      </c>
      <c r="H972" s="43" t="n">
        <v>1</v>
      </c>
      <c r="I972" s="45" t="n">
        <f aca="false">IF(G972=0,"",F972/G972)</f>
        <v>0</v>
      </c>
      <c r="J972" s="45" t="n">
        <f aca="false">K972/L972</f>
        <v>0.2</v>
      </c>
      <c r="K972" s="38" t="n">
        <f aca="false">F972+H972</f>
        <v>1</v>
      </c>
      <c r="L972" s="38" t="n">
        <f aca="false">G972+4*H972</f>
        <v>5</v>
      </c>
      <c r="M972" s="38" t="s">
        <v>619</v>
      </c>
      <c r="N972" s="38" t="n">
        <f aca="false">ROUND(SUMIFS($J$2:$J$1137,$A$2:$A$1137,A972,$C$2:$C$1137,C972),9)</f>
        <v>1</v>
      </c>
    </row>
    <row r="973" customFormat="false" ht="15" hidden="false" customHeight="true" outlineLevel="0" collapsed="false">
      <c r="A973" s="38" t="n">
        <v>61</v>
      </c>
      <c r="B973" s="38" t="s">
        <v>679</v>
      </c>
      <c r="C973" s="38" t="s">
        <v>169</v>
      </c>
      <c r="D973" s="38" t="s">
        <v>171</v>
      </c>
      <c r="E973" s="38" t="str">
        <f aca="false">A973&amp;"|"&amp;C973&amp;"|"&amp;D973</f>
        <v>61|G|U</v>
      </c>
      <c r="F973" s="43" t="n">
        <v>1</v>
      </c>
      <c r="G973" s="38" t="n">
        <f aca="false">SUMIFS($F$2:$F$1137,$A$2:$A$1137,A973,$C$2:$C$1137,C973)</f>
        <v>1</v>
      </c>
      <c r="H973" s="43" t="n">
        <v>1</v>
      </c>
      <c r="I973" s="45" t="n">
        <f aca="false">IF(G973=0,"",F973/G973)</f>
        <v>1</v>
      </c>
      <c r="J973" s="45" t="n">
        <f aca="false">K973/L973</f>
        <v>0.4</v>
      </c>
      <c r="K973" s="38" t="n">
        <f aca="false">F973+H973</f>
        <v>2</v>
      </c>
      <c r="L973" s="38" t="n">
        <f aca="false">G973+4*H973</f>
        <v>5</v>
      </c>
      <c r="M973" s="38" t="s">
        <v>619</v>
      </c>
      <c r="N973" s="38" t="n">
        <f aca="false">ROUND(SUMIFS($J$2:$J$1137,$A$2:$A$1137,A973,$C$2:$C$1137,C973),9)</f>
        <v>1</v>
      </c>
    </row>
    <row r="974" customFormat="false" ht="15" hidden="false" customHeight="true" outlineLevel="0" collapsed="false">
      <c r="A974" s="38" t="n">
        <v>61</v>
      </c>
      <c r="B974" s="38" t="s">
        <v>679</v>
      </c>
      <c r="C974" s="38" t="s">
        <v>171</v>
      </c>
      <c r="D974" s="38" t="s">
        <v>172</v>
      </c>
      <c r="E974" s="38" t="str">
        <f aca="false">A974&amp;"|"&amp;C974&amp;"|"&amp;D974</f>
        <v>61|U|A</v>
      </c>
      <c r="F974" s="43" t="n">
        <v>0</v>
      </c>
      <c r="G974" s="38" t="n">
        <f aca="false">SUMIFS($F$2:$F$1137,$A$2:$A$1137,A974,$C$2:$C$1137,C974)</f>
        <v>1</v>
      </c>
      <c r="H974" s="43" t="n">
        <v>1</v>
      </c>
      <c r="I974" s="45" t="n">
        <f aca="false">IF(G974=0,"",F974/G974)</f>
        <v>0</v>
      </c>
      <c r="J974" s="45" t="n">
        <f aca="false">K974/L974</f>
        <v>0.2</v>
      </c>
      <c r="K974" s="38" t="n">
        <f aca="false">F974+H974</f>
        <v>1</v>
      </c>
      <c r="L974" s="38" t="n">
        <f aca="false">G974+4*H974</f>
        <v>5</v>
      </c>
      <c r="M974" s="38" t="s">
        <v>619</v>
      </c>
      <c r="N974" s="38" t="n">
        <f aca="false">ROUND(SUMIFS($J$2:$J$1137,$A$2:$A$1137,A974,$C$2:$C$1137,C974),9)</f>
        <v>1</v>
      </c>
    </row>
    <row r="975" customFormat="false" ht="15" hidden="false" customHeight="true" outlineLevel="0" collapsed="false">
      <c r="A975" s="38" t="n">
        <v>61</v>
      </c>
      <c r="B975" s="38" t="s">
        <v>679</v>
      </c>
      <c r="C975" s="38" t="s">
        <v>171</v>
      </c>
      <c r="D975" s="38" t="s">
        <v>170</v>
      </c>
      <c r="E975" s="38" t="str">
        <f aca="false">A975&amp;"|"&amp;C975&amp;"|"&amp;D975</f>
        <v>61|U|C</v>
      </c>
      <c r="F975" s="43" t="n">
        <v>1</v>
      </c>
      <c r="G975" s="38" t="n">
        <f aca="false">SUMIFS($F$2:$F$1137,$A$2:$A$1137,A975,$C$2:$C$1137,C975)</f>
        <v>1</v>
      </c>
      <c r="H975" s="43" t="n">
        <v>1</v>
      </c>
      <c r="I975" s="45" t="n">
        <f aca="false">IF(G975=0,"",F975/G975)</f>
        <v>1</v>
      </c>
      <c r="J975" s="45" t="n">
        <f aca="false">K975/L975</f>
        <v>0.4</v>
      </c>
      <c r="K975" s="38" t="n">
        <f aca="false">F975+H975</f>
        <v>2</v>
      </c>
      <c r="L975" s="38" t="n">
        <f aca="false">G975+4*H975</f>
        <v>5</v>
      </c>
      <c r="M975" s="38" t="s">
        <v>619</v>
      </c>
      <c r="N975" s="38" t="n">
        <f aca="false">ROUND(SUMIFS($J$2:$J$1137,$A$2:$A$1137,A975,$C$2:$C$1137,C975),9)</f>
        <v>1</v>
      </c>
    </row>
    <row r="976" customFormat="false" ht="15" hidden="false" customHeight="true" outlineLevel="0" collapsed="false">
      <c r="A976" s="38" t="n">
        <v>61</v>
      </c>
      <c r="B976" s="38" t="s">
        <v>679</v>
      </c>
      <c r="C976" s="38" t="s">
        <v>171</v>
      </c>
      <c r="D976" s="38" t="s">
        <v>169</v>
      </c>
      <c r="E976" s="38" t="str">
        <f aca="false">A976&amp;"|"&amp;C976&amp;"|"&amp;D976</f>
        <v>61|U|G</v>
      </c>
      <c r="F976" s="43" t="n">
        <v>0</v>
      </c>
      <c r="G976" s="38" t="n">
        <f aca="false">SUMIFS($F$2:$F$1137,$A$2:$A$1137,A976,$C$2:$C$1137,C976)</f>
        <v>1</v>
      </c>
      <c r="H976" s="43" t="n">
        <v>1</v>
      </c>
      <c r="I976" s="45" t="n">
        <f aca="false">IF(G976=0,"",F976/G976)</f>
        <v>0</v>
      </c>
      <c r="J976" s="45" t="n">
        <f aca="false">K976/L976</f>
        <v>0.2</v>
      </c>
      <c r="K976" s="38" t="n">
        <f aca="false">F976+H976</f>
        <v>1</v>
      </c>
      <c r="L976" s="38" t="n">
        <f aca="false">G976+4*H976</f>
        <v>5</v>
      </c>
      <c r="M976" s="38" t="s">
        <v>619</v>
      </c>
      <c r="N976" s="38" t="n">
        <f aca="false">ROUND(SUMIFS($J$2:$J$1137,$A$2:$A$1137,A976,$C$2:$C$1137,C976),9)</f>
        <v>1</v>
      </c>
    </row>
    <row r="977" customFormat="false" ht="15" hidden="false" customHeight="true" outlineLevel="0" collapsed="false">
      <c r="A977" s="38" t="n">
        <v>61</v>
      </c>
      <c r="B977" s="38" t="s">
        <v>679</v>
      </c>
      <c r="C977" s="38" t="s">
        <v>171</v>
      </c>
      <c r="D977" s="38" t="s">
        <v>171</v>
      </c>
      <c r="E977" s="38" t="str">
        <f aca="false">A977&amp;"|"&amp;C977&amp;"|"&amp;D977</f>
        <v>61|U|U</v>
      </c>
      <c r="F977" s="43" t="n">
        <v>0</v>
      </c>
      <c r="G977" s="38" t="n">
        <f aca="false">SUMIFS($F$2:$F$1137,$A$2:$A$1137,A977,$C$2:$C$1137,C977)</f>
        <v>1</v>
      </c>
      <c r="H977" s="43" t="n">
        <v>1</v>
      </c>
      <c r="I977" s="45" t="n">
        <f aca="false">IF(G977=0,"",F977/G977)</f>
        <v>0</v>
      </c>
      <c r="J977" s="45" t="n">
        <f aca="false">K977/L977</f>
        <v>0.2</v>
      </c>
      <c r="K977" s="38" t="n">
        <f aca="false">F977+H977</f>
        <v>1</v>
      </c>
      <c r="L977" s="38" t="n">
        <f aca="false">G977+4*H977</f>
        <v>5</v>
      </c>
      <c r="M977" s="38" t="s">
        <v>619</v>
      </c>
      <c r="N977" s="38" t="n">
        <f aca="false">ROUND(SUMIFS($J$2:$J$1137,$A$2:$A$1137,A977,$C$2:$C$1137,C977),9)</f>
        <v>1</v>
      </c>
    </row>
    <row r="978" customFormat="false" ht="15" hidden="false" customHeight="true" outlineLevel="0" collapsed="false">
      <c r="A978" s="38" t="n">
        <v>62</v>
      </c>
      <c r="B978" s="38" t="s">
        <v>680</v>
      </c>
      <c r="C978" s="38" t="s">
        <v>172</v>
      </c>
      <c r="D978" s="38" t="s">
        <v>172</v>
      </c>
      <c r="E978" s="38" t="str">
        <f aca="false">A978&amp;"|"&amp;C978&amp;"|"&amp;D978</f>
        <v>62|A|A</v>
      </c>
      <c r="F978" s="43" t="n">
        <v>0</v>
      </c>
      <c r="G978" s="38" t="n">
        <f aca="false">SUMIFS($F$2:$F$1137,$A$2:$A$1137,A978,$C$2:$C$1137,C978)</f>
        <v>3</v>
      </c>
      <c r="H978" s="43" t="n">
        <v>1</v>
      </c>
      <c r="I978" s="45" t="n">
        <f aca="false">IF(G978=0,"",F978/G978)</f>
        <v>0</v>
      </c>
      <c r="J978" s="45" t="n">
        <f aca="false">K978/L978</f>
        <v>0.142857142857143</v>
      </c>
      <c r="K978" s="38" t="n">
        <f aca="false">F978+H978</f>
        <v>1</v>
      </c>
      <c r="L978" s="38" t="n">
        <f aca="false">G978+4*H978</f>
        <v>7</v>
      </c>
      <c r="M978" s="38" t="s">
        <v>619</v>
      </c>
      <c r="N978" s="38" t="n">
        <f aca="false">ROUND(SUMIFS($J$2:$J$1137,$A$2:$A$1137,A978,$C$2:$C$1137,C978),9)</f>
        <v>1</v>
      </c>
    </row>
    <row r="979" customFormat="false" ht="15" hidden="false" customHeight="true" outlineLevel="0" collapsed="false">
      <c r="A979" s="38" t="n">
        <v>62</v>
      </c>
      <c r="B979" s="38" t="s">
        <v>680</v>
      </c>
      <c r="C979" s="38" t="s">
        <v>172</v>
      </c>
      <c r="D979" s="38" t="s">
        <v>170</v>
      </c>
      <c r="E979" s="38" t="str">
        <f aca="false">A979&amp;"|"&amp;C979&amp;"|"&amp;D979</f>
        <v>62|A|C</v>
      </c>
      <c r="F979" s="43" t="n">
        <v>3</v>
      </c>
      <c r="G979" s="38" t="n">
        <f aca="false">SUMIFS($F$2:$F$1137,$A$2:$A$1137,A979,$C$2:$C$1137,C979)</f>
        <v>3</v>
      </c>
      <c r="H979" s="43" t="n">
        <v>1</v>
      </c>
      <c r="I979" s="45" t="n">
        <f aca="false">IF(G979=0,"",F979/G979)</f>
        <v>1</v>
      </c>
      <c r="J979" s="45" t="n">
        <f aca="false">K979/L979</f>
        <v>0.571428571428571</v>
      </c>
      <c r="K979" s="38" t="n">
        <f aca="false">F979+H979</f>
        <v>4</v>
      </c>
      <c r="L979" s="38" t="n">
        <f aca="false">G979+4*H979</f>
        <v>7</v>
      </c>
      <c r="M979" s="38" t="s">
        <v>619</v>
      </c>
      <c r="N979" s="38" t="n">
        <f aca="false">ROUND(SUMIFS($J$2:$J$1137,$A$2:$A$1137,A979,$C$2:$C$1137,C979),9)</f>
        <v>1</v>
      </c>
    </row>
    <row r="980" customFormat="false" ht="15" hidden="false" customHeight="true" outlineLevel="0" collapsed="false">
      <c r="A980" s="38" t="n">
        <v>62</v>
      </c>
      <c r="B980" s="38" t="s">
        <v>680</v>
      </c>
      <c r="C980" s="38" t="s">
        <v>172</v>
      </c>
      <c r="D980" s="38" t="s">
        <v>169</v>
      </c>
      <c r="E980" s="38" t="str">
        <f aca="false">A980&amp;"|"&amp;C980&amp;"|"&amp;D980</f>
        <v>62|A|G</v>
      </c>
      <c r="F980" s="43" t="n">
        <v>0</v>
      </c>
      <c r="G980" s="38" t="n">
        <f aca="false">SUMIFS($F$2:$F$1137,$A$2:$A$1137,A980,$C$2:$C$1137,C980)</f>
        <v>3</v>
      </c>
      <c r="H980" s="43" t="n">
        <v>1</v>
      </c>
      <c r="I980" s="45" t="n">
        <f aca="false">IF(G980=0,"",F980/G980)</f>
        <v>0</v>
      </c>
      <c r="J980" s="45" t="n">
        <f aca="false">K980/L980</f>
        <v>0.142857142857143</v>
      </c>
      <c r="K980" s="38" t="n">
        <f aca="false">F980+H980</f>
        <v>1</v>
      </c>
      <c r="L980" s="38" t="n">
        <f aca="false">G980+4*H980</f>
        <v>7</v>
      </c>
      <c r="M980" s="38" t="s">
        <v>619</v>
      </c>
      <c r="N980" s="38" t="n">
        <f aca="false">ROUND(SUMIFS($J$2:$J$1137,$A$2:$A$1137,A980,$C$2:$C$1137,C980),9)</f>
        <v>1</v>
      </c>
    </row>
    <row r="981" customFormat="false" ht="15" hidden="false" customHeight="true" outlineLevel="0" collapsed="false">
      <c r="A981" s="38" t="n">
        <v>62</v>
      </c>
      <c r="B981" s="38" t="s">
        <v>680</v>
      </c>
      <c r="C981" s="38" t="s">
        <v>172</v>
      </c>
      <c r="D981" s="38" t="s">
        <v>171</v>
      </c>
      <c r="E981" s="38" t="str">
        <f aca="false">A981&amp;"|"&amp;C981&amp;"|"&amp;D981</f>
        <v>62|A|U</v>
      </c>
      <c r="F981" s="43" t="n">
        <v>0</v>
      </c>
      <c r="G981" s="38" t="n">
        <f aca="false">SUMIFS($F$2:$F$1137,$A$2:$A$1137,A981,$C$2:$C$1137,C981)</f>
        <v>3</v>
      </c>
      <c r="H981" s="43" t="n">
        <v>1</v>
      </c>
      <c r="I981" s="45" t="n">
        <f aca="false">IF(G981=0,"",F981/G981)</f>
        <v>0</v>
      </c>
      <c r="J981" s="45" t="n">
        <f aca="false">K981/L981</f>
        <v>0.142857142857143</v>
      </c>
      <c r="K981" s="38" t="n">
        <f aca="false">F981+H981</f>
        <v>1</v>
      </c>
      <c r="L981" s="38" t="n">
        <f aca="false">G981+4*H981</f>
        <v>7</v>
      </c>
      <c r="M981" s="38" t="s">
        <v>619</v>
      </c>
      <c r="N981" s="38" t="n">
        <f aca="false">ROUND(SUMIFS($J$2:$J$1137,$A$2:$A$1137,A981,$C$2:$C$1137,C981),9)</f>
        <v>1</v>
      </c>
    </row>
    <row r="982" customFormat="false" ht="15" hidden="false" customHeight="true" outlineLevel="0" collapsed="false">
      <c r="A982" s="38" t="n">
        <v>62</v>
      </c>
      <c r="B982" s="38" t="s">
        <v>680</v>
      </c>
      <c r="C982" s="38" t="s">
        <v>170</v>
      </c>
      <c r="D982" s="38" t="s">
        <v>172</v>
      </c>
      <c r="E982" s="38" t="str">
        <f aca="false">A982&amp;"|"&amp;C982&amp;"|"&amp;D982</f>
        <v>62|C|A</v>
      </c>
      <c r="F982" s="43" t="n">
        <v>20</v>
      </c>
      <c r="G982" s="38" t="n">
        <f aca="false">SUMIFS($F$2:$F$1137,$A$2:$A$1137,A982,$C$2:$C$1137,C982)</f>
        <v>168</v>
      </c>
      <c r="H982" s="43" t="n">
        <v>1</v>
      </c>
      <c r="I982" s="45" t="n">
        <f aca="false">IF(G982=0,"",F982/G982)</f>
        <v>0.119047619047619</v>
      </c>
      <c r="J982" s="45" t="n">
        <f aca="false">K982/L982</f>
        <v>0.122093023255814</v>
      </c>
      <c r="K982" s="38" t="n">
        <f aca="false">F982+H982</f>
        <v>21</v>
      </c>
      <c r="L982" s="38" t="n">
        <f aca="false">G982+4*H982</f>
        <v>172</v>
      </c>
      <c r="M982" s="38" t="s">
        <v>619</v>
      </c>
      <c r="N982" s="38" t="n">
        <f aca="false">ROUND(SUMIFS($J$2:$J$1137,$A$2:$A$1137,A982,$C$2:$C$1137,C982),9)</f>
        <v>1</v>
      </c>
    </row>
    <row r="983" customFormat="false" ht="15" hidden="false" customHeight="true" outlineLevel="0" collapsed="false">
      <c r="A983" s="38" t="n">
        <v>62</v>
      </c>
      <c r="B983" s="38" t="s">
        <v>680</v>
      </c>
      <c r="C983" s="38" t="s">
        <v>170</v>
      </c>
      <c r="D983" s="38" t="s">
        <v>170</v>
      </c>
      <c r="E983" s="38" t="str">
        <f aca="false">A983&amp;"|"&amp;C983&amp;"|"&amp;D983</f>
        <v>62|C|C</v>
      </c>
      <c r="F983" s="43" t="n">
        <v>77</v>
      </c>
      <c r="G983" s="38" t="n">
        <f aca="false">SUMIFS($F$2:$F$1137,$A$2:$A$1137,A983,$C$2:$C$1137,C983)</f>
        <v>168</v>
      </c>
      <c r="H983" s="43" t="n">
        <v>1</v>
      </c>
      <c r="I983" s="45" t="n">
        <f aca="false">IF(G983=0,"",F983/G983)</f>
        <v>0.458333333333333</v>
      </c>
      <c r="J983" s="45" t="n">
        <f aca="false">K983/L983</f>
        <v>0.453488372093023</v>
      </c>
      <c r="K983" s="38" t="n">
        <f aca="false">F983+H983</f>
        <v>78</v>
      </c>
      <c r="L983" s="38" t="n">
        <f aca="false">G983+4*H983</f>
        <v>172</v>
      </c>
      <c r="M983" s="38" t="s">
        <v>619</v>
      </c>
      <c r="N983" s="38" t="n">
        <f aca="false">ROUND(SUMIFS($J$2:$J$1137,$A$2:$A$1137,A983,$C$2:$C$1137,C983),9)</f>
        <v>1</v>
      </c>
    </row>
    <row r="984" customFormat="false" ht="15" hidden="false" customHeight="true" outlineLevel="0" collapsed="false">
      <c r="A984" s="38" t="n">
        <v>62</v>
      </c>
      <c r="B984" s="38" t="s">
        <v>680</v>
      </c>
      <c r="C984" s="38" t="s">
        <v>170</v>
      </c>
      <c r="D984" s="38" t="s">
        <v>169</v>
      </c>
      <c r="E984" s="38" t="str">
        <f aca="false">A984&amp;"|"&amp;C984&amp;"|"&amp;D984</f>
        <v>62|C|G</v>
      </c>
      <c r="F984" s="43" t="n">
        <v>41</v>
      </c>
      <c r="G984" s="38" t="n">
        <f aca="false">SUMIFS($F$2:$F$1137,$A$2:$A$1137,A984,$C$2:$C$1137,C984)</f>
        <v>168</v>
      </c>
      <c r="H984" s="43" t="n">
        <v>1</v>
      </c>
      <c r="I984" s="45" t="n">
        <f aca="false">IF(G984=0,"",F984/G984)</f>
        <v>0.244047619047619</v>
      </c>
      <c r="J984" s="45" t="n">
        <f aca="false">K984/L984</f>
        <v>0.244186046511628</v>
      </c>
      <c r="K984" s="38" t="n">
        <f aca="false">F984+H984</f>
        <v>42</v>
      </c>
      <c r="L984" s="38" t="n">
        <f aca="false">G984+4*H984</f>
        <v>172</v>
      </c>
      <c r="M984" s="38" t="s">
        <v>619</v>
      </c>
      <c r="N984" s="38" t="n">
        <f aca="false">ROUND(SUMIFS($J$2:$J$1137,$A$2:$A$1137,A984,$C$2:$C$1137,C984),9)</f>
        <v>1</v>
      </c>
    </row>
    <row r="985" customFormat="false" ht="15" hidden="false" customHeight="true" outlineLevel="0" collapsed="false">
      <c r="A985" s="38" t="n">
        <v>62</v>
      </c>
      <c r="B985" s="38" t="s">
        <v>680</v>
      </c>
      <c r="C985" s="38" t="s">
        <v>170</v>
      </c>
      <c r="D985" s="38" t="s">
        <v>171</v>
      </c>
      <c r="E985" s="38" t="str">
        <f aca="false">A985&amp;"|"&amp;C985&amp;"|"&amp;D985</f>
        <v>62|C|U</v>
      </c>
      <c r="F985" s="43" t="n">
        <v>30</v>
      </c>
      <c r="G985" s="38" t="n">
        <f aca="false">SUMIFS($F$2:$F$1137,$A$2:$A$1137,A985,$C$2:$C$1137,C985)</f>
        <v>168</v>
      </c>
      <c r="H985" s="43" t="n">
        <v>1</v>
      </c>
      <c r="I985" s="45" t="n">
        <f aca="false">IF(G985=0,"",F985/G985)</f>
        <v>0.178571428571429</v>
      </c>
      <c r="J985" s="45" t="n">
        <f aca="false">K985/L985</f>
        <v>0.180232558139535</v>
      </c>
      <c r="K985" s="38" t="n">
        <f aca="false">F985+H985</f>
        <v>31</v>
      </c>
      <c r="L985" s="38" t="n">
        <f aca="false">G985+4*H985</f>
        <v>172</v>
      </c>
      <c r="M985" s="38" t="s">
        <v>619</v>
      </c>
      <c r="N985" s="38" t="n">
        <f aca="false">ROUND(SUMIFS($J$2:$J$1137,$A$2:$A$1137,A985,$C$2:$C$1137,C985),9)</f>
        <v>1</v>
      </c>
    </row>
    <row r="986" customFormat="false" ht="15" hidden="false" customHeight="true" outlineLevel="0" collapsed="false">
      <c r="A986" s="38" t="n">
        <v>62</v>
      </c>
      <c r="B986" s="38" t="s">
        <v>680</v>
      </c>
      <c r="C986" s="38" t="s">
        <v>169</v>
      </c>
      <c r="D986" s="38" t="s">
        <v>172</v>
      </c>
      <c r="E986" s="38" t="str">
        <f aca="false">A986&amp;"|"&amp;C986&amp;"|"&amp;D986</f>
        <v>62|G|A</v>
      </c>
      <c r="F986" s="43" t="n">
        <v>0</v>
      </c>
      <c r="G986" s="38" t="n">
        <f aca="false">SUMIFS($F$2:$F$1137,$A$2:$A$1137,A986,$C$2:$C$1137,C986)</f>
        <v>2</v>
      </c>
      <c r="H986" s="43" t="n">
        <v>1</v>
      </c>
      <c r="I986" s="45" t="n">
        <f aca="false">IF(G986=0,"",F986/G986)</f>
        <v>0</v>
      </c>
      <c r="J986" s="45" t="n">
        <f aca="false">K986/L986</f>
        <v>0.166666666666667</v>
      </c>
      <c r="K986" s="38" t="n">
        <f aca="false">F986+H986</f>
        <v>1</v>
      </c>
      <c r="L986" s="38" t="n">
        <f aca="false">G986+4*H986</f>
        <v>6</v>
      </c>
      <c r="M986" s="38" t="s">
        <v>619</v>
      </c>
      <c r="N986" s="38" t="n">
        <f aca="false">ROUND(SUMIFS($J$2:$J$1137,$A$2:$A$1137,A986,$C$2:$C$1137,C986),9)</f>
        <v>1</v>
      </c>
    </row>
    <row r="987" customFormat="false" ht="15" hidden="false" customHeight="true" outlineLevel="0" collapsed="false">
      <c r="A987" s="38" t="n">
        <v>62</v>
      </c>
      <c r="B987" s="38" t="s">
        <v>680</v>
      </c>
      <c r="C987" s="38" t="s">
        <v>169</v>
      </c>
      <c r="D987" s="38" t="s">
        <v>170</v>
      </c>
      <c r="E987" s="38" t="str">
        <f aca="false">A987&amp;"|"&amp;C987&amp;"|"&amp;D987</f>
        <v>62|G|C</v>
      </c>
      <c r="F987" s="43" t="n">
        <v>2</v>
      </c>
      <c r="G987" s="38" t="n">
        <f aca="false">SUMIFS($F$2:$F$1137,$A$2:$A$1137,A987,$C$2:$C$1137,C987)</f>
        <v>2</v>
      </c>
      <c r="H987" s="43" t="n">
        <v>1</v>
      </c>
      <c r="I987" s="45" t="n">
        <f aca="false">IF(G987=0,"",F987/G987)</f>
        <v>1</v>
      </c>
      <c r="J987" s="45" t="n">
        <f aca="false">K987/L987</f>
        <v>0.5</v>
      </c>
      <c r="K987" s="38" t="n">
        <f aca="false">F987+H987</f>
        <v>3</v>
      </c>
      <c r="L987" s="38" t="n">
        <f aca="false">G987+4*H987</f>
        <v>6</v>
      </c>
      <c r="M987" s="38" t="s">
        <v>619</v>
      </c>
      <c r="N987" s="38" t="n">
        <f aca="false">ROUND(SUMIFS($J$2:$J$1137,$A$2:$A$1137,A987,$C$2:$C$1137,C987),9)</f>
        <v>1</v>
      </c>
    </row>
    <row r="988" customFormat="false" ht="15" hidden="false" customHeight="true" outlineLevel="0" collapsed="false">
      <c r="A988" s="38" t="n">
        <v>62</v>
      </c>
      <c r="B988" s="38" t="s">
        <v>680</v>
      </c>
      <c r="C988" s="38" t="s">
        <v>169</v>
      </c>
      <c r="D988" s="38" t="s">
        <v>169</v>
      </c>
      <c r="E988" s="38" t="str">
        <f aca="false">A988&amp;"|"&amp;C988&amp;"|"&amp;D988</f>
        <v>62|G|G</v>
      </c>
      <c r="F988" s="43" t="n">
        <v>0</v>
      </c>
      <c r="G988" s="38" t="n">
        <f aca="false">SUMIFS($F$2:$F$1137,$A$2:$A$1137,A988,$C$2:$C$1137,C988)</f>
        <v>2</v>
      </c>
      <c r="H988" s="43" t="n">
        <v>1</v>
      </c>
      <c r="I988" s="45" t="n">
        <f aca="false">IF(G988=0,"",F988/G988)</f>
        <v>0</v>
      </c>
      <c r="J988" s="45" t="n">
        <f aca="false">K988/L988</f>
        <v>0.166666666666667</v>
      </c>
      <c r="K988" s="38" t="n">
        <f aca="false">F988+H988</f>
        <v>1</v>
      </c>
      <c r="L988" s="38" t="n">
        <f aca="false">G988+4*H988</f>
        <v>6</v>
      </c>
      <c r="M988" s="38" t="s">
        <v>619</v>
      </c>
      <c r="N988" s="38" t="n">
        <f aca="false">ROUND(SUMIFS($J$2:$J$1137,$A$2:$A$1137,A988,$C$2:$C$1137,C988),9)</f>
        <v>1</v>
      </c>
    </row>
    <row r="989" customFormat="false" ht="15" hidden="false" customHeight="true" outlineLevel="0" collapsed="false">
      <c r="A989" s="38" t="n">
        <v>62</v>
      </c>
      <c r="B989" s="38" t="s">
        <v>680</v>
      </c>
      <c r="C989" s="38" t="s">
        <v>169</v>
      </c>
      <c r="D989" s="38" t="s">
        <v>171</v>
      </c>
      <c r="E989" s="38" t="str">
        <f aca="false">A989&amp;"|"&amp;C989&amp;"|"&amp;D989</f>
        <v>62|G|U</v>
      </c>
      <c r="F989" s="43" t="n">
        <v>0</v>
      </c>
      <c r="G989" s="38" t="n">
        <f aca="false">SUMIFS($F$2:$F$1137,$A$2:$A$1137,A989,$C$2:$C$1137,C989)</f>
        <v>2</v>
      </c>
      <c r="H989" s="43" t="n">
        <v>1</v>
      </c>
      <c r="I989" s="45" t="n">
        <f aca="false">IF(G989=0,"",F989/G989)</f>
        <v>0</v>
      </c>
      <c r="J989" s="45" t="n">
        <f aca="false">K989/L989</f>
        <v>0.166666666666667</v>
      </c>
      <c r="K989" s="38" t="n">
        <f aca="false">F989+H989</f>
        <v>1</v>
      </c>
      <c r="L989" s="38" t="n">
        <f aca="false">G989+4*H989</f>
        <v>6</v>
      </c>
      <c r="M989" s="38" t="s">
        <v>619</v>
      </c>
      <c r="N989" s="38" t="n">
        <f aca="false">ROUND(SUMIFS($J$2:$J$1137,$A$2:$A$1137,A989,$C$2:$C$1137,C989),9)</f>
        <v>1</v>
      </c>
    </row>
    <row r="990" customFormat="false" ht="15" hidden="false" customHeight="true" outlineLevel="0" collapsed="false">
      <c r="A990" s="38" t="n">
        <v>62</v>
      </c>
      <c r="B990" s="38" t="s">
        <v>680</v>
      </c>
      <c r="C990" s="38" t="s">
        <v>171</v>
      </c>
      <c r="D990" s="38" t="s">
        <v>172</v>
      </c>
      <c r="E990" s="38" t="str">
        <f aca="false">A990&amp;"|"&amp;C990&amp;"|"&amp;D990</f>
        <v>62|U|A</v>
      </c>
      <c r="F990" s="43" t="n">
        <v>2</v>
      </c>
      <c r="G990" s="38" t="n">
        <f aca="false">SUMIFS($F$2:$F$1137,$A$2:$A$1137,A990,$C$2:$C$1137,C990)</f>
        <v>26</v>
      </c>
      <c r="H990" s="43" t="n">
        <v>1</v>
      </c>
      <c r="I990" s="45" t="n">
        <f aca="false">IF(G990=0,"",F990/G990)</f>
        <v>0.0769230769230769</v>
      </c>
      <c r="J990" s="45" t="n">
        <f aca="false">K990/L990</f>
        <v>0.1</v>
      </c>
      <c r="K990" s="38" t="n">
        <f aca="false">F990+H990</f>
        <v>3</v>
      </c>
      <c r="L990" s="38" t="n">
        <f aca="false">G990+4*H990</f>
        <v>30</v>
      </c>
      <c r="M990" s="38" t="s">
        <v>619</v>
      </c>
      <c r="N990" s="38" t="n">
        <f aca="false">ROUND(SUMIFS($J$2:$J$1137,$A$2:$A$1137,A990,$C$2:$C$1137,C990),9)</f>
        <v>1</v>
      </c>
    </row>
    <row r="991" customFormat="false" ht="15" hidden="false" customHeight="true" outlineLevel="0" collapsed="false">
      <c r="A991" s="38" t="n">
        <v>62</v>
      </c>
      <c r="B991" s="38" t="s">
        <v>680</v>
      </c>
      <c r="C991" s="38" t="s">
        <v>171</v>
      </c>
      <c r="D991" s="38" t="s">
        <v>170</v>
      </c>
      <c r="E991" s="38" t="str">
        <f aca="false">A991&amp;"|"&amp;C991&amp;"|"&amp;D991</f>
        <v>62|U|C</v>
      </c>
      <c r="F991" s="43" t="n">
        <v>15</v>
      </c>
      <c r="G991" s="38" t="n">
        <f aca="false">SUMIFS($F$2:$F$1137,$A$2:$A$1137,A991,$C$2:$C$1137,C991)</f>
        <v>26</v>
      </c>
      <c r="H991" s="43" t="n">
        <v>1</v>
      </c>
      <c r="I991" s="45" t="n">
        <f aca="false">IF(G991=0,"",F991/G991)</f>
        <v>0.576923076923077</v>
      </c>
      <c r="J991" s="45" t="n">
        <f aca="false">K991/L991</f>
        <v>0.533333333333333</v>
      </c>
      <c r="K991" s="38" t="n">
        <f aca="false">F991+H991</f>
        <v>16</v>
      </c>
      <c r="L991" s="38" t="n">
        <f aca="false">G991+4*H991</f>
        <v>30</v>
      </c>
      <c r="M991" s="38" t="s">
        <v>619</v>
      </c>
      <c r="N991" s="38" t="n">
        <f aca="false">ROUND(SUMIFS($J$2:$J$1137,$A$2:$A$1137,A991,$C$2:$C$1137,C991),9)</f>
        <v>1</v>
      </c>
    </row>
    <row r="992" customFormat="false" ht="15" hidden="false" customHeight="true" outlineLevel="0" collapsed="false">
      <c r="A992" s="38" t="n">
        <v>62</v>
      </c>
      <c r="B992" s="38" t="s">
        <v>680</v>
      </c>
      <c r="C992" s="38" t="s">
        <v>171</v>
      </c>
      <c r="D992" s="38" t="s">
        <v>169</v>
      </c>
      <c r="E992" s="38" t="str">
        <f aca="false">A992&amp;"|"&amp;C992&amp;"|"&amp;D992</f>
        <v>62|U|G</v>
      </c>
      <c r="F992" s="43" t="n">
        <v>7</v>
      </c>
      <c r="G992" s="38" t="n">
        <f aca="false">SUMIFS($F$2:$F$1137,$A$2:$A$1137,A992,$C$2:$C$1137,C992)</f>
        <v>26</v>
      </c>
      <c r="H992" s="43" t="n">
        <v>1</v>
      </c>
      <c r="I992" s="45" t="n">
        <f aca="false">IF(G992=0,"",F992/G992)</f>
        <v>0.269230769230769</v>
      </c>
      <c r="J992" s="45" t="n">
        <f aca="false">K992/L992</f>
        <v>0.266666666666667</v>
      </c>
      <c r="K992" s="38" t="n">
        <f aca="false">F992+H992</f>
        <v>8</v>
      </c>
      <c r="L992" s="38" t="n">
        <f aca="false">G992+4*H992</f>
        <v>30</v>
      </c>
      <c r="M992" s="38" t="s">
        <v>619</v>
      </c>
      <c r="N992" s="38" t="n">
        <f aca="false">ROUND(SUMIFS($J$2:$J$1137,$A$2:$A$1137,A992,$C$2:$C$1137,C992),9)</f>
        <v>1</v>
      </c>
    </row>
    <row r="993" customFormat="false" ht="15" hidden="false" customHeight="true" outlineLevel="0" collapsed="false">
      <c r="A993" s="38" t="n">
        <v>62</v>
      </c>
      <c r="B993" s="38" t="s">
        <v>680</v>
      </c>
      <c r="C993" s="38" t="s">
        <v>171</v>
      </c>
      <c r="D993" s="38" t="s">
        <v>171</v>
      </c>
      <c r="E993" s="38" t="str">
        <f aca="false">A993&amp;"|"&amp;C993&amp;"|"&amp;D993</f>
        <v>62|U|U</v>
      </c>
      <c r="F993" s="43" t="n">
        <v>2</v>
      </c>
      <c r="G993" s="38" t="n">
        <f aca="false">SUMIFS($F$2:$F$1137,$A$2:$A$1137,A993,$C$2:$C$1137,C993)</f>
        <v>26</v>
      </c>
      <c r="H993" s="43" t="n">
        <v>1</v>
      </c>
      <c r="I993" s="45" t="n">
        <f aca="false">IF(G993=0,"",F993/G993)</f>
        <v>0.0769230769230769</v>
      </c>
      <c r="J993" s="45" t="n">
        <f aca="false">K993/L993</f>
        <v>0.1</v>
      </c>
      <c r="K993" s="38" t="n">
        <f aca="false">F993+H993</f>
        <v>3</v>
      </c>
      <c r="L993" s="38" t="n">
        <f aca="false">G993+4*H993</f>
        <v>30</v>
      </c>
      <c r="M993" s="38" t="s">
        <v>619</v>
      </c>
      <c r="N993" s="38" t="n">
        <f aca="false">ROUND(SUMIFS($J$2:$J$1137,$A$2:$A$1137,A993,$C$2:$C$1137,C993),9)</f>
        <v>1</v>
      </c>
    </row>
    <row r="994" customFormat="false" ht="15" hidden="false" customHeight="true" outlineLevel="0" collapsed="false">
      <c r="A994" s="38" t="n">
        <v>63</v>
      </c>
      <c r="B994" s="38" t="s">
        <v>681</v>
      </c>
      <c r="C994" s="38" t="s">
        <v>172</v>
      </c>
      <c r="D994" s="38" t="s">
        <v>172</v>
      </c>
      <c r="E994" s="38" t="str">
        <f aca="false">A994&amp;"|"&amp;C994&amp;"|"&amp;D994</f>
        <v>63|A|A</v>
      </c>
      <c r="F994" s="43" t="n">
        <v>4</v>
      </c>
      <c r="G994" s="38" t="n">
        <f aca="false">SUMIFS($F$2:$F$1137,$A$2:$A$1137,A994,$C$2:$C$1137,C994)</f>
        <v>22</v>
      </c>
      <c r="H994" s="43" t="n">
        <v>1</v>
      </c>
      <c r="I994" s="45" t="n">
        <f aca="false">IF(G994=0,"",F994/G994)</f>
        <v>0.181818181818182</v>
      </c>
      <c r="J994" s="45" t="n">
        <f aca="false">K994/L994</f>
        <v>0.192307692307692</v>
      </c>
      <c r="K994" s="38" t="n">
        <f aca="false">F994+H994</f>
        <v>5</v>
      </c>
      <c r="L994" s="38" t="n">
        <f aca="false">G994+4*H994</f>
        <v>26</v>
      </c>
      <c r="M994" s="38" t="s">
        <v>619</v>
      </c>
      <c r="N994" s="38" t="n">
        <f aca="false">ROUND(SUMIFS($J$2:$J$1137,$A$2:$A$1137,A994,$C$2:$C$1137,C994),9)</f>
        <v>1</v>
      </c>
    </row>
    <row r="995" customFormat="false" ht="15" hidden="false" customHeight="true" outlineLevel="0" collapsed="false">
      <c r="A995" s="38" t="n">
        <v>63</v>
      </c>
      <c r="B995" s="38" t="s">
        <v>681</v>
      </c>
      <c r="C995" s="38" t="s">
        <v>172</v>
      </c>
      <c r="D995" s="38" t="s">
        <v>170</v>
      </c>
      <c r="E995" s="38" t="str">
        <f aca="false">A995&amp;"|"&amp;C995&amp;"|"&amp;D995</f>
        <v>63|A|C</v>
      </c>
      <c r="F995" s="43" t="n">
        <v>7</v>
      </c>
      <c r="G995" s="38" t="n">
        <f aca="false">SUMIFS($F$2:$F$1137,$A$2:$A$1137,A995,$C$2:$C$1137,C995)</f>
        <v>22</v>
      </c>
      <c r="H995" s="43" t="n">
        <v>1</v>
      </c>
      <c r="I995" s="45" t="n">
        <f aca="false">IF(G995=0,"",F995/G995)</f>
        <v>0.318181818181818</v>
      </c>
      <c r="J995" s="45" t="n">
        <f aca="false">K995/L995</f>
        <v>0.307692307692308</v>
      </c>
      <c r="K995" s="38" t="n">
        <f aca="false">F995+H995</f>
        <v>8</v>
      </c>
      <c r="L995" s="38" t="n">
        <f aca="false">G995+4*H995</f>
        <v>26</v>
      </c>
      <c r="M995" s="38" t="s">
        <v>619</v>
      </c>
      <c r="N995" s="38" t="n">
        <f aca="false">ROUND(SUMIFS($J$2:$J$1137,$A$2:$A$1137,A995,$C$2:$C$1137,C995),9)</f>
        <v>1</v>
      </c>
    </row>
    <row r="996" customFormat="false" ht="15" hidden="false" customHeight="true" outlineLevel="0" collapsed="false">
      <c r="A996" s="38" t="n">
        <v>63</v>
      </c>
      <c r="B996" s="38" t="s">
        <v>681</v>
      </c>
      <c r="C996" s="38" t="s">
        <v>172</v>
      </c>
      <c r="D996" s="38" t="s">
        <v>169</v>
      </c>
      <c r="E996" s="38" t="str">
        <f aca="false">A996&amp;"|"&amp;C996&amp;"|"&amp;D996</f>
        <v>63|A|G</v>
      </c>
      <c r="F996" s="43" t="n">
        <v>9</v>
      </c>
      <c r="G996" s="38" t="n">
        <f aca="false">SUMIFS($F$2:$F$1137,$A$2:$A$1137,A996,$C$2:$C$1137,C996)</f>
        <v>22</v>
      </c>
      <c r="H996" s="43" t="n">
        <v>1</v>
      </c>
      <c r="I996" s="45" t="n">
        <f aca="false">IF(G996=0,"",F996/G996)</f>
        <v>0.409090909090909</v>
      </c>
      <c r="J996" s="45" t="n">
        <f aca="false">K996/L996</f>
        <v>0.384615384615385</v>
      </c>
      <c r="K996" s="38" t="n">
        <f aca="false">F996+H996</f>
        <v>10</v>
      </c>
      <c r="L996" s="38" t="n">
        <f aca="false">G996+4*H996</f>
        <v>26</v>
      </c>
      <c r="M996" s="38" t="s">
        <v>619</v>
      </c>
      <c r="N996" s="38" t="n">
        <f aca="false">ROUND(SUMIFS($J$2:$J$1137,$A$2:$A$1137,A996,$C$2:$C$1137,C996),9)</f>
        <v>1</v>
      </c>
    </row>
    <row r="997" customFormat="false" ht="15" hidden="false" customHeight="true" outlineLevel="0" collapsed="false">
      <c r="A997" s="38" t="n">
        <v>63</v>
      </c>
      <c r="B997" s="38" t="s">
        <v>681</v>
      </c>
      <c r="C997" s="38" t="s">
        <v>172</v>
      </c>
      <c r="D997" s="38" t="s">
        <v>171</v>
      </c>
      <c r="E997" s="38" t="str">
        <f aca="false">A997&amp;"|"&amp;C997&amp;"|"&amp;D997</f>
        <v>63|A|U</v>
      </c>
      <c r="F997" s="43" t="n">
        <v>2</v>
      </c>
      <c r="G997" s="38" t="n">
        <f aca="false">SUMIFS($F$2:$F$1137,$A$2:$A$1137,A997,$C$2:$C$1137,C997)</f>
        <v>22</v>
      </c>
      <c r="H997" s="43" t="n">
        <v>1</v>
      </c>
      <c r="I997" s="45" t="n">
        <f aca="false">IF(G997=0,"",F997/G997)</f>
        <v>0.0909090909090909</v>
      </c>
      <c r="J997" s="45" t="n">
        <f aca="false">K997/L997</f>
        <v>0.115384615384615</v>
      </c>
      <c r="K997" s="38" t="n">
        <f aca="false">F997+H997</f>
        <v>3</v>
      </c>
      <c r="L997" s="38" t="n">
        <f aca="false">G997+4*H997</f>
        <v>26</v>
      </c>
      <c r="M997" s="38" t="s">
        <v>619</v>
      </c>
      <c r="N997" s="38" t="n">
        <f aca="false">ROUND(SUMIFS($J$2:$J$1137,$A$2:$A$1137,A997,$C$2:$C$1137,C997),9)</f>
        <v>1</v>
      </c>
    </row>
    <row r="998" customFormat="false" ht="15" hidden="false" customHeight="true" outlineLevel="0" collapsed="false">
      <c r="A998" s="38" t="n">
        <v>63</v>
      </c>
      <c r="B998" s="38" t="s">
        <v>681</v>
      </c>
      <c r="C998" s="38" t="s">
        <v>170</v>
      </c>
      <c r="D998" s="38" t="s">
        <v>172</v>
      </c>
      <c r="E998" s="38" t="str">
        <f aca="false">A998&amp;"|"&amp;C998&amp;"|"&amp;D998</f>
        <v>63|C|A</v>
      </c>
      <c r="F998" s="43" t="n">
        <v>18</v>
      </c>
      <c r="G998" s="38" t="n">
        <f aca="false">SUMIFS($F$2:$F$1137,$A$2:$A$1137,A998,$C$2:$C$1137,C998)</f>
        <v>97</v>
      </c>
      <c r="H998" s="43" t="n">
        <v>1</v>
      </c>
      <c r="I998" s="45" t="n">
        <f aca="false">IF(G998=0,"",F998/G998)</f>
        <v>0.185567010309278</v>
      </c>
      <c r="J998" s="45" t="n">
        <f aca="false">K998/L998</f>
        <v>0.188118811881188</v>
      </c>
      <c r="K998" s="38" t="n">
        <f aca="false">F998+H998</f>
        <v>19</v>
      </c>
      <c r="L998" s="38" t="n">
        <f aca="false">G998+4*H998</f>
        <v>101</v>
      </c>
      <c r="M998" s="38" t="s">
        <v>619</v>
      </c>
      <c r="N998" s="38" t="n">
        <f aca="false">ROUND(SUMIFS($J$2:$J$1137,$A$2:$A$1137,A998,$C$2:$C$1137,C998),9)</f>
        <v>1</v>
      </c>
    </row>
    <row r="999" customFormat="false" ht="15" hidden="false" customHeight="true" outlineLevel="0" collapsed="false">
      <c r="A999" s="38" t="n">
        <v>63</v>
      </c>
      <c r="B999" s="38" t="s">
        <v>681</v>
      </c>
      <c r="C999" s="38" t="s">
        <v>170</v>
      </c>
      <c r="D999" s="38" t="s">
        <v>170</v>
      </c>
      <c r="E999" s="38" t="str">
        <f aca="false">A999&amp;"|"&amp;C999&amp;"|"&amp;D999</f>
        <v>63|C|C</v>
      </c>
      <c r="F999" s="43" t="n">
        <v>18</v>
      </c>
      <c r="G999" s="38" t="n">
        <f aca="false">SUMIFS($F$2:$F$1137,$A$2:$A$1137,A999,$C$2:$C$1137,C999)</f>
        <v>97</v>
      </c>
      <c r="H999" s="43" t="n">
        <v>1</v>
      </c>
      <c r="I999" s="45" t="n">
        <f aca="false">IF(G999=0,"",F999/G999)</f>
        <v>0.185567010309278</v>
      </c>
      <c r="J999" s="45" t="n">
        <f aca="false">K999/L999</f>
        <v>0.188118811881188</v>
      </c>
      <c r="K999" s="38" t="n">
        <f aca="false">F999+H999</f>
        <v>19</v>
      </c>
      <c r="L999" s="38" t="n">
        <f aca="false">G999+4*H999</f>
        <v>101</v>
      </c>
      <c r="M999" s="38" t="s">
        <v>619</v>
      </c>
      <c r="N999" s="38" t="n">
        <f aca="false">ROUND(SUMIFS($J$2:$J$1137,$A$2:$A$1137,A999,$C$2:$C$1137,C999),9)</f>
        <v>1</v>
      </c>
    </row>
    <row r="1000" customFormat="false" ht="15" hidden="false" customHeight="true" outlineLevel="0" collapsed="false">
      <c r="A1000" s="38" t="n">
        <v>63</v>
      </c>
      <c r="B1000" s="38" t="s">
        <v>681</v>
      </c>
      <c r="C1000" s="38" t="s">
        <v>170</v>
      </c>
      <c r="D1000" s="38" t="s">
        <v>169</v>
      </c>
      <c r="E1000" s="38" t="str">
        <f aca="false">A1000&amp;"|"&amp;C1000&amp;"|"&amp;D1000</f>
        <v>63|C|G</v>
      </c>
      <c r="F1000" s="43" t="n">
        <v>39</v>
      </c>
      <c r="G1000" s="38" t="n">
        <f aca="false">SUMIFS($F$2:$F$1137,$A$2:$A$1137,A1000,$C$2:$C$1137,C1000)</f>
        <v>97</v>
      </c>
      <c r="H1000" s="43" t="n">
        <v>1</v>
      </c>
      <c r="I1000" s="45" t="n">
        <f aca="false">IF(G1000=0,"",F1000/G1000)</f>
        <v>0.402061855670103</v>
      </c>
      <c r="J1000" s="45" t="n">
        <f aca="false">K1000/L1000</f>
        <v>0.396039603960396</v>
      </c>
      <c r="K1000" s="38" t="n">
        <f aca="false">F1000+H1000</f>
        <v>40</v>
      </c>
      <c r="L1000" s="38" t="n">
        <f aca="false">G1000+4*H1000</f>
        <v>101</v>
      </c>
      <c r="M1000" s="38" t="s">
        <v>619</v>
      </c>
      <c r="N1000" s="38" t="n">
        <f aca="false">ROUND(SUMIFS($J$2:$J$1137,$A$2:$A$1137,A1000,$C$2:$C$1137,C1000),9)</f>
        <v>1</v>
      </c>
    </row>
    <row r="1001" customFormat="false" ht="15" hidden="false" customHeight="true" outlineLevel="0" collapsed="false">
      <c r="A1001" s="38" t="n">
        <v>63</v>
      </c>
      <c r="B1001" s="38" t="s">
        <v>681</v>
      </c>
      <c r="C1001" s="38" t="s">
        <v>170</v>
      </c>
      <c r="D1001" s="38" t="s">
        <v>171</v>
      </c>
      <c r="E1001" s="38" t="str">
        <f aca="false">A1001&amp;"|"&amp;C1001&amp;"|"&amp;D1001</f>
        <v>63|C|U</v>
      </c>
      <c r="F1001" s="43" t="n">
        <v>22</v>
      </c>
      <c r="G1001" s="38" t="n">
        <f aca="false">SUMIFS($F$2:$F$1137,$A$2:$A$1137,A1001,$C$2:$C$1137,C1001)</f>
        <v>97</v>
      </c>
      <c r="H1001" s="43" t="n">
        <v>1</v>
      </c>
      <c r="I1001" s="45" t="n">
        <f aca="false">IF(G1001=0,"",F1001/G1001)</f>
        <v>0.22680412371134</v>
      </c>
      <c r="J1001" s="45" t="n">
        <f aca="false">K1001/L1001</f>
        <v>0.227722772277228</v>
      </c>
      <c r="K1001" s="38" t="n">
        <f aca="false">F1001+H1001</f>
        <v>23</v>
      </c>
      <c r="L1001" s="38" t="n">
        <f aca="false">G1001+4*H1001</f>
        <v>101</v>
      </c>
      <c r="M1001" s="38" t="s">
        <v>619</v>
      </c>
      <c r="N1001" s="38" t="n">
        <f aca="false">ROUND(SUMIFS($J$2:$J$1137,$A$2:$A$1137,A1001,$C$2:$C$1137,C1001),9)</f>
        <v>1</v>
      </c>
    </row>
    <row r="1002" customFormat="false" ht="15" hidden="false" customHeight="true" outlineLevel="0" collapsed="false">
      <c r="A1002" s="38" t="n">
        <v>63</v>
      </c>
      <c r="B1002" s="38" t="s">
        <v>681</v>
      </c>
      <c r="C1002" s="38" t="s">
        <v>169</v>
      </c>
      <c r="D1002" s="38" t="s">
        <v>172</v>
      </c>
      <c r="E1002" s="38" t="str">
        <f aca="false">A1002&amp;"|"&amp;C1002&amp;"|"&amp;D1002</f>
        <v>63|G|A</v>
      </c>
      <c r="F1002" s="43" t="n">
        <v>5</v>
      </c>
      <c r="G1002" s="38" t="n">
        <f aca="false">SUMIFS($F$2:$F$1137,$A$2:$A$1137,A1002,$C$2:$C$1137,C1002)</f>
        <v>48</v>
      </c>
      <c r="H1002" s="43" t="n">
        <v>1</v>
      </c>
      <c r="I1002" s="45" t="n">
        <f aca="false">IF(G1002=0,"",F1002/G1002)</f>
        <v>0.104166666666667</v>
      </c>
      <c r="J1002" s="45" t="n">
        <f aca="false">K1002/L1002</f>
        <v>0.115384615384615</v>
      </c>
      <c r="K1002" s="38" t="n">
        <f aca="false">F1002+H1002</f>
        <v>6</v>
      </c>
      <c r="L1002" s="38" t="n">
        <f aca="false">G1002+4*H1002</f>
        <v>52</v>
      </c>
      <c r="M1002" s="38" t="s">
        <v>619</v>
      </c>
      <c r="N1002" s="38" t="n">
        <f aca="false">ROUND(SUMIFS($J$2:$J$1137,$A$2:$A$1137,A1002,$C$2:$C$1137,C1002),9)</f>
        <v>1</v>
      </c>
    </row>
    <row r="1003" customFormat="false" ht="15" hidden="false" customHeight="true" outlineLevel="0" collapsed="false">
      <c r="A1003" s="38" t="n">
        <v>63</v>
      </c>
      <c r="B1003" s="38" t="s">
        <v>681</v>
      </c>
      <c r="C1003" s="38" t="s">
        <v>169</v>
      </c>
      <c r="D1003" s="38" t="s">
        <v>170</v>
      </c>
      <c r="E1003" s="38" t="str">
        <f aca="false">A1003&amp;"|"&amp;C1003&amp;"|"&amp;D1003</f>
        <v>63|G|C</v>
      </c>
      <c r="F1003" s="43" t="n">
        <v>12</v>
      </c>
      <c r="G1003" s="38" t="n">
        <f aca="false">SUMIFS($F$2:$F$1137,$A$2:$A$1137,A1003,$C$2:$C$1137,C1003)</f>
        <v>48</v>
      </c>
      <c r="H1003" s="43" t="n">
        <v>1</v>
      </c>
      <c r="I1003" s="45" t="n">
        <f aca="false">IF(G1003=0,"",F1003/G1003)</f>
        <v>0.25</v>
      </c>
      <c r="J1003" s="45" t="n">
        <f aca="false">K1003/L1003</f>
        <v>0.25</v>
      </c>
      <c r="K1003" s="38" t="n">
        <f aca="false">F1003+H1003</f>
        <v>13</v>
      </c>
      <c r="L1003" s="38" t="n">
        <f aca="false">G1003+4*H1003</f>
        <v>52</v>
      </c>
      <c r="M1003" s="38" t="s">
        <v>619</v>
      </c>
      <c r="N1003" s="38" t="n">
        <f aca="false">ROUND(SUMIFS($J$2:$J$1137,$A$2:$A$1137,A1003,$C$2:$C$1137,C1003),9)</f>
        <v>1</v>
      </c>
    </row>
    <row r="1004" customFormat="false" ht="15" hidden="false" customHeight="true" outlineLevel="0" collapsed="false">
      <c r="A1004" s="38" t="n">
        <v>63</v>
      </c>
      <c r="B1004" s="38" t="s">
        <v>681</v>
      </c>
      <c r="C1004" s="38" t="s">
        <v>169</v>
      </c>
      <c r="D1004" s="38" t="s">
        <v>169</v>
      </c>
      <c r="E1004" s="38" t="str">
        <f aca="false">A1004&amp;"|"&amp;C1004&amp;"|"&amp;D1004</f>
        <v>63|G|G</v>
      </c>
      <c r="F1004" s="43" t="n">
        <v>26</v>
      </c>
      <c r="G1004" s="38" t="n">
        <f aca="false">SUMIFS($F$2:$F$1137,$A$2:$A$1137,A1004,$C$2:$C$1137,C1004)</f>
        <v>48</v>
      </c>
      <c r="H1004" s="43" t="n">
        <v>1</v>
      </c>
      <c r="I1004" s="45" t="n">
        <f aca="false">IF(G1004=0,"",F1004/G1004)</f>
        <v>0.541666666666667</v>
      </c>
      <c r="J1004" s="45" t="n">
        <f aca="false">K1004/L1004</f>
        <v>0.519230769230769</v>
      </c>
      <c r="K1004" s="38" t="n">
        <f aca="false">F1004+H1004</f>
        <v>27</v>
      </c>
      <c r="L1004" s="38" t="n">
        <f aca="false">G1004+4*H1004</f>
        <v>52</v>
      </c>
      <c r="M1004" s="38" t="s">
        <v>619</v>
      </c>
      <c r="N1004" s="38" t="n">
        <f aca="false">ROUND(SUMIFS($J$2:$J$1137,$A$2:$A$1137,A1004,$C$2:$C$1137,C1004),9)</f>
        <v>1</v>
      </c>
    </row>
    <row r="1005" customFormat="false" ht="15" hidden="false" customHeight="true" outlineLevel="0" collapsed="false">
      <c r="A1005" s="38" t="n">
        <v>63</v>
      </c>
      <c r="B1005" s="38" t="s">
        <v>681</v>
      </c>
      <c r="C1005" s="38" t="s">
        <v>169</v>
      </c>
      <c r="D1005" s="38" t="s">
        <v>171</v>
      </c>
      <c r="E1005" s="38" t="str">
        <f aca="false">A1005&amp;"|"&amp;C1005&amp;"|"&amp;D1005</f>
        <v>63|G|U</v>
      </c>
      <c r="F1005" s="43" t="n">
        <v>5</v>
      </c>
      <c r="G1005" s="38" t="n">
        <f aca="false">SUMIFS($F$2:$F$1137,$A$2:$A$1137,A1005,$C$2:$C$1137,C1005)</f>
        <v>48</v>
      </c>
      <c r="H1005" s="43" t="n">
        <v>1</v>
      </c>
      <c r="I1005" s="45" t="n">
        <f aca="false">IF(G1005=0,"",F1005/G1005)</f>
        <v>0.104166666666667</v>
      </c>
      <c r="J1005" s="45" t="n">
        <f aca="false">K1005/L1005</f>
        <v>0.115384615384615</v>
      </c>
      <c r="K1005" s="38" t="n">
        <f aca="false">F1005+H1005</f>
        <v>6</v>
      </c>
      <c r="L1005" s="38" t="n">
        <f aca="false">G1005+4*H1005</f>
        <v>52</v>
      </c>
      <c r="M1005" s="38" t="s">
        <v>619</v>
      </c>
      <c r="N1005" s="38" t="n">
        <f aca="false">ROUND(SUMIFS($J$2:$J$1137,$A$2:$A$1137,A1005,$C$2:$C$1137,C1005),9)</f>
        <v>1</v>
      </c>
    </row>
    <row r="1006" customFormat="false" ht="15" hidden="false" customHeight="true" outlineLevel="0" collapsed="false">
      <c r="A1006" s="38" t="n">
        <v>63</v>
      </c>
      <c r="B1006" s="38" t="s">
        <v>681</v>
      </c>
      <c r="C1006" s="38" t="s">
        <v>171</v>
      </c>
      <c r="D1006" s="38" t="s">
        <v>172</v>
      </c>
      <c r="E1006" s="38" t="str">
        <f aca="false">A1006&amp;"|"&amp;C1006&amp;"|"&amp;D1006</f>
        <v>63|U|A</v>
      </c>
      <c r="F1006" s="43" t="n">
        <v>5</v>
      </c>
      <c r="G1006" s="38" t="n">
        <f aca="false">SUMIFS($F$2:$F$1137,$A$2:$A$1137,A1006,$C$2:$C$1137,C1006)</f>
        <v>32</v>
      </c>
      <c r="H1006" s="43" t="n">
        <v>1</v>
      </c>
      <c r="I1006" s="45" t="n">
        <f aca="false">IF(G1006=0,"",F1006/G1006)</f>
        <v>0.15625</v>
      </c>
      <c r="J1006" s="45" t="n">
        <f aca="false">K1006/L1006</f>
        <v>0.166666666666667</v>
      </c>
      <c r="K1006" s="38" t="n">
        <f aca="false">F1006+H1006</f>
        <v>6</v>
      </c>
      <c r="L1006" s="38" t="n">
        <f aca="false">G1006+4*H1006</f>
        <v>36</v>
      </c>
      <c r="M1006" s="38" t="s">
        <v>619</v>
      </c>
      <c r="N1006" s="38" t="n">
        <f aca="false">ROUND(SUMIFS($J$2:$J$1137,$A$2:$A$1137,A1006,$C$2:$C$1137,C1006),9)</f>
        <v>1</v>
      </c>
    </row>
    <row r="1007" customFormat="false" ht="15" hidden="false" customHeight="true" outlineLevel="0" collapsed="false">
      <c r="A1007" s="38" t="n">
        <v>63</v>
      </c>
      <c r="B1007" s="38" t="s">
        <v>681</v>
      </c>
      <c r="C1007" s="38" t="s">
        <v>171</v>
      </c>
      <c r="D1007" s="38" t="s">
        <v>170</v>
      </c>
      <c r="E1007" s="38" t="str">
        <f aca="false">A1007&amp;"|"&amp;C1007&amp;"|"&amp;D1007</f>
        <v>63|U|C</v>
      </c>
      <c r="F1007" s="43" t="n">
        <v>5</v>
      </c>
      <c r="G1007" s="38" t="n">
        <f aca="false">SUMIFS($F$2:$F$1137,$A$2:$A$1137,A1007,$C$2:$C$1137,C1007)</f>
        <v>32</v>
      </c>
      <c r="H1007" s="43" t="n">
        <v>1</v>
      </c>
      <c r="I1007" s="45" t="n">
        <f aca="false">IF(G1007=0,"",F1007/G1007)</f>
        <v>0.15625</v>
      </c>
      <c r="J1007" s="45" t="n">
        <f aca="false">K1007/L1007</f>
        <v>0.166666666666667</v>
      </c>
      <c r="K1007" s="38" t="n">
        <f aca="false">F1007+H1007</f>
        <v>6</v>
      </c>
      <c r="L1007" s="38" t="n">
        <f aca="false">G1007+4*H1007</f>
        <v>36</v>
      </c>
      <c r="M1007" s="38" t="s">
        <v>619</v>
      </c>
      <c r="N1007" s="38" t="n">
        <f aca="false">ROUND(SUMIFS($J$2:$J$1137,$A$2:$A$1137,A1007,$C$2:$C$1137,C1007),9)</f>
        <v>1</v>
      </c>
    </row>
    <row r="1008" customFormat="false" ht="15" hidden="false" customHeight="true" outlineLevel="0" collapsed="false">
      <c r="A1008" s="38" t="n">
        <v>63</v>
      </c>
      <c r="B1008" s="38" t="s">
        <v>681</v>
      </c>
      <c r="C1008" s="38" t="s">
        <v>171</v>
      </c>
      <c r="D1008" s="38" t="s">
        <v>169</v>
      </c>
      <c r="E1008" s="38" t="str">
        <f aca="false">A1008&amp;"|"&amp;C1008&amp;"|"&amp;D1008</f>
        <v>63|U|G</v>
      </c>
      <c r="F1008" s="43" t="n">
        <v>18</v>
      </c>
      <c r="G1008" s="38" t="n">
        <f aca="false">SUMIFS($F$2:$F$1137,$A$2:$A$1137,A1008,$C$2:$C$1137,C1008)</f>
        <v>32</v>
      </c>
      <c r="H1008" s="43" t="n">
        <v>1</v>
      </c>
      <c r="I1008" s="45" t="n">
        <f aca="false">IF(G1008=0,"",F1008/G1008)</f>
        <v>0.5625</v>
      </c>
      <c r="J1008" s="45" t="n">
        <f aca="false">K1008/L1008</f>
        <v>0.527777777777778</v>
      </c>
      <c r="K1008" s="38" t="n">
        <f aca="false">F1008+H1008</f>
        <v>19</v>
      </c>
      <c r="L1008" s="38" t="n">
        <f aca="false">G1008+4*H1008</f>
        <v>36</v>
      </c>
      <c r="M1008" s="38" t="s">
        <v>619</v>
      </c>
      <c r="N1008" s="38" t="n">
        <f aca="false">ROUND(SUMIFS($J$2:$J$1137,$A$2:$A$1137,A1008,$C$2:$C$1137,C1008),9)</f>
        <v>1</v>
      </c>
    </row>
    <row r="1009" customFormat="false" ht="15" hidden="false" customHeight="true" outlineLevel="0" collapsed="false">
      <c r="A1009" s="38" t="n">
        <v>63</v>
      </c>
      <c r="B1009" s="38" t="s">
        <v>681</v>
      </c>
      <c r="C1009" s="38" t="s">
        <v>171</v>
      </c>
      <c r="D1009" s="38" t="s">
        <v>171</v>
      </c>
      <c r="E1009" s="38" t="str">
        <f aca="false">A1009&amp;"|"&amp;C1009&amp;"|"&amp;D1009</f>
        <v>63|U|U</v>
      </c>
      <c r="F1009" s="43" t="n">
        <v>4</v>
      </c>
      <c r="G1009" s="38" t="n">
        <f aca="false">SUMIFS($F$2:$F$1137,$A$2:$A$1137,A1009,$C$2:$C$1137,C1009)</f>
        <v>32</v>
      </c>
      <c r="H1009" s="43" t="n">
        <v>1</v>
      </c>
      <c r="I1009" s="45" t="n">
        <f aca="false">IF(G1009=0,"",F1009/G1009)</f>
        <v>0.125</v>
      </c>
      <c r="J1009" s="45" t="n">
        <f aca="false">K1009/L1009</f>
        <v>0.138888888888889</v>
      </c>
      <c r="K1009" s="38" t="n">
        <f aca="false">F1009+H1009</f>
        <v>5</v>
      </c>
      <c r="L1009" s="38" t="n">
        <f aca="false">G1009+4*H1009</f>
        <v>36</v>
      </c>
      <c r="M1009" s="38" t="s">
        <v>619</v>
      </c>
      <c r="N1009" s="38" t="n">
        <f aca="false">ROUND(SUMIFS($J$2:$J$1137,$A$2:$A$1137,A1009,$C$2:$C$1137,C1009),9)</f>
        <v>1</v>
      </c>
    </row>
    <row r="1010" customFormat="false" ht="15" hidden="false" customHeight="true" outlineLevel="0" collapsed="false">
      <c r="A1010" s="38" t="n">
        <v>64</v>
      </c>
      <c r="B1010" s="38" t="s">
        <v>682</v>
      </c>
      <c r="C1010" s="38" t="s">
        <v>172</v>
      </c>
      <c r="D1010" s="38" t="s">
        <v>172</v>
      </c>
      <c r="E1010" s="38" t="str">
        <f aca="false">A1010&amp;"|"&amp;C1010&amp;"|"&amp;D1010</f>
        <v>64|A|A</v>
      </c>
      <c r="F1010" s="43" t="n">
        <v>1</v>
      </c>
      <c r="G1010" s="38" t="n">
        <f aca="false">SUMIFS($F$2:$F$1137,$A$2:$A$1137,A1010,$C$2:$C$1137,C1010)</f>
        <v>31</v>
      </c>
      <c r="H1010" s="43" t="n">
        <v>1</v>
      </c>
      <c r="I1010" s="45" t="n">
        <f aca="false">IF(G1010=0,"",F1010/G1010)</f>
        <v>0.032258064516129</v>
      </c>
      <c r="J1010" s="45" t="n">
        <f aca="false">K1010/L1010</f>
        <v>0.0571428571428571</v>
      </c>
      <c r="K1010" s="38" t="n">
        <f aca="false">F1010+H1010</f>
        <v>2</v>
      </c>
      <c r="L1010" s="38" t="n">
        <f aca="false">G1010+4*H1010</f>
        <v>35</v>
      </c>
      <c r="M1010" s="38" t="s">
        <v>619</v>
      </c>
      <c r="N1010" s="38" t="n">
        <f aca="false">ROUND(SUMIFS($J$2:$J$1137,$A$2:$A$1137,A1010,$C$2:$C$1137,C1010),9)</f>
        <v>1</v>
      </c>
    </row>
    <row r="1011" customFormat="false" ht="15" hidden="false" customHeight="true" outlineLevel="0" collapsed="false">
      <c r="A1011" s="38" t="n">
        <v>64</v>
      </c>
      <c r="B1011" s="38" t="s">
        <v>682</v>
      </c>
      <c r="C1011" s="38" t="s">
        <v>172</v>
      </c>
      <c r="D1011" s="38" t="s">
        <v>170</v>
      </c>
      <c r="E1011" s="38" t="str">
        <f aca="false">A1011&amp;"|"&amp;C1011&amp;"|"&amp;D1011</f>
        <v>64|A|C</v>
      </c>
      <c r="F1011" s="43" t="n">
        <v>14</v>
      </c>
      <c r="G1011" s="38" t="n">
        <f aca="false">SUMIFS($F$2:$F$1137,$A$2:$A$1137,A1011,$C$2:$C$1137,C1011)</f>
        <v>31</v>
      </c>
      <c r="H1011" s="43" t="n">
        <v>1</v>
      </c>
      <c r="I1011" s="45" t="n">
        <f aca="false">IF(G1011=0,"",F1011/G1011)</f>
        <v>0.451612903225806</v>
      </c>
      <c r="J1011" s="45" t="n">
        <f aca="false">K1011/L1011</f>
        <v>0.428571428571429</v>
      </c>
      <c r="K1011" s="38" t="n">
        <f aca="false">F1011+H1011</f>
        <v>15</v>
      </c>
      <c r="L1011" s="38" t="n">
        <f aca="false">G1011+4*H1011</f>
        <v>35</v>
      </c>
      <c r="M1011" s="38" t="s">
        <v>619</v>
      </c>
      <c r="N1011" s="38" t="n">
        <f aca="false">ROUND(SUMIFS($J$2:$J$1137,$A$2:$A$1137,A1011,$C$2:$C$1137,C1011),9)</f>
        <v>1</v>
      </c>
    </row>
    <row r="1012" customFormat="false" ht="15" hidden="false" customHeight="true" outlineLevel="0" collapsed="false">
      <c r="A1012" s="38" t="n">
        <v>64</v>
      </c>
      <c r="B1012" s="38" t="s">
        <v>682</v>
      </c>
      <c r="C1012" s="38" t="s">
        <v>172</v>
      </c>
      <c r="D1012" s="38" t="s">
        <v>169</v>
      </c>
      <c r="E1012" s="38" t="str">
        <f aca="false">A1012&amp;"|"&amp;C1012&amp;"|"&amp;D1012</f>
        <v>64|A|G</v>
      </c>
      <c r="F1012" s="43" t="n">
        <v>5</v>
      </c>
      <c r="G1012" s="38" t="n">
        <f aca="false">SUMIFS($F$2:$F$1137,$A$2:$A$1137,A1012,$C$2:$C$1137,C1012)</f>
        <v>31</v>
      </c>
      <c r="H1012" s="43" t="n">
        <v>1</v>
      </c>
      <c r="I1012" s="45" t="n">
        <f aca="false">IF(G1012=0,"",F1012/G1012)</f>
        <v>0.161290322580645</v>
      </c>
      <c r="J1012" s="45" t="n">
        <f aca="false">K1012/L1012</f>
        <v>0.171428571428571</v>
      </c>
      <c r="K1012" s="38" t="n">
        <f aca="false">F1012+H1012</f>
        <v>6</v>
      </c>
      <c r="L1012" s="38" t="n">
        <f aca="false">G1012+4*H1012</f>
        <v>35</v>
      </c>
      <c r="M1012" s="38" t="s">
        <v>619</v>
      </c>
      <c r="N1012" s="38" t="n">
        <f aca="false">ROUND(SUMIFS($J$2:$J$1137,$A$2:$A$1137,A1012,$C$2:$C$1137,C1012),9)</f>
        <v>1</v>
      </c>
    </row>
    <row r="1013" customFormat="false" ht="15" hidden="false" customHeight="true" outlineLevel="0" collapsed="false">
      <c r="A1013" s="38" t="n">
        <v>64</v>
      </c>
      <c r="B1013" s="38" t="s">
        <v>682</v>
      </c>
      <c r="C1013" s="38" t="s">
        <v>172</v>
      </c>
      <c r="D1013" s="38" t="s">
        <v>171</v>
      </c>
      <c r="E1013" s="38" t="str">
        <f aca="false">A1013&amp;"|"&amp;C1013&amp;"|"&amp;D1013</f>
        <v>64|A|U</v>
      </c>
      <c r="F1013" s="43" t="n">
        <v>11</v>
      </c>
      <c r="G1013" s="38" t="n">
        <f aca="false">SUMIFS($F$2:$F$1137,$A$2:$A$1137,A1013,$C$2:$C$1137,C1013)</f>
        <v>31</v>
      </c>
      <c r="H1013" s="43" t="n">
        <v>1</v>
      </c>
      <c r="I1013" s="45" t="n">
        <f aca="false">IF(G1013=0,"",F1013/G1013)</f>
        <v>0.354838709677419</v>
      </c>
      <c r="J1013" s="45" t="n">
        <f aca="false">K1013/L1013</f>
        <v>0.342857142857143</v>
      </c>
      <c r="K1013" s="38" t="n">
        <f aca="false">F1013+H1013</f>
        <v>12</v>
      </c>
      <c r="L1013" s="38" t="n">
        <f aca="false">G1013+4*H1013</f>
        <v>35</v>
      </c>
      <c r="M1013" s="38" t="s">
        <v>619</v>
      </c>
      <c r="N1013" s="38" t="n">
        <f aca="false">ROUND(SUMIFS($J$2:$J$1137,$A$2:$A$1137,A1013,$C$2:$C$1137,C1013),9)</f>
        <v>1</v>
      </c>
    </row>
    <row r="1014" customFormat="false" ht="15" hidden="false" customHeight="true" outlineLevel="0" collapsed="false">
      <c r="A1014" s="38" t="n">
        <v>64</v>
      </c>
      <c r="B1014" s="38" t="s">
        <v>682</v>
      </c>
      <c r="C1014" s="38" t="s">
        <v>170</v>
      </c>
      <c r="D1014" s="38" t="s">
        <v>172</v>
      </c>
      <c r="E1014" s="38" t="str">
        <f aca="false">A1014&amp;"|"&amp;C1014&amp;"|"&amp;D1014</f>
        <v>64|C|A</v>
      </c>
      <c r="F1014" s="43" t="n">
        <v>4</v>
      </c>
      <c r="G1014" s="38" t="n">
        <f aca="false">SUMIFS($F$2:$F$1137,$A$2:$A$1137,A1014,$C$2:$C$1137,C1014)</f>
        <v>42</v>
      </c>
      <c r="H1014" s="43" t="n">
        <v>1</v>
      </c>
      <c r="I1014" s="45" t="n">
        <f aca="false">IF(G1014=0,"",F1014/G1014)</f>
        <v>0.0952380952380952</v>
      </c>
      <c r="J1014" s="45" t="n">
        <f aca="false">K1014/L1014</f>
        <v>0.108695652173913</v>
      </c>
      <c r="K1014" s="38" t="n">
        <f aca="false">F1014+H1014</f>
        <v>5</v>
      </c>
      <c r="L1014" s="38" t="n">
        <f aca="false">G1014+4*H1014</f>
        <v>46</v>
      </c>
      <c r="M1014" s="38" t="s">
        <v>619</v>
      </c>
      <c r="N1014" s="38" t="n">
        <f aca="false">ROUND(SUMIFS($J$2:$J$1137,$A$2:$A$1137,A1014,$C$2:$C$1137,C1014),9)</f>
        <v>1</v>
      </c>
    </row>
    <row r="1015" customFormat="false" ht="15" hidden="false" customHeight="true" outlineLevel="0" collapsed="false">
      <c r="A1015" s="38" t="n">
        <v>64</v>
      </c>
      <c r="B1015" s="38" t="s">
        <v>682</v>
      </c>
      <c r="C1015" s="38" t="s">
        <v>170</v>
      </c>
      <c r="D1015" s="38" t="s">
        <v>170</v>
      </c>
      <c r="E1015" s="38" t="str">
        <f aca="false">A1015&amp;"|"&amp;C1015&amp;"|"&amp;D1015</f>
        <v>64|C|C</v>
      </c>
      <c r="F1015" s="43" t="n">
        <v>10</v>
      </c>
      <c r="G1015" s="38" t="n">
        <f aca="false">SUMIFS($F$2:$F$1137,$A$2:$A$1137,A1015,$C$2:$C$1137,C1015)</f>
        <v>42</v>
      </c>
      <c r="H1015" s="43" t="n">
        <v>1</v>
      </c>
      <c r="I1015" s="45" t="n">
        <f aca="false">IF(G1015=0,"",F1015/G1015)</f>
        <v>0.238095238095238</v>
      </c>
      <c r="J1015" s="45" t="n">
        <f aca="false">K1015/L1015</f>
        <v>0.239130434782609</v>
      </c>
      <c r="K1015" s="38" t="n">
        <f aca="false">F1015+H1015</f>
        <v>11</v>
      </c>
      <c r="L1015" s="38" t="n">
        <f aca="false">G1015+4*H1015</f>
        <v>46</v>
      </c>
      <c r="M1015" s="38" t="s">
        <v>619</v>
      </c>
      <c r="N1015" s="38" t="n">
        <f aca="false">ROUND(SUMIFS($J$2:$J$1137,$A$2:$A$1137,A1015,$C$2:$C$1137,C1015),9)</f>
        <v>1</v>
      </c>
    </row>
    <row r="1016" customFormat="false" ht="15" hidden="false" customHeight="true" outlineLevel="0" collapsed="false">
      <c r="A1016" s="38" t="n">
        <v>64</v>
      </c>
      <c r="B1016" s="38" t="s">
        <v>682</v>
      </c>
      <c r="C1016" s="38" t="s">
        <v>170</v>
      </c>
      <c r="D1016" s="38" t="s">
        <v>169</v>
      </c>
      <c r="E1016" s="38" t="str">
        <f aca="false">A1016&amp;"|"&amp;C1016&amp;"|"&amp;D1016</f>
        <v>64|C|G</v>
      </c>
      <c r="F1016" s="43" t="n">
        <v>11</v>
      </c>
      <c r="G1016" s="38" t="n">
        <f aca="false">SUMIFS($F$2:$F$1137,$A$2:$A$1137,A1016,$C$2:$C$1137,C1016)</f>
        <v>42</v>
      </c>
      <c r="H1016" s="43" t="n">
        <v>1</v>
      </c>
      <c r="I1016" s="45" t="n">
        <f aca="false">IF(G1016=0,"",F1016/G1016)</f>
        <v>0.261904761904762</v>
      </c>
      <c r="J1016" s="45" t="n">
        <f aca="false">K1016/L1016</f>
        <v>0.260869565217391</v>
      </c>
      <c r="K1016" s="38" t="n">
        <f aca="false">F1016+H1016</f>
        <v>12</v>
      </c>
      <c r="L1016" s="38" t="n">
        <f aca="false">G1016+4*H1016</f>
        <v>46</v>
      </c>
      <c r="M1016" s="38" t="s">
        <v>619</v>
      </c>
      <c r="N1016" s="38" t="n">
        <f aca="false">ROUND(SUMIFS($J$2:$J$1137,$A$2:$A$1137,A1016,$C$2:$C$1137,C1016),9)</f>
        <v>1</v>
      </c>
    </row>
    <row r="1017" customFormat="false" ht="15" hidden="false" customHeight="true" outlineLevel="0" collapsed="false">
      <c r="A1017" s="38" t="n">
        <v>64</v>
      </c>
      <c r="B1017" s="38" t="s">
        <v>682</v>
      </c>
      <c r="C1017" s="38" t="s">
        <v>170</v>
      </c>
      <c r="D1017" s="38" t="s">
        <v>171</v>
      </c>
      <c r="E1017" s="38" t="str">
        <f aca="false">A1017&amp;"|"&amp;C1017&amp;"|"&amp;D1017</f>
        <v>64|C|U</v>
      </c>
      <c r="F1017" s="43" t="n">
        <v>17</v>
      </c>
      <c r="G1017" s="38" t="n">
        <f aca="false">SUMIFS($F$2:$F$1137,$A$2:$A$1137,A1017,$C$2:$C$1137,C1017)</f>
        <v>42</v>
      </c>
      <c r="H1017" s="43" t="n">
        <v>1</v>
      </c>
      <c r="I1017" s="45" t="n">
        <f aca="false">IF(G1017=0,"",F1017/G1017)</f>
        <v>0.404761904761905</v>
      </c>
      <c r="J1017" s="45" t="n">
        <f aca="false">K1017/L1017</f>
        <v>0.391304347826087</v>
      </c>
      <c r="K1017" s="38" t="n">
        <f aca="false">F1017+H1017</f>
        <v>18</v>
      </c>
      <c r="L1017" s="38" t="n">
        <f aca="false">G1017+4*H1017</f>
        <v>46</v>
      </c>
      <c r="M1017" s="38" t="s">
        <v>619</v>
      </c>
      <c r="N1017" s="38" t="n">
        <f aca="false">ROUND(SUMIFS($J$2:$J$1137,$A$2:$A$1137,A1017,$C$2:$C$1137,C1017),9)</f>
        <v>1</v>
      </c>
    </row>
    <row r="1018" customFormat="false" ht="15" hidden="false" customHeight="true" outlineLevel="0" collapsed="false">
      <c r="A1018" s="38" t="n">
        <v>64</v>
      </c>
      <c r="B1018" s="38" t="s">
        <v>682</v>
      </c>
      <c r="C1018" s="38" t="s">
        <v>169</v>
      </c>
      <c r="D1018" s="38" t="s">
        <v>172</v>
      </c>
      <c r="E1018" s="38" t="str">
        <f aca="false">A1018&amp;"|"&amp;C1018&amp;"|"&amp;D1018</f>
        <v>64|G|A</v>
      </c>
      <c r="F1018" s="43" t="n">
        <v>2</v>
      </c>
      <c r="G1018" s="38" t="n">
        <f aca="false">SUMIFS($F$2:$F$1137,$A$2:$A$1137,A1018,$C$2:$C$1137,C1018)</f>
        <v>92</v>
      </c>
      <c r="H1018" s="43" t="n">
        <v>1</v>
      </c>
      <c r="I1018" s="45" t="n">
        <f aca="false">IF(G1018=0,"",F1018/G1018)</f>
        <v>0.0217391304347826</v>
      </c>
      <c r="J1018" s="45" t="n">
        <f aca="false">K1018/L1018</f>
        <v>0.03125</v>
      </c>
      <c r="K1018" s="38" t="n">
        <f aca="false">F1018+H1018</f>
        <v>3</v>
      </c>
      <c r="L1018" s="38" t="n">
        <f aca="false">G1018+4*H1018</f>
        <v>96</v>
      </c>
      <c r="M1018" s="38" t="s">
        <v>619</v>
      </c>
      <c r="N1018" s="38" t="n">
        <f aca="false">ROUND(SUMIFS($J$2:$J$1137,$A$2:$A$1137,A1018,$C$2:$C$1137,C1018),9)</f>
        <v>1</v>
      </c>
    </row>
    <row r="1019" customFormat="false" ht="15" hidden="false" customHeight="true" outlineLevel="0" collapsed="false">
      <c r="A1019" s="38" t="n">
        <v>64</v>
      </c>
      <c r="B1019" s="38" t="s">
        <v>682</v>
      </c>
      <c r="C1019" s="38" t="s">
        <v>169</v>
      </c>
      <c r="D1019" s="38" t="s">
        <v>170</v>
      </c>
      <c r="E1019" s="38" t="str">
        <f aca="false">A1019&amp;"|"&amp;C1019&amp;"|"&amp;D1019</f>
        <v>64|G|C</v>
      </c>
      <c r="F1019" s="43" t="n">
        <v>22</v>
      </c>
      <c r="G1019" s="38" t="n">
        <f aca="false">SUMIFS($F$2:$F$1137,$A$2:$A$1137,A1019,$C$2:$C$1137,C1019)</f>
        <v>92</v>
      </c>
      <c r="H1019" s="43" t="n">
        <v>1</v>
      </c>
      <c r="I1019" s="45" t="n">
        <f aca="false">IF(G1019=0,"",F1019/G1019)</f>
        <v>0.239130434782609</v>
      </c>
      <c r="J1019" s="45" t="n">
        <f aca="false">K1019/L1019</f>
        <v>0.239583333333333</v>
      </c>
      <c r="K1019" s="38" t="n">
        <f aca="false">F1019+H1019</f>
        <v>23</v>
      </c>
      <c r="L1019" s="38" t="n">
        <f aca="false">G1019+4*H1019</f>
        <v>96</v>
      </c>
      <c r="M1019" s="38" t="s">
        <v>619</v>
      </c>
      <c r="N1019" s="38" t="n">
        <f aca="false">ROUND(SUMIFS($J$2:$J$1137,$A$2:$A$1137,A1019,$C$2:$C$1137,C1019),9)</f>
        <v>1</v>
      </c>
    </row>
    <row r="1020" customFormat="false" ht="15" hidden="false" customHeight="true" outlineLevel="0" collapsed="false">
      <c r="A1020" s="38" t="n">
        <v>64</v>
      </c>
      <c r="B1020" s="38" t="s">
        <v>682</v>
      </c>
      <c r="C1020" s="38" t="s">
        <v>169</v>
      </c>
      <c r="D1020" s="38" t="s">
        <v>169</v>
      </c>
      <c r="E1020" s="38" t="str">
        <f aca="false">A1020&amp;"|"&amp;C1020&amp;"|"&amp;D1020</f>
        <v>64|G|G</v>
      </c>
      <c r="F1020" s="43" t="n">
        <v>37</v>
      </c>
      <c r="G1020" s="38" t="n">
        <f aca="false">SUMIFS($F$2:$F$1137,$A$2:$A$1137,A1020,$C$2:$C$1137,C1020)</f>
        <v>92</v>
      </c>
      <c r="H1020" s="43" t="n">
        <v>1</v>
      </c>
      <c r="I1020" s="45" t="n">
        <f aca="false">IF(G1020=0,"",F1020/G1020)</f>
        <v>0.402173913043478</v>
      </c>
      <c r="J1020" s="45" t="n">
        <f aca="false">K1020/L1020</f>
        <v>0.395833333333333</v>
      </c>
      <c r="K1020" s="38" t="n">
        <f aca="false">F1020+H1020</f>
        <v>38</v>
      </c>
      <c r="L1020" s="38" t="n">
        <f aca="false">G1020+4*H1020</f>
        <v>96</v>
      </c>
      <c r="M1020" s="38" t="s">
        <v>619</v>
      </c>
      <c r="N1020" s="38" t="n">
        <f aca="false">ROUND(SUMIFS($J$2:$J$1137,$A$2:$A$1137,A1020,$C$2:$C$1137,C1020),9)</f>
        <v>1</v>
      </c>
    </row>
    <row r="1021" customFormat="false" ht="15" hidden="false" customHeight="true" outlineLevel="0" collapsed="false">
      <c r="A1021" s="38" t="n">
        <v>64</v>
      </c>
      <c r="B1021" s="38" t="s">
        <v>682</v>
      </c>
      <c r="C1021" s="38" t="s">
        <v>169</v>
      </c>
      <c r="D1021" s="38" t="s">
        <v>171</v>
      </c>
      <c r="E1021" s="38" t="str">
        <f aca="false">A1021&amp;"|"&amp;C1021&amp;"|"&amp;D1021</f>
        <v>64|G|U</v>
      </c>
      <c r="F1021" s="43" t="n">
        <v>31</v>
      </c>
      <c r="G1021" s="38" t="n">
        <f aca="false">SUMIFS($F$2:$F$1137,$A$2:$A$1137,A1021,$C$2:$C$1137,C1021)</f>
        <v>92</v>
      </c>
      <c r="H1021" s="43" t="n">
        <v>1</v>
      </c>
      <c r="I1021" s="45" t="n">
        <f aca="false">IF(G1021=0,"",F1021/G1021)</f>
        <v>0.33695652173913</v>
      </c>
      <c r="J1021" s="45" t="n">
        <f aca="false">K1021/L1021</f>
        <v>0.333333333333333</v>
      </c>
      <c r="K1021" s="38" t="n">
        <f aca="false">F1021+H1021</f>
        <v>32</v>
      </c>
      <c r="L1021" s="38" t="n">
        <f aca="false">G1021+4*H1021</f>
        <v>96</v>
      </c>
      <c r="M1021" s="38" t="s">
        <v>619</v>
      </c>
      <c r="N1021" s="38" t="n">
        <f aca="false">ROUND(SUMIFS($J$2:$J$1137,$A$2:$A$1137,A1021,$C$2:$C$1137,C1021),9)</f>
        <v>1</v>
      </c>
    </row>
    <row r="1022" customFormat="false" ht="15" hidden="false" customHeight="true" outlineLevel="0" collapsed="false">
      <c r="A1022" s="38" t="n">
        <v>64</v>
      </c>
      <c r="B1022" s="38" t="s">
        <v>682</v>
      </c>
      <c r="C1022" s="38" t="s">
        <v>171</v>
      </c>
      <c r="D1022" s="38" t="s">
        <v>172</v>
      </c>
      <c r="E1022" s="38" t="str">
        <f aca="false">A1022&amp;"|"&amp;C1022&amp;"|"&amp;D1022</f>
        <v>64|U|A</v>
      </c>
      <c r="F1022" s="43" t="n">
        <v>2</v>
      </c>
      <c r="G1022" s="38" t="n">
        <f aca="false">SUMIFS($F$2:$F$1137,$A$2:$A$1137,A1022,$C$2:$C$1137,C1022)</f>
        <v>33</v>
      </c>
      <c r="H1022" s="43" t="n">
        <v>1</v>
      </c>
      <c r="I1022" s="45" t="n">
        <f aca="false">IF(G1022=0,"",F1022/G1022)</f>
        <v>0.0606060606060606</v>
      </c>
      <c r="J1022" s="45" t="n">
        <f aca="false">K1022/L1022</f>
        <v>0.0810810810810811</v>
      </c>
      <c r="K1022" s="38" t="n">
        <f aca="false">F1022+H1022</f>
        <v>3</v>
      </c>
      <c r="L1022" s="38" t="n">
        <f aca="false">G1022+4*H1022</f>
        <v>37</v>
      </c>
      <c r="M1022" s="38" t="s">
        <v>619</v>
      </c>
      <c r="N1022" s="38" t="n">
        <f aca="false">ROUND(SUMIFS($J$2:$J$1137,$A$2:$A$1137,A1022,$C$2:$C$1137,C1022),9)</f>
        <v>1</v>
      </c>
    </row>
    <row r="1023" customFormat="false" ht="15" hidden="false" customHeight="true" outlineLevel="0" collapsed="false">
      <c r="A1023" s="38" t="n">
        <v>64</v>
      </c>
      <c r="B1023" s="38" t="s">
        <v>682</v>
      </c>
      <c r="C1023" s="38" t="s">
        <v>171</v>
      </c>
      <c r="D1023" s="38" t="s">
        <v>170</v>
      </c>
      <c r="E1023" s="38" t="str">
        <f aca="false">A1023&amp;"|"&amp;C1023&amp;"|"&amp;D1023</f>
        <v>64|U|C</v>
      </c>
      <c r="F1023" s="43" t="n">
        <v>17</v>
      </c>
      <c r="G1023" s="38" t="n">
        <f aca="false">SUMIFS($F$2:$F$1137,$A$2:$A$1137,A1023,$C$2:$C$1137,C1023)</f>
        <v>33</v>
      </c>
      <c r="H1023" s="43" t="n">
        <v>1</v>
      </c>
      <c r="I1023" s="45" t="n">
        <f aca="false">IF(G1023=0,"",F1023/G1023)</f>
        <v>0.515151515151515</v>
      </c>
      <c r="J1023" s="45" t="n">
        <f aca="false">K1023/L1023</f>
        <v>0.486486486486487</v>
      </c>
      <c r="K1023" s="38" t="n">
        <f aca="false">F1023+H1023</f>
        <v>18</v>
      </c>
      <c r="L1023" s="38" t="n">
        <f aca="false">G1023+4*H1023</f>
        <v>37</v>
      </c>
      <c r="M1023" s="38" t="s">
        <v>619</v>
      </c>
      <c r="N1023" s="38" t="n">
        <f aca="false">ROUND(SUMIFS($J$2:$J$1137,$A$2:$A$1137,A1023,$C$2:$C$1137,C1023),9)</f>
        <v>1</v>
      </c>
    </row>
    <row r="1024" customFormat="false" ht="15" hidden="false" customHeight="true" outlineLevel="0" collapsed="false">
      <c r="A1024" s="38" t="n">
        <v>64</v>
      </c>
      <c r="B1024" s="38" t="s">
        <v>682</v>
      </c>
      <c r="C1024" s="38" t="s">
        <v>171</v>
      </c>
      <c r="D1024" s="38" t="s">
        <v>169</v>
      </c>
      <c r="E1024" s="38" t="str">
        <f aca="false">A1024&amp;"|"&amp;C1024&amp;"|"&amp;D1024</f>
        <v>64|U|G</v>
      </c>
      <c r="F1024" s="43" t="n">
        <v>4</v>
      </c>
      <c r="G1024" s="38" t="n">
        <f aca="false">SUMIFS($F$2:$F$1137,$A$2:$A$1137,A1024,$C$2:$C$1137,C1024)</f>
        <v>33</v>
      </c>
      <c r="H1024" s="43" t="n">
        <v>1</v>
      </c>
      <c r="I1024" s="45" t="n">
        <f aca="false">IF(G1024=0,"",F1024/G1024)</f>
        <v>0.121212121212121</v>
      </c>
      <c r="J1024" s="45" t="n">
        <f aca="false">K1024/L1024</f>
        <v>0.135135135135135</v>
      </c>
      <c r="K1024" s="38" t="n">
        <f aca="false">F1024+H1024</f>
        <v>5</v>
      </c>
      <c r="L1024" s="38" t="n">
        <f aca="false">G1024+4*H1024</f>
        <v>37</v>
      </c>
      <c r="M1024" s="38" t="s">
        <v>619</v>
      </c>
      <c r="N1024" s="38" t="n">
        <f aca="false">ROUND(SUMIFS($J$2:$J$1137,$A$2:$A$1137,A1024,$C$2:$C$1137,C1024),9)</f>
        <v>1</v>
      </c>
    </row>
    <row r="1025" customFormat="false" ht="15" hidden="false" customHeight="true" outlineLevel="0" collapsed="false">
      <c r="A1025" s="38" t="n">
        <v>64</v>
      </c>
      <c r="B1025" s="38" t="s">
        <v>682</v>
      </c>
      <c r="C1025" s="38" t="s">
        <v>171</v>
      </c>
      <c r="D1025" s="38" t="s">
        <v>171</v>
      </c>
      <c r="E1025" s="38" t="str">
        <f aca="false">A1025&amp;"|"&amp;C1025&amp;"|"&amp;D1025</f>
        <v>64|U|U</v>
      </c>
      <c r="F1025" s="43" t="n">
        <v>10</v>
      </c>
      <c r="G1025" s="38" t="n">
        <f aca="false">SUMIFS($F$2:$F$1137,$A$2:$A$1137,A1025,$C$2:$C$1137,C1025)</f>
        <v>33</v>
      </c>
      <c r="H1025" s="43" t="n">
        <v>1</v>
      </c>
      <c r="I1025" s="45" t="n">
        <f aca="false">IF(G1025=0,"",F1025/G1025)</f>
        <v>0.303030303030303</v>
      </c>
      <c r="J1025" s="45" t="n">
        <f aca="false">K1025/L1025</f>
        <v>0.297297297297297</v>
      </c>
      <c r="K1025" s="38" t="n">
        <f aca="false">F1025+H1025</f>
        <v>11</v>
      </c>
      <c r="L1025" s="38" t="n">
        <f aca="false">G1025+4*H1025</f>
        <v>37</v>
      </c>
      <c r="M1025" s="38" t="s">
        <v>619</v>
      </c>
      <c r="N1025" s="38" t="n">
        <f aca="false">ROUND(SUMIFS($J$2:$J$1137,$A$2:$A$1137,A1025,$C$2:$C$1137,C1025),9)</f>
        <v>1</v>
      </c>
    </row>
    <row r="1026" customFormat="false" ht="15" hidden="false" customHeight="true" outlineLevel="0" collapsed="false">
      <c r="A1026" s="38" t="n">
        <v>65</v>
      </c>
      <c r="B1026" s="38" t="s">
        <v>683</v>
      </c>
      <c r="C1026" s="38" t="s">
        <v>172</v>
      </c>
      <c r="D1026" s="38" t="s">
        <v>172</v>
      </c>
      <c r="E1026" s="38" t="str">
        <f aca="false">A1026&amp;"|"&amp;C1026&amp;"|"&amp;D1026</f>
        <v>65|A|A</v>
      </c>
      <c r="F1026" s="43" t="n">
        <v>1</v>
      </c>
      <c r="G1026" s="38" t="n">
        <f aca="false">SUMIFS($F$2:$F$1137,$A$2:$A$1137,A1026,$C$2:$C$1137,C1026)</f>
        <v>9</v>
      </c>
      <c r="H1026" s="43" t="n">
        <v>1</v>
      </c>
      <c r="I1026" s="45" t="n">
        <f aca="false">IF(G1026=0,"",F1026/G1026)</f>
        <v>0.111111111111111</v>
      </c>
      <c r="J1026" s="45" t="n">
        <f aca="false">K1026/L1026</f>
        <v>0.153846153846154</v>
      </c>
      <c r="K1026" s="38" t="n">
        <f aca="false">F1026+H1026</f>
        <v>2</v>
      </c>
      <c r="L1026" s="38" t="n">
        <f aca="false">G1026+4*H1026</f>
        <v>13</v>
      </c>
      <c r="M1026" s="38" t="s">
        <v>619</v>
      </c>
      <c r="N1026" s="38" t="n">
        <f aca="false">ROUND(SUMIFS($J$2:$J$1137,$A$2:$A$1137,A1026,$C$2:$C$1137,C1026),9)</f>
        <v>1</v>
      </c>
    </row>
    <row r="1027" customFormat="false" ht="15" hidden="false" customHeight="true" outlineLevel="0" collapsed="false">
      <c r="A1027" s="38" t="n">
        <v>65</v>
      </c>
      <c r="B1027" s="38" t="s">
        <v>683</v>
      </c>
      <c r="C1027" s="38" t="s">
        <v>172</v>
      </c>
      <c r="D1027" s="38" t="s">
        <v>170</v>
      </c>
      <c r="E1027" s="38" t="str">
        <f aca="false">A1027&amp;"|"&amp;C1027&amp;"|"&amp;D1027</f>
        <v>65|A|C</v>
      </c>
      <c r="F1027" s="43" t="n">
        <v>2</v>
      </c>
      <c r="G1027" s="38" t="n">
        <f aca="false">SUMIFS($F$2:$F$1137,$A$2:$A$1137,A1027,$C$2:$C$1137,C1027)</f>
        <v>9</v>
      </c>
      <c r="H1027" s="43" t="n">
        <v>1</v>
      </c>
      <c r="I1027" s="45" t="n">
        <f aca="false">IF(G1027=0,"",F1027/G1027)</f>
        <v>0.222222222222222</v>
      </c>
      <c r="J1027" s="45" t="n">
        <f aca="false">K1027/L1027</f>
        <v>0.230769230769231</v>
      </c>
      <c r="K1027" s="38" t="n">
        <f aca="false">F1027+H1027</f>
        <v>3</v>
      </c>
      <c r="L1027" s="38" t="n">
        <f aca="false">G1027+4*H1027</f>
        <v>13</v>
      </c>
      <c r="M1027" s="38" t="s">
        <v>619</v>
      </c>
      <c r="N1027" s="38" t="n">
        <f aca="false">ROUND(SUMIFS($J$2:$J$1137,$A$2:$A$1137,A1027,$C$2:$C$1137,C1027),9)</f>
        <v>1</v>
      </c>
    </row>
    <row r="1028" customFormat="false" ht="15" hidden="false" customHeight="true" outlineLevel="0" collapsed="false">
      <c r="A1028" s="38" t="n">
        <v>65</v>
      </c>
      <c r="B1028" s="38" t="s">
        <v>683</v>
      </c>
      <c r="C1028" s="38" t="s">
        <v>172</v>
      </c>
      <c r="D1028" s="38" t="s">
        <v>169</v>
      </c>
      <c r="E1028" s="38" t="str">
        <f aca="false">A1028&amp;"|"&amp;C1028&amp;"|"&amp;D1028</f>
        <v>65|A|G</v>
      </c>
      <c r="F1028" s="43" t="n">
        <v>0</v>
      </c>
      <c r="G1028" s="38" t="n">
        <f aca="false">SUMIFS($F$2:$F$1137,$A$2:$A$1137,A1028,$C$2:$C$1137,C1028)</f>
        <v>9</v>
      </c>
      <c r="H1028" s="43" t="n">
        <v>1</v>
      </c>
      <c r="I1028" s="45" t="n">
        <f aca="false">IF(G1028=0,"",F1028/G1028)</f>
        <v>0</v>
      </c>
      <c r="J1028" s="45" t="n">
        <f aca="false">K1028/L1028</f>
        <v>0.0769230769230769</v>
      </c>
      <c r="K1028" s="38" t="n">
        <f aca="false">F1028+H1028</f>
        <v>1</v>
      </c>
      <c r="L1028" s="38" t="n">
        <f aca="false">G1028+4*H1028</f>
        <v>13</v>
      </c>
      <c r="M1028" s="38" t="s">
        <v>619</v>
      </c>
      <c r="N1028" s="38" t="n">
        <f aca="false">ROUND(SUMIFS($J$2:$J$1137,$A$2:$A$1137,A1028,$C$2:$C$1137,C1028),9)</f>
        <v>1</v>
      </c>
    </row>
    <row r="1029" customFormat="false" ht="15" hidden="false" customHeight="true" outlineLevel="0" collapsed="false">
      <c r="A1029" s="38" t="n">
        <v>65</v>
      </c>
      <c r="B1029" s="38" t="s">
        <v>683</v>
      </c>
      <c r="C1029" s="38" t="s">
        <v>172</v>
      </c>
      <c r="D1029" s="38" t="s">
        <v>171</v>
      </c>
      <c r="E1029" s="38" t="str">
        <f aca="false">A1029&amp;"|"&amp;C1029&amp;"|"&amp;D1029</f>
        <v>65|A|U</v>
      </c>
      <c r="F1029" s="43" t="n">
        <v>6</v>
      </c>
      <c r="G1029" s="38" t="n">
        <f aca="false">SUMIFS($F$2:$F$1137,$A$2:$A$1137,A1029,$C$2:$C$1137,C1029)</f>
        <v>9</v>
      </c>
      <c r="H1029" s="43" t="n">
        <v>1</v>
      </c>
      <c r="I1029" s="45" t="n">
        <f aca="false">IF(G1029=0,"",F1029/G1029)</f>
        <v>0.666666666666667</v>
      </c>
      <c r="J1029" s="45" t="n">
        <f aca="false">K1029/L1029</f>
        <v>0.538461538461538</v>
      </c>
      <c r="K1029" s="38" t="n">
        <f aca="false">F1029+H1029</f>
        <v>7</v>
      </c>
      <c r="L1029" s="38" t="n">
        <f aca="false">G1029+4*H1029</f>
        <v>13</v>
      </c>
      <c r="M1029" s="38" t="s">
        <v>619</v>
      </c>
      <c r="N1029" s="38" t="n">
        <f aca="false">ROUND(SUMIFS($J$2:$J$1137,$A$2:$A$1137,A1029,$C$2:$C$1137,C1029),9)</f>
        <v>1</v>
      </c>
    </row>
    <row r="1030" customFormat="false" ht="15" hidden="false" customHeight="true" outlineLevel="0" collapsed="false">
      <c r="A1030" s="38" t="n">
        <v>65</v>
      </c>
      <c r="B1030" s="38" t="s">
        <v>683</v>
      </c>
      <c r="C1030" s="38" t="s">
        <v>170</v>
      </c>
      <c r="D1030" s="38" t="s">
        <v>172</v>
      </c>
      <c r="E1030" s="38" t="str">
        <f aca="false">A1030&amp;"|"&amp;C1030&amp;"|"&amp;D1030</f>
        <v>65|C|A</v>
      </c>
      <c r="F1030" s="43" t="n">
        <v>11</v>
      </c>
      <c r="G1030" s="38" t="n">
        <f aca="false">SUMIFS($F$2:$F$1137,$A$2:$A$1137,A1030,$C$2:$C$1137,C1030)</f>
        <v>63</v>
      </c>
      <c r="H1030" s="43" t="n">
        <v>1</v>
      </c>
      <c r="I1030" s="45" t="n">
        <f aca="false">IF(G1030=0,"",F1030/G1030)</f>
        <v>0.174603174603175</v>
      </c>
      <c r="J1030" s="45" t="n">
        <f aca="false">K1030/L1030</f>
        <v>0.17910447761194</v>
      </c>
      <c r="K1030" s="38" t="n">
        <f aca="false">F1030+H1030</f>
        <v>12</v>
      </c>
      <c r="L1030" s="38" t="n">
        <f aca="false">G1030+4*H1030</f>
        <v>67</v>
      </c>
      <c r="M1030" s="38" t="s">
        <v>619</v>
      </c>
      <c r="N1030" s="38" t="n">
        <f aca="false">ROUND(SUMIFS($J$2:$J$1137,$A$2:$A$1137,A1030,$C$2:$C$1137,C1030),9)</f>
        <v>1</v>
      </c>
    </row>
    <row r="1031" customFormat="false" ht="15" hidden="false" customHeight="true" outlineLevel="0" collapsed="false">
      <c r="A1031" s="38" t="n">
        <v>65</v>
      </c>
      <c r="B1031" s="38" t="s">
        <v>683</v>
      </c>
      <c r="C1031" s="38" t="s">
        <v>170</v>
      </c>
      <c r="D1031" s="38" t="s">
        <v>170</v>
      </c>
      <c r="E1031" s="38" t="str">
        <f aca="false">A1031&amp;"|"&amp;C1031&amp;"|"&amp;D1031</f>
        <v>65|C|C</v>
      </c>
      <c r="F1031" s="43" t="n">
        <v>37</v>
      </c>
      <c r="G1031" s="38" t="n">
        <f aca="false">SUMIFS($F$2:$F$1137,$A$2:$A$1137,A1031,$C$2:$C$1137,C1031)</f>
        <v>63</v>
      </c>
      <c r="H1031" s="43" t="n">
        <v>1</v>
      </c>
      <c r="I1031" s="45" t="n">
        <f aca="false">IF(G1031=0,"",F1031/G1031)</f>
        <v>0.587301587301587</v>
      </c>
      <c r="J1031" s="45" t="n">
        <f aca="false">K1031/L1031</f>
        <v>0.567164179104478</v>
      </c>
      <c r="K1031" s="38" t="n">
        <f aca="false">F1031+H1031</f>
        <v>38</v>
      </c>
      <c r="L1031" s="38" t="n">
        <f aca="false">G1031+4*H1031</f>
        <v>67</v>
      </c>
      <c r="M1031" s="38" t="s">
        <v>619</v>
      </c>
      <c r="N1031" s="38" t="n">
        <f aca="false">ROUND(SUMIFS($J$2:$J$1137,$A$2:$A$1137,A1031,$C$2:$C$1137,C1031),9)</f>
        <v>1</v>
      </c>
    </row>
    <row r="1032" customFormat="false" ht="15" hidden="false" customHeight="true" outlineLevel="0" collapsed="false">
      <c r="A1032" s="38" t="n">
        <v>65</v>
      </c>
      <c r="B1032" s="38" t="s">
        <v>683</v>
      </c>
      <c r="C1032" s="38" t="s">
        <v>170</v>
      </c>
      <c r="D1032" s="38" t="s">
        <v>169</v>
      </c>
      <c r="E1032" s="38" t="str">
        <f aca="false">A1032&amp;"|"&amp;C1032&amp;"|"&amp;D1032</f>
        <v>65|C|G</v>
      </c>
      <c r="F1032" s="43" t="n">
        <v>1</v>
      </c>
      <c r="G1032" s="38" t="n">
        <f aca="false">SUMIFS($F$2:$F$1137,$A$2:$A$1137,A1032,$C$2:$C$1137,C1032)</f>
        <v>63</v>
      </c>
      <c r="H1032" s="43" t="n">
        <v>1</v>
      </c>
      <c r="I1032" s="45" t="n">
        <f aca="false">IF(G1032=0,"",F1032/G1032)</f>
        <v>0.0158730158730159</v>
      </c>
      <c r="J1032" s="45" t="n">
        <f aca="false">K1032/L1032</f>
        <v>0.0298507462686567</v>
      </c>
      <c r="K1032" s="38" t="n">
        <f aca="false">F1032+H1032</f>
        <v>2</v>
      </c>
      <c r="L1032" s="38" t="n">
        <f aca="false">G1032+4*H1032</f>
        <v>67</v>
      </c>
      <c r="M1032" s="38" t="s">
        <v>619</v>
      </c>
      <c r="N1032" s="38" t="n">
        <f aca="false">ROUND(SUMIFS($J$2:$J$1137,$A$2:$A$1137,A1032,$C$2:$C$1137,C1032),9)</f>
        <v>1</v>
      </c>
    </row>
    <row r="1033" customFormat="false" ht="15" hidden="false" customHeight="true" outlineLevel="0" collapsed="false">
      <c r="A1033" s="38" t="n">
        <v>65</v>
      </c>
      <c r="B1033" s="38" t="s">
        <v>683</v>
      </c>
      <c r="C1033" s="38" t="s">
        <v>170</v>
      </c>
      <c r="D1033" s="38" t="s">
        <v>171</v>
      </c>
      <c r="E1033" s="38" t="str">
        <f aca="false">A1033&amp;"|"&amp;C1033&amp;"|"&amp;D1033</f>
        <v>65|C|U</v>
      </c>
      <c r="F1033" s="43" t="n">
        <v>14</v>
      </c>
      <c r="G1033" s="38" t="n">
        <f aca="false">SUMIFS($F$2:$F$1137,$A$2:$A$1137,A1033,$C$2:$C$1137,C1033)</f>
        <v>63</v>
      </c>
      <c r="H1033" s="43" t="n">
        <v>1</v>
      </c>
      <c r="I1033" s="45" t="n">
        <f aca="false">IF(G1033=0,"",F1033/G1033)</f>
        <v>0.222222222222222</v>
      </c>
      <c r="J1033" s="45" t="n">
        <f aca="false">K1033/L1033</f>
        <v>0.223880597014925</v>
      </c>
      <c r="K1033" s="38" t="n">
        <f aca="false">F1033+H1033</f>
        <v>15</v>
      </c>
      <c r="L1033" s="38" t="n">
        <f aca="false">G1033+4*H1033</f>
        <v>67</v>
      </c>
      <c r="M1033" s="38" t="s">
        <v>619</v>
      </c>
      <c r="N1033" s="38" t="n">
        <f aca="false">ROUND(SUMIFS($J$2:$J$1137,$A$2:$A$1137,A1033,$C$2:$C$1137,C1033),9)</f>
        <v>1</v>
      </c>
    </row>
    <row r="1034" customFormat="false" ht="15" hidden="false" customHeight="true" outlineLevel="0" collapsed="false">
      <c r="A1034" s="38" t="n">
        <v>65</v>
      </c>
      <c r="B1034" s="38" t="s">
        <v>683</v>
      </c>
      <c r="C1034" s="38" t="s">
        <v>169</v>
      </c>
      <c r="D1034" s="38" t="s">
        <v>172</v>
      </c>
      <c r="E1034" s="38" t="str">
        <f aca="false">A1034&amp;"|"&amp;C1034&amp;"|"&amp;D1034</f>
        <v>65|G|A</v>
      </c>
      <c r="F1034" s="43" t="n">
        <v>9</v>
      </c>
      <c r="G1034" s="38" t="n">
        <f aca="false">SUMIFS($F$2:$F$1137,$A$2:$A$1137,A1034,$C$2:$C$1137,C1034)</f>
        <v>57</v>
      </c>
      <c r="H1034" s="43" t="n">
        <v>1</v>
      </c>
      <c r="I1034" s="45" t="n">
        <f aca="false">IF(G1034=0,"",F1034/G1034)</f>
        <v>0.157894736842105</v>
      </c>
      <c r="J1034" s="45" t="n">
        <f aca="false">K1034/L1034</f>
        <v>0.163934426229508</v>
      </c>
      <c r="K1034" s="38" t="n">
        <f aca="false">F1034+H1034</f>
        <v>10</v>
      </c>
      <c r="L1034" s="38" t="n">
        <f aca="false">G1034+4*H1034</f>
        <v>61</v>
      </c>
      <c r="M1034" s="38" t="s">
        <v>619</v>
      </c>
      <c r="N1034" s="38" t="n">
        <f aca="false">ROUND(SUMIFS($J$2:$J$1137,$A$2:$A$1137,A1034,$C$2:$C$1137,C1034),9)</f>
        <v>1</v>
      </c>
    </row>
    <row r="1035" customFormat="false" ht="15" hidden="false" customHeight="true" outlineLevel="0" collapsed="false">
      <c r="A1035" s="38" t="n">
        <v>65</v>
      </c>
      <c r="B1035" s="38" t="s">
        <v>683</v>
      </c>
      <c r="C1035" s="38" t="s">
        <v>169</v>
      </c>
      <c r="D1035" s="38" t="s">
        <v>170</v>
      </c>
      <c r="E1035" s="38" t="str">
        <f aca="false">A1035&amp;"|"&amp;C1035&amp;"|"&amp;D1035</f>
        <v>65|G|C</v>
      </c>
      <c r="F1035" s="43" t="n">
        <v>30</v>
      </c>
      <c r="G1035" s="38" t="n">
        <f aca="false">SUMIFS($F$2:$F$1137,$A$2:$A$1137,A1035,$C$2:$C$1137,C1035)</f>
        <v>57</v>
      </c>
      <c r="H1035" s="43" t="n">
        <v>1</v>
      </c>
      <c r="I1035" s="45" t="n">
        <f aca="false">IF(G1035=0,"",F1035/G1035)</f>
        <v>0.526315789473684</v>
      </c>
      <c r="J1035" s="45" t="n">
        <f aca="false">K1035/L1035</f>
        <v>0.508196721311475</v>
      </c>
      <c r="K1035" s="38" t="n">
        <f aca="false">F1035+H1035</f>
        <v>31</v>
      </c>
      <c r="L1035" s="38" t="n">
        <f aca="false">G1035+4*H1035</f>
        <v>61</v>
      </c>
      <c r="M1035" s="38" t="s">
        <v>619</v>
      </c>
      <c r="N1035" s="38" t="n">
        <f aca="false">ROUND(SUMIFS($J$2:$J$1137,$A$2:$A$1137,A1035,$C$2:$C$1137,C1035),9)</f>
        <v>1</v>
      </c>
    </row>
    <row r="1036" customFormat="false" ht="15" hidden="false" customHeight="true" outlineLevel="0" collapsed="false">
      <c r="A1036" s="38" t="n">
        <v>65</v>
      </c>
      <c r="B1036" s="38" t="s">
        <v>683</v>
      </c>
      <c r="C1036" s="38" t="s">
        <v>169</v>
      </c>
      <c r="D1036" s="38" t="s">
        <v>169</v>
      </c>
      <c r="E1036" s="38" t="str">
        <f aca="false">A1036&amp;"|"&amp;C1036&amp;"|"&amp;D1036</f>
        <v>65|G|G</v>
      </c>
      <c r="F1036" s="43" t="n">
        <v>1</v>
      </c>
      <c r="G1036" s="38" t="n">
        <f aca="false">SUMIFS($F$2:$F$1137,$A$2:$A$1137,A1036,$C$2:$C$1137,C1036)</f>
        <v>57</v>
      </c>
      <c r="H1036" s="43" t="n">
        <v>1</v>
      </c>
      <c r="I1036" s="45" t="n">
        <f aca="false">IF(G1036=0,"",F1036/G1036)</f>
        <v>0.0175438596491228</v>
      </c>
      <c r="J1036" s="45" t="n">
        <f aca="false">K1036/L1036</f>
        <v>0.0327868852459016</v>
      </c>
      <c r="K1036" s="38" t="n">
        <f aca="false">F1036+H1036</f>
        <v>2</v>
      </c>
      <c r="L1036" s="38" t="n">
        <f aca="false">G1036+4*H1036</f>
        <v>61</v>
      </c>
      <c r="M1036" s="38" t="s">
        <v>619</v>
      </c>
      <c r="N1036" s="38" t="n">
        <f aca="false">ROUND(SUMIFS($J$2:$J$1137,$A$2:$A$1137,A1036,$C$2:$C$1137,C1036),9)</f>
        <v>1</v>
      </c>
    </row>
    <row r="1037" customFormat="false" ht="15" hidden="false" customHeight="true" outlineLevel="0" collapsed="false">
      <c r="A1037" s="38" t="n">
        <v>65</v>
      </c>
      <c r="B1037" s="38" t="s">
        <v>683</v>
      </c>
      <c r="C1037" s="38" t="s">
        <v>169</v>
      </c>
      <c r="D1037" s="38" t="s">
        <v>171</v>
      </c>
      <c r="E1037" s="38" t="str">
        <f aca="false">A1037&amp;"|"&amp;C1037&amp;"|"&amp;D1037</f>
        <v>65|G|U</v>
      </c>
      <c r="F1037" s="43" t="n">
        <v>17</v>
      </c>
      <c r="G1037" s="38" t="n">
        <f aca="false">SUMIFS($F$2:$F$1137,$A$2:$A$1137,A1037,$C$2:$C$1137,C1037)</f>
        <v>57</v>
      </c>
      <c r="H1037" s="43" t="n">
        <v>1</v>
      </c>
      <c r="I1037" s="45" t="n">
        <f aca="false">IF(G1037=0,"",F1037/G1037)</f>
        <v>0.298245614035088</v>
      </c>
      <c r="J1037" s="45" t="n">
        <f aca="false">K1037/L1037</f>
        <v>0.295081967213115</v>
      </c>
      <c r="K1037" s="38" t="n">
        <f aca="false">F1037+H1037</f>
        <v>18</v>
      </c>
      <c r="L1037" s="38" t="n">
        <f aca="false">G1037+4*H1037</f>
        <v>61</v>
      </c>
      <c r="M1037" s="38" t="s">
        <v>619</v>
      </c>
      <c r="N1037" s="38" t="n">
        <f aca="false">ROUND(SUMIFS($J$2:$J$1137,$A$2:$A$1137,A1037,$C$2:$C$1137,C1037),9)</f>
        <v>1</v>
      </c>
    </row>
    <row r="1038" customFormat="false" ht="15" hidden="false" customHeight="true" outlineLevel="0" collapsed="false">
      <c r="A1038" s="38" t="n">
        <v>65</v>
      </c>
      <c r="B1038" s="38" t="s">
        <v>683</v>
      </c>
      <c r="C1038" s="38" t="s">
        <v>171</v>
      </c>
      <c r="D1038" s="38" t="s">
        <v>172</v>
      </c>
      <c r="E1038" s="38" t="str">
        <f aca="false">A1038&amp;"|"&amp;C1038&amp;"|"&amp;D1038</f>
        <v>65|U|A</v>
      </c>
      <c r="F1038" s="43" t="n">
        <v>22</v>
      </c>
      <c r="G1038" s="38" t="n">
        <f aca="false">SUMIFS($F$2:$F$1137,$A$2:$A$1137,A1038,$C$2:$C$1137,C1038)</f>
        <v>69</v>
      </c>
      <c r="H1038" s="43" t="n">
        <v>1</v>
      </c>
      <c r="I1038" s="45" t="n">
        <f aca="false">IF(G1038=0,"",F1038/G1038)</f>
        <v>0.318840579710145</v>
      </c>
      <c r="J1038" s="45" t="n">
        <f aca="false">K1038/L1038</f>
        <v>0.315068493150685</v>
      </c>
      <c r="K1038" s="38" t="n">
        <f aca="false">F1038+H1038</f>
        <v>23</v>
      </c>
      <c r="L1038" s="38" t="n">
        <f aca="false">G1038+4*H1038</f>
        <v>73</v>
      </c>
      <c r="M1038" s="38" t="s">
        <v>619</v>
      </c>
      <c r="N1038" s="38" t="n">
        <f aca="false">ROUND(SUMIFS($J$2:$J$1137,$A$2:$A$1137,A1038,$C$2:$C$1137,C1038),9)</f>
        <v>1</v>
      </c>
    </row>
    <row r="1039" customFormat="false" ht="15" hidden="false" customHeight="true" outlineLevel="0" collapsed="false">
      <c r="A1039" s="38" t="n">
        <v>65</v>
      </c>
      <c r="B1039" s="38" t="s">
        <v>683</v>
      </c>
      <c r="C1039" s="38" t="s">
        <v>171</v>
      </c>
      <c r="D1039" s="38" t="s">
        <v>170</v>
      </c>
      <c r="E1039" s="38" t="str">
        <f aca="false">A1039&amp;"|"&amp;C1039&amp;"|"&amp;D1039</f>
        <v>65|U|C</v>
      </c>
      <c r="F1039" s="43" t="n">
        <v>35</v>
      </c>
      <c r="G1039" s="38" t="n">
        <f aca="false">SUMIFS($F$2:$F$1137,$A$2:$A$1137,A1039,$C$2:$C$1137,C1039)</f>
        <v>69</v>
      </c>
      <c r="H1039" s="43" t="n">
        <v>1</v>
      </c>
      <c r="I1039" s="45" t="n">
        <f aca="false">IF(G1039=0,"",F1039/G1039)</f>
        <v>0.507246376811594</v>
      </c>
      <c r="J1039" s="45" t="n">
        <f aca="false">K1039/L1039</f>
        <v>0.493150684931507</v>
      </c>
      <c r="K1039" s="38" t="n">
        <f aca="false">F1039+H1039</f>
        <v>36</v>
      </c>
      <c r="L1039" s="38" t="n">
        <f aca="false">G1039+4*H1039</f>
        <v>73</v>
      </c>
      <c r="M1039" s="38" t="s">
        <v>619</v>
      </c>
      <c r="N1039" s="38" t="n">
        <f aca="false">ROUND(SUMIFS($J$2:$J$1137,$A$2:$A$1137,A1039,$C$2:$C$1137,C1039),9)</f>
        <v>1</v>
      </c>
    </row>
    <row r="1040" customFormat="false" ht="15" hidden="false" customHeight="true" outlineLevel="0" collapsed="false">
      <c r="A1040" s="38" t="n">
        <v>65</v>
      </c>
      <c r="B1040" s="38" t="s">
        <v>683</v>
      </c>
      <c r="C1040" s="38" t="s">
        <v>171</v>
      </c>
      <c r="D1040" s="38" t="s">
        <v>169</v>
      </c>
      <c r="E1040" s="38" t="str">
        <f aca="false">A1040&amp;"|"&amp;C1040&amp;"|"&amp;D1040</f>
        <v>65|U|G</v>
      </c>
      <c r="F1040" s="43" t="n">
        <v>0</v>
      </c>
      <c r="G1040" s="38" t="n">
        <f aca="false">SUMIFS($F$2:$F$1137,$A$2:$A$1137,A1040,$C$2:$C$1137,C1040)</f>
        <v>69</v>
      </c>
      <c r="H1040" s="43" t="n">
        <v>1</v>
      </c>
      <c r="I1040" s="45" t="n">
        <f aca="false">IF(G1040=0,"",F1040/G1040)</f>
        <v>0</v>
      </c>
      <c r="J1040" s="45" t="n">
        <f aca="false">K1040/L1040</f>
        <v>0.0136986301369863</v>
      </c>
      <c r="K1040" s="38" t="n">
        <f aca="false">F1040+H1040</f>
        <v>1</v>
      </c>
      <c r="L1040" s="38" t="n">
        <f aca="false">G1040+4*H1040</f>
        <v>73</v>
      </c>
      <c r="M1040" s="38" t="s">
        <v>619</v>
      </c>
      <c r="N1040" s="38" t="n">
        <f aca="false">ROUND(SUMIFS($J$2:$J$1137,$A$2:$A$1137,A1040,$C$2:$C$1137,C1040),9)</f>
        <v>1</v>
      </c>
    </row>
    <row r="1041" customFormat="false" ht="15" hidden="false" customHeight="true" outlineLevel="0" collapsed="false">
      <c r="A1041" s="38" t="n">
        <v>65</v>
      </c>
      <c r="B1041" s="38" t="s">
        <v>683</v>
      </c>
      <c r="C1041" s="38" t="s">
        <v>171</v>
      </c>
      <c r="D1041" s="38" t="s">
        <v>171</v>
      </c>
      <c r="E1041" s="38" t="str">
        <f aca="false">A1041&amp;"|"&amp;C1041&amp;"|"&amp;D1041</f>
        <v>65|U|U</v>
      </c>
      <c r="F1041" s="43" t="n">
        <v>12</v>
      </c>
      <c r="G1041" s="38" t="n">
        <f aca="false">SUMIFS($F$2:$F$1137,$A$2:$A$1137,A1041,$C$2:$C$1137,C1041)</f>
        <v>69</v>
      </c>
      <c r="H1041" s="43" t="n">
        <v>1</v>
      </c>
      <c r="I1041" s="45" t="n">
        <f aca="false">IF(G1041=0,"",F1041/G1041)</f>
        <v>0.173913043478261</v>
      </c>
      <c r="J1041" s="45" t="n">
        <f aca="false">K1041/L1041</f>
        <v>0.178082191780822</v>
      </c>
      <c r="K1041" s="38" t="n">
        <f aca="false">F1041+H1041</f>
        <v>13</v>
      </c>
      <c r="L1041" s="38" t="n">
        <f aca="false">G1041+4*H1041</f>
        <v>73</v>
      </c>
      <c r="M1041" s="38" t="s">
        <v>619</v>
      </c>
      <c r="N1041" s="38" t="n">
        <f aca="false">ROUND(SUMIFS($J$2:$J$1137,$A$2:$A$1137,A1041,$C$2:$C$1137,C1041),9)</f>
        <v>1</v>
      </c>
    </row>
    <row r="1042" customFormat="false" ht="15" hidden="false" customHeight="true" outlineLevel="0" collapsed="false">
      <c r="A1042" s="38" t="n">
        <v>66</v>
      </c>
      <c r="B1042" s="38" t="s">
        <v>684</v>
      </c>
      <c r="C1042" s="38" t="s">
        <v>172</v>
      </c>
      <c r="D1042" s="38" t="s">
        <v>172</v>
      </c>
      <c r="E1042" s="38" t="str">
        <f aca="false">A1042&amp;"|"&amp;C1042&amp;"|"&amp;D1042</f>
        <v>66|A|A</v>
      </c>
      <c r="F1042" s="43" t="n">
        <v>4</v>
      </c>
      <c r="G1042" s="38" t="n">
        <f aca="false">SUMIFS($F$2:$F$1137,$A$2:$A$1137,A1042,$C$2:$C$1137,C1042)</f>
        <v>43</v>
      </c>
      <c r="H1042" s="43" t="n">
        <v>1</v>
      </c>
      <c r="I1042" s="45" t="n">
        <f aca="false">IF(G1042=0,"",F1042/G1042)</f>
        <v>0.0930232558139535</v>
      </c>
      <c r="J1042" s="45" t="n">
        <f aca="false">K1042/L1042</f>
        <v>0.106382978723404</v>
      </c>
      <c r="K1042" s="38" t="n">
        <f aca="false">F1042+H1042</f>
        <v>5</v>
      </c>
      <c r="L1042" s="38" t="n">
        <f aca="false">G1042+4*H1042</f>
        <v>47</v>
      </c>
      <c r="M1042" s="38" t="s">
        <v>619</v>
      </c>
      <c r="N1042" s="38" t="n">
        <f aca="false">ROUND(SUMIFS($J$2:$J$1137,$A$2:$A$1137,A1042,$C$2:$C$1137,C1042),9)</f>
        <v>1</v>
      </c>
    </row>
    <row r="1043" customFormat="false" ht="15" hidden="false" customHeight="true" outlineLevel="0" collapsed="false">
      <c r="A1043" s="38" t="n">
        <v>66</v>
      </c>
      <c r="B1043" s="38" t="s">
        <v>684</v>
      </c>
      <c r="C1043" s="38" t="s">
        <v>172</v>
      </c>
      <c r="D1043" s="38" t="s">
        <v>170</v>
      </c>
      <c r="E1043" s="38" t="str">
        <f aca="false">A1043&amp;"|"&amp;C1043&amp;"|"&amp;D1043</f>
        <v>66|A|C</v>
      </c>
      <c r="F1043" s="43" t="n">
        <v>13</v>
      </c>
      <c r="G1043" s="38" t="n">
        <f aca="false">SUMIFS($F$2:$F$1137,$A$2:$A$1137,A1043,$C$2:$C$1137,C1043)</f>
        <v>43</v>
      </c>
      <c r="H1043" s="43" t="n">
        <v>1</v>
      </c>
      <c r="I1043" s="45" t="n">
        <f aca="false">IF(G1043=0,"",F1043/G1043)</f>
        <v>0.302325581395349</v>
      </c>
      <c r="J1043" s="45" t="n">
        <f aca="false">K1043/L1043</f>
        <v>0.297872340425532</v>
      </c>
      <c r="K1043" s="38" t="n">
        <f aca="false">F1043+H1043</f>
        <v>14</v>
      </c>
      <c r="L1043" s="38" t="n">
        <f aca="false">G1043+4*H1043</f>
        <v>47</v>
      </c>
      <c r="M1043" s="38" t="s">
        <v>619</v>
      </c>
      <c r="N1043" s="38" t="n">
        <f aca="false">ROUND(SUMIFS($J$2:$J$1137,$A$2:$A$1137,A1043,$C$2:$C$1137,C1043),9)</f>
        <v>1</v>
      </c>
    </row>
    <row r="1044" customFormat="false" ht="15" hidden="false" customHeight="true" outlineLevel="0" collapsed="false">
      <c r="A1044" s="38" t="n">
        <v>66</v>
      </c>
      <c r="B1044" s="38" t="s">
        <v>684</v>
      </c>
      <c r="C1044" s="38" t="s">
        <v>172</v>
      </c>
      <c r="D1044" s="38" t="s">
        <v>169</v>
      </c>
      <c r="E1044" s="38" t="str">
        <f aca="false">A1044&amp;"|"&amp;C1044&amp;"|"&amp;D1044</f>
        <v>66|A|G</v>
      </c>
      <c r="F1044" s="43" t="n">
        <v>15</v>
      </c>
      <c r="G1044" s="38" t="n">
        <f aca="false">SUMIFS($F$2:$F$1137,$A$2:$A$1137,A1044,$C$2:$C$1137,C1044)</f>
        <v>43</v>
      </c>
      <c r="H1044" s="43" t="n">
        <v>1</v>
      </c>
      <c r="I1044" s="45" t="n">
        <f aca="false">IF(G1044=0,"",F1044/G1044)</f>
        <v>0.348837209302326</v>
      </c>
      <c r="J1044" s="45" t="n">
        <f aca="false">K1044/L1044</f>
        <v>0.340425531914894</v>
      </c>
      <c r="K1044" s="38" t="n">
        <f aca="false">F1044+H1044</f>
        <v>16</v>
      </c>
      <c r="L1044" s="38" t="n">
        <f aca="false">G1044+4*H1044</f>
        <v>47</v>
      </c>
      <c r="M1044" s="38" t="s">
        <v>619</v>
      </c>
      <c r="N1044" s="38" t="n">
        <f aca="false">ROUND(SUMIFS($J$2:$J$1137,$A$2:$A$1137,A1044,$C$2:$C$1137,C1044),9)</f>
        <v>1</v>
      </c>
    </row>
    <row r="1045" customFormat="false" ht="15" hidden="false" customHeight="true" outlineLevel="0" collapsed="false">
      <c r="A1045" s="38" t="n">
        <v>66</v>
      </c>
      <c r="B1045" s="38" t="s">
        <v>684</v>
      </c>
      <c r="C1045" s="38" t="s">
        <v>172</v>
      </c>
      <c r="D1045" s="38" t="s">
        <v>171</v>
      </c>
      <c r="E1045" s="38" t="str">
        <f aca="false">A1045&amp;"|"&amp;C1045&amp;"|"&amp;D1045</f>
        <v>66|A|U</v>
      </c>
      <c r="F1045" s="43" t="n">
        <v>11</v>
      </c>
      <c r="G1045" s="38" t="n">
        <f aca="false">SUMIFS($F$2:$F$1137,$A$2:$A$1137,A1045,$C$2:$C$1137,C1045)</f>
        <v>43</v>
      </c>
      <c r="H1045" s="43" t="n">
        <v>1</v>
      </c>
      <c r="I1045" s="45" t="n">
        <f aca="false">IF(G1045=0,"",F1045/G1045)</f>
        <v>0.255813953488372</v>
      </c>
      <c r="J1045" s="45" t="n">
        <f aca="false">K1045/L1045</f>
        <v>0.25531914893617</v>
      </c>
      <c r="K1045" s="38" t="n">
        <f aca="false">F1045+H1045</f>
        <v>12</v>
      </c>
      <c r="L1045" s="38" t="n">
        <f aca="false">G1045+4*H1045</f>
        <v>47</v>
      </c>
      <c r="M1045" s="38" t="s">
        <v>619</v>
      </c>
      <c r="N1045" s="38" t="n">
        <f aca="false">ROUND(SUMIFS($J$2:$J$1137,$A$2:$A$1137,A1045,$C$2:$C$1137,C1045),9)</f>
        <v>1</v>
      </c>
    </row>
    <row r="1046" customFormat="false" ht="15" hidden="false" customHeight="true" outlineLevel="0" collapsed="false">
      <c r="A1046" s="38" t="n">
        <v>66</v>
      </c>
      <c r="B1046" s="38" t="s">
        <v>684</v>
      </c>
      <c r="C1046" s="38" t="s">
        <v>170</v>
      </c>
      <c r="D1046" s="38" t="s">
        <v>172</v>
      </c>
      <c r="E1046" s="38" t="str">
        <f aca="false">A1046&amp;"|"&amp;C1046&amp;"|"&amp;D1046</f>
        <v>66|C|A</v>
      </c>
      <c r="F1046" s="43" t="n">
        <v>19</v>
      </c>
      <c r="G1046" s="38" t="n">
        <f aca="false">SUMIFS($F$2:$F$1137,$A$2:$A$1137,A1046,$C$2:$C$1137,C1046)</f>
        <v>105</v>
      </c>
      <c r="H1046" s="43" t="n">
        <v>1</v>
      </c>
      <c r="I1046" s="45" t="n">
        <f aca="false">IF(G1046=0,"",F1046/G1046)</f>
        <v>0.180952380952381</v>
      </c>
      <c r="J1046" s="45" t="n">
        <f aca="false">K1046/L1046</f>
        <v>0.18348623853211</v>
      </c>
      <c r="K1046" s="38" t="n">
        <f aca="false">F1046+H1046</f>
        <v>20</v>
      </c>
      <c r="L1046" s="38" t="n">
        <f aca="false">G1046+4*H1046</f>
        <v>109</v>
      </c>
      <c r="M1046" s="38" t="s">
        <v>619</v>
      </c>
      <c r="N1046" s="38" t="n">
        <f aca="false">ROUND(SUMIFS($J$2:$J$1137,$A$2:$A$1137,A1046,$C$2:$C$1137,C1046),9)</f>
        <v>1</v>
      </c>
    </row>
    <row r="1047" customFormat="false" ht="15" hidden="false" customHeight="true" outlineLevel="0" collapsed="false">
      <c r="A1047" s="38" t="n">
        <v>66</v>
      </c>
      <c r="B1047" s="38" t="s">
        <v>684</v>
      </c>
      <c r="C1047" s="38" t="s">
        <v>170</v>
      </c>
      <c r="D1047" s="38" t="s">
        <v>170</v>
      </c>
      <c r="E1047" s="38" t="str">
        <f aca="false">A1047&amp;"|"&amp;C1047&amp;"|"&amp;D1047</f>
        <v>66|C|C</v>
      </c>
      <c r="F1047" s="43" t="n">
        <v>22</v>
      </c>
      <c r="G1047" s="38" t="n">
        <f aca="false">SUMIFS($F$2:$F$1137,$A$2:$A$1137,A1047,$C$2:$C$1137,C1047)</f>
        <v>105</v>
      </c>
      <c r="H1047" s="43" t="n">
        <v>1</v>
      </c>
      <c r="I1047" s="45" t="n">
        <f aca="false">IF(G1047=0,"",F1047/G1047)</f>
        <v>0.20952380952381</v>
      </c>
      <c r="J1047" s="45" t="n">
        <f aca="false">K1047/L1047</f>
        <v>0.211009174311927</v>
      </c>
      <c r="K1047" s="38" t="n">
        <f aca="false">F1047+H1047</f>
        <v>23</v>
      </c>
      <c r="L1047" s="38" t="n">
        <f aca="false">G1047+4*H1047</f>
        <v>109</v>
      </c>
      <c r="M1047" s="38" t="s">
        <v>619</v>
      </c>
      <c r="N1047" s="38" t="n">
        <f aca="false">ROUND(SUMIFS($J$2:$J$1137,$A$2:$A$1137,A1047,$C$2:$C$1137,C1047),9)</f>
        <v>1</v>
      </c>
    </row>
    <row r="1048" customFormat="false" ht="15" hidden="false" customHeight="true" outlineLevel="0" collapsed="false">
      <c r="A1048" s="38" t="n">
        <v>66</v>
      </c>
      <c r="B1048" s="38" t="s">
        <v>684</v>
      </c>
      <c r="C1048" s="38" t="s">
        <v>170</v>
      </c>
      <c r="D1048" s="38" t="s">
        <v>169</v>
      </c>
      <c r="E1048" s="38" t="str">
        <f aca="false">A1048&amp;"|"&amp;C1048&amp;"|"&amp;D1048</f>
        <v>66|C|G</v>
      </c>
      <c r="F1048" s="43" t="n">
        <v>48</v>
      </c>
      <c r="G1048" s="38" t="n">
        <f aca="false">SUMIFS($F$2:$F$1137,$A$2:$A$1137,A1048,$C$2:$C$1137,C1048)</f>
        <v>105</v>
      </c>
      <c r="H1048" s="43" t="n">
        <v>1</v>
      </c>
      <c r="I1048" s="45" t="n">
        <f aca="false">IF(G1048=0,"",F1048/G1048)</f>
        <v>0.457142857142857</v>
      </c>
      <c r="J1048" s="45" t="n">
        <f aca="false">K1048/L1048</f>
        <v>0.44954128440367</v>
      </c>
      <c r="K1048" s="38" t="n">
        <f aca="false">F1048+H1048</f>
        <v>49</v>
      </c>
      <c r="L1048" s="38" t="n">
        <f aca="false">G1048+4*H1048</f>
        <v>109</v>
      </c>
      <c r="M1048" s="38" t="s">
        <v>619</v>
      </c>
      <c r="N1048" s="38" t="n">
        <f aca="false">ROUND(SUMIFS($J$2:$J$1137,$A$2:$A$1137,A1048,$C$2:$C$1137,C1048),9)</f>
        <v>1</v>
      </c>
    </row>
    <row r="1049" customFormat="false" ht="15" hidden="false" customHeight="true" outlineLevel="0" collapsed="false">
      <c r="A1049" s="38" t="n">
        <v>66</v>
      </c>
      <c r="B1049" s="38" t="s">
        <v>684</v>
      </c>
      <c r="C1049" s="38" t="s">
        <v>170</v>
      </c>
      <c r="D1049" s="38" t="s">
        <v>171</v>
      </c>
      <c r="E1049" s="38" t="str">
        <f aca="false">A1049&amp;"|"&amp;C1049&amp;"|"&amp;D1049</f>
        <v>66|C|U</v>
      </c>
      <c r="F1049" s="43" t="n">
        <v>16</v>
      </c>
      <c r="G1049" s="38" t="n">
        <f aca="false">SUMIFS($F$2:$F$1137,$A$2:$A$1137,A1049,$C$2:$C$1137,C1049)</f>
        <v>105</v>
      </c>
      <c r="H1049" s="43" t="n">
        <v>1</v>
      </c>
      <c r="I1049" s="45" t="n">
        <f aca="false">IF(G1049=0,"",F1049/G1049)</f>
        <v>0.152380952380952</v>
      </c>
      <c r="J1049" s="45" t="n">
        <f aca="false">K1049/L1049</f>
        <v>0.155963302752294</v>
      </c>
      <c r="K1049" s="38" t="n">
        <f aca="false">F1049+H1049</f>
        <v>17</v>
      </c>
      <c r="L1049" s="38" t="n">
        <f aca="false">G1049+4*H1049</f>
        <v>109</v>
      </c>
      <c r="M1049" s="38" t="s">
        <v>619</v>
      </c>
      <c r="N1049" s="38" t="n">
        <f aca="false">ROUND(SUMIFS($J$2:$J$1137,$A$2:$A$1137,A1049,$C$2:$C$1137,C1049),9)</f>
        <v>1</v>
      </c>
    </row>
    <row r="1050" customFormat="false" ht="15" hidden="false" customHeight="true" outlineLevel="0" collapsed="false">
      <c r="A1050" s="38" t="n">
        <v>66</v>
      </c>
      <c r="B1050" s="38" t="s">
        <v>684</v>
      </c>
      <c r="C1050" s="38" t="s">
        <v>169</v>
      </c>
      <c r="D1050" s="38" t="s">
        <v>172</v>
      </c>
      <c r="E1050" s="38" t="str">
        <f aca="false">A1050&amp;"|"&amp;C1050&amp;"|"&amp;D1050</f>
        <v>66|G|A</v>
      </c>
      <c r="F1050" s="43" t="n">
        <v>0</v>
      </c>
      <c r="G1050" s="38" t="n">
        <f aca="false">SUMIFS($F$2:$F$1137,$A$2:$A$1137,A1050,$C$2:$C$1137,C1050)</f>
        <v>2</v>
      </c>
      <c r="H1050" s="43" t="n">
        <v>1</v>
      </c>
      <c r="I1050" s="45" t="n">
        <f aca="false">IF(G1050=0,"",F1050/G1050)</f>
        <v>0</v>
      </c>
      <c r="J1050" s="45" t="n">
        <f aca="false">K1050/L1050</f>
        <v>0.166666666666667</v>
      </c>
      <c r="K1050" s="38" t="n">
        <f aca="false">F1050+H1050</f>
        <v>1</v>
      </c>
      <c r="L1050" s="38" t="n">
        <f aca="false">G1050+4*H1050</f>
        <v>6</v>
      </c>
      <c r="M1050" s="38" t="s">
        <v>619</v>
      </c>
      <c r="N1050" s="38" t="n">
        <f aca="false">ROUND(SUMIFS($J$2:$J$1137,$A$2:$A$1137,A1050,$C$2:$C$1137,C1050),9)</f>
        <v>1</v>
      </c>
    </row>
    <row r="1051" customFormat="false" ht="15" hidden="false" customHeight="true" outlineLevel="0" collapsed="false">
      <c r="A1051" s="38" t="n">
        <v>66</v>
      </c>
      <c r="B1051" s="38" t="s">
        <v>684</v>
      </c>
      <c r="C1051" s="38" t="s">
        <v>169</v>
      </c>
      <c r="D1051" s="38" t="s">
        <v>170</v>
      </c>
      <c r="E1051" s="38" t="str">
        <f aca="false">A1051&amp;"|"&amp;C1051&amp;"|"&amp;D1051</f>
        <v>66|G|C</v>
      </c>
      <c r="F1051" s="43" t="n">
        <v>0</v>
      </c>
      <c r="G1051" s="38" t="n">
        <f aca="false">SUMIFS($F$2:$F$1137,$A$2:$A$1137,A1051,$C$2:$C$1137,C1051)</f>
        <v>2</v>
      </c>
      <c r="H1051" s="43" t="n">
        <v>1</v>
      </c>
      <c r="I1051" s="45" t="n">
        <f aca="false">IF(G1051=0,"",F1051/G1051)</f>
        <v>0</v>
      </c>
      <c r="J1051" s="45" t="n">
        <f aca="false">K1051/L1051</f>
        <v>0.166666666666667</v>
      </c>
      <c r="K1051" s="38" t="n">
        <f aca="false">F1051+H1051</f>
        <v>1</v>
      </c>
      <c r="L1051" s="38" t="n">
        <f aca="false">G1051+4*H1051</f>
        <v>6</v>
      </c>
      <c r="M1051" s="38" t="s">
        <v>619</v>
      </c>
      <c r="N1051" s="38" t="n">
        <f aca="false">ROUND(SUMIFS($J$2:$J$1137,$A$2:$A$1137,A1051,$C$2:$C$1137,C1051),9)</f>
        <v>1</v>
      </c>
    </row>
    <row r="1052" customFormat="false" ht="15" hidden="false" customHeight="true" outlineLevel="0" collapsed="false">
      <c r="A1052" s="38" t="n">
        <v>66</v>
      </c>
      <c r="B1052" s="38" t="s">
        <v>684</v>
      </c>
      <c r="C1052" s="38" t="s">
        <v>169</v>
      </c>
      <c r="D1052" s="38" t="s">
        <v>169</v>
      </c>
      <c r="E1052" s="38" t="str">
        <f aca="false">A1052&amp;"|"&amp;C1052&amp;"|"&amp;D1052</f>
        <v>66|G|G</v>
      </c>
      <c r="F1052" s="43" t="n">
        <v>2</v>
      </c>
      <c r="G1052" s="38" t="n">
        <f aca="false">SUMIFS($F$2:$F$1137,$A$2:$A$1137,A1052,$C$2:$C$1137,C1052)</f>
        <v>2</v>
      </c>
      <c r="H1052" s="43" t="n">
        <v>1</v>
      </c>
      <c r="I1052" s="45" t="n">
        <f aca="false">IF(G1052=0,"",F1052/G1052)</f>
        <v>1</v>
      </c>
      <c r="J1052" s="45" t="n">
        <f aca="false">K1052/L1052</f>
        <v>0.5</v>
      </c>
      <c r="K1052" s="38" t="n">
        <f aca="false">F1052+H1052</f>
        <v>3</v>
      </c>
      <c r="L1052" s="38" t="n">
        <f aca="false">G1052+4*H1052</f>
        <v>6</v>
      </c>
      <c r="M1052" s="38" t="s">
        <v>619</v>
      </c>
      <c r="N1052" s="38" t="n">
        <f aca="false">ROUND(SUMIFS($J$2:$J$1137,$A$2:$A$1137,A1052,$C$2:$C$1137,C1052),9)</f>
        <v>1</v>
      </c>
    </row>
    <row r="1053" customFormat="false" ht="15" hidden="false" customHeight="true" outlineLevel="0" collapsed="false">
      <c r="A1053" s="38" t="n">
        <v>66</v>
      </c>
      <c r="B1053" s="38" t="s">
        <v>684</v>
      </c>
      <c r="C1053" s="38" t="s">
        <v>169</v>
      </c>
      <c r="D1053" s="38" t="s">
        <v>171</v>
      </c>
      <c r="E1053" s="38" t="str">
        <f aca="false">A1053&amp;"|"&amp;C1053&amp;"|"&amp;D1053</f>
        <v>66|G|U</v>
      </c>
      <c r="F1053" s="43" t="n">
        <v>0</v>
      </c>
      <c r="G1053" s="38" t="n">
        <f aca="false">SUMIFS($F$2:$F$1137,$A$2:$A$1137,A1053,$C$2:$C$1137,C1053)</f>
        <v>2</v>
      </c>
      <c r="H1053" s="43" t="n">
        <v>1</v>
      </c>
      <c r="I1053" s="45" t="n">
        <f aca="false">IF(G1053=0,"",F1053/G1053)</f>
        <v>0</v>
      </c>
      <c r="J1053" s="45" t="n">
        <f aca="false">K1053/L1053</f>
        <v>0.166666666666667</v>
      </c>
      <c r="K1053" s="38" t="n">
        <f aca="false">F1053+H1053</f>
        <v>1</v>
      </c>
      <c r="L1053" s="38" t="n">
        <f aca="false">G1053+4*H1053</f>
        <v>6</v>
      </c>
      <c r="M1053" s="38" t="s">
        <v>619</v>
      </c>
      <c r="N1053" s="38" t="n">
        <f aca="false">ROUND(SUMIFS($J$2:$J$1137,$A$2:$A$1137,A1053,$C$2:$C$1137,C1053),9)</f>
        <v>1</v>
      </c>
    </row>
    <row r="1054" customFormat="false" ht="15" hidden="false" customHeight="true" outlineLevel="0" collapsed="false">
      <c r="A1054" s="38" t="n">
        <v>66</v>
      </c>
      <c r="B1054" s="38" t="s">
        <v>684</v>
      </c>
      <c r="C1054" s="38" t="s">
        <v>171</v>
      </c>
      <c r="D1054" s="38" t="s">
        <v>172</v>
      </c>
      <c r="E1054" s="38" t="str">
        <f aca="false">A1054&amp;"|"&amp;C1054&amp;"|"&amp;D1054</f>
        <v>66|U|A</v>
      </c>
      <c r="F1054" s="43" t="n">
        <v>18</v>
      </c>
      <c r="G1054" s="38" t="n">
        <f aca="false">SUMIFS($F$2:$F$1137,$A$2:$A$1137,A1054,$C$2:$C$1137,C1054)</f>
        <v>49</v>
      </c>
      <c r="H1054" s="43" t="n">
        <v>1</v>
      </c>
      <c r="I1054" s="45" t="n">
        <f aca="false">IF(G1054=0,"",F1054/G1054)</f>
        <v>0.36734693877551</v>
      </c>
      <c r="J1054" s="45" t="n">
        <f aca="false">K1054/L1054</f>
        <v>0.358490566037736</v>
      </c>
      <c r="K1054" s="38" t="n">
        <f aca="false">F1054+H1054</f>
        <v>19</v>
      </c>
      <c r="L1054" s="38" t="n">
        <f aca="false">G1054+4*H1054</f>
        <v>53</v>
      </c>
      <c r="M1054" s="38" t="s">
        <v>619</v>
      </c>
      <c r="N1054" s="38" t="n">
        <f aca="false">ROUND(SUMIFS($J$2:$J$1137,$A$2:$A$1137,A1054,$C$2:$C$1137,C1054),9)</f>
        <v>1</v>
      </c>
    </row>
    <row r="1055" customFormat="false" ht="15" hidden="false" customHeight="true" outlineLevel="0" collapsed="false">
      <c r="A1055" s="38" t="n">
        <v>66</v>
      </c>
      <c r="B1055" s="38" t="s">
        <v>684</v>
      </c>
      <c r="C1055" s="38" t="s">
        <v>171</v>
      </c>
      <c r="D1055" s="38" t="s">
        <v>170</v>
      </c>
      <c r="E1055" s="38" t="str">
        <f aca="false">A1055&amp;"|"&amp;C1055&amp;"|"&amp;D1055</f>
        <v>66|U|C</v>
      </c>
      <c r="F1055" s="43" t="n">
        <v>10</v>
      </c>
      <c r="G1055" s="38" t="n">
        <f aca="false">SUMIFS($F$2:$F$1137,$A$2:$A$1137,A1055,$C$2:$C$1137,C1055)</f>
        <v>49</v>
      </c>
      <c r="H1055" s="43" t="n">
        <v>1</v>
      </c>
      <c r="I1055" s="45" t="n">
        <f aca="false">IF(G1055=0,"",F1055/G1055)</f>
        <v>0.204081632653061</v>
      </c>
      <c r="J1055" s="45" t="n">
        <f aca="false">K1055/L1055</f>
        <v>0.207547169811321</v>
      </c>
      <c r="K1055" s="38" t="n">
        <f aca="false">F1055+H1055</f>
        <v>11</v>
      </c>
      <c r="L1055" s="38" t="n">
        <f aca="false">G1055+4*H1055</f>
        <v>53</v>
      </c>
      <c r="M1055" s="38" t="s">
        <v>619</v>
      </c>
      <c r="N1055" s="38" t="n">
        <f aca="false">ROUND(SUMIFS($J$2:$J$1137,$A$2:$A$1137,A1055,$C$2:$C$1137,C1055),9)</f>
        <v>1</v>
      </c>
    </row>
    <row r="1056" customFormat="false" ht="15" hidden="false" customHeight="true" outlineLevel="0" collapsed="false">
      <c r="A1056" s="38" t="n">
        <v>66</v>
      </c>
      <c r="B1056" s="38" t="s">
        <v>684</v>
      </c>
      <c r="C1056" s="38" t="s">
        <v>171</v>
      </c>
      <c r="D1056" s="38" t="s">
        <v>169</v>
      </c>
      <c r="E1056" s="38" t="str">
        <f aca="false">A1056&amp;"|"&amp;C1056&amp;"|"&amp;D1056</f>
        <v>66|U|G</v>
      </c>
      <c r="F1056" s="43" t="n">
        <v>10</v>
      </c>
      <c r="G1056" s="38" t="n">
        <f aca="false">SUMIFS($F$2:$F$1137,$A$2:$A$1137,A1056,$C$2:$C$1137,C1056)</f>
        <v>49</v>
      </c>
      <c r="H1056" s="43" t="n">
        <v>1</v>
      </c>
      <c r="I1056" s="45" t="n">
        <f aca="false">IF(G1056=0,"",F1056/G1056)</f>
        <v>0.204081632653061</v>
      </c>
      <c r="J1056" s="45" t="n">
        <f aca="false">K1056/L1056</f>
        <v>0.207547169811321</v>
      </c>
      <c r="K1056" s="38" t="n">
        <f aca="false">F1056+H1056</f>
        <v>11</v>
      </c>
      <c r="L1056" s="38" t="n">
        <f aca="false">G1056+4*H1056</f>
        <v>53</v>
      </c>
      <c r="M1056" s="38" t="s">
        <v>619</v>
      </c>
      <c r="N1056" s="38" t="n">
        <f aca="false">ROUND(SUMIFS($J$2:$J$1137,$A$2:$A$1137,A1056,$C$2:$C$1137,C1056),9)</f>
        <v>1</v>
      </c>
    </row>
    <row r="1057" customFormat="false" ht="15" hidden="false" customHeight="true" outlineLevel="0" collapsed="false">
      <c r="A1057" s="38" t="n">
        <v>66</v>
      </c>
      <c r="B1057" s="38" t="s">
        <v>684</v>
      </c>
      <c r="C1057" s="38" t="s">
        <v>171</v>
      </c>
      <c r="D1057" s="38" t="s">
        <v>171</v>
      </c>
      <c r="E1057" s="38" t="str">
        <f aca="false">A1057&amp;"|"&amp;C1057&amp;"|"&amp;D1057</f>
        <v>66|U|U</v>
      </c>
      <c r="F1057" s="43" t="n">
        <v>11</v>
      </c>
      <c r="G1057" s="38" t="n">
        <f aca="false">SUMIFS($F$2:$F$1137,$A$2:$A$1137,A1057,$C$2:$C$1137,C1057)</f>
        <v>49</v>
      </c>
      <c r="H1057" s="43" t="n">
        <v>1</v>
      </c>
      <c r="I1057" s="45" t="n">
        <f aca="false">IF(G1057=0,"",F1057/G1057)</f>
        <v>0.224489795918367</v>
      </c>
      <c r="J1057" s="45" t="n">
        <f aca="false">K1057/L1057</f>
        <v>0.226415094339623</v>
      </c>
      <c r="K1057" s="38" t="n">
        <f aca="false">F1057+H1057</f>
        <v>12</v>
      </c>
      <c r="L1057" s="38" t="n">
        <f aca="false">G1057+4*H1057</f>
        <v>53</v>
      </c>
      <c r="M1057" s="38" t="s">
        <v>619</v>
      </c>
      <c r="N1057" s="38" t="n">
        <f aca="false">ROUND(SUMIFS($J$2:$J$1137,$A$2:$A$1137,A1057,$C$2:$C$1137,C1057),9)</f>
        <v>1</v>
      </c>
    </row>
    <row r="1058" customFormat="false" ht="15" hidden="false" customHeight="true" outlineLevel="0" collapsed="false">
      <c r="A1058" s="38" t="n">
        <v>67</v>
      </c>
      <c r="B1058" s="38" t="s">
        <v>685</v>
      </c>
      <c r="C1058" s="38" t="s">
        <v>172</v>
      </c>
      <c r="D1058" s="38" t="s">
        <v>172</v>
      </c>
      <c r="E1058" s="38" t="str">
        <f aca="false">A1058&amp;"|"&amp;C1058&amp;"|"&amp;D1058</f>
        <v>67|A|A</v>
      </c>
      <c r="F1058" s="43" t="n">
        <v>3</v>
      </c>
      <c r="G1058" s="38" t="n">
        <f aca="false">SUMIFS($F$2:$F$1137,$A$2:$A$1137,A1058,$C$2:$C$1137,C1058)</f>
        <v>41</v>
      </c>
      <c r="H1058" s="43" t="n">
        <v>1</v>
      </c>
      <c r="I1058" s="45" t="n">
        <f aca="false">IF(G1058=0,"",F1058/G1058)</f>
        <v>0.0731707317073171</v>
      </c>
      <c r="J1058" s="45" t="n">
        <f aca="false">K1058/L1058</f>
        <v>0.0888888888888889</v>
      </c>
      <c r="K1058" s="38" t="n">
        <f aca="false">F1058+H1058</f>
        <v>4</v>
      </c>
      <c r="L1058" s="38" t="n">
        <f aca="false">G1058+4*H1058</f>
        <v>45</v>
      </c>
      <c r="M1058" s="38" t="s">
        <v>619</v>
      </c>
      <c r="N1058" s="38" t="n">
        <f aca="false">ROUND(SUMIFS($J$2:$J$1137,$A$2:$A$1137,A1058,$C$2:$C$1137,C1058),9)</f>
        <v>1</v>
      </c>
    </row>
    <row r="1059" customFormat="false" ht="15" hidden="false" customHeight="true" outlineLevel="0" collapsed="false">
      <c r="A1059" s="38" t="n">
        <v>67</v>
      </c>
      <c r="B1059" s="38" t="s">
        <v>685</v>
      </c>
      <c r="C1059" s="38" t="s">
        <v>172</v>
      </c>
      <c r="D1059" s="38" t="s">
        <v>170</v>
      </c>
      <c r="E1059" s="38" t="str">
        <f aca="false">A1059&amp;"|"&amp;C1059&amp;"|"&amp;D1059</f>
        <v>67|A|C</v>
      </c>
      <c r="F1059" s="43" t="n">
        <v>15</v>
      </c>
      <c r="G1059" s="38" t="n">
        <f aca="false">SUMIFS($F$2:$F$1137,$A$2:$A$1137,A1059,$C$2:$C$1137,C1059)</f>
        <v>41</v>
      </c>
      <c r="H1059" s="43" t="n">
        <v>1</v>
      </c>
      <c r="I1059" s="45" t="n">
        <f aca="false">IF(G1059=0,"",F1059/G1059)</f>
        <v>0.365853658536585</v>
      </c>
      <c r="J1059" s="45" t="n">
        <f aca="false">K1059/L1059</f>
        <v>0.355555555555556</v>
      </c>
      <c r="K1059" s="38" t="n">
        <f aca="false">F1059+H1059</f>
        <v>16</v>
      </c>
      <c r="L1059" s="38" t="n">
        <f aca="false">G1059+4*H1059</f>
        <v>45</v>
      </c>
      <c r="M1059" s="38" t="s">
        <v>619</v>
      </c>
      <c r="N1059" s="38" t="n">
        <f aca="false">ROUND(SUMIFS($J$2:$J$1137,$A$2:$A$1137,A1059,$C$2:$C$1137,C1059),9)</f>
        <v>1</v>
      </c>
    </row>
    <row r="1060" customFormat="false" ht="15" hidden="false" customHeight="true" outlineLevel="0" collapsed="false">
      <c r="A1060" s="38" t="n">
        <v>67</v>
      </c>
      <c r="B1060" s="38" t="s">
        <v>685</v>
      </c>
      <c r="C1060" s="38" t="s">
        <v>172</v>
      </c>
      <c r="D1060" s="38" t="s">
        <v>169</v>
      </c>
      <c r="E1060" s="38" t="str">
        <f aca="false">A1060&amp;"|"&amp;C1060&amp;"|"&amp;D1060</f>
        <v>67|A|G</v>
      </c>
      <c r="F1060" s="43" t="n">
        <v>13</v>
      </c>
      <c r="G1060" s="38" t="n">
        <f aca="false">SUMIFS($F$2:$F$1137,$A$2:$A$1137,A1060,$C$2:$C$1137,C1060)</f>
        <v>41</v>
      </c>
      <c r="H1060" s="43" t="n">
        <v>1</v>
      </c>
      <c r="I1060" s="45" t="n">
        <f aca="false">IF(G1060=0,"",F1060/G1060)</f>
        <v>0.317073170731707</v>
      </c>
      <c r="J1060" s="45" t="n">
        <f aca="false">K1060/L1060</f>
        <v>0.311111111111111</v>
      </c>
      <c r="K1060" s="38" t="n">
        <f aca="false">F1060+H1060</f>
        <v>14</v>
      </c>
      <c r="L1060" s="38" t="n">
        <f aca="false">G1060+4*H1060</f>
        <v>45</v>
      </c>
      <c r="M1060" s="38" t="s">
        <v>619</v>
      </c>
      <c r="N1060" s="38" t="n">
        <f aca="false">ROUND(SUMIFS($J$2:$J$1137,$A$2:$A$1137,A1060,$C$2:$C$1137,C1060),9)</f>
        <v>1</v>
      </c>
    </row>
    <row r="1061" customFormat="false" ht="15" hidden="false" customHeight="true" outlineLevel="0" collapsed="false">
      <c r="A1061" s="38" t="n">
        <v>67</v>
      </c>
      <c r="B1061" s="38" t="s">
        <v>685</v>
      </c>
      <c r="C1061" s="38" t="s">
        <v>172</v>
      </c>
      <c r="D1061" s="38" t="s">
        <v>171</v>
      </c>
      <c r="E1061" s="38" t="str">
        <f aca="false">A1061&amp;"|"&amp;C1061&amp;"|"&amp;D1061</f>
        <v>67|A|U</v>
      </c>
      <c r="F1061" s="43" t="n">
        <v>10</v>
      </c>
      <c r="G1061" s="38" t="n">
        <f aca="false">SUMIFS($F$2:$F$1137,$A$2:$A$1137,A1061,$C$2:$C$1137,C1061)</f>
        <v>41</v>
      </c>
      <c r="H1061" s="43" t="n">
        <v>1</v>
      </c>
      <c r="I1061" s="45" t="n">
        <f aca="false">IF(G1061=0,"",F1061/G1061)</f>
        <v>0.24390243902439</v>
      </c>
      <c r="J1061" s="45" t="n">
        <f aca="false">K1061/L1061</f>
        <v>0.244444444444444</v>
      </c>
      <c r="K1061" s="38" t="n">
        <f aca="false">F1061+H1061</f>
        <v>11</v>
      </c>
      <c r="L1061" s="38" t="n">
        <f aca="false">G1061+4*H1061</f>
        <v>45</v>
      </c>
      <c r="M1061" s="38" t="s">
        <v>619</v>
      </c>
      <c r="N1061" s="38" t="n">
        <f aca="false">ROUND(SUMIFS($J$2:$J$1137,$A$2:$A$1137,A1061,$C$2:$C$1137,C1061),9)</f>
        <v>1</v>
      </c>
    </row>
    <row r="1062" customFormat="false" ht="15" hidden="false" customHeight="true" outlineLevel="0" collapsed="false">
      <c r="A1062" s="38" t="n">
        <v>67</v>
      </c>
      <c r="B1062" s="38" t="s">
        <v>685</v>
      </c>
      <c r="C1062" s="38" t="s">
        <v>170</v>
      </c>
      <c r="D1062" s="38" t="s">
        <v>172</v>
      </c>
      <c r="E1062" s="38" t="str">
        <f aca="false">A1062&amp;"|"&amp;C1062&amp;"|"&amp;D1062</f>
        <v>67|C|A</v>
      </c>
      <c r="F1062" s="43" t="n">
        <v>7</v>
      </c>
      <c r="G1062" s="38" t="n">
        <f aca="false">SUMIFS($F$2:$F$1137,$A$2:$A$1137,A1062,$C$2:$C$1137,C1062)</f>
        <v>45</v>
      </c>
      <c r="H1062" s="43" t="n">
        <v>1</v>
      </c>
      <c r="I1062" s="45" t="n">
        <f aca="false">IF(G1062=0,"",F1062/G1062)</f>
        <v>0.155555555555556</v>
      </c>
      <c r="J1062" s="45" t="n">
        <f aca="false">K1062/L1062</f>
        <v>0.163265306122449</v>
      </c>
      <c r="K1062" s="38" t="n">
        <f aca="false">F1062+H1062</f>
        <v>8</v>
      </c>
      <c r="L1062" s="38" t="n">
        <f aca="false">G1062+4*H1062</f>
        <v>49</v>
      </c>
      <c r="M1062" s="38" t="s">
        <v>619</v>
      </c>
      <c r="N1062" s="38" t="n">
        <f aca="false">ROUND(SUMIFS($J$2:$J$1137,$A$2:$A$1137,A1062,$C$2:$C$1137,C1062),9)</f>
        <v>1</v>
      </c>
    </row>
    <row r="1063" customFormat="false" ht="15" hidden="false" customHeight="true" outlineLevel="0" collapsed="false">
      <c r="A1063" s="38" t="n">
        <v>67</v>
      </c>
      <c r="B1063" s="38" t="s">
        <v>685</v>
      </c>
      <c r="C1063" s="38" t="s">
        <v>170</v>
      </c>
      <c r="D1063" s="38" t="s">
        <v>170</v>
      </c>
      <c r="E1063" s="38" t="str">
        <f aca="false">A1063&amp;"|"&amp;C1063&amp;"|"&amp;D1063</f>
        <v>67|C|C</v>
      </c>
      <c r="F1063" s="43" t="n">
        <v>15</v>
      </c>
      <c r="G1063" s="38" t="n">
        <f aca="false">SUMIFS($F$2:$F$1137,$A$2:$A$1137,A1063,$C$2:$C$1137,C1063)</f>
        <v>45</v>
      </c>
      <c r="H1063" s="43" t="n">
        <v>1</v>
      </c>
      <c r="I1063" s="45" t="n">
        <f aca="false">IF(G1063=0,"",F1063/G1063)</f>
        <v>0.333333333333333</v>
      </c>
      <c r="J1063" s="45" t="n">
        <f aca="false">K1063/L1063</f>
        <v>0.326530612244898</v>
      </c>
      <c r="K1063" s="38" t="n">
        <f aca="false">F1063+H1063</f>
        <v>16</v>
      </c>
      <c r="L1063" s="38" t="n">
        <f aca="false">G1063+4*H1063</f>
        <v>49</v>
      </c>
      <c r="M1063" s="38" t="s">
        <v>619</v>
      </c>
      <c r="N1063" s="38" t="n">
        <f aca="false">ROUND(SUMIFS($J$2:$J$1137,$A$2:$A$1137,A1063,$C$2:$C$1137,C1063),9)</f>
        <v>1</v>
      </c>
    </row>
    <row r="1064" customFormat="false" ht="15" hidden="false" customHeight="true" outlineLevel="0" collapsed="false">
      <c r="A1064" s="38" t="n">
        <v>67</v>
      </c>
      <c r="B1064" s="38" t="s">
        <v>685</v>
      </c>
      <c r="C1064" s="38" t="s">
        <v>170</v>
      </c>
      <c r="D1064" s="38" t="s">
        <v>169</v>
      </c>
      <c r="E1064" s="38" t="str">
        <f aca="false">A1064&amp;"|"&amp;C1064&amp;"|"&amp;D1064</f>
        <v>67|C|G</v>
      </c>
      <c r="F1064" s="43" t="n">
        <v>17</v>
      </c>
      <c r="G1064" s="38" t="n">
        <f aca="false">SUMIFS($F$2:$F$1137,$A$2:$A$1137,A1064,$C$2:$C$1137,C1064)</f>
        <v>45</v>
      </c>
      <c r="H1064" s="43" t="n">
        <v>1</v>
      </c>
      <c r="I1064" s="45" t="n">
        <f aca="false">IF(G1064=0,"",F1064/G1064)</f>
        <v>0.377777777777778</v>
      </c>
      <c r="J1064" s="45" t="n">
        <f aca="false">K1064/L1064</f>
        <v>0.36734693877551</v>
      </c>
      <c r="K1064" s="38" t="n">
        <f aca="false">F1064+H1064</f>
        <v>18</v>
      </c>
      <c r="L1064" s="38" t="n">
        <f aca="false">G1064+4*H1064</f>
        <v>49</v>
      </c>
      <c r="M1064" s="38" t="s">
        <v>619</v>
      </c>
      <c r="N1064" s="38" t="n">
        <f aca="false">ROUND(SUMIFS($J$2:$J$1137,$A$2:$A$1137,A1064,$C$2:$C$1137,C1064),9)</f>
        <v>1</v>
      </c>
    </row>
    <row r="1065" customFormat="false" ht="15" hidden="false" customHeight="true" outlineLevel="0" collapsed="false">
      <c r="A1065" s="38" t="n">
        <v>67</v>
      </c>
      <c r="B1065" s="38" t="s">
        <v>685</v>
      </c>
      <c r="C1065" s="38" t="s">
        <v>170</v>
      </c>
      <c r="D1065" s="38" t="s">
        <v>171</v>
      </c>
      <c r="E1065" s="38" t="str">
        <f aca="false">A1065&amp;"|"&amp;C1065&amp;"|"&amp;D1065</f>
        <v>67|C|U</v>
      </c>
      <c r="F1065" s="43" t="n">
        <v>6</v>
      </c>
      <c r="G1065" s="38" t="n">
        <f aca="false">SUMIFS($F$2:$F$1137,$A$2:$A$1137,A1065,$C$2:$C$1137,C1065)</f>
        <v>45</v>
      </c>
      <c r="H1065" s="43" t="n">
        <v>1</v>
      </c>
      <c r="I1065" s="45" t="n">
        <f aca="false">IF(G1065=0,"",F1065/G1065)</f>
        <v>0.133333333333333</v>
      </c>
      <c r="J1065" s="45" t="n">
        <f aca="false">K1065/L1065</f>
        <v>0.142857142857143</v>
      </c>
      <c r="K1065" s="38" t="n">
        <f aca="false">F1065+H1065</f>
        <v>7</v>
      </c>
      <c r="L1065" s="38" t="n">
        <f aca="false">G1065+4*H1065</f>
        <v>49</v>
      </c>
      <c r="M1065" s="38" t="s">
        <v>619</v>
      </c>
      <c r="N1065" s="38" t="n">
        <f aca="false">ROUND(SUMIFS($J$2:$J$1137,$A$2:$A$1137,A1065,$C$2:$C$1137,C1065),9)</f>
        <v>1</v>
      </c>
    </row>
    <row r="1066" customFormat="false" ht="15" hidden="false" customHeight="true" outlineLevel="0" collapsed="false">
      <c r="A1066" s="38" t="n">
        <v>67</v>
      </c>
      <c r="B1066" s="38" t="s">
        <v>685</v>
      </c>
      <c r="C1066" s="38" t="s">
        <v>169</v>
      </c>
      <c r="D1066" s="38" t="s">
        <v>172</v>
      </c>
      <c r="E1066" s="38" t="str">
        <f aca="false">A1066&amp;"|"&amp;C1066&amp;"|"&amp;D1066</f>
        <v>67|G|A</v>
      </c>
      <c r="F1066" s="43" t="n">
        <v>5</v>
      </c>
      <c r="G1066" s="38" t="n">
        <f aca="false">SUMIFS($F$2:$F$1137,$A$2:$A$1137,A1066,$C$2:$C$1137,C1066)</f>
        <v>75</v>
      </c>
      <c r="H1066" s="43" t="n">
        <v>1</v>
      </c>
      <c r="I1066" s="45" t="n">
        <f aca="false">IF(G1066=0,"",F1066/G1066)</f>
        <v>0.0666666666666667</v>
      </c>
      <c r="J1066" s="45" t="n">
        <f aca="false">K1066/L1066</f>
        <v>0.0759493670886076</v>
      </c>
      <c r="K1066" s="38" t="n">
        <f aca="false">F1066+H1066</f>
        <v>6</v>
      </c>
      <c r="L1066" s="38" t="n">
        <f aca="false">G1066+4*H1066</f>
        <v>79</v>
      </c>
      <c r="M1066" s="38" t="s">
        <v>619</v>
      </c>
      <c r="N1066" s="38" t="n">
        <f aca="false">ROUND(SUMIFS($J$2:$J$1137,$A$2:$A$1137,A1066,$C$2:$C$1137,C1066),9)</f>
        <v>1</v>
      </c>
    </row>
    <row r="1067" customFormat="false" ht="15" hidden="false" customHeight="true" outlineLevel="0" collapsed="false">
      <c r="A1067" s="38" t="n">
        <v>67</v>
      </c>
      <c r="B1067" s="38" t="s">
        <v>685</v>
      </c>
      <c r="C1067" s="38" t="s">
        <v>169</v>
      </c>
      <c r="D1067" s="38" t="s">
        <v>170</v>
      </c>
      <c r="E1067" s="38" t="str">
        <f aca="false">A1067&amp;"|"&amp;C1067&amp;"|"&amp;D1067</f>
        <v>67|G|C</v>
      </c>
      <c r="F1067" s="43" t="n">
        <v>14</v>
      </c>
      <c r="G1067" s="38" t="n">
        <f aca="false">SUMIFS($F$2:$F$1137,$A$2:$A$1137,A1067,$C$2:$C$1137,C1067)</f>
        <v>75</v>
      </c>
      <c r="H1067" s="43" t="n">
        <v>1</v>
      </c>
      <c r="I1067" s="45" t="n">
        <f aca="false">IF(G1067=0,"",F1067/G1067)</f>
        <v>0.186666666666667</v>
      </c>
      <c r="J1067" s="45" t="n">
        <f aca="false">K1067/L1067</f>
        <v>0.189873417721519</v>
      </c>
      <c r="K1067" s="38" t="n">
        <f aca="false">F1067+H1067</f>
        <v>15</v>
      </c>
      <c r="L1067" s="38" t="n">
        <f aca="false">G1067+4*H1067</f>
        <v>79</v>
      </c>
      <c r="M1067" s="38" t="s">
        <v>619</v>
      </c>
      <c r="N1067" s="38" t="n">
        <f aca="false">ROUND(SUMIFS($J$2:$J$1137,$A$2:$A$1137,A1067,$C$2:$C$1137,C1067),9)</f>
        <v>1</v>
      </c>
    </row>
    <row r="1068" customFormat="false" ht="15" hidden="false" customHeight="true" outlineLevel="0" collapsed="false">
      <c r="A1068" s="38" t="n">
        <v>67</v>
      </c>
      <c r="B1068" s="38" t="s">
        <v>685</v>
      </c>
      <c r="C1068" s="38" t="s">
        <v>169</v>
      </c>
      <c r="D1068" s="38" t="s">
        <v>169</v>
      </c>
      <c r="E1068" s="38" t="str">
        <f aca="false">A1068&amp;"|"&amp;C1068&amp;"|"&amp;D1068</f>
        <v>67|G|G</v>
      </c>
      <c r="F1068" s="43" t="n">
        <v>46</v>
      </c>
      <c r="G1068" s="38" t="n">
        <f aca="false">SUMIFS($F$2:$F$1137,$A$2:$A$1137,A1068,$C$2:$C$1137,C1068)</f>
        <v>75</v>
      </c>
      <c r="H1068" s="43" t="n">
        <v>1</v>
      </c>
      <c r="I1068" s="45" t="n">
        <f aca="false">IF(G1068=0,"",F1068/G1068)</f>
        <v>0.613333333333333</v>
      </c>
      <c r="J1068" s="45" t="n">
        <f aca="false">K1068/L1068</f>
        <v>0.594936708860759</v>
      </c>
      <c r="K1068" s="38" t="n">
        <f aca="false">F1068+H1068</f>
        <v>47</v>
      </c>
      <c r="L1068" s="38" t="n">
        <f aca="false">G1068+4*H1068</f>
        <v>79</v>
      </c>
      <c r="M1068" s="38" t="s">
        <v>619</v>
      </c>
      <c r="N1068" s="38" t="n">
        <f aca="false">ROUND(SUMIFS($J$2:$J$1137,$A$2:$A$1137,A1068,$C$2:$C$1137,C1068),9)</f>
        <v>1</v>
      </c>
    </row>
    <row r="1069" customFormat="false" ht="15" hidden="false" customHeight="true" outlineLevel="0" collapsed="false">
      <c r="A1069" s="38" t="n">
        <v>67</v>
      </c>
      <c r="B1069" s="38" t="s">
        <v>685</v>
      </c>
      <c r="C1069" s="38" t="s">
        <v>169</v>
      </c>
      <c r="D1069" s="38" t="s">
        <v>171</v>
      </c>
      <c r="E1069" s="38" t="str">
        <f aca="false">A1069&amp;"|"&amp;C1069&amp;"|"&amp;D1069</f>
        <v>67|G|U</v>
      </c>
      <c r="F1069" s="43" t="n">
        <v>10</v>
      </c>
      <c r="G1069" s="38" t="n">
        <f aca="false">SUMIFS($F$2:$F$1137,$A$2:$A$1137,A1069,$C$2:$C$1137,C1069)</f>
        <v>75</v>
      </c>
      <c r="H1069" s="43" t="n">
        <v>1</v>
      </c>
      <c r="I1069" s="45" t="n">
        <f aca="false">IF(G1069=0,"",F1069/G1069)</f>
        <v>0.133333333333333</v>
      </c>
      <c r="J1069" s="45" t="n">
        <f aca="false">K1069/L1069</f>
        <v>0.139240506329114</v>
      </c>
      <c r="K1069" s="38" t="n">
        <f aca="false">F1069+H1069</f>
        <v>11</v>
      </c>
      <c r="L1069" s="38" t="n">
        <f aca="false">G1069+4*H1069</f>
        <v>79</v>
      </c>
      <c r="M1069" s="38" t="s">
        <v>619</v>
      </c>
      <c r="N1069" s="38" t="n">
        <f aca="false">ROUND(SUMIFS($J$2:$J$1137,$A$2:$A$1137,A1069,$C$2:$C$1137,C1069),9)</f>
        <v>1</v>
      </c>
    </row>
    <row r="1070" customFormat="false" ht="15" hidden="false" customHeight="true" outlineLevel="0" collapsed="false">
      <c r="A1070" s="38" t="n">
        <v>67</v>
      </c>
      <c r="B1070" s="38" t="s">
        <v>685</v>
      </c>
      <c r="C1070" s="38" t="s">
        <v>171</v>
      </c>
      <c r="D1070" s="38" t="s">
        <v>172</v>
      </c>
      <c r="E1070" s="38" t="str">
        <f aca="false">A1070&amp;"|"&amp;C1070&amp;"|"&amp;D1070</f>
        <v>67|U|A</v>
      </c>
      <c r="F1070" s="43" t="n">
        <v>0</v>
      </c>
      <c r="G1070" s="38" t="n">
        <f aca="false">SUMIFS($F$2:$F$1137,$A$2:$A$1137,A1070,$C$2:$C$1137,C1070)</f>
        <v>38</v>
      </c>
      <c r="H1070" s="43" t="n">
        <v>1</v>
      </c>
      <c r="I1070" s="45" t="n">
        <f aca="false">IF(G1070=0,"",F1070/G1070)</f>
        <v>0</v>
      </c>
      <c r="J1070" s="45" t="n">
        <f aca="false">K1070/L1070</f>
        <v>0.0238095238095238</v>
      </c>
      <c r="K1070" s="38" t="n">
        <f aca="false">F1070+H1070</f>
        <v>1</v>
      </c>
      <c r="L1070" s="38" t="n">
        <f aca="false">G1070+4*H1070</f>
        <v>42</v>
      </c>
      <c r="M1070" s="38" t="s">
        <v>619</v>
      </c>
      <c r="N1070" s="38" t="n">
        <f aca="false">ROUND(SUMIFS($J$2:$J$1137,$A$2:$A$1137,A1070,$C$2:$C$1137,C1070),9)</f>
        <v>1</v>
      </c>
    </row>
    <row r="1071" customFormat="false" ht="15" hidden="false" customHeight="true" outlineLevel="0" collapsed="false">
      <c r="A1071" s="38" t="n">
        <v>67</v>
      </c>
      <c r="B1071" s="38" t="s">
        <v>685</v>
      </c>
      <c r="C1071" s="38" t="s">
        <v>171</v>
      </c>
      <c r="D1071" s="38" t="s">
        <v>170</v>
      </c>
      <c r="E1071" s="38" t="str">
        <f aca="false">A1071&amp;"|"&amp;C1071&amp;"|"&amp;D1071</f>
        <v>67|U|C</v>
      </c>
      <c r="F1071" s="43" t="n">
        <v>18</v>
      </c>
      <c r="G1071" s="38" t="n">
        <f aca="false">SUMIFS($F$2:$F$1137,$A$2:$A$1137,A1071,$C$2:$C$1137,C1071)</f>
        <v>38</v>
      </c>
      <c r="H1071" s="43" t="n">
        <v>1</v>
      </c>
      <c r="I1071" s="45" t="n">
        <f aca="false">IF(G1071=0,"",F1071/G1071)</f>
        <v>0.473684210526316</v>
      </c>
      <c r="J1071" s="45" t="n">
        <f aca="false">K1071/L1071</f>
        <v>0.452380952380952</v>
      </c>
      <c r="K1071" s="38" t="n">
        <f aca="false">F1071+H1071</f>
        <v>19</v>
      </c>
      <c r="L1071" s="38" t="n">
        <f aca="false">G1071+4*H1071</f>
        <v>42</v>
      </c>
      <c r="M1071" s="38" t="s">
        <v>619</v>
      </c>
      <c r="N1071" s="38" t="n">
        <f aca="false">ROUND(SUMIFS($J$2:$J$1137,$A$2:$A$1137,A1071,$C$2:$C$1137,C1071),9)</f>
        <v>1</v>
      </c>
    </row>
    <row r="1072" customFormat="false" ht="15" hidden="false" customHeight="true" outlineLevel="0" collapsed="false">
      <c r="A1072" s="38" t="n">
        <v>67</v>
      </c>
      <c r="B1072" s="38" t="s">
        <v>685</v>
      </c>
      <c r="C1072" s="38" t="s">
        <v>171</v>
      </c>
      <c r="D1072" s="38" t="s">
        <v>169</v>
      </c>
      <c r="E1072" s="38" t="str">
        <f aca="false">A1072&amp;"|"&amp;C1072&amp;"|"&amp;D1072</f>
        <v>67|U|G</v>
      </c>
      <c r="F1072" s="43" t="n">
        <v>11</v>
      </c>
      <c r="G1072" s="38" t="n">
        <f aca="false">SUMIFS($F$2:$F$1137,$A$2:$A$1137,A1072,$C$2:$C$1137,C1072)</f>
        <v>38</v>
      </c>
      <c r="H1072" s="43" t="n">
        <v>1</v>
      </c>
      <c r="I1072" s="45" t="n">
        <f aca="false">IF(G1072=0,"",F1072/G1072)</f>
        <v>0.289473684210526</v>
      </c>
      <c r="J1072" s="45" t="n">
        <f aca="false">K1072/L1072</f>
        <v>0.285714285714286</v>
      </c>
      <c r="K1072" s="38" t="n">
        <f aca="false">F1072+H1072</f>
        <v>12</v>
      </c>
      <c r="L1072" s="38" t="n">
        <f aca="false">G1072+4*H1072</f>
        <v>42</v>
      </c>
      <c r="M1072" s="38" t="s">
        <v>619</v>
      </c>
      <c r="N1072" s="38" t="n">
        <f aca="false">ROUND(SUMIFS($J$2:$J$1137,$A$2:$A$1137,A1072,$C$2:$C$1137,C1072),9)</f>
        <v>1</v>
      </c>
    </row>
    <row r="1073" customFormat="false" ht="15" hidden="false" customHeight="true" outlineLevel="0" collapsed="false">
      <c r="A1073" s="38" t="n">
        <v>67</v>
      </c>
      <c r="B1073" s="38" t="s">
        <v>685</v>
      </c>
      <c r="C1073" s="38" t="s">
        <v>171</v>
      </c>
      <c r="D1073" s="38" t="s">
        <v>171</v>
      </c>
      <c r="E1073" s="38" t="str">
        <f aca="false">A1073&amp;"|"&amp;C1073&amp;"|"&amp;D1073</f>
        <v>67|U|U</v>
      </c>
      <c r="F1073" s="43" t="n">
        <v>9</v>
      </c>
      <c r="G1073" s="38" t="n">
        <f aca="false">SUMIFS($F$2:$F$1137,$A$2:$A$1137,A1073,$C$2:$C$1137,C1073)</f>
        <v>38</v>
      </c>
      <c r="H1073" s="43" t="n">
        <v>1</v>
      </c>
      <c r="I1073" s="45" t="n">
        <f aca="false">IF(G1073=0,"",F1073/G1073)</f>
        <v>0.236842105263158</v>
      </c>
      <c r="J1073" s="45" t="n">
        <f aca="false">K1073/L1073</f>
        <v>0.238095238095238</v>
      </c>
      <c r="K1073" s="38" t="n">
        <f aca="false">F1073+H1073</f>
        <v>10</v>
      </c>
      <c r="L1073" s="38" t="n">
        <f aca="false">G1073+4*H1073</f>
        <v>42</v>
      </c>
      <c r="M1073" s="38" t="s">
        <v>619</v>
      </c>
      <c r="N1073" s="38" t="n">
        <f aca="false">ROUND(SUMIFS($J$2:$J$1137,$A$2:$A$1137,A1073,$C$2:$C$1137,C1073),9)</f>
        <v>1</v>
      </c>
    </row>
    <row r="1074" customFormat="false" ht="15" hidden="false" customHeight="true" outlineLevel="0" collapsed="false">
      <c r="A1074" s="38" t="n">
        <v>68</v>
      </c>
      <c r="B1074" s="38" t="s">
        <v>686</v>
      </c>
      <c r="C1074" s="38" t="s">
        <v>172</v>
      </c>
      <c r="D1074" s="38" t="s">
        <v>172</v>
      </c>
      <c r="E1074" s="38" t="str">
        <f aca="false">A1074&amp;"|"&amp;C1074&amp;"|"&amp;D1074</f>
        <v>68|A|A</v>
      </c>
      <c r="F1074" s="43" t="n">
        <v>4</v>
      </c>
      <c r="G1074" s="38" t="n">
        <f aca="false">SUMIFS($F$2:$F$1137,$A$2:$A$1137,A1074,$C$2:$C$1137,C1074)</f>
        <v>15</v>
      </c>
      <c r="H1074" s="43" t="n">
        <v>1</v>
      </c>
      <c r="I1074" s="45" t="n">
        <f aca="false">IF(G1074=0,"",F1074/G1074)</f>
        <v>0.266666666666667</v>
      </c>
      <c r="J1074" s="45" t="n">
        <f aca="false">K1074/L1074</f>
        <v>0.263157894736842</v>
      </c>
      <c r="K1074" s="38" t="n">
        <f aca="false">F1074+H1074</f>
        <v>5</v>
      </c>
      <c r="L1074" s="38" t="n">
        <f aca="false">G1074+4*H1074</f>
        <v>19</v>
      </c>
      <c r="M1074" s="38" t="s">
        <v>619</v>
      </c>
      <c r="N1074" s="38" t="n">
        <f aca="false">ROUND(SUMIFS($J$2:$J$1137,$A$2:$A$1137,A1074,$C$2:$C$1137,C1074),9)</f>
        <v>1</v>
      </c>
    </row>
    <row r="1075" customFormat="false" ht="15" hidden="false" customHeight="true" outlineLevel="0" collapsed="false">
      <c r="A1075" s="38" t="n">
        <v>68</v>
      </c>
      <c r="B1075" s="38" t="s">
        <v>686</v>
      </c>
      <c r="C1075" s="38" t="s">
        <v>172</v>
      </c>
      <c r="D1075" s="38" t="s">
        <v>170</v>
      </c>
      <c r="E1075" s="38" t="str">
        <f aca="false">A1075&amp;"|"&amp;C1075&amp;"|"&amp;D1075</f>
        <v>68|A|C</v>
      </c>
      <c r="F1075" s="43" t="n">
        <v>4</v>
      </c>
      <c r="G1075" s="38" t="n">
        <f aca="false">SUMIFS($F$2:$F$1137,$A$2:$A$1137,A1075,$C$2:$C$1137,C1075)</f>
        <v>15</v>
      </c>
      <c r="H1075" s="43" t="n">
        <v>1</v>
      </c>
      <c r="I1075" s="45" t="n">
        <f aca="false">IF(G1075=0,"",F1075/G1075)</f>
        <v>0.266666666666667</v>
      </c>
      <c r="J1075" s="45" t="n">
        <f aca="false">K1075/L1075</f>
        <v>0.263157894736842</v>
      </c>
      <c r="K1075" s="38" t="n">
        <f aca="false">F1075+H1075</f>
        <v>5</v>
      </c>
      <c r="L1075" s="38" t="n">
        <f aca="false">G1075+4*H1075</f>
        <v>19</v>
      </c>
      <c r="M1075" s="38" t="s">
        <v>619</v>
      </c>
      <c r="N1075" s="38" t="n">
        <f aca="false">ROUND(SUMIFS($J$2:$J$1137,$A$2:$A$1137,A1075,$C$2:$C$1137,C1075),9)</f>
        <v>1</v>
      </c>
    </row>
    <row r="1076" customFormat="false" ht="15" hidden="false" customHeight="true" outlineLevel="0" collapsed="false">
      <c r="A1076" s="38" t="n">
        <v>68</v>
      </c>
      <c r="B1076" s="38" t="s">
        <v>686</v>
      </c>
      <c r="C1076" s="38" t="s">
        <v>172</v>
      </c>
      <c r="D1076" s="38" t="s">
        <v>169</v>
      </c>
      <c r="E1076" s="38" t="str">
        <f aca="false">A1076&amp;"|"&amp;C1076&amp;"|"&amp;D1076</f>
        <v>68|A|G</v>
      </c>
      <c r="F1076" s="43" t="n">
        <v>6</v>
      </c>
      <c r="G1076" s="38" t="n">
        <f aca="false">SUMIFS($F$2:$F$1137,$A$2:$A$1137,A1076,$C$2:$C$1137,C1076)</f>
        <v>15</v>
      </c>
      <c r="H1076" s="43" t="n">
        <v>1</v>
      </c>
      <c r="I1076" s="45" t="n">
        <f aca="false">IF(G1076=0,"",F1076/G1076)</f>
        <v>0.4</v>
      </c>
      <c r="J1076" s="45" t="n">
        <f aca="false">K1076/L1076</f>
        <v>0.368421052631579</v>
      </c>
      <c r="K1076" s="38" t="n">
        <f aca="false">F1076+H1076</f>
        <v>7</v>
      </c>
      <c r="L1076" s="38" t="n">
        <f aca="false">G1076+4*H1076</f>
        <v>19</v>
      </c>
      <c r="M1076" s="38" t="s">
        <v>619</v>
      </c>
      <c r="N1076" s="38" t="n">
        <f aca="false">ROUND(SUMIFS($J$2:$J$1137,$A$2:$A$1137,A1076,$C$2:$C$1137,C1076),9)</f>
        <v>1</v>
      </c>
    </row>
    <row r="1077" customFormat="false" ht="15" hidden="false" customHeight="true" outlineLevel="0" collapsed="false">
      <c r="A1077" s="38" t="n">
        <v>68</v>
      </c>
      <c r="B1077" s="38" t="s">
        <v>686</v>
      </c>
      <c r="C1077" s="38" t="s">
        <v>172</v>
      </c>
      <c r="D1077" s="38" t="s">
        <v>171</v>
      </c>
      <c r="E1077" s="38" t="str">
        <f aca="false">A1077&amp;"|"&amp;C1077&amp;"|"&amp;D1077</f>
        <v>68|A|U</v>
      </c>
      <c r="F1077" s="43" t="n">
        <v>1</v>
      </c>
      <c r="G1077" s="38" t="n">
        <f aca="false">SUMIFS($F$2:$F$1137,$A$2:$A$1137,A1077,$C$2:$C$1137,C1077)</f>
        <v>15</v>
      </c>
      <c r="H1077" s="43" t="n">
        <v>1</v>
      </c>
      <c r="I1077" s="45" t="n">
        <f aca="false">IF(G1077=0,"",F1077/G1077)</f>
        <v>0.0666666666666667</v>
      </c>
      <c r="J1077" s="45" t="n">
        <f aca="false">K1077/L1077</f>
        <v>0.105263157894737</v>
      </c>
      <c r="K1077" s="38" t="n">
        <f aca="false">F1077+H1077</f>
        <v>2</v>
      </c>
      <c r="L1077" s="38" t="n">
        <f aca="false">G1077+4*H1077</f>
        <v>19</v>
      </c>
      <c r="M1077" s="38" t="s">
        <v>619</v>
      </c>
      <c r="N1077" s="38" t="n">
        <f aca="false">ROUND(SUMIFS($J$2:$J$1137,$A$2:$A$1137,A1077,$C$2:$C$1137,C1077),9)</f>
        <v>1</v>
      </c>
    </row>
    <row r="1078" customFormat="false" ht="15" hidden="false" customHeight="true" outlineLevel="0" collapsed="false">
      <c r="A1078" s="38" t="n">
        <v>68</v>
      </c>
      <c r="B1078" s="38" t="s">
        <v>686</v>
      </c>
      <c r="C1078" s="38" t="s">
        <v>170</v>
      </c>
      <c r="D1078" s="38" t="s">
        <v>172</v>
      </c>
      <c r="E1078" s="38" t="str">
        <f aca="false">A1078&amp;"|"&amp;C1078&amp;"|"&amp;D1078</f>
        <v>68|C|A</v>
      </c>
      <c r="F1078" s="43" t="n">
        <v>4</v>
      </c>
      <c r="G1078" s="38" t="n">
        <f aca="false">SUMIFS($F$2:$F$1137,$A$2:$A$1137,A1078,$C$2:$C$1137,C1078)</f>
        <v>62</v>
      </c>
      <c r="H1078" s="43" t="n">
        <v>1</v>
      </c>
      <c r="I1078" s="45" t="n">
        <f aca="false">IF(G1078=0,"",F1078/G1078)</f>
        <v>0.0645161290322581</v>
      </c>
      <c r="J1078" s="45" t="n">
        <f aca="false">K1078/L1078</f>
        <v>0.0757575757575758</v>
      </c>
      <c r="K1078" s="38" t="n">
        <f aca="false">F1078+H1078</f>
        <v>5</v>
      </c>
      <c r="L1078" s="38" t="n">
        <f aca="false">G1078+4*H1078</f>
        <v>66</v>
      </c>
      <c r="M1078" s="38" t="s">
        <v>619</v>
      </c>
      <c r="N1078" s="38" t="n">
        <f aca="false">ROUND(SUMIFS($J$2:$J$1137,$A$2:$A$1137,A1078,$C$2:$C$1137,C1078),9)</f>
        <v>1</v>
      </c>
    </row>
    <row r="1079" customFormat="false" ht="15" hidden="false" customHeight="true" outlineLevel="0" collapsed="false">
      <c r="A1079" s="38" t="n">
        <v>68</v>
      </c>
      <c r="B1079" s="38" t="s">
        <v>686</v>
      </c>
      <c r="C1079" s="38" t="s">
        <v>170</v>
      </c>
      <c r="D1079" s="38" t="s">
        <v>170</v>
      </c>
      <c r="E1079" s="38" t="str">
        <f aca="false">A1079&amp;"|"&amp;C1079&amp;"|"&amp;D1079</f>
        <v>68|C|C</v>
      </c>
      <c r="F1079" s="43" t="n">
        <v>42</v>
      </c>
      <c r="G1079" s="38" t="n">
        <f aca="false">SUMIFS($F$2:$F$1137,$A$2:$A$1137,A1079,$C$2:$C$1137,C1079)</f>
        <v>62</v>
      </c>
      <c r="H1079" s="43" t="n">
        <v>1</v>
      </c>
      <c r="I1079" s="45" t="n">
        <f aca="false">IF(G1079=0,"",F1079/G1079)</f>
        <v>0.67741935483871</v>
      </c>
      <c r="J1079" s="45" t="n">
        <f aca="false">K1079/L1079</f>
        <v>0.651515151515152</v>
      </c>
      <c r="K1079" s="38" t="n">
        <f aca="false">F1079+H1079</f>
        <v>43</v>
      </c>
      <c r="L1079" s="38" t="n">
        <f aca="false">G1079+4*H1079</f>
        <v>66</v>
      </c>
      <c r="M1079" s="38" t="s">
        <v>619</v>
      </c>
      <c r="N1079" s="38" t="n">
        <f aca="false">ROUND(SUMIFS($J$2:$J$1137,$A$2:$A$1137,A1079,$C$2:$C$1137,C1079),9)</f>
        <v>1</v>
      </c>
    </row>
    <row r="1080" customFormat="false" ht="15" hidden="false" customHeight="true" outlineLevel="0" collapsed="false">
      <c r="A1080" s="38" t="n">
        <v>68</v>
      </c>
      <c r="B1080" s="38" t="s">
        <v>686</v>
      </c>
      <c r="C1080" s="38" t="s">
        <v>170</v>
      </c>
      <c r="D1080" s="38" t="s">
        <v>169</v>
      </c>
      <c r="E1080" s="38" t="str">
        <f aca="false">A1080&amp;"|"&amp;C1080&amp;"|"&amp;D1080</f>
        <v>68|C|G</v>
      </c>
      <c r="F1080" s="43" t="n">
        <v>9</v>
      </c>
      <c r="G1080" s="38" t="n">
        <f aca="false">SUMIFS($F$2:$F$1137,$A$2:$A$1137,A1080,$C$2:$C$1137,C1080)</f>
        <v>62</v>
      </c>
      <c r="H1080" s="43" t="n">
        <v>1</v>
      </c>
      <c r="I1080" s="45" t="n">
        <f aca="false">IF(G1080=0,"",F1080/G1080)</f>
        <v>0.145161290322581</v>
      </c>
      <c r="J1080" s="45" t="n">
        <f aca="false">K1080/L1080</f>
        <v>0.151515151515152</v>
      </c>
      <c r="K1080" s="38" t="n">
        <f aca="false">F1080+H1080</f>
        <v>10</v>
      </c>
      <c r="L1080" s="38" t="n">
        <f aca="false">G1080+4*H1080</f>
        <v>66</v>
      </c>
      <c r="M1080" s="38" t="s">
        <v>619</v>
      </c>
      <c r="N1080" s="38" t="n">
        <f aca="false">ROUND(SUMIFS($J$2:$J$1137,$A$2:$A$1137,A1080,$C$2:$C$1137,C1080),9)</f>
        <v>1</v>
      </c>
    </row>
    <row r="1081" customFormat="false" ht="15" hidden="false" customHeight="true" outlineLevel="0" collapsed="false">
      <c r="A1081" s="38" t="n">
        <v>68</v>
      </c>
      <c r="B1081" s="38" t="s">
        <v>686</v>
      </c>
      <c r="C1081" s="38" t="s">
        <v>170</v>
      </c>
      <c r="D1081" s="38" t="s">
        <v>171</v>
      </c>
      <c r="E1081" s="38" t="str">
        <f aca="false">A1081&amp;"|"&amp;C1081&amp;"|"&amp;D1081</f>
        <v>68|C|U</v>
      </c>
      <c r="F1081" s="43" t="n">
        <v>7</v>
      </c>
      <c r="G1081" s="38" t="n">
        <f aca="false">SUMIFS($F$2:$F$1137,$A$2:$A$1137,A1081,$C$2:$C$1137,C1081)</f>
        <v>62</v>
      </c>
      <c r="H1081" s="43" t="n">
        <v>1</v>
      </c>
      <c r="I1081" s="45" t="n">
        <f aca="false">IF(G1081=0,"",F1081/G1081)</f>
        <v>0.112903225806452</v>
      </c>
      <c r="J1081" s="45" t="n">
        <f aca="false">K1081/L1081</f>
        <v>0.121212121212121</v>
      </c>
      <c r="K1081" s="38" t="n">
        <f aca="false">F1081+H1081</f>
        <v>8</v>
      </c>
      <c r="L1081" s="38" t="n">
        <f aca="false">G1081+4*H1081</f>
        <v>66</v>
      </c>
      <c r="M1081" s="38" t="s">
        <v>619</v>
      </c>
      <c r="N1081" s="38" t="n">
        <f aca="false">ROUND(SUMIFS($J$2:$J$1137,$A$2:$A$1137,A1081,$C$2:$C$1137,C1081),9)</f>
        <v>1</v>
      </c>
    </row>
    <row r="1082" customFormat="false" ht="15" hidden="false" customHeight="true" outlineLevel="0" collapsed="false">
      <c r="A1082" s="38" t="n">
        <v>68</v>
      </c>
      <c r="B1082" s="38" t="s">
        <v>686</v>
      </c>
      <c r="C1082" s="38" t="s">
        <v>169</v>
      </c>
      <c r="D1082" s="38" t="s">
        <v>172</v>
      </c>
      <c r="E1082" s="38" t="str">
        <f aca="false">A1082&amp;"|"&amp;C1082&amp;"|"&amp;D1082</f>
        <v>68|G|A</v>
      </c>
      <c r="F1082" s="43" t="n">
        <v>13</v>
      </c>
      <c r="G1082" s="38" t="n">
        <f aca="false">SUMIFS($F$2:$F$1137,$A$2:$A$1137,A1082,$C$2:$C$1137,C1082)</f>
        <v>87</v>
      </c>
      <c r="H1082" s="43" t="n">
        <v>1</v>
      </c>
      <c r="I1082" s="45" t="n">
        <f aca="false">IF(G1082=0,"",F1082/G1082)</f>
        <v>0.149425287356322</v>
      </c>
      <c r="J1082" s="45" t="n">
        <f aca="false">K1082/L1082</f>
        <v>0.153846153846154</v>
      </c>
      <c r="K1082" s="38" t="n">
        <f aca="false">F1082+H1082</f>
        <v>14</v>
      </c>
      <c r="L1082" s="38" t="n">
        <f aca="false">G1082+4*H1082</f>
        <v>91</v>
      </c>
      <c r="M1082" s="38" t="s">
        <v>619</v>
      </c>
      <c r="N1082" s="38" t="n">
        <f aca="false">ROUND(SUMIFS($J$2:$J$1137,$A$2:$A$1137,A1082,$C$2:$C$1137,C1082),9)</f>
        <v>1</v>
      </c>
    </row>
    <row r="1083" customFormat="false" ht="15" hidden="false" customHeight="true" outlineLevel="0" collapsed="false">
      <c r="A1083" s="38" t="n">
        <v>68</v>
      </c>
      <c r="B1083" s="38" t="s">
        <v>686</v>
      </c>
      <c r="C1083" s="38" t="s">
        <v>169</v>
      </c>
      <c r="D1083" s="38" t="s">
        <v>170</v>
      </c>
      <c r="E1083" s="38" t="str">
        <f aca="false">A1083&amp;"|"&amp;C1083&amp;"|"&amp;D1083</f>
        <v>68|G|C</v>
      </c>
      <c r="F1083" s="43" t="n">
        <v>22</v>
      </c>
      <c r="G1083" s="38" t="n">
        <f aca="false">SUMIFS($F$2:$F$1137,$A$2:$A$1137,A1083,$C$2:$C$1137,C1083)</f>
        <v>87</v>
      </c>
      <c r="H1083" s="43" t="n">
        <v>1</v>
      </c>
      <c r="I1083" s="45" t="n">
        <f aca="false">IF(G1083=0,"",F1083/G1083)</f>
        <v>0.252873563218391</v>
      </c>
      <c r="J1083" s="45" t="n">
        <f aca="false">K1083/L1083</f>
        <v>0.252747252747253</v>
      </c>
      <c r="K1083" s="38" t="n">
        <f aca="false">F1083+H1083</f>
        <v>23</v>
      </c>
      <c r="L1083" s="38" t="n">
        <f aca="false">G1083+4*H1083</f>
        <v>91</v>
      </c>
      <c r="M1083" s="38" t="s">
        <v>619</v>
      </c>
      <c r="N1083" s="38" t="n">
        <f aca="false">ROUND(SUMIFS($J$2:$J$1137,$A$2:$A$1137,A1083,$C$2:$C$1137,C1083),9)</f>
        <v>1</v>
      </c>
    </row>
    <row r="1084" customFormat="false" ht="15" hidden="false" customHeight="true" outlineLevel="0" collapsed="false">
      <c r="A1084" s="38" t="n">
        <v>68</v>
      </c>
      <c r="B1084" s="38" t="s">
        <v>686</v>
      </c>
      <c r="C1084" s="38" t="s">
        <v>169</v>
      </c>
      <c r="D1084" s="38" t="s">
        <v>169</v>
      </c>
      <c r="E1084" s="38" t="str">
        <f aca="false">A1084&amp;"|"&amp;C1084&amp;"|"&amp;D1084</f>
        <v>68|G|G</v>
      </c>
      <c r="F1084" s="43" t="n">
        <v>49</v>
      </c>
      <c r="G1084" s="38" t="n">
        <f aca="false">SUMIFS($F$2:$F$1137,$A$2:$A$1137,A1084,$C$2:$C$1137,C1084)</f>
        <v>87</v>
      </c>
      <c r="H1084" s="43" t="n">
        <v>1</v>
      </c>
      <c r="I1084" s="45" t="n">
        <f aca="false">IF(G1084=0,"",F1084/G1084)</f>
        <v>0.563218390804598</v>
      </c>
      <c r="J1084" s="45" t="n">
        <f aca="false">K1084/L1084</f>
        <v>0.54945054945055</v>
      </c>
      <c r="K1084" s="38" t="n">
        <f aca="false">F1084+H1084</f>
        <v>50</v>
      </c>
      <c r="L1084" s="38" t="n">
        <f aca="false">G1084+4*H1084</f>
        <v>91</v>
      </c>
      <c r="M1084" s="38" t="s">
        <v>619</v>
      </c>
      <c r="N1084" s="38" t="n">
        <f aca="false">ROUND(SUMIFS($J$2:$J$1137,$A$2:$A$1137,A1084,$C$2:$C$1137,C1084),9)</f>
        <v>1</v>
      </c>
    </row>
    <row r="1085" customFormat="false" ht="15" hidden="false" customHeight="true" outlineLevel="0" collapsed="false">
      <c r="A1085" s="38" t="n">
        <v>68</v>
      </c>
      <c r="B1085" s="38" t="s">
        <v>686</v>
      </c>
      <c r="C1085" s="38" t="s">
        <v>169</v>
      </c>
      <c r="D1085" s="38" t="s">
        <v>171</v>
      </c>
      <c r="E1085" s="38" t="str">
        <f aca="false">A1085&amp;"|"&amp;C1085&amp;"|"&amp;D1085</f>
        <v>68|G|U</v>
      </c>
      <c r="F1085" s="43" t="n">
        <v>3</v>
      </c>
      <c r="G1085" s="38" t="n">
        <f aca="false">SUMIFS($F$2:$F$1137,$A$2:$A$1137,A1085,$C$2:$C$1137,C1085)</f>
        <v>87</v>
      </c>
      <c r="H1085" s="43" t="n">
        <v>1</v>
      </c>
      <c r="I1085" s="45" t="n">
        <f aca="false">IF(G1085=0,"",F1085/G1085)</f>
        <v>0.0344827586206897</v>
      </c>
      <c r="J1085" s="45" t="n">
        <f aca="false">K1085/L1085</f>
        <v>0.043956043956044</v>
      </c>
      <c r="K1085" s="38" t="n">
        <f aca="false">F1085+H1085</f>
        <v>4</v>
      </c>
      <c r="L1085" s="38" t="n">
        <f aca="false">G1085+4*H1085</f>
        <v>91</v>
      </c>
      <c r="M1085" s="38" t="s">
        <v>619</v>
      </c>
      <c r="N1085" s="38" t="n">
        <f aca="false">ROUND(SUMIFS($J$2:$J$1137,$A$2:$A$1137,A1085,$C$2:$C$1137,C1085),9)</f>
        <v>1</v>
      </c>
    </row>
    <row r="1086" customFormat="false" ht="15" hidden="false" customHeight="true" outlineLevel="0" collapsed="false">
      <c r="A1086" s="38" t="n">
        <v>68</v>
      </c>
      <c r="B1086" s="38" t="s">
        <v>686</v>
      </c>
      <c r="C1086" s="38" t="s">
        <v>171</v>
      </c>
      <c r="D1086" s="38" t="s">
        <v>172</v>
      </c>
      <c r="E1086" s="38" t="str">
        <f aca="false">A1086&amp;"|"&amp;C1086&amp;"|"&amp;D1086</f>
        <v>68|U|A</v>
      </c>
      <c r="F1086" s="43" t="n">
        <v>4</v>
      </c>
      <c r="G1086" s="38" t="n">
        <f aca="false">SUMIFS($F$2:$F$1137,$A$2:$A$1137,A1086,$C$2:$C$1137,C1086)</f>
        <v>35</v>
      </c>
      <c r="H1086" s="43" t="n">
        <v>1</v>
      </c>
      <c r="I1086" s="45" t="n">
        <f aca="false">IF(G1086=0,"",F1086/G1086)</f>
        <v>0.114285714285714</v>
      </c>
      <c r="J1086" s="45" t="n">
        <f aca="false">K1086/L1086</f>
        <v>0.128205128205128</v>
      </c>
      <c r="K1086" s="38" t="n">
        <f aca="false">F1086+H1086</f>
        <v>5</v>
      </c>
      <c r="L1086" s="38" t="n">
        <f aca="false">G1086+4*H1086</f>
        <v>39</v>
      </c>
      <c r="M1086" s="38" t="s">
        <v>619</v>
      </c>
      <c r="N1086" s="38" t="n">
        <f aca="false">ROUND(SUMIFS($J$2:$J$1137,$A$2:$A$1137,A1086,$C$2:$C$1137,C1086),9)</f>
        <v>1</v>
      </c>
    </row>
    <row r="1087" customFormat="false" ht="15" hidden="false" customHeight="true" outlineLevel="0" collapsed="false">
      <c r="A1087" s="38" t="n">
        <v>68</v>
      </c>
      <c r="B1087" s="38" t="s">
        <v>686</v>
      </c>
      <c r="C1087" s="38" t="s">
        <v>171</v>
      </c>
      <c r="D1087" s="38" t="s">
        <v>170</v>
      </c>
      <c r="E1087" s="38" t="str">
        <f aca="false">A1087&amp;"|"&amp;C1087&amp;"|"&amp;D1087</f>
        <v>68|U|C</v>
      </c>
      <c r="F1087" s="43" t="n">
        <v>20</v>
      </c>
      <c r="G1087" s="38" t="n">
        <f aca="false">SUMIFS($F$2:$F$1137,$A$2:$A$1137,A1087,$C$2:$C$1137,C1087)</f>
        <v>35</v>
      </c>
      <c r="H1087" s="43" t="n">
        <v>1</v>
      </c>
      <c r="I1087" s="45" t="n">
        <f aca="false">IF(G1087=0,"",F1087/G1087)</f>
        <v>0.571428571428571</v>
      </c>
      <c r="J1087" s="45" t="n">
        <f aca="false">K1087/L1087</f>
        <v>0.538461538461538</v>
      </c>
      <c r="K1087" s="38" t="n">
        <f aca="false">F1087+H1087</f>
        <v>21</v>
      </c>
      <c r="L1087" s="38" t="n">
        <f aca="false">G1087+4*H1087</f>
        <v>39</v>
      </c>
      <c r="M1087" s="38" t="s">
        <v>619</v>
      </c>
      <c r="N1087" s="38" t="n">
        <f aca="false">ROUND(SUMIFS($J$2:$J$1137,$A$2:$A$1137,A1087,$C$2:$C$1137,C1087),9)</f>
        <v>1</v>
      </c>
    </row>
    <row r="1088" customFormat="false" ht="15" hidden="false" customHeight="true" outlineLevel="0" collapsed="false">
      <c r="A1088" s="38" t="n">
        <v>68</v>
      </c>
      <c r="B1088" s="38" t="s">
        <v>686</v>
      </c>
      <c r="C1088" s="38" t="s">
        <v>171</v>
      </c>
      <c r="D1088" s="38" t="s">
        <v>169</v>
      </c>
      <c r="E1088" s="38" t="str">
        <f aca="false">A1088&amp;"|"&amp;C1088&amp;"|"&amp;D1088</f>
        <v>68|U|G</v>
      </c>
      <c r="F1088" s="43" t="n">
        <v>6</v>
      </c>
      <c r="G1088" s="38" t="n">
        <f aca="false">SUMIFS($F$2:$F$1137,$A$2:$A$1137,A1088,$C$2:$C$1137,C1088)</f>
        <v>35</v>
      </c>
      <c r="H1088" s="43" t="n">
        <v>1</v>
      </c>
      <c r="I1088" s="45" t="n">
        <f aca="false">IF(G1088=0,"",F1088/G1088)</f>
        <v>0.171428571428571</v>
      </c>
      <c r="J1088" s="45" t="n">
        <f aca="false">K1088/L1088</f>
        <v>0.17948717948718</v>
      </c>
      <c r="K1088" s="38" t="n">
        <f aca="false">F1088+H1088</f>
        <v>7</v>
      </c>
      <c r="L1088" s="38" t="n">
        <f aca="false">G1088+4*H1088</f>
        <v>39</v>
      </c>
      <c r="M1088" s="38" t="s">
        <v>619</v>
      </c>
      <c r="N1088" s="38" t="n">
        <f aca="false">ROUND(SUMIFS($J$2:$J$1137,$A$2:$A$1137,A1088,$C$2:$C$1137,C1088),9)</f>
        <v>1</v>
      </c>
    </row>
    <row r="1089" customFormat="false" ht="15" hidden="false" customHeight="true" outlineLevel="0" collapsed="false">
      <c r="A1089" s="38" t="n">
        <v>68</v>
      </c>
      <c r="B1089" s="38" t="s">
        <v>686</v>
      </c>
      <c r="C1089" s="38" t="s">
        <v>171</v>
      </c>
      <c r="D1089" s="38" t="s">
        <v>171</v>
      </c>
      <c r="E1089" s="38" t="str">
        <f aca="false">A1089&amp;"|"&amp;C1089&amp;"|"&amp;D1089</f>
        <v>68|U|U</v>
      </c>
      <c r="F1089" s="43" t="n">
        <v>5</v>
      </c>
      <c r="G1089" s="38" t="n">
        <f aca="false">SUMIFS($F$2:$F$1137,$A$2:$A$1137,A1089,$C$2:$C$1137,C1089)</f>
        <v>35</v>
      </c>
      <c r="H1089" s="43" t="n">
        <v>1</v>
      </c>
      <c r="I1089" s="45" t="n">
        <f aca="false">IF(G1089=0,"",F1089/G1089)</f>
        <v>0.142857142857143</v>
      </c>
      <c r="J1089" s="45" t="n">
        <f aca="false">K1089/L1089</f>
        <v>0.153846153846154</v>
      </c>
      <c r="K1089" s="38" t="n">
        <f aca="false">F1089+H1089</f>
        <v>6</v>
      </c>
      <c r="L1089" s="38" t="n">
        <f aca="false">G1089+4*H1089</f>
        <v>39</v>
      </c>
      <c r="M1089" s="38" t="s">
        <v>619</v>
      </c>
      <c r="N1089" s="38" t="n">
        <f aca="false">ROUND(SUMIFS($J$2:$J$1137,$A$2:$A$1137,A1089,$C$2:$C$1137,C1089),9)</f>
        <v>1</v>
      </c>
    </row>
    <row r="1090" customFormat="false" ht="15" hidden="false" customHeight="true" outlineLevel="0" collapsed="false">
      <c r="A1090" s="38" t="n">
        <v>69</v>
      </c>
      <c r="B1090" s="38" t="s">
        <v>687</v>
      </c>
      <c r="C1090" s="38" t="s">
        <v>172</v>
      </c>
      <c r="D1090" s="38" t="s">
        <v>172</v>
      </c>
      <c r="E1090" s="38" t="str">
        <f aca="false">A1090&amp;"|"&amp;C1090&amp;"|"&amp;D1090</f>
        <v>69|A|A</v>
      </c>
      <c r="F1090" s="43" t="n">
        <v>5</v>
      </c>
      <c r="G1090" s="38" t="n">
        <f aca="false">SUMIFS($F$2:$F$1137,$A$2:$A$1137,A1090,$C$2:$C$1137,C1090)</f>
        <v>25</v>
      </c>
      <c r="H1090" s="43" t="n">
        <v>1</v>
      </c>
      <c r="I1090" s="45" t="n">
        <f aca="false">IF(G1090=0,"",F1090/G1090)</f>
        <v>0.2</v>
      </c>
      <c r="J1090" s="45" t="n">
        <f aca="false">K1090/L1090</f>
        <v>0.206896551724138</v>
      </c>
      <c r="K1090" s="38" t="n">
        <f aca="false">F1090+H1090</f>
        <v>6</v>
      </c>
      <c r="L1090" s="38" t="n">
        <f aca="false">G1090+4*H1090</f>
        <v>29</v>
      </c>
      <c r="M1090" s="38" t="s">
        <v>619</v>
      </c>
      <c r="N1090" s="38" t="n">
        <f aca="false">ROUND(SUMIFS($J$2:$J$1137,$A$2:$A$1137,A1090,$C$2:$C$1137,C1090),9)</f>
        <v>1</v>
      </c>
    </row>
    <row r="1091" customFormat="false" ht="15" hidden="false" customHeight="true" outlineLevel="0" collapsed="false">
      <c r="A1091" s="38" t="n">
        <v>69</v>
      </c>
      <c r="B1091" s="38" t="s">
        <v>687</v>
      </c>
      <c r="C1091" s="38" t="s">
        <v>172</v>
      </c>
      <c r="D1091" s="38" t="s">
        <v>170</v>
      </c>
      <c r="E1091" s="38" t="str">
        <f aca="false">A1091&amp;"|"&amp;C1091&amp;"|"&amp;D1091</f>
        <v>69|A|C</v>
      </c>
      <c r="F1091" s="43" t="n">
        <v>10</v>
      </c>
      <c r="G1091" s="38" t="n">
        <f aca="false">SUMIFS($F$2:$F$1137,$A$2:$A$1137,A1091,$C$2:$C$1137,C1091)</f>
        <v>25</v>
      </c>
      <c r="H1091" s="43" t="n">
        <v>1</v>
      </c>
      <c r="I1091" s="45" t="n">
        <f aca="false">IF(G1091=0,"",F1091/G1091)</f>
        <v>0.4</v>
      </c>
      <c r="J1091" s="45" t="n">
        <f aca="false">K1091/L1091</f>
        <v>0.379310344827586</v>
      </c>
      <c r="K1091" s="38" t="n">
        <f aca="false">F1091+H1091</f>
        <v>11</v>
      </c>
      <c r="L1091" s="38" t="n">
        <f aca="false">G1091+4*H1091</f>
        <v>29</v>
      </c>
      <c r="M1091" s="38" t="s">
        <v>619</v>
      </c>
      <c r="N1091" s="38" t="n">
        <f aca="false">ROUND(SUMIFS($J$2:$J$1137,$A$2:$A$1137,A1091,$C$2:$C$1137,C1091),9)</f>
        <v>1</v>
      </c>
    </row>
    <row r="1092" customFormat="false" ht="15" hidden="false" customHeight="true" outlineLevel="0" collapsed="false">
      <c r="A1092" s="38" t="n">
        <v>69</v>
      </c>
      <c r="B1092" s="38" t="s">
        <v>687</v>
      </c>
      <c r="C1092" s="38" t="s">
        <v>172</v>
      </c>
      <c r="D1092" s="38" t="s">
        <v>169</v>
      </c>
      <c r="E1092" s="38" t="str">
        <f aca="false">A1092&amp;"|"&amp;C1092&amp;"|"&amp;D1092</f>
        <v>69|A|G</v>
      </c>
      <c r="F1092" s="43" t="n">
        <v>10</v>
      </c>
      <c r="G1092" s="38" t="n">
        <f aca="false">SUMIFS($F$2:$F$1137,$A$2:$A$1137,A1092,$C$2:$C$1137,C1092)</f>
        <v>25</v>
      </c>
      <c r="H1092" s="43" t="n">
        <v>1</v>
      </c>
      <c r="I1092" s="45" t="n">
        <f aca="false">IF(G1092=0,"",F1092/G1092)</f>
        <v>0.4</v>
      </c>
      <c r="J1092" s="45" t="n">
        <f aca="false">K1092/L1092</f>
        <v>0.379310344827586</v>
      </c>
      <c r="K1092" s="38" t="n">
        <f aca="false">F1092+H1092</f>
        <v>11</v>
      </c>
      <c r="L1092" s="38" t="n">
        <f aca="false">G1092+4*H1092</f>
        <v>29</v>
      </c>
      <c r="M1092" s="38" t="s">
        <v>619</v>
      </c>
      <c r="N1092" s="38" t="n">
        <f aca="false">ROUND(SUMIFS($J$2:$J$1137,$A$2:$A$1137,A1092,$C$2:$C$1137,C1092),9)</f>
        <v>1</v>
      </c>
    </row>
    <row r="1093" customFormat="false" ht="15" hidden="false" customHeight="true" outlineLevel="0" collapsed="false">
      <c r="A1093" s="38" t="n">
        <v>69</v>
      </c>
      <c r="B1093" s="38" t="s">
        <v>687</v>
      </c>
      <c r="C1093" s="38" t="s">
        <v>172</v>
      </c>
      <c r="D1093" s="38" t="s">
        <v>171</v>
      </c>
      <c r="E1093" s="38" t="str">
        <f aca="false">A1093&amp;"|"&amp;C1093&amp;"|"&amp;D1093</f>
        <v>69|A|U</v>
      </c>
      <c r="F1093" s="43" t="n">
        <v>0</v>
      </c>
      <c r="G1093" s="38" t="n">
        <f aca="false">SUMIFS($F$2:$F$1137,$A$2:$A$1137,A1093,$C$2:$C$1137,C1093)</f>
        <v>25</v>
      </c>
      <c r="H1093" s="43" t="n">
        <v>1</v>
      </c>
      <c r="I1093" s="45" t="n">
        <f aca="false">IF(G1093=0,"",F1093/G1093)</f>
        <v>0</v>
      </c>
      <c r="J1093" s="45" t="n">
        <f aca="false">K1093/L1093</f>
        <v>0.0344827586206897</v>
      </c>
      <c r="K1093" s="38" t="n">
        <f aca="false">F1093+H1093</f>
        <v>1</v>
      </c>
      <c r="L1093" s="38" t="n">
        <f aca="false">G1093+4*H1093</f>
        <v>29</v>
      </c>
      <c r="M1093" s="38" t="s">
        <v>619</v>
      </c>
      <c r="N1093" s="38" t="n">
        <f aca="false">ROUND(SUMIFS($J$2:$J$1137,$A$2:$A$1137,A1093,$C$2:$C$1137,C1093),9)</f>
        <v>1</v>
      </c>
    </row>
    <row r="1094" customFormat="false" ht="15" hidden="false" customHeight="true" outlineLevel="0" collapsed="false">
      <c r="A1094" s="38" t="n">
        <v>69</v>
      </c>
      <c r="B1094" s="38" t="s">
        <v>687</v>
      </c>
      <c r="C1094" s="38" t="s">
        <v>170</v>
      </c>
      <c r="D1094" s="38" t="s">
        <v>172</v>
      </c>
      <c r="E1094" s="38" t="str">
        <f aca="false">A1094&amp;"|"&amp;C1094&amp;"|"&amp;D1094</f>
        <v>69|C|A</v>
      </c>
      <c r="F1094" s="43" t="n">
        <v>9</v>
      </c>
      <c r="G1094" s="38" t="n">
        <f aca="false">SUMIFS($F$2:$F$1137,$A$2:$A$1137,A1094,$C$2:$C$1137,C1094)</f>
        <v>88</v>
      </c>
      <c r="H1094" s="43" t="n">
        <v>1</v>
      </c>
      <c r="I1094" s="45" t="n">
        <f aca="false">IF(G1094=0,"",F1094/G1094)</f>
        <v>0.102272727272727</v>
      </c>
      <c r="J1094" s="45" t="n">
        <f aca="false">K1094/L1094</f>
        <v>0.108695652173913</v>
      </c>
      <c r="K1094" s="38" t="n">
        <f aca="false">F1094+H1094</f>
        <v>10</v>
      </c>
      <c r="L1094" s="38" t="n">
        <f aca="false">G1094+4*H1094</f>
        <v>92</v>
      </c>
      <c r="M1094" s="38" t="s">
        <v>619</v>
      </c>
      <c r="N1094" s="38" t="n">
        <f aca="false">ROUND(SUMIFS($J$2:$J$1137,$A$2:$A$1137,A1094,$C$2:$C$1137,C1094),9)</f>
        <v>1</v>
      </c>
    </row>
    <row r="1095" customFormat="false" ht="15" hidden="false" customHeight="true" outlineLevel="0" collapsed="false">
      <c r="A1095" s="38" t="n">
        <v>69</v>
      </c>
      <c r="B1095" s="38" t="s">
        <v>687</v>
      </c>
      <c r="C1095" s="38" t="s">
        <v>170</v>
      </c>
      <c r="D1095" s="38" t="s">
        <v>170</v>
      </c>
      <c r="E1095" s="38" t="str">
        <f aca="false">A1095&amp;"|"&amp;C1095&amp;"|"&amp;D1095</f>
        <v>69|C|C</v>
      </c>
      <c r="F1095" s="43" t="n">
        <v>31</v>
      </c>
      <c r="G1095" s="38" t="n">
        <f aca="false">SUMIFS($F$2:$F$1137,$A$2:$A$1137,A1095,$C$2:$C$1137,C1095)</f>
        <v>88</v>
      </c>
      <c r="H1095" s="43" t="n">
        <v>1</v>
      </c>
      <c r="I1095" s="45" t="n">
        <f aca="false">IF(G1095=0,"",F1095/G1095)</f>
        <v>0.352272727272727</v>
      </c>
      <c r="J1095" s="45" t="n">
        <f aca="false">K1095/L1095</f>
        <v>0.347826086956522</v>
      </c>
      <c r="K1095" s="38" t="n">
        <f aca="false">F1095+H1095</f>
        <v>32</v>
      </c>
      <c r="L1095" s="38" t="n">
        <f aca="false">G1095+4*H1095</f>
        <v>92</v>
      </c>
      <c r="M1095" s="38" t="s">
        <v>619</v>
      </c>
      <c r="N1095" s="38" t="n">
        <f aca="false">ROUND(SUMIFS($J$2:$J$1137,$A$2:$A$1137,A1095,$C$2:$C$1137,C1095),9)</f>
        <v>1</v>
      </c>
    </row>
    <row r="1096" customFormat="false" ht="15" hidden="false" customHeight="true" outlineLevel="0" collapsed="false">
      <c r="A1096" s="38" t="n">
        <v>69</v>
      </c>
      <c r="B1096" s="38" t="s">
        <v>687</v>
      </c>
      <c r="C1096" s="38" t="s">
        <v>170</v>
      </c>
      <c r="D1096" s="38" t="s">
        <v>169</v>
      </c>
      <c r="E1096" s="38" t="str">
        <f aca="false">A1096&amp;"|"&amp;C1096&amp;"|"&amp;D1096</f>
        <v>69|C|G</v>
      </c>
      <c r="F1096" s="43" t="n">
        <v>30</v>
      </c>
      <c r="G1096" s="38" t="n">
        <f aca="false">SUMIFS($F$2:$F$1137,$A$2:$A$1137,A1096,$C$2:$C$1137,C1096)</f>
        <v>88</v>
      </c>
      <c r="H1096" s="43" t="n">
        <v>1</v>
      </c>
      <c r="I1096" s="45" t="n">
        <f aca="false">IF(G1096=0,"",F1096/G1096)</f>
        <v>0.340909090909091</v>
      </c>
      <c r="J1096" s="45" t="n">
        <f aca="false">K1096/L1096</f>
        <v>0.33695652173913</v>
      </c>
      <c r="K1096" s="38" t="n">
        <f aca="false">F1096+H1096</f>
        <v>31</v>
      </c>
      <c r="L1096" s="38" t="n">
        <f aca="false">G1096+4*H1096</f>
        <v>92</v>
      </c>
      <c r="M1096" s="38" t="s">
        <v>619</v>
      </c>
      <c r="N1096" s="38" t="n">
        <f aca="false">ROUND(SUMIFS($J$2:$J$1137,$A$2:$A$1137,A1096,$C$2:$C$1137,C1096),9)</f>
        <v>1</v>
      </c>
    </row>
    <row r="1097" customFormat="false" ht="15" hidden="false" customHeight="true" outlineLevel="0" collapsed="false">
      <c r="A1097" s="38" t="n">
        <v>69</v>
      </c>
      <c r="B1097" s="38" t="s">
        <v>687</v>
      </c>
      <c r="C1097" s="38" t="s">
        <v>170</v>
      </c>
      <c r="D1097" s="38" t="s">
        <v>171</v>
      </c>
      <c r="E1097" s="38" t="str">
        <f aca="false">A1097&amp;"|"&amp;C1097&amp;"|"&amp;D1097</f>
        <v>69|C|U</v>
      </c>
      <c r="F1097" s="43" t="n">
        <v>18</v>
      </c>
      <c r="G1097" s="38" t="n">
        <f aca="false">SUMIFS($F$2:$F$1137,$A$2:$A$1137,A1097,$C$2:$C$1137,C1097)</f>
        <v>88</v>
      </c>
      <c r="H1097" s="43" t="n">
        <v>1</v>
      </c>
      <c r="I1097" s="45" t="n">
        <f aca="false">IF(G1097=0,"",F1097/G1097)</f>
        <v>0.204545454545455</v>
      </c>
      <c r="J1097" s="45" t="n">
        <f aca="false">K1097/L1097</f>
        <v>0.206521739130435</v>
      </c>
      <c r="K1097" s="38" t="n">
        <f aca="false">F1097+H1097</f>
        <v>19</v>
      </c>
      <c r="L1097" s="38" t="n">
        <f aca="false">G1097+4*H1097</f>
        <v>92</v>
      </c>
      <c r="M1097" s="38" t="s">
        <v>619</v>
      </c>
      <c r="N1097" s="38" t="n">
        <f aca="false">ROUND(SUMIFS($J$2:$J$1137,$A$2:$A$1137,A1097,$C$2:$C$1137,C1097),9)</f>
        <v>1</v>
      </c>
    </row>
    <row r="1098" customFormat="false" ht="15" hidden="false" customHeight="true" outlineLevel="0" collapsed="false">
      <c r="A1098" s="38" t="n">
        <v>69</v>
      </c>
      <c r="B1098" s="38" t="s">
        <v>687</v>
      </c>
      <c r="C1098" s="38" t="s">
        <v>169</v>
      </c>
      <c r="D1098" s="38" t="s">
        <v>172</v>
      </c>
      <c r="E1098" s="38" t="str">
        <f aca="false">A1098&amp;"|"&amp;C1098&amp;"|"&amp;D1098</f>
        <v>69|G|A</v>
      </c>
      <c r="F1098" s="43" t="n">
        <v>9</v>
      </c>
      <c r="G1098" s="38" t="n">
        <f aca="false">SUMIFS($F$2:$F$1137,$A$2:$A$1137,A1098,$C$2:$C$1137,C1098)</f>
        <v>70</v>
      </c>
      <c r="H1098" s="43" t="n">
        <v>1</v>
      </c>
      <c r="I1098" s="45" t="n">
        <f aca="false">IF(G1098=0,"",F1098/G1098)</f>
        <v>0.128571428571429</v>
      </c>
      <c r="J1098" s="45" t="n">
        <f aca="false">K1098/L1098</f>
        <v>0.135135135135135</v>
      </c>
      <c r="K1098" s="38" t="n">
        <f aca="false">F1098+H1098</f>
        <v>10</v>
      </c>
      <c r="L1098" s="38" t="n">
        <f aca="false">G1098+4*H1098</f>
        <v>74</v>
      </c>
      <c r="M1098" s="38" t="s">
        <v>619</v>
      </c>
      <c r="N1098" s="38" t="n">
        <f aca="false">ROUND(SUMIFS($J$2:$J$1137,$A$2:$A$1137,A1098,$C$2:$C$1137,C1098),9)</f>
        <v>1</v>
      </c>
    </row>
    <row r="1099" customFormat="false" ht="15" hidden="false" customHeight="true" outlineLevel="0" collapsed="false">
      <c r="A1099" s="38" t="n">
        <v>69</v>
      </c>
      <c r="B1099" s="38" t="s">
        <v>687</v>
      </c>
      <c r="C1099" s="38" t="s">
        <v>169</v>
      </c>
      <c r="D1099" s="38" t="s">
        <v>170</v>
      </c>
      <c r="E1099" s="38" t="str">
        <f aca="false">A1099&amp;"|"&amp;C1099&amp;"|"&amp;D1099</f>
        <v>69|G|C</v>
      </c>
      <c r="F1099" s="43" t="n">
        <v>22</v>
      </c>
      <c r="G1099" s="38" t="n">
        <f aca="false">SUMIFS($F$2:$F$1137,$A$2:$A$1137,A1099,$C$2:$C$1137,C1099)</f>
        <v>70</v>
      </c>
      <c r="H1099" s="43" t="n">
        <v>1</v>
      </c>
      <c r="I1099" s="45" t="n">
        <f aca="false">IF(G1099=0,"",F1099/G1099)</f>
        <v>0.314285714285714</v>
      </c>
      <c r="J1099" s="45" t="n">
        <f aca="false">K1099/L1099</f>
        <v>0.310810810810811</v>
      </c>
      <c r="K1099" s="38" t="n">
        <f aca="false">F1099+H1099</f>
        <v>23</v>
      </c>
      <c r="L1099" s="38" t="n">
        <f aca="false">G1099+4*H1099</f>
        <v>74</v>
      </c>
      <c r="M1099" s="38" t="s">
        <v>619</v>
      </c>
      <c r="N1099" s="38" t="n">
        <f aca="false">ROUND(SUMIFS($J$2:$J$1137,$A$2:$A$1137,A1099,$C$2:$C$1137,C1099),9)</f>
        <v>1</v>
      </c>
    </row>
    <row r="1100" customFormat="false" ht="15" hidden="false" customHeight="true" outlineLevel="0" collapsed="false">
      <c r="A1100" s="38" t="n">
        <v>69</v>
      </c>
      <c r="B1100" s="38" t="s">
        <v>687</v>
      </c>
      <c r="C1100" s="38" t="s">
        <v>169</v>
      </c>
      <c r="D1100" s="38" t="s">
        <v>169</v>
      </c>
      <c r="E1100" s="38" t="str">
        <f aca="false">A1100&amp;"|"&amp;C1100&amp;"|"&amp;D1100</f>
        <v>69|G|G</v>
      </c>
      <c r="F1100" s="43" t="n">
        <v>29</v>
      </c>
      <c r="G1100" s="38" t="n">
        <f aca="false">SUMIFS($F$2:$F$1137,$A$2:$A$1137,A1100,$C$2:$C$1137,C1100)</f>
        <v>70</v>
      </c>
      <c r="H1100" s="43" t="n">
        <v>1</v>
      </c>
      <c r="I1100" s="45" t="n">
        <f aca="false">IF(G1100=0,"",F1100/G1100)</f>
        <v>0.414285714285714</v>
      </c>
      <c r="J1100" s="45" t="n">
        <f aca="false">K1100/L1100</f>
        <v>0.405405405405405</v>
      </c>
      <c r="K1100" s="38" t="n">
        <f aca="false">F1100+H1100</f>
        <v>30</v>
      </c>
      <c r="L1100" s="38" t="n">
        <f aca="false">G1100+4*H1100</f>
        <v>74</v>
      </c>
      <c r="M1100" s="38" t="s">
        <v>619</v>
      </c>
      <c r="N1100" s="38" t="n">
        <f aca="false">ROUND(SUMIFS($J$2:$J$1137,$A$2:$A$1137,A1100,$C$2:$C$1137,C1100),9)</f>
        <v>1</v>
      </c>
    </row>
    <row r="1101" customFormat="false" ht="15" hidden="false" customHeight="true" outlineLevel="0" collapsed="false">
      <c r="A1101" s="38" t="n">
        <v>69</v>
      </c>
      <c r="B1101" s="38" t="s">
        <v>687</v>
      </c>
      <c r="C1101" s="38" t="s">
        <v>169</v>
      </c>
      <c r="D1101" s="38" t="s">
        <v>171</v>
      </c>
      <c r="E1101" s="38" t="str">
        <f aca="false">A1101&amp;"|"&amp;C1101&amp;"|"&amp;D1101</f>
        <v>69|G|U</v>
      </c>
      <c r="F1101" s="43" t="n">
        <v>10</v>
      </c>
      <c r="G1101" s="38" t="n">
        <f aca="false">SUMIFS($F$2:$F$1137,$A$2:$A$1137,A1101,$C$2:$C$1137,C1101)</f>
        <v>70</v>
      </c>
      <c r="H1101" s="43" t="n">
        <v>1</v>
      </c>
      <c r="I1101" s="45" t="n">
        <f aca="false">IF(G1101=0,"",F1101/G1101)</f>
        <v>0.142857142857143</v>
      </c>
      <c r="J1101" s="45" t="n">
        <f aca="false">K1101/L1101</f>
        <v>0.148648648648649</v>
      </c>
      <c r="K1101" s="38" t="n">
        <f aca="false">F1101+H1101</f>
        <v>11</v>
      </c>
      <c r="L1101" s="38" t="n">
        <f aca="false">G1101+4*H1101</f>
        <v>74</v>
      </c>
      <c r="M1101" s="38" t="s">
        <v>619</v>
      </c>
      <c r="N1101" s="38" t="n">
        <f aca="false">ROUND(SUMIFS($J$2:$J$1137,$A$2:$A$1137,A1101,$C$2:$C$1137,C1101),9)</f>
        <v>1</v>
      </c>
    </row>
    <row r="1102" customFormat="false" ht="15" hidden="false" customHeight="true" outlineLevel="0" collapsed="false">
      <c r="A1102" s="38" t="n">
        <v>69</v>
      </c>
      <c r="B1102" s="38" t="s">
        <v>687</v>
      </c>
      <c r="C1102" s="38" t="s">
        <v>171</v>
      </c>
      <c r="D1102" s="38" t="s">
        <v>172</v>
      </c>
      <c r="E1102" s="38" t="str">
        <f aca="false">A1102&amp;"|"&amp;C1102&amp;"|"&amp;D1102</f>
        <v>69|U|A</v>
      </c>
      <c r="F1102" s="43" t="n">
        <v>0</v>
      </c>
      <c r="G1102" s="38" t="n">
        <f aca="false">SUMIFS($F$2:$F$1137,$A$2:$A$1137,A1102,$C$2:$C$1137,C1102)</f>
        <v>16</v>
      </c>
      <c r="H1102" s="43" t="n">
        <v>1</v>
      </c>
      <c r="I1102" s="45" t="n">
        <f aca="false">IF(G1102=0,"",F1102/G1102)</f>
        <v>0</v>
      </c>
      <c r="J1102" s="45" t="n">
        <f aca="false">K1102/L1102</f>
        <v>0.05</v>
      </c>
      <c r="K1102" s="38" t="n">
        <f aca="false">F1102+H1102</f>
        <v>1</v>
      </c>
      <c r="L1102" s="38" t="n">
        <f aca="false">G1102+4*H1102</f>
        <v>20</v>
      </c>
      <c r="M1102" s="38" t="s">
        <v>619</v>
      </c>
      <c r="N1102" s="38" t="n">
        <f aca="false">ROUND(SUMIFS($J$2:$J$1137,$A$2:$A$1137,A1102,$C$2:$C$1137,C1102),9)</f>
        <v>1</v>
      </c>
    </row>
    <row r="1103" customFormat="false" ht="15" hidden="false" customHeight="true" outlineLevel="0" collapsed="false">
      <c r="A1103" s="38" t="n">
        <v>69</v>
      </c>
      <c r="B1103" s="38" t="s">
        <v>687</v>
      </c>
      <c r="C1103" s="38" t="s">
        <v>171</v>
      </c>
      <c r="D1103" s="38" t="s">
        <v>170</v>
      </c>
      <c r="E1103" s="38" t="str">
        <f aca="false">A1103&amp;"|"&amp;C1103&amp;"|"&amp;D1103</f>
        <v>69|U|C</v>
      </c>
      <c r="F1103" s="43" t="n">
        <v>8</v>
      </c>
      <c r="G1103" s="38" t="n">
        <f aca="false">SUMIFS($F$2:$F$1137,$A$2:$A$1137,A1103,$C$2:$C$1137,C1103)</f>
        <v>16</v>
      </c>
      <c r="H1103" s="43" t="n">
        <v>1</v>
      </c>
      <c r="I1103" s="45" t="n">
        <f aca="false">IF(G1103=0,"",F1103/G1103)</f>
        <v>0.5</v>
      </c>
      <c r="J1103" s="45" t="n">
        <f aca="false">K1103/L1103</f>
        <v>0.45</v>
      </c>
      <c r="K1103" s="38" t="n">
        <f aca="false">F1103+H1103</f>
        <v>9</v>
      </c>
      <c r="L1103" s="38" t="n">
        <f aca="false">G1103+4*H1103</f>
        <v>20</v>
      </c>
      <c r="M1103" s="38" t="s">
        <v>619</v>
      </c>
      <c r="N1103" s="38" t="n">
        <f aca="false">ROUND(SUMIFS($J$2:$J$1137,$A$2:$A$1137,A1103,$C$2:$C$1137,C1103),9)</f>
        <v>1</v>
      </c>
    </row>
    <row r="1104" customFormat="false" ht="15" hidden="false" customHeight="true" outlineLevel="0" collapsed="false">
      <c r="A1104" s="38" t="n">
        <v>69</v>
      </c>
      <c r="B1104" s="38" t="s">
        <v>687</v>
      </c>
      <c r="C1104" s="38" t="s">
        <v>171</v>
      </c>
      <c r="D1104" s="38" t="s">
        <v>169</v>
      </c>
      <c r="E1104" s="38" t="str">
        <f aca="false">A1104&amp;"|"&amp;C1104&amp;"|"&amp;D1104</f>
        <v>69|U|G</v>
      </c>
      <c r="F1104" s="43" t="n">
        <v>6</v>
      </c>
      <c r="G1104" s="38" t="n">
        <f aca="false">SUMIFS($F$2:$F$1137,$A$2:$A$1137,A1104,$C$2:$C$1137,C1104)</f>
        <v>16</v>
      </c>
      <c r="H1104" s="43" t="n">
        <v>1</v>
      </c>
      <c r="I1104" s="45" t="n">
        <f aca="false">IF(G1104=0,"",F1104/G1104)</f>
        <v>0.375</v>
      </c>
      <c r="J1104" s="45" t="n">
        <f aca="false">K1104/L1104</f>
        <v>0.35</v>
      </c>
      <c r="K1104" s="38" t="n">
        <f aca="false">F1104+H1104</f>
        <v>7</v>
      </c>
      <c r="L1104" s="38" t="n">
        <f aca="false">G1104+4*H1104</f>
        <v>20</v>
      </c>
      <c r="M1104" s="38" t="s">
        <v>619</v>
      </c>
      <c r="N1104" s="38" t="n">
        <f aca="false">ROUND(SUMIFS($J$2:$J$1137,$A$2:$A$1137,A1104,$C$2:$C$1137,C1104),9)</f>
        <v>1</v>
      </c>
    </row>
    <row r="1105" customFormat="false" ht="15" hidden="false" customHeight="true" outlineLevel="0" collapsed="false">
      <c r="A1105" s="38" t="n">
        <v>69</v>
      </c>
      <c r="B1105" s="38" t="s">
        <v>687</v>
      </c>
      <c r="C1105" s="38" t="s">
        <v>171</v>
      </c>
      <c r="D1105" s="38" t="s">
        <v>171</v>
      </c>
      <c r="E1105" s="38" t="str">
        <f aca="false">A1105&amp;"|"&amp;C1105&amp;"|"&amp;D1105</f>
        <v>69|U|U</v>
      </c>
      <c r="F1105" s="43" t="n">
        <v>2</v>
      </c>
      <c r="G1105" s="38" t="n">
        <f aca="false">SUMIFS($F$2:$F$1137,$A$2:$A$1137,A1105,$C$2:$C$1137,C1105)</f>
        <v>16</v>
      </c>
      <c r="H1105" s="43" t="n">
        <v>1</v>
      </c>
      <c r="I1105" s="45" t="n">
        <f aca="false">IF(G1105=0,"",F1105/G1105)</f>
        <v>0.125</v>
      </c>
      <c r="J1105" s="45" t="n">
        <f aca="false">K1105/L1105</f>
        <v>0.15</v>
      </c>
      <c r="K1105" s="38" t="n">
        <f aca="false">F1105+H1105</f>
        <v>3</v>
      </c>
      <c r="L1105" s="38" t="n">
        <f aca="false">G1105+4*H1105</f>
        <v>20</v>
      </c>
      <c r="M1105" s="38" t="s">
        <v>619</v>
      </c>
      <c r="N1105" s="38" t="n">
        <f aca="false">ROUND(SUMIFS($J$2:$J$1137,$A$2:$A$1137,A1105,$C$2:$C$1137,C1105),9)</f>
        <v>1</v>
      </c>
    </row>
    <row r="1106" customFormat="false" ht="15" hidden="false" customHeight="true" outlineLevel="0" collapsed="false">
      <c r="A1106" s="38" t="n">
        <v>70</v>
      </c>
      <c r="B1106" s="38" t="s">
        <v>688</v>
      </c>
      <c r="C1106" s="38" t="s">
        <v>172</v>
      </c>
      <c r="D1106" s="38" t="s">
        <v>172</v>
      </c>
      <c r="E1106" s="38" t="str">
        <f aca="false">A1106&amp;"|"&amp;C1106&amp;"|"&amp;D1106</f>
        <v>70|A|A</v>
      </c>
      <c r="F1106" s="43" t="n">
        <v>1</v>
      </c>
      <c r="G1106" s="38" t="n">
        <f aca="false">SUMIFS($F$2:$F$1137,$A$2:$A$1137,A1106,$C$2:$C$1137,C1106)</f>
        <v>23</v>
      </c>
      <c r="H1106" s="43" t="n">
        <v>1</v>
      </c>
      <c r="I1106" s="45" t="n">
        <f aca="false">IF(G1106=0,"",F1106/G1106)</f>
        <v>0.0434782608695652</v>
      </c>
      <c r="J1106" s="45" t="n">
        <f aca="false">K1106/L1106</f>
        <v>0.0740740740740741</v>
      </c>
      <c r="K1106" s="38" t="n">
        <f aca="false">F1106+H1106</f>
        <v>2</v>
      </c>
      <c r="L1106" s="38" t="n">
        <f aca="false">G1106+4*H1106</f>
        <v>27</v>
      </c>
      <c r="M1106" s="38" t="s">
        <v>619</v>
      </c>
      <c r="N1106" s="38" t="n">
        <f aca="false">ROUND(SUMIFS($J$2:$J$1137,$A$2:$A$1137,A1106,$C$2:$C$1137,C1106),9)</f>
        <v>1</v>
      </c>
    </row>
    <row r="1107" customFormat="false" ht="15" hidden="false" customHeight="true" outlineLevel="0" collapsed="false">
      <c r="A1107" s="38" t="n">
        <v>70</v>
      </c>
      <c r="B1107" s="38" t="s">
        <v>688</v>
      </c>
      <c r="C1107" s="38" t="s">
        <v>172</v>
      </c>
      <c r="D1107" s="38" t="s">
        <v>170</v>
      </c>
      <c r="E1107" s="38" t="str">
        <f aca="false">A1107&amp;"|"&amp;C1107&amp;"|"&amp;D1107</f>
        <v>70|A|C</v>
      </c>
      <c r="F1107" s="43" t="n">
        <v>6</v>
      </c>
      <c r="G1107" s="38" t="n">
        <f aca="false">SUMIFS($F$2:$F$1137,$A$2:$A$1137,A1107,$C$2:$C$1137,C1107)</f>
        <v>23</v>
      </c>
      <c r="H1107" s="43" t="n">
        <v>1</v>
      </c>
      <c r="I1107" s="45" t="n">
        <f aca="false">IF(G1107=0,"",F1107/G1107)</f>
        <v>0.260869565217391</v>
      </c>
      <c r="J1107" s="45" t="n">
        <f aca="false">K1107/L1107</f>
        <v>0.259259259259259</v>
      </c>
      <c r="K1107" s="38" t="n">
        <f aca="false">F1107+H1107</f>
        <v>7</v>
      </c>
      <c r="L1107" s="38" t="n">
        <f aca="false">G1107+4*H1107</f>
        <v>27</v>
      </c>
      <c r="M1107" s="38" t="s">
        <v>619</v>
      </c>
      <c r="N1107" s="38" t="n">
        <f aca="false">ROUND(SUMIFS($J$2:$J$1137,$A$2:$A$1137,A1107,$C$2:$C$1137,C1107),9)</f>
        <v>1</v>
      </c>
    </row>
    <row r="1108" customFormat="false" ht="15" hidden="false" customHeight="true" outlineLevel="0" collapsed="false">
      <c r="A1108" s="38" t="n">
        <v>70</v>
      </c>
      <c r="B1108" s="38" t="s">
        <v>688</v>
      </c>
      <c r="C1108" s="38" t="s">
        <v>172</v>
      </c>
      <c r="D1108" s="38" t="s">
        <v>169</v>
      </c>
      <c r="E1108" s="38" t="str">
        <f aca="false">A1108&amp;"|"&amp;C1108&amp;"|"&amp;D1108</f>
        <v>70|A|G</v>
      </c>
      <c r="F1108" s="43" t="n">
        <v>14</v>
      </c>
      <c r="G1108" s="38" t="n">
        <f aca="false">SUMIFS($F$2:$F$1137,$A$2:$A$1137,A1108,$C$2:$C$1137,C1108)</f>
        <v>23</v>
      </c>
      <c r="H1108" s="43" t="n">
        <v>1</v>
      </c>
      <c r="I1108" s="45" t="n">
        <f aca="false">IF(G1108=0,"",F1108/G1108)</f>
        <v>0.608695652173913</v>
      </c>
      <c r="J1108" s="45" t="n">
        <f aca="false">K1108/L1108</f>
        <v>0.555555555555556</v>
      </c>
      <c r="K1108" s="38" t="n">
        <f aca="false">F1108+H1108</f>
        <v>15</v>
      </c>
      <c r="L1108" s="38" t="n">
        <f aca="false">G1108+4*H1108</f>
        <v>27</v>
      </c>
      <c r="M1108" s="38" t="s">
        <v>619</v>
      </c>
      <c r="N1108" s="38" t="n">
        <f aca="false">ROUND(SUMIFS($J$2:$J$1137,$A$2:$A$1137,A1108,$C$2:$C$1137,C1108),9)</f>
        <v>1</v>
      </c>
    </row>
    <row r="1109" customFormat="false" ht="15" hidden="false" customHeight="true" outlineLevel="0" collapsed="false">
      <c r="A1109" s="38" t="n">
        <v>70</v>
      </c>
      <c r="B1109" s="38" t="s">
        <v>688</v>
      </c>
      <c r="C1109" s="38" t="s">
        <v>172</v>
      </c>
      <c r="D1109" s="38" t="s">
        <v>171</v>
      </c>
      <c r="E1109" s="38" t="str">
        <f aca="false">A1109&amp;"|"&amp;C1109&amp;"|"&amp;D1109</f>
        <v>70|A|U</v>
      </c>
      <c r="F1109" s="43" t="n">
        <v>2</v>
      </c>
      <c r="G1109" s="38" t="n">
        <f aca="false">SUMIFS($F$2:$F$1137,$A$2:$A$1137,A1109,$C$2:$C$1137,C1109)</f>
        <v>23</v>
      </c>
      <c r="H1109" s="43" t="n">
        <v>1</v>
      </c>
      <c r="I1109" s="45" t="n">
        <f aca="false">IF(G1109=0,"",F1109/G1109)</f>
        <v>0.0869565217391304</v>
      </c>
      <c r="J1109" s="45" t="n">
        <f aca="false">K1109/L1109</f>
        <v>0.111111111111111</v>
      </c>
      <c r="K1109" s="38" t="n">
        <f aca="false">F1109+H1109</f>
        <v>3</v>
      </c>
      <c r="L1109" s="38" t="n">
        <f aca="false">G1109+4*H1109</f>
        <v>27</v>
      </c>
      <c r="M1109" s="38" t="s">
        <v>619</v>
      </c>
      <c r="N1109" s="38" t="n">
        <f aca="false">ROUND(SUMIFS($J$2:$J$1137,$A$2:$A$1137,A1109,$C$2:$C$1137,C1109),9)</f>
        <v>1</v>
      </c>
    </row>
    <row r="1110" customFormat="false" ht="15" hidden="false" customHeight="true" outlineLevel="0" collapsed="false">
      <c r="A1110" s="38" t="n">
        <v>70</v>
      </c>
      <c r="B1110" s="38" t="s">
        <v>688</v>
      </c>
      <c r="C1110" s="38" t="s">
        <v>170</v>
      </c>
      <c r="D1110" s="38" t="s">
        <v>172</v>
      </c>
      <c r="E1110" s="38" t="str">
        <f aca="false">A1110&amp;"|"&amp;C1110&amp;"|"&amp;D1110</f>
        <v>70|C|A</v>
      </c>
      <c r="F1110" s="43" t="n">
        <v>1</v>
      </c>
      <c r="G1110" s="38" t="n">
        <f aca="false">SUMIFS($F$2:$F$1137,$A$2:$A$1137,A1110,$C$2:$C$1137,C1110)</f>
        <v>71</v>
      </c>
      <c r="H1110" s="43" t="n">
        <v>1</v>
      </c>
      <c r="I1110" s="45" t="n">
        <f aca="false">IF(G1110=0,"",F1110/G1110)</f>
        <v>0.0140845070422535</v>
      </c>
      <c r="J1110" s="45" t="n">
        <f aca="false">K1110/L1110</f>
        <v>0.0266666666666667</v>
      </c>
      <c r="K1110" s="38" t="n">
        <f aca="false">F1110+H1110</f>
        <v>2</v>
      </c>
      <c r="L1110" s="38" t="n">
        <f aca="false">G1110+4*H1110</f>
        <v>75</v>
      </c>
      <c r="M1110" s="38" t="s">
        <v>619</v>
      </c>
      <c r="N1110" s="38" t="n">
        <f aca="false">ROUND(SUMIFS($J$2:$J$1137,$A$2:$A$1137,A1110,$C$2:$C$1137,C1110),9)</f>
        <v>1</v>
      </c>
    </row>
    <row r="1111" customFormat="false" ht="15" hidden="false" customHeight="true" outlineLevel="0" collapsed="false">
      <c r="A1111" s="38" t="n">
        <v>70</v>
      </c>
      <c r="B1111" s="38" t="s">
        <v>688</v>
      </c>
      <c r="C1111" s="38" t="s">
        <v>170</v>
      </c>
      <c r="D1111" s="38" t="s">
        <v>170</v>
      </c>
      <c r="E1111" s="38" t="str">
        <f aca="false">A1111&amp;"|"&amp;C1111&amp;"|"&amp;D1111</f>
        <v>70|C|C</v>
      </c>
      <c r="F1111" s="43" t="n">
        <v>47</v>
      </c>
      <c r="G1111" s="38" t="n">
        <f aca="false">SUMIFS($F$2:$F$1137,$A$2:$A$1137,A1111,$C$2:$C$1137,C1111)</f>
        <v>71</v>
      </c>
      <c r="H1111" s="43" t="n">
        <v>1</v>
      </c>
      <c r="I1111" s="45" t="n">
        <f aca="false">IF(G1111=0,"",F1111/G1111)</f>
        <v>0.661971830985916</v>
      </c>
      <c r="J1111" s="45" t="n">
        <f aca="false">K1111/L1111</f>
        <v>0.64</v>
      </c>
      <c r="K1111" s="38" t="n">
        <f aca="false">F1111+H1111</f>
        <v>48</v>
      </c>
      <c r="L1111" s="38" t="n">
        <f aca="false">G1111+4*H1111</f>
        <v>75</v>
      </c>
      <c r="M1111" s="38" t="s">
        <v>619</v>
      </c>
      <c r="N1111" s="38" t="n">
        <f aca="false">ROUND(SUMIFS($J$2:$J$1137,$A$2:$A$1137,A1111,$C$2:$C$1137,C1111),9)</f>
        <v>1</v>
      </c>
    </row>
    <row r="1112" customFormat="false" ht="15" hidden="false" customHeight="true" outlineLevel="0" collapsed="false">
      <c r="A1112" s="38" t="n">
        <v>70</v>
      </c>
      <c r="B1112" s="38" t="s">
        <v>688</v>
      </c>
      <c r="C1112" s="38" t="s">
        <v>170</v>
      </c>
      <c r="D1112" s="38" t="s">
        <v>169</v>
      </c>
      <c r="E1112" s="38" t="str">
        <f aca="false">A1112&amp;"|"&amp;C1112&amp;"|"&amp;D1112</f>
        <v>70|C|G</v>
      </c>
      <c r="F1112" s="43" t="n">
        <v>22</v>
      </c>
      <c r="G1112" s="38" t="n">
        <f aca="false">SUMIFS($F$2:$F$1137,$A$2:$A$1137,A1112,$C$2:$C$1137,C1112)</f>
        <v>71</v>
      </c>
      <c r="H1112" s="43" t="n">
        <v>1</v>
      </c>
      <c r="I1112" s="45" t="n">
        <f aca="false">IF(G1112=0,"",F1112/G1112)</f>
        <v>0.309859154929577</v>
      </c>
      <c r="J1112" s="45" t="n">
        <f aca="false">K1112/L1112</f>
        <v>0.306666666666667</v>
      </c>
      <c r="K1112" s="38" t="n">
        <f aca="false">F1112+H1112</f>
        <v>23</v>
      </c>
      <c r="L1112" s="38" t="n">
        <f aca="false">G1112+4*H1112</f>
        <v>75</v>
      </c>
      <c r="M1112" s="38" t="s">
        <v>619</v>
      </c>
      <c r="N1112" s="38" t="n">
        <f aca="false">ROUND(SUMIFS($J$2:$J$1137,$A$2:$A$1137,A1112,$C$2:$C$1137,C1112),9)</f>
        <v>1</v>
      </c>
    </row>
    <row r="1113" customFormat="false" ht="15" hidden="false" customHeight="true" outlineLevel="0" collapsed="false">
      <c r="A1113" s="38" t="n">
        <v>70</v>
      </c>
      <c r="B1113" s="38" t="s">
        <v>688</v>
      </c>
      <c r="C1113" s="38" t="s">
        <v>170</v>
      </c>
      <c r="D1113" s="38" t="s">
        <v>171</v>
      </c>
      <c r="E1113" s="38" t="str">
        <f aca="false">A1113&amp;"|"&amp;C1113&amp;"|"&amp;D1113</f>
        <v>70|C|U</v>
      </c>
      <c r="F1113" s="43" t="n">
        <v>1</v>
      </c>
      <c r="G1113" s="38" t="n">
        <f aca="false">SUMIFS($F$2:$F$1137,$A$2:$A$1137,A1113,$C$2:$C$1137,C1113)</f>
        <v>71</v>
      </c>
      <c r="H1113" s="43" t="n">
        <v>1</v>
      </c>
      <c r="I1113" s="45" t="n">
        <f aca="false">IF(G1113=0,"",F1113/G1113)</f>
        <v>0.0140845070422535</v>
      </c>
      <c r="J1113" s="45" t="n">
        <f aca="false">K1113/L1113</f>
        <v>0.0266666666666667</v>
      </c>
      <c r="K1113" s="38" t="n">
        <f aca="false">F1113+H1113</f>
        <v>2</v>
      </c>
      <c r="L1113" s="38" t="n">
        <f aca="false">G1113+4*H1113</f>
        <v>75</v>
      </c>
      <c r="M1113" s="38" t="s">
        <v>619</v>
      </c>
      <c r="N1113" s="38" t="n">
        <f aca="false">ROUND(SUMIFS($J$2:$J$1137,$A$2:$A$1137,A1113,$C$2:$C$1137,C1113),9)</f>
        <v>1</v>
      </c>
    </row>
    <row r="1114" customFormat="false" ht="15" hidden="false" customHeight="true" outlineLevel="0" collapsed="false">
      <c r="A1114" s="38" t="n">
        <v>70</v>
      </c>
      <c r="B1114" s="38" t="s">
        <v>688</v>
      </c>
      <c r="C1114" s="38" t="s">
        <v>169</v>
      </c>
      <c r="D1114" s="38" t="s">
        <v>172</v>
      </c>
      <c r="E1114" s="38" t="str">
        <f aca="false">A1114&amp;"|"&amp;C1114&amp;"|"&amp;D1114</f>
        <v>70|G|A</v>
      </c>
      <c r="F1114" s="43" t="n">
        <v>3</v>
      </c>
      <c r="G1114" s="38" t="n">
        <f aca="false">SUMIFS($F$2:$F$1137,$A$2:$A$1137,A1114,$C$2:$C$1137,C1114)</f>
        <v>75</v>
      </c>
      <c r="H1114" s="43" t="n">
        <v>1</v>
      </c>
      <c r="I1114" s="45" t="n">
        <f aca="false">IF(G1114=0,"",F1114/G1114)</f>
        <v>0.04</v>
      </c>
      <c r="J1114" s="45" t="n">
        <f aca="false">K1114/L1114</f>
        <v>0.0506329113924051</v>
      </c>
      <c r="K1114" s="38" t="n">
        <f aca="false">F1114+H1114</f>
        <v>4</v>
      </c>
      <c r="L1114" s="38" t="n">
        <f aca="false">G1114+4*H1114</f>
        <v>79</v>
      </c>
      <c r="M1114" s="38" t="s">
        <v>619</v>
      </c>
      <c r="N1114" s="38" t="n">
        <f aca="false">ROUND(SUMIFS($J$2:$J$1137,$A$2:$A$1137,A1114,$C$2:$C$1137,C1114),9)</f>
        <v>1</v>
      </c>
    </row>
    <row r="1115" customFormat="false" ht="15" hidden="false" customHeight="true" outlineLevel="0" collapsed="false">
      <c r="A1115" s="38" t="n">
        <v>70</v>
      </c>
      <c r="B1115" s="38" t="s">
        <v>688</v>
      </c>
      <c r="C1115" s="38" t="s">
        <v>169</v>
      </c>
      <c r="D1115" s="38" t="s">
        <v>170</v>
      </c>
      <c r="E1115" s="38" t="str">
        <f aca="false">A1115&amp;"|"&amp;C1115&amp;"|"&amp;D1115</f>
        <v>70|G|C</v>
      </c>
      <c r="F1115" s="43" t="n">
        <v>22</v>
      </c>
      <c r="G1115" s="38" t="n">
        <f aca="false">SUMIFS($F$2:$F$1137,$A$2:$A$1137,A1115,$C$2:$C$1137,C1115)</f>
        <v>75</v>
      </c>
      <c r="H1115" s="43" t="n">
        <v>1</v>
      </c>
      <c r="I1115" s="45" t="n">
        <f aca="false">IF(G1115=0,"",F1115/G1115)</f>
        <v>0.293333333333333</v>
      </c>
      <c r="J1115" s="45" t="n">
        <f aca="false">K1115/L1115</f>
        <v>0.291139240506329</v>
      </c>
      <c r="K1115" s="38" t="n">
        <f aca="false">F1115+H1115</f>
        <v>23</v>
      </c>
      <c r="L1115" s="38" t="n">
        <f aca="false">G1115+4*H1115</f>
        <v>79</v>
      </c>
      <c r="M1115" s="38" t="s">
        <v>619</v>
      </c>
      <c r="N1115" s="38" t="n">
        <f aca="false">ROUND(SUMIFS($J$2:$J$1137,$A$2:$A$1137,A1115,$C$2:$C$1137,C1115),9)</f>
        <v>1</v>
      </c>
    </row>
    <row r="1116" customFormat="false" ht="15" hidden="false" customHeight="true" outlineLevel="0" collapsed="false">
      <c r="A1116" s="38" t="n">
        <v>70</v>
      </c>
      <c r="B1116" s="38" t="s">
        <v>688</v>
      </c>
      <c r="C1116" s="38" t="s">
        <v>169</v>
      </c>
      <c r="D1116" s="38" t="s">
        <v>169</v>
      </c>
      <c r="E1116" s="38" t="str">
        <f aca="false">A1116&amp;"|"&amp;C1116&amp;"|"&amp;D1116</f>
        <v>70|G|G</v>
      </c>
      <c r="F1116" s="43" t="n">
        <v>44</v>
      </c>
      <c r="G1116" s="38" t="n">
        <f aca="false">SUMIFS($F$2:$F$1137,$A$2:$A$1137,A1116,$C$2:$C$1137,C1116)</f>
        <v>75</v>
      </c>
      <c r="H1116" s="43" t="n">
        <v>1</v>
      </c>
      <c r="I1116" s="45" t="n">
        <f aca="false">IF(G1116=0,"",F1116/G1116)</f>
        <v>0.586666666666667</v>
      </c>
      <c r="J1116" s="45" t="n">
        <f aca="false">K1116/L1116</f>
        <v>0.569620253164557</v>
      </c>
      <c r="K1116" s="38" t="n">
        <f aca="false">F1116+H1116</f>
        <v>45</v>
      </c>
      <c r="L1116" s="38" t="n">
        <f aca="false">G1116+4*H1116</f>
        <v>79</v>
      </c>
      <c r="M1116" s="38" t="s">
        <v>619</v>
      </c>
      <c r="N1116" s="38" t="n">
        <f aca="false">ROUND(SUMIFS($J$2:$J$1137,$A$2:$A$1137,A1116,$C$2:$C$1137,C1116),9)</f>
        <v>1</v>
      </c>
    </row>
    <row r="1117" customFormat="false" ht="15" hidden="false" customHeight="true" outlineLevel="0" collapsed="false">
      <c r="A1117" s="38" t="n">
        <v>70</v>
      </c>
      <c r="B1117" s="38" t="s">
        <v>688</v>
      </c>
      <c r="C1117" s="38" t="s">
        <v>169</v>
      </c>
      <c r="D1117" s="38" t="s">
        <v>171</v>
      </c>
      <c r="E1117" s="38" t="str">
        <f aca="false">A1117&amp;"|"&amp;C1117&amp;"|"&amp;D1117</f>
        <v>70|G|U</v>
      </c>
      <c r="F1117" s="43" t="n">
        <v>6</v>
      </c>
      <c r="G1117" s="38" t="n">
        <f aca="false">SUMIFS($F$2:$F$1137,$A$2:$A$1137,A1117,$C$2:$C$1137,C1117)</f>
        <v>75</v>
      </c>
      <c r="H1117" s="43" t="n">
        <v>1</v>
      </c>
      <c r="I1117" s="45" t="n">
        <f aca="false">IF(G1117=0,"",F1117/G1117)</f>
        <v>0.08</v>
      </c>
      <c r="J1117" s="45" t="n">
        <f aca="false">K1117/L1117</f>
        <v>0.0886075949367089</v>
      </c>
      <c r="K1117" s="38" t="n">
        <f aca="false">F1117+H1117</f>
        <v>7</v>
      </c>
      <c r="L1117" s="38" t="n">
        <f aca="false">G1117+4*H1117</f>
        <v>79</v>
      </c>
      <c r="M1117" s="38" t="s">
        <v>619</v>
      </c>
      <c r="N1117" s="38" t="n">
        <f aca="false">ROUND(SUMIFS($J$2:$J$1137,$A$2:$A$1137,A1117,$C$2:$C$1137,C1117),9)</f>
        <v>1</v>
      </c>
    </row>
    <row r="1118" customFormat="false" ht="15" hidden="false" customHeight="true" outlineLevel="0" collapsed="false">
      <c r="A1118" s="38" t="n">
        <v>70</v>
      </c>
      <c r="B1118" s="38" t="s">
        <v>688</v>
      </c>
      <c r="C1118" s="38" t="s">
        <v>171</v>
      </c>
      <c r="D1118" s="38" t="s">
        <v>172</v>
      </c>
      <c r="E1118" s="38" t="str">
        <f aca="false">A1118&amp;"|"&amp;C1118&amp;"|"&amp;D1118</f>
        <v>70|U|A</v>
      </c>
      <c r="F1118" s="43" t="n">
        <v>0</v>
      </c>
      <c r="G1118" s="38" t="n">
        <f aca="false">SUMIFS($F$2:$F$1137,$A$2:$A$1137,A1118,$C$2:$C$1137,C1118)</f>
        <v>30</v>
      </c>
      <c r="H1118" s="43" t="n">
        <v>1</v>
      </c>
      <c r="I1118" s="45" t="n">
        <f aca="false">IF(G1118=0,"",F1118/G1118)</f>
        <v>0</v>
      </c>
      <c r="J1118" s="45" t="n">
        <f aca="false">K1118/L1118</f>
        <v>0.0294117647058824</v>
      </c>
      <c r="K1118" s="38" t="n">
        <f aca="false">F1118+H1118</f>
        <v>1</v>
      </c>
      <c r="L1118" s="38" t="n">
        <f aca="false">G1118+4*H1118</f>
        <v>34</v>
      </c>
      <c r="M1118" s="38" t="s">
        <v>619</v>
      </c>
      <c r="N1118" s="38" t="n">
        <f aca="false">ROUND(SUMIFS($J$2:$J$1137,$A$2:$A$1137,A1118,$C$2:$C$1137,C1118),9)</f>
        <v>1</v>
      </c>
    </row>
    <row r="1119" customFormat="false" ht="15" hidden="false" customHeight="true" outlineLevel="0" collapsed="false">
      <c r="A1119" s="38" t="n">
        <v>70</v>
      </c>
      <c r="B1119" s="38" t="s">
        <v>688</v>
      </c>
      <c r="C1119" s="38" t="s">
        <v>171</v>
      </c>
      <c r="D1119" s="38" t="s">
        <v>170</v>
      </c>
      <c r="E1119" s="38" t="str">
        <f aca="false">A1119&amp;"|"&amp;C1119&amp;"|"&amp;D1119</f>
        <v>70|U|C</v>
      </c>
      <c r="F1119" s="43" t="n">
        <v>28</v>
      </c>
      <c r="G1119" s="38" t="n">
        <f aca="false">SUMIFS($F$2:$F$1137,$A$2:$A$1137,A1119,$C$2:$C$1137,C1119)</f>
        <v>30</v>
      </c>
      <c r="H1119" s="43" t="n">
        <v>1</v>
      </c>
      <c r="I1119" s="45" t="n">
        <f aca="false">IF(G1119=0,"",F1119/G1119)</f>
        <v>0.933333333333333</v>
      </c>
      <c r="J1119" s="45" t="n">
        <f aca="false">K1119/L1119</f>
        <v>0.852941176470588</v>
      </c>
      <c r="K1119" s="38" t="n">
        <f aca="false">F1119+H1119</f>
        <v>29</v>
      </c>
      <c r="L1119" s="38" t="n">
        <f aca="false">G1119+4*H1119</f>
        <v>34</v>
      </c>
      <c r="M1119" s="38" t="s">
        <v>619</v>
      </c>
      <c r="N1119" s="38" t="n">
        <f aca="false">ROUND(SUMIFS($J$2:$J$1137,$A$2:$A$1137,A1119,$C$2:$C$1137,C1119),9)</f>
        <v>1</v>
      </c>
    </row>
    <row r="1120" customFormat="false" ht="15" hidden="false" customHeight="true" outlineLevel="0" collapsed="false">
      <c r="A1120" s="38" t="n">
        <v>70</v>
      </c>
      <c r="B1120" s="38" t="s">
        <v>688</v>
      </c>
      <c r="C1120" s="38" t="s">
        <v>171</v>
      </c>
      <c r="D1120" s="38" t="s">
        <v>169</v>
      </c>
      <c r="E1120" s="38" t="str">
        <f aca="false">A1120&amp;"|"&amp;C1120&amp;"|"&amp;D1120</f>
        <v>70|U|G</v>
      </c>
      <c r="F1120" s="43" t="n">
        <v>2</v>
      </c>
      <c r="G1120" s="38" t="n">
        <f aca="false">SUMIFS($F$2:$F$1137,$A$2:$A$1137,A1120,$C$2:$C$1137,C1120)</f>
        <v>30</v>
      </c>
      <c r="H1120" s="43" t="n">
        <v>1</v>
      </c>
      <c r="I1120" s="45" t="n">
        <f aca="false">IF(G1120=0,"",F1120/G1120)</f>
        <v>0.0666666666666667</v>
      </c>
      <c r="J1120" s="45" t="n">
        <f aca="false">K1120/L1120</f>
        <v>0.0882352941176471</v>
      </c>
      <c r="K1120" s="38" t="n">
        <f aca="false">F1120+H1120</f>
        <v>3</v>
      </c>
      <c r="L1120" s="38" t="n">
        <f aca="false">G1120+4*H1120</f>
        <v>34</v>
      </c>
      <c r="M1120" s="38" t="s">
        <v>619</v>
      </c>
      <c r="N1120" s="38" t="n">
        <f aca="false">ROUND(SUMIFS($J$2:$J$1137,$A$2:$A$1137,A1120,$C$2:$C$1137,C1120),9)</f>
        <v>1</v>
      </c>
    </row>
    <row r="1121" customFormat="false" ht="15" hidden="false" customHeight="true" outlineLevel="0" collapsed="false">
      <c r="A1121" s="38" t="n">
        <v>70</v>
      </c>
      <c r="B1121" s="38" t="s">
        <v>688</v>
      </c>
      <c r="C1121" s="38" t="s">
        <v>171</v>
      </c>
      <c r="D1121" s="38" t="s">
        <v>171</v>
      </c>
      <c r="E1121" s="38" t="str">
        <f aca="false">A1121&amp;"|"&amp;C1121&amp;"|"&amp;D1121</f>
        <v>70|U|U</v>
      </c>
      <c r="F1121" s="43" t="n">
        <v>0</v>
      </c>
      <c r="G1121" s="38" t="n">
        <f aca="false">SUMIFS($F$2:$F$1137,$A$2:$A$1137,A1121,$C$2:$C$1137,C1121)</f>
        <v>30</v>
      </c>
      <c r="H1121" s="43" t="n">
        <v>1</v>
      </c>
      <c r="I1121" s="45" t="n">
        <f aca="false">IF(G1121=0,"",F1121/G1121)</f>
        <v>0</v>
      </c>
      <c r="J1121" s="45" t="n">
        <f aca="false">K1121/L1121</f>
        <v>0.0294117647058824</v>
      </c>
      <c r="K1121" s="38" t="n">
        <f aca="false">F1121+H1121</f>
        <v>1</v>
      </c>
      <c r="L1121" s="38" t="n">
        <f aca="false">G1121+4*H1121</f>
        <v>34</v>
      </c>
      <c r="M1121" s="38" t="s">
        <v>619</v>
      </c>
      <c r="N1121" s="38" t="n">
        <f aca="false">ROUND(SUMIFS($J$2:$J$1137,$A$2:$A$1137,A1121,$C$2:$C$1137,C1121),9)</f>
        <v>1</v>
      </c>
    </row>
    <row r="1122" customFormat="false" ht="15" hidden="false" customHeight="true" outlineLevel="0" collapsed="false">
      <c r="A1122" s="38" t="n">
        <v>71</v>
      </c>
      <c r="B1122" s="38" t="s">
        <v>689</v>
      </c>
      <c r="C1122" s="38" t="s">
        <v>172</v>
      </c>
      <c r="D1122" s="38" t="s">
        <v>172</v>
      </c>
      <c r="E1122" s="38" t="str">
        <f aca="false">A1122&amp;"|"&amp;C1122&amp;"|"&amp;D1122</f>
        <v>71|A|A</v>
      </c>
      <c r="F1122" s="43" t="n">
        <v>0</v>
      </c>
      <c r="G1122" s="38" t="n">
        <f aca="false">SUMIFS($F$2:$F$1137,$A$2:$A$1137,A1122,$C$2:$C$1137,C1122)</f>
        <v>5</v>
      </c>
      <c r="H1122" s="43" t="n">
        <v>1</v>
      </c>
      <c r="I1122" s="45" t="n">
        <f aca="false">IF(G1122=0,"",F1122/G1122)</f>
        <v>0</v>
      </c>
      <c r="J1122" s="45" t="n">
        <f aca="false">K1122/L1122</f>
        <v>0.111111111111111</v>
      </c>
      <c r="K1122" s="38" t="n">
        <f aca="false">F1122+H1122</f>
        <v>1</v>
      </c>
      <c r="L1122" s="38" t="n">
        <f aca="false">G1122+4*H1122</f>
        <v>9</v>
      </c>
      <c r="M1122" s="38" t="s">
        <v>619</v>
      </c>
      <c r="N1122" s="38" t="n">
        <f aca="false">ROUND(SUMIFS($J$2:$J$1137,$A$2:$A$1137,A1122,$C$2:$C$1137,C1122),9)</f>
        <v>1</v>
      </c>
    </row>
    <row r="1123" customFormat="false" ht="15" hidden="false" customHeight="true" outlineLevel="0" collapsed="false">
      <c r="A1123" s="38" t="n">
        <v>71</v>
      </c>
      <c r="B1123" s="38" t="s">
        <v>689</v>
      </c>
      <c r="C1123" s="38" t="s">
        <v>172</v>
      </c>
      <c r="D1123" s="38" t="s">
        <v>170</v>
      </c>
      <c r="E1123" s="38" t="str">
        <f aca="false">A1123&amp;"|"&amp;C1123&amp;"|"&amp;D1123</f>
        <v>71|A|C</v>
      </c>
      <c r="F1123" s="43" t="n">
        <v>4</v>
      </c>
      <c r="G1123" s="38" t="n">
        <f aca="false">SUMIFS($F$2:$F$1137,$A$2:$A$1137,A1123,$C$2:$C$1137,C1123)</f>
        <v>5</v>
      </c>
      <c r="H1123" s="43" t="n">
        <v>1</v>
      </c>
      <c r="I1123" s="45" t="n">
        <f aca="false">IF(G1123=0,"",F1123/G1123)</f>
        <v>0.8</v>
      </c>
      <c r="J1123" s="45" t="n">
        <f aca="false">K1123/L1123</f>
        <v>0.555555555555556</v>
      </c>
      <c r="K1123" s="38" t="n">
        <f aca="false">F1123+H1123</f>
        <v>5</v>
      </c>
      <c r="L1123" s="38" t="n">
        <f aca="false">G1123+4*H1123</f>
        <v>9</v>
      </c>
      <c r="M1123" s="38" t="s">
        <v>619</v>
      </c>
      <c r="N1123" s="38" t="n">
        <f aca="false">ROUND(SUMIFS($J$2:$J$1137,$A$2:$A$1137,A1123,$C$2:$C$1137,C1123),9)</f>
        <v>1</v>
      </c>
    </row>
    <row r="1124" customFormat="false" ht="15" hidden="false" customHeight="true" outlineLevel="0" collapsed="false">
      <c r="A1124" s="38" t="n">
        <v>71</v>
      </c>
      <c r="B1124" s="38" t="s">
        <v>689</v>
      </c>
      <c r="C1124" s="38" t="s">
        <v>172</v>
      </c>
      <c r="D1124" s="38" t="s">
        <v>169</v>
      </c>
      <c r="E1124" s="38" t="str">
        <f aca="false">A1124&amp;"|"&amp;C1124&amp;"|"&amp;D1124</f>
        <v>71|A|G</v>
      </c>
      <c r="F1124" s="43" t="n">
        <v>1</v>
      </c>
      <c r="G1124" s="38" t="n">
        <f aca="false">SUMIFS($F$2:$F$1137,$A$2:$A$1137,A1124,$C$2:$C$1137,C1124)</f>
        <v>5</v>
      </c>
      <c r="H1124" s="43" t="n">
        <v>1</v>
      </c>
      <c r="I1124" s="45" t="n">
        <f aca="false">IF(G1124=0,"",F1124/G1124)</f>
        <v>0.2</v>
      </c>
      <c r="J1124" s="45" t="n">
        <f aca="false">K1124/L1124</f>
        <v>0.222222222222222</v>
      </c>
      <c r="K1124" s="38" t="n">
        <f aca="false">F1124+H1124</f>
        <v>2</v>
      </c>
      <c r="L1124" s="38" t="n">
        <f aca="false">G1124+4*H1124</f>
        <v>9</v>
      </c>
      <c r="M1124" s="38" t="s">
        <v>619</v>
      </c>
      <c r="N1124" s="38" t="n">
        <f aca="false">ROUND(SUMIFS($J$2:$J$1137,$A$2:$A$1137,A1124,$C$2:$C$1137,C1124),9)</f>
        <v>1</v>
      </c>
    </row>
    <row r="1125" customFormat="false" ht="15" hidden="false" customHeight="true" outlineLevel="0" collapsed="false">
      <c r="A1125" s="38" t="n">
        <v>71</v>
      </c>
      <c r="B1125" s="38" t="s">
        <v>689</v>
      </c>
      <c r="C1125" s="38" t="s">
        <v>172</v>
      </c>
      <c r="D1125" s="38" t="s">
        <v>171</v>
      </c>
      <c r="E1125" s="38" t="str">
        <f aca="false">A1125&amp;"|"&amp;C1125&amp;"|"&amp;D1125</f>
        <v>71|A|U</v>
      </c>
      <c r="F1125" s="43" t="n">
        <v>0</v>
      </c>
      <c r="G1125" s="38" t="n">
        <f aca="false">SUMIFS($F$2:$F$1137,$A$2:$A$1137,A1125,$C$2:$C$1137,C1125)</f>
        <v>5</v>
      </c>
      <c r="H1125" s="43" t="n">
        <v>1</v>
      </c>
      <c r="I1125" s="45" t="n">
        <f aca="false">IF(G1125=0,"",F1125/G1125)</f>
        <v>0</v>
      </c>
      <c r="J1125" s="45" t="n">
        <f aca="false">K1125/L1125</f>
        <v>0.111111111111111</v>
      </c>
      <c r="K1125" s="38" t="n">
        <f aca="false">F1125+H1125</f>
        <v>1</v>
      </c>
      <c r="L1125" s="38" t="n">
        <f aca="false">G1125+4*H1125</f>
        <v>9</v>
      </c>
      <c r="M1125" s="38" t="s">
        <v>619</v>
      </c>
      <c r="N1125" s="38" t="n">
        <f aca="false">ROUND(SUMIFS($J$2:$J$1137,$A$2:$A$1137,A1125,$C$2:$C$1137,C1125),9)</f>
        <v>1</v>
      </c>
    </row>
    <row r="1126" customFormat="false" ht="15" hidden="false" customHeight="true" outlineLevel="0" collapsed="false">
      <c r="A1126" s="38" t="n">
        <v>71</v>
      </c>
      <c r="B1126" s="38" t="s">
        <v>689</v>
      </c>
      <c r="C1126" s="38" t="s">
        <v>170</v>
      </c>
      <c r="D1126" s="38" t="s">
        <v>172</v>
      </c>
      <c r="E1126" s="38" t="str">
        <f aca="false">A1126&amp;"|"&amp;C1126&amp;"|"&amp;D1126</f>
        <v>71|C|A</v>
      </c>
      <c r="F1126" s="43" t="n">
        <v>7</v>
      </c>
      <c r="G1126" s="38" t="n">
        <f aca="false">SUMIFS($F$2:$F$1137,$A$2:$A$1137,A1126,$C$2:$C$1137,C1126)</f>
        <v>103</v>
      </c>
      <c r="H1126" s="43" t="n">
        <v>1</v>
      </c>
      <c r="I1126" s="45" t="n">
        <f aca="false">IF(G1126=0,"",F1126/G1126)</f>
        <v>0.0679611650485437</v>
      </c>
      <c r="J1126" s="45" t="n">
        <f aca="false">K1126/L1126</f>
        <v>0.0747663551401869</v>
      </c>
      <c r="K1126" s="38" t="n">
        <f aca="false">F1126+H1126</f>
        <v>8</v>
      </c>
      <c r="L1126" s="38" t="n">
        <f aca="false">G1126+4*H1126</f>
        <v>107</v>
      </c>
      <c r="M1126" s="38" t="s">
        <v>619</v>
      </c>
      <c r="N1126" s="38" t="n">
        <f aca="false">ROUND(SUMIFS($J$2:$J$1137,$A$2:$A$1137,A1126,$C$2:$C$1137,C1126),9)</f>
        <v>1</v>
      </c>
    </row>
    <row r="1127" customFormat="false" ht="15" hidden="false" customHeight="true" outlineLevel="0" collapsed="false">
      <c r="A1127" s="38" t="n">
        <v>71</v>
      </c>
      <c r="B1127" s="38" t="s">
        <v>689</v>
      </c>
      <c r="C1127" s="38" t="s">
        <v>170</v>
      </c>
      <c r="D1127" s="38" t="s">
        <v>170</v>
      </c>
      <c r="E1127" s="38" t="str">
        <f aca="false">A1127&amp;"|"&amp;C1127&amp;"|"&amp;D1127</f>
        <v>71|C|C</v>
      </c>
      <c r="F1127" s="43" t="n">
        <v>66</v>
      </c>
      <c r="G1127" s="38" t="n">
        <f aca="false">SUMIFS($F$2:$F$1137,$A$2:$A$1137,A1127,$C$2:$C$1137,C1127)</f>
        <v>103</v>
      </c>
      <c r="H1127" s="43" t="n">
        <v>1</v>
      </c>
      <c r="I1127" s="45" t="n">
        <f aca="false">IF(G1127=0,"",F1127/G1127)</f>
        <v>0.640776699029126</v>
      </c>
      <c r="J1127" s="45" t="n">
        <f aca="false">K1127/L1127</f>
        <v>0.626168224299065</v>
      </c>
      <c r="K1127" s="38" t="n">
        <f aca="false">F1127+H1127</f>
        <v>67</v>
      </c>
      <c r="L1127" s="38" t="n">
        <f aca="false">G1127+4*H1127</f>
        <v>107</v>
      </c>
      <c r="M1127" s="38" t="s">
        <v>619</v>
      </c>
      <c r="N1127" s="38" t="n">
        <f aca="false">ROUND(SUMIFS($J$2:$J$1137,$A$2:$A$1137,A1127,$C$2:$C$1137,C1127),9)</f>
        <v>1</v>
      </c>
    </row>
    <row r="1128" customFormat="false" ht="15" hidden="false" customHeight="true" outlineLevel="0" collapsed="false">
      <c r="A1128" s="38" t="n">
        <v>71</v>
      </c>
      <c r="B1128" s="38" t="s">
        <v>689</v>
      </c>
      <c r="C1128" s="38" t="s">
        <v>170</v>
      </c>
      <c r="D1128" s="38" t="s">
        <v>169</v>
      </c>
      <c r="E1128" s="38" t="str">
        <f aca="false">A1128&amp;"|"&amp;C1128&amp;"|"&amp;D1128</f>
        <v>71|C|G</v>
      </c>
      <c r="F1128" s="43" t="n">
        <v>12</v>
      </c>
      <c r="G1128" s="38" t="n">
        <f aca="false">SUMIFS($F$2:$F$1137,$A$2:$A$1137,A1128,$C$2:$C$1137,C1128)</f>
        <v>103</v>
      </c>
      <c r="H1128" s="43" t="n">
        <v>1</v>
      </c>
      <c r="I1128" s="45" t="n">
        <f aca="false">IF(G1128=0,"",F1128/G1128)</f>
        <v>0.116504854368932</v>
      </c>
      <c r="J1128" s="45" t="n">
        <f aca="false">K1128/L1128</f>
        <v>0.121495327102804</v>
      </c>
      <c r="K1128" s="38" t="n">
        <f aca="false">F1128+H1128</f>
        <v>13</v>
      </c>
      <c r="L1128" s="38" t="n">
        <f aca="false">G1128+4*H1128</f>
        <v>107</v>
      </c>
      <c r="M1128" s="38" t="s">
        <v>619</v>
      </c>
      <c r="N1128" s="38" t="n">
        <f aca="false">ROUND(SUMIFS($J$2:$J$1137,$A$2:$A$1137,A1128,$C$2:$C$1137,C1128),9)</f>
        <v>1</v>
      </c>
    </row>
    <row r="1129" customFormat="false" ht="15" hidden="false" customHeight="true" outlineLevel="0" collapsed="false">
      <c r="A1129" s="38" t="n">
        <v>71</v>
      </c>
      <c r="B1129" s="38" t="s">
        <v>689</v>
      </c>
      <c r="C1129" s="38" t="s">
        <v>170</v>
      </c>
      <c r="D1129" s="38" t="s">
        <v>171</v>
      </c>
      <c r="E1129" s="38" t="str">
        <f aca="false">A1129&amp;"|"&amp;C1129&amp;"|"&amp;D1129</f>
        <v>71|C|U</v>
      </c>
      <c r="F1129" s="43" t="n">
        <v>18</v>
      </c>
      <c r="G1129" s="38" t="n">
        <f aca="false">SUMIFS($F$2:$F$1137,$A$2:$A$1137,A1129,$C$2:$C$1137,C1129)</f>
        <v>103</v>
      </c>
      <c r="H1129" s="43" t="n">
        <v>1</v>
      </c>
      <c r="I1129" s="45" t="n">
        <f aca="false">IF(G1129=0,"",F1129/G1129)</f>
        <v>0.174757281553398</v>
      </c>
      <c r="J1129" s="45" t="n">
        <f aca="false">K1129/L1129</f>
        <v>0.177570093457944</v>
      </c>
      <c r="K1129" s="38" t="n">
        <f aca="false">F1129+H1129</f>
        <v>19</v>
      </c>
      <c r="L1129" s="38" t="n">
        <f aca="false">G1129+4*H1129</f>
        <v>107</v>
      </c>
      <c r="M1129" s="38" t="s">
        <v>619</v>
      </c>
      <c r="N1129" s="38" t="n">
        <f aca="false">ROUND(SUMIFS($J$2:$J$1137,$A$2:$A$1137,A1129,$C$2:$C$1137,C1129),9)</f>
        <v>1</v>
      </c>
    </row>
    <row r="1130" customFormat="false" ht="15" hidden="false" customHeight="true" outlineLevel="0" collapsed="false">
      <c r="A1130" s="38" t="n">
        <v>71</v>
      </c>
      <c r="B1130" s="38" t="s">
        <v>689</v>
      </c>
      <c r="C1130" s="38" t="s">
        <v>169</v>
      </c>
      <c r="D1130" s="38" t="s">
        <v>172</v>
      </c>
      <c r="E1130" s="38" t="str">
        <f aca="false">A1130&amp;"|"&amp;C1130&amp;"|"&amp;D1130</f>
        <v>71|G|A</v>
      </c>
      <c r="F1130" s="43" t="n">
        <v>9</v>
      </c>
      <c r="G1130" s="38" t="n">
        <f aca="false">SUMIFS($F$2:$F$1137,$A$2:$A$1137,A1130,$C$2:$C$1137,C1130)</f>
        <v>82</v>
      </c>
      <c r="H1130" s="43" t="n">
        <v>1</v>
      </c>
      <c r="I1130" s="45" t="n">
        <f aca="false">IF(G1130=0,"",F1130/G1130)</f>
        <v>0.109756097560976</v>
      </c>
      <c r="J1130" s="45" t="n">
        <f aca="false">K1130/L1130</f>
        <v>0.116279069767442</v>
      </c>
      <c r="K1130" s="38" t="n">
        <f aca="false">F1130+H1130</f>
        <v>10</v>
      </c>
      <c r="L1130" s="38" t="n">
        <f aca="false">G1130+4*H1130</f>
        <v>86</v>
      </c>
      <c r="M1130" s="38" t="s">
        <v>619</v>
      </c>
      <c r="N1130" s="38" t="n">
        <f aca="false">ROUND(SUMIFS($J$2:$J$1137,$A$2:$A$1137,A1130,$C$2:$C$1137,C1130),9)</f>
        <v>1</v>
      </c>
    </row>
    <row r="1131" customFormat="false" ht="15" hidden="false" customHeight="true" outlineLevel="0" collapsed="false">
      <c r="A1131" s="38" t="n">
        <v>71</v>
      </c>
      <c r="B1131" s="38" t="s">
        <v>689</v>
      </c>
      <c r="C1131" s="38" t="s">
        <v>169</v>
      </c>
      <c r="D1131" s="38" t="s">
        <v>170</v>
      </c>
      <c r="E1131" s="38" t="str">
        <f aca="false">A1131&amp;"|"&amp;C1131&amp;"|"&amp;D1131</f>
        <v>71|G|C</v>
      </c>
      <c r="F1131" s="43" t="n">
        <v>66</v>
      </c>
      <c r="G1131" s="38" t="n">
        <f aca="false">SUMIFS($F$2:$F$1137,$A$2:$A$1137,A1131,$C$2:$C$1137,C1131)</f>
        <v>82</v>
      </c>
      <c r="H1131" s="43" t="n">
        <v>1</v>
      </c>
      <c r="I1131" s="45" t="n">
        <f aca="false">IF(G1131=0,"",F1131/G1131)</f>
        <v>0.804878048780488</v>
      </c>
      <c r="J1131" s="45" t="n">
        <f aca="false">K1131/L1131</f>
        <v>0.779069767441861</v>
      </c>
      <c r="K1131" s="38" t="n">
        <f aca="false">F1131+H1131</f>
        <v>67</v>
      </c>
      <c r="L1131" s="38" t="n">
        <f aca="false">G1131+4*H1131</f>
        <v>86</v>
      </c>
      <c r="M1131" s="38" t="s">
        <v>619</v>
      </c>
      <c r="N1131" s="38" t="n">
        <f aca="false">ROUND(SUMIFS($J$2:$J$1137,$A$2:$A$1137,A1131,$C$2:$C$1137,C1131),9)</f>
        <v>1</v>
      </c>
    </row>
    <row r="1132" customFormat="false" ht="15" hidden="false" customHeight="true" outlineLevel="0" collapsed="false">
      <c r="A1132" s="38" t="n">
        <v>71</v>
      </c>
      <c r="B1132" s="38" t="s">
        <v>689</v>
      </c>
      <c r="C1132" s="38" t="s">
        <v>169</v>
      </c>
      <c r="D1132" s="38" t="s">
        <v>169</v>
      </c>
      <c r="E1132" s="38" t="str">
        <f aca="false">A1132&amp;"|"&amp;C1132&amp;"|"&amp;D1132</f>
        <v>71|G|G</v>
      </c>
      <c r="F1132" s="43" t="n">
        <v>4</v>
      </c>
      <c r="G1132" s="38" t="n">
        <f aca="false">SUMIFS($F$2:$F$1137,$A$2:$A$1137,A1132,$C$2:$C$1137,C1132)</f>
        <v>82</v>
      </c>
      <c r="H1132" s="43" t="n">
        <v>1</v>
      </c>
      <c r="I1132" s="45" t="n">
        <f aca="false">IF(G1132=0,"",F1132/G1132)</f>
        <v>0.0487804878048781</v>
      </c>
      <c r="J1132" s="45" t="n">
        <f aca="false">K1132/L1132</f>
        <v>0.0581395348837209</v>
      </c>
      <c r="K1132" s="38" t="n">
        <f aca="false">F1132+H1132</f>
        <v>5</v>
      </c>
      <c r="L1132" s="38" t="n">
        <f aca="false">G1132+4*H1132</f>
        <v>86</v>
      </c>
      <c r="M1132" s="38" t="s">
        <v>619</v>
      </c>
      <c r="N1132" s="38" t="n">
        <f aca="false">ROUND(SUMIFS($J$2:$J$1137,$A$2:$A$1137,A1132,$C$2:$C$1137,C1132),9)</f>
        <v>1</v>
      </c>
    </row>
    <row r="1133" customFormat="false" ht="15" hidden="false" customHeight="true" outlineLevel="0" collapsed="false">
      <c r="A1133" s="38" t="n">
        <v>71</v>
      </c>
      <c r="B1133" s="38" t="s">
        <v>689</v>
      </c>
      <c r="C1133" s="38" t="s">
        <v>169</v>
      </c>
      <c r="D1133" s="38" t="s">
        <v>171</v>
      </c>
      <c r="E1133" s="38" t="str">
        <f aca="false">A1133&amp;"|"&amp;C1133&amp;"|"&amp;D1133</f>
        <v>71|G|U</v>
      </c>
      <c r="F1133" s="43" t="n">
        <v>3</v>
      </c>
      <c r="G1133" s="38" t="n">
        <f aca="false">SUMIFS($F$2:$F$1137,$A$2:$A$1137,A1133,$C$2:$C$1137,C1133)</f>
        <v>82</v>
      </c>
      <c r="H1133" s="43" t="n">
        <v>1</v>
      </c>
      <c r="I1133" s="45" t="n">
        <f aca="false">IF(G1133=0,"",F1133/G1133)</f>
        <v>0.0365853658536585</v>
      </c>
      <c r="J1133" s="45" t="n">
        <f aca="false">K1133/L1133</f>
        <v>0.0465116279069767</v>
      </c>
      <c r="K1133" s="38" t="n">
        <f aca="false">F1133+H1133</f>
        <v>4</v>
      </c>
      <c r="L1133" s="38" t="n">
        <f aca="false">G1133+4*H1133</f>
        <v>86</v>
      </c>
      <c r="M1133" s="38" t="s">
        <v>619</v>
      </c>
      <c r="N1133" s="38" t="n">
        <f aca="false">ROUND(SUMIFS($J$2:$J$1137,$A$2:$A$1137,A1133,$C$2:$C$1137,C1133),9)</f>
        <v>1</v>
      </c>
    </row>
    <row r="1134" customFormat="false" ht="15" hidden="false" customHeight="true" outlineLevel="0" collapsed="false">
      <c r="A1134" s="38" t="n">
        <v>71</v>
      </c>
      <c r="B1134" s="38" t="s">
        <v>689</v>
      </c>
      <c r="C1134" s="38" t="s">
        <v>171</v>
      </c>
      <c r="D1134" s="38" t="s">
        <v>172</v>
      </c>
      <c r="E1134" s="38" t="str">
        <f aca="false">A1134&amp;"|"&amp;C1134&amp;"|"&amp;D1134</f>
        <v>71|U|A</v>
      </c>
      <c r="F1134" s="43" t="n">
        <v>0</v>
      </c>
      <c r="G1134" s="38" t="n">
        <f aca="false">SUMIFS($F$2:$F$1137,$A$2:$A$1137,A1134,$C$2:$C$1137,C1134)</f>
        <v>9</v>
      </c>
      <c r="H1134" s="43" t="n">
        <v>1</v>
      </c>
      <c r="I1134" s="45" t="n">
        <f aca="false">IF(G1134=0,"",F1134/G1134)</f>
        <v>0</v>
      </c>
      <c r="J1134" s="45" t="n">
        <f aca="false">K1134/L1134</f>
        <v>0.0769230769230769</v>
      </c>
      <c r="K1134" s="38" t="n">
        <f aca="false">F1134+H1134</f>
        <v>1</v>
      </c>
      <c r="L1134" s="38" t="n">
        <f aca="false">G1134+4*H1134</f>
        <v>13</v>
      </c>
      <c r="M1134" s="38" t="s">
        <v>619</v>
      </c>
      <c r="N1134" s="38" t="n">
        <f aca="false">ROUND(SUMIFS($J$2:$J$1137,$A$2:$A$1137,A1134,$C$2:$C$1137,C1134),9)</f>
        <v>1</v>
      </c>
    </row>
    <row r="1135" customFormat="false" ht="15" hidden="false" customHeight="true" outlineLevel="0" collapsed="false">
      <c r="A1135" s="38" t="n">
        <v>71</v>
      </c>
      <c r="B1135" s="38" t="s">
        <v>689</v>
      </c>
      <c r="C1135" s="38" t="s">
        <v>171</v>
      </c>
      <c r="D1135" s="38" t="s">
        <v>170</v>
      </c>
      <c r="E1135" s="38" t="str">
        <f aca="false">A1135&amp;"|"&amp;C1135&amp;"|"&amp;D1135</f>
        <v>71|U|C</v>
      </c>
      <c r="F1135" s="43" t="n">
        <v>9</v>
      </c>
      <c r="G1135" s="38" t="n">
        <f aca="false">SUMIFS($F$2:$F$1137,$A$2:$A$1137,A1135,$C$2:$C$1137,C1135)</f>
        <v>9</v>
      </c>
      <c r="H1135" s="43" t="n">
        <v>1</v>
      </c>
      <c r="I1135" s="45" t="n">
        <f aca="false">IF(G1135=0,"",F1135/G1135)</f>
        <v>1</v>
      </c>
      <c r="J1135" s="45" t="n">
        <f aca="false">K1135/L1135</f>
        <v>0.769230769230769</v>
      </c>
      <c r="K1135" s="38" t="n">
        <f aca="false">F1135+H1135</f>
        <v>10</v>
      </c>
      <c r="L1135" s="38" t="n">
        <f aca="false">G1135+4*H1135</f>
        <v>13</v>
      </c>
      <c r="M1135" s="38" t="s">
        <v>619</v>
      </c>
      <c r="N1135" s="38" t="n">
        <f aca="false">ROUND(SUMIFS($J$2:$J$1137,$A$2:$A$1137,A1135,$C$2:$C$1137,C1135),9)</f>
        <v>1</v>
      </c>
    </row>
    <row r="1136" customFormat="false" ht="15" hidden="false" customHeight="true" outlineLevel="0" collapsed="false">
      <c r="A1136" s="38" t="n">
        <v>71</v>
      </c>
      <c r="B1136" s="38" t="s">
        <v>689</v>
      </c>
      <c r="C1136" s="38" t="s">
        <v>171</v>
      </c>
      <c r="D1136" s="38" t="s">
        <v>169</v>
      </c>
      <c r="E1136" s="38" t="str">
        <f aca="false">A1136&amp;"|"&amp;C1136&amp;"|"&amp;D1136</f>
        <v>71|U|G</v>
      </c>
      <c r="F1136" s="43" t="n">
        <v>0</v>
      </c>
      <c r="G1136" s="38" t="n">
        <f aca="false">SUMIFS($F$2:$F$1137,$A$2:$A$1137,A1136,$C$2:$C$1137,C1136)</f>
        <v>9</v>
      </c>
      <c r="H1136" s="43" t="n">
        <v>1</v>
      </c>
      <c r="I1136" s="45" t="n">
        <f aca="false">IF(G1136=0,"",F1136/G1136)</f>
        <v>0</v>
      </c>
      <c r="J1136" s="45" t="n">
        <f aca="false">K1136/L1136</f>
        <v>0.0769230769230769</v>
      </c>
      <c r="K1136" s="38" t="n">
        <f aca="false">F1136+H1136</f>
        <v>1</v>
      </c>
      <c r="L1136" s="38" t="n">
        <f aca="false">G1136+4*H1136</f>
        <v>13</v>
      </c>
      <c r="M1136" s="38" t="s">
        <v>619</v>
      </c>
      <c r="N1136" s="38" t="n">
        <f aca="false">ROUND(SUMIFS($J$2:$J$1137,$A$2:$A$1137,A1136,$C$2:$C$1137,C1136),9)</f>
        <v>1</v>
      </c>
    </row>
    <row r="1137" customFormat="false" ht="15" hidden="false" customHeight="true" outlineLevel="0" collapsed="false">
      <c r="A1137" s="38" t="n">
        <v>71</v>
      </c>
      <c r="B1137" s="38" t="s">
        <v>689</v>
      </c>
      <c r="C1137" s="38" t="s">
        <v>171</v>
      </c>
      <c r="D1137" s="38" t="s">
        <v>171</v>
      </c>
      <c r="E1137" s="38" t="str">
        <f aca="false">A1137&amp;"|"&amp;C1137&amp;"|"&amp;D1137</f>
        <v>71|U|U</v>
      </c>
      <c r="F1137" s="43" t="n">
        <v>0</v>
      </c>
      <c r="G1137" s="38" t="n">
        <f aca="false">SUMIFS($F$2:$F$1137,$A$2:$A$1137,A1137,$C$2:$C$1137,C1137)</f>
        <v>9</v>
      </c>
      <c r="H1137" s="43" t="n">
        <v>1</v>
      </c>
      <c r="I1137" s="45" t="n">
        <f aca="false">IF(G1137=0,"",F1137/G1137)</f>
        <v>0</v>
      </c>
      <c r="J1137" s="45" t="n">
        <f aca="false">K1137/L1137</f>
        <v>0.0769230769230769</v>
      </c>
      <c r="K1137" s="38" t="n">
        <f aca="false">F1137+H1137</f>
        <v>1</v>
      </c>
      <c r="L1137" s="38" t="n">
        <f aca="false">G1137+4*H1137</f>
        <v>13</v>
      </c>
      <c r="M1137" s="38" t="s">
        <v>619</v>
      </c>
      <c r="N1137" s="38" t="n">
        <f aca="false">ROUND(SUMIFS($J$2:$J$1137,$A$2:$A$1137,A1137,$C$2:$C$1137,C1137),9)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9"/>
  <sheetViews>
    <sheetView showFormulas="false" showGridLines="true" showRowColHeaders="true" showZeros="true" rightToLeft="false" tabSelected="false" showOutlineSymbols="true" defaultGridColor="true" view="normal" topLeftCell="A25"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6" min="2" style="0" width="12"/>
  </cols>
  <sheetData>
    <row r="1" customFormat="false" ht="15" hidden="false" customHeight="true" outlineLevel="0" collapsed="false">
      <c r="A1" s="37" t="s">
        <v>690</v>
      </c>
      <c r="B1" s="38"/>
      <c r="C1" s="38"/>
      <c r="D1" s="38"/>
      <c r="E1" s="38"/>
      <c r="F1" s="38"/>
    </row>
    <row r="2" customFormat="false" ht="15" hidden="false" customHeight="true" outlineLevel="0" collapsed="false">
      <c r="A2" s="38" t="s">
        <v>691</v>
      </c>
      <c r="B2" s="38"/>
      <c r="C2" s="38"/>
      <c r="D2" s="38"/>
      <c r="E2" s="38"/>
      <c r="F2" s="38"/>
    </row>
    <row r="3" customFormat="false" ht="15" hidden="false" customHeight="true" outlineLevel="0" collapsed="false">
      <c r="A3" s="38"/>
      <c r="B3" s="38"/>
      <c r="C3" s="38"/>
      <c r="D3" s="38"/>
      <c r="E3" s="38"/>
      <c r="F3" s="38"/>
    </row>
    <row r="4" customFormat="false" ht="15" hidden="false" customHeight="true" outlineLevel="0" collapsed="false">
      <c r="A4" s="41" t="s">
        <v>692</v>
      </c>
      <c r="B4" s="38"/>
      <c r="C4" s="38"/>
      <c r="D4" s="38"/>
      <c r="E4" s="38"/>
      <c r="F4" s="38"/>
    </row>
    <row r="5" customFormat="false" ht="15" hidden="false" customHeight="true" outlineLevel="0" collapsed="false">
      <c r="A5" s="39" t="s">
        <v>693</v>
      </c>
      <c r="B5" s="39" t="s">
        <v>172</v>
      </c>
      <c r="C5" s="39" t="s">
        <v>170</v>
      </c>
      <c r="D5" s="39" t="s">
        <v>169</v>
      </c>
      <c r="E5" s="39" t="s">
        <v>171</v>
      </c>
      <c r="F5" s="39" t="s">
        <v>694</v>
      </c>
    </row>
    <row r="6" customFormat="false" ht="15" hidden="false" customHeight="true" outlineLevel="0" collapsed="false">
      <c r="A6" s="41" t="s">
        <v>172</v>
      </c>
      <c r="B6" s="38" t="n">
        <f aca="false">INDEX('Transition Stepwise'!$F$2:$F$1137,MATCH(1&amp;"|"&amp;$A6&amp;"|"&amp;B$5,'Transition Stepwise'!$E$2:$E$1137,0))</f>
        <v>0</v>
      </c>
      <c r="C6" s="38" t="n">
        <f aca="false">INDEX('Transition Stepwise'!$F$2:$F$1137,MATCH(1&amp;"|"&amp;$A6&amp;"|"&amp;C$5,'Transition Stepwise'!$E$2:$E$1137,0))</f>
        <v>1</v>
      </c>
      <c r="D6" s="38" t="n">
        <f aca="false">INDEX('Transition Stepwise'!$F$2:$F$1137,MATCH(1&amp;"|"&amp;$A6&amp;"|"&amp;D$5,'Transition Stepwise'!$E$2:$E$1137,0))</f>
        <v>12</v>
      </c>
      <c r="E6" s="38" t="n">
        <f aca="false">INDEX('Transition Stepwise'!$F$2:$F$1137,MATCH(1&amp;"|"&amp;$A6&amp;"|"&amp;E$5,'Transition Stepwise'!$E$2:$E$1137,0))</f>
        <v>0</v>
      </c>
      <c r="F6" s="38" t="n">
        <f aca="false">ROUND(SUM(B6:E6),9)</f>
        <v>13</v>
      </c>
    </row>
    <row r="7" customFormat="false" ht="15" hidden="false" customHeight="true" outlineLevel="0" collapsed="false">
      <c r="A7" s="41" t="s">
        <v>170</v>
      </c>
      <c r="B7" s="38" t="n">
        <f aca="false">INDEX('Transition Stepwise'!$F$2:$F$1137,MATCH(1&amp;"|"&amp;$A7&amp;"|"&amp;B$5,'Transition Stepwise'!$E$2:$E$1137,0))</f>
        <v>0</v>
      </c>
      <c r="C7" s="38" t="n">
        <f aca="false">INDEX('Transition Stepwise'!$F$2:$F$1137,MATCH(1&amp;"|"&amp;$A7&amp;"|"&amp;C$5,'Transition Stepwise'!$E$2:$E$1137,0))</f>
        <v>4</v>
      </c>
      <c r="D7" s="38" t="n">
        <f aca="false">INDEX('Transition Stepwise'!$F$2:$F$1137,MATCH(1&amp;"|"&amp;$A7&amp;"|"&amp;D$5,'Transition Stepwise'!$E$2:$E$1137,0))</f>
        <v>16</v>
      </c>
      <c r="E7" s="38" t="n">
        <f aca="false">INDEX('Transition Stepwise'!$F$2:$F$1137,MATCH(1&amp;"|"&amp;$A7&amp;"|"&amp;E$5,'Transition Stepwise'!$E$2:$E$1137,0))</f>
        <v>1</v>
      </c>
      <c r="F7" s="38" t="n">
        <f aca="false">ROUND(SUM(B7:E7),9)</f>
        <v>21</v>
      </c>
    </row>
    <row r="8" customFormat="false" ht="15" hidden="false" customHeight="true" outlineLevel="0" collapsed="false">
      <c r="A8" s="41" t="s">
        <v>169</v>
      </c>
      <c r="B8" s="38" t="n">
        <f aca="false">INDEX('Transition Stepwise'!$F$2:$F$1137,MATCH(1&amp;"|"&amp;$A8&amp;"|"&amp;B$5,'Transition Stepwise'!$E$2:$E$1137,0))</f>
        <v>6</v>
      </c>
      <c r="C8" s="38" t="n">
        <f aca="false">INDEX('Transition Stepwise'!$F$2:$F$1137,MATCH(1&amp;"|"&amp;$A8&amp;"|"&amp;C$5,'Transition Stepwise'!$E$2:$E$1137,0))</f>
        <v>68</v>
      </c>
      <c r="D8" s="38" t="n">
        <f aca="false">INDEX('Transition Stepwise'!$F$2:$F$1137,MATCH(1&amp;"|"&amp;$A8&amp;"|"&amp;D$5,'Transition Stepwise'!$E$2:$E$1137,0))</f>
        <v>73</v>
      </c>
      <c r="E8" s="38" t="n">
        <f aca="false">INDEX('Transition Stepwise'!$F$2:$F$1137,MATCH(1&amp;"|"&amp;$A8&amp;"|"&amp;E$5,'Transition Stepwise'!$E$2:$E$1137,0))</f>
        <v>5</v>
      </c>
      <c r="F8" s="38" t="n">
        <f aca="false">ROUND(SUM(B8:E8),9)</f>
        <v>152</v>
      </c>
    </row>
    <row r="9" customFormat="false" ht="15" hidden="false" customHeight="true" outlineLevel="0" collapsed="false">
      <c r="A9" s="41" t="s">
        <v>171</v>
      </c>
      <c r="B9" s="38" t="n">
        <f aca="false">INDEX('Transition Stepwise'!$F$2:$F$1137,MATCH(1&amp;"|"&amp;$A9&amp;"|"&amp;B$5,'Transition Stepwise'!$E$2:$E$1137,0))</f>
        <v>0</v>
      </c>
      <c r="C9" s="38" t="n">
        <f aca="false">INDEX('Transition Stepwise'!$F$2:$F$1137,MATCH(1&amp;"|"&amp;$A9&amp;"|"&amp;C$5,'Transition Stepwise'!$E$2:$E$1137,0))</f>
        <v>9</v>
      </c>
      <c r="D9" s="38" t="n">
        <f aca="false">INDEX('Transition Stepwise'!$F$2:$F$1137,MATCH(1&amp;"|"&amp;$A9&amp;"|"&amp;D$5,'Transition Stepwise'!$E$2:$E$1137,0))</f>
        <v>4</v>
      </c>
      <c r="E9" s="38" t="n">
        <f aca="false">INDEX('Transition Stepwise'!$F$2:$F$1137,MATCH(1&amp;"|"&amp;$A9&amp;"|"&amp;E$5,'Transition Stepwise'!$E$2:$E$1137,0))</f>
        <v>0</v>
      </c>
      <c r="F9" s="38" t="n">
        <f aca="false">ROUND(SUM(B9:E9),9)</f>
        <v>13</v>
      </c>
    </row>
    <row r="10" customFormat="false" ht="15" hidden="false" customHeight="true" outlineLevel="0" collapsed="false">
      <c r="A10" s="38"/>
      <c r="B10" s="38"/>
      <c r="C10" s="38"/>
      <c r="D10" s="38"/>
      <c r="E10" s="38"/>
      <c r="F10" s="38"/>
    </row>
    <row r="11" customFormat="false" ht="15" hidden="false" customHeight="true" outlineLevel="0" collapsed="false">
      <c r="A11" s="38"/>
      <c r="B11" s="38"/>
      <c r="C11" s="38"/>
      <c r="D11" s="38"/>
      <c r="E11" s="38"/>
      <c r="F11" s="38"/>
    </row>
    <row r="12" customFormat="false" ht="15" hidden="false" customHeight="true" outlineLevel="0" collapsed="false">
      <c r="A12" s="41" t="s">
        <v>695</v>
      </c>
      <c r="B12" s="38"/>
      <c r="C12" s="38"/>
      <c r="D12" s="38"/>
      <c r="E12" s="38"/>
      <c r="F12" s="38"/>
    </row>
    <row r="13" customFormat="false" ht="15" hidden="false" customHeight="true" outlineLevel="0" collapsed="false">
      <c r="A13" s="39" t="s">
        <v>693</v>
      </c>
      <c r="B13" s="39" t="s">
        <v>172</v>
      </c>
      <c r="C13" s="39" t="s">
        <v>170</v>
      </c>
      <c r="D13" s="39" t="s">
        <v>169</v>
      </c>
      <c r="E13" s="39" t="s">
        <v>171</v>
      </c>
      <c r="F13" s="39" t="s">
        <v>694</v>
      </c>
    </row>
    <row r="14" customFormat="false" ht="15" hidden="false" customHeight="true" outlineLevel="0" collapsed="false">
      <c r="A14" s="41" t="s">
        <v>172</v>
      </c>
      <c r="B14" s="38" t="n">
        <f aca="false">INDEX('Transition Stepwise'!$F$2:$F$1137,MATCH(2&amp;"|"&amp;$A14&amp;"|"&amp;B$13,'Transition Stepwise'!$E$2:$E$1137,0))</f>
        <v>0</v>
      </c>
      <c r="C14" s="38" t="n">
        <f aca="false">INDEX('Transition Stepwise'!$F$2:$F$1137,MATCH(2&amp;"|"&amp;$A14&amp;"|"&amp;C$13,'Transition Stepwise'!$E$2:$E$1137,0))</f>
        <v>5</v>
      </c>
      <c r="D14" s="38" t="n">
        <f aca="false">INDEX('Transition Stepwise'!$F$2:$F$1137,MATCH(2&amp;"|"&amp;$A14&amp;"|"&amp;D$13,'Transition Stepwise'!$E$2:$E$1137,0))</f>
        <v>1</v>
      </c>
      <c r="E14" s="38" t="n">
        <f aca="false">INDEX('Transition Stepwise'!$F$2:$F$1137,MATCH(2&amp;"|"&amp;$A14&amp;"|"&amp;E$13,'Transition Stepwise'!$E$2:$E$1137,0))</f>
        <v>0</v>
      </c>
      <c r="F14" s="38" t="n">
        <f aca="false">ROUND(SUM(B14:E14),9)</f>
        <v>6</v>
      </c>
    </row>
    <row r="15" customFormat="false" ht="15" hidden="false" customHeight="true" outlineLevel="0" collapsed="false">
      <c r="A15" s="41" t="s">
        <v>170</v>
      </c>
      <c r="B15" s="38" t="n">
        <f aca="false">INDEX('Transition Stepwise'!$F$2:$F$1137,MATCH(2&amp;"|"&amp;$A15&amp;"|"&amp;B$13,'Transition Stepwise'!$E$2:$E$1137,0))</f>
        <v>2</v>
      </c>
      <c r="C15" s="38" t="n">
        <f aca="false">INDEX('Transition Stepwise'!$F$2:$F$1137,MATCH(2&amp;"|"&amp;$A15&amp;"|"&amp;C$13,'Transition Stepwise'!$E$2:$E$1137,0))</f>
        <v>44</v>
      </c>
      <c r="D15" s="38" t="n">
        <f aca="false">INDEX('Transition Stepwise'!$F$2:$F$1137,MATCH(2&amp;"|"&amp;$A15&amp;"|"&amp;D$13,'Transition Stepwise'!$E$2:$E$1137,0))</f>
        <v>22</v>
      </c>
      <c r="E15" s="38" t="n">
        <f aca="false">INDEX('Transition Stepwise'!$F$2:$F$1137,MATCH(2&amp;"|"&amp;$A15&amp;"|"&amp;E$13,'Transition Stepwise'!$E$2:$E$1137,0))</f>
        <v>14</v>
      </c>
      <c r="F15" s="38" t="n">
        <f aca="false">ROUND(SUM(B15:E15),9)</f>
        <v>82</v>
      </c>
    </row>
    <row r="16" customFormat="false" ht="15" hidden="false" customHeight="true" outlineLevel="0" collapsed="false">
      <c r="A16" s="41" t="s">
        <v>169</v>
      </c>
      <c r="B16" s="38" t="n">
        <f aca="false">INDEX('Transition Stepwise'!$F$2:$F$1137,MATCH(2&amp;"|"&amp;$A16&amp;"|"&amp;B$13,'Transition Stepwise'!$E$2:$E$1137,0))</f>
        <v>12</v>
      </c>
      <c r="C16" s="38" t="n">
        <f aca="false">INDEX('Transition Stepwise'!$F$2:$F$1137,MATCH(2&amp;"|"&amp;$A16&amp;"|"&amp;C$13,'Transition Stepwise'!$E$2:$E$1137,0))</f>
        <v>24</v>
      </c>
      <c r="D16" s="38" t="n">
        <f aca="false">INDEX('Transition Stepwise'!$F$2:$F$1137,MATCH(2&amp;"|"&amp;$A16&amp;"|"&amp;D$13,'Transition Stepwise'!$E$2:$E$1137,0))</f>
        <v>61</v>
      </c>
      <c r="E16" s="38" t="n">
        <f aca="false">INDEX('Transition Stepwise'!$F$2:$F$1137,MATCH(2&amp;"|"&amp;$A16&amp;"|"&amp;E$13,'Transition Stepwise'!$E$2:$E$1137,0))</f>
        <v>8</v>
      </c>
      <c r="F16" s="38" t="n">
        <f aca="false">ROUND(SUM(B16:E16),9)</f>
        <v>105</v>
      </c>
    </row>
    <row r="17" customFormat="false" ht="15" hidden="false" customHeight="true" outlineLevel="0" collapsed="false">
      <c r="A17" s="41" t="s">
        <v>171</v>
      </c>
      <c r="B17" s="38" t="n">
        <f aca="false">INDEX('Transition Stepwise'!$F$2:$F$1137,MATCH(2&amp;"|"&amp;$A17&amp;"|"&amp;B$13,'Transition Stepwise'!$E$2:$E$1137,0))</f>
        <v>0</v>
      </c>
      <c r="C17" s="38" t="n">
        <f aca="false">INDEX('Transition Stepwise'!$F$2:$F$1137,MATCH(2&amp;"|"&amp;$A17&amp;"|"&amp;C$13,'Transition Stepwise'!$E$2:$E$1137,0))</f>
        <v>4</v>
      </c>
      <c r="D17" s="38" t="n">
        <f aca="false">INDEX('Transition Stepwise'!$F$2:$F$1137,MATCH(2&amp;"|"&amp;$A17&amp;"|"&amp;D$13,'Transition Stepwise'!$E$2:$E$1137,0))</f>
        <v>1</v>
      </c>
      <c r="E17" s="38" t="n">
        <f aca="false">INDEX('Transition Stepwise'!$F$2:$F$1137,MATCH(2&amp;"|"&amp;$A17&amp;"|"&amp;E$13,'Transition Stepwise'!$E$2:$E$1137,0))</f>
        <v>1</v>
      </c>
      <c r="F17" s="38" t="n">
        <f aca="false">ROUND(SUM(B17:E17),9)</f>
        <v>6</v>
      </c>
    </row>
    <row r="18" customFormat="false" ht="15" hidden="false" customHeight="true" outlineLevel="0" collapsed="false">
      <c r="A18" s="38"/>
      <c r="B18" s="38"/>
      <c r="C18" s="38"/>
      <c r="D18" s="38"/>
      <c r="E18" s="38"/>
      <c r="F18" s="38"/>
    </row>
    <row r="19" customFormat="false" ht="15" hidden="false" customHeight="true" outlineLevel="0" collapsed="false">
      <c r="A19" s="38"/>
      <c r="B19" s="38"/>
      <c r="C19" s="38"/>
      <c r="D19" s="38"/>
      <c r="E19" s="38"/>
      <c r="F19" s="38"/>
    </row>
    <row r="20" customFormat="false" ht="15" hidden="false" customHeight="true" outlineLevel="0" collapsed="false">
      <c r="A20" s="41" t="s">
        <v>696</v>
      </c>
      <c r="B20" s="38"/>
      <c r="C20" s="38"/>
      <c r="D20" s="38"/>
      <c r="E20" s="38"/>
      <c r="F20" s="38"/>
    </row>
    <row r="21" customFormat="false" ht="15" hidden="false" customHeight="true" outlineLevel="0" collapsed="false">
      <c r="A21" s="39" t="s">
        <v>693</v>
      </c>
      <c r="B21" s="39" t="s">
        <v>172</v>
      </c>
      <c r="C21" s="39" t="s">
        <v>170</v>
      </c>
      <c r="D21" s="39" t="s">
        <v>169</v>
      </c>
      <c r="E21" s="39" t="s">
        <v>171</v>
      </c>
      <c r="F21" s="39" t="s">
        <v>694</v>
      </c>
    </row>
    <row r="22" customFormat="false" ht="15" hidden="false" customHeight="true" outlineLevel="0" collapsed="false">
      <c r="A22" s="41" t="s">
        <v>172</v>
      </c>
      <c r="B22" s="38" t="n">
        <f aca="false">INDEX('Transition Stepwise'!$F$2:$F$1137,MATCH(3&amp;"|"&amp;$A22&amp;"|"&amp;B$21,'Transition Stepwise'!$E$2:$E$1137,0))</f>
        <v>2</v>
      </c>
      <c r="C22" s="38" t="n">
        <f aca="false">INDEX('Transition Stepwise'!$F$2:$F$1137,MATCH(3&amp;"|"&amp;$A22&amp;"|"&amp;C$21,'Transition Stepwise'!$E$2:$E$1137,0))</f>
        <v>3</v>
      </c>
      <c r="D22" s="38" t="n">
        <f aca="false">INDEX('Transition Stepwise'!$F$2:$F$1137,MATCH(3&amp;"|"&amp;$A22&amp;"|"&amp;D$21,'Transition Stepwise'!$E$2:$E$1137,0))</f>
        <v>9</v>
      </c>
      <c r="E22" s="38" t="n">
        <f aca="false">INDEX('Transition Stepwise'!$F$2:$F$1137,MATCH(3&amp;"|"&amp;$A22&amp;"|"&amp;E$21,'Transition Stepwise'!$E$2:$E$1137,0))</f>
        <v>0</v>
      </c>
      <c r="F22" s="38" t="n">
        <f aca="false">ROUND(SUM(B22:E22),9)</f>
        <v>14</v>
      </c>
    </row>
    <row r="23" customFormat="false" ht="15" hidden="false" customHeight="true" outlineLevel="0" collapsed="false">
      <c r="A23" s="41" t="s">
        <v>170</v>
      </c>
      <c r="B23" s="38" t="n">
        <f aca="false">INDEX('Transition Stepwise'!$F$2:$F$1137,MATCH(3&amp;"|"&amp;$A23&amp;"|"&amp;B$21,'Transition Stepwise'!$E$2:$E$1137,0))</f>
        <v>7</v>
      </c>
      <c r="C23" s="38" t="n">
        <f aca="false">INDEX('Transition Stepwise'!$F$2:$F$1137,MATCH(3&amp;"|"&amp;$A23&amp;"|"&amp;C$21,'Transition Stepwise'!$E$2:$E$1137,0))</f>
        <v>22</v>
      </c>
      <c r="D23" s="38" t="n">
        <f aca="false">INDEX('Transition Stepwise'!$F$2:$F$1137,MATCH(3&amp;"|"&amp;$A23&amp;"|"&amp;D$21,'Transition Stepwise'!$E$2:$E$1137,0))</f>
        <v>31</v>
      </c>
      <c r="E23" s="38" t="n">
        <f aca="false">INDEX('Transition Stepwise'!$F$2:$F$1137,MATCH(3&amp;"|"&amp;$A23&amp;"|"&amp;E$21,'Transition Stepwise'!$E$2:$E$1137,0))</f>
        <v>17</v>
      </c>
      <c r="F23" s="38" t="n">
        <f aca="false">ROUND(SUM(B23:E23),9)</f>
        <v>77</v>
      </c>
    </row>
    <row r="24" customFormat="false" ht="15" hidden="false" customHeight="true" outlineLevel="0" collapsed="false">
      <c r="A24" s="41" t="s">
        <v>169</v>
      </c>
      <c r="B24" s="38" t="n">
        <f aca="false">INDEX('Transition Stepwise'!$F$2:$F$1137,MATCH(3&amp;"|"&amp;$A24&amp;"|"&amp;B$21,'Transition Stepwise'!$E$2:$E$1137,0))</f>
        <v>6</v>
      </c>
      <c r="C24" s="38" t="n">
        <f aca="false">INDEX('Transition Stepwise'!$F$2:$F$1137,MATCH(3&amp;"|"&amp;$A24&amp;"|"&amp;C$21,'Transition Stepwise'!$E$2:$E$1137,0))</f>
        <v>28</v>
      </c>
      <c r="D24" s="38" t="n">
        <f aca="false">INDEX('Transition Stepwise'!$F$2:$F$1137,MATCH(3&amp;"|"&amp;$A24&amp;"|"&amp;D$21,'Transition Stepwise'!$E$2:$E$1137,0))</f>
        <v>40</v>
      </c>
      <c r="E24" s="38" t="n">
        <f aca="false">INDEX('Transition Stepwise'!$F$2:$F$1137,MATCH(3&amp;"|"&amp;$A24&amp;"|"&amp;E$21,'Transition Stepwise'!$E$2:$E$1137,0))</f>
        <v>11</v>
      </c>
      <c r="F24" s="38" t="n">
        <f aca="false">ROUND(SUM(B24:E24),9)</f>
        <v>85</v>
      </c>
    </row>
    <row r="25" customFormat="false" ht="15" hidden="false" customHeight="true" outlineLevel="0" collapsed="false">
      <c r="A25" s="41" t="s">
        <v>171</v>
      </c>
      <c r="B25" s="38" t="n">
        <f aca="false">INDEX('Transition Stepwise'!$F$2:$F$1137,MATCH(3&amp;"|"&amp;$A25&amp;"|"&amp;B$21,'Transition Stepwise'!$E$2:$E$1137,0))</f>
        <v>0</v>
      </c>
      <c r="C25" s="38" t="n">
        <f aca="false">INDEX('Transition Stepwise'!$F$2:$F$1137,MATCH(3&amp;"|"&amp;$A25&amp;"|"&amp;C$21,'Transition Stepwise'!$E$2:$E$1137,0))</f>
        <v>8</v>
      </c>
      <c r="D25" s="38" t="n">
        <f aca="false">INDEX('Transition Stepwise'!$F$2:$F$1137,MATCH(3&amp;"|"&amp;$A25&amp;"|"&amp;D$21,'Transition Stepwise'!$E$2:$E$1137,0))</f>
        <v>9</v>
      </c>
      <c r="E25" s="38" t="n">
        <f aca="false">INDEX('Transition Stepwise'!$F$2:$F$1137,MATCH(3&amp;"|"&amp;$A25&amp;"|"&amp;E$21,'Transition Stepwise'!$E$2:$E$1137,0))</f>
        <v>6</v>
      </c>
      <c r="F25" s="38" t="n">
        <f aca="false">ROUND(SUM(B25:E25),9)</f>
        <v>23</v>
      </c>
    </row>
    <row r="26" customFormat="false" ht="15" hidden="false" customHeight="true" outlineLevel="0" collapsed="false">
      <c r="A26" s="38"/>
      <c r="B26" s="38"/>
      <c r="C26" s="38"/>
      <c r="D26" s="38"/>
      <c r="E26" s="38"/>
      <c r="F26" s="38"/>
    </row>
    <row r="27" customFormat="false" ht="15" hidden="false" customHeight="true" outlineLevel="0" collapsed="false">
      <c r="A27" s="38"/>
      <c r="B27" s="38"/>
      <c r="C27" s="38"/>
      <c r="D27" s="38"/>
      <c r="E27" s="38"/>
      <c r="F27" s="38"/>
    </row>
    <row r="28" customFormat="false" ht="15" hidden="false" customHeight="true" outlineLevel="0" collapsed="false">
      <c r="A28" s="41" t="s">
        <v>697</v>
      </c>
      <c r="B28" s="38"/>
      <c r="C28" s="38"/>
      <c r="D28" s="38"/>
      <c r="E28" s="38"/>
      <c r="F28" s="38"/>
    </row>
    <row r="29" customFormat="false" ht="15" hidden="false" customHeight="true" outlineLevel="0" collapsed="false">
      <c r="A29" s="39" t="s">
        <v>693</v>
      </c>
      <c r="B29" s="39" t="s">
        <v>172</v>
      </c>
      <c r="C29" s="39" t="s">
        <v>170</v>
      </c>
      <c r="D29" s="39" t="s">
        <v>169</v>
      </c>
      <c r="E29" s="39" t="s">
        <v>171</v>
      </c>
      <c r="F29" s="39" t="s">
        <v>694</v>
      </c>
    </row>
    <row r="30" customFormat="false" ht="15" hidden="false" customHeight="true" outlineLevel="0" collapsed="false">
      <c r="A30" s="41" t="s">
        <v>172</v>
      </c>
      <c r="B30" s="38" t="n">
        <f aca="false">INDEX('Transition Stepwise'!$F$2:$F$1137,MATCH(4&amp;"|"&amp;$A30&amp;"|"&amp;B$29,'Transition Stepwise'!$E$2:$E$1137,0))</f>
        <v>4</v>
      </c>
      <c r="C30" s="38" t="n">
        <f aca="false">INDEX('Transition Stepwise'!$F$2:$F$1137,MATCH(4&amp;"|"&amp;$A30&amp;"|"&amp;C$29,'Transition Stepwise'!$E$2:$E$1137,0))</f>
        <v>3</v>
      </c>
      <c r="D30" s="38" t="n">
        <f aca="false">INDEX('Transition Stepwise'!$F$2:$F$1137,MATCH(4&amp;"|"&amp;$A30&amp;"|"&amp;D$29,'Transition Stepwise'!$E$2:$E$1137,0))</f>
        <v>7</v>
      </c>
      <c r="E30" s="38" t="n">
        <f aca="false">INDEX('Transition Stepwise'!$F$2:$F$1137,MATCH(4&amp;"|"&amp;$A30&amp;"|"&amp;E$29,'Transition Stepwise'!$E$2:$E$1137,0))</f>
        <v>1</v>
      </c>
      <c r="F30" s="38" t="n">
        <f aca="false">ROUND(SUM(B30:E30),9)</f>
        <v>15</v>
      </c>
    </row>
    <row r="31" customFormat="false" ht="15" hidden="false" customHeight="true" outlineLevel="0" collapsed="false">
      <c r="A31" s="41" t="s">
        <v>170</v>
      </c>
      <c r="B31" s="38" t="n">
        <f aca="false">INDEX('Transition Stepwise'!$F$2:$F$1137,MATCH(4&amp;"|"&amp;$A31&amp;"|"&amp;B$29,'Transition Stepwise'!$E$2:$E$1137,0))</f>
        <v>3</v>
      </c>
      <c r="C31" s="38" t="n">
        <f aca="false">INDEX('Transition Stepwise'!$F$2:$F$1137,MATCH(4&amp;"|"&amp;$A31&amp;"|"&amp;C$29,'Transition Stepwise'!$E$2:$E$1137,0))</f>
        <v>38</v>
      </c>
      <c r="D31" s="38" t="n">
        <f aca="false">INDEX('Transition Stepwise'!$F$2:$F$1137,MATCH(4&amp;"|"&amp;$A31&amp;"|"&amp;D$29,'Transition Stepwise'!$E$2:$E$1137,0))</f>
        <v>13</v>
      </c>
      <c r="E31" s="38" t="n">
        <f aca="false">INDEX('Transition Stepwise'!$F$2:$F$1137,MATCH(4&amp;"|"&amp;$A31&amp;"|"&amp;E$29,'Transition Stepwise'!$E$2:$E$1137,0))</f>
        <v>7</v>
      </c>
      <c r="F31" s="38" t="n">
        <f aca="false">ROUND(SUM(B31:E31),9)</f>
        <v>61</v>
      </c>
    </row>
    <row r="32" customFormat="false" ht="15" hidden="false" customHeight="true" outlineLevel="0" collapsed="false">
      <c r="A32" s="41" t="s">
        <v>169</v>
      </c>
      <c r="B32" s="38" t="n">
        <f aca="false">INDEX('Transition Stepwise'!$F$2:$F$1137,MATCH(4&amp;"|"&amp;$A32&amp;"|"&amp;B$29,'Transition Stepwise'!$E$2:$E$1137,0))</f>
        <v>20</v>
      </c>
      <c r="C32" s="38" t="n">
        <f aca="false">INDEX('Transition Stepwise'!$F$2:$F$1137,MATCH(4&amp;"|"&amp;$A32&amp;"|"&amp;C$29,'Transition Stepwise'!$E$2:$E$1137,0))</f>
        <v>20</v>
      </c>
      <c r="D32" s="38" t="n">
        <f aca="false">INDEX('Transition Stepwise'!$F$2:$F$1137,MATCH(4&amp;"|"&amp;$A32&amp;"|"&amp;D$29,'Transition Stepwise'!$E$2:$E$1137,0))</f>
        <v>43</v>
      </c>
      <c r="E32" s="38" t="n">
        <f aca="false">INDEX('Transition Stepwise'!$F$2:$F$1137,MATCH(4&amp;"|"&amp;$A32&amp;"|"&amp;E$29,'Transition Stepwise'!$E$2:$E$1137,0))</f>
        <v>6</v>
      </c>
      <c r="F32" s="38" t="n">
        <f aca="false">ROUND(SUM(B32:E32),9)</f>
        <v>89</v>
      </c>
    </row>
    <row r="33" customFormat="false" ht="15" hidden="false" customHeight="true" outlineLevel="0" collapsed="false">
      <c r="A33" s="41" t="s">
        <v>171</v>
      </c>
      <c r="B33" s="38" t="n">
        <f aca="false">INDEX('Transition Stepwise'!$F$2:$F$1137,MATCH(4&amp;"|"&amp;$A33&amp;"|"&amp;B$29,'Transition Stepwise'!$E$2:$E$1137,0))</f>
        <v>3</v>
      </c>
      <c r="C33" s="38" t="n">
        <f aca="false">INDEX('Transition Stepwise'!$F$2:$F$1137,MATCH(4&amp;"|"&amp;$A33&amp;"|"&amp;C$29,'Transition Stepwise'!$E$2:$E$1137,0))</f>
        <v>18</v>
      </c>
      <c r="D33" s="38" t="n">
        <f aca="false">INDEX('Transition Stepwise'!$F$2:$F$1137,MATCH(4&amp;"|"&amp;$A33&amp;"|"&amp;D$29,'Transition Stepwise'!$E$2:$E$1137,0))</f>
        <v>6</v>
      </c>
      <c r="E33" s="38" t="n">
        <f aca="false">INDEX('Transition Stepwise'!$F$2:$F$1137,MATCH(4&amp;"|"&amp;$A33&amp;"|"&amp;E$29,'Transition Stepwise'!$E$2:$E$1137,0))</f>
        <v>7</v>
      </c>
      <c r="F33" s="38" t="n">
        <f aca="false">ROUND(SUM(B33:E33),9)</f>
        <v>34</v>
      </c>
    </row>
    <row r="34" customFormat="false" ht="15" hidden="false" customHeight="true" outlineLevel="0" collapsed="false">
      <c r="A34" s="38"/>
      <c r="B34" s="38"/>
      <c r="C34" s="38"/>
      <c r="D34" s="38"/>
      <c r="E34" s="38"/>
      <c r="F34" s="38"/>
    </row>
    <row r="35" customFormat="false" ht="15" hidden="false" customHeight="true" outlineLevel="0" collapsed="false">
      <c r="A35" s="38"/>
      <c r="B35" s="38"/>
      <c r="C35" s="38"/>
      <c r="D35" s="38"/>
      <c r="E35" s="38"/>
      <c r="F35" s="38"/>
    </row>
    <row r="36" customFormat="false" ht="15" hidden="false" customHeight="true" outlineLevel="0" collapsed="false">
      <c r="A36" s="41" t="s">
        <v>698</v>
      </c>
      <c r="B36" s="38"/>
      <c r="C36" s="38"/>
      <c r="D36" s="38"/>
      <c r="E36" s="38"/>
      <c r="F36" s="38"/>
    </row>
    <row r="37" customFormat="false" ht="15" hidden="false" customHeight="true" outlineLevel="0" collapsed="false">
      <c r="A37" s="39" t="s">
        <v>693</v>
      </c>
      <c r="B37" s="39" t="s">
        <v>172</v>
      </c>
      <c r="C37" s="39" t="s">
        <v>170</v>
      </c>
      <c r="D37" s="39" t="s">
        <v>169</v>
      </c>
      <c r="E37" s="39" t="s">
        <v>171</v>
      </c>
      <c r="F37" s="39" t="s">
        <v>694</v>
      </c>
    </row>
    <row r="38" customFormat="false" ht="15" hidden="false" customHeight="true" outlineLevel="0" collapsed="false">
      <c r="A38" s="41" t="s">
        <v>172</v>
      </c>
      <c r="B38" s="38" t="n">
        <f aca="false">INDEX('Transition Stepwise'!$F$2:$F$1137,MATCH(5&amp;"|"&amp;$A38&amp;"|"&amp;B$37,'Transition Stepwise'!$E$2:$E$1137,0))</f>
        <v>6</v>
      </c>
      <c r="C38" s="38" t="n">
        <f aca="false">INDEX('Transition Stepwise'!$F$2:$F$1137,MATCH(5&amp;"|"&amp;$A38&amp;"|"&amp;C$37,'Transition Stepwise'!$E$2:$E$1137,0))</f>
        <v>8</v>
      </c>
      <c r="D38" s="38" t="n">
        <f aca="false">INDEX('Transition Stepwise'!$F$2:$F$1137,MATCH(5&amp;"|"&amp;$A38&amp;"|"&amp;D$37,'Transition Stepwise'!$E$2:$E$1137,0))</f>
        <v>5</v>
      </c>
      <c r="E38" s="38" t="n">
        <f aca="false">INDEX('Transition Stepwise'!$F$2:$F$1137,MATCH(5&amp;"|"&amp;$A38&amp;"|"&amp;E$37,'Transition Stepwise'!$E$2:$E$1137,0))</f>
        <v>11</v>
      </c>
      <c r="F38" s="38" t="n">
        <f aca="false">ROUND(SUM(B38:E38),9)</f>
        <v>30</v>
      </c>
    </row>
    <row r="39" customFormat="false" ht="15" hidden="false" customHeight="true" outlineLevel="0" collapsed="false">
      <c r="A39" s="41" t="s">
        <v>170</v>
      </c>
      <c r="B39" s="38" t="n">
        <f aca="false">INDEX('Transition Stepwise'!$F$2:$F$1137,MATCH(5&amp;"|"&amp;$A39&amp;"|"&amp;B$37,'Transition Stepwise'!$E$2:$E$1137,0))</f>
        <v>12</v>
      </c>
      <c r="C39" s="38" t="n">
        <f aca="false">INDEX('Transition Stepwise'!$F$2:$F$1137,MATCH(5&amp;"|"&amp;$A39&amp;"|"&amp;C$37,'Transition Stepwise'!$E$2:$E$1137,0))</f>
        <v>37</v>
      </c>
      <c r="D39" s="38" t="n">
        <f aca="false">INDEX('Transition Stepwise'!$F$2:$F$1137,MATCH(5&amp;"|"&amp;$A39&amp;"|"&amp;D$37,'Transition Stepwise'!$E$2:$E$1137,0))</f>
        <v>14</v>
      </c>
      <c r="E39" s="38" t="n">
        <f aca="false">INDEX('Transition Stepwise'!$F$2:$F$1137,MATCH(5&amp;"|"&amp;$A39&amp;"|"&amp;E$37,'Transition Stepwise'!$E$2:$E$1137,0))</f>
        <v>16</v>
      </c>
      <c r="F39" s="38" t="n">
        <f aca="false">ROUND(SUM(B39:E39),9)</f>
        <v>79</v>
      </c>
    </row>
    <row r="40" customFormat="false" ht="15" hidden="false" customHeight="true" outlineLevel="0" collapsed="false">
      <c r="A40" s="41" t="s">
        <v>169</v>
      </c>
      <c r="B40" s="38" t="n">
        <f aca="false">INDEX('Transition Stepwise'!$F$2:$F$1137,MATCH(5&amp;"|"&amp;$A40&amp;"|"&amp;B$37,'Transition Stepwise'!$E$2:$E$1137,0))</f>
        <v>16</v>
      </c>
      <c r="C40" s="38" t="n">
        <f aca="false">INDEX('Transition Stepwise'!$F$2:$F$1137,MATCH(5&amp;"|"&amp;$A40&amp;"|"&amp;C$37,'Transition Stepwise'!$E$2:$E$1137,0))</f>
        <v>12</v>
      </c>
      <c r="D40" s="38" t="n">
        <f aca="false">INDEX('Transition Stepwise'!$F$2:$F$1137,MATCH(5&amp;"|"&amp;$A40&amp;"|"&amp;D$37,'Transition Stepwise'!$E$2:$E$1137,0))</f>
        <v>21</v>
      </c>
      <c r="E40" s="38" t="n">
        <f aca="false">INDEX('Transition Stepwise'!$F$2:$F$1137,MATCH(5&amp;"|"&amp;$A40&amp;"|"&amp;E$37,'Transition Stepwise'!$E$2:$E$1137,0))</f>
        <v>20</v>
      </c>
      <c r="F40" s="38" t="n">
        <f aca="false">ROUND(SUM(B40:E40),9)</f>
        <v>69</v>
      </c>
    </row>
    <row r="41" customFormat="false" ht="15" hidden="false" customHeight="true" outlineLevel="0" collapsed="false">
      <c r="A41" s="41" t="s">
        <v>171</v>
      </c>
      <c r="B41" s="38" t="n">
        <f aca="false">INDEX('Transition Stepwise'!$F$2:$F$1137,MATCH(5&amp;"|"&amp;$A41&amp;"|"&amp;B$37,'Transition Stepwise'!$E$2:$E$1137,0))</f>
        <v>0</v>
      </c>
      <c r="C41" s="38" t="n">
        <f aca="false">INDEX('Transition Stepwise'!$F$2:$F$1137,MATCH(5&amp;"|"&amp;$A41&amp;"|"&amp;C$37,'Transition Stepwise'!$E$2:$E$1137,0))</f>
        <v>8</v>
      </c>
      <c r="D41" s="38" t="n">
        <f aca="false">INDEX('Transition Stepwise'!$F$2:$F$1137,MATCH(5&amp;"|"&amp;$A41&amp;"|"&amp;D$37,'Transition Stepwise'!$E$2:$E$1137,0))</f>
        <v>8</v>
      </c>
      <c r="E41" s="38" t="n">
        <f aca="false">INDEX('Transition Stepwise'!$F$2:$F$1137,MATCH(5&amp;"|"&amp;$A41&amp;"|"&amp;E$37,'Transition Stepwise'!$E$2:$E$1137,0))</f>
        <v>5</v>
      </c>
      <c r="F41" s="38" t="n">
        <f aca="false">ROUND(SUM(B41:E41),9)</f>
        <v>21</v>
      </c>
    </row>
    <row r="42" customFormat="false" ht="15" hidden="false" customHeight="true" outlineLevel="0" collapsed="false">
      <c r="A42" s="38"/>
      <c r="B42" s="38"/>
      <c r="C42" s="38"/>
      <c r="D42" s="38"/>
      <c r="E42" s="38"/>
      <c r="F42" s="38"/>
    </row>
    <row r="43" customFormat="false" ht="15" hidden="false" customHeight="true" outlineLevel="0" collapsed="false">
      <c r="A43" s="38"/>
      <c r="B43" s="38"/>
      <c r="C43" s="38"/>
      <c r="D43" s="38"/>
      <c r="E43" s="38"/>
      <c r="F43" s="38"/>
    </row>
    <row r="44" customFormat="false" ht="15" hidden="false" customHeight="true" outlineLevel="0" collapsed="false">
      <c r="A44" s="41" t="s">
        <v>699</v>
      </c>
      <c r="B44" s="38"/>
      <c r="C44" s="38"/>
      <c r="D44" s="38"/>
      <c r="E44" s="38"/>
      <c r="F44" s="38"/>
    </row>
    <row r="45" customFormat="false" ht="15" hidden="false" customHeight="true" outlineLevel="0" collapsed="false">
      <c r="A45" s="39" t="s">
        <v>693</v>
      </c>
      <c r="B45" s="39" t="s">
        <v>172</v>
      </c>
      <c r="C45" s="39" t="s">
        <v>170</v>
      </c>
      <c r="D45" s="39" t="s">
        <v>169</v>
      </c>
      <c r="E45" s="39" t="s">
        <v>171</v>
      </c>
      <c r="F45" s="39" t="s">
        <v>694</v>
      </c>
    </row>
    <row r="46" customFormat="false" ht="15" hidden="false" customHeight="true" outlineLevel="0" collapsed="false">
      <c r="A46" s="41" t="s">
        <v>172</v>
      </c>
      <c r="B46" s="38" t="n">
        <f aca="false">INDEX('Transition Stepwise'!$F$2:$F$1137,MATCH(6&amp;"|"&amp;$A46&amp;"|"&amp;B$45,'Transition Stepwise'!$E$2:$E$1137,0))</f>
        <v>9</v>
      </c>
      <c r="C46" s="38" t="n">
        <f aca="false">INDEX('Transition Stepwise'!$F$2:$F$1137,MATCH(6&amp;"|"&amp;$A46&amp;"|"&amp;C$45,'Transition Stepwise'!$E$2:$E$1137,0))</f>
        <v>1</v>
      </c>
      <c r="D46" s="38" t="n">
        <f aca="false">INDEX('Transition Stepwise'!$F$2:$F$1137,MATCH(6&amp;"|"&amp;$A46&amp;"|"&amp;D$45,'Transition Stepwise'!$E$2:$E$1137,0))</f>
        <v>14</v>
      </c>
      <c r="E46" s="38" t="n">
        <f aca="false">INDEX('Transition Stepwise'!$F$2:$F$1137,MATCH(6&amp;"|"&amp;$A46&amp;"|"&amp;E$45,'Transition Stepwise'!$E$2:$E$1137,0))</f>
        <v>10</v>
      </c>
      <c r="F46" s="38" t="n">
        <f aca="false">ROUND(SUM(B46:E46),9)</f>
        <v>34</v>
      </c>
    </row>
    <row r="47" customFormat="false" ht="15" hidden="false" customHeight="true" outlineLevel="0" collapsed="false">
      <c r="A47" s="41" t="s">
        <v>170</v>
      </c>
      <c r="B47" s="38" t="n">
        <f aca="false">INDEX('Transition Stepwise'!$F$2:$F$1137,MATCH(6&amp;"|"&amp;$A47&amp;"|"&amp;B$45,'Transition Stepwise'!$E$2:$E$1137,0))</f>
        <v>8</v>
      </c>
      <c r="C47" s="38" t="n">
        <f aca="false">INDEX('Transition Stepwise'!$F$2:$F$1137,MATCH(6&amp;"|"&amp;$A47&amp;"|"&amp;C$45,'Transition Stepwise'!$E$2:$E$1137,0))</f>
        <v>1</v>
      </c>
      <c r="D47" s="38" t="n">
        <f aca="false">INDEX('Transition Stepwise'!$F$2:$F$1137,MATCH(6&amp;"|"&amp;$A47&amp;"|"&amp;D$45,'Transition Stepwise'!$E$2:$E$1137,0))</f>
        <v>39</v>
      </c>
      <c r="E47" s="38" t="n">
        <f aca="false">INDEX('Transition Stepwise'!$F$2:$F$1137,MATCH(6&amp;"|"&amp;$A47&amp;"|"&amp;E$45,'Transition Stepwise'!$E$2:$E$1137,0))</f>
        <v>17</v>
      </c>
      <c r="F47" s="38" t="n">
        <f aca="false">ROUND(SUM(B47:E47),9)</f>
        <v>65</v>
      </c>
    </row>
    <row r="48" customFormat="false" ht="15" hidden="false" customHeight="true" outlineLevel="0" collapsed="false">
      <c r="A48" s="41" t="s">
        <v>169</v>
      </c>
      <c r="B48" s="38" t="n">
        <f aca="false">INDEX('Transition Stepwise'!$F$2:$F$1137,MATCH(6&amp;"|"&amp;$A48&amp;"|"&amp;B$45,'Transition Stepwise'!$E$2:$E$1137,0))</f>
        <v>11</v>
      </c>
      <c r="C48" s="38" t="n">
        <f aca="false">INDEX('Transition Stepwise'!$F$2:$F$1137,MATCH(6&amp;"|"&amp;$A48&amp;"|"&amp;C$45,'Transition Stepwise'!$E$2:$E$1137,0))</f>
        <v>1</v>
      </c>
      <c r="D48" s="38" t="n">
        <f aca="false">INDEX('Transition Stepwise'!$F$2:$F$1137,MATCH(6&amp;"|"&amp;$A48&amp;"|"&amp;D$45,'Transition Stepwise'!$E$2:$E$1137,0))</f>
        <v>23</v>
      </c>
      <c r="E48" s="38" t="n">
        <f aca="false">INDEX('Transition Stepwise'!$F$2:$F$1137,MATCH(6&amp;"|"&amp;$A48&amp;"|"&amp;E$45,'Transition Stepwise'!$E$2:$E$1137,0))</f>
        <v>13</v>
      </c>
      <c r="F48" s="38" t="n">
        <f aca="false">ROUND(SUM(B48:E48),9)</f>
        <v>48</v>
      </c>
    </row>
    <row r="49" customFormat="false" ht="15" hidden="false" customHeight="true" outlineLevel="0" collapsed="false">
      <c r="A49" s="41" t="s">
        <v>171</v>
      </c>
      <c r="B49" s="38" t="n">
        <f aca="false">INDEX('Transition Stepwise'!$F$2:$F$1137,MATCH(6&amp;"|"&amp;$A49&amp;"|"&amp;B$45,'Transition Stepwise'!$E$2:$E$1137,0))</f>
        <v>19</v>
      </c>
      <c r="C49" s="38" t="n">
        <f aca="false">INDEX('Transition Stepwise'!$F$2:$F$1137,MATCH(6&amp;"|"&amp;$A49&amp;"|"&amp;C$45,'Transition Stepwise'!$E$2:$E$1137,0))</f>
        <v>0</v>
      </c>
      <c r="D49" s="38" t="n">
        <f aca="false">INDEX('Transition Stepwise'!$F$2:$F$1137,MATCH(6&amp;"|"&amp;$A49&amp;"|"&amp;D$45,'Transition Stepwise'!$E$2:$E$1137,0))</f>
        <v>29</v>
      </c>
      <c r="E49" s="38" t="n">
        <f aca="false">INDEX('Transition Stepwise'!$F$2:$F$1137,MATCH(6&amp;"|"&amp;$A49&amp;"|"&amp;E$45,'Transition Stepwise'!$E$2:$E$1137,0))</f>
        <v>4</v>
      </c>
      <c r="F49" s="38" t="n">
        <f aca="false">ROUND(SUM(B49:E49),9)</f>
        <v>52</v>
      </c>
    </row>
    <row r="50" customFormat="false" ht="15" hidden="false" customHeight="true" outlineLevel="0" collapsed="false">
      <c r="A50" s="38"/>
      <c r="B50" s="38"/>
      <c r="C50" s="38"/>
      <c r="D50" s="38"/>
      <c r="E50" s="38"/>
      <c r="F50" s="38"/>
    </row>
    <row r="51" customFormat="false" ht="15" hidden="false" customHeight="true" outlineLevel="0" collapsed="false">
      <c r="A51" s="38"/>
      <c r="B51" s="38"/>
      <c r="C51" s="38"/>
      <c r="D51" s="38"/>
      <c r="E51" s="38"/>
      <c r="F51" s="38"/>
    </row>
    <row r="52" customFormat="false" ht="15" hidden="false" customHeight="true" outlineLevel="0" collapsed="false">
      <c r="A52" s="41" t="s">
        <v>700</v>
      </c>
      <c r="B52" s="38"/>
      <c r="C52" s="38"/>
      <c r="D52" s="38"/>
      <c r="E52" s="38"/>
      <c r="F52" s="38"/>
    </row>
    <row r="53" customFormat="false" ht="15" hidden="false" customHeight="true" outlineLevel="0" collapsed="false">
      <c r="A53" s="39" t="s">
        <v>693</v>
      </c>
      <c r="B53" s="39" t="s">
        <v>172</v>
      </c>
      <c r="C53" s="39" t="s">
        <v>170</v>
      </c>
      <c r="D53" s="39" t="s">
        <v>169</v>
      </c>
      <c r="E53" s="39" t="s">
        <v>171</v>
      </c>
      <c r="F53" s="39" t="s">
        <v>694</v>
      </c>
    </row>
    <row r="54" customFormat="false" ht="15" hidden="false" customHeight="true" outlineLevel="0" collapsed="false">
      <c r="A54" s="41" t="s">
        <v>172</v>
      </c>
      <c r="B54" s="38" t="n">
        <f aca="false">INDEX('Transition Stepwise'!$F$2:$F$1137,MATCH(7&amp;"|"&amp;$A54&amp;"|"&amp;B$53,'Transition Stepwise'!$E$2:$E$1137,0))</f>
        <v>1</v>
      </c>
      <c r="C54" s="38" t="n">
        <f aca="false">INDEX('Transition Stepwise'!$F$2:$F$1137,MATCH(7&amp;"|"&amp;$A54&amp;"|"&amp;C$53,'Transition Stepwise'!$E$2:$E$1137,0))</f>
        <v>0</v>
      </c>
      <c r="D54" s="38" t="n">
        <f aca="false">INDEX('Transition Stepwise'!$F$2:$F$1137,MATCH(7&amp;"|"&amp;$A54&amp;"|"&amp;D$53,'Transition Stepwise'!$E$2:$E$1137,0))</f>
        <v>0</v>
      </c>
      <c r="E54" s="38" t="n">
        <f aca="false">INDEX('Transition Stepwise'!$F$2:$F$1137,MATCH(7&amp;"|"&amp;$A54&amp;"|"&amp;E$53,'Transition Stepwise'!$E$2:$E$1137,0))</f>
        <v>46</v>
      </c>
      <c r="F54" s="38" t="n">
        <f aca="false">ROUND(SUM(B54:E54),9)</f>
        <v>47</v>
      </c>
    </row>
    <row r="55" customFormat="false" ht="15" hidden="false" customHeight="true" outlineLevel="0" collapsed="false">
      <c r="A55" s="41" t="s">
        <v>170</v>
      </c>
      <c r="B55" s="38" t="n">
        <f aca="false">INDEX('Transition Stepwise'!$F$2:$F$1137,MATCH(7&amp;"|"&amp;$A55&amp;"|"&amp;B$53,'Transition Stepwise'!$E$2:$E$1137,0))</f>
        <v>0</v>
      </c>
      <c r="C55" s="38" t="n">
        <f aca="false">INDEX('Transition Stepwise'!$F$2:$F$1137,MATCH(7&amp;"|"&amp;$A55&amp;"|"&amp;C$53,'Transition Stepwise'!$E$2:$E$1137,0))</f>
        <v>0</v>
      </c>
      <c r="D55" s="38" t="n">
        <f aca="false">INDEX('Transition Stepwise'!$F$2:$F$1137,MATCH(7&amp;"|"&amp;$A55&amp;"|"&amp;D$53,'Transition Stepwise'!$E$2:$E$1137,0))</f>
        <v>0</v>
      </c>
      <c r="E55" s="38" t="n">
        <f aca="false">INDEX('Transition Stepwise'!$F$2:$F$1137,MATCH(7&amp;"|"&amp;$A55&amp;"|"&amp;E$53,'Transition Stepwise'!$E$2:$E$1137,0))</f>
        <v>3</v>
      </c>
      <c r="F55" s="38" t="n">
        <f aca="false">ROUND(SUM(B55:E55),9)</f>
        <v>3</v>
      </c>
    </row>
    <row r="56" customFormat="false" ht="15" hidden="false" customHeight="true" outlineLevel="0" collapsed="false">
      <c r="A56" s="41" t="s">
        <v>169</v>
      </c>
      <c r="B56" s="38" t="n">
        <f aca="false">INDEX('Transition Stepwise'!$F$2:$F$1137,MATCH(7&amp;"|"&amp;$A56&amp;"|"&amp;B$53,'Transition Stepwise'!$E$2:$E$1137,0))</f>
        <v>0</v>
      </c>
      <c r="C56" s="38" t="n">
        <f aca="false">INDEX('Transition Stepwise'!$F$2:$F$1137,MATCH(7&amp;"|"&amp;$A56&amp;"|"&amp;C$53,'Transition Stepwise'!$E$2:$E$1137,0))</f>
        <v>0</v>
      </c>
      <c r="D56" s="38" t="n">
        <f aca="false">INDEX('Transition Stepwise'!$F$2:$F$1137,MATCH(7&amp;"|"&amp;$A56&amp;"|"&amp;D$53,'Transition Stepwise'!$E$2:$E$1137,0))</f>
        <v>1</v>
      </c>
      <c r="E56" s="38" t="n">
        <f aca="false">INDEX('Transition Stepwise'!$F$2:$F$1137,MATCH(7&amp;"|"&amp;$A56&amp;"|"&amp;E$53,'Transition Stepwise'!$E$2:$E$1137,0))</f>
        <v>104</v>
      </c>
      <c r="F56" s="38" t="n">
        <f aca="false">ROUND(SUM(B56:E56),9)</f>
        <v>105</v>
      </c>
    </row>
    <row r="57" customFormat="false" ht="15" hidden="false" customHeight="true" outlineLevel="0" collapsed="false">
      <c r="A57" s="41" t="s">
        <v>171</v>
      </c>
      <c r="B57" s="38" t="n">
        <f aca="false">INDEX('Transition Stepwise'!$F$2:$F$1137,MATCH(7&amp;"|"&amp;$A57&amp;"|"&amp;B$53,'Transition Stepwise'!$E$2:$E$1137,0))</f>
        <v>0</v>
      </c>
      <c r="C57" s="38" t="n">
        <f aca="false">INDEX('Transition Stepwise'!$F$2:$F$1137,MATCH(7&amp;"|"&amp;$A57&amp;"|"&amp;C$53,'Transition Stepwise'!$E$2:$E$1137,0))</f>
        <v>0</v>
      </c>
      <c r="D57" s="38" t="n">
        <f aca="false">INDEX('Transition Stepwise'!$F$2:$F$1137,MATCH(7&amp;"|"&amp;$A57&amp;"|"&amp;D$53,'Transition Stepwise'!$E$2:$E$1137,0))</f>
        <v>0</v>
      </c>
      <c r="E57" s="38" t="n">
        <f aca="false">INDEX('Transition Stepwise'!$F$2:$F$1137,MATCH(7&amp;"|"&amp;$A57&amp;"|"&amp;E$53,'Transition Stepwise'!$E$2:$E$1137,0))</f>
        <v>44</v>
      </c>
      <c r="F57" s="38" t="n">
        <f aca="false">ROUND(SUM(B57:E57),9)</f>
        <v>44</v>
      </c>
    </row>
    <row r="58" customFormat="false" ht="15" hidden="false" customHeight="true" outlineLevel="0" collapsed="false">
      <c r="A58" s="38"/>
      <c r="B58" s="38"/>
      <c r="C58" s="38"/>
      <c r="D58" s="38"/>
      <c r="E58" s="38"/>
      <c r="F58" s="38"/>
    </row>
    <row r="59" customFormat="false" ht="15" hidden="false" customHeight="true" outlineLevel="0" collapsed="false">
      <c r="A59" s="38"/>
      <c r="B59" s="38"/>
      <c r="C59" s="38"/>
      <c r="D59" s="38"/>
      <c r="E59" s="38"/>
      <c r="F59" s="38"/>
    </row>
    <row r="60" customFormat="false" ht="15" hidden="false" customHeight="true" outlineLevel="0" collapsed="false">
      <c r="A60" s="41" t="s">
        <v>701</v>
      </c>
      <c r="B60" s="38"/>
      <c r="C60" s="38"/>
      <c r="D60" s="38"/>
      <c r="E60" s="38"/>
      <c r="F60" s="38"/>
    </row>
    <row r="61" customFormat="false" ht="15" hidden="false" customHeight="true" outlineLevel="0" collapsed="false">
      <c r="A61" s="39" t="s">
        <v>693</v>
      </c>
      <c r="B61" s="39" t="s">
        <v>172</v>
      </c>
      <c r="C61" s="39" t="s">
        <v>170</v>
      </c>
      <c r="D61" s="39" t="s">
        <v>169</v>
      </c>
      <c r="E61" s="39" t="s">
        <v>171</v>
      </c>
      <c r="F61" s="39" t="s">
        <v>694</v>
      </c>
    </row>
    <row r="62" customFormat="false" ht="15" hidden="false" customHeight="true" outlineLevel="0" collapsed="false">
      <c r="A62" s="41" t="s">
        <v>172</v>
      </c>
      <c r="B62" s="38" t="n">
        <f aca="false">INDEX('Transition Stepwise'!$F$2:$F$1137,MATCH(8&amp;"|"&amp;$A62&amp;"|"&amp;B$61,'Transition Stepwise'!$E$2:$E$1137,0))</f>
        <v>1</v>
      </c>
      <c r="C62" s="38" t="n">
        <f aca="false">INDEX('Transition Stepwise'!$F$2:$F$1137,MATCH(8&amp;"|"&amp;$A62&amp;"|"&amp;C$61,'Transition Stepwise'!$E$2:$E$1137,0))</f>
        <v>0</v>
      </c>
      <c r="D62" s="38" t="n">
        <f aca="false">INDEX('Transition Stepwise'!$F$2:$F$1137,MATCH(8&amp;"|"&amp;$A62&amp;"|"&amp;D$61,'Transition Stepwise'!$E$2:$E$1137,0))</f>
        <v>0</v>
      </c>
      <c r="E62" s="38" t="n">
        <f aca="false">INDEX('Transition Stepwise'!$F$2:$F$1137,MATCH(8&amp;"|"&amp;$A62&amp;"|"&amp;E$61,'Transition Stepwise'!$E$2:$E$1137,0))</f>
        <v>0</v>
      </c>
      <c r="F62" s="38" t="n">
        <f aca="false">ROUND(SUM(B62:E62),9)</f>
        <v>1</v>
      </c>
    </row>
    <row r="63" customFormat="false" ht="15" hidden="false" customHeight="true" outlineLevel="0" collapsed="false">
      <c r="A63" s="41" t="s">
        <v>170</v>
      </c>
      <c r="B63" s="38" t="n">
        <f aca="false">INDEX('Transition Stepwise'!$F$2:$F$1137,MATCH(8&amp;"|"&amp;$A63&amp;"|"&amp;B$61,'Transition Stepwise'!$E$2:$E$1137,0))</f>
        <v>0</v>
      </c>
      <c r="C63" s="38" t="n">
        <f aca="false">INDEX('Transition Stepwise'!$F$2:$F$1137,MATCH(8&amp;"|"&amp;$A63&amp;"|"&amp;C$61,'Transition Stepwise'!$E$2:$E$1137,0))</f>
        <v>0</v>
      </c>
      <c r="D63" s="38" t="n">
        <f aca="false">INDEX('Transition Stepwise'!$F$2:$F$1137,MATCH(8&amp;"|"&amp;$A63&amp;"|"&amp;D$61,'Transition Stepwise'!$E$2:$E$1137,0))</f>
        <v>0</v>
      </c>
      <c r="E63" s="38" t="n">
        <f aca="false">INDEX('Transition Stepwise'!$F$2:$F$1137,MATCH(8&amp;"|"&amp;$A63&amp;"|"&amp;E$61,'Transition Stepwise'!$E$2:$E$1137,0))</f>
        <v>0</v>
      </c>
      <c r="F63" s="38" t="n">
        <f aca="false">ROUND(SUM(B63:E63),9)</f>
        <v>0</v>
      </c>
    </row>
    <row r="64" customFormat="false" ht="15" hidden="false" customHeight="true" outlineLevel="0" collapsed="false">
      <c r="A64" s="41" t="s">
        <v>169</v>
      </c>
      <c r="B64" s="38" t="n">
        <f aca="false">INDEX('Transition Stepwise'!$F$2:$F$1137,MATCH(8&amp;"|"&amp;$A64&amp;"|"&amp;B$61,'Transition Stepwise'!$E$2:$E$1137,0))</f>
        <v>0</v>
      </c>
      <c r="C64" s="38" t="n">
        <f aca="false">INDEX('Transition Stepwise'!$F$2:$F$1137,MATCH(8&amp;"|"&amp;$A64&amp;"|"&amp;C$61,'Transition Stepwise'!$E$2:$E$1137,0))</f>
        <v>1</v>
      </c>
      <c r="D64" s="38" t="n">
        <f aca="false">INDEX('Transition Stepwise'!$F$2:$F$1137,MATCH(8&amp;"|"&amp;$A64&amp;"|"&amp;D$61,'Transition Stepwise'!$E$2:$E$1137,0))</f>
        <v>0</v>
      </c>
      <c r="E64" s="38" t="n">
        <f aca="false">INDEX('Transition Stepwise'!$F$2:$F$1137,MATCH(8&amp;"|"&amp;$A64&amp;"|"&amp;E$61,'Transition Stepwise'!$E$2:$E$1137,0))</f>
        <v>0</v>
      </c>
      <c r="F64" s="38" t="n">
        <f aca="false">ROUND(SUM(B64:E64),9)</f>
        <v>1</v>
      </c>
    </row>
    <row r="65" customFormat="false" ht="15" hidden="false" customHeight="true" outlineLevel="0" collapsed="false">
      <c r="A65" s="41" t="s">
        <v>171</v>
      </c>
      <c r="B65" s="38" t="n">
        <f aca="false">INDEX('Transition Stepwise'!$F$2:$F$1137,MATCH(8&amp;"|"&amp;$A65&amp;"|"&amp;B$61,'Transition Stepwise'!$E$2:$E$1137,0))</f>
        <v>129</v>
      </c>
      <c r="C65" s="38" t="n">
        <f aca="false">INDEX('Transition Stepwise'!$F$2:$F$1137,MATCH(8&amp;"|"&amp;$A65&amp;"|"&amp;C$61,'Transition Stepwise'!$E$2:$E$1137,0))</f>
        <v>6</v>
      </c>
      <c r="D65" s="38" t="n">
        <f aca="false">INDEX('Transition Stepwise'!$F$2:$F$1137,MATCH(8&amp;"|"&amp;$A65&amp;"|"&amp;D$61,'Transition Stepwise'!$E$2:$E$1137,0))</f>
        <v>61</v>
      </c>
      <c r="E65" s="38" t="n">
        <f aca="false">INDEX('Transition Stepwise'!$F$2:$F$1137,MATCH(8&amp;"|"&amp;$A65&amp;"|"&amp;E$61,'Transition Stepwise'!$E$2:$E$1137,0))</f>
        <v>0</v>
      </c>
      <c r="F65" s="38" t="n">
        <f aca="false">ROUND(SUM(B65:E65),9)</f>
        <v>196</v>
      </c>
    </row>
    <row r="66" customFormat="false" ht="15" hidden="false" customHeight="true" outlineLevel="0" collapsed="false">
      <c r="A66" s="38"/>
      <c r="B66" s="38"/>
      <c r="C66" s="38"/>
      <c r="D66" s="38"/>
      <c r="E66" s="38"/>
      <c r="F66" s="38"/>
    </row>
    <row r="67" customFormat="false" ht="15" hidden="false" customHeight="true" outlineLevel="0" collapsed="false">
      <c r="A67" s="38"/>
      <c r="B67" s="38"/>
      <c r="C67" s="38"/>
      <c r="D67" s="38"/>
      <c r="E67" s="38"/>
      <c r="F67" s="38"/>
    </row>
    <row r="68" customFormat="false" ht="15" hidden="false" customHeight="true" outlineLevel="0" collapsed="false">
      <c r="A68" s="41" t="s">
        <v>702</v>
      </c>
      <c r="B68" s="38"/>
      <c r="C68" s="38"/>
      <c r="D68" s="38"/>
      <c r="E68" s="38"/>
      <c r="F68" s="38"/>
    </row>
    <row r="69" customFormat="false" ht="15" hidden="false" customHeight="true" outlineLevel="0" collapsed="false">
      <c r="A69" s="39" t="s">
        <v>693</v>
      </c>
      <c r="B69" s="39" t="s">
        <v>172</v>
      </c>
      <c r="C69" s="39" t="s">
        <v>170</v>
      </c>
      <c r="D69" s="39" t="s">
        <v>169</v>
      </c>
      <c r="E69" s="39" t="s">
        <v>171</v>
      </c>
      <c r="F69" s="39" t="s">
        <v>694</v>
      </c>
    </row>
    <row r="70" customFormat="false" ht="15" hidden="false" customHeight="true" outlineLevel="0" collapsed="false">
      <c r="A70" s="41" t="s">
        <v>172</v>
      </c>
      <c r="B70" s="38" t="n">
        <f aca="false">INDEX('Transition Stepwise'!$F$2:$F$1137,MATCH(9&amp;"|"&amp;$A70&amp;"|"&amp;B$69,'Transition Stepwise'!$E$2:$E$1137,0))</f>
        <v>0</v>
      </c>
      <c r="C70" s="38" t="n">
        <f aca="false">INDEX('Transition Stepwise'!$F$2:$F$1137,MATCH(9&amp;"|"&amp;$A70&amp;"|"&amp;C$69,'Transition Stepwise'!$E$2:$E$1137,0))</f>
        <v>2</v>
      </c>
      <c r="D70" s="38" t="n">
        <f aca="false">INDEX('Transition Stepwise'!$F$2:$F$1137,MATCH(9&amp;"|"&amp;$A70&amp;"|"&amp;D$69,'Transition Stepwise'!$E$2:$E$1137,0))</f>
        <v>128</v>
      </c>
      <c r="E70" s="38" t="n">
        <f aca="false">INDEX('Transition Stepwise'!$F$2:$F$1137,MATCH(9&amp;"|"&amp;$A70&amp;"|"&amp;E$69,'Transition Stepwise'!$E$2:$E$1137,0))</f>
        <v>0</v>
      </c>
      <c r="F70" s="38" t="n">
        <f aca="false">ROUND(SUM(B70:E70),9)</f>
        <v>130</v>
      </c>
    </row>
    <row r="71" customFormat="false" ht="15" hidden="false" customHeight="true" outlineLevel="0" collapsed="false">
      <c r="A71" s="41" t="s">
        <v>170</v>
      </c>
      <c r="B71" s="38" t="n">
        <f aca="false">INDEX('Transition Stepwise'!$F$2:$F$1137,MATCH(9&amp;"|"&amp;$A71&amp;"|"&amp;B$69,'Transition Stepwise'!$E$2:$E$1137,0))</f>
        <v>0</v>
      </c>
      <c r="C71" s="38" t="n">
        <f aca="false">INDEX('Transition Stepwise'!$F$2:$F$1137,MATCH(9&amp;"|"&amp;$A71&amp;"|"&amp;C$69,'Transition Stepwise'!$E$2:$E$1137,0))</f>
        <v>0</v>
      </c>
      <c r="D71" s="38" t="n">
        <f aca="false">INDEX('Transition Stepwise'!$F$2:$F$1137,MATCH(9&amp;"|"&amp;$A71&amp;"|"&amp;D$69,'Transition Stepwise'!$E$2:$E$1137,0))</f>
        <v>7</v>
      </c>
      <c r="E71" s="38" t="n">
        <f aca="false">INDEX('Transition Stepwise'!$F$2:$F$1137,MATCH(9&amp;"|"&amp;$A71&amp;"|"&amp;E$69,'Transition Stepwise'!$E$2:$E$1137,0))</f>
        <v>0</v>
      </c>
      <c r="F71" s="38" t="n">
        <f aca="false">ROUND(SUM(B71:E71),9)</f>
        <v>7</v>
      </c>
    </row>
    <row r="72" customFormat="false" ht="15" hidden="false" customHeight="true" outlineLevel="0" collapsed="false">
      <c r="A72" s="41" t="s">
        <v>169</v>
      </c>
      <c r="B72" s="38" t="n">
        <f aca="false">INDEX('Transition Stepwise'!$F$2:$F$1137,MATCH(9&amp;"|"&amp;$A72&amp;"|"&amp;B$69,'Transition Stepwise'!$E$2:$E$1137,0))</f>
        <v>0</v>
      </c>
      <c r="C72" s="38" t="n">
        <f aca="false">INDEX('Transition Stepwise'!$F$2:$F$1137,MATCH(9&amp;"|"&amp;$A72&amp;"|"&amp;C$69,'Transition Stepwise'!$E$2:$E$1137,0))</f>
        <v>6</v>
      </c>
      <c r="D72" s="38" t="n">
        <f aca="false">INDEX('Transition Stepwise'!$F$2:$F$1137,MATCH(9&amp;"|"&amp;$A72&amp;"|"&amp;D$69,'Transition Stepwise'!$E$2:$E$1137,0))</f>
        <v>55</v>
      </c>
      <c r="E72" s="38" t="n">
        <f aca="false">INDEX('Transition Stepwise'!$F$2:$F$1137,MATCH(9&amp;"|"&amp;$A72&amp;"|"&amp;E$69,'Transition Stepwise'!$E$2:$E$1137,0))</f>
        <v>0</v>
      </c>
      <c r="F72" s="38" t="n">
        <f aca="false">ROUND(SUM(B72:E72),9)</f>
        <v>61</v>
      </c>
    </row>
    <row r="73" customFormat="false" ht="15" hidden="false" customHeight="true" outlineLevel="0" collapsed="false">
      <c r="A73" s="41" t="s">
        <v>171</v>
      </c>
      <c r="B73" s="38" t="n">
        <f aca="false">INDEX('Transition Stepwise'!$F$2:$F$1137,MATCH(9&amp;"|"&amp;$A73&amp;"|"&amp;B$69,'Transition Stepwise'!$E$2:$E$1137,0))</f>
        <v>0</v>
      </c>
      <c r="C73" s="38" t="n">
        <f aca="false">INDEX('Transition Stepwise'!$F$2:$F$1137,MATCH(9&amp;"|"&amp;$A73&amp;"|"&amp;C$69,'Transition Stepwise'!$E$2:$E$1137,0))</f>
        <v>0</v>
      </c>
      <c r="D73" s="38" t="n">
        <f aca="false">INDEX('Transition Stepwise'!$F$2:$F$1137,MATCH(9&amp;"|"&amp;$A73&amp;"|"&amp;D$69,'Transition Stepwise'!$E$2:$E$1137,0))</f>
        <v>0</v>
      </c>
      <c r="E73" s="38" t="n">
        <f aca="false">INDEX('Transition Stepwise'!$F$2:$F$1137,MATCH(9&amp;"|"&amp;$A73&amp;"|"&amp;E$69,'Transition Stepwise'!$E$2:$E$1137,0))</f>
        <v>0</v>
      </c>
      <c r="F73" s="38" t="n">
        <f aca="false">ROUND(SUM(B73:E73),9)</f>
        <v>0</v>
      </c>
    </row>
    <row r="74" customFormat="false" ht="15" hidden="false" customHeight="true" outlineLevel="0" collapsed="false">
      <c r="A74" s="38"/>
      <c r="B74" s="38"/>
      <c r="C74" s="38"/>
      <c r="D74" s="38"/>
      <c r="E74" s="38"/>
      <c r="F74" s="38"/>
    </row>
    <row r="75" customFormat="false" ht="15" hidden="false" customHeight="true" outlineLevel="0" collapsed="false">
      <c r="A75" s="38"/>
      <c r="B75" s="38"/>
      <c r="C75" s="38"/>
      <c r="D75" s="38"/>
      <c r="E75" s="38"/>
      <c r="F75" s="38"/>
    </row>
    <row r="76" customFormat="false" ht="15" hidden="false" customHeight="true" outlineLevel="0" collapsed="false">
      <c r="A76" s="41" t="s">
        <v>703</v>
      </c>
      <c r="B76" s="38"/>
      <c r="C76" s="38"/>
      <c r="D76" s="38"/>
      <c r="E76" s="38"/>
      <c r="F76" s="38"/>
    </row>
    <row r="77" customFormat="false" ht="15" hidden="false" customHeight="true" outlineLevel="0" collapsed="false">
      <c r="A77" s="39" t="s">
        <v>693</v>
      </c>
      <c r="B77" s="39" t="s">
        <v>172</v>
      </c>
      <c r="C77" s="39" t="s">
        <v>170</v>
      </c>
      <c r="D77" s="39" t="s">
        <v>169</v>
      </c>
      <c r="E77" s="39" t="s">
        <v>171</v>
      </c>
      <c r="F77" s="39" t="s">
        <v>694</v>
      </c>
    </row>
    <row r="78" customFormat="false" ht="15" hidden="false" customHeight="true" outlineLevel="0" collapsed="false">
      <c r="A78" s="41" t="s">
        <v>172</v>
      </c>
      <c r="B78" s="38" t="n">
        <f aca="false">INDEX('Transition Stepwise'!$F$2:$F$1137,MATCH(10&amp;"|"&amp;$A78&amp;"|"&amp;B$77,'Transition Stepwise'!$E$2:$E$1137,0))</f>
        <v>0</v>
      </c>
      <c r="C78" s="38" t="n">
        <f aca="false">INDEX('Transition Stepwise'!$F$2:$F$1137,MATCH(10&amp;"|"&amp;$A78&amp;"|"&amp;C$77,'Transition Stepwise'!$E$2:$E$1137,0))</f>
        <v>0</v>
      </c>
      <c r="D78" s="38" t="n">
        <f aca="false">INDEX('Transition Stepwise'!$F$2:$F$1137,MATCH(10&amp;"|"&amp;$A78&amp;"|"&amp;D$77,'Transition Stepwise'!$E$2:$E$1137,0))</f>
        <v>0</v>
      </c>
      <c r="E78" s="38" t="n">
        <f aca="false">INDEX('Transition Stepwise'!$F$2:$F$1137,MATCH(10&amp;"|"&amp;$A78&amp;"|"&amp;E$77,'Transition Stepwise'!$E$2:$E$1137,0))</f>
        <v>0</v>
      </c>
      <c r="F78" s="38" t="n">
        <f aca="false">ROUND(SUM(B78:E78),9)</f>
        <v>0</v>
      </c>
    </row>
    <row r="79" customFormat="false" ht="15" hidden="false" customHeight="true" outlineLevel="0" collapsed="false">
      <c r="A79" s="41" t="s">
        <v>170</v>
      </c>
      <c r="B79" s="38" t="n">
        <f aca="false">INDEX('Transition Stepwise'!$F$2:$F$1137,MATCH(10&amp;"|"&amp;$A79&amp;"|"&amp;B$77,'Transition Stepwise'!$E$2:$E$1137,0))</f>
        <v>0</v>
      </c>
      <c r="C79" s="38" t="n">
        <f aca="false">INDEX('Transition Stepwise'!$F$2:$F$1137,MATCH(10&amp;"|"&amp;$A79&amp;"|"&amp;C$77,'Transition Stepwise'!$E$2:$E$1137,0))</f>
        <v>6</v>
      </c>
      <c r="D79" s="38" t="n">
        <f aca="false">INDEX('Transition Stepwise'!$F$2:$F$1137,MATCH(10&amp;"|"&amp;$A79&amp;"|"&amp;D$77,'Transition Stepwise'!$E$2:$E$1137,0))</f>
        <v>1</v>
      </c>
      <c r="E79" s="38" t="n">
        <f aca="false">INDEX('Transition Stepwise'!$F$2:$F$1137,MATCH(10&amp;"|"&amp;$A79&amp;"|"&amp;E$77,'Transition Stepwise'!$E$2:$E$1137,0))</f>
        <v>1</v>
      </c>
      <c r="F79" s="38" t="n">
        <f aca="false">ROUND(SUM(B79:E79),9)</f>
        <v>8</v>
      </c>
    </row>
    <row r="80" customFormat="false" ht="15" hidden="false" customHeight="true" outlineLevel="0" collapsed="false">
      <c r="A80" s="41" t="s">
        <v>169</v>
      </c>
      <c r="B80" s="38" t="n">
        <f aca="false">INDEX('Transition Stepwise'!$F$2:$F$1137,MATCH(10&amp;"|"&amp;$A80&amp;"|"&amp;B$77,'Transition Stepwise'!$E$2:$E$1137,0))</f>
        <v>7</v>
      </c>
      <c r="C80" s="38" t="n">
        <f aca="false">INDEX('Transition Stepwise'!$F$2:$F$1137,MATCH(10&amp;"|"&amp;$A80&amp;"|"&amp;C$77,'Transition Stepwise'!$E$2:$E$1137,0))</f>
        <v>140</v>
      </c>
      <c r="D80" s="38" t="n">
        <f aca="false">INDEX('Transition Stepwise'!$F$2:$F$1137,MATCH(10&amp;"|"&amp;$A80&amp;"|"&amp;D$77,'Transition Stepwise'!$E$2:$E$1137,0))</f>
        <v>5</v>
      </c>
      <c r="E80" s="38" t="n">
        <f aca="false">INDEX('Transition Stepwise'!$F$2:$F$1137,MATCH(10&amp;"|"&amp;$A80&amp;"|"&amp;E$77,'Transition Stepwise'!$E$2:$E$1137,0))</f>
        <v>39</v>
      </c>
      <c r="F80" s="38" t="n">
        <f aca="false">ROUND(SUM(B80:E80),9)</f>
        <v>191</v>
      </c>
    </row>
    <row r="81" customFormat="false" ht="15" hidden="false" customHeight="true" outlineLevel="0" collapsed="false">
      <c r="A81" s="41" t="s">
        <v>171</v>
      </c>
      <c r="B81" s="38" t="n">
        <f aca="false">INDEX('Transition Stepwise'!$F$2:$F$1137,MATCH(10&amp;"|"&amp;$A81&amp;"|"&amp;B$77,'Transition Stepwise'!$E$2:$E$1137,0))</f>
        <v>0</v>
      </c>
      <c r="C81" s="38" t="n">
        <f aca="false">INDEX('Transition Stepwise'!$F$2:$F$1137,MATCH(10&amp;"|"&amp;$A81&amp;"|"&amp;C$77,'Transition Stepwise'!$E$2:$E$1137,0))</f>
        <v>0</v>
      </c>
      <c r="D81" s="38" t="n">
        <f aca="false">INDEX('Transition Stepwise'!$F$2:$F$1137,MATCH(10&amp;"|"&amp;$A81&amp;"|"&amp;D$77,'Transition Stepwise'!$E$2:$E$1137,0))</f>
        <v>0</v>
      </c>
      <c r="E81" s="38" t="n">
        <f aca="false">INDEX('Transition Stepwise'!$F$2:$F$1137,MATCH(10&amp;"|"&amp;$A81&amp;"|"&amp;E$77,'Transition Stepwise'!$E$2:$E$1137,0))</f>
        <v>0</v>
      </c>
      <c r="F81" s="38" t="n">
        <f aca="false">ROUND(SUM(B81:E81),9)</f>
        <v>0</v>
      </c>
    </row>
    <row r="82" customFormat="false" ht="15" hidden="false" customHeight="true" outlineLevel="0" collapsed="false">
      <c r="A82" s="38"/>
      <c r="B82" s="38"/>
      <c r="C82" s="38"/>
      <c r="D82" s="38"/>
      <c r="E82" s="38"/>
      <c r="F82" s="38"/>
    </row>
    <row r="83" customFormat="false" ht="15" hidden="false" customHeight="true" outlineLevel="0" collapsed="false">
      <c r="A83" s="38"/>
      <c r="B83" s="38"/>
      <c r="C83" s="38"/>
      <c r="D83" s="38"/>
      <c r="E83" s="38"/>
      <c r="F83" s="38"/>
    </row>
    <row r="84" customFormat="false" ht="15" hidden="false" customHeight="true" outlineLevel="0" collapsed="false">
      <c r="A84" s="41" t="s">
        <v>704</v>
      </c>
      <c r="B84" s="38"/>
      <c r="C84" s="38"/>
      <c r="D84" s="38"/>
      <c r="E84" s="38"/>
      <c r="F84" s="38"/>
    </row>
    <row r="85" customFormat="false" ht="15" hidden="false" customHeight="true" outlineLevel="0" collapsed="false">
      <c r="A85" s="39" t="s">
        <v>693</v>
      </c>
      <c r="B85" s="39" t="s">
        <v>172</v>
      </c>
      <c r="C85" s="39" t="s">
        <v>170</v>
      </c>
      <c r="D85" s="39" t="s">
        <v>169</v>
      </c>
      <c r="E85" s="39" t="s">
        <v>171</v>
      </c>
      <c r="F85" s="39" t="s">
        <v>694</v>
      </c>
    </row>
    <row r="86" customFormat="false" ht="15" hidden="false" customHeight="true" outlineLevel="0" collapsed="false">
      <c r="A86" s="41" t="s">
        <v>172</v>
      </c>
      <c r="B86" s="38" t="n">
        <f aca="false">INDEX('Transition Stepwise'!$F$2:$F$1137,MATCH(11&amp;"|"&amp;$A86&amp;"|"&amp;B$85,'Transition Stepwise'!$E$2:$E$1137,0))</f>
        <v>0</v>
      </c>
      <c r="C86" s="38" t="n">
        <f aca="false">INDEX('Transition Stepwise'!$F$2:$F$1137,MATCH(11&amp;"|"&amp;$A86&amp;"|"&amp;C$85,'Transition Stepwise'!$E$2:$E$1137,0))</f>
        <v>0</v>
      </c>
      <c r="D86" s="38" t="n">
        <f aca="false">INDEX('Transition Stepwise'!$F$2:$F$1137,MATCH(11&amp;"|"&amp;$A86&amp;"|"&amp;D$85,'Transition Stepwise'!$E$2:$E$1137,0))</f>
        <v>4</v>
      </c>
      <c r="E86" s="38" t="n">
        <f aca="false">INDEX('Transition Stepwise'!$F$2:$F$1137,MATCH(11&amp;"|"&amp;$A86&amp;"|"&amp;E$85,'Transition Stepwise'!$E$2:$E$1137,0))</f>
        <v>3</v>
      </c>
      <c r="F86" s="38" t="n">
        <f aca="false">ROUND(SUM(B86:E86),9)</f>
        <v>7</v>
      </c>
    </row>
    <row r="87" customFormat="false" ht="15" hidden="false" customHeight="true" outlineLevel="0" collapsed="false">
      <c r="A87" s="41" t="s">
        <v>170</v>
      </c>
      <c r="B87" s="38" t="n">
        <f aca="false">INDEX('Transition Stepwise'!$F$2:$F$1137,MATCH(11&amp;"|"&amp;$A87&amp;"|"&amp;B$85,'Transition Stepwise'!$E$2:$E$1137,0))</f>
        <v>6</v>
      </c>
      <c r="C87" s="38" t="n">
        <f aca="false">INDEX('Transition Stepwise'!$F$2:$F$1137,MATCH(11&amp;"|"&amp;$A87&amp;"|"&amp;C$85,'Transition Stepwise'!$E$2:$E$1137,0))</f>
        <v>17</v>
      </c>
      <c r="D87" s="38" t="n">
        <f aca="false">INDEX('Transition Stepwise'!$F$2:$F$1137,MATCH(11&amp;"|"&amp;$A87&amp;"|"&amp;D$85,'Transition Stepwise'!$E$2:$E$1137,0))</f>
        <v>19</v>
      </c>
      <c r="E87" s="38" t="n">
        <f aca="false">INDEX('Transition Stepwise'!$F$2:$F$1137,MATCH(11&amp;"|"&amp;$A87&amp;"|"&amp;E$85,'Transition Stepwise'!$E$2:$E$1137,0))</f>
        <v>104</v>
      </c>
      <c r="F87" s="38" t="n">
        <f aca="false">ROUND(SUM(B87:E87),9)</f>
        <v>146</v>
      </c>
    </row>
    <row r="88" customFormat="false" ht="15" hidden="false" customHeight="true" outlineLevel="0" collapsed="false">
      <c r="A88" s="41" t="s">
        <v>169</v>
      </c>
      <c r="B88" s="38" t="n">
        <f aca="false">INDEX('Transition Stepwise'!$F$2:$F$1137,MATCH(11&amp;"|"&amp;$A88&amp;"|"&amp;B$85,'Transition Stepwise'!$E$2:$E$1137,0))</f>
        <v>2</v>
      </c>
      <c r="C88" s="38" t="n">
        <f aca="false">INDEX('Transition Stepwise'!$F$2:$F$1137,MATCH(11&amp;"|"&amp;$A88&amp;"|"&amp;C$85,'Transition Stepwise'!$E$2:$E$1137,0))</f>
        <v>0</v>
      </c>
      <c r="D88" s="38" t="n">
        <f aca="false">INDEX('Transition Stepwise'!$F$2:$F$1137,MATCH(11&amp;"|"&amp;$A88&amp;"|"&amp;D$85,'Transition Stepwise'!$E$2:$E$1137,0))</f>
        <v>3</v>
      </c>
      <c r="E88" s="38" t="n">
        <f aca="false">INDEX('Transition Stepwise'!$F$2:$F$1137,MATCH(11&amp;"|"&amp;$A88&amp;"|"&amp;E$85,'Transition Stepwise'!$E$2:$E$1137,0))</f>
        <v>1</v>
      </c>
      <c r="F88" s="38" t="n">
        <f aca="false">ROUND(SUM(B88:E88),9)</f>
        <v>6</v>
      </c>
    </row>
    <row r="89" customFormat="false" ht="15" hidden="false" customHeight="true" outlineLevel="0" collapsed="false">
      <c r="A89" s="41" t="s">
        <v>171</v>
      </c>
      <c r="B89" s="38" t="n">
        <f aca="false">INDEX('Transition Stepwise'!$F$2:$F$1137,MATCH(11&amp;"|"&amp;$A89&amp;"|"&amp;B$85,'Transition Stepwise'!$E$2:$E$1137,0))</f>
        <v>5</v>
      </c>
      <c r="C89" s="38" t="n">
        <f aca="false">INDEX('Transition Stepwise'!$F$2:$F$1137,MATCH(11&amp;"|"&amp;$A89&amp;"|"&amp;C$85,'Transition Stepwise'!$E$2:$E$1137,0))</f>
        <v>12</v>
      </c>
      <c r="D89" s="38" t="n">
        <f aca="false">INDEX('Transition Stepwise'!$F$2:$F$1137,MATCH(11&amp;"|"&amp;$A89&amp;"|"&amp;D$85,'Transition Stepwise'!$E$2:$E$1137,0))</f>
        <v>12</v>
      </c>
      <c r="E89" s="38" t="n">
        <f aca="false">INDEX('Transition Stepwise'!$F$2:$F$1137,MATCH(11&amp;"|"&amp;$A89&amp;"|"&amp;E$85,'Transition Stepwise'!$E$2:$E$1137,0))</f>
        <v>11</v>
      </c>
      <c r="F89" s="38" t="n">
        <f aca="false">ROUND(SUM(B89:E89),9)</f>
        <v>40</v>
      </c>
    </row>
    <row r="90" customFormat="false" ht="15" hidden="false" customHeight="true" outlineLevel="0" collapsed="false">
      <c r="A90" s="38"/>
      <c r="B90" s="38"/>
      <c r="C90" s="38"/>
      <c r="D90" s="38"/>
      <c r="E90" s="38"/>
      <c r="F90" s="38"/>
    </row>
    <row r="91" customFormat="false" ht="15" hidden="false" customHeight="true" outlineLevel="0" collapsed="false">
      <c r="A91" s="38"/>
      <c r="B91" s="38"/>
      <c r="C91" s="38"/>
      <c r="D91" s="38"/>
      <c r="E91" s="38"/>
      <c r="F91" s="38"/>
    </row>
    <row r="92" customFormat="false" ht="15" hidden="false" customHeight="true" outlineLevel="0" collapsed="false">
      <c r="A92" s="41" t="s">
        <v>705</v>
      </c>
      <c r="B92" s="38"/>
      <c r="C92" s="38"/>
      <c r="D92" s="38"/>
      <c r="E92" s="38"/>
      <c r="F92" s="38"/>
    </row>
    <row r="93" customFormat="false" ht="15" hidden="false" customHeight="true" outlineLevel="0" collapsed="false">
      <c r="A93" s="39" t="s">
        <v>693</v>
      </c>
      <c r="B93" s="39" t="s">
        <v>172</v>
      </c>
      <c r="C93" s="39" t="s">
        <v>170</v>
      </c>
      <c r="D93" s="39" t="s">
        <v>169</v>
      </c>
      <c r="E93" s="39" t="s">
        <v>171</v>
      </c>
      <c r="F93" s="39" t="s">
        <v>694</v>
      </c>
    </row>
    <row r="94" customFormat="false" ht="15" hidden="false" customHeight="true" outlineLevel="0" collapsed="false">
      <c r="A94" s="41" t="s">
        <v>172</v>
      </c>
      <c r="B94" s="38" t="n">
        <f aca="false">INDEX('Transition Stepwise'!$F$2:$F$1137,MATCH(12&amp;"|"&amp;$A94&amp;"|"&amp;B$93,'Transition Stepwise'!$E$2:$E$1137,0))</f>
        <v>0</v>
      </c>
      <c r="C94" s="38" t="n">
        <f aca="false">INDEX('Transition Stepwise'!$F$2:$F$1137,MATCH(12&amp;"|"&amp;$A94&amp;"|"&amp;C$93,'Transition Stepwise'!$E$2:$E$1137,0))</f>
        <v>0</v>
      </c>
      <c r="D94" s="38" t="n">
        <f aca="false">INDEX('Transition Stepwise'!$F$2:$F$1137,MATCH(12&amp;"|"&amp;$A94&amp;"|"&amp;D$93,'Transition Stepwise'!$E$2:$E$1137,0))</f>
        <v>6</v>
      </c>
      <c r="E94" s="38" t="n">
        <f aca="false">INDEX('Transition Stepwise'!$F$2:$F$1137,MATCH(12&amp;"|"&amp;$A94&amp;"|"&amp;E$93,'Transition Stepwise'!$E$2:$E$1137,0))</f>
        <v>7</v>
      </c>
      <c r="F94" s="38" t="n">
        <f aca="false">ROUND(SUM(B94:E94),9)</f>
        <v>13</v>
      </c>
    </row>
    <row r="95" customFormat="false" ht="15" hidden="false" customHeight="true" outlineLevel="0" collapsed="false">
      <c r="A95" s="41" t="s">
        <v>170</v>
      </c>
      <c r="B95" s="38" t="n">
        <f aca="false">INDEX('Transition Stepwise'!$F$2:$F$1137,MATCH(12&amp;"|"&amp;$A95&amp;"|"&amp;B$93,'Transition Stepwise'!$E$2:$E$1137,0))</f>
        <v>7</v>
      </c>
      <c r="C95" s="38" t="n">
        <f aca="false">INDEX('Transition Stepwise'!$F$2:$F$1137,MATCH(12&amp;"|"&amp;$A95&amp;"|"&amp;C$93,'Transition Stepwise'!$E$2:$E$1137,0))</f>
        <v>4</v>
      </c>
      <c r="D95" s="38" t="n">
        <f aca="false">INDEX('Transition Stepwise'!$F$2:$F$1137,MATCH(12&amp;"|"&amp;$A95&amp;"|"&amp;D$93,'Transition Stepwise'!$E$2:$E$1137,0))</f>
        <v>7</v>
      </c>
      <c r="E95" s="38" t="n">
        <f aca="false">INDEX('Transition Stepwise'!$F$2:$F$1137,MATCH(12&amp;"|"&amp;$A95&amp;"|"&amp;E$93,'Transition Stepwise'!$E$2:$E$1137,0))</f>
        <v>11</v>
      </c>
      <c r="F95" s="38" t="n">
        <f aca="false">ROUND(SUM(B95:E95),9)</f>
        <v>29</v>
      </c>
    </row>
    <row r="96" customFormat="false" ht="15" hidden="false" customHeight="true" outlineLevel="0" collapsed="false">
      <c r="A96" s="41" t="s">
        <v>169</v>
      </c>
      <c r="B96" s="38" t="n">
        <f aca="false">INDEX('Transition Stepwise'!$F$2:$F$1137,MATCH(12&amp;"|"&amp;$A96&amp;"|"&amp;B$93,'Transition Stepwise'!$E$2:$E$1137,0))</f>
        <v>5</v>
      </c>
      <c r="C96" s="38" t="n">
        <f aca="false">INDEX('Transition Stepwise'!$F$2:$F$1137,MATCH(12&amp;"|"&amp;$A96&amp;"|"&amp;C$93,'Transition Stepwise'!$E$2:$E$1137,0))</f>
        <v>19</v>
      </c>
      <c r="D96" s="38" t="n">
        <f aca="false">INDEX('Transition Stepwise'!$F$2:$F$1137,MATCH(12&amp;"|"&amp;$A96&amp;"|"&amp;D$93,'Transition Stepwise'!$E$2:$E$1137,0))</f>
        <v>5</v>
      </c>
      <c r="E96" s="38" t="n">
        <f aca="false">INDEX('Transition Stepwise'!$F$2:$F$1137,MATCH(12&amp;"|"&amp;$A96&amp;"|"&amp;E$93,'Transition Stepwise'!$E$2:$E$1137,0))</f>
        <v>9</v>
      </c>
      <c r="F96" s="38" t="n">
        <f aca="false">ROUND(SUM(B96:E96),9)</f>
        <v>38</v>
      </c>
    </row>
    <row r="97" customFormat="false" ht="15" hidden="false" customHeight="true" outlineLevel="0" collapsed="false">
      <c r="A97" s="41" t="s">
        <v>171</v>
      </c>
      <c r="B97" s="38" t="n">
        <f aca="false">INDEX('Transition Stepwise'!$F$2:$F$1137,MATCH(12&amp;"|"&amp;$A97&amp;"|"&amp;B$93,'Transition Stepwise'!$E$2:$E$1137,0))</f>
        <v>1</v>
      </c>
      <c r="C97" s="38" t="n">
        <f aca="false">INDEX('Transition Stepwise'!$F$2:$F$1137,MATCH(12&amp;"|"&amp;$A97&amp;"|"&amp;C$93,'Transition Stepwise'!$E$2:$E$1137,0))</f>
        <v>106</v>
      </c>
      <c r="D97" s="38" t="n">
        <f aca="false">INDEX('Transition Stepwise'!$F$2:$F$1137,MATCH(12&amp;"|"&amp;$A97&amp;"|"&amp;D$93,'Transition Stepwise'!$E$2:$E$1137,0))</f>
        <v>1</v>
      </c>
      <c r="E97" s="38" t="n">
        <f aca="false">INDEX('Transition Stepwise'!$F$2:$F$1137,MATCH(12&amp;"|"&amp;$A97&amp;"|"&amp;E$93,'Transition Stepwise'!$E$2:$E$1137,0))</f>
        <v>11</v>
      </c>
      <c r="F97" s="38" t="n">
        <f aca="false">ROUND(SUM(B97:E97),9)</f>
        <v>119</v>
      </c>
    </row>
    <row r="98" customFormat="false" ht="15" hidden="false" customHeight="true" outlineLevel="0" collapsed="false">
      <c r="A98" s="38"/>
      <c r="B98" s="38"/>
      <c r="C98" s="38"/>
      <c r="D98" s="38"/>
      <c r="E98" s="38"/>
      <c r="F98" s="38"/>
    </row>
    <row r="99" customFormat="false" ht="15" hidden="false" customHeight="true" outlineLevel="0" collapsed="false">
      <c r="A99" s="38"/>
      <c r="B99" s="38"/>
      <c r="C99" s="38"/>
      <c r="D99" s="38"/>
      <c r="E99" s="38"/>
      <c r="F99" s="38"/>
    </row>
    <row r="100" customFormat="false" ht="15" hidden="false" customHeight="true" outlineLevel="0" collapsed="false">
      <c r="A100" s="41" t="s">
        <v>706</v>
      </c>
      <c r="B100" s="38"/>
      <c r="C100" s="38"/>
      <c r="D100" s="38"/>
      <c r="E100" s="38"/>
      <c r="F100" s="38"/>
    </row>
    <row r="101" customFormat="false" ht="15" hidden="false" customHeight="true" outlineLevel="0" collapsed="false">
      <c r="A101" s="39" t="s">
        <v>693</v>
      </c>
      <c r="B101" s="39" t="s">
        <v>172</v>
      </c>
      <c r="C101" s="39" t="s">
        <v>170</v>
      </c>
      <c r="D101" s="39" t="s">
        <v>169</v>
      </c>
      <c r="E101" s="39" t="s">
        <v>171</v>
      </c>
      <c r="F101" s="39" t="s">
        <v>694</v>
      </c>
    </row>
    <row r="102" customFormat="false" ht="15" hidden="false" customHeight="true" outlineLevel="0" collapsed="false">
      <c r="A102" s="41" t="s">
        <v>172</v>
      </c>
      <c r="B102" s="38" t="n">
        <f aca="false">INDEX('Transition Stepwise'!$F$2:$F$1137,MATCH(13&amp;"|"&amp;$A102&amp;"|"&amp;B$101,'Transition Stepwise'!$E$2:$E$1137,0))</f>
        <v>12</v>
      </c>
      <c r="C102" s="38" t="n">
        <f aca="false">INDEX('Transition Stepwise'!$F$2:$F$1137,MATCH(13&amp;"|"&amp;$A102&amp;"|"&amp;C$101,'Transition Stepwise'!$E$2:$E$1137,0))</f>
        <v>0</v>
      </c>
      <c r="D102" s="38" t="n">
        <f aca="false">INDEX('Transition Stepwise'!$F$2:$F$1137,MATCH(13&amp;"|"&amp;$A102&amp;"|"&amp;D$101,'Transition Stepwise'!$E$2:$E$1137,0))</f>
        <v>1</v>
      </c>
      <c r="E102" s="38" t="n">
        <f aca="false">INDEX('Transition Stepwise'!$F$2:$F$1137,MATCH(13&amp;"|"&amp;$A102&amp;"|"&amp;E$101,'Transition Stepwise'!$E$2:$E$1137,0))</f>
        <v>0</v>
      </c>
      <c r="F102" s="38" t="n">
        <f aca="false">ROUND(SUM(B102:E102),9)</f>
        <v>13</v>
      </c>
    </row>
    <row r="103" customFormat="false" ht="15" hidden="false" customHeight="true" outlineLevel="0" collapsed="false">
      <c r="A103" s="41" t="s">
        <v>170</v>
      </c>
      <c r="B103" s="38" t="n">
        <f aca="false">INDEX('Transition Stepwise'!$F$2:$F$1137,MATCH(13&amp;"|"&amp;$A103&amp;"|"&amp;B$101,'Transition Stepwise'!$E$2:$E$1137,0))</f>
        <v>128</v>
      </c>
      <c r="C103" s="38" t="n">
        <f aca="false">INDEX('Transition Stepwise'!$F$2:$F$1137,MATCH(13&amp;"|"&amp;$A103&amp;"|"&amp;C$101,'Transition Stepwise'!$E$2:$E$1137,0))</f>
        <v>1</v>
      </c>
      <c r="D103" s="38" t="n">
        <f aca="false">INDEX('Transition Stepwise'!$F$2:$F$1137,MATCH(13&amp;"|"&amp;$A103&amp;"|"&amp;D$101,'Transition Stepwise'!$E$2:$E$1137,0))</f>
        <v>0</v>
      </c>
      <c r="E103" s="38" t="n">
        <f aca="false">INDEX('Transition Stepwise'!$F$2:$F$1137,MATCH(13&amp;"|"&amp;$A103&amp;"|"&amp;E$101,'Transition Stepwise'!$E$2:$E$1137,0))</f>
        <v>0</v>
      </c>
      <c r="F103" s="38" t="n">
        <f aca="false">ROUND(SUM(B103:E103),9)</f>
        <v>129</v>
      </c>
    </row>
    <row r="104" customFormat="false" ht="15" hidden="false" customHeight="true" outlineLevel="0" collapsed="false">
      <c r="A104" s="41" t="s">
        <v>169</v>
      </c>
      <c r="B104" s="38" t="n">
        <f aca="false">INDEX('Transition Stepwise'!$F$2:$F$1137,MATCH(13&amp;"|"&amp;$A104&amp;"|"&amp;B$101,'Transition Stepwise'!$E$2:$E$1137,0))</f>
        <v>19</v>
      </c>
      <c r="C104" s="38" t="n">
        <f aca="false">INDEX('Transition Stepwise'!$F$2:$F$1137,MATCH(13&amp;"|"&amp;$A104&amp;"|"&amp;C$101,'Transition Stepwise'!$E$2:$E$1137,0))</f>
        <v>0</v>
      </c>
      <c r="D104" s="38" t="n">
        <f aca="false">INDEX('Transition Stepwise'!$F$2:$F$1137,MATCH(13&amp;"|"&amp;$A104&amp;"|"&amp;D$101,'Transition Stepwise'!$E$2:$E$1137,0))</f>
        <v>0</v>
      </c>
      <c r="E104" s="38" t="n">
        <f aca="false">INDEX('Transition Stepwise'!$F$2:$F$1137,MATCH(13&amp;"|"&amp;$A104&amp;"|"&amp;E$101,'Transition Stepwise'!$E$2:$E$1137,0))</f>
        <v>0</v>
      </c>
      <c r="F104" s="38" t="n">
        <f aca="false">ROUND(SUM(B104:E104),9)</f>
        <v>19</v>
      </c>
    </row>
    <row r="105" customFormat="false" ht="15" hidden="false" customHeight="true" outlineLevel="0" collapsed="false">
      <c r="A105" s="41" t="s">
        <v>171</v>
      </c>
      <c r="B105" s="38" t="n">
        <f aca="false">INDEX('Transition Stepwise'!$F$2:$F$1137,MATCH(13&amp;"|"&amp;$A105&amp;"|"&amp;B$101,'Transition Stepwise'!$E$2:$E$1137,0))</f>
        <v>38</v>
      </c>
      <c r="C105" s="38" t="n">
        <f aca="false">INDEX('Transition Stepwise'!$F$2:$F$1137,MATCH(13&amp;"|"&amp;$A105&amp;"|"&amp;C$101,'Transition Stepwise'!$E$2:$E$1137,0))</f>
        <v>0</v>
      </c>
      <c r="D105" s="38" t="n">
        <f aca="false">INDEX('Transition Stepwise'!$F$2:$F$1137,MATCH(13&amp;"|"&amp;$A105&amp;"|"&amp;D$101,'Transition Stepwise'!$E$2:$E$1137,0))</f>
        <v>0</v>
      </c>
      <c r="E105" s="38" t="n">
        <f aca="false">INDEX('Transition Stepwise'!$F$2:$F$1137,MATCH(13&amp;"|"&amp;$A105&amp;"|"&amp;E$101,'Transition Stepwise'!$E$2:$E$1137,0))</f>
        <v>0</v>
      </c>
      <c r="F105" s="38" t="n">
        <f aca="false">ROUND(SUM(B105:E105),9)</f>
        <v>38</v>
      </c>
    </row>
    <row r="106" customFormat="false" ht="15" hidden="false" customHeight="true" outlineLevel="0" collapsed="false">
      <c r="A106" s="38"/>
      <c r="B106" s="38"/>
      <c r="C106" s="38"/>
      <c r="D106" s="38"/>
      <c r="E106" s="38"/>
      <c r="F106" s="38"/>
    </row>
    <row r="107" customFormat="false" ht="15" hidden="false" customHeight="true" outlineLevel="0" collapsed="false">
      <c r="A107" s="38"/>
      <c r="B107" s="38"/>
      <c r="C107" s="38"/>
      <c r="D107" s="38"/>
      <c r="E107" s="38"/>
      <c r="F107" s="38"/>
    </row>
    <row r="108" customFormat="false" ht="15" hidden="false" customHeight="true" outlineLevel="0" collapsed="false">
      <c r="A108" s="41" t="s">
        <v>707</v>
      </c>
      <c r="B108" s="38"/>
      <c r="C108" s="38"/>
      <c r="D108" s="38"/>
      <c r="E108" s="38"/>
      <c r="F108" s="38"/>
    </row>
    <row r="109" customFormat="false" ht="15" hidden="false" customHeight="true" outlineLevel="0" collapsed="false">
      <c r="A109" s="39" t="s">
        <v>693</v>
      </c>
      <c r="B109" s="39" t="s">
        <v>172</v>
      </c>
      <c r="C109" s="39" t="s">
        <v>170</v>
      </c>
      <c r="D109" s="39" t="s">
        <v>169</v>
      </c>
      <c r="E109" s="39" t="s">
        <v>171</v>
      </c>
      <c r="F109" s="39" t="s">
        <v>694</v>
      </c>
    </row>
    <row r="110" customFormat="false" ht="15" hidden="false" customHeight="true" outlineLevel="0" collapsed="false">
      <c r="A110" s="41" t="s">
        <v>172</v>
      </c>
      <c r="B110" s="38" t="n">
        <f aca="false">INDEX('Transition Stepwise'!$F$2:$F$1137,MATCH(14&amp;"|"&amp;$A110&amp;"|"&amp;B$109,'Transition Stepwise'!$E$2:$E$1137,0))</f>
        <v>32</v>
      </c>
      <c r="C110" s="38" t="n">
        <f aca="false">INDEX('Transition Stepwise'!$F$2:$F$1137,MATCH(14&amp;"|"&amp;$A110&amp;"|"&amp;C$109,'Transition Stepwise'!$E$2:$E$1137,0))</f>
        <v>1</v>
      </c>
      <c r="D110" s="38" t="n">
        <f aca="false">INDEX('Transition Stepwise'!$F$2:$F$1137,MATCH(14&amp;"|"&amp;$A110&amp;"|"&amp;D$109,'Transition Stepwise'!$E$2:$E$1137,0))</f>
        <v>161</v>
      </c>
      <c r="E110" s="38" t="n">
        <f aca="false">INDEX('Transition Stepwise'!$F$2:$F$1137,MATCH(14&amp;"|"&amp;$A110&amp;"|"&amp;E$109,'Transition Stepwise'!$E$2:$E$1137,0))</f>
        <v>2</v>
      </c>
      <c r="F110" s="38" t="n">
        <f aca="false">ROUND(SUM(B110:E110),9)</f>
        <v>196</v>
      </c>
    </row>
    <row r="111" customFormat="false" ht="15" hidden="false" customHeight="true" outlineLevel="0" collapsed="false">
      <c r="A111" s="41" t="s">
        <v>170</v>
      </c>
      <c r="B111" s="38" t="n">
        <f aca="false">INDEX('Transition Stepwise'!$F$2:$F$1137,MATCH(14&amp;"|"&amp;$A111&amp;"|"&amp;B$109,'Transition Stepwise'!$E$2:$E$1137,0))</f>
        <v>1</v>
      </c>
      <c r="C111" s="38" t="n">
        <f aca="false">INDEX('Transition Stepwise'!$F$2:$F$1137,MATCH(14&amp;"|"&amp;$A111&amp;"|"&amp;C$109,'Transition Stepwise'!$E$2:$E$1137,0))</f>
        <v>0</v>
      </c>
      <c r="D111" s="38" t="n">
        <f aca="false">INDEX('Transition Stepwise'!$F$2:$F$1137,MATCH(14&amp;"|"&amp;$A111&amp;"|"&amp;D$109,'Transition Stepwise'!$E$2:$E$1137,0))</f>
        <v>0</v>
      </c>
      <c r="E111" s="38" t="n">
        <f aca="false">INDEX('Transition Stepwise'!$F$2:$F$1137,MATCH(14&amp;"|"&amp;$A111&amp;"|"&amp;E$109,'Transition Stepwise'!$E$2:$E$1137,0))</f>
        <v>0</v>
      </c>
      <c r="F111" s="38" t="n">
        <f aca="false">ROUND(SUM(B111:E111),9)</f>
        <v>1</v>
      </c>
    </row>
    <row r="112" customFormat="false" ht="15" hidden="false" customHeight="true" outlineLevel="0" collapsed="false">
      <c r="A112" s="41" t="s">
        <v>169</v>
      </c>
      <c r="B112" s="38" t="n">
        <f aca="false">INDEX('Transition Stepwise'!$F$2:$F$1137,MATCH(14&amp;"|"&amp;$A112&amp;"|"&amp;B$109,'Transition Stepwise'!$E$2:$E$1137,0))</f>
        <v>0</v>
      </c>
      <c r="C112" s="38" t="n">
        <f aca="false">INDEX('Transition Stepwise'!$F$2:$F$1137,MATCH(14&amp;"|"&amp;$A112&amp;"|"&amp;C$109,'Transition Stepwise'!$E$2:$E$1137,0))</f>
        <v>1</v>
      </c>
      <c r="D112" s="38" t="n">
        <f aca="false">INDEX('Transition Stepwise'!$F$2:$F$1137,MATCH(14&amp;"|"&amp;$A112&amp;"|"&amp;D$109,'Transition Stepwise'!$E$2:$E$1137,0))</f>
        <v>0</v>
      </c>
      <c r="E112" s="38" t="n">
        <f aca="false">INDEX('Transition Stepwise'!$F$2:$F$1137,MATCH(14&amp;"|"&amp;$A112&amp;"|"&amp;E$109,'Transition Stepwise'!$E$2:$E$1137,0))</f>
        <v>0</v>
      </c>
      <c r="F112" s="38" t="n">
        <f aca="false">ROUND(SUM(B112:E112),9)</f>
        <v>1</v>
      </c>
    </row>
    <row r="113" customFormat="false" ht="15" hidden="false" customHeight="true" outlineLevel="0" collapsed="false">
      <c r="A113" s="41" t="s">
        <v>171</v>
      </c>
      <c r="B113" s="38" t="n">
        <f aca="false">INDEX('Transition Stepwise'!$F$2:$F$1137,MATCH(14&amp;"|"&amp;$A113&amp;"|"&amp;B$109,'Transition Stepwise'!$E$2:$E$1137,0))</f>
        <v>0</v>
      </c>
      <c r="C113" s="38" t="n">
        <f aca="false">INDEX('Transition Stepwise'!$F$2:$F$1137,MATCH(14&amp;"|"&amp;$A113&amp;"|"&amp;C$109,'Transition Stepwise'!$E$2:$E$1137,0))</f>
        <v>0</v>
      </c>
      <c r="D113" s="38" t="n">
        <f aca="false">INDEX('Transition Stepwise'!$F$2:$F$1137,MATCH(14&amp;"|"&amp;$A113&amp;"|"&amp;D$109,'Transition Stepwise'!$E$2:$E$1137,0))</f>
        <v>0</v>
      </c>
      <c r="E113" s="38" t="n">
        <f aca="false">INDEX('Transition Stepwise'!$F$2:$F$1137,MATCH(14&amp;"|"&amp;$A113&amp;"|"&amp;E$109,'Transition Stepwise'!$E$2:$E$1137,0))</f>
        <v>0</v>
      </c>
      <c r="F113" s="38" t="n">
        <f aca="false">ROUND(SUM(B113:E113),9)</f>
        <v>0</v>
      </c>
    </row>
    <row r="114" customFormat="false" ht="15" hidden="false" customHeight="true" outlineLevel="0" collapsed="false">
      <c r="A114" s="38"/>
      <c r="B114" s="38"/>
      <c r="C114" s="38"/>
      <c r="D114" s="38"/>
      <c r="E114" s="38"/>
      <c r="F114" s="38"/>
    </row>
    <row r="115" customFormat="false" ht="15" hidden="false" customHeight="true" outlineLevel="0" collapsed="false">
      <c r="A115" s="38"/>
      <c r="B115" s="38"/>
      <c r="C115" s="38"/>
      <c r="D115" s="38"/>
      <c r="E115" s="38"/>
      <c r="F115" s="38"/>
    </row>
    <row r="116" customFormat="false" ht="15" hidden="false" customHeight="true" outlineLevel="0" collapsed="false">
      <c r="A116" s="41" t="s">
        <v>708</v>
      </c>
      <c r="B116" s="38"/>
      <c r="C116" s="38"/>
      <c r="D116" s="38"/>
      <c r="E116" s="38"/>
      <c r="F116" s="38"/>
    </row>
    <row r="117" customFormat="false" ht="15" hidden="false" customHeight="true" outlineLevel="0" collapsed="false">
      <c r="A117" s="39" t="s">
        <v>693</v>
      </c>
      <c r="B117" s="39" t="s">
        <v>172</v>
      </c>
      <c r="C117" s="39" t="s">
        <v>170</v>
      </c>
      <c r="D117" s="39" t="s">
        <v>169</v>
      </c>
      <c r="E117" s="39" t="s">
        <v>171</v>
      </c>
      <c r="F117" s="39" t="s">
        <v>694</v>
      </c>
    </row>
    <row r="118" customFormat="false" ht="15" hidden="false" customHeight="true" outlineLevel="0" collapsed="false">
      <c r="A118" s="41" t="s">
        <v>172</v>
      </c>
      <c r="B118" s="38" t="n">
        <f aca="false">INDEX('Transition Stepwise'!$F$2:$F$1137,MATCH(15&amp;"|"&amp;$A118&amp;"|"&amp;B$117,'Transition Stepwise'!$E$2:$E$1137,0))</f>
        <v>1</v>
      </c>
      <c r="C118" s="38" t="n">
        <f aca="false">INDEX('Transition Stepwise'!$F$2:$F$1137,MATCH(15&amp;"|"&amp;$A118&amp;"|"&amp;C$117,'Transition Stepwise'!$E$2:$E$1137,0))</f>
        <v>1</v>
      </c>
      <c r="D118" s="38" t="n">
        <f aca="false">INDEX('Transition Stepwise'!$F$2:$F$1137,MATCH(15&amp;"|"&amp;$A118&amp;"|"&amp;D$117,'Transition Stepwise'!$E$2:$E$1137,0))</f>
        <v>0</v>
      </c>
      <c r="E118" s="38" t="n">
        <f aca="false">INDEX('Transition Stepwise'!$F$2:$F$1137,MATCH(15&amp;"|"&amp;$A118&amp;"|"&amp;E$117,'Transition Stepwise'!$E$2:$E$1137,0))</f>
        <v>15</v>
      </c>
      <c r="F118" s="38" t="n">
        <f aca="false">ROUND(SUM(B118:E118),9)</f>
        <v>17</v>
      </c>
    </row>
    <row r="119" customFormat="false" ht="15" hidden="false" customHeight="true" outlineLevel="0" collapsed="false">
      <c r="A119" s="41" t="s">
        <v>170</v>
      </c>
      <c r="B119" s="38" t="n">
        <f aca="false">INDEX('Transition Stepwise'!$F$2:$F$1137,MATCH(15&amp;"|"&amp;$A119&amp;"|"&amp;B$117,'Transition Stepwise'!$E$2:$E$1137,0))</f>
        <v>0</v>
      </c>
      <c r="C119" s="38" t="n">
        <f aca="false">INDEX('Transition Stepwise'!$F$2:$F$1137,MATCH(15&amp;"|"&amp;$A119&amp;"|"&amp;C$117,'Transition Stepwise'!$E$2:$E$1137,0))</f>
        <v>0</v>
      </c>
      <c r="D119" s="38" t="n">
        <f aca="false">INDEX('Transition Stepwise'!$F$2:$F$1137,MATCH(15&amp;"|"&amp;$A119&amp;"|"&amp;D$117,'Transition Stepwise'!$E$2:$E$1137,0))</f>
        <v>0</v>
      </c>
      <c r="E119" s="38" t="n">
        <f aca="false">INDEX('Transition Stepwise'!$F$2:$F$1137,MATCH(15&amp;"|"&amp;$A119&amp;"|"&amp;E$117,'Transition Stepwise'!$E$2:$E$1137,0))</f>
        <v>1</v>
      </c>
      <c r="F119" s="38" t="n">
        <f aca="false">ROUND(SUM(B119:E119),9)</f>
        <v>1</v>
      </c>
    </row>
    <row r="120" customFormat="false" ht="15" hidden="false" customHeight="true" outlineLevel="0" collapsed="false">
      <c r="A120" s="41" t="s">
        <v>169</v>
      </c>
      <c r="B120" s="38" t="n">
        <f aca="false">INDEX('Transition Stepwise'!$F$2:$F$1137,MATCH(15&amp;"|"&amp;$A120&amp;"|"&amp;B$117,'Transition Stepwise'!$E$2:$E$1137,0))</f>
        <v>2</v>
      </c>
      <c r="C120" s="38" t="n">
        <f aca="false">INDEX('Transition Stepwise'!$F$2:$F$1137,MATCH(15&amp;"|"&amp;$A120&amp;"|"&amp;C$117,'Transition Stepwise'!$E$2:$E$1137,0))</f>
        <v>45</v>
      </c>
      <c r="D120" s="38" t="n">
        <f aca="false">INDEX('Transition Stepwise'!$F$2:$F$1137,MATCH(15&amp;"|"&amp;$A120&amp;"|"&amp;D$117,'Transition Stepwise'!$E$2:$E$1137,0))</f>
        <v>3</v>
      </c>
      <c r="E120" s="38" t="n">
        <f aca="false">INDEX('Transition Stepwise'!$F$2:$F$1137,MATCH(15&amp;"|"&amp;$A120&amp;"|"&amp;E$117,'Transition Stepwise'!$E$2:$E$1137,0))</f>
        <v>63</v>
      </c>
      <c r="F120" s="38" t="n">
        <f aca="false">ROUND(SUM(B120:E120),9)</f>
        <v>113</v>
      </c>
    </row>
    <row r="121" customFormat="false" ht="15" hidden="false" customHeight="true" outlineLevel="0" collapsed="false">
      <c r="A121" s="41" t="s">
        <v>171</v>
      </c>
      <c r="B121" s="38" t="n">
        <f aca="false">INDEX('Transition Stepwise'!$F$2:$F$1137,MATCH(15&amp;"|"&amp;$A121&amp;"|"&amp;B$117,'Transition Stepwise'!$E$2:$E$1137,0))</f>
        <v>0</v>
      </c>
      <c r="C121" s="38" t="n">
        <f aca="false">INDEX('Transition Stepwise'!$F$2:$F$1137,MATCH(15&amp;"|"&amp;$A121&amp;"|"&amp;C$117,'Transition Stepwise'!$E$2:$E$1137,0))</f>
        <v>1</v>
      </c>
      <c r="D121" s="38" t="n">
        <f aca="false">INDEX('Transition Stepwise'!$F$2:$F$1137,MATCH(15&amp;"|"&amp;$A121&amp;"|"&amp;D$117,'Transition Stepwise'!$E$2:$E$1137,0))</f>
        <v>0</v>
      </c>
      <c r="E121" s="38" t="n">
        <f aca="false">INDEX('Transition Stepwise'!$F$2:$F$1137,MATCH(15&amp;"|"&amp;$A121&amp;"|"&amp;E$117,'Transition Stepwise'!$E$2:$E$1137,0))</f>
        <v>0</v>
      </c>
      <c r="F121" s="38" t="n">
        <f aca="false">ROUND(SUM(B121:E121),9)</f>
        <v>1</v>
      </c>
    </row>
    <row r="122" customFormat="false" ht="15" hidden="false" customHeight="true" outlineLevel="0" collapsed="false">
      <c r="A122" s="38"/>
      <c r="B122" s="38"/>
      <c r="C122" s="38"/>
      <c r="D122" s="38"/>
      <c r="E122" s="38"/>
      <c r="F122" s="38"/>
    </row>
    <row r="123" customFormat="false" ht="15" hidden="false" customHeight="true" outlineLevel="0" collapsed="false">
      <c r="A123" s="38"/>
      <c r="B123" s="38"/>
      <c r="C123" s="38"/>
      <c r="D123" s="38"/>
      <c r="E123" s="38"/>
      <c r="F123" s="38"/>
    </row>
    <row r="124" customFormat="false" ht="15" hidden="false" customHeight="true" outlineLevel="0" collapsed="false">
      <c r="A124" s="41" t="s">
        <v>709</v>
      </c>
      <c r="B124" s="38"/>
      <c r="C124" s="38"/>
      <c r="D124" s="38"/>
      <c r="E124" s="38"/>
      <c r="F124" s="38"/>
    </row>
    <row r="125" customFormat="false" ht="15" hidden="false" customHeight="true" outlineLevel="0" collapsed="false">
      <c r="A125" s="39" t="s">
        <v>693</v>
      </c>
      <c r="B125" s="39" t="s">
        <v>172</v>
      </c>
      <c r="C125" s="39" t="s">
        <v>170</v>
      </c>
      <c r="D125" s="39" t="s">
        <v>169</v>
      </c>
      <c r="E125" s="39" t="s">
        <v>171</v>
      </c>
      <c r="F125" s="39" t="s">
        <v>694</v>
      </c>
    </row>
    <row r="126" customFormat="false" ht="15" hidden="false" customHeight="true" outlineLevel="0" collapsed="false">
      <c r="A126" s="41" t="s">
        <v>172</v>
      </c>
      <c r="B126" s="38" t="n">
        <f aca="false">INDEX('Transition Stepwise'!$F$2:$F$1137,MATCH(16&amp;"|"&amp;$A126&amp;"|"&amp;B$125,'Transition Stepwise'!$E$2:$E$1137,0))</f>
        <v>0</v>
      </c>
      <c r="C126" s="38" t="n">
        <f aca="false">INDEX('Transition Stepwise'!$F$2:$F$1137,MATCH(16&amp;"|"&amp;$A126&amp;"|"&amp;C$125,'Transition Stepwise'!$E$2:$E$1137,0))</f>
        <v>1</v>
      </c>
      <c r="D126" s="38" t="n">
        <f aca="false">INDEX('Transition Stepwise'!$F$2:$F$1137,MATCH(16&amp;"|"&amp;$A126&amp;"|"&amp;D$125,'Transition Stepwise'!$E$2:$E$1137,0))</f>
        <v>0</v>
      </c>
      <c r="E126" s="38" t="n">
        <f aca="false">INDEX('Transition Stepwise'!$F$2:$F$1137,MATCH(16&amp;"|"&amp;$A126&amp;"|"&amp;E$125,'Transition Stepwise'!$E$2:$E$1137,0))</f>
        <v>2</v>
      </c>
      <c r="F126" s="38" t="n">
        <f aca="false">ROUND(SUM(B126:E126),9)</f>
        <v>3</v>
      </c>
    </row>
    <row r="127" customFormat="false" ht="15" hidden="false" customHeight="true" outlineLevel="0" collapsed="false">
      <c r="A127" s="41" t="s">
        <v>170</v>
      </c>
      <c r="B127" s="38" t="n">
        <f aca="false">INDEX('Transition Stepwise'!$F$2:$F$1137,MATCH(16&amp;"|"&amp;$A127&amp;"|"&amp;B$125,'Transition Stepwise'!$E$2:$E$1137,0))</f>
        <v>1</v>
      </c>
      <c r="C127" s="38" t="n">
        <f aca="false">INDEX('Transition Stepwise'!$F$2:$F$1137,MATCH(16&amp;"|"&amp;$A127&amp;"|"&amp;C$125,'Transition Stepwise'!$E$2:$E$1137,0))</f>
        <v>22</v>
      </c>
      <c r="D127" s="38" t="n">
        <f aca="false">INDEX('Transition Stepwise'!$F$2:$F$1137,MATCH(16&amp;"|"&amp;$A127&amp;"|"&amp;D$125,'Transition Stepwise'!$E$2:$E$1137,0))</f>
        <v>0</v>
      </c>
      <c r="E127" s="38" t="n">
        <f aca="false">INDEX('Transition Stepwise'!$F$2:$F$1137,MATCH(16&amp;"|"&amp;$A127&amp;"|"&amp;E$125,'Transition Stepwise'!$E$2:$E$1137,0))</f>
        <v>23</v>
      </c>
      <c r="F127" s="38" t="n">
        <f aca="false">ROUND(SUM(B127:E127),9)</f>
        <v>46</v>
      </c>
    </row>
    <row r="128" customFormat="false" ht="15" hidden="false" customHeight="true" outlineLevel="0" collapsed="false">
      <c r="A128" s="41" t="s">
        <v>169</v>
      </c>
      <c r="B128" s="38" t="n">
        <f aca="false">INDEX('Transition Stepwise'!$F$2:$F$1137,MATCH(16&amp;"|"&amp;$A128&amp;"|"&amp;B$125,'Transition Stepwise'!$E$2:$E$1137,0))</f>
        <v>0</v>
      </c>
      <c r="C128" s="38" t="n">
        <f aca="false">INDEX('Transition Stepwise'!$F$2:$F$1137,MATCH(16&amp;"|"&amp;$A128&amp;"|"&amp;C$125,'Transition Stepwise'!$E$2:$E$1137,0))</f>
        <v>0</v>
      </c>
      <c r="D128" s="38" t="n">
        <f aca="false">INDEX('Transition Stepwise'!$F$2:$F$1137,MATCH(16&amp;"|"&amp;$A128&amp;"|"&amp;D$125,'Transition Stepwise'!$E$2:$E$1137,0))</f>
        <v>1</v>
      </c>
      <c r="E128" s="38" t="n">
        <f aca="false">INDEX('Transition Stepwise'!$F$2:$F$1137,MATCH(16&amp;"|"&amp;$A128&amp;"|"&amp;E$125,'Transition Stepwise'!$E$2:$E$1137,0))</f>
        <v>2</v>
      </c>
      <c r="F128" s="38" t="n">
        <f aca="false">ROUND(SUM(B128:E128),9)</f>
        <v>3</v>
      </c>
    </row>
    <row r="129" customFormat="false" ht="15" hidden="false" customHeight="true" outlineLevel="0" collapsed="false">
      <c r="A129" s="41" t="s">
        <v>171</v>
      </c>
      <c r="B129" s="38" t="n">
        <f aca="false">INDEX('Transition Stepwise'!$F$2:$F$1137,MATCH(16&amp;"|"&amp;$A129&amp;"|"&amp;B$125,'Transition Stepwise'!$E$2:$E$1137,0))</f>
        <v>7</v>
      </c>
      <c r="C129" s="38" t="n">
        <f aca="false">INDEX('Transition Stepwise'!$F$2:$F$1137,MATCH(16&amp;"|"&amp;$A129&amp;"|"&amp;C$125,'Transition Stepwise'!$E$2:$E$1137,0))</f>
        <v>21</v>
      </c>
      <c r="D129" s="38" t="n">
        <f aca="false">INDEX('Transition Stepwise'!$F$2:$F$1137,MATCH(16&amp;"|"&amp;$A129&amp;"|"&amp;D$125,'Transition Stepwise'!$E$2:$E$1137,0))</f>
        <v>1</v>
      </c>
      <c r="E129" s="38" t="n">
        <f aca="false">INDEX('Transition Stepwise'!$F$2:$F$1137,MATCH(16&amp;"|"&amp;$A129&amp;"|"&amp;E$125,'Transition Stepwise'!$E$2:$E$1137,0))</f>
        <v>49</v>
      </c>
      <c r="F129" s="38" t="n">
        <f aca="false">ROUND(SUM(B129:E129),9)</f>
        <v>78</v>
      </c>
    </row>
    <row r="130" customFormat="false" ht="15" hidden="false" customHeight="true" outlineLevel="0" collapsed="false">
      <c r="A130" s="38"/>
      <c r="B130" s="38"/>
      <c r="C130" s="38"/>
      <c r="D130" s="38"/>
      <c r="E130" s="38"/>
      <c r="F130" s="38"/>
    </row>
    <row r="131" customFormat="false" ht="15" hidden="false" customHeight="true" outlineLevel="0" collapsed="false">
      <c r="A131" s="38"/>
      <c r="B131" s="38"/>
      <c r="C131" s="38"/>
      <c r="D131" s="38"/>
      <c r="E131" s="38"/>
      <c r="F131" s="38"/>
    </row>
    <row r="132" customFormat="false" ht="15" hidden="false" customHeight="true" outlineLevel="0" collapsed="false">
      <c r="A132" s="41" t="s">
        <v>710</v>
      </c>
      <c r="B132" s="38"/>
      <c r="C132" s="38"/>
      <c r="D132" s="38"/>
      <c r="E132" s="38"/>
      <c r="F132" s="38"/>
    </row>
    <row r="133" customFormat="false" ht="15" hidden="false" customHeight="true" outlineLevel="0" collapsed="false">
      <c r="A133" s="39" t="s">
        <v>693</v>
      </c>
      <c r="B133" s="39" t="s">
        <v>172</v>
      </c>
      <c r="C133" s="39" t="s">
        <v>170</v>
      </c>
      <c r="D133" s="39" t="s">
        <v>169</v>
      </c>
      <c r="E133" s="39" t="s">
        <v>171</v>
      </c>
      <c r="F133" s="39" t="s">
        <v>694</v>
      </c>
    </row>
    <row r="134" customFormat="false" ht="15" hidden="false" customHeight="true" outlineLevel="0" collapsed="false">
      <c r="A134" s="41" t="s">
        <v>172</v>
      </c>
      <c r="B134" s="38" t="n">
        <f aca="false">INDEX('Transition Stepwise'!$F$2:$F$1137,MATCH(17&amp;"|"&amp;$A134&amp;"|"&amp;B$133,'Transition Stepwise'!$E$2:$E$1137,0))</f>
        <v>1</v>
      </c>
      <c r="C134" s="38" t="n">
        <f aca="false">INDEX('Transition Stepwise'!$F$2:$F$1137,MATCH(17&amp;"|"&amp;$A134&amp;"|"&amp;C$133,'Transition Stepwise'!$E$2:$E$1137,0))</f>
        <v>0</v>
      </c>
      <c r="D134" s="38" t="n">
        <f aca="false">INDEX('Transition Stepwise'!$F$2:$F$1137,MATCH(17&amp;"|"&amp;$A134&amp;"|"&amp;D$133,'Transition Stepwise'!$E$2:$E$1137,0))</f>
        <v>11</v>
      </c>
      <c r="E134" s="38" t="n">
        <f aca="false">INDEX('Transition Stepwise'!$F$2:$F$1137,MATCH(17&amp;"|"&amp;$A134&amp;"|"&amp;E$133,'Transition Stepwise'!$E$2:$E$1137,0))</f>
        <v>0</v>
      </c>
      <c r="F134" s="38" t="n">
        <f aca="false">ROUND(SUM(B134:E134),9)</f>
        <v>12</v>
      </c>
    </row>
    <row r="135" customFormat="false" ht="15" hidden="false" customHeight="true" outlineLevel="0" collapsed="false">
      <c r="A135" s="41" t="s">
        <v>170</v>
      </c>
      <c r="B135" s="38" t="n">
        <f aca="false">INDEX('Transition Stepwise'!$F$2:$F$1137,MATCH(17&amp;"|"&amp;$A135&amp;"|"&amp;B$133,'Transition Stepwise'!$E$2:$E$1137,0))</f>
        <v>0</v>
      </c>
      <c r="C135" s="38" t="n">
        <f aca="false">INDEX('Transition Stepwise'!$F$2:$F$1137,MATCH(17&amp;"|"&amp;$A135&amp;"|"&amp;C$133,'Transition Stepwise'!$E$2:$E$1137,0))</f>
        <v>0</v>
      </c>
      <c r="D135" s="38" t="n">
        <f aca="false">INDEX('Transition Stepwise'!$F$2:$F$1137,MATCH(17&amp;"|"&amp;$A135&amp;"|"&amp;D$133,'Transition Stepwise'!$E$2:$E$1137,0))</f>
        <v>63</v>
      </c>
      <c r="E135" s="38" t="n">
        <f aca="false">INDEX('Transition Stepwise'!$F$2:$F$1137,MATCH(17&amp;"|"&amp;$A135&amp;"|"&amp;E$133,'Transition Stepwise'!$E$2:$E$1137,0))</f>
        <v>0</v>
      </c>
      <c r="F135" s="38" t="n">
        <f aca="false">ROUND(SUM(B135:E135),9)</f>
        <v>63</v>
      </c>
    </row>
    <row r="136" customFormat="false" ht="15" hidden="false" customHeight="true" outlineLevel="0" collapsed="false">
      <c r="A136" s="41" t="s">
        <v>169</v>
      </c>
      <c r="B136" s="38" t="n">
        <f aca="false">INDEX('Transition Stepwise'!$F$2:$F$1137,MATCH(17&amp;"|"&amp;$A136&amp;"|"&amp;B$133,'Transition Stepwise'!$E$2:$E$1137,0))</f>
        <v>0</v>
      </c>
      <c r="C136" s="38" t="n">
        <f aca="false">INDEX('Transition Stepwise'!$F$2:$F$1137,MATCH(17&amp;"|"&amp;$A136&amp;"|"&amp;C$133,'Transition Stepwise'!$E$2:$E$1137,0))</f>
        <v>0</v>
      </c>
      <c r="D136" s="38" t="n">
        <f aca="false">INDEX('Transition Stepwise'!$F$2:$F$1137,MATCH(17&amp;"|"&amp;$A136&amp;"|"&amp;D$133,'Transition Stepwise'!$E$2:$E$1137,0))</f>
        <v>8</v>
      </c>
      <c r="E136" s="38" t="n">
        <f aca="false">INDEX('Transition Stepwise'!$F$2:$F$1137,MATCH(17&amp;"|"&amp;$A136&amp;"|"&amp;E$133,'Transition Stepwise'!$E$2:$E$1137,0))</f>
        <v>0</v>
      </c>
      <c r="F136" s="38" t="n">
        <f aca="false">ROUND(SUM(B136:E136),9)</f>
        <v>8</v>
      </c>
    </row>
    <row r="137" customFormat="false" ht="15" hidden="false" customHeight="true" outlineLevel="0" collapsed="false">
      <c r="A137" s="41" t="s">
        <v>171</v>
      </c>
      <c r="B137" s="38" t="n">
        <f aca="false">INDEX('Transition Stepwise'!$F$2:$F$1137,MATCH(17&amp;"|"&amp;$A137&amp;"|"&amp;B$133,'Transition Stepwise'!$E$2:$E$1137,0))</f>
        <v>0</v>
      </c>
      <c r="C137" s="38" t="n">
        <f aca="false">INDEX('Transition Stepwise'!$F$2:$F$1137,MATCH(17&amp;"|"&amp;$A137&amp;"|"&amp;C$133,'Transition Stepwise'!$E$2:$E$1137,0))</f>
        <v>0</v>
      </c>
      <c r="D137" s="38" t="n">
        <f aca="false">INDEX('Transition Stepwise'!$F$2:$F$1137,MATCH(17&amp;"|"&amp;$A137&amp;"|"&amp;D$133,'Transition Stepwise'!$E$2:$E$1137,0))</f>
        <v>113</v>
      </c>
      <c r="E137" s="38" t="n">
        <f aca="false">INDEX('Transition Stepwise'!$F$2:$F$1137,MATCH(17&amp;"|"&amp;$A137&amp;"|"&amp;E$133,'Transition Stepwise'!$E$2:$E$1137,0))</f>
        <v>0</v>
      </c>
      <c r="F137" s="38" t="n">
        <f aca="false">ROUND(SUM(B137:E137),9)</f>
        <v>113</v>
      </c>
    </row>
    <row r="138" customFormat="false" ht="15" hidden="false" customHeight="true" outlineLevel="0" collapsed="false">
      <c r="A138" s="38"/>
      <c r="B138" s="38"/>
      <c r="C138" s="38"/>
      <c r="D138" s="38"/>
      <c r="E138" s="38"/>
      <c r="F138" s="38"/>
    </row>
    <row r="139" customFormat="false" ht="15" hidden="false" customHeight="true" outlineLevel="0" collapsed="false">
      <c r="A139" s="38"/>
      <c r="B139" s="38"/>
      <c r="C139" s="38"/>
      <c r="D139" s="38"/>
      <c r="E139" s="38"/>
      <c r="F139" s="38"/>
    </row>
    <row r="140" customFormat="false" ht="15" hidden="false" customHeight="true" outlineLevel="0" collapsed="false">
      <c r="A140" s="41" t="s">
        <v>711</v>
      </c>
      <c r="B140" s="38"/>
      <c r="C140" s="38"/>
      <c r="D140" s="38"/>
      <c r="E140" s="38"/>
      <c r="F140" s="38"/>
    </row>
    <row r="141" customFormat="false" ht="15" hidden="false" customHeight="true" outlineLevel="0" collapsed="false">
      <c r="A141" s="39" t="s">
        <v>693</v>
      </c>
      <c r="B141" s="39" t="s">
        <v>172</v>
      </c>
      <c r="C141" s="39" t="s">
        <v>170</v>
      </c>
      <c r="D141" s="39" t="s">
        <v>169</v>
      </c>
      <c r="E141" s="39" t="s">
        <v>171</v>
      </c>
      <c r="F141" s="39" t="s">
        <v>694</v>
      </c>
    </row>
    <row r="142" customFormat="false" ht="15" hidden="false" customHeight="true" outlineLevel="0" collapsed="false">
      <c r="A142" s="41" t="s">
        <v>172</v>
      </c>
      <c r="B142" s="38" t="n">
        <f aca="false">INDEX('Transition Stepwise'!$F$2:$F$1137,MATCH(18&amp;"|"&amp;$A142&amp;"|"&amp;B$141,'Transition Stepwise'!$E$2:$E$1137,0))</f>
        <v>1</v>
      </c>
      <c r="C142" s="38" t="n">
        <f aca="false">INDEX('Transition Stepwise'!$F$2:$F$1137,MATCH(18&amp;"|"&amp;$A142&amp;"|"&amp;C$141,'Transition Stepwise'!$E$2:$E$1137,0))</f>
        <v>0</v>
      </c>
      <c r="D142" s="38" t="n">
        <f aca="false">INDEX('Transition Stepwise'!$F$2:$F$1137,MATCH(18&amp;"|"&amp;$A142&amp;"|"&amp;D$141,'Transition Stepwise'!$E$2:$E$1137,0))</f>
        <v>0</v>
      </c>
      <c r="E142" s="38" t="n">
        <f aca="false">INDEX('Transition Stepwise'!$F$2:$F$1137,MATCH(18&amp;"|"&amp;$A142&amp;"|"&amp;E$141,'Transition Stepwise'!$E$2:$E$1137,0))</f>
        <v>0</v>
      </c>
      <c r="F142" s="38" t="n">
        <f aca="false">ROUND(SUM(B142:E142),9)</f>
        <v>1</v>
      </c>
    </row>
    <row r="143" customFormat="false" ht="15" hidden="false" customHeight="true" outlineLevel="0" collapsed="false">
      <c r="A143" s="41" t="s">
        <v>170</v>
      </c>
      <c r="B143" s="38" t="n">
        <f aca="false">INDEX('Transition Stepwise'!$F$2:$F$1137,MATCH(18&amp;"|"&amp;$A143&amp;"|"&amp;B$141,'Transition Stepwise'!$E$2:$E$1137,0))</f>
        <v>0</v>
      </c>
      <c r="C143" s="38" t="n">
        <f aca="false">INDEX('Transition Stepwise'!$F$2:$F$1137,MATCH(18&amp;"|"&amp;$A143&amp;"|"&amp;C$141,'Transition Stepwise'!$E$2:$E$1137,0))</f>
        <v>0</v>
      </c>
      <c r="D143" s="38" t="n">
        <f aca="false">INDEX('Transition Stepwise'!$F$2:$F$1137,MATCH(18&amp;"|"&amp;$A143&amp;"|"&amp;D$141,'Transition Stepwise'!$E$2:$E$1137,0))</f>
        <v>0</v>
      </c>
      <c r="E143" s="38" t="n">
        <f aca="false">INDEX('Transition Stepwise'!$F$2:$F$1137,MATCH(18&amp;"|"&amp;$A143&amp;"|"&amp;E$141,'Transition Stepwise'!$E$2:$E$1137,0))</f>
        <v>0</v>
      </c>
      <c r="F143" s="38" t="n">
        <f aca="false">ROUND(SUM(B143:E143),9)</f>
        <v>0</v>
      </c>
    </row>
    <row r="144" customFormat="false" ht="15" hidden="false" customHeight="true" outlineLevel="0" collapsed="false">
      <c r="A144" s="41" t="s">
        <v>169</v>
      </c>
      <c r="B144" s="38" t="n">
        <f aca="false">INDEX('Transition Stepwise'!$F$2:$F$1137,MATCH(18&amp;"|"&amp;$A144&amp;"|"&amp;B$141,'Transition Stepwise'!$E$2:$E$1137,0))</f>
        <v>0</v>
      </c>
      <c r="C144" s="38" t="n">
        <f aca="false">INDEX('Transition Stepwise'!$F$2:$F$1137,MATCH(18&amp;"|"&amp;$A144&amp;"|"&amp;C$141,'Transition Stepwise'!$E$2:$E$1137,0))</f>
        <v>0</v>
      </c>
      <c r="D144" s="38" t="n">
        <f aca="false">INDEX('Transition Stepwise'!$F$2:$F$1137,MATCH(18&amp;"|"&amp;$A144&amp;"|"&amp;D$141,'Transition Stepwise'!$E$2:$E$1137,0))</f>
        <v>196</v>
      </c>
      <c r="E144" s="38" t="n">
        <f aca="false">INDEX('Transition Stepwise'!$F$2:$F$1137,MATCH(18&amp;"|"&amp;$A144&amp;"|"&amp;E$141,'Transition Stepwise'!$E$2:$E$1137,0))</f>
        <v>2</v>
      </c>
      <c r="F144" s="38" t="n">
        <f aca="false">ROUND(SUM(B144:E144),9)</f>
        <v>198</v>
      </c>
    </row>
    <row r="145" customFormat="false" ht="15" hidden="false" customHeight="true" outlineLevel="0" collapsed="false">
      <c r="A145" s="41" t="s">
        <v>171</v>
      </c>
      <c r="B145" s="38" t="n">
        <f aca="false">INDEX('Transition Stepwise'!$F$2:$F$1137,MATCH(18&amp;"|"&amp;$A145&amp;"|"&amp;B$141,'Transition Stepwise'!$E$2:$E$1137,0))</f>
        <v>0</v>
      </c>
      <c r="C145" s="38" t="n">
        <f aca="false">INDEX('Transition Stepwise'!$F$2:$F$1137,MATCH(18&amp;"|"&amp;$A145&amp;"|"&amp;C$141,'Transition Stepwise'!$E$2:$E$1137,0))</f>
        <v>0</v>
      </c>
      <c r="D145" s="38" t="n">
        <f aca="false">INDEX('Transition Stepwise'!$F$2:$F$1137,MATCH(18&amp;"|"&amp;$A145&amp;"|"&amp;D$141,'Transition Stepwise'!$E$2:$E$1137,0))</f>
        <v>0</v>
      </c>
      <c r="E145" s="38" t="n">
        <f aca="false">INDEX('Transition Stepwise'!$F$2:$F$1137,MATCH(18&amp;"|"&amp;$A145&amp;"|"&amp;E$141,'Transition Stepwise'!$E$2:$E$1137,0))</f>
        <v>0</v>
      </c>
      <c r="F145" s="38" t="n">
        <f aca="false">ROUND(SUM(B145:E145),9)</f>
        <v>0</v>
      </c>
    </row>
    <row r="146" customFormat="false" ht="15" hidden="false" customHeight="true" outlineLevel="0" collapsed="false">
      <c r="A146" s="38"/>
      <c r="B146" s="38"/>
      <c r="C146" s="38"/>
      <c r="D146" s="38"/>
      <c r="E146" s="38"/>
      <c r="F146" s="38"/>
    </row>
    <row r="147" customFormat="false" ht="15" hidden="false" customHeight="true" outlineLevel="0" collapsed="false">
      <c r="A147" s="38"/>
      <c r="B147" s="38"/>
      <c r="C147" s="38"/>
      <c r="D147" s="38"/>
      <c r="E147" s="38"/>
      <c r="F147" s="38"/>
    </row>
    <row r="148" customFormat="false" ht="15" hidden="false" customHeight="true" outlineLevel="0" collapsed="false">
      <c r="A148" s="41" t="s">
        <v>712</v>
      </c>
      <c r="B148" s="38"/>
      <c r="C148" s="38"/>
      <c r="D148" s="38"/>
      <c r="E148" s="38"/>
      <c r="F148" s="38"/>
    </row>
    <row r="149" customFormat="false" ht="15" hidden="false" customHeight="true" outlineLevel="0" collapsed="false">
      <c r="A149" s="39" t="s">
        <v>693</v>
      </c>
      <c r="B149" s="39" t="s">
        <v>172</v>
      </c>
      <c r="C149" s="39" t="s">
        <v>170</v>
      </c>
      <c r="D149" s="39" t="s">
        <v>169</v>
      </c>
      <c r="E149" s="39" t="s">
        <v>171</v>
      </c>
      <c r="F149" s="39" t="s">
        <v>694</v>
      </c>
    </row>
    <row r="150" customFormat="false" ht="15" hidden="false" customHeight="true" outlineLevel="0" collapsed="false">
      <c r="A150" s="41" t="s">
        <v>172</v>
      </c>
      <c r="B150" s="38" t="n">
        <f aca="false">INDEX('Transition Stepwise'!$F$2:$F$1137,MATCH(19&amp;"|"&amp;$A150&amp;"|"&amp;B$149,'Transition Stepwise'!$E$2:$E$1137,0))</f>
        <v>0</v>
      </c>
      <c r="C150" s="38" t="n">
        <f aca="false">INDEX('Transition Stepwise'!$F$2:$F$1137,MATCH(19&amp;"|"&amp;$A150&amp;"|"&amp;C$149,'Transition Stepwise'!$E$2:$E$1137,0))</f>
        <v>0</v>
      </c>
      <c r="D150" s="38" t="n">
        <f aca="false">INDEX('Transition Stepwise'!$F$2:$F$1137,MATCH(19&amp;"|"&amp;$A150&amp;"|"&amp;D$149,'Transition Stepwise'!$E$2:$E$1137,0))</f>
        <v>0</v>
      </c>
      <c r="E150" s="38" t="n">
        <f aca="false">INDEX('Transition Stepwise'!$F$2:$F$1137,MATCH(19&amp;"|"&amp;$A150&amp;"|"&amp;E$149,'Transition Stepwise'!$E$2:$E$1137,0))</f>
        <v>1</v>
      </c>
      <c r="F150" s="38" t="n">
        <f aca="false">ROUND(SUM(B150:E150),9)</f>
        <v>1</v>
      </c>
    </row>
    <row r="151" customFormat="false" ht="15" hidden="false" customHeight="true" outlineLevel="0" collapsed="false">
      <c r="A151" s="41" t="s">
        <v>170</v>
      </c>
      <c r="B151" s="38" t="n">
        <f aca="false">INDEX('Transition Stepwise'!$F$2:$F$1137,MATCH(19&amp;"|"&amp;$A151&amp;"|"&amp;B$149,'Transition Stepwise'!$E$2:$E$1137,0))</f>
        <v>0</v>
      </c>
      <c r="C151" s="38" t="n">
        <f aca="false">INDEX('Transition Stepwise'!$F$2:$F$1137,MATCH(19&amp;"|"&amp;$A151&amp;"|"&amp;C$149,'Transition Stepwise'!$E$2:$E$1137,0))</f>
        <v>0</v>
      </c>
      <c r="D151" s="38" t="n">
        <f aca="false">INDEX('Transition Stepwise'!$F$2:$F$1137,MATCH(19&amp;"|"&amp;$A151&amp;"|"&amp;D$149,'Transition Stepwise'!$E$2:$E$1137,0))</f>
        <v>0</v>
      </c>
      <c r="E151" s="38" t="n">
        <f aca="false">INDEX('Transition Stepwise'!$F$2:$F$1137,MATCH(19&amp;"|"&amp;$A151&amp;"|"&amp;E$149,'Transition Stepwise'!$E$2:$E$1137,0))</f>
        <v>0</v>
      </c>
      <c r="F151" s="38" t="n">
        <f aca="false">ROUND(SUM(B151:E151),9)</f>
        <v>0</v>
      </c>
    </row>
    <row r="152" customFormat="false" ht="15" hidden="false" customHeight="true" outlineLevel="0" collapsed="false">
      <c r="A152" s="41" t="s">
        <v>169</v>
      </c>
      <c r="B152" s="38" t="n">
        <f aca="false">INDEX('Transition Stepwise'!$F$2:$F$1137,MATCH(19&amp;"|"&amp;$A152&amp;"|"&amp;B$149,'Transition Stepwise'!$E$2:$E$1137,0))</f>
        <v>17</v>
      </c>
      <c r="C152" s="38" t="n">
        <f aca="false">INDEX('Transition Stepwise'!$F$2:$F$1137,MATCH(19&amp;"|"&amp;$A152&amp;"|"&amp;C$149,'Transition Stepwise'!$E$2:$E$1137,0))</f>
        <v>45</v>
      </c>
      <c r="D152" s="38" t="n">
        <f aca="false">INDEX('Transition Stepwise'!$F$2:$F$1137,MATCH(19&amp;"|"&amp;$A152&amp;"|"&amp;D$149,'Transition Stepwise'!$E$2:$E$1137,0))</f>
        <v>18</v>
      </c>
      <c r="E152" s="38" t="n">
        <f aca="false">INDEX('Transition Stepwise'!$F$2:$F$1137,MATCH(19&amp;"|"&amp;$A152&amp;"|"&amp;E$149,'Transition Stepwise'!$E$2:$E$1137,0))</f>
        <v>116</v>
      </c>
      <c r="F152" s="38" t="n">
        <f aca="false">ROUND(SUM(B152:E152),9)</f>
        <v>196</v>
      </c>
    </row>
    <row r="153" customFormat="false" ht="15" hidden="false" customHeight="true" outlineLevel="0" collapsed="false">
      <c r="A153" s="41" t="s">
        <v>171</v>
      </c>
      <c r="B153" s="38" t="n">
        <f aca="false">INDEX('Transition Stepwise'!$F$2:$F$1137,MATCH(19&amp;"|"&amp;$A153&amp;"|"&amp;B$149,'Transition Stepwise'!$E$2:$E$1137,0))</f>
        <v>0</v>
      </c>
      <c r="C153" s="38" t="n">
        <f aca="false">INDEX('Transition Stepwise'!$F$2:$F$1137,MATCH(19&amp;"|"&amp;$A153&amp;"|"&amp;C$149,'Transition Stepwise'!$E$2:$E$1137,0))</f>
        <v>0</v>
      </c>
      <c r="D153" s="38" t="n">
        <f aca="false">INDEX('Transition Stepwise'!$F$2:$F$1137,MATCH(19&amp;"|"&amp;$A153&amp;"|"&amp;D$149,'Transition Stepwise'!$E$2:$E$1137,0))</f>
        <v>0</v>
      </c>
      <c r="E153" s="38" t="n">
        <f aca="false">INDEX('Transition Stepwise'!$F$2:$F$1137,MATCH(19&amp;"|"&amp;$A153&amp;"|"&amp;E$149,'Transition Stepwise'!$E$2:$E$1137,0))</f>
        <v>1</v>
      </c>
      <c r="F153" s="38" t="n">
        <f aca="false">ROUND(SUM(B153:E153),9)</f>
        <v>1</v>
      </c>
    </row>
    <row r="154" customFormat="false" ht="15" hidden="false" customHeight="true" outlineLevel="0" collapsed="false">
      <c r="A154" s="38"/>
      <c r="B154" s="38"/>
      <c r="C154" s="38"/>
      <c r="D154" s="38"/>
      <c r="E154" s="38"/>
      <c r="F154" s="38"/>
    </row>
    <row r="155" customFormat="false" ht="15" hidden="false" customHeight="true" outlineLevel="0" collapsed="false">
      <c r="A155" s="38"/>
      <c r="B155" s="38"/>
      <c r="C155" s="38"/>
      <c r="D155" s="38"/>
      <c r="E155" s="38"/>
      <c r="F155" s="38"/>
    </row>
    <row r="156" customFormat="false" ht="15" hidden="false" customHeight="true" outlineLevel="0" collapsed="false">
      <c r="A156" s="41" t="s">
        <v>713</v>
      </c>
      <c r="B156" s="38"/>
      <c r="C156" s="38"/>
      <c r="D156" s="38"/>
      <c r="E156" s="38"/>
      <c r="F156" s="38"/>
    </row>
    <row r="157" customFormat="false" ht="15" hidden="false" customHeight="true" outlineLevel="0" collapsed="false">
      <c r="A157" s="39" t="s">
        <v>693</v>
      </c>
      <c r="B157" s="39" t="s">
        <v>172</v>
      </c>
      <c r="C157" s="39" t="s">
        <v>170</v>
      </c>
      <c r="D157" s="39" t="s">
        <v>169</v>
      </c>
      <c r="E157" s="39" t="s">
        <v>171</v>
      </c>
      <c r="F157" s="39" t="s">
        <v>694</v>
      </c>
    </row>
    <row r="158" customFormat="false" ht="15" hidden="false" customHeight="true" outlineLevel="0" collapsed="false">
      <c r="A158" s="41" t="s">
        <v>172</v>
      </c>
      <c r="B158" s="38" t="n">
        <f aca="false">INDEX('Transition Stepwise'!$F$2:$F$1137,MATCH(20&amp;"|"&amp;$A158&amp;"|"&amp;B$157,'Transition Stepwise'!$E$2:$E$1137,0))</f>
        <v>16</v>
      </c>
      <c r="C158" s="38" t="n">
        <f aca="false">INDEX('Transition Stepwise'!$F$2:$F$1137,MATCH(20&amp;"|"&amp;$A158&amp;"|"&amp;C$157,'Transition Stepwise'!$E$2:$E$1137,0))</f>
        <v>0</v>
      </c>
      <c r="D158" s="38" t="n">
        <f aca="false">INDEX('Transition Stepwise'!$F$2:$F$1137,MATCH(20&amp;"|"&amp;$A158&amp;"|"&amp;D$157,'Transition Stepwise'!$E$2:$E$1137,0))</f>
        <v>0</v>
      </c>
      <c r="E158" s="38" t="n">
        <f aca="false">INDEX('Transition Stepwise'!$F$2:$F$1137,MATCH(20&amp;"|"&amp;$A158&amp;"|"&amp;E$157,'Transition Stepwise'!$E$2:$E$1137,0))</f>
        <v>1</v>
      </c>
      <c r="F158" s="38" t="n">
        <f aca="false">ROUND(SUM(B158:E158),9)</f>
        <v>17</v>
      </c>
    </row>
    <row r="159" customFormat="false" ht="15" hidden="false" customHeight="true" outlineLevel="0" collapsed="false">
      <c r="A159" s="41" t="s">
        <v>170</v>
      </c>
      <c r="B159" s="38" t="n">
        <f aca="false">INDEX('Transition Stepwise'!$F$2:$F$1137,MATCH(20&amp;"|"&amp;$A159&amp;"|"&amp;B$157,'Transition Stepwise'!$E$2:$E$1137,0))</f>
        <v>34</v>
      </c>
      <c r="C159" s="38" t="n">
        <f aca="false">INDEX('Transition Stepwise'!$F$2:$F$1137,MATCH(20&amp;"|"&amp;$A159&amp;"|"&amp;C$157,'Transition Stepwise'!$E$2:$E$1137,0))</f>
        <v>3</v>
      </c>
      <c r="D159" s="38" t="n">
        <f aca="false">INDEX('Transition Stepwise'!$F$2:$F$1137,MATCH(20&amp;"|"&amp;$A159&amp;"|"&amp;D$157,'Transition Stepwise'!$E$2:$E$1137,0))</f>
        <v>4</v>
      </c>
      <c r="E159" s="38" t="n">
        <f aca="false">INDEX('Transition Stepwise'!$F$2:$F$1137,MATCH(20&amp;"|"&amp;$A159&amp;"|"&amp;E$157,'Transition Stepwise'!$E$2:$E$1137,0))</f>
        <v>4</v>
      </c>
      <c r="F159" s="38" t="n">
        <f aca="false">ROUND(SUM(B159:E159),9)</f>
        <v>45</v>
      </c>
    </row>
    <row r="160" customFormat="false" ht="15" hidden="false" customHeight="true" outlineLevel="0" collapsed="false">
      <c r="A160" s="41" t="s">
        <v>169</v>
      </c>
      <c r="B160" s="38" t="n">
        <f aca="false">INDEX('Transition Stepwise'!$F$2:$F$1137,MATCH(20&amp;"|"&amp;$A160&amp;"|"&amp;B$157,'Transition Stepwise'!$E$2:$E$1137,0))</f>
        <v>18</v>
      </c>
      <c r="C160" s="38" t="n">
        <f aca="false">INDEX('Transition Stepwise'!$F$2:$F$1137,MATCH(20&amp;"|"&amp;$A160&amp;"|"&amp;C$157,'Transition Stepwise'!$E$2:$E$1137,0))</f>
        <v>0</v>
      </c>
      <c r="D160" s="38" t="n">
        <f aca="false">INDEX('Transition Stepwise'!$F$2:$F$1137,MATCH(20&amp;"|"&amp;$A160&amp;"|"&amp;D$157,'Transition Stepwise'!$E$2:$E$1137,0))</f>
        <v>0</v>
      </c>
      <c r="E160" s="38" t="n">
        <f aca="false">INDEX('Transition Stepwise'!$F$2:$F$1137,MATCH(20&amp;"|"&amp;$A160&amp;"|"&amp;E$157,'Transition Stepwise'!$E$2:$E$1137,0))</f>
        <v>0</v>
      </c>
      <c r="F160" s="38" t="n">
        <f aca="false">ROUND(SUM(B160:E160),9)</f>
        <v>18</v>
      </c>
    </row>
    <row r="161" customFormat="false" ht="15" hidden="false" customHeight="true" outlineLevel="0" collapsed="false">
      <c r="A161" s="41" t="s">
        <v>171</v>
      </c>
      <c r="B161" s="38" t="n">
        <f aca="false">INDEX('Transition Stepwise'!$F$2:$F$1137,MATCH(20&amp;"|"&amp;$A161&amp;"|"&amp;B$157,'Transition Stepwise'!$E$2:$E$1137,0))</f>
        <v>109</v>
      </c>
      <c r="C161" s="38" t="n">
        <f aca="false">INDEX('Transition Stepwise'!$F$2:$F$1137,MATCH(20&amp;"|"&amp;$A161&amp;"|"&amp;C$157,'Transition Stepwise'!$E$2:$E$1137,0))</f>
        <v>1</v>
      </c>
      <c r="D161" s="38" t="n">
        <f aca="false">INDEX('Transition Stepwise'!$F$2:$F$1137,MATCH(20&amp;"|"&amp;$A161&amp;"|"&amp;D$157,'Transition Stepwise'!$E$2:$E$1137,0))</f>
        <v>3</v>
      </c>
      <c r="E161" s="38" t="n">
        <f aca="false">INDEX('Transition Stepwise'!$F$2:$F$1137,MATCH(20&amp;"|"&amp;$A161&amp;"|"&amp;E$157,'Transition Stepwise'!$E$2:$E$1137,0))</f>
        <v>5</v>
      </c>
      <c r="F161" s="38" t="n">
        <f aca="false">ROUND(SUM(B161:E161),9)</f>
        <v>118</v>
      </c>
    </row>
    <row r="162" customFormat="false" ht="15" hidden="false" customHeight="true" outlineLevel="0" collapsed="false">
      <c r="A162" s="38"/>
      <c r="B162" s="38"/>
      <c r="C162" s="38"/>
      <c r="D162" s="38"/>
      <c r="E162" s="38"/>
      <c r="F162" s="38"/>
    </row>
    <row r="163" customFormat="false" ht="15" hidden="false" customHeight="true" outlineLevel="0" collapsed="false">
      <c r="A163" s="38"/>
      <c r="B163" s="38"/>
      <c r="C163" s="38"/>
      <c r="D163" s="38"/>
      <c r="E163" s="38"/>
      <c r="F163" s="38"/>
    </row>
    <row r="164" customFormat="false" ht="15" hidden="false" customHeight="true" outlineLevel="0" collapsed="false">
      <c r="A164" s="41" t="s">
        <v>714</v>
      </c>
      <c r="B164" s="38"/>
      <c r="C164" s="38"/>
      <c r="D164" s="38"/>
      <c r="E164" s="38"/>
      <c r="F164" s="38"/>
    </row>
    <row r="165" customFormat="false" ht="15" hidden="false" customHeight="true" outlineLevel="0" collapsed="false">
      <c r="A165" s="39" t="s">
        <v>693</v>
      </c>
      <c r="B165" s="39" t="s">
        <v>172</v>
      </c>
      <c r="C165" s="39" t="s">
        <v>170</v>
      </c>
      <c r="D165" s="39" t="s">
        <v>169</v>
      </c>
      <c r="E165" s="39" t="s">
        <v>171</v>
      </c>
      <c r="F165" s="39" t="s">
        <v>694</v>
      </c>
    </row>
    <row r="166" customFormat="false" ht="15" hidden="false" customHeight="true" outlineLevel="0" collapsed="false">
      <c r="A166" s="41" t="s">
        <v>172</v>
      </c>
      <c r="B166" s="38" t="n">
        <f aca="false">INDEX('Transition Stepwise'!$F$2:$F$1137,MATCH(21&amp;"|"&amp;$A166&amp;"|"&amp;B$165,'Transition Stepwise'!$E$2:$E$1137,0))</f>
        <v>28</v>
      </c>
      <c r="C166" s="38" t="n">
        <f aca="false">INDEX('Transition Stepwise'!$F$2:$F$1137,MATCH(21&amp;"|"&amp;$A166&amp;"|"&amp;C$165,'Transition Stepwise'!$E$2:$E$1137,0))</f>
        <v>0</v>
      </c>
      <c r="D166" s="38" t="n">
        <f aca="false">INDEX('Transition Stepwise'!$F$2:$F$1137,MATCH(21&amp;"|"&amp;$A166&amp;"|"&amp;D$165,'Transition Stepwise'!$E$2:$E$1137,0))</f>
        <v>139</v>
      </c>
      <c r="E166" s="38" t="n">
        <f aca="false">INDEX('Transition Stepwise'!$F$2:$F$1137,MATCH(21&amp;"|"&amp;$A166&amp;"|"&amp;E$165,'Transition Stepwise'!$E$2:$E$1137,0))</f>
        <v>11</v>
      </c>
      <c r="F166" s="38" t="n">
        <f aca="false">ROUND(SUM(B166:E166),9)</f>
        <v>178</v>
      </c>
    </row>
    <row r="167" customFormat="false" ht="15" hidden="false" customHeight="true" outlineLevel="0" collapsed="false">
      <c r="A167" s="41" t="s">
        <v>170</v>
      </c>
      <c r="B167" s="38" t="n">
        <f aca="false">INDEX('Transition Stepwise'!$F$2:$F$1137,MATCH(21&amp;"|"&amp;$A167&amp;"|"&amp;B$165,'Transition Stepwise'!$E$2:$E$1137,0))</f>
        <v>3</v>
      </c>
      <c r="C167" s="38" t="n">
        <f aca="false">INDEX('Transition Stepwise'!$F$2:$F$1137,MATCH(21&amp;"|"&amp;$A167&amp;"|"&amp;C$165,'Transition Stepwise'!$E$2:$E$1137,0))</f>
        <v>0</v>
      </c>
      <c r="D167" s="38" t="n">
        <f aca="false">INDEX('Transition Stepwise'!$F$2:$F$1137,MATCH(21&amp;"|"&amp;$A167&amp;"|"&amp;D$165,'Transition Stepwise'!$E$2:$E$1137,0))</f>
        <v>1</v>
      </c>
      <c r="E167" s="38" t="n">
        <f aca="false">INDEX('Transition Stepwise'!$F$2:$F$1137,MATCH(21&amp;"|"&amp;$A167&amp;"|"&amp;E$165,'Transition Stepwise'!$E$2:$E$1137,0))</f>
        <v>0</v>
      </c>
      <c r="F167" s="38" t="n">
        <f aca="false">ROUND(SUM(B167:E167),9)</f>
        <v>4</v>
      </c>
    </row>
    <row r="168" customFormat="false" ht="15" hidden="false" customHeight="true" outlineLevel="0" collapsed="false">
      <c r="A168" s="41" t="s">
        <v>169</v>
      </c>
      <c r="B168" s="38" t="n">
        <f aca="false">INDEX('Transition Stepwise'!$F$2:$F$1137,MATCH(21&amp;"|"&amp;$A168&amp;"|"&amp;B$165,'Transition Stepwise'!$E$2:$E$1137,0))</f>
        <v>7</v>
      </c>
      <c r="C168" s="38" t="n">
        <f aca="false">INDEX('Transition Stepwise'!$F$2:$F$1137,MATCH(21&amp;"|"&amp;$A168&amp;"|"&amp;C$165,'Transition Stepwise'!$E$2:$E$1137,0))</f>
        <v>0</v>
      </c>
      <c r="D168" s="38" t="n">
        <f aca="false">INDEX('Transition Stepwise'!$F$2:$F$1137,MATCH(21&amp;"|"&amp;$A168&amp;"|"&amp;D$165,'Transition Stepwise'!$E$2:$E$1137,0))</f>
        <v>0</v>
      </c>
      <c r="E168" s="38" t="n">
        <f aca="false">INDEX('Transition Stepwise'!$F$2:$F$1137,MATCH(21&amp;"|"&amp;$A168&amp;"|"&amp;E$165,'Transition Stepwise'!$E$2:$E$1137,0))</f>
        <v>0</v>
      </c>
      <c r="F168" s="38" t="n">
        <f aca="false">ROUND(SUM(B168:E168),9)</f>
        <v>7</v>
      </c>
    </row>
    <row r="169" customFormat="false" ht="15" hidden="false" customHeight="true" outlineLevel="0" collapsed="false">
      <c r="A169" s="41" t="s">
        <v>171</v>
      </c>
      <c r="B169" s="38" t="n">
        <f aca="false">INDEX('Transition Stepwise'!$F$2:$F$1137,MATCH(21&amp;"|"&amp;$A169&amp;"|"&amp;B$165,'Transition Stepwise'!$E$2:$E$1137,0))</f>
        <v>3</v>
      </c>
      <c r="C169" s="38" t="n">
        <f aca="false">INDEX('Transition Stepwise'!$F$2:$F$1137,MATCH(21&amp;"|"&amp;$A169&amp;"|"&amp;C$165,'Transition Stepwise'!$E$2:$E$1137,0))</f>
        <v>0</v>
      </c>
      <c r="D169" s="38" t="n">
        <f aca="false">INDEX('Transition Stepwise'!$F$2:$F$1137,MATCH(21&amp;"|"&amp;$A169&amp;"|"&amp;D$165,'Transition Stepwise'!$E$2:$E$1137,0))</f>
        <v>4</v>
      </c>
      <c r="E169" s="38" t="n">
        <f aca="false">INDEX('Transition Stepwise'!$F$2:$F$1137,MATCH(21&amp;"|"&amp;$A169&amp;"|"&amp;E$165,'Transition Stepwise'!$E$2:$E$1137,0))</f>
        <v>3</v>
      </c>
      <c r="F169" s="38" t="n">
        <f aca="false">ROUND(SUM(B169:E169),9)</f>
        <v>10</v>
      </c>
    </row>
    <row r="170" customFormat="false" ht="15" hidden="false" customHeight="true" outlineLevel="0" collapsed="false">
      <c r="A170" s="38"/>
      <c r="B170" s="38"/>
      <c r="C170" s="38"/>
      <c r="D170" s="38"/>
      <c r="E170" s="38"/>
      <c r="F170" s="38"/>
    </row>
    <row r="171" customFormat="false" ht="15" hidden="false" customHeight="true" outlineLevel="0" collapsed="false">
      <c r="A171" s="38"/>
      <c r="B171" s="38"/>
      <c r="C171" s="38"/>
      <c r="D171" s="38"/>
      <c r="E171" s="38"/>
      <c r="F171" s="38"/>
    </row>
    <row r="172" customFormat="false" ht="15" hidden="false" customHeight="true" outlineLevel="0" collapsed="false">
      <c r="A172" s="41" t="s">
        <v>715</v>
      </c>
      <c r="B172" s="38"/>
      <c r="C172" s="38"/>
      <c r="D172" s="38"/>
      <c r="E172" s="38"/>
      <c r="F172" s="38"/>
    </row>
    <row r="173" customFormat="false" ht="15" hidden="false" customHeight="true" outlineLevel="0" collapsed="false">
      <c r="A173" s="39" t="s">
        <v>693</v>
      </c>
      <c r="B173" s="39" t="s">
        <v>172</v>
      </c>
      <c r="C173" s="39" t="s">
        <v>170</v>
      </c>
      <c r="D173" s="39" t="s">
        <v>169</v>
      </c>
      <c r="E173" s="39" t="s">
        <v>171</v>
      </c>
      <c r="F173" s="39" t="s">
        <v>694</v>
      </c>
    </row>
    <row r="174" customFormat="false" ht="15" hidden="false" customHeight="true" outlineLevel="0" collapsed="false">
      <c r="A174" s="41" t="s">
        <v>172</v>
      </c>
      <c r="B174" s="38" t="n">
        <f aca="false">INDEX('Transition Stepwise'!$F$2:$F$1137,MATCH(22&amp;"|"&amp;$A174&amp;"|"&amp;B$173,'Transition Stepwise'!$E$2:$E$1137,0))</f>
        <v>6</v>
      </c>
      <c r="C174" s="38" t="n">
        <f aca="false">INDEX('Transition Stepwise'!$F$2:$F$1137,MATCH(22&amp;"|"&amp;$A174&amp;"|"&amp;C$173,'Transition Stepwise'!$E$2:$E$1137,0))</f>
        <v>11</v>
      </c>
      <c r="D174" s="38" t="n">
        <f aca="false">INDEX('Transition Stepwise'!$F$2:$F$1137,MATCH(22&amp;"|"&amp;$A174&amp;"|"&amp;D$173,'Transition Stepwise'!$E$2:$E$1137,0))</f>
        <v>21</v>
      </c>
      <c r="E174" s="38" t="n">
        <f aca="false">INDEX('Transition Stepwise'!$F$2:$F$1137,MATCH(22&amp;"|"&amp;$A174&amp;"|"&amp;E$173,'Transition Stepwise'!$E$2:$E$1137,0))</f>
        <v>3</v>
      </c>
      <c r="F174" s="38" t="n">
        <f aca="false">ROUND(SUM(B174:E174),9)</f>
        <v>41</v>
      </c>
    </row>
    <row r="175" customFormat="false" ht="15" hidden="false" customHeight="true" outlineLevel="0" collapsed="false">
      <c r="A175" s="41" t="s">
        <v>170</v>
      </c>
      <c r="B175" s="38" t="n">
        <f aca="false">INDEX('Transition Stepwise'!$F$2:$F$1137,MATCH(22&amp;"|"&amp;$A175&amp;"|"&amp;B$173,'Transition Stepwise'!$E$2:$E$1137,0))</f>
        <v>0</v>
      </c>
      <c r="C175" s="38" t="n">
        <f aca="false">INDEX('Transition Stepwise'!$F$2:$F$1137,MATCH(22&amp;"|"&amp;$A175&amp;"|"&amp;C$173,'Transition Stepwise'!$E$2:$E$1137,0))</f>
        <v>0</v>
      </c>
      <c r="D175" s="38" t="n">
        <f aca="false">INDEX('Transition Stepwise'!$F$2:$F$1137,MATCH(22&amp;"|"&amp;$A175&amp;"|"&amp;D$173,'Transition Stepwise'!$E$2:$E$1137,0))</f>
        <v>0</v>
      </c>
      <c r="E175" s="38" t="n">
        <f aca="false">INDEX('Transition Stepwise'!$F$2:$F$1137,MATCH(22&amp;"|"&amp;$A175&amp;"|"&amp;E$173,'Transition Stepwise'!$E$2:$E$1137,0))</f>
        <v>0</v>
      </c>
      <c r="F175" s="38" t="n">
        <f aca="false">ROUND(SUM(B175:E175),9)</f>
        <v>0</v>
      </c>
    </row>
    <row r="176" customFormat="false" ht="15" hidden="false" customHeight="true" outlineLevel="0" collapsed="false">
      <c r="A176" s="41" t="s">
        <v>169</v>
      </c>
      <c r="B176" s="38" t="n">
        <f aca="false">INDEX('Transition Stepwise'!$F$2:$F$1137,MATCH(22&amp;"|"&amp;$A176&amp;"|"&amp;B$173,'Transition Stepwise'!$E$2:$E$1137,0))</f>
        <v>113</v>
      </c>
      <c r="C176" s="38" t="n">
        <f aca="false">INDEX('Transition Stepwise'!$F$2:$F$1137,MATCH(22&amp;"|"&amp;$A176&amp;"|"&amp;C$173,'Transition Stepwise'!$E$2:$E$1137,0))</f>
        <v>22</v>
      </c>
      <c r="D176" s="38" t="n">
        <f aca="false">INDEX('Transition Stepwise'!$F$2:$F$1137,MATCH(22&amp;"|"&amp;$A176&amp;"|"&amp;D$173,'Transition Stepwise'!$E$2:$E$1137,0))</f>
        <v>5</v>
      </c>
      <c r="E176" s="38" t="n">
        <f aca="false">INDEX('Transition Stepwise'!$F$2:$F$1137,MATCH(22&amp;"|"&amp;$A176&amp;"|"&amp;E$173,'Transition Stepwise'!$E$2:$E$1137,0))</f>
        <v>4</v>
      </c>
      <c r="F176" s="38" t="n">
        <f aca="false">ROUND(SUM(B176:E176),9)</f>
        <v>144</v>
      </c>
    </row>
    <row r="177" customFormat="false" ht="15" hidden="false" customHeight="true" outlineLevel="0" collapsed="false">
      <c r="A177" s="41" t="s">
        <v>171</v>
      </c>
      <c r="B177" s="38" t="n">
        <f aca="false">INDEX('Transition Stepwise'!$F$2:$F$1137,MATCH(22&amp;"|"&amp;$A177&amp;"|"&amp;B$173,'Transition Stepwise'!$E$2:$E$1137,0))</f>
        <v>1</v>
      </c>
      <c r="C177" s="38" t="n">
        <f aca="false">INDEX('Transition Stepwise'!$F$2:$F$1137,MATCH(22&amp;"|"&amp;$A177&amp;"|"&amp;C$173,'Transition Stepwise'!$E$2:$E$1137,0))</f>
        <v>5</v>
      </c>
      <c r="D177" s="38" t="n">
        <f aca="false">INDEX('Transition Stepwise'!$F$2:$F$1137,MATCH(22&amp;"|"&amp;$A177&amp;"|"&amp;D$173,'Transition Stepwise'!$E$2:$E$1137,0))</f>
        <v>3</v>
      </c>
      <c r="E177" s="38" t="n">
        <f aca="false">INDEX('Transition Stepwise'!$F$2:$F$1137,MATCH(22&amp;"|"&amp;$A177&amp;"|"&amp;E$173,'Transition Stepwise'!$E$2:$E$1137,0))</f>
        <v>5</v>
      </c>
      <c r="F177" s="38" t="n">
        <f aca="false">ROUND(SUM(B177:E177),9)</f>
        <v>14</v>
      </c>
    </row>
    <row r="178" customFormat="false" ht="15" hidden="false" customHeight="true" outlineLevel="0" collapsed="false">
      <c r="A178" s="38"/>
      <c r="B178" s="38"/>
      <c r="C178" s="38"/>
      <c r="D178" s="38"/>
      <c r="E178" s="38"/>
      <c r="F178" s="38"/>
    </row>
    <row r="179" customFormat="false" ht="15" hidden="false" customHeight="true" outlineLevel="0" collapsed="false">
      <c r="A179" s="38"/>
      <c r="B179" s="38"/>
      <c r="C179" s="38"/>
      <c r="D179" s="38"/>
      <c r="E179" s="38"/>
      <c r="F179" s="38"/>
    </row>
    <row r="180" customFormat="false" ht="15" hidden="false" customHeight="true" outlineLevel="0" collapsed="false">
      <c r="A180" s="41" t="s">
        <v>716</v>
      </c>
      <c r="B180" s="38"/>
      <c r="C180" s="38"/>
      <c r="D180" s="38"/>
      <c r="E180" s="38"/>
      <c r="F180" s="38"/>
    </row>
    <row r="181" customFormat="false" ht="15" hidden="false" customHeight="true" outlineLevel="0" collapsed="false">
      <c r="A181" s="39" t="s">
        <v>693</v>
      </c>
      <c r="B181" s="39" t="s">
        <v>172</v>
      </c>
      <c r="C181" s="39" t="s">
        <v>170</v>
      </c>
      <c r="D181" s="39" t="s">
        <v>169</v>
      </c>
      <c r="E181" s="39" t="s">
        <v>171</v>
      </c>
      <c r="F181" s="39" t="s">
        <v>694</v>
      </c>
    </row>
    <row r="182" customFormat="false" ht="15" hidden="false" customHeight="true" outlineLevel="0" collapsed="false">
      <c r="A182" s="41" t="s">
        <v>172</v>
      </c>
      <c r="B182" s="38" t="n">
        <f aca="false">INDEX('Transition Stepwise'!$F$2:$F$1137,MATCH(23&amp;"|"&amp;$A182&amp;"|"&amp;B$181,'Transition Stepwise'!$E$2:$E$1137,0))</f>
        <v>11</v>
      </c>
      <c r="C182" s="38" t="n">
        <f aca="false">INDEX('Transition Stepwise'!$F$2:$F$1137,MATCH(23&amp;"|"&amp;$A182&amp;"|"&amp;C$181,'Transition Stepwise'!$E$2:$E$1137,0))</f>
        <v>1</v>
      </c>
      <c r="D182" s="38" t="n">
        <f aca="false">INDEX('Transition Stepwise'!$F$2:$F$1137,MATCH(23&amp;"|"&amp;$A182&amp;"|"&amp;D$181,'Transition Stepwise'!$E$2:$E$1137,0))</f>
        <v>105</v>
      </c>
      <c r="E182" s="38" t="n">
        <f aca="false">INDEX('Transition Stepwise'!$F$2:$F$1137,MATCH(23&amp;"|"&amp;$A182&amp;"|"&amp;E$181,'Transition Stepwise'!$E$2:$E$1137,0))</f>
        <v>3</v>
      </c>
      <c r="F182" s="38" t="n">
        <f aca="false">ROUND(SUM(B182:E182),9)</f>
        <v>120</v>
      </c>
    </row>
    <row r="183" customFormat="false" ht="15" hidden="false" customHeight="true" outlineLevel="0" collapsed="false">
      <c r="A183" s="41" t="s">
        <v>170</v>
      </c>
      <c r="B183" s="38" t="n">
        <f aca="false">INDEX('Transition Stepwise'!$F$2:$F$1137,MATCH(23&amp;"|"&amp;$A183&amp;"|"&amp;B$181,'Transition Stepwise'!$E$2:$E$1137,0))</f>
        <v>11</v>
      </c>
      <c r="C183" s="38" t="n">
        <f aca="false">INDEX('Transition Stepwise'!$F$2:$F$1137,MATCH(23&amp;"|"&amp;$A183&amp;"|"&amp;C$181,'Transition Stepwise'!$E$2:$E$1137,0))</f>
        <v>3</v>
      </c>
      <c r="D183" s="38" t="n">
        <f aca="false">INDEX('Transition Stepwise'!$F$2:$F$1137,MATCH(23&amp;"|"&amp;$A183&amp;"|"&amp;D$181,'Transition Stepwise'!$E$2:$E$1137,0))</f>
        <v>20</v>
      </c>
      <c r="E183" s="38" t="n">
        <f aca="false">INDEX('Transition Stepwise'!$F$2:$F$1137,MATCH(23&amp;"|"&amp;$A183&amp;"|"&amp;E$181,'Transition Stepwise'!$E$2:$E$1137,0))</f>
        <v>4</v>
      </c>
      <c r="F183" s="38" t="n">
        <f aca="false">ROUND(SUM(B183:E183),9)</f>
        <v>38</v>
      </c>
    </row>
    <row r="184" customFormat="false" ht="15" hidden="false" customHeight="true" outlineLevel="0" collapsed="false">
      <c r="A184" s="41" t="s">
        <v>169</v>
      </c>
      <c r="B184" s="38" t="n">
        <f aca="false">INDEX('Transition Stepwise'!$F$2:$F$1137,MATCH(23&amp;"|"&amp;$A184&amp;"|"&amp;B$181,'Transition Stepwise'!$E$2:$E$1137,0))</f>
        <v>10</v>
      </c>
      <c r="C184" s="38" t="n">
        <f aca="false">INDEX('Transition Stepwise'!$F$2:$F$1137,MATCH(23&amp;"|"&amp;$A184&amp;"|"&amp;C$181,'Transition Stepwise'!$E$2:$E$1137,0))</f>
        <v>0</v>
      </c>
      <c r="D184" s="38" t="n">
        <f aca="false">INDEX('Transition Stepwise'!$F$2:$F$1137,MATCH(23&amp;"|"&amp;$A184&amp;"|"&amp;D$181,'Transition Stepwise'!$E$2:$E$1137,0))</f>
        <v>19</v>
      </c>
      <c r="E184" s="38" t="n">
        <f aca="false">INDEX('Transition Stepwise'!$F$2:$F$1137,MATCH(23&amp;"|"&amp;$A184&amp;"|"&amp;E$181,'Transition Stepwise'!$E$2:$E$1137,0))</f>
        <v>0</v>
      </c>
      <c r="F184" s="38" t="n">
        <f aca="false">ROUND(SUM(B184:E184),9)</f>
        <v>29</v>
      </c>
    </row>
    <row r="185" customFormat="false" ht="15" hidden="false" customHeight="true" outlineLevel="0" collapsed="false">
      <c r="A185" s="41" t="s">
        <v>171</v>
      </c>
      <c r="B185" s="38" t="n">
        <f aca="false">INDEX('Transition Stepwise'!$F$2:$F$1137,MATCH(23&amp;"|"&amp;$A185&amp;"|"&amp;B$181,'Transition Stepwise'!$E$2:$E$1137,0))</f>
        <v>5</v>
      </c>
      <c r="C185" s="38" t="n">
        <f aca="false">INDEX('Transition Stepwise'!$F$2:$F$1137,MATCH(23&amp;"|"&amp;$A185&amp;"|"&amp;C$181,'Transition Stepwise'!$E$2:$E$1137,0))</f>
        <v>2</v>
      </c>
      <c r="D185" s="38" t="n">
        <f aca="false">INDEX('Transition Stepwise'!$F$2:$F$1137,MATCH(23&amp;"|"&amp;$A185&amp;"|"&amp;D$181,'Transition Stepwise'!$E$2:$E$1137,0))</f>
        <v>5</v>
      </c>
      <c r="E185" s="38" t="n">
        <f aca="false">INDEX('Transition Stepwise'!$F$2:$F$1137,MATCH(23&amp;"|"&amp;$A185&amp;"|"&amp;E$181,'Transition Stepwise'!$E$2:$E$1137,0))</f>
        <v>0</v>
      </c>
      <c r="F185" s="38" t="n">
        <f aca="false">ROUND(SUM(B185:E185),9)</f>
        <v>12</v>
      </c>
    </row>
    <row r="186" customFormat="false" ht="15" hidden="false" customHeight="true" outlineLevel="0" collapsed="false">
      <c r="A186" s="38"/>
      <c r="B186" s="38"/>
      <c r="C186" s="38"/>
      <c r="D186" s="38"/>
      <c r="E186" s="38"/>
      <c r="F186" s="38"/>
    </row>
    <row r="187" customFormat="false" ht="15" hidden="false" customHeight="true" outlineLevel="0" collapsed="false">
      <c r="A187" s="38"/>
      <c r="B187" s="38"/>
      <c r="C187" s="38"/>
      <c r="D187" s="38"/>
      <c r="E187" s="38"/>
      <c r="F187" s="38"/>
    </row>
    <row r="188" customFormat="false" ht="15" hidden="false" customHeight="true" outlineLevel="0" collapsed="false">
      <c r="A188" s="41" t="s">
        <v>717</v>
      </c>
      <c r="B188" s="38"/>
      <c r="C188" s="38"/>
      <c r="D188" s="38"/>
      <c r="E188" s="38"/>
      <c r="F188" s="38"/>
    </row>
    <row r="189" customFormat="false" ht="15" hidden="false" customHeight="true" outlineLevel="0" collapsed="false">
      <c r="A189" s="39" t="s">
        <v>693</v>
      </c>
      <c r="B189" s="39" t="s">
        <v>172</v>
      </c>
      <c r="C189" s="39" t="s">
        <v>170</v>
      </c>
      <c r="D189" s="39" t="s">
        <v>169</v>
      </c>
      <c r="E189" s="39" t="s">
        <v>171</v>
      </c>
      <c r="F189" s="39" t="s">
        <v>694</v>
      </c>
    </row>
    <row r="190" customFormat="false" ht="15" hidden="false" customHeight="true" outlineLevel="0" collapsed="false">
      <c r="A190" s="41" t="s">
        <v>172</v>
      </c>
      <c r="B190" s="38" t="n">
        <f aca="false">INDEX('Transition Stepwise'!$F$2:$F$1137,MATCH(24&amp;"|"&amp;$A190&amp;"|"&amp;B$189,'Transition Stepwise'!$E$2:$E$1137,0))</f>
        <v>0</v>
      </c>
      <c r="C190" s="38" t="n">
        <f aca="false">INDEX('Transition Stepwise'!$F$2:$F$1137,MATCH(24&amp;"|"&amp;$A190&amp;"|"&amp;C$189,'Transition Stepwise'!$E$2:$E$1137,0))</f>
        <v>27</v>
      </c>
      <c r="D190" s="38" t="n">
        <f aca="false">INDEX('Transition Stepwise'!$F$2:$F$1137,MATCH(24&amp;"|"&amp;$A190&amp;"|"&amp;D$189,'Transition Stepwise'!$E$2:$E$1137,0))</f>
        <v>0</v>
      </c>
      <c r="E190" s="38" t="n">
        <f aca="false">INDEX('Transition Stepwise'!$F$2:$F$1137,MATCH(24&amp;"|"&amp;$A190&amp;"|"&amp;E$189,'Transition Stepwise'!$E$2:$E$1137,0))</f>
        <v>10</v>
      </c>
      <c r="F190" s="38" t="n">
        <f aca="false">ROUND(SUM(B190:E190),9)</f>
        <v>37</v>
      </c>
    </row>
    <row r="191" customFormat="false" ht="15" hidden="false" customHeight="true" outlineLevel="0" collapsed="false">
      <c r="A191" s="41" t="s">
        <v>170</v>
      </c>
      <c r="B191" s="38" t="n">
        <f aca="false">INDEX('Transition Stepwise'!$F$2:$F$1137,MATCH(24&amp;"|"&amp;$A191&amp;"|"&amp;B$189,'Transition Stepwise'!$E$2:$E$1137,0))</f>
        <v>0</v>
      </c>
      <c r="C191" s="38" t="n">
        <f aca="false">INDEX('Transition Stepwise'!$F$2:$F$1137,MATCH(24&amp;"|"&amp;$A191&amp;"|"&amp;C$189,'Transition Stepwise'!$E$2:$E$1137,0))</f>
        <v>4</v>
      </c>
      <c r="D191" s="38" t="n">
        <f aca="false">INDEX('Transition Stepwise'!$F$2:$F$1137,MATCH(24&amp;"|"&amp;$A191&amp;"|"&amp;D$189,'Transition Stepwise'!$E$2:$E$1137,0))</f>
        <v>1</v>
      </c>
      <c r="E191" s="38" t="n">
        <f aca="false">INDEX('Transition Stepwise'!$F$2:$F$1137,MATCH(24&amp;"|"&amp;$A191&amp;"|"&amp;E$189,'Transition Stepwise'!$E$2:$E$1137,0))</f>
        <v>1</v>
      </c>
      <c r="F191" s="38" t="n">
        <f aca="false">ROUND(SUM(B191:E191),9)</f>
        <v>6</v>
      </c>
    </row>
    <row r="192" customFormat="false" ht="15" hidden="false" customHeight="true" outlineLevel="0" collapsed="false">
      <c r="A192" s="41" t="s">
        <v>169</v>
      </c>
      <c r="B192" s="38" t="n">
        <f aca="false">INDEX('Transition Stepwise'!$F$2:$F$1137,MATCH(24&amp;"|"&amp;$A192&amp;"|"&amp;B$189,'Transition Stepwise'!$E$2:$E$1137,0))</f>
        <v>1</v>
      </c>
      <c r="C192" s="38" t="n">
        <f aca="false">INDEX('Transition Stepwise'!$F$2:$F$1137,MATCH(24&amp;"|"&amp;$A192&amp;"|"&amp;C$189,'Transition Stepwise'!$E$2:$E$1137,0))</f>
        <v>139</v>
      </c>
      <c r="D192" s="38" t="n">
        <f aca="false">INDEX('Transition Stepwise'!$F$2:$F$1137,MATCH(24&amp;"|"&amp;$A192&amp;"|"&amp;D$189,'Transition Stepwise'!$E$2:$E$1137,0))</f>
        <v>6</v>
      </c>
      <c r="E192" s="38" t="n">
        <f aca="false">INDEX('Transition Stepwise'!$F$2:$F$1137,MATCH(24&amp;"|"&amp;$A192&amp;"|"&amp;E$189,'Transition Stepwise'!$E$2:$E$1137,0))</f>
        <v>3</v>
      </c>
      <c r="F192" s="38" t="n">
        <f aca="false">ROUND(SUM(B192:E192),9)</f>
        <v>149</v>
      </c>
    </row>
    <row r="193" customFormat="false" ht="15" hidden="false" customHeight="true" outlineLevel="0" collapsed="false">
      <c r="A193" s="41" t="s">
        <v>171</v>
      </c>
      <c r="B193" s="38" t="n">
        <f aca="false">INDEX('Transition Stepwise'!$F$2:$F$1137,MATCH(24&amp;"|"&amp;$A193&amp;"|"&amp;B$189,'Transition Stepwise'!$E$2:$E$1137,0))</f>
        <v>0</v>
      </c>
      <c r="C193" s="38" t="n">
        <f aca="false">INDEX('Transition Stepwise'!$F$2:$F$1137,MATCH(24&amp;"|"&amp;$A193&amp;"|"&amp;C$189,'Transition Stepwise'!$E$2:$E$1137,0))</f>
        <v>7</v>
      </c>
      <c r="D193" s="38" t="n">
        <f aca="false">INDEX('Transition Stepwise'!$F$2:$F$1137,MATCH(24&amp;"|"&amp;$A193&amp;"|"&amp;D$189,'Transition Stepwise'!$E$2:$E$1137,0))</f>
        <v>0</v>
      </c>
      <c r="E193" s="38" t="n">
        <f aca="false">INDEX('Transition Stepwise'!$F$2:$F$1137,MATCH(24&amp;"|"&amp;$A193&amp;"|"&amp;E$189,'Transition Stepwise'!$E$2:$E$1137,0))</f>
        <v>0</v>
      </c>
      <c r="F193" s="38" t="n">
        <f aca="false">ROUND(SUM(B193:E193),9)</f>
        <v>7</v>
      </c>
    </row>
    <row r="194" customFormat="false" ht="15" hidden="false" customHeight="true" outlineLevel="0" collapsed="false">
      <c r="A194" s="38"/>
      <c r="B194" s="38"/>
      <c r="C194" s="38"/>
      <c r="D194" s="38"/>
      <c r="E194" s="38"/>
      <c r="F194" s="38"/>
    </row>
    <row r="195" customFormat="false" ht="15" hidden="false" customHeight="true" outlineLevel="0" collapsed="false">
      <c r="A195" s="38"/>
      <c r="B195" s="38"/>
      <c r="C195" s="38"/>
      <c r="D195" s="38"/>
      <c r="E195" s="38"/>
      <c r="F195" s="38"/>
    </row>
    <row r="196" customFormat="false" ht="15" hidden="false" customHeight="true" outlineLevel="0" collapsed="false">
      <c r="A196" s="41" t="s">
        <v>718</v>
      </c>
      <c r="B196" s="38"/>
      <c r="C196" s="38"/>
      <c r="D196" s="38"/>
      <c r="E196" s="38"/>
      <c r="F196" s="38"/>
    </row>
    <row r="197" customFormat="false" ht="15" hidden="false" customHeight="true" outlineLevel="0" collapsed="false">
      <c r="A197" s="39" t="s">
        <v>693</v>
      </c>
      <c r="B197" s="39" t="s">
        <v>172</v>
      </c>
      <c r="C197" s="39" t="s">
        <v>170</v>
      </c>
      <c r="D197" s="39" t="s">
        <v>169</v>
      </c>
      <c r="E197" s="39" t="s">
        <v>171</v>
      </c>
      <c r="F197" s="39" t="s">
        <v>694</v>
      </c>
    </row>
    <row r="198" customFormat="false" ht="15" hidden="false" customHeight="true" outlineLevel="0" collapsed="false">
      <c r="A198" s="41" t="s">
        <v>172</v>
      </c>
      <c r="B198" s="38" t="n">
        <f aca="false">INDEX('Transition Stepwise'!$F$2:$F$1137,MATCH(25&amp;"|"&amp;$A198&amp;"|"&amp;B$197,'Transition Stepwise'!$E$2:$E$1137,0))</f>
        <v>0</v>
      </c>
      <c r="C198" s="38" t="n">
        <f aca="false">INDEX('Transition Stepwise'!$F$2:$F$1137,MATCH(25&amp;"|"&amp;$A198&amp;"|"&amp;C$197,'Transition Stepwise'!$E$2:$E$1137,0))</f>
        <v>0</v>
      </c>
      <c r="D198" s="38" t="n">
        <f aca="false">INDEX('Transition Stepwise'!$F$2:$F$1137,MATCH(25&amp;"|"&amp;$A198&amp;"|"&amp;D$197,'Transition Stepwise'!$E$2:$E$1137,0))</f>
        <v>1</v>
      </c>
      <c r="E198" s="38" t="n">
        <f aca="false">INDEX('Transition Stepwise'!$F$2:$F$1137,MATCH(25&amp;"|"&amp;$A198&amp;"|"&amp;E$197,'Transition Stepwise'!$E$2:$E$1137,0))</f>
        <v>0</v>
      </c>
      <c r="F198" s="38" t="n">
        <f aca="false">ROUND(SUM(B198:E198),9)</f>
        <v>1</v>
      </c>
    </row>
    <row r="199" customFormat="false" ht="15" hidden="false" customHeight="true" outlineLevel="0" collapsed="false">
      <c r="A199" s="41" t="s">
        <v>170</v>
      </c>
      <c r="B199" s="38" t="n">
        <f aca="false">INDEX('Transition Stepwise'!$F$2:$F$1137,MATCH(25&amp;"|"&amp;$A199&amp;"|"&amp;B$197,'Transition Stepwise'!$E$2:$E$1137,0))</f>
        <v>76</v>
      </c>
      <c r="C199" s="38" t="n">
        <f aca="false">INDEX('Transition Stepwise'!$F$2:$F$1137,MATCH(25&amp;"|"&amp;$A199&amp;"|"&amp;C$197,'Transition Stepwise'!$E$2:$E$1137,0))</f>
        <v>3</v>
      </c>
      <c r="D199" s="38" t="n">
        <f aca="false">INDEX('Transition Stepwise'!$F$2:$F$1137,MATCH(25&amp;"|"&amp;$A199&amp;"|"&amp;D$197,'Transition Stepwise'!$E$2:$E$1137,0))</f>
        <v>89</v>
      </c>
      <c r="E199" s="38" t="n">
        <f aca="false">INDEX('Transition Stepwise'!$F$2:$F$1137,MATCH(25&amp;"|"&amp;$A199&amp;"|"&amp;E$197,'Transition Stepwise'!$E$2:$E$1137,0))</f>
        <v>9</v>
      </c>
      <c r="F199" s="38" t="n">
        <f aca="false">ROUND(SUM(B199:E199),9)</f>
        <v>177</v>
      </c>
    </row>
    <row r="200" customFormat="false" ht="15" hidden="false" customHeight="true" outlineLevel="0" collapsed="false">
      <c r="A200" s="41" t="s">
        <v>169</v>
      </c>
      <c r="B200" s="38" t="n">
        <f aca="false">INDEX('Transition Stepwise'!$F$2:$F$1137,MATCH(25&amp;"|"&amp;$A200&amp;"|"&amp;B$197,'Transition Stepwise'!$E$2:$E$1137,0))</f>
        <v>5</v>
      </c>
      <c r="C200" s="38" t="n">
        <f aca="false">INDEX('Transition Stepwise'!$F$2:$F$1137,MATCH(25&amp;"|"&amp;$A200&amp;"|"&amp;C$197,'Transition Stepwise'!$E$2:$E$1137,0))</f>
        <v>0</v>
      </c>
      <c r="D200" s="38" t="n">
        <f aca="false">INDEX('Transition Stepwise'!$F$2:$F$1137,MATCH(25&amp;"|"&amp;$A200&amp;"|"&amp;D$197,'Transition Stepwise'!$E$2:$E$1137,0))</f>
        <v>2</v>
      </c>
      <c r="E200" s="38" t="n">
        <f aca="false">INDEX('Transition Stepwise'!$F$2:$F$1137,MATCH(25&amp;"|"&amp;$A200&amp;"|"&amp;E$197,'Transition Stepwise'!$E$2:$E$1137,0))</f>
        <v>0</v>
      </c>
      <c r="F200" s="38" t="n">
        <f aca="false">ROUND(SUM(B200:E200),9)</f>
        <v>7</v>
      </c>
    </row>
    <row r="201" customFormat="false" ht="15" hidden="false" customHeight="true" outlineLevel="0" collapsed="false">
      <c r="A201" s="41" t="s">
        <v>171</v>
      </c>
      <c r="B201" s="38" t="n">
        <f aca="false">INDEX('Transition Stepwise'!$F$2:$F$1137,MATCH(25&amp;"|"&amp;$A201&amp;"|"&amp;B$197,'Transition Stepwise'!$E$2:$E$1137,0))</f>
        <v>2</v>
      </c>
      <c r="C201" s="38" t="n">
        <f aca="false">INDEX('Transition Stepwise'!$F$2:$F$1137,MATCH(25&amp;"|"&amp;$A201&amp;"|"&amp;C$197,'Transition Stepwise'!$E$2:$E$1137,0))</f>
        <v>2</v>
      </c>
      <c r="D201" s="38" t="n">
        <f aca="false">INDEX('Transition Stepwise'!$F$2:$F$1137,MATCH(25&amp;"|"&amp;$A201&amp;"|"&amp;D$197,'Transition Stepwise'!$E$2:$E$1137,0))</f>
        <v>8</v>
      </c>
      <c r="E201" s="38" t="n">
        <f aca="false">INDEX('Transition Stepwise'!$F$2:$F$1137,MATCH(25&amp;"|"&amp;$A201&amp;"|"&amp;E$197,'Transition Stepwise'!$E$2:$E$1137,0))</f>
        <v>2</v>
      </c>
      <c r="F201" s="38" t="n">
        <f aca="false">ROUND(SUM(B201:E201),9)</f>
        <v>14</v>
      </c>
    </row>
    <row r="202" customFormat="false" ht="15" hidden="false" customHeight="true" outlineLevel="0" collapsed="false">
      <c r="A202" s="38"/>
      <c r="B202" s="38"/>
      <c r="C202" s="38"/>
      <c r="D202" s="38"/>
      <c r="E202" s="38"/>
      <c r="F202" s="38"/>
    </row>
    <row r="203" customFormat="false" ht="15" hidden="false" customHeight="true" outlineLevel="0" collapsed="false">
      <c r="A203" s="38"/>
      <c r="B203" s="38"/>
      <c r="C203" s="38"/>
      <c r="D203" s="38"/>
      <c r="E203" s="38"/>
      <c r="F203" s="38"/>
    </row>
    <row r="204" customFormat="false" ht="15" hidden="false" customHeight="true" outlineLevel="0" collapsed="false">
      <c r="A204" s="41" t="s">
        <v>719</v>
      </c>
      <c r="B204" s="38"/>
      <c r="C204" s="38"/>
      <c r="D204" s="38"/>
      <c r="E204" s="38"/>
      <c r="F204" s="38"/>
    </row>
    <row r="205" customFormat="false" ht="15" hidden="false" customHeight="true" outlineLevel="0" collapsed="false">
      <c r="A205" s="39" t="s">
        <v>693</v>
      </c>
      <c r="B205" s="39" t="s">
        <v>172</v>
      </c>
      <c r="C205" s="39" t="s">
        <v>170</v>
      </c>
      <c r="D205" s="39" t="s">
        <v>169</v>
      </c>
      <c r="E205" s="39" t="s">
        <v>171</v>
      </c>
      <c r="F205" s="39" t="s">
        <v>694</v>
      </c>
    </row>
    <row r="206" customFormat="false" ht="15" hidden="false" customHeight="true" outlineLevel="0" collapsed="false">
      <c r="A206" s="41" t="s">
        <v>172</v>
      </c>
      <c r="B206" s="38" t="n">
        <f aca="false">INDEX('Transition Stepwise'!$F$2:$F$1137,MATCH(26&amp;"|"&amp;$A206&amp;"|"&amp;B$205,'Transition Stepwise'!$E$2:$E$1137,0))</f>
        <v>15</v>
      </c>
      <c r="C206" s="38" t="n">
        <f aca="false">INDEX('Transition Stepwise'!$F$2:$F$1137,MATCH(26&amp;"|"&amp;$A206&amp;"|"&amp;C$205,'Transition Stepwise'!$E$2:$E$1137,0))</f>
        <v>31</v>
      </c>
      <c r="D206" s="38" t="n">
        <f aca="false">INDEX('Transition Stepwise'!$F$2:$F$1137,MATCH(26&amp;"|"&amp;$A206&amp;"|"&amp;D$205,'Transition Stepwise'!$E$2:$E$1137,0))</f>
        <v>13</v>
      </c>
      <c r="E206" s="38" t="n">
        <f aca="false">INDEX('Transition Stepwise'!$F$2:$F$1137,MATCH(26&amp;"|"&amp;$A206&amp;"|"&amp;E$205,'Transition Stepwise'!$E$2:$E$1137,0))</f>
        <v>24</v>
      </c>
      <c r="F206" s="38" t="n">
        <f aca="false">ROUND(SUM(B206:E206),9)</f>
        <v>83</v>
      </c>
    </row>
    <row r="207" customFormat="false" ht="15" hidden="false" customHeight="true" outlineLevel="0" collapsed="false">
      <c r="A207" s="41" t="s">
        <v>170</v>
      </c>
      <c r="B207" s="38" t="n">
        <f aca="false">INDEX('Transition Stepwise'!$F$2:$F$1137,MATCH(26&amp;"|"&amp;$A207&amp;"|"&amp;B$205,'Transition Stepwise'!$E$2:$E$1137,0))</f>
        <v>0</v>
      </c>
      <c r="C207" s="38" t="n">
        <f aca="false">INDEX('Transition Stepwise'!$F$2:$F$1137,MATCH(26&amp;"|"&amp;$A207&amp;"|"&amp;C$205,'Transition Stepwise'!$E$2:$E$1137,0))</f>
        <v>2</v>
      </c>
      <c r="D207" s="38" t="n">
        <f aca="false">INDEX('Transition Stepwise'!$F$2:$F$1137,MATCH(26&amp;"|"&amp;$A207&amp;"|"&amp;D$205,'Transition Stepwise'!$E$2:$E$1137,0))</f>
        <v>1</v>
      </c>
      <c r="E207" s="38" t="n">
        <f aca="false">INDEX('Transition Stepwise'!$F$2:$F$1137,MATCH(26&amp;"|"&amp;$A207&amp;"|"&amp;E$205,'Transition Stepwise'!$E$2:$E$1137,0))</f>
        <v>2</v>
      </c>
      <c r="F207" s="38" t="n">
        <f aca="false">ROUND(SUM(B207:E207),9)</f>
        <v>5</v>
      </c>
    </row>
    <row r="208" customFormat="false" ht="15" hidden="false" customHeight="true" outlineLevel="0" collapsed="false">
      <c r="A208" s="41" t="s">
        <v>169</v>
      </c>
      <c r="B208" s="38" t="n">
        <f aca="false">INDEX('Transition Stepwise'!$F$2:$F$1137,MATCH(26&amp;"|"&amp;$A208&amp;"|"&amp;B$205,'Transition Stepwise'!$E$2:$E$1137,0))</f>
        <v>8</v>
      </c>
      <c r="C208" s="38" t="n">
        <f aca="false">INDEX('Transition Stepwise'!$F$2:$F$1137,MATCH(26&amp;"|"&amp;$A208&amp;"|"&amp;C$205,'Transition Stepwise'!$E$2:$E$1137,0))</f>
        <v>54</v>
      </c>
      <c r="D208" s="38" t="n">
        <f aca="false">INDEX('Transition Stepwise'!$F$2:$F$1137,MATCH(26&amp;"|"&amp;$A208&amp;"|"&amp;D$205,'Transition Stepwise'!$E$2:$E$1137,0))</f>
        <v>16</v>
      </c>
      <c r="E208" s="38" t="n">
        <f aca="false">INDEX('Transition Stepwise'!$F$2:$F$1137,MATCH(26&amp;"|"&amp;$A208&amp;"|"&amp;E$205,'Transition Stepwise'!$E$2:$E$1137,0))</f>
        <v>22</v>
      </c>
      <c r="F208" s="38" t="n">
        <f aca="false">ROUND(SUM(B208:E208),9)</f>
        <v>100</v>
      </c>
    </row>
    <row r="209" customFormat="false" ht="15" hidden="false" customHeight="true" outlineLevel="0" collapsed="false">
      <c r="A209" s="41" t="s">
        <v>171</v>
      </c>
      <c r="B209" s="38" t="n">
        <f aca="false">INDEX('Transition Stepwise'!$F$2:$F$1137,MATCH(26&amp;"|"&amp;$A209&amp;"|"&amp;B$205,'Transition Stepwise'!$E$2:$E$1137,0))</f>
        <v>1</v>
      </c>
      <c r="C209" s="38" t="n">
        <f aca="false">INDEX('Transition Stepwise'!$F$2:$F$1137,MATCH(26&amp;"|"&amp;$A209&amp;"|"&amp;C$205,'Transition Stepwise'!$E$2:$E$1137,0))</f>
        <v>6</v>
      </c>
      <c r="D209" s="38" t="n">
        <f aca="false">INDEX('Transition Stepwise'!$F$2:$F$1137,MATCH(26&amp;"|"&amp;$A209&amp;"|"&amp;D$205,'Transition Stepwise'!$E$2:$E$1137,0))</f>
        <v>1</v>
      </c>
      <c r="E209" s="38" t="n">
        <f aca="false">INDEX('Transition Stepwise'!$F$2:$F$1137,MATCH(26&amp;"|"&amp;$A209&amp;"|"&amp;E$205,'Transition Stepwise'!$E$2:$E$1137,0))</f>
        <v>3</v>
      </c>
      <c r="F209" s="38" t="n">
        <f aca="false">ROUND(SUM(B209:E209),9)</f>
        <v>11</v>
      </c>
    </row>
    <row r="210" customFormat="false" ht="15" hidden="false" customHeight="true" outlineLevel="0" collapsed="false">
      <c r="A210" s="38"/>
      <c r="B210" s="38"/>
      <c r="C210" s="38"/>
      <c r="D210" s="38"/>
      <c r="E210" s="38"/>
      <c r="F210" s="38"/>
    </row>
    <row r="211" customFormat="false" ht="15" hidden="false" customHeight="true" outlineLevel="0" collapsed="false">
      <c r="A211" s="38"/>
      <c r="B211" s="38"/>
      <c r="C211" s="38"/>
      <c r="D211" s="38"/>
      <c r="E211" s="38"/>
      <c r="F211" s="38"/>
    </row>
    <row r="212" customFormat="false" ht="15" hidden="false" customHeight="true" outlineLevel="0" collapsed="false">
      <c r="A212" s="41" t="s">
        <v>720</v>
      </c>
      <c r="B212" s="38"/>
      <c r="C212" s="38"/>
      <c r="D212" s="38"/>
      <c r="E212" s="38"/>
      <c r="F212" s="38"/>
    </row>
    <row r="213" customFormat="false" ht="15" hidden="false" customHeight="true" outlineLevel="0" collapsed="false">
      <c r="A213" s="39" t="s">
        <v>693</v>
      </c>
      <c r="B213" s="39" t="s">
        <v>172</v>
      </c>
      <c r="C213" s="39" t="s">
        <v>170</v>
      </c>
      <c r="D213" s="39" t="s">
        <v>169</v>
      </c>
      <c r="E213" s="39" t="s">
        <v>171</v>
      </c>
      <c r="F213" s="39" t="s">
        <v>694</v>
      </c>
    </row>
    <row r="214" customFormat="false" ht="15" hidden="false" customHeight="true" outlineLevel="0" collapsed="false">
      <c r="A214" s="41" t="s">
        <v>172</v>
      </c>
      <c r="B214" s="38" t="n">
        <f aca="false">INDEX('Transition Stepwise'!$F$2:$F$1137,MATCH(27&amp;"|"&amp;$A214&amp;"|"&amp;B$213,'Transition Stepwise'!$E$2:$E$1137,0))</f>
        <v>2</v>
      </c>
      <c r="C214" s="38" t="n">
        <f aca="false">INDEX('Transition Stepwise'!$F$2:$F$1137,MATCH(27&amp;"|"&amp;$A214&amp;"|"&amp;C$213,'Transition Stepwise'!$E$2:$E$1137,0))</f>
        <v>14</v>
      </c>
      <c r="D214" s="38" t="n">
        <f aca="false">INDEX('Transition Stepwise'!$F$2:$F$1137,MATCH(27&amp;"|"&amp;$A214&amp;"|"&amp;D$213,'Transition Stepwise'!$E$2:$E$1137,0))</f>
        <v>3</v>
      </c>
      <c r="E214" s="38" t="n">
        <f aca="false">INDEX('Transition Stepwise'!$F$2:$F$1137,MATCH(27&amp;"|"&amp;$A214&amp;"|"&amp;E$213,'Transition Stepwise'!$E$2:$E$1137,0))</f>
        <v>5</v>
      </c>
      <c r="F214" s="38" t="n">
        <f aca="false">ROUND(SUM(B214:E214),9)</f>
        <v>24</v>
      </c>
    </row>
    <row r="215" customFormat="false" ht="15" hidden="false" customHeight="true" outlineLevel="0" collapsed="false">
      <c r="A215" s="41" t="s">
        <v>170</v>
      </c>
      <c r="B215" s="38" t="n">
        <f aca="false">INDEX('Transition Stepwise'!$F$2:$F$1137,MATCH(27&amp;"|"&amp;$A215&amp;"|"&amp;B$213,'Transition Stepwise'!$E$2:$E$1137,0))</f>
        <v>15</v>
      </c>
      <c r="C215" s="38" t="n">
        <f aca="false">INDEX('Transition Stepwise'!$F$2:$F$1137,MATCH(27&amp;"|"&amp;$A215&amp;"|"&amp;C$213,'Transition Stepwise'!$E$2:$E$1137,0))</f>
        <v>39</v>
      </c>
      <c r="D215" s="38" t="n">
        <f aca="false">INDEX('Transition Stepwise'!$F$2:$F$1137,MATCH(27&amp;"|"&amp;$A215&amp;"|"&amp;D$213,'Transition Stepwise'!$E$2:$E$1137,0))</f>
        <v>11</v>
      </c>
      <c r="E215" s="38" t="n">
        <f aca="false">INDEX('Transition Stepwise'!$F$2:$F$1137,MATCH(27&amp;"|"&amp;$A215&amp;"|"&amp;E$213,'Transition Stepwise'!$E$2:$E$1137,0))</f>
        <v>28</v>
      </c>
      <c r="F215" s="38" t="n">
        <f aca="false">ROUND(SUM(B215:E215),9)</f>
        <v>93</v>
      </c>
    </row>
    <row r="216" customFormat="false" ht="15" hidden="false" customHeight="true" outlineLevel="0" collapsed="false">
      <c r="A216" s="41" t="s">
        <v>169</v>
      </c>
      <c r="B216" s="38" t="n">
        <f aca="false">INDEX('Transition Stepwise'!$F$2:$F$1137,MATCH(27&amp;"|"&amp;$A216&amp;"|"&amp;B$213,'Transition Stepwise'!$E$2:$E$1137,0))</f>
        <v>4</v>
      </c>
      <c r="C216" s="38" t="n">
        <f aca="false">INDEX('Transition Stepwise'!$F$2:$F$1137,MATCH(27&amp;"|"&amp;$A216&amp;"|"&amp;C$213,'Transition Stepwise'!$E$2:$E$1137,0))</f>
        <v>24</v>
      </c>
      <c r="D216" s="38" t="n">
        <f aca="false">INDEX('Transition Stepwise'!$F$2:$F$1137,MATCH(27&amp;"|"&amp;$A216&amp;"|"&amp;D$213,'Transition Stepwise'!$E$2:$E$1137,0))</f>
        <v>3</v>
      </c>
      <c r="E216" s="38" t="n">
        <f aca="false">INDEX('Transition Stepwise'!$F$2:$F$1137,MATCH(27&amp;"|"&amp;$A216&amp;"|"&amp;E$213,'Transition Stepwise'!$E$2:$E$1137,0))</f>
        <v>0</v>
      </c>
      <c r="F216" s="38" t="n">
        <f aca="false">ROUND(SUM(B216:E216),9)</f>
        <v>31</v>
      </c>
    </row>
    <row r="217" customFormat="false" ht="15" hidden="false" customHeight="true" outlineLevel="0" collapsed="false">
      <c r="A217" s="41" t="s">
        <v>171</v>
      </c>
      <c r="B217" s="38" t="n">
        <f aca="false">INDEX('Transition Stepwise'!$F$2:$F$1137,MATCH(27&amp;"|"&amp;$A217&amp;"|"&amp;B$213,'Transition Stepwise'!$E$2:$E$1137,0))</f>
        <v>3</v>
      </c>
      <c r="C217" s="38" t="n">
        <f aca="false">INDEX('Transition Stepwise'!$F$2:$F$1137,MATCH(27&amp;"|"&amp;$A217&amp;"|"&amp;C$213,'Transition Stepwise'!$E$2:$E$1137,0))</f>
        <v>26</v>
      </c>
      <c r="D217" s="38" t="n">
        <f aca="false">INDEX('Transition Stepwise'!$F$2:$F$1137,MATCH(27&amp;"|"&amp;$A217&amp;"|"&amp;D$213,'Transition Stepwise'!$E$2:$E$1137,0))</f>
        <v>5</v>
      </c>
      <c r="E217" s="38" t="n">
        <f aca="false">INDEX('Transition Stepwise'!$F$2:$F$1137,MATCH(27&amp;"|"&amp;$A217&amp;"|"&amp;E$213,'Transition Stepwise'!$E$2:$E$1137,0))</f>
        <v>17</v>
      </c>
      <c r="F217" s="38" t="n">
        <f aca="false">ROUND(SUM(B217:E217),9)</f>
        <v>51</v>
      </c>
    </row>
    <row r="218" customFormat="false" ht="15" hidden="false" customHeight="true" outlineLevel="0" collapsed="false">
      <c r="A218" s="38"/>
      <c r="B218" s="38"/>
      <c r="C218" s="38"/>
      <c r="D218" s="38"/>
      <c r="E218" s="38"/>
      <c r="F218" s="38"/>
    </row>
    <row r="219" customFormat="false" ht="15" hidden="false" customHeight="true" outlineLevel="0" collapsed="false">
      <c r="A219" s="38"/>
      <c r="B219" s="38"/>
      <c r="C219" s="38"/>
      <c r="D219" s="38"/>
      <c r="E219" s="38"/>
      <c r="F219" s="38"/>
    </row>
    <row r="220" customFormat="false" ht="15" hidden="false" customHeight="true" outlineLevel="0" collapsed="false">
      <c r="A220" s="41" t="s">
        <v>721</v>
      </c>
      <c r="B220" s="38"/>
      <c r="C220" s="38"/>
      <c r="D220" s="38"/>
      <c r="E220" s="38"/>
      <c r="F220" s="38"/>
    </row>
    <row r="221" customFormat="false" ht="15" hidden="false" customHeight="true" outlineLevel="0" collapsed="false">
      <c r="A221" s="39" t="s">
        <v>693</v>
      </c>
      <c r="B221" s="39" t="s">
        <v>172</v>
      </c>
      <c r="C221" s="39" t="s">
        <v>170</v>
      </c>
      <c r="D221" s="39" t="s">
        <v>169</v>
      </c>
      <c r="E221" s="39" t="s">
        <v>171</v>
      </c>
      <c r="F221" s="39" t="s">
        <v>694</v>
      </c>
    </row>
    <row r="222" customFormat="false" ht="15" hidden="false" customHeight="true" outlineLevel="0" collapsed="false">
      <c r="A222" s="41" t="s">
        <v>172</v>
      </c>
      <c r="B222" s="38" t="n">
        <f aca="false">INDEX('Transition Stepwise'!$F$2:$F$1137,MATCH(28&amp;"|"&amp;$A222&amp;"|"&amp;B$221,'Transition Stepwise'!$E$2:$E$1137,0))</f>
        <v>3</v>
      </c>
      <c r="C222" s="38" t="n">
        <f aca="false">INDEX('Transition Stepwise'!$F$2:$F$1137,MATCH(28&amp;"|"&amp;$A222&amp;"|"&amp;C$221,'Transition Stepwise'!$E$2:$E$1137,0))</f>
        <v>7</v>
      </c>
      <c r="D222" s="38" t="n">
        <f aca="false">INDEX('Transition Stepwise'!$F$2:$F$1137,MATCH(28&amp;"|"&amp;$A222&amp;"|"&amp;D$221,'Transition Stepwise'!$E$2:$E$1137,0))</f>
        <v>4</v>
      </c>
      <c r="E222" s="38" t="n">
        <f aca="false">INDEX('Transition Stepwise'!$F$2:$F$1137,MATCH(28&amp;"|"&amp;$A222&amp;"|"&amp;E$221,'Transition Stepwise'!$E$2:$E$1137,0))</f>
        <v>10</v>
      </c>
      <c r="F222" s="38" t="n">
        <f aca="false">ROUND(SUM(B222:E222),9)</f>
        <v>24</v>
      </c>
    </row>
    <row r="223" customFormat="false" ht="15" hidden="false" customHeight="true" outlineLevel="0" collapsed="false">
      <c r="A223" s="41" t="s">
        <v>170</v>
      </c>
      <c r="B223" s="38" t="n">
        <f aca="false">INDEX('Transition Stepwise'!$F$2:$F$1137,MATCH(28&amp;"|"&amp;$A223&amp;"|"&amp;B$221,'Transition Stepwise'!$E$2:$E$1137,0))</f>
        <v>18</v>
      </c>
      <c r="C223" s="38" t="n">
        <f aca="false">INDEX('Transition Stepwise'!$F$2:$F$1137,MATCH(28&amp;"|"&amp;$A223&amp;"|"&amp;C$221,'Transition Stepwise'!$E$2:$E$1137,0))</f>
        <v>8</v>
      </c>
      <c r="D223" s="38" t="n">
        <f aca="false">INDEX('Transition Stepwise'!$F$2:$F$1137,MATCH(28&amp;"|"&amp;$A223&amp;"|"&amp;D$221,'Transition Stepwise'!$E$2:$E$1137,0))</f>
        <v>47</v>
      </c>
      <c r="E223" s="38" t="n">
        <f aca="false">INDEX('Transition Stepwise'!$F$2:$F$1137,MATCH(28&amp;"|"&amp;$A223&amp;"|"&amp;E$221,'Transition Stepwise'!$E$2:$E$1137,0))</f>
        <v>30</v>
      </c>
      <c r="F223" s="38" t="n">
        <f aca="false">ROUND(SUM(B223:E223),9)</f>
        <v>103</v>
      </c>
    </row>
    <row r="224" customFormat="false" ht="15" hidden="false" customHeight="true" outlineLevel="0" collapsed="false">
      <c r="A224" s="41" t="s">
        <v>169</v>
      </c>
      <c r="B224" s="38" t="n">
        <f aca="false">INDEX('Transition Stepwise'!$F$2:$F$1137,MATCH(28&amp;"|"&amp;$A224&amp;"|"&amp;B$221,'Transition Stepwise'!$E$2:$E$1137,0))</f>
        <v>4</v>
      </c>
      <c r="C224" s="38" t="n">
        <f aca="false">INDEX('Transition Stepwise'!$F$2:$F$1137,MATCH(28&amp;"|"&amp;$A224&amp;"|"&amp;C$221,'Transition Stepwise'!$E$2:$E$1137,0))</f>
        <v>7</v>
      </c>
      <c r="D224" s="38" t="n">
        <f aca="false">INDEX('Transition Stepwise'!$F$2:$F$1137,MATCH(28&amp;"|"&amp;$A224&amp;"|"&amp;D$221,'Transition Stepwise'!$E$2:$E$1137,0))</f>
        <v>10</v>
      </c>
      <c r="E224" s="38" t="n">
        <f aca="false">INDEX('Transition Stepwise'!$F$2:$F$1137,MATCH(28&amp;"|"&amp;$A224&amp;"|"&amp;E$221,'Transition Stepwise'!$E$2:$E$1137,0))</f>
        <v>1</v>
      </c>
      <c r="F224" s="38" t="n">
        <f aca="false">ROUND(SUM(B224:E224),9)</f>
        <v>22</v>
      </c>
    </row>
    <row r="225" customFormat="false" ht="15" hidden="false" customHeight="true" outlineLevel="0" collapsed="false">
      <c r="A225" s="41" t="s">
        <v>171</v>
      </c>
      <c r="B225" s="38" t="n">
        <f aca="false">INDEX('Transition Stepwise'!$F$2:$F$1137,MATCH(28&amp;"|"&amp;$A225&amp;"|"&amp;B$221,'Transition Stepwise'!$E$2:$E$1137,0))</f>
        <v>7</v>
      </c>
      <c r="C225" s="38" t="n">
        <f aca="false">INDEX('Transition Stepwise'!$F$2:$F$1137,MATCH(28&amp;"|"&amp;$A225&amp;"|"&amp;C$221,'Transition Stepwise'!$E$2:$E$1137,0))</f>
        <v>13</v>
      </c>
      <c r="D225" s="38" t="n">
        <f aca="false">INDEX('Transition Stepwise'!$F$2:$F$1137,MATCH(28&amp;"|"&amp;$A225&amp;"|"&amp;D$221,'Transition Stepwise'!$E$2:$E$1137,0))</f>
        <v>16</v>
      </c>
      <c r="E225" s="38" t="n">
        <f aca="false">INDEX('Transition Stepwise'!$F$2:$F$1137,MATCH(28&amp;"|"&amp;$A225&amp;"|"&amp;E$221,'Transition Stepwise'!$E$2:$E$1137,0))</f>
        <v>14</v>
      </c>
      <c r="F225" s="38" t="n">
        <f aca="false">ROUND(SUM(B225:E225),9)</f>
        <v>50</v>
      </c>
    </row>
    <row r="226" customFormat="false" ht="15" hidden="false" customHeight="true" outlineLevel="0" collapsed="false">
      <c r="A226" s="38"/>
      <c r="B226" s="38"/>
      <c r="C226" s="38"/>
      <c r="D226" s="38"/>
      <c r="E226" s="38"/>
      <c r="F226" s="38"/>
    </row>
    <row r="227" customFormat="false" ht="15" hidden="false" customHeight="true" outlineLevel="0" collapsed="false">
      <c r="A227" s="38"/>
      <c r="B227" s="38"/>
      <c r="C227" s="38"/>
      <c r="D227" s="38"/>
      <c r="E227" s="38"/>
      <c r="F227" s="38"/>
    </row>
    <row r="228" customFormat="false" ht="15" hidden="false" customHeight="true" outlineLevel="0" collapsed="false">
      <c r="A228" s="41" t="s">
        <v>722</v>
      </c>
      <c r="B228" s="38"/>
      <c r="C228" s="38"/>
      <c r="D228" s="38"/>
      <c r="E228" s="38"/>
      <c r="F228" s="38"/>
    </row>
    <row r="229" customFormat="false" ht="15" hidden="false" customHeight="true" outlineLevel="0" collapsed="false">
      <c r="A229" s="39" t="s">
        <v>693</v>
      </c>
      <c r="B229" s="39" t="s">
        <v>172</v>
      </c>
      <c r="C229" s="39" t="s">
        <v>170</v>
      </c>
      <c r="D229" s="39" t="s">
        <v>169</v>
      </c>
      <c r="E229" s="39" t="s">
        <v>171</v>
      </c>
      <c r="F229" s="39" t="s">
        <v>694</v>
      </c>
    </row>
    <row r="230" customFormat="false" ht="15" hidden="false" customHeight="true" outlineLevel="0" collapsed="false">
      <c r="A230" s="41" t="s">
        <v>172</v>
      </c>
      <c r="B230" s="38" t="n">
        <f aca="false">INDEX('Transition Stepwise'!$F$2:$F$1137,MATCH(29&amp;"|"&amp;$A230&amp;"|"&amp;B$229,'Transition Stepwise'!$E$2:$E$1137,0))</f>
        <v>0</v>
      </c>
      <c r="C230" s="38" t="n">
        <f aca="false">INDEX('Transition Stepwise'!$F$2:$F$1137,MATCH(29&amp;"|"&amp;$A230&amp;"|"&amp;C$229,'Transition Stepwise'!$E$2:$E$1137,0))</f>
        <v>8</v>
      </c>
      <c r="D230" s="38" t="n">
        <f aca="false">INDEX('Transition Stepwise'!$F$2:$F$1137,MATCH(29&amp;"|"&amp;$A230&amp;"|"&amp;D$229,'Transition Stepwise'!$E$2:$E$1137,0))</f>
        <v>24</v>
      </c>
      <c r="E230" s="38" t="n">
        <f aca="false">INDEX('Transition Stepwise'!$F$2:$F$1137,MATCH(29&amp;"|"&amp;$A230&amp;"|"&amp;E$229,'Transition Stepwise'!$E$2:$E$1137,0))</f>
        <v>0</v>
      </c>
      <c r="F230" s="38" t="n">
        <f aca="false">ROUND(SUM(B230:E230),9)</f>
        <v>32</v>
      </c>
    </row>
    <row r="231" customFormat="false" ht="15" hidden="false" customHeight="true" outlineLevel="0" collapsed="false">
      <c r="A231" s="41" t="s">
        <v>170</v>
      </c>
      <c r="B231" s="38" t="n">
        <f aca="false">INDEX('Transition Stepwise'!$F$2:$F$1137,MATCH(29&amp;"|"&amp;$A231&amp;"|"&amp;B$229,'Transition Stepwise'!$E$2:$E$1137,0))</f>
        <v>0</v>
      </c>
      <c r="C231" s="38" t="n">
        <f aca="false">INDEX('Transition Stepwise'!$F$2:$F$1137,MATCH(29&amp;"|"&amp;$A231&amp;"|"&amp;C$229,'Transition Stepwise'!$E$2:$E$1137,0))</f>
        <v>6</v>
      </c>
      <c r="D231" s="38" t="n">
        <f aca="false">INDEX('Transition Stepwise'!$F$2:$F$1137,MATCH(29&amp;"|"&amp;$A231&amp;"|"&amp;D$229,'Transition Stepwise'!$E$2:$E$1137,0))</f>
        <v>28</v>
      </c>
      <c r="E231" s="38" t="n">
        <f aca="false">INDEX('Transition Stepwise'!$F$2:$F$1137,MATCH(29&amp;"|"&amp;$A231&amp;"|"&amp;E$229,'Transition Stepwise'!$E$2:$E$1137,0))</f>
        <v>1</v>
      </c>
      <c r="F231" s="38" t="n">
        <f aca="false">ROUND(SUM(B231:E231),9)</f>
        <v>35</v>
      </c>
    </row>
    <row r="232" customFormat="false" ht="15" hidden="false" customHeight="true" outlineLevel="0" collapsed="false">
      <c r="A232" s="41" t="s">
        <v>169</v>
      </c>
      <c r="B232" s="38" t="n">
        <f aca="false">INDEX('Transition Stepwise'!$F$2:$F$1137,MATCH(29&amp;"|"&amp;$A232&amp;"|"&amp;B$229,'Transition Stepwise'!$E$2:$E$1137,0))</f>
        <v>0</v>
      </c>
      <c r="C232" s="38" t="n">
        <f aca="false">INDEX('Transition Stepwise'!$F$2:$F$1137,MATCH(29&amp;"|"&amp;$A232&amp;"|"&amp;C$229,'Transition Stepwise'!$E$2:$E$1137,0))</f>
        <v>10</v>
      </c>
      <c r="D232" s="38" t="n">
        <f aca="false">INDEX('Transition Stepwise'!$F$2:$F$1137,MATCH(29&amp;"|"&amp;$A232&amp;"|"&amp;D$229,'Transition Stepwise'!$E$2:$E$1137,0))</f>
        <v>61</v>
      </c>
      <c r="E232" s="38" t="n">
        <f aca="false">INDEX('Transition Stepwise'!$F$2:$F$1137,MATCH(29&amp;"|"&amp;$A232&amp;"|"&amp;E$229,'Transition Stepwise'!$E$2:$E$1137,0))</f>
        <v>6</v>
      </c>
      <c r="F232" s="38" t="n">
        <f aca="false">ROUND(SUM(B232:E232),9)</f>
        <v>77</v>
      </c>
    </row>
    <row r="233" customFormat="false" ht="15" hidden="false" customHeight="true" outlineLevel="0" collapsed="false">
      <c r="A233" s="41" t="s">
        <v>171</v>
      </c>
      <c r="B233" s="38" t="n">
        <f aca="false">INDEX('Transition Stepwise'!$F$2:$F$1137,MATCH(29&amp;"|"&amp;$A233&amp;"|"&amp;B$229,'Transition Stepwise'!$E$2:$E$1137,0))</f>
        <v>0</v>
      </c>
      <c r="C233" s="38" t="n">
        <f aca="false">INDEX('Transition Stepwise'!$F$2:$F$1137,MATCH(29&amp;"|"&amp;$A233&amp;"|"&amp;C$229,'Transition Stepwise'!$E$2:$E$1137,0))</f>
        <v>18</v>
      </c>
      <c r="D233" s="38" t="n">
        <f aca="false">INDEX('Transition Stepwise'!$F$2:$F$1137,MATCH(29&amp;"|"&amp;$A233&amp;"|"&amp;D$229,'Transition Stepwise'!$E$2:$E$1137,0))</f>
        <v>37</v>
      </c>
      <c r="E233" s="38" t="n">
        <f aca="false">INDEX('Transition Stepwise'!$F$2:$F$1137,MATCH(29&amp;"|"&amp;$A233&amp;"|"&amp;E$229,'Transition Stepwise'!$E$2:$E$1137,0))</f>
        <v>0</v>
      </c>
      <c r="F233" s="38" t="n">
        <f aca="false">ROUND(SUM(B233:E233),9)</f>
        <v>55</v>
      </c>
    </row>
    <row r="234" customFormat="false" ht="15" hidden="false" customHeight="true" outlineLevel="0" collapsed="false">
      <c r="A234" s="38"/>
      <c r="B234" s="38"/>
      <c r="C234" s="38"/>
      <c r="D234" s="38"/>
      <c r="E234" s="38"/>
      <c r="F234" s="38"/>
    </row>
    <row r="235" customFormat="false" ht="15" hidden="false" customHeight="true" outlineLevel="0" collapsed="false">
      <c r="A235" s="38"/>
      <c r="B235" s="38"/>
      <c r="C235" s="38"/>
      <c r="D235" s="38"/>
      <c r="E235" s="38"/>
      <c r="F235" s="38"/>
    </row>
    <row r="236" customFormat="false" ht="15" hidden="false" customHeight="true" outlineLevel="0" collapsed="false">
      <c r="A236" s="41" t="s">
        <v>723</v>
      </c>
      <c r="B236" s="38"/>
      <c r="C236" s="38"/>
      <c r="D236" s="38"/>
      <c r="E236" s="38"/>
      <c r="F236" s="38"/>
    </row>
    <row r="237" customFormat="false" ht="15" hidden="false" customHeight="true" outlineLevel="0" collapsed="false">
      <c r="A237" s="39" t="s">
        <v>693</v>
      </c>
      <c r="B237" s="39" t="s">
        <v>172</v>
      </c>
      <c r="C237" s="39" t="s">
        <v>170</v>
      </c>
      <c r="D237" s="39" t="s">
        <v>169</v>
      </c>
      <c r="E237" s="39" t="s">
        <v>171</v>
      </c>
      <c r="F237" s="39" t="s">
        <v>694</v>
      </c>
    </row>
    <row r="238" customFormat="false" ht="15" hidden="false" customHeight="true" outlineLevel="0" collapsed="false">
      <c r="A238" s="41" t="s">
        <v>172</v>
      </c>
      <c r="B238" s="38" t="n">
        <f aca="false">INDEX('Transition Stepwise'!$F$2:$F$1137,MATCH(30&amp;"|"&amp;$A238&amp;"|"&amp;B$237,'Transition Stepwise'!$E$2:$E$1137,0))</f>
        <v>0</v>
      </c>
      <c r="C238" s="38" t="n">
        <f aca="false">INDEX('Transition Stepwise'!$F$2:$F$1137,MATCH(30&amp;"|"&amp;$A238&amp;"|"&amp;C$237,'Transition Stepwise'!$E$2:$E$1137,0))</f>
        <v>0</v>
      </c>
      <c r="D238" s="38" t="n">
        <f aca="false">INDEX('Transition Stepwise'!$F$2:$F$1137,MATCH(30&amp;"|"&amp;$A238&amp;"|"&amp;D$237,'Transition Stepwise'!$E$2:$E$1137,0))</f>
        <v>0</v>
      </c>
      <c r="E238" s="38" t="n">
        <f aca="false">INDEX('Transition Stepwise'!$F$2:$F$1137,MATCH(30&amp;"|"&amp;$A238&amp;"|"&amp;E$237,'Transition Stepwise'!$E$2:$E$1137,0))</f>
        <v>0</v>
      </c>
      <c r="F238" s="38" t="n">
        <f aca="false">ROUND(SUM(B238:E238),9)</f>
        <v>0</v>
      </c>
    </row>
    <row r="239" customFormat="false" ht="15" hidden="false" customHeight="true" outlineLevel="0" collapsed="false">
      <c r="A239" s="41" t="s">
        <v>170</v>
      </c>
      <c r="B239" s="38" t="n">
        <f aca="false">INDEX('Transition Stepwise'!$F$2:$F$1137,MATCH(30&amp;"|"&amp;$A239&amp;"|"&amp;B$237,'Transition Stepwise'!$E$2:$E$1137,0))</f>
        <v>3</v>
      </c>
      <c r="C239" s="38" t="n">
        <f aca="false">INDEX('Transition Stepwise'!$F$2:$F$1137,MATCH(30&amp;"|"&amp;$A239&amp;"|"&amp;C$237,'Transition Stepwise'!$E$2:$E$1137,0))</f>
        <v>28</v>
      </c>
      <c r="D239" s="38" t="n">
        <f aca="false">INDEX('Transition Stepwise'!$F$2:$F$1137,MATCH(30&amp;"|"&amp;$A239&amp;"|"&amp;D$237,'Transition Stepwise'!$E$2:$E$1137,0))</f>
        <v>9</v>
      </c>
      <c r="E239" s="38" t="n">
        <f aca="false">INDEX('Transition Stepwise'!$F$2:$F$1137,MATCH(30&amp;"|"&amp;$A239&amp;"|"&amp;E$237,'Transition Stepwise'!$E$2:$E$1137,0))</f>
        <v>2</v>
      </c>
      <c r="F239" s="38" t="n">
        <f aca="false">ROUND(SUM(B239:E239),9)</f>
        <v>42</v>
      </c>
    </row>
    <row r="240" customFormat="false" ht="15" hidden="false" customHeight="true" outlineLevel="0" collapsed="false">
      <c r="A240" s="41" t="s">
        <v>169</v>
      </c>
      <c r="B240" s="38" t="n">
        <f aca="false">INDEX('Transition Stepwise'!$F$2:$F$1137,MATCH(30&amp;"|"&amp;$A240&amp;"|"&amp;B$237,'Transition Stepwise'!$E$2:$E$1137,0))</f>
        <v>49</v>
      </c>
      <c r="C240" s="38" t="n">
        <f aca="false">INDEX('Transition Stepwise'!$F$2:$F$1137,MATCH(30&amp;"|"&amp;$A240&amp;"|"&amp;C$237,'Transition Stepwise'!$E$2:$E$1137,0))</f>
        <v>43</v>
      </c>
      <c r="D240" s="38" t="n">
        <f aca="false">INDEX('Transition Stepwise'!$F$2:$F$1137,MATCH(30&amp;"|"&amp;$A240&amp;"|"&amp;D$237,'Transition Stepwise'!$E$2:$E$1137,0))</f>
        <v>41</v>
      </c>
      <c r="E240" s="38" t="n">
        <f aca="false">INDEX('Transition Stepwise'!$F$2:$F$1137,MATCH(30&amp;"|"&amp;$A240&amp;"|"&amp;E$237,'Transition Stepwise'!$E$2:$E$1137,0))</f>
        <v>17</v>
      </c>
      <c r="F240" s="38" t="n">
        <f aca="false">ROUND(SUM(B240:E240),9)</f>
        <v>150</v>
      </c>
    </row>
    <row r="241" customFormat="false" ht="15" hidden="false" customHeight="true" outlineLevel="0" collapsed="false">
      <c r="A241" s="41" t="s">
        <v>171</v>
      </c>
      <c r="B241" s="38" t="n">
        <f aca="false">INDEX('Transition Stepwise'!$F$2:$F$1137,MATCH(30&amp;"|"&amp;$A241&amp;"|"&amp;B$237,'Transition Stepwise'!$E$2:$E$1137,0))</f>
        <v>2</v>
      </c>
      <c r="C241" s="38" t="n">
        <f aca="false">INDEX('Transition Stepwise'!$F$2:$F$1137,MATCH(30&amp;"|"&amp;$A241&amp;"|"&amp;C$237,'Transition Stepwise'!$E$2:$E$1137,0))</f>
        <v>1</v>
      </c>
      <c r="D241" s="38" t="n">
        <f aca="false">INDEX('Transition Stepwise'!$F$2:$F$1137,MATCH(30&amp;"|"&amp;$A241&amp;"|"&amp;D$237,'Transition Stepwise'!$E$2:$E$1137,0))</f>
        <v>4</v>
      </c>
      <c r="E241" s="38" t="n">
        <f aca="false">INDEX('Transition Stepwise'!$F$2:$F$1137,MATCH(30&amp;"|"&amp;$A241&amp;"|"&amp;E$237,'Transition Stepwise'!$E$2:$E$1137,0))</f>
        <v>0</v>
      </c>
      <c r="F241" s="38" t="n">
        <f aca="false">ROUND(SUM(B241:E241),9)</f>
        <v>7</v>
      </c>
    </row>
    <row r="242" customFormat="false" ht="15" hidden="false" customHeight="true" outlineLevel="0" collapsed="false">
      <c r="A242" s="38"/>
      <c r="B242" s="38"/>
      <c r="C242" s="38"/>
      <c r="D242" s="38"/>
      <c r="E242" s="38"/>
      <c r="F242" s="38"/>
    </row>
    <row r="243" customFormat="false" ht="15" hidden="false" customHeight="true" outlineLevel="0" collapsed="false">
      <c r="A243" s="38"/>
      <c r="B243" s="38"/>
      <c r="C243" s="38"/>
      <c r="D243" s="38"/>
      <c r="E243" s="38"/>
      <c r="F243" s="38"/>
    </row>
    <row r="244" customFormat="false" ht="15" hidden="false" customHeight="true" outlineLevel="0" collapsed="false">
      <c r="A244" s="41" t="s">
        <v>724</v>
      </c>
      <c r="B244" s="38"/>
      <c r="C244" s="38"/>
      <c r="D244" s="38"/>
      <c r="E244" s="38"/>
      <c r="F244" s="38"/>
    </row>
    <row r="245" customFormat="false" ht="15" hidden="false" customHeight="true" outlineLevel="0" collapsed="false">
      <c r="A245" s="39" t="s">
        <v>693</v>
      </c>
      <c r="B245" s="39" t="s">
        <v>172</v>
      </c>
      <c r="C245" s="39" t="s">
        <v>170</v>
      </c>
      <c r="D245" s="39" t="s">
        <v>169</v>
      </c>
      <c r="E245" s="39" t="s">
        <v>171</v>
      </c>
      <c r="F245" s="39" t="s">
        <v>694</v>
      </c>
    </row>
    <row r="246" customFormat="false" ht="15" hidden="false" customHeight="true" outlineLevel="0" collapsed="false">
      <c r="A246" s="41" t="s">
        <v>172</v>
      </c>
      <c r="B246" s="38" t="n">
        <f aca="false">INDEX('Transition Stepwise'!$F$2:$F$1137,MATCH(31&amp;"|"&amp;$A246&amp;"|"&amp;B$245,'Transition Stepwise'!$E$2:$E$1137,0))</f>
        <v>0</v>
      </c>
      <c r="C246" s="38" t="n">
        <f aca="false">INDEX('Transition Stepwise'!$F$2:$F$1137,MATCH(31&amp;"|"&amp;$A246&amp;"|"&amp;C$245,'Transition Stepwise'!$E$2:$E$1137,0))</f>
        <v>47</v>
      </c>
      <c r="D246" s="38" t="n">
        <f aca="false">INDEX('Transition Stepwise'!$F$2:$F$1137,MATCH(31&amp;"|"&amp;$A246&amp;"|"&amp;D$245,'Transition Stepwise'!$E$2:$E$1137,0))</f>
        <v>0</v>
      </c>
      <c r="E246" s="38" t="n">
        <f aca="false">INDEX('Transition Stepwise'!$F$2:$F$1137,MATCH(31&amp;"|"&amp;$A246&amp;"|"&amp;E$245,'Transition Stepwise'!$E$2:$E$1137,0))</f>
        <v>7</v>
      </c>
      <c r="F246" s="38" t="n">
        <f aca="false">ROUND(SUM(B246:E246),9)</f>
        <v>54</v>
      </c>
    </row>
    <row r="247" customFormat="false" ht="15" hidden="false" customHeight="true" outlineLevel="0" collapsed="false">
      <c r="A247" s="41" t="s">
        <v>170</v>
      </c>
      <c r="B247" s="38" t="n">
        <f aca="false">INDEX('Transition Stepwise'!$F$2:$F$1137,MATCH(31&amp;"|"&amp;$A247&amp;"|"&amp;B$245,'Transition Stepwise'!$E$2:$E$1137,0))</f>
        <v>6</v>
      </c>
      <c r="C247" s="38" t="n">
        <f aca="false">INDEX('Transition Stepwise'!$F$2:$F$1137,MATCH(31&amp;"|"&amp;$A247&amp;"|"&amp;C$245,'Transition Stepwise'!$E$2:$E$1137,0))</f>
        <v>36</v>
      </c>
      <c r="D247" s="38" t="n">
        <f aca="false">INDEX('Transition Stepwise'!$F$2:$F$1137,MATCH(31&amp;"|"&amp;$A247&amp;"|"&amp;D$245,'Transition Stepwise'!$E$2:$E$1137,0))</f>
        <v>0</v>
      </c>
      <c r="E247" s="38" t="n">
        <f aca="false">INDEX('Transition Stepwise'!$F$2:$F$1137,MATCH(31&amp;"|"&amp;$A247&amp;"|"&amp;E$245,'Transition Stepwise'!$E$2:$E$1137,0))</f>
        <v>30</v>
      </c>
      <c r="F247" s="38" t="n">
        <f aca="false">ROUND(SUM(B247:E247),9)</f>
        <v>72</v>
      </c>
    </row>
    <row r="248" customFormat="false" ht="15" hidden="false" customHeight="true" outlineLevel="0" collapsed="false">
      <c r="A248" s="41" t="s">
        <v>169</v>
      </c>
      <c r="B248" s="38" t="n">
        <f aca="false">INDEX('Transition Stepwise'!$F$2:$F$1137,MATCH(31&amp;"|"&amp;$A248&amp;"|"&amp;B$245,'Transition Stepwise'!$E$2:$E$1137,0))</f>
        <v>0</v>
      </c>
      <c r="C248" s="38" t="n">
        <f aca="false">INDEX('Transition Stepwise'!$F$2:$F$1137,MATCH(31&amp;"|"&amp;$A248&amp;"|"&amp;C$245,'Transition Stepwise'!$E$2:$E$1137,0))</f>
        <v>34</v>
      </c>
      <c r="D248" s="38" t="n">
        <f aca="false">INDEX('Transition Stepwise'!$F$2:$F$1137,MATCH(31&amp;"|"&amp;$A248&amp;"|"&amp;D$245,'Transition Stepwise'!$E$2:$E$1137,0))</f>
        <v>0</v>
      </c>
      <c r="E248" s="38" t="n">
        <f aca="false">INDEX('Transition Stepwise'!$F$2:$F$1137,MATCH(31&amp;"|"&amp;$A248&amp;"|"&amp;E$245,'Transition Stepwise'!$E$2:$E$1137,0))</f>
        <v>20</v>
      </c>
      <c r="F248" s="38" t="n">
        <f aca="false">ROUND(SUM(B248:E248),9)</f>
        <v>54</v>
      </c>
    </row>
    <row r="249" customFormat="false" ht="15" hidden="false" customHeight="true" outlineLevel="0" collapsed="false">
      <c r="A249" s="41" t="s">
        <v>171</v>
      </c>
      <c r="B249" s="38" t="n">
        <f aca="false">INDEX('Transition Stepwise'!$F$2:$F$1137,MATCH(31&amp;"|"&amp;$A249&amp;"|"&amp;B$245,'Transition Stepwise'!$E$2:$E$1137,0))</f>
        <v>0</v>
      </c>
      <c r="C249" s="38" t="n">
        <f aca="false">INDEX('Transition Stepwise'!$F$2:$F$1137,MATCH(31&amp;"|"&amp;$A249&amp;"|"&amp;C$245,'Transition Stepwise'!$E$2:$E$1137,0))</f>
        <v>17</v>
      </c>
      <c r="D249" s="38" t="n">
        <f aca="false">INDEX('Transition Stepwise'!$F$2:$F$1137,MATCH(31&amp;"|"&amp;$A249&amp;"|"&amp;D$245,'Transition Stepwise'!$E$2:$E$1137,0))</f>
        <v>0</v>
      </c>
      <c r="E249" s="38" t="n">
        <f aca="false">INDEX('Transition Stepwise'!$F$2:$F$1137,MATCH(31&amp;"|"&amp;$A249&amp;"|"&amp;E$245,'Transition Stepwise'!$E$2:$E$1137,0))</f>
        <v>2</v>
      </c>
      <c r="F249" s="38" t="n">
        <f aca="false">ROUND(SUM(B249:E249),9)</f>
        <v>19</v>
      </c>
    </row>
    <row r="250" customFormat="false" ht="15" hidden="false" customHeight="true" outlineLevel="0" collapsed="false">
      <c r="A250" s="38"/>
      <c r="B250" s="38"/>
      <c r="C250" s="38"/>
      <c r="D250" s="38"/>
      <c r="E250" s="38"/>
      <c r="F250" s="38"/>
    </row>
    <row r="251" customFormat="false" ht="15" hidden="false" customHeight="true" outlineLevel="0" collapsed="false">
      <c r="A251" s="38"/>
      <c r="B251" s="38"/>
      <c r="C251" s="38"/>
      <c r="D251" s="38"/>
      <c r="E251" s="38"/>
      <c r="F251" s="38"/>
    </row>
    <row r="252" customFormat="false" ht="15" hidden="false" customHeight="true" outlineLevel="0" collapsed="false">
      <c r="A252" s="41" t="s">
        <v>725</v>
      </c>
      <c r="B252" s="38"/>
      <c r="C252" s="38"/>
      <c r="D252" s="38"/>
      <c r="E252" s="38"/>
      <c r="F252" s="38"/>
    </row>
    <row r="253" customFormat="false" ht="15" hidden="false" customHeight="true" outlineLevel="0" collapsed="false">
      <c r="A253" s="39" t="s">
        <v>693</v>
      </c>
      <c r="B253" s="39" t="s">
        <v>172</v>
      </c>
      <c r="C253" s="39" t="s">
        <v>170</v>
      </c>
      <c r="D253" s="39" t="s">
        <v>169</v>
      </c>
      <c r="E253" s="39" t="s">
        <v>171</v>
      </c>
      <c r="F253" s="39" t="s">
        <v>694</v>
      </c>
    </row>
    <row r="254" customFormat="false" ht="15" hidden="false" customHeight="true" outlineLevel="0" collapsed="false">
      <c r="A254" s="41" t="s">
        <v>172</v>
      </c>
      <c r="B254" s="38" t="n">
        <f aca="false">INDEX('Transition Stepwise'!$F$2:$F$1137,MATCH(32&amp;"|"&amp;$A254&amp;"|"&amp;B$253,'Transition Stepwise'!$E$2:$E$1137,0))</f>
        <v>0</v>
      </c>
      <c r="C254" s="38" t="n">
        <f aca="false">INDEX('Transition Stepwise'!$F$2:$F$1137,MATCH(32&amp;"|"&amp;$A254&amp;"|"&amp;C$253,'Transition Stepwise'!$E$2:$E$1137,0))</f>
        <v>0</v>
      </c>
      <c r="D254" s="38" t="n">
        <f aca="false">INDEX('Transition Stepwise'!$F$2:$F$1137,MATCH(32&amp;"|"&amp;$A254&amp;"|"&amp;D$253,'Transition Stepwise'!$E$2:$E$1137,0))</f>
        <v>0</v>
      </c>
      <c r="E254" s="38" t="n">
        <f aca="false">INDEX('Transition Stepwise'!$F$2:$F$1137,MATCH(32&amp;"|"&amp;$A254&amp;"|"&amp;E$253,'Transition Stepwise'!$E$2:$E$1137,0))</f>
        <v>6</v>
      </c>
      <c r="F254" s="38" t="n">
        <f aca="false">ROUND(SUM(B254:E254),9)</f>
        <v>6</v>
      </c>
    </row>
    <row r="255" customFormat="false" ht="15" hidden="false" customHeight="true" outlineLevel="0" collapsed="false">
      <c r="A255" s="41" t="s">
        <v>170</v>
      </c>
      <c r="B255" s="38" t="n">
        <f aca="false">INDEX('Transition Stepwise'!$F$2:$F$1137,MATCH(32&amp;"|"&amp;$A255&amp;"|"&amp;B$253,'Transition Stepwise'!$E$2:$E$1137,0))</f>
        <v>0</v>
      </c>
      <c r="C255" s="38" t="n">
        <f aca="false">INDEX('Transition Stepwise'!$F$2:$F$1137,MATCH(32&amp;"|"&amp;$A255&amp;"|"&amp;C$253,'Transition Stepwise'!$E$2:$E$1137,0))</f>
        <v>1</v>
      </c>
      <c r="D255" s="38" t="n">
        <f aca="false">INDEX('Transition Stepwise'!$F$2:$F$1137,MATCH(32&amp;"|"&amp;$A255&amp;"|"&amp;D$253,'Transition Stepwise'!$E$2:$E$1137,0))</f>
        <v>0</v>
      </c>
      <c r="E255" s="38" t="n">
        <f aca="false">INDEX('Transition Stepwise'!$F$2:$F$1137,MATCH(32&amp;"|"&amp;$A255&amp;"|"&amp;E$253,'Transition Stepwise'!$E$2:$E$1137,0))</f>
        <v>133</v>
      </c>
      <c r="F255" s="38" t="n">
        <f aca="false">ROUND(SUM(B255:E255),9)</f>
        <v>134</v>
      </c>
    </row>
    <row r="256" customFormat="false" ht="15" hidden="false" customHeight="true" outlineLevel="0" collapsed="false">
      <c r="A256" s="41" t="s">
        <v>169</v>
      </c>
      <c r="B256" s="38" t="n">
        <f aca="false">INDEX('Transition Stepwise'!$F$2:$F$1137,MATCH(32&amp;"|"&amp;$A256&amp;"|"&amp;B$253,'Transition Stepwise'!$E$2:$E$1137,0))</f>
        <v>0</v>
      </c>
      <c r="C256" s="38" t="n">
        <f aca="false">INDEX('Transition Stepwise'!$F$2:$F$1137,MATCH(32&amp;"|"&amp;$A256&amp;"|"&amp;C$253,'Transition Stepwise'!$E$2:$E$1137,0))</f>
        <v>0</v>
      </c>
      <c r="D256" s="38" t="n">
        <f aca="false">INDEX('Transition Stepwise'!$F$2:$F$1137,MATCH(32&amp;"|"&amp;$A256&amp;"|"&amp;D$253,'Transition Stepwise'!$E$2:$E$1137,0))</f>
        <v>0</v>
      </c>
      <c r="E256" s="38" t="n">
        <f aca="false">INDEX('Transition Stepwise'!$F$2:$F$1137,MATCH(32&amp;"|"&amp;$A256&amp;"|"&amp;E$253,'Transition Stepwise'!$E$2:$E$1137,0))</f>
        <v>0</v>
      </c>
      <c r="F256" s="38" t="n">
        <f aca="false">ROUND(SUM(B256:E256),9)</f>
        <v>0</v>
      </c>
    </row>
    <row r="257" customFormat="false" ht="15" hidden="false" customHeight="true" outlineLevel="0" collapsed="false">
      <c r="A257" s="41" t="s">
        <v>171</v>
      </c>
      <c r="B257" s="38" t="n">
        <f aca="false">INDEX('Transition Stepwise'!$F$2:$F$1137,MATCH(32&amp;"|"&amp;$A257&amp;"|"&amp;B$253,'Transition Stepwise'!$E$2:$E$1137,0))</f>
        <v>1</v>
      </c>
      <c r="C257" s="38" t="n">
        <f aca="false">INDEX('Transition Stepwise'!$F$2:$F$1137,MATCH(32&amp;"|"&amp;$A257&amp;"|"&amp;C$253,'Transition Stepwise'!$E$2:$E$1137,0))</f>
        <v>0</v>
      </c>
      <c r="D257" s="38" t="n">
        <f aca="false">INDEX('Transition Stepwise'!$F$2:$F$1137,MATCH(32&amp;"|"&amp;$A257&amp;"|"&amp;D$253,'Transition Stepwise'!$E$2:$E$1137,0))</f>
        <v>0</v>
      </c>
      <c r="E257" s="38" t="n">
        <f aca="false">INDEX('Transition Stepwise'!$F$2:$F$1137,MATCH(32&amp;"|"&amp;$A257&amp;"|"&amp;E$253,'Transition Stepwise'!$E$2:$E$1137,0))</f>
        <v>58</v>
      </c>
      <c r="F257" s="38" t="n">
        <f aca="false">ROUND(SUM(B257:E257),9)</f>
        <v>59</v>
      </c>
    </row>
    <row r="258" customFormat="false" ht="15" hidden="false" customHeight="true" outlineLevel="0" collapsed="false">
      <c r="A258" s="38"/>
      <c r="B258" s="38"/>
      <c r="C258" s="38"/>
      <c r="D258" s="38"/>
      <c r="E258" s="38"/>
      <c r="F258" s="38"/>
    </row>
    <row r="259" customFormat="false" ht="15" hidden="false" customHeight="true" outlineLevel="0" collapsed="false">
      <c r="A259" s="38"/>
      <c r="B259" s="38"/>
      <c r="C259" s="38"/>
      <c r="D259" s="38"/>
      <c r="E259" s="38"/>
      <c r="F259" s="38"/>
    </row>
    <row r="260" customFormat="false" ht="15" hidden="false" customHeight="true" outlineLevel="0" collapsed="false">
      <c r="A260" s="41" t="s">
        <v>726</v>
      </c>
      <c r="B260" s="38"/>
      <c r="C260" s="38"/>
      <c r="D260" s="38"/>
      <c r="E260" s="38"/>
      <c r="F260" s="38"/>
    </row>
    <row r="261" customFormat="false" ht="15" hidden="false" customHeight="true" outlineLevel="0" collapsed="false">
      <c r="A261" s="39" t="s">
        <v>693</v>
      </c>
      <c r="B261" s="39" t="s">
        <v>172</v>
      </c>
      <c r="C261" s="39" t="s">
        <v>170</v>
      </c>
      <c r="D261" s="39" t="s">
        <v>169</v>
      </c>
      <c r="E261" s="39" t="s">
        <v>171</v>
      </c>
      <c r="F261" s="39" t="s">
        <v>694</v>
      </c>
    </row>
    <row r="262" customFormat="false" ht="15" hidden="false" customHeight="true" outlineLevel="0" collapsed="false">
      <c r="A262" s="41" t="s">
        <v>172</v>
      </c>
      <c r="B262" s="38" t="n">
        <f aca="false">INDEX('Transition Stepwise'!$F$2:$F$1137,MATCH(33&amp;"|"&amp;$A262&amp;"|"&amp;B$261,'Transition Stepwise'!$E$2:$E$1137,0))</f>
        <v>0</v>
      </c>
      <c r="C262" s="38" t="n">
        <f aca="false">INDEX('Transition Stepwise'!$F$2:$F$1137,MATCH(33&amp;"|"&amp;$A262&amp;"|"&amp;C$261,'Transition Stepwise'!$E$2:$E$1137,0))</f>
        <v>1</v>
      </c>
      <c r="D262" s="38" t="n">
        <f aca="false">INDEX('Transition Stepwise'!$F$2:$F$1137,MATCH(33&amp;"|"&amp;$A262&amp;"|"&amp;D$261,'Transition Stepwise'!$E$2:$E$1137,0))</f>
        <v>0</v>
      </c>
      <c r="E262" s="38" t="n">
        <f aca="false">INDEX('Transition Stepwise'!$F$2:$F$1137,MATCH(33&amp;"|"&amp;$A262&amp;"|"&amp;E$261,'Transition Stepwise'!$E$2:$E$1137,0))</f>
        <v>0</v>
      </c>
      <c r="F262" s="38" t="n">
        <f aca="false">ROUND(SUM(B262:E262),9)</f>
        <v>1</v>
      </c>
    </row>
    <row r="263" customFormat="false" ht="15" hidden="false" customHeight="true" outlineLevel="0" collapsed="false">
      <c r="A263" s="41" t="s">
        <v>170</v>
      </c>
      <c r="B263" s="38" t="n">
        <f aca="false">INDEX('Transition Stepwise'!$F$2:$F$1137,MATCH(33&amp;"|"&amp;$A263&amp;"|"&amp;B$261,'Transition Stepwise'!$E$2:$E$1137,0))</f>
        <v>0</v>
      </c>
      <c r="C263" s="38" t="n">
        <f aca="false">INDEX('Transition Stepwise'!$F$2:$F$1137,MATCH(33&amp;"|"&amp;$A263&amp;"|"&amp;C$261,'Transition Stepwise'!$E$2:$E$1137,0))</f>
        <v>1</v>
      </c>
      <c r="D263" s="38" t="n">
        <f aca="false">INDEX('Transition Stepwise'!$F$2:$F$1137,MATCH(33&amp;"|"&amp;$A263&amp;"|"&amp;D$261,'Transition Stepwise'!$E$2:$E$1137,0))</f>
        <v>0</v>
      </c>
      <c r="E263" s="38" t="n">
        <f aca="false">INDEX('Transition Stepwise'!$F$2:$F$1137,MATCH(33&amp;"|"&amp;$A263&amp;"|"&amp;E$261,'Transition Stepwise'!$E$2:$E$1137,0))</f>
        <v>0</v>
      </c>
      <c r="F263" s="38" t="n">
        <f aca="false">ROUND(SUM(B263:E263),9)</f>
        <v>1</v>
      </c>
    </row>
    <row r="264" customFormat="false" ht="15" hidden="false" customHeight="true" outlineLevel="0" collapsed="false">
      <c r="A264" s="41" t="s">
        <v>169</v>
      </c>
      <c r="B264" s="38" t="n">
        <f aca="false">INDEX('Transition Stepwise'!$F$2:$F$1137,MATCH(33&amp;"|"&amp;$A264&amp;"|"&amp;B$261,'Transition Stepwise'!$E$2:$E$1137,0))</f>
        <v>0</v>
      </c>
      <c r="C264" s="38" t="n">
        <f aca="false">INDEX('Transition Stepwise'!$F$2:$F$1137,MATCH(33&amp;"|"&amp;$A264&amp;"|"&amp;C$261,'Transition Stepwise'!$E$2:$E$1137,0))</f>
        <v>0</v>
      </c>
      <c r="D264" s="38" t="n">
        <f aca="false">INDEX('Transition Stepwise'!$F$2:$F$1137,MATCH(33&amp;"|"&amp;$A264&amp;"|"&amp;D$261,'Transition Stepwise'!$E$2:$E$1137,0))</f>
        <v>0</v>
      </c>
      <c r="E264" s="38" t="n">
        <f aca="false">INDEX('Transition Stepwise'!$F$2:$F$1137,MATCH(33&amp;"|"&amp;$A264&amp;"|"&amp;E$261,'Transition Stepwise'!$E$2:$E$1137,0))</f>
        <v>0</v>
      </c>
      <c r="F264" s="38" t="n">
        <f aca="false">ROUND(SUM(B264:E264),9)</f>
        <v>0</v>
      </c>
    </row>
    <row r="265" customFormat="false" ht="15" hidden="false" customHeight="true" outlineLevel="0" collapsed="false">
      <c r="A265" s="41" t="s">
        <v>171</v>
      </c>
      <c r="B265" s="38" t="n">
        <f aca="false">INDEX('Transition Stepwise'!$F$2:$F$1137,MATCH(33&amp;"|"&amp;$A265&amp;"|"&amp;B$261,'Transition Stepwise'!$E$2:$E$1137,0))</f>
        <v>9</v>
      </c>
      <c r="C265" s="38" t="n">
        <f aca="false">INDEX('Transition Stepwise'!$F$2:$F$1137,MATCH(33&amp;"|"&amp;$A265&amp;"|"&amp;C$261,'Transition Stepwise'!$E$2:$E$1137,0))</f>
        <v>64</v>
      </c>
      <c r="D265" s="38" t="n">
        <f aca="false">INDEX('Transition Stepwise'!$F$2:$F$1137,MATCH(33&amp;"|"&amp;$A265&amp;"|"&amp;D$261,'Transition Stepwise'!$E$2:$E$1137,0))</f>
        <v>66</v>
      </c>
      <c r="E265" s="38" t="n">
        <f aca="false">INDEX('Transition Stepwise'!$F$2:$F$1137,MATCH(33&amp;"|"&amp;$A265&amp;"|"&amp;E$261,'Transition Stepwise'!$E$2:$E$1137,0))</f>
        <v>58</v>
      </c>
      <c r="F265" s="38" t="n">
        <f aca="false">ROUND(SUM(B265:E265),9)</f>
        <v>197</v>
      </c>
    </row>
    <row r="266" customFormat="false" ht="15" hidden="false" customHeight="true" outlineLevel="0" collapsed="false">
      <c r="A266" s="38"/>
      <c r="B266" s="38"/>
      <c r="C266" s="38"/>
      <c r="D266" s="38"/>
      <c r="E266" s="38"/>
      <c r="F266" s="38"/>
    </row>
    <row r="267" customFormat="false" ht="15" hidden="false" customHeight="true" outlineLevel="0" collapsed="false">
      <c r="A267" s="38"/>
      <c r="B267" s="38"/>
      <c r="C267" s="38"/>
      <c r="D267" s="38"/>
      <c r="E267" s="38"/>
      <c r="F267" s="38"/>
    </row>
    <row r="268" customFormat="false" ht="15" hidden="false" customHeight="true" outlineLevel="0" collapsed="false">
      <c r="A268" s="41" t="s">
        <v>727</v>
      </c>
      <c r="B268" s="38"/>
      <c r="C268" s="38"/>
      <c r="D268" s="38"/>
      <c r="E268" s="38"/>
      <c r="F268" s="38"/>
    </row>
    <row r="269" customFormat="false" ht="15" hidden="false" customHeight="true" outlineLevel="0" collapsed="false">
      <c r="A269" s="39" t="s">
        <v>693</v>
      </c>
      <c r="B269" s="39" t="s">
        <v>172</v>
      </c>
      <c r="C269" s="39" t="s">
        <v>170</v>
      </c>
      <c r="D269" s="39" t="s">
        <v>169</v>
      </c>
      <c r="E269" s="39" t="s">
        <v>171</v>
      </c>
      <c r="F269" s="39" t="s">
        <v>694</v>
      </c>
    </row>
    <row r="270" customFormat="false" ht="15" hidden="false" customHeight="true" outlineLevel="0" collapsed="false">
      <c r="A270" s="41" t="s">
        <v>172</v>
      </c>
      <c r="B270" s="38" t="n">
        <f aca="false">INDEX('Transition Stepwise'!$F$2:$F$1137,MATCH(34&amp;"|"&amp;$A270&amp;"|"&amp;B$269,'Transition Stepwise'!$E$2:$E$1137,0))</f>
        <v>3</v>
      </c>
      <c r="C270" s="38" t="n">
        <f aca="false">INDEX('Transition Stepwise'!$F$2:$F$1137,MATCH(34&amp;"|"&amp;$A270&amp;"|"&amp;C$269,'Transition Stepwise'!$E$2:$E$1137,0))</f>
        <v>2</v>
      </c>
      <c r="D270" s="38" t="n">
        <f aca="false">INDEX('Transition Stepwise'!$F$2:$F$1137,MATCH(34&amp;"|"&amp;$A270&amp;"|"&amp;D$269,'Transition Stepwise'!$E$2:$E$1137,0))</f>
        <v>4</v>
      </c>
      <c r="E270" s="38" t="n">
        <f aca="false">INDEX('Transition Stepwise'!$F$2:$F$1137,MATCH(34&amp;"|"&amp;$A270&amp;"|"&amp;E$269,'Transition Stepwise'!$E$2:$E$1137,0))</f>
        <v>0</v>
      </c>
      <c r="F270" s="38" t="n">
        <f aca="false">ROUND(SUM(B270:E270),9)</f>
        <v>9</v>
      </c>
    </row>
    <row r="271" customFormat="false" ht="15" hidden="false" customHeight="true" outlineLevel="0" collapsed="false">
      <c r="A271" s="41" t="s">
        <v>170</v>
      </c>
      <c r="B271" s="38" t="n">
        <f aca="false">INDEX('Transition Stepwise'!$F$2:$F$1137,MATCH(34&amp;"|"&amp;$A271&amp;"|"&amp;B$269,'Transition Stepwise'!$E$2:$E$1137,0))</f>
        <v>25</v>
      </c>
      <c r="C271" s="38" t="n">
        <f aca="false">INDEX('Transition Stepwise'!$F$2:$F$1137,MATCH(34&amp;"|"&amp;$A271&amp;"|"&amp;C$269,'Transition Stepwise'!$E$2:$E$1137,0))</f>
        <v>18</v>
      </c>
      <c r="D271" s="38" t="n">
        <f aca="false">INDEX('Transition Stepwise'!$F$2:$F$1137,MATCH(34&amp;"|"&amp;$A271&amp;"|"&amp;D$269,'Transition Stepwise'!$E$2:$E$1137,0))</f>
        <v>11</v>
      </c>
      <c r="E271" s="38" t="n">
        <f aca="false">INDEX('Transition Stepwise'!$F$2:$F$1137,MATCH(34&amp;"|"&amp;$A271&amp;"|"&amp;E$269,'Transition Stepwise'!$E$2:$E$1137,0))</f>
        <v>12</v>
      </c>
      <c r="F271" s="38" t="n">
        <f aca="false">ROUND(SUM(B271:E271),9)</f>
        <v>66</v>
      </c>
    </row>
    <row r="272" customFormat="false" ht="15" hidden="false" customHeight="true" outlineLevel="0" collapsed="false">
      <c r="A272" s="41" t="s">
        <v>169</v>
      </c>
      <c r="B272" s="38" t="n">
        <f aca="false">INDEX('Transition Stepwise'!$F$2:$F$1137,MATCH(34&amp;"|"&amp;$A272&amp;"|"&amp;B$269,'Transition Stepwise'!$E$2:$E$1137,0))</f>
        <v>21</v>
      </c>
      <c r="C272" s="38" t="n">
        <f aca="false">INDEX('Transition Stepwise'!$F$2:$F$1137,MATCH(34&amp;"|"&amp;$A272&amp;"|"&amp;C$269,'Transition Stepwise'!$E$2:$E$1137,0))</f>
        <v>13</v>
      </c>
      <c r="D272" s="38" t="n">
        <f aca="false">INDEX('Transition Stepwise'!$F$2:$F$1137,MATCH(34&amp;"|"&amp;$A272&amp;"|"&amp;D$269,'Transition Stepwise'!$E$2:$E$1137,0))</f>
        <v>13</v>
      </c>
      <c r="E272" s="38" t="n">
        <f aca="false">INDEX('Transition Stepwise'!$F$2:$F$1137,MATCH(34&amp;"|"&amp;$A272&amp;"|"&amp;E$269,'Transition Stepwise'!$E$2:$E$1137,0))</f>
        <v>19</v>
      </c>
      <c r="F272" s="38" t="n">
        <f aca="false">ROUND(SUM(B272:E272),9)</f>
        <v>66</v>
      </c>
    </row>
    <row r="273" customFormat="false" ht="15" hidden="false" customHeight="true" outlineLevel="0" collapsed="false">
      <c r="A273" s="41" t="s">
        <v>171</v>
      </c>
      <c r="B273" s="38" t="n">
        <f aca="false">INDEX('Transition Stepwise'!$F$2:$F$1137,MATCH(34&amp;"|"&amp;$A273&amp;"|"&amp;B$269,'Transition Stepwise'!$E$2:$E$1137,0))</f>
        <v>12</v>
      </c>
      <c r="C273" s="38" t="n">
        <f aca="false">INDEX('Transition Stepwise'!$F$2:$F$1137,MATCH(34&amp;"|"&amp;$A273&amp;"|"&amp;C$269,'Transition Stepwise'!$E$2:$E$1137,0))</f>
        <v>13</v>
      </c>
      <c r="D273" s="38" t="n">
        <f aca="false">INDEX('Transition Stepwise'!$F$2:$F$1137,MATCH(34&amp;"|"&amp;$A273&amp;"|"&amp;D$269,'Transition Stepwise'!$E$2:$E$1137,0))</f>
        <v>23</v>
      </c>
      <c r="E273" s="38" t="n">
        <f aca="false">INDEX('Transition Stepwise'!$F$2:$F$1137,MATCH(34&amp;"|"&amp;$A273&amp;"|"&amp;E$269,'Transition Stepwise'!$E$2:$E$1137,0))</f>
        <v>10</v>
      </c>
      <c r="F273" s="38" t="n">
        <f aca="false">ROUND(SUM(B273:E273),9)</f>
        <v>58</v>
      </c>
    </row>
    <row r="274" customFormat="false" ht="15" hidden="false" customHeight="true" outlineLevel="0" collapsed="false">
      <c r="A274" s="38"/>
      <c r="B274" s="38"/>
      <c r="C274" s="38"/>
      <c r="D274" s="38"/>
      <c r="E274" s="38"/>
      <c r="F274" s="38"/>
    </row>
    <row r="275" customFormat="false" ht="15" hidden="false" customHeight="true" outlineLevel="0" collapsed="false">
      <c r="A275" s="38"/>
      <c r="B275" s="38"/>
      <c r="C275" s="38"/>
      <c r="D275" s="38"/>
      <c r="E275" s="38"/>
      <c r="F275" s="38"/>
    </row>
    <row r="276" customFormat="false" ht="15" hidden="false" customHeight="true" outlineLevel="0" collapsed="false">
      <c r="A276" s="41" t="s">
        <v>728</v>
      </c>
      <c r="B276" s="38"/>
      <c r="C276" s="38"/>
      <c r="D276" s="38"/>
      <c r="E276" s="38"/>
      <c r="F276" s="38"/>
    </row>
    <row r="277" customFormat="false" ht="15" hidden="false" customHeight="true" outlineLevel="0" collapsed="false">
      <c r="A277" s="39" t="s">
        <v>693</v>
      </c>
      <c r="B277" s="39" t="s">
        <v>172</v>
      </c>
      <c r="C277" s="39" t="s">
        <v>170</v>
      </c>
      <c r="D277" s="39" t="s">
        <v>169</v>
      </c>
      <c r="E277" s="39" t="s">
        <v>171</v>
      </c>
      <c r="F277" s="39" t="s">
        <v>694</v>
      </c>
    </row>
    <row r="278" customFormat="false" ht="15" hidden="false" customHeight="true" outlineLevel="0" collapsed="false">
      <c r="A278" s="41" t="s">
        <v>172</v>
      </c>
      <c r="B278" s="38" t="n">
        <f aca="false">INDEX('Transition Stepwise'!$F$2:$F$1137,MATCH(35&amp;"|"&amp;$A278&amp;"|"&amp;B$277,'Transition Stepwise'!$E$2:$E$1137,0))</f>
        <v>11</v>
      </c>
      <c r="C278" s="38" t="n">
        <f aca="false">INDEX('Transition Stepwise'!$F$2:$F$1137,MATCH(35&amp;"|"&amp;$A278&amp;"|"&amp;C$277,'Transition Stepwise'!$E$2:$E$1137,0))</f>
        <v>18</v>
      </c>
      <c r="D278" s="38" t="n">
        <f aca="false">INDEX('Transition Stepwise'!$F$2:$F$1137,MATCH(35&amp;"|"&amp;$A278&amp;"|"&amp;D$277,'Transition Stepwise'!$E$2:$E$1137,0))</f>
        <v>4</v>
      </c>
      <c r="E278" s="38" t="n">
        <f aca="false">INDEX('Transition Stepwise'!$F$2:$F$1137,MATCH(35&amp;"|"&amp;$A278&amp;"|"&amp;E$277,'Transition Stepwise'!$E$2:$E$1137,0))</f>
        <v>28</v>
      </c>
      <c r="F278" s="38" t="n">
        <f aca="false">ROUND(SUM(B278:E278),9)</f>
        <v>61</v>
      </c>
    </row>
    <row r="279" customFormat="false" ht="15" hidden="false" customHeight="true" outlineLevel="0" collapsed="false">
      <c r="A279" s="41" t="s">
        <v>170</v>
      </c>
      <c r="B279" s="38" t="n">
        <f aca="false">INDEX('Transition Stepwise'!$F$2:$F$1137,MATCH(35&amp;"|"&amp;$A279&amp;"|"&amp;B$277,'Transition Stepwise'!$E$2:$E$1137,0))</f>
        <v>20</v>
      </c>
      <c r="C279" s="38" t="n">
        <f aca="false">INDEX('Transition Stepwise'!$F$2:$F$1137,MATCH(35&amp;"|"&amp;$A279&amp;"|"&amp;C$277,'Transition Stepwise'!$E$2:$E$1137,0))</f>
        <v>12</v>
      </c>
      <c r="D279" s="38" t="n">
        <f aca="false">INDEX('Transition Stepwise'!$F$2:$F$1137,MATCH(35&amp;"|"&amp;$A279&amp;"|"&amp;D$277,'Transition Stepwise'!$E$2:$E$1137,0))</f>
        <v>6</v>
      </c>
      <c r="E279" s="38" t="n">
        <f aca="false">INDEX('Transition Stepwise'!$F$2:$F$1137,MATCH(35&amp;"|"&amp;$A279&amp;"|"&amp;E$277,'Transition Stepwise'!$E$2:$E$1137,0))</f>
        <v>8</v>
      </c>
      <c r="F279" s="38" t="n">
        <f aca="false">ROUND(SUM(B279:E279),9)</f>
        <v>46</v>
      </c>
    </row>
    <row r="280" customFormat="false" ht="15" hidden="false" customHeight="true" outlineLevel="0" collapsed="false">
      <c r="A280" s="41" t="s">
        <v>169</v>
      </c>
      <c r="B280" s="38" t="n">
        <f aca="false">INDEX('Transition Stepwise'!$F$2:$F$1137,MATCH(35&amp;"|"&amp;$A280&amp;"|"&amp;B$277,'Transition Stepwise'!$E$2:$E$1137,0))</f>
        <v>5</v>
      </c>
      <c r="C280" s="38" t="n">
        <f aca="false">INDEX('Transition Stepwise'!$F$2:$F$1137,MATCH(35&amp;"|"&amp;$A280&amp;"|"&amp;C$277,'Transition Stepwise'!$E$2:$E$1137,0))</f>
        <v>15</v>
      </c>
      <c r="D280" s="38" t="n">
        <f aca="false">INDEX('Transition Stepwise'!$F$2:$F$1137,MATCH(35&amp;"|"&amp;$A280&amp;"|"&amp;D$277,'Transition Stepwise'!$E$2:$E$1137,0))</f>
        <v>12</v>
      </c>
      <c r="E280" s="38" t="n">
        <f aca="false">INDEX('Transition Stepwise'!$F$2:$F$1137,MATCH(35&amp;"|"&amp;$A280&amp;"|"&amp;E$277,'Transition Stepwise'!$E$2:$E$1137,0))</f>
        <v>19</v>
      </c>
      <c r="F280" s="38" t="n">
        <f aca="false">ROUND(SUM(B280:E280),9)</f>
        <v>51</v>
      </c>
    </row>
    <row r="281" customFormat="false" ht="15" hidden="false" customHeight="true" outlineLevel="0" collapsed="false">
      <c r="A281" s="41" t="s">
        <v>171</v>
      </c>
      <c r="B281" s="38" t="n">
        <f aca="false">INDEX('Transition Stepwise'!$F$2:$F$1137,MATCH(35&amp;"|"&amp;$A281&amp;"|"&amp;B$277,'Transition Stepwise'!$E$2:$E$1137,0))</f>
        <v>7</v>
      </c>
      <c r="C281" s="38" t="n">
        <f aca="false">INDEX('Transition Stepwise'!$F$2:$F$1137,MATCH(35&amp;"|"&amp;$A281&amp;"|"&amp;C$277,'Transition Stepwise'!$E$2:$E$1137,0))</f>
        <v>8</v>
      </c>
      <c r="D281" s="38" t="n">
        <f aca="false">INDEX('Transition Stepwise'!$F$2:$F$1137,MATCH(35&amp;"|"&amp;$A281&amp;"|"&amp;D$277,'Transition Stepwise'!$E$2:$E$1137,0))</f>
        <v>10</v>
      </c>
      <c r="E281" s="38" t="n">
        <f aca="false">INDEX('Transition Stepwise'!$F$2:$F$1137,MATCH(35&amp;"|"&amp;$A281&amp;"|"&amp;E$277,'Transition Stepwise'!$E$2:$E$1137,0))</f>
        <v>16</v>
      </c>
      <c r="F281" s="38" t="n">
        <f aca="false">ROUND(SUM(B281:E281),9)</f>
        <v>41</v>
      </c>
    </row>
    <row r="282" customFormat="false" ht="15" hidden="false" customHeight="true" outlineLevel="0" collapsed="false">
      <c r="A282" s="38"/>
      <c r="B282" s="38"/>
      <c r="C282" s="38"/>
      <c r="D282" s="38"/>
      <c r="E282" s="38"/>
      <c r="F282" s="38"/>
    </row>
    <row r="283" customFormat="false" ht="15" hidden="false" customHeight="true" outlineLevel="0" collapsed="false">
      <c r="A283" s="38"/>
      <c r="B283" s="38"/>
      <c r="C283" s="38"/>
      <c r="D283" s="38"/>
      <c r="E283" s="38"/>
      <c r="F283" s="38"/>
    </row>
    <row r="284" customFormat="false" ht="15" hidden="false" customHeight="true" outlineLevel="0" collapsed="false">
      <c r="A284" s="41" t="s">
        <v>729</v>
      </c>
      <c r="B284" s="38"/>
      <c r="C284" s="38"/>
      <c r="D284" s="38"/>
      <c r="E284" s="38"/>
      <c r="F284" s="38"/>
    </row>
    <row r="285" customFormat="false" ht="15" hidden="false" customHeight="true" outlineLevel="0" collapsed="false">
      <c r="A285" s="39" t="s">
        <v>693</v>
      </c>
      <c r="B285" s="39" t="s">
        <v>172</v>
      </c>
      <c r="C285" s="39" t="s">
        <v>170</v>
      </c>
      <c r="D285" s="39" t="s">
        <v>169</v>
      </c>
      <c r="E285" s="39" t="s">
        <v>171</v>
      </c>
      <c r="F285" s="39" t="s">
        <v>694</v>
      </c>
    </row>
    <row r="286" customFormat="false" ht="15" hidden="false" customHeight="true" outlineLevel="0" collapsed="false">
      <c r="A286" s="41" t="s">
        <v>172</v>
      </c>
      <c r="B286" s="38" t="n">
        <f aca="false">INDEX('Transition Stepwise'!$F$2:$F$1137,MATCH(36&amp;"|"&amp;$A286&amp;"|"&amp;B$285,'Transition Stepwise'!$E$2:$E$1137,0))</f>
        <v>25</v>
      </c>
      <c r="C286" s="38" t="n">
        <f aca="false">INDEX('Transition Stepwise'!$F$2:$F$1137,MATCH(36&amp;"|"&amp;$A286&amp;"|"&amp;C$285,'Transition Stepwise'!$E$2:$E$1137,0))</f>
        <v>1</v>
      </c>
      <c r="D286" s="38" t="n">
        <f aca="false">INDEX('Transition Stepwise'!$F$2:$F$1137,MATCH(36&amp;"|"&amp;$A286&amp;"|"&amp;D$285,'Transition Stepwise'!$E$2:$E$1137,0))</f>
        <v>17</v>
      </c>
      <c r="E286" s="38" t="n">
        <f aca="false">INDEX('Transition Stepwise'!$F$2:$F$1137,MATCH(36&amp;"|"&amp;$A286&amp;"|"&amp;E$285,'Transition Stepwise'!$E$2:$E$1137,0))</f>
        <v>0</v>
      </c>
      <c r="F286" s="38" t="n">
        <f aca="false">ROUND(SUM(B286:E286),9)</f>
        <v>43</v>
      </c>
    </row>
    <row r="287" customFormat="false" ht="15" hidden="false" customHeight="true" outlineLevel="0" collapsed="false">
      <c r="A287" s="41" t="s">
        <v>170</v>
      </c>
      <c r="B287" s="38" t="n">
        <f aca="false">INDEX('Transition Stepwise'!$F$2:$F$1137,MATCH(36&amp;"|"&amp;$A287&amp;"|"&amp;B$285,'Transition Stepwise'!$E$2:$E$1137,0))</f>
        <v>50</v>
      </c>
      <c r="C287" s="38" t="n">
        <f aca="false">INDEX('Transition Stepwise'!$F$2:$F$1137,MATCH(36&amp;"|"&amp;$A287&amp;"|"&amp;C$285,'Transition Stepwise'!$E$2:$E$1137,0))</f>
        <v>0</v>
      </c>
      <c r="D287" s="38" t="n">
        <f aca="false">INDEX('Transition Stepwise'!$F$2:$F$1137,MATCH(36&amp;"|"&amp;$A287&amp;"|"&amp;D$285,'Transition Stepwise'!$E$2:$E$1137,0))</f>
        <v>3</v>
      </c>
      <c r="E287" s="38" t="n">
        <f aca="false">INDEX('Transition Stepwise'!$F$2:$F$1137,MATCH(36&amp;"|"&amp;$A287&amp;"|"&amp;E$285,'Transition Stepwise'!$E$2:$E$1137,0))</f>
        <v>0</v>
      </c>
      <c r="F287" s="38" t="n">
        <f aca="false">ROUND(SUM(B287:E287),9)</f>
        <v>53</v>
      </c>
    </row>
    <row r="288" customFormat="false" ht="15" hidden="false" customHeight="true" outlineLevel="0" collapsed="false">
      <c r="A288" s="41" t="s">
        <v>169</v>
      </c>
      <c r="B288" s="38" t="n">
        <f aca="false">INDEX('Transition Stepwise'!$F$2:$F$1137,MATCH(36&amp;"|"&amp;$A288&amp;"|"&amp;B$285,'Transition Stepwise'!$E$2:$E$1137,0))</f>
        <v>4</v>
      </c>
      <c r="C288" s="38" t="n">
        <f aca="false">INDEX('Transition Stepwise'!$F$2:$F$1137,MATCH(36&amp;"|"&amp;$A288&amp;"|"&amp;C$285,'Transition Stepwise'!$E$2:$E$1137,0))</f>
        <v>0</v>
      </c>
      <c r="D288" s="38" t="n">
        <f aca="false">INDEX('Transition Stepwise'!$F$2:$F$1137,MATCH(36&amp;"|"&amp;$A288&amp;"|"&amp;D$285,'Transition Stepwise'!$E$2:$E$1137,0))</f>
        <v>28</v>
      </c>
      <c r="E288" s="38" t="n">
        <f aca="false">INDEX('Transition Stepwise'!$F$2:$F$1137,MATCH(36&amp;"|"&amp;$A288&amp;"|"&amp;E$285,'Transition Stepwise'!$E$2:$E$1137,0))</f>
        <v>0</v>
      </c>
      <c r="F288" s="38" t="n">
        <f aca="false">ROUND(SUM(B288:E288),9)</f>
        <v>32</v>
      </c>
    </row>
    <row r="289" customFormat="false" ht="15" hidden="false" customHeight="true" outlineLevel="0" collapsed="false">
      <c r="A289" s="41" t="s">
        <v>171</v>
      </c>
      <c r="B289" s="38" t="n">
        <f aca="false">INDEX('Transition Stepwise'!$F$2:$F$1137,MATCH(36&amp;"|"&amp;$A289&amp;"|"&amp;B$285,'Transition Stepwise'!$E$2:$E$1137,0))</f>
        <v>71</v>
      </c>
      <c r="C289" s="38" t="n">
        <f aca="false">INDEX('Transition Stepwise'!$F$2:$F$1137,MATCH(36&amp;"|"&amp;$A289&amp;"|"&amp;C$285,'Transition Stepwise'!$E$2:$E$1137,0))</f>
        <v>0</v>
      </c>
      <c r="D289" s="38" t="n">
        <f aca="false">INDEX('Transition Stepwise'!$F$2:$F$1137,MATCH(36&amp;"|"&amp;$A289&amp;"|"&amp;D$285,'Transition Stepwise'!$E$2:$E$1137,0))</f>
        <v>0</v>
      </c>
      <c r="E289" s="38" t="n">
        <f aca="false">INDEX('Transition Stepwise'!$F$2:$F$1137,MATCH(36&amp;"|"&amp;$A289&amp;"|"&amp;E$285,'Transition Stepwise'!$E$2:$E$1137,0))</f>
        <v>0</v>
      </c>
      <c r="F289" s="38" t="n">
        <f aca="false">ROUND(SUM(B289:E289),9)</f>
        <v>71</v>
      </c>
    </row>
    <row r="290" customFormat="false" ht="15" hidden="false" customHeight="true" outlineLevel="0" collapsed="false">
      <c r="A290" s="38"/>
      <c r="B290" s="38"/>
      <c r="C290" s="38"/>
      <c r="D290" s="38"/>
      <c r="E290" s="38"/>
      <c r="F290" s="38"/>
    </row>
    <row r="291" customFormat="false" ht="15" hidden="false" customHeight="true" outlineLevel="0" collapsed="false">
      <c r="A291" s="38"/>
      <c r="B291" s="38"/>
      <c r="C291" s="38"/>
      <c r="D291" s="38"/>
      <c r="E291" s="38"/>
      <c r="F291" s="38"/>
    </row>
    <row r="292" customFormat="false" ht="15" hidden="false" customHeight="true" outlineLevel="0" collapsed="false">
      <c r="A292" s="41" t="s">
        <v>730</v>
      </c>
      <c r="B292" s="38"/>
      <c r="C292" s="38"/>
      <c r="D292" s="38"/>
      <c r="E292" s="38"/>
      <c r="F292" s="38"/>
    </row>
    <row r="293" customFormat="false" ht="15" hidden="false" customHeight="true" outlineLevel="0" collapsed="false">
      <c r="A293" s="39" t="s">
        <v>693</v>
      </c>
      <c r="B293" s="39" t="s">
        <v>172</v>
      </c>
      <c r="C293" s="39" t="s">
        <v>170</v>
      </c>
      <c r="D293" s="39" t="s">
        <v>169</v>
      </c>
      <c r="E293" s="39" t="s">
        <v>171</v>
      </c>
      <c r="F293" s="39" t="s">
        <v>694</v>
      </c>
    </row>
    <row r="294" customFormat="false" ht="15" hidden="false" customHeight="true" outlineLevel="0" collapsed="false">
      <c r="A294" s="41" t="s">
        <v>172</v>
      </c>
      <c r="B294" s="38" t="n">
        <f aca="false">INDEX('Transition Stepwise'!$F$2:$F$1137,MATCH(37&amp;"|"&amp;$A294&amp;"|"&amp;B$293,'Transition Stepwise'!$E$2:$E$1137,0))</f>
        <v>114</v>
      </c>
      <c r="C294" s="38" t="n">
        <f aca="false">INDEX('Transition Stepwise'!$F$2:$F$1137,MATCH(37&amp;"|"&amp;$A294&amp;"|"&amp;C$293,'Transition Stepwise'!$E$2:$E$1137,0))</f>
        <v>22</v>
      </c>
      <c r="D294" s="38" t="n">
        <f aca="false">INDEX('Transition Stepwise'!$F$2:$F$1137,MATCH(37&amp;"|"&amp;$A294&amp;"|"&amp;D$293,'Transition Stepwise'!$E$2:$E$1137,0))</f>
        <v>0</v>
      </c>
      <c r="E294" s="38" t="n">
        <f aca="false">INDEX('Transition Stepwise'!$F$2:$F$1137,MATCH(37&amp;"|"&amp;$A294&amp;"|"&amp;E$293,'Transition Stepwise'!$E$2:$E$1137,0))</f>
        <v>14</v>
      </c>
      <c r="F294" s="38" t="n">
        <f aca="false">ROUND(SUM(B294:E294),9)</f>
        <v>150</v>
      </c>
    </row>
    <row r="295" customFormat="false" ht="15" hidden="false" customHeight="true" outlineLevel="0" collapsed="false">
      <c r="A295" s="41" t="s">
        <v>170</v>
      </c>
      <c r="B295" s="38" t="n">
        <f aca="false">INDEX('Transition Stepwise'!$F$2:$F$1137,MATCH(37&amp;"|"&amp;$A295&amp;"|"&amp;B$293,'Transition Stepwise'!$E$2:$E$1137,0))</f>
        <v>1</v>
      </c>
      <c r="C295" s="38" t="n">
        <f aca="false">INDEX('Transition Stepwise'!$F$2:$F$1137,MATCH(37&amp;"|"&amp;$A295&amp;"|"&amp;C$293,'Transition Stepwise'!$E$2:$E$1137,0))</f>
        <v>0</v>
      </c>
      <c r="D295" s="38" t="n">
        <f aca="false">INDEX('Transition Stepwise'!$F$2:$F$1137,MATCH(37&amp;"|"&amp;$A295&amp;"|"&amp;D$293,'Transition Stepwise'!$E$2:$E$1137,0))</f>
        <v>0</v>
      </c>
      <c r="E295" s="38" t="n">
        <f aca="false">INDEX('Transition Stepwise'!$F$2:$F$1137,MATCH(37&amp;"|"&amp;$A295&amp;"|"&amp;E$293,'Transition Stepwise'!$E$2:$E$1137,0))</f>
        <v>0</v>
      </c>
      <c r="F295" s="38" t="n">
        <f aca="false">ROUND(SUM(B295:E295),9)</f>
        <v>1</v>
      </c>
    </row>
    <row r="296" customFormat="false" ht="15" hidden="false" customHeight="true" outlineLevel="0" collapsed="false">
      <c r="A296" s="41" t="s">
        <v>169</v>
      </c>
      <c r="B296" s="38" t="n">
        <f aca="false">INDEX('Transition Stepwise'!$F$2:$F$1137,MATCH(37&amp;"|"&amp;$A296&amp;"|"&amp;B$293,'Transition Stepwise'!$E$2:$E$1137,0))</f>
        <v>31</v>
      </c>
      <c r="C296" s="38" t="n">
        <f aca="false">INDEX('Transition Stepwise'!$F$2:$F$1137,MATCH(37&amp;"|"&amp;$A296&amp;"|"&amp;C$293,'Transition Stepwise'!$E$2:$E$1137,0))</f>
        <v>7</v>
      </c>
      <c r="D296" s="38" t="n">
        <f aca="false">INDEX('Transition Stepwise'!$F$2:$F$1137,MATCH(37&amp;"|"&amp;$A296&amp;"|"&amp;D$293,'Transition Stepwise'!$E$2:$E$1137,0))</f>
        <v>1</v>
      </c>
      <c r="E296" s="38" t="n">
        <f aca="false">INDEX('Transition Stepwise'!$F$2:$F$1137,MATCH(37&amp;"|"&amp;$A296&amp;"|"&amp;E$293,'Transition Stepwise'!$E$2:$E$1137,0))</f>
        <v>9</v>
      </c>
      <c r="F296" s="38" t="n">
        <f aca="false">ROUND(SUM(B296:E296),9)</f>
        <v>48</v>
      </c>
    </row>
    <row r="297" customFormat="false" ht="15" hidden="false" customHeight="true" outlineLevel="0" collapsed="false">
      <c r="A297" s="41" t="s">
        <v>171</v>
      </c>
      <c r="B297" s="38" t="n">
        <f aca="false">INDEX('Transition Stepwise'!$F$2:$F$1137,MATCH(37&amp;"|"&amp;$A297&amp;"|"&amp;B$293,'Transition Stepwise'!$E$2:$E$1137,0))</f>
        <v>0</v>
      </c>
      <c r="C297" s="38" t="n">
        <f aca="false">INDEX('Transition Stepwise'!$F$2:$F$1137,MATCH(37&amp;"|"&amp;$A297&amp;"|"&amp;C$293,'Transition Stepwise'!$E$2:$E$1137,0))</f>
        <v>0</v>
      </c>
      <c r="D297" s="38" t="n">
        <f aca="false">INDEX('Transition Stepwise'!$F$2:$F$1137,MATCH(37&amp;"|"&amp;$A297&amp;"|"&amp;D$293,'Transition Stepwise'!$E$2:$E$1137,0))</f>
        <v>0</v>
      </c>
      <c r="E297" s="38" t="n">
        <f aca="false">INDEX('Transition Stepwise'!$F$2:$F$1137,MATCH(37&amp;"|"&amp;$A297&amp;"|"&amp;E$293,'Transition Stepwise'!$E$2:$E$1137,0))</f>
        <v>0</v>
      </c>
      <c r="F297" s="38" t="n">
        <f aca="false">ROUND(SUM(B297:E297),9)</f>
        <v>0</v>
      </c>
    </row>
    <row r="298" customFormat="false" ht="15" hidden="false" customHeight="true" outlineLevel="0" collapsed="false">
      <c r="A298" s="38"/>
      <c r="B298" s="38"/>
      <c r="C298" s="38"/>
      <c r="D298" s="38"/>
      <c r="E298" s="38"/>
      <c r="F298" s="38"/>
    </row>
    <row r="299" customFormat="false" ht="15" hidden="false" customHeight="true" outlineLevel="0" collapsed="false">
      <c r="A299" s="38"/>
      <c r="B299" s="38"/>
      <c r="C299" s="38"/>
      <c r="D299" s="38"/>
      <c r="E299" s="38"/>
      <c r="F299" s="38"/>
    </row>
    <row r="300" customFormat="false" ht="15" hidden="false" customHeight="true" outlineLevel="0" collapsed="false">
      <c r="A300" s="41" t="s">
        <v>731</v>
      </c>
      <c r="B300" s="38"/>
      <c r="C300" s="38"/>
      <c r="D300" s="38"/>
      <c r="E300" s="38"/>
      <c r="F300" s="38"/>
    </row>
    <row r="301" customFormat="false" ht="15" hidden="false" customHeight="true" outlineLevel="0" collapsed="false">
      <c r="A301" s="39" t="s">
        <v>693</v>
      </c>
      <c r="B301" s="39" t="s">
        <v>172</v>
      </c>
      <c r="C301" s="39" t="s">
        <v>170</v>
      </c>
      <c r="D301" s="39" t="s">
        <v>169</v>
      </c>
      <c r="E301" s="39" t="s">
        <v>171</v>
      </c>
      <c r="F301" s="39" t="s">
        <v>694</v>
      </c>
    </row>
    <row r="302" customFormat="false" ht="15" hidden="false" customHeight="true" outlineLevel="0" collapsed="false">
      <c r="A302" s="41" t="s">
        <v>172</v>
      </c>
      <c r="B302" s="38" t="n">
        <f aca="false">INDEX('Transition Stepwise'!$F$2:$F$1137,MATCH(38&amp;"|"&amp;$A302&amp;"|"&amp;B$301,'Transition Stepwise'!$E$2:$E$1137,0))</f>
        <v>16</v>
      </c>
      <c r="C302" s="38" t="n">
        <f aca="false">INDEX('Transition Stepwise'!$F$2:$F$1137,MATCH(38&amp;"|"&amp;$A302&amp;"|"&amp;C$301,'Transition Stepwise'!$E$2:$E$1137,0))</f>
        <v>38</v>
      </c>
      <c r="D302" s="38" t="n">
        <f aca="false">INDEX('Transition Stepwise'!$F$2:$F$1137,MATCH(38&amp;"|"&amp;$A302&amp;"|"&amp;D$301,'Transition Stepwise'!$E$2:$E$1137,0))</f>
        <v>42</v>
      </c>
      <c r="E302" s="38" t="n">
        <f aca="false">INDEX('Transition Stepwise'!$F$2:$F$1137,MATCH(38&amp;"|"&amp;$A302&amp;"|"&amp;E$301,'Transition Stepwise'!$E$2:$E$1137,0))</f>
        <v>50</v>
      </c>
      <c r="F302" s="38" t="n">
        <f aca="false">ROUND(SUM(B302:E302),9)</f>
        <v>146</v>
      </c>
    </row>
    <row r="303" customFormat="false" ht="15" hidden="false" customHeight="true" outlineLevel="0" collapsed="false">
      <c r="A303" s="41" t="s">
        <v>170</v>
      </c>
      <c r="B303" s="38" t="n">
        <f aca="false">INDEX('Transition Stepwise'!$F$2:$F$1137,MATCH(38&amp;"|"&amp;$A303&amp;"|"&amp;B$301,'Transition Stepwise'!$E$2:$E$1137,0))</f>
        <v>0</v>
      </c>
      <c r="C303" s="38" t="n">
        <f aca="false">INDEX('Transition Stepwise'!$F$2:$F$1137,MATCH(38&amp;"|"&amp;$A303&amp;"|"&amp;C$301,'Transition Stepwise'!$E$2:$E$1137,0))</f>
        <v>8</v>
      </c>
      <c r="D303" s="38" t="n">
        <f aca="false">INDEX('Transition Stepwise'!$F$2:$F$1137,MATCH(38&amp;"|"&amp;$A303&amp;"|"&amp;D$301,'Transition Stepwise'!$E$2:$E$1137,0))</f>
        <v>16</v>
      </c>
      <c r="E303" s="38" t="n">
        <f aca="false">INDEX('Transition Stepwise'!$F$2:$F$1137,MATCH(38&amp;"|"&amp;$A303&amp;"|"&amp;E$301,'Transition Stepwise'!$E$2:$E$1137,0))</f>
        <v>5</v>
      </c>
      <c r="F303" s="38" t="n">
        <f aca="false">ROUND(SUM(B303:E303),9)</f>
        <v>29</v>
      </c>
    </row>
    <row r="304" customFormat="false" ht="15" hidden="false" customHeight="true" outlineLevel="0" collapsed="false">
      <c r="A304" s="41" t="s">
        <v>169</v>
      </c>
      <c r="B304" s="38" t="n">
        <f aca="false">INDEX('Transition Stepwise'!$F$2:$F$1137,MATCH(38&amp;"|"&amp;$A304&amp;"|"&amp;B$301,'Transition Stepwise'!$E$2:$E$1137,0))</f>
        <v>0</v>
      </c>
      <c r="C304" s="38" t="n">
        <f aca="false">INDEX('Transition Stepwise'!$F$2:$F$1137,MATCH(38&amp;"|"&amp;$A304&amp;"|"&amp;C$301,'Transition Stepwise'!$E$2:$E$1137,0))</f>
        <v>0</v>
      </c>
      <c r="D304" s="38" t="n">
        <f aca="false">INDEX('Transition Stepwise'!$F$2:$F$1137,MATCH(38&amp;"|"&amp;$A304&amp;"|"&amp;D$301,'Transition Stepwise'!$E$2:$E$1137,0))</f>
        <v>0</v>
      </c>
      <c r="E304" s="38" t="n">
        <f aca="false">INDEX('Transition Stepwise'!$F$2:$F$1137,MATCH(38&amp;"|"&amp;$A304&amp;"|"&amp;E$301,'Transition Stepwise'!$E$2:$E$1137,0))</f>
        <v>1</v>
      </c>
      <c r="F304" s="38" t="n">
        <f aca="false">ROUND(SUM(B304:E304),9)</f>
        <v>1</v>
      </c>
    </row>
    <row r="305" customFormat="false" ht="15" hidden="false" customHeight="true" outlineLevel="0" collapsed="false">
      <c r="A305" s="41" t="s">
        <v>171</v>
      </c>
      <c r="B305" s="38" t="n">
        <f aca="false">INDEX('Transition Stepwise'!$F$2:$F$1137,MATCH(38&amp;"|"&amp;$A305&amp;"|"&amp;B$301,'Transition Stepwise'!$E$2:$E$1137,0))</f>
        <v>2</v>
      </c>
      <c r="C305" s="38" t="n">
        <f aca="false">INDEX('Transition Stepwise'!$F$2:$F$1137,MATCH(38&amp;"|"&amp;$A305&amp;"|"&amp;C$301,'Transition Stepwise'!$E$2:$E$1137,0))</f>
        <v>4</v>
      </c>
      <c r="D305" s="38" t="n">
        <f aca="false">INDEX('Transition Stepwise'!$F$2:$F$1137,MATCH(38&amp;"|"&amp;$A305&amp;"|"&amp;D$301,'Transition Stepwise'!$E$2:$E$1137,0))</f>
        <v>14</v>
      </c>
      <c r="E305" s="38" t="n">
        <f aca="false">INDEX('Transition Stepwise'!$F$2:$F$1137,MATCH(38&amp;"|"&amp;$A305&amp;"|"&amp;E$301,'Transition Stepwise'!$E$2:$E$1137,0))</f>
        <v>3</v>
      </c>
      <c r="F305" s="38" t="n">
        <f aca="false">ROUND(SUM(B305:E305),9)</f>
        <v>23</v>
      </c>
    </row>
    <row r="306" customFormat="false" ht="15" hidden="false" customHeight="true" outlineLevel="0" collapsed="false">
      <c r="A306" s="38"/>
      <c r="B306" s="38"/>
      <c r="C306" s="38"/>
      <c r="D306" s="38"/>
      <c r="E306" s="38"/>
      <c r="F306" s="38"/>
    </row>
    <row r="307" customFormat="false" ht="15" hidden="false" customHeight="true" outlineLevel="0" collapsed="false">
      <c r="A307" s="38"/>
      <c r="B307" s="38"/>
      <c r="C307" s="38"/>
      <c r="D307" s="38"/>
      <c r="E307" s="38"/>
      <c r="F307" s="38"/>
    </row>
    <row r="308" customFormat="false" ht="15" hidden="false" customHeight="true" outlineLevel="0" collapsed="false">
      <c r="A308" s="41" t="s">
        <v>732</v>
      </c>
      <c r="B308" s="38"/>
      <c r="C308" s="38"/>
      <c r="D308" s="38"/>
      <c r="E308" s="38"/>
      <c r="F308" s="38"/>
    </row>
    <row r="309" customFormat="false" ht="15" hidden="false" customHeight="true" outlineLevel="0" collapsed="false">
      <c r="A309" s="39" t="s">
        <v>693</v>
      </c>
      <c r="B309" s="39" t="s">
        <v>172</v>
      </c>
      <c r="C309" s="39" t="s">
        <v>170</v>
      </c>
      <c r="D309" s="39" t="s">
        <v>169</v>
      </c>
      <c r="E309" s="39" t="s">
        <v>171</v>
      </c>
      <c r="F309" s="39" t="s">
        <v>694</v>
      </c>
    </row>
    <row r="310" customFormat="false" ht="15" hidden="false" customHeight="true" outlineLevel="0" collapsed="false">
      <c r="A310" s="41" t="s">
        <v>172</v>
      </c>
      <c r="B310" s="38" t="n">
        <f aca="false">INDEX('Transition Stepwise'!$F$2:$F$1137,MATCH(39&amp;"|"&amp;$A310&amp;"|"&amp;B$309,'Transition Stepwise'!$E$2:$E$1137,0))</f>
        <v>0</v>
      </c>
      <c r="C310" s="38" t="n">
        <f aca="false">INDEX('Transition Stepwise'!$F$2:$F$1137,MATCH(39&amp;"|"&amp;$A310&amp;"|"&amp;C$309,'Transition Stepwise'!$E$2:$E$1137,0))</f>
        <v>14</v>
      </c>
      <c r="D310" s="38" t="n">
        <f aca="false">INDEX('Transition Stepwise'!$F$2:$F$1137,MATCH(39&amp;"|"&amp;$A310&amp;"|"&amp;D$309,'Transition Stepwise'!$E$2:$E$1137,0))</f>
        <v>2</v>
      </c>
      <c r="E310" s="38" t="n">
        <f aca="false">INDEX('Transition Stepwise'!$F$2:$F$1137,MATCH(39&amp;"|"&amp;$A310&amp;"|"&amp;E$309,'Transition Stepwise'!$E$2:$E$1137,0))</f>
        <v>2</v>
      </c>
      <c r="F310" s="38" t="n">
        <f aca="false">ROUND(SUM(B310:E310),9)</f>
        <v>18</v>
      </c>
    </row>
    <row r="311" customFormat="false" ht="15" hidden="false" customHeight="true" outlineLevel="0" collapsed="false">
      <c r="A311" s="41" t="s">
        <v>170</v>
      </c>
      <c r="B311" s="38" t="n">
        <f aca="false">INDEX('Transition Stepwise'!$F$2:$F$1137,MATCH(39&amp;"|"&amp;$A311&amp;"|"&amp;B$309,'Transition Stepwise'!$E$2:$E$1137,0))</f>
        <v>0</v>
      </c>
      <c r="C311" s="38" t="n">
        <f aca="false">INDEX('Transition Stepwise'!$F$2:$F$1137,MATCH(39&amp;"|"&amp;$A311&amp;"|"&amp;C$309,'Transition Stepwise'!$E$2:$E$1137,0))</f>
        <v>38</v>
      </c>
      <c r="D311" s="38" t="n">
        <f aca="false">INDEX('Transition Stepwise'!$F$2:$F$1137,MATCH(39&amp;"|"&amp;$A311&amp;"|"&amp;D$309,'Transition Stepwise'!$E$2:$E$1137,0))</f>
        <v>12</v>
      </c>
      <c r="E311" s="38" t="n">
        <f aca="false">INDEX('Transition Stepwise'!$F$2:$F$1137,MATCH(39&amp;"|"&amp;$A311&amp;"|"&amp;E$309,'Transition Stepwise'!$E$2:$E$1137,0))</f>
        <v>0</v>
      </c>
      <c r="F311" s="38" t="n">
        <f aca="false">ROUND(SUM(B311:E311),9)</f>
        <v>50</v>
      </c>
    </row>
    <row r="312" customFormat="false" ht="15" hidden="false" customHeight="true" outlineLevel="0" collapsed="false">
      <c r="A312" s="41" t="s">
        <v>169</v>
      </c>
      <c r="B312" s="38" t="n">
        <f aca="false">INDEX('Transition Stepwise'!$F$2:$F$1137,MATCH(39&amp;"|"&amp;$A312&amp;"|"&amp;B$309,'Transition Stepwise'!$E$2:$E$1137,0))</f>
        <v>0</v>
      </c>
      <c r="C312" s="38" t="n">
        <f aca="false">INDEX('Transition Stepwise'!$F$2:$F$1137,MATCH(39&amp;"|"&amp;$A312&amp;"|"&amp;C$309,'Transition Stepwise'!$E$2:$E$1137,0))</f>
        <v>39</v>
      </c>
      <c r="D312" s="38" t="n">
        <f aca="false">INDEX('Transition Stepwise'!$F$2:$F$1137,MATCH(39&amp;"|"&amp;$A312&amp;"|"&amp;D$309,'Transition Stepwise'!$E$2:$E$1137,0))</f>
        <v>28</v>
      </c>
      <c r="E312" s="38" t="n">
        <f aca="false">INDEX('Transition Stepwise'!$F$2:$F$1137,MATCH(39&amp;"|"&amp;$A312&amp;"|"&amp;E$309,'Transition Stepwise'!$E$2:$E$1137,0))</f>
        <v>5</v>
      </c>
      <c r="F312" s="38" t="n">
        <f aca="false">ROUND(SUM(B312:E312),9)</f>
        <v>72</v>
      </c>
    </row>
    <row r="313" customFormat="false" ht="15" hidden="false" customHeight="true" outlineLevel="0" collapsed="false">
      <c r="A313" s="41" t="s">
        <v>171</v>
      </c>
      <c r="B313" s="38" t="n">
        <f aca="false">INDEX('Transition Stepwise'!$F$2:$F$1137,MATCH(39&amp;"|"&amp;$A313&amp;"|"&amp;B$309,'Transition Stepwise'!$E$2:$E$1137,0))</f>
        <v>1</v>
      </c>
      <c r="C313" s="38" t="n">
        <f aca="false">INDEX('Transition Stepwise'!$F$2:$F$1137,MATCH(39&amp;"|"&amp;$A313&amp;"|"&amp;C$309,'Transition Stepwise'!$E$2:$E$1137,0))</f>
        <v>52</v>
      </c>
      <c r="D313" s="38" t="n">
        <f aca="false">INDEX('Transition Stepwise'!$F$2:$F$1137,MATCH(39&amp;"|"&amp;$A313&amp;"|"&amp;D$309,'Transition Stepwise'!$E$2:$E$1137,0))</f>
        <v>5</v>
      </c>
      <c r="E313" s="38" t="n">
        <f aca="false">INDEX('Transition Stepwise'!$F$2:$F$1137,MATCH(39&amp;"|"&amp;$A313&amp;"|"&amp;E$309,'Transition Stepwise'!$E$2:$E$1137,0))</f>
        <v>1</v>
      </c>
      <c r="F313" s="38" t="n">
        <f aca="false">ROUND(SUM(B313:E313),9)</f>
        <v>59</v>
      </c>
    </row>
    <row r="314" customFormat="false" ht="15" hidden="false" customHeight="true" outlineLevel="0" collapsed="false">
      <c r="A314" s="38"/>
      <c r="B314" s="38"/>
      <c r="C314" s="38"/>
      <c r="D314" s="38"/>
      <c r="E314" s="38"/>
      <c r="F314" s="38"/>
    </row>
    <row r="315" customFormat="false" ht="15" hidden="false" customHeight="true" outlineLevel="0" collapsed="false">
      <c r="A315" s="38"/>
      <c r="B315" s="38"/>
      <c r="C315" s="38"/>
      <c r="D315" s="38"/>
      <c r="E315" s="38"/>
      <c r="F315" s="38"/>
    </row>
    <row r="316" customFormat="false" ht="15" hidden="false" customHeight="true" outlineLevel="0" collapsed="false">
      <c r="A316" s="41" t="s">
        <v>733</v>
      </c>
      <c r="B316" s="38"/>
      <c r="C316" s="38"/>
      <c r="D316" s="38"/>
      <c r="E316" s="38"/>
      <c r="F316" s="38"/>
    </row>
    <row r="317" customFormat="false" ht="15" hidden="false" customHeight="true" outlineLevel="0" collapsed="false">
      <c r="A317" s="39" t="s">
        <v>693</v>
      </c>
      <c r="B317" s="39" t="s">
        <v>172</v>
      </c>
      <c r="C317" s="39" t="s">
        <v>170</v>
      </c>
      <c r="D317" s="39" t="s">
        <v>169</v>
      </c>
      <c r="E317" s="39" t="s">
        <v>171</v>
      </c>
      <c r="F317" s="39" t="s">
        <v>694</v>
      </c>
    </row>
    <row r="318" customFormat="false" ht="15" hidden="false" customHeight="true" outlineLevel="0" collapsed="false">
      <c r="A318" s="41" t="s">
        <v>172</v>
      </c>
      <c r="B318" s="38" t="n">
        <f aca="false">INDEX('Transition Stepwise'!$F$2:$F$1137,MATCH(40&amp;"|"&amp;$A318&amp;"|"&amp;B$317,'Transition Stepwise'!$E$2:$E$1137,0))</f>
        <v>0</v>
      </c>
      <c r="C318" s="38" t="n">
        <f aca="false">INDEX('Transition Stepwise'!$F$2:$F$1137,MATCH(40&amp;"|"&amp;$A318&amp;"|"&amp;C$317,'Transition Stepwise'!$E$2:$E$1137,0))</f>
        <v>1</v>
      </c>
      <c r="D318" s="38" t="n">
        <f aca="false">INDEX('Transition Stepwise'!$F$2:$F$1137,MATCH(40&amp;"|"&amp;$A318&amp;"|"&amp;D$317,'Transition Stepwise'!$E$2:$E$1137,0))</f>
        <v>0</v>
      </c>
      <c r="E318" s="38" t="n">
        <f aca="false">INDEX('Transition Stepwise'!$F$2:$F$1137,MATCH(40&amp;"|"&amp;$A318&amp;"|"&amp;E$317,'Transition Stepwise'!$E$2:$E$1137,0))</f>
        <v>0</v>
      </c>
      <c r="F318" s="38" t="n">
        <f aca="false">ROUND(SUM(B318:E318),9)</f>
        <v>1</v>
      </c>
    </row>
    <row r="319" customFormat="false" ht="15" hidden="false" customHeight="true" outlineLevel="0" collapsed="false">
      <c r="A319" s="41" t="s">
        <v>170</v>
      </c>
      <c r="B319" s="38" t="n">
        <f aca="false">INDEX('Transition Stepwise'!$F$2:$F$1137,MATCH(40&amp;"|"&amp;$A319&amp;"|"&amp;B$317,'Transition Stepwise'!$E$2:$E$1137,0))</f>
        <v>34</v>
      </c>
      <c r="C319" s="38" t="n">
        <f aca="false">INDEX('Transition Stepwise'!$F$2:$F$1137,MATCH(40&amp;"|"&amp;$A319&amp;"|"&amp;C$317,'Transition Stepwise'!$E$2:$E$1137,0))</f>
        <v>57</v>
      </c>
      <c r="D319" s="38" t="n">
        <f aca="false">INDEX('Transition Stepwise'!$F$2:$F$1137,MATCH(40&amp;"|"&amp;$A319&amp;"|"&amp;D$317,'Transition Stepwise'!$E$2:$E$1137,0))</f>
        <v>27</v>
      </c>
      <c r="E319" s="38" t="n">
        <f aca="false">INDEX('Transition Stepwise'!$F$2:$F$1137,MATCH(40&amp;"|"&amp;$A319&amp;"|"&amp;E$317,'Transition Stepwise'!$E$2:$E$1137,0))</f>
        <v>25</v>
      </c>
      <c r="F319" s="38" t="n">
        <f aca="false">ROUND(SUM(B319:E319),9)</f>
        <v>143</v>
      </c>
    </row>
    <row r="320" customFormat="false" ht="15" hidden="false" customHeight="true" outlineLevel="0" collapsed="false">
      <c r="A320" s="41" t="s">
        <v>169</v>
      </c>
      <c r="B320" s="38" t="n">
        <f aca="false">INDEX('Transition Stepwise'!$F$2:$F$1137,MATCH(40&amp;"|"&amp;$A320&amp;"|"&amp;B$317,'Transition Stepwise'!$E$2:$E$1137,0))</f>
        <v>18</v>
      </c>
      <c r="C320" s="38" t="n">
        <f aca="false">INDEX('Transition Stepwise'!$F$2:$F$1137,MATCH(40&amp;"|"&amp;$A320&amp;"|"&amp;C$317,'Transition Stepwise'!$E$2:$E$1137,0))</f>
        <v>15</v>
      </c>
      <c r="D320" s="38" t="n">
        <f aca="false">INDEX('Transition Stepwise'!$F$2:$F$1137,MATCH(40&amp;"|"&amp;$A320&amp;"|"&amp;D$317,'Transition Stepwise'!$E$2:$E$1137,0))</f>
        <v>6</v>
      </c>
      <c r="E320" s="38" t="n">
        <f aca="false">INDEX('Transition Stepwise'!$F$2:$F$1137,MATCH(40&amp;"|"&amp;$A320&amp;"|"&amp;E$317,'Transition Stepwise'!$E$2:$E$1137,0))</f>
        <v>8</v>
      </c>
      <c r="F320" s="38" t="n">
        <f aca="false">ROUND(SUM(B320:E320),9)</f>
        <v>47</v>
      </c>
    </row>
    <row r="321" customFormat="false" ht="15" hidden="false" customHeight="true" outlineLevel="0" collapsed="false">
      <c r="A321" s="41" t="s">
        <v>171</v>
      </c>
      <c r="B321" s="38" t="n">
        <f aca="false">INDEX('Transition Stepwise'!$F$2:$F$1137,MATCH(40&amp;"|"&amp;$A321&amp;"|"&amp;B$317,'Transition Stepwise'!$E$2:$E$1137,0))</f>
        <v>2</v>
      </c>
      <c r="C321" s="38" t="n">
        <f aca="false">INDEX('Transition Stepwise'!$F$2:$F$1137,MATCH(40&amp;"|"&amp;$A321&amp;"|"&amp;C$317,'Transition Stepwise'!$E$2:$E$1137,0))</f>
        <v>4</v>
      </c>
      <c r="D321" s="38" t="n">
        <f aca="false">INDEX('Transition Stepwise'!$F$2:$F$1137,MATCH(40&amp;"|"&amp;$A321&amp;"|"&amp;D$317,'Transition Stepwise'!$E$2:$E$1137,0))</f>
        <v>2</v>
      </c>
      <c r="E321" s="38" t="n">
        <f aca="false">INDEX('Transition Stepwise'!$F$2:$F$1137,MATCH(40&amp;"|"&amp;$A321&amp;"|"&amp;E$317,'Transition Stepwise'!$E$2:$E$1137,0))</f>
        <v>0</v>
      </c>
      <c r="F321" s="38" t="n">
        <f aca="false">ROUND(SUM(B321:E321),9)</f>
        <v>8</v>
      </c>
    </row>
    <row r="322" customFormat="false" ht="15" hidden="false" customHeight="true" outlineLevel="0" collapsed="false">
      <c r="A322" s="38"/>
      <c r="B322" s="38"/>
      <c r="C322" s="38"/>
      <c r="D322" s="38"/>
      <c r="E322" s="38"/>
      <c r="F322" s="38"/>
    </row>
    <row r="323" customFormat="false" ht="15" hidden="false" customHeight="true" outlineLevel="0" collapsed="false">
      <c r="A323" s="38"/>
      <c r="B323" s="38"/>
      <c r="C323" s="38"/>
      <c r="D323" s="38"/>
      <c r="E323" s="38"/>
      <c r="F323" s="38"/>
    </row>
    <row r="324" customFormat="false" ht="15" hidden="false" customHeight="true" outlineLevel="0" collapsed="false">
      <c r="A324" s="41" t="s">
        <v>734</v>
      </c>
      <c r="B324" s="38"/>
      <c r="C324" s="38"/>
      <c r="D324" s="38"/>
      <c r="E324" s="38"/>
      <c r="F324" s="38"/>
    </row>
    <row r="325" customFormat="false" ht="15" hidden="false" customHeight="true" outlineLevel="0" collapsed="false">
      <c r="A325" s="39" t="s">
        <v>693</v>
      </c>
      <c r="B325" s="39" t="s">
        <v>172</v>
      </c>
      <c r="C325" s="39" t="s">
        <v>170</v>
      </c>
      <c r="D325" s="39" t="s">
        <v>169</v>
      </c>
      <c r="E325" s="39" t="s">
        <v>171</v>
      </c>
      <c r="F325" s="39" t="s">
        <v>694</v>
      </c>
    </row>
    <row r="326" customFormat="false" ht="15" hidden="false" customHeight="true" outlineLevel="0" collapsed="false">
      <c r="A326" s="41" t="s">
        <v>172</v>
      </c>
      <c r="B326" s="38" t="n">
        <f aca="false">INDEX('Transition Stepwise'!$F$2:$F$1137,MATCH(41&amp;"|"&amp;$A326&amp;"|"&amp;B$325,'Transition Stepwise'!$E$2:$E$1137,0))</f>
        <v>14</v>
      </c>
      <c r="C326" s="38" t="n">
        <f aca="false">INDEX('Transition Stepwise'!$F$2:$F$1137,MATCH(41&amp;"|"&amp;$A326&amp;"|"&amp;C$325,'Transition Stepwise'!$E$2:$E$1137,0))</f>
        <v>1</v>
      </c>
      <c r="D326" s="38" t="n">
        <f aca="false">INDEX('Transition Stepwise'!$F$2:$F$1137,MATCH(41&amp;"|"&amp;$A326&amp;"|"&amp;D$325,'Transition Stepwise'!$E$2:$E$1137,0))</f>
        <v>30</v>
      </c>
      <c r="E326" s="38" t="n">
        <f aca="false">INDEX('Transition Stepwise'!$F$2:$F$1137,MATCH(41&amp;"|"&amp;$A326&amp;"|"&amp;E$325,'Transition Stepwise'!$E$2:$E$1137,0))</f>
        <v>9</v>
      </c>
      <c r="F326" s="38" t="n">
        <f aca="false">ROUND(SUM(B326:E326),9)</f>
        <v>54</v>
      </c>
    </row>
    <row r="327" customFormat="false" ht="15" hidden="false" customHeight="true" outlineLevel="0" collapsed="false">
      <c r="A327" s="41" t="s">
        <v>170</v>
      </c>
      <c r="B327" s="38" t="n">
        <f aca="false">INDEX('Transition Stepwise'!$F$2:$F$1137,MATCH(41&amp;"|"&amp;$A327&amp;"|"&amp;B$325,'Transition Stepwise'!$E$2:$E$1137,0))</f>
        <v>16</v>
      </c>
      <c r="C327" s="38" t="n">
        <f aca="false">INDEX('Transition Stepwise'!$F$2:$F$1137,MATCH(41&amp;"|"&amp;$A327&amp;"|"&amp;C$325,'Transition Stepwise'!$E$2:$E$1137,0))</f>
        <v>10</v>
      </c>
      <c r="D327" s="38" t="n">
        <f aca="false">INDEX('Transition Stepwise'!$F$2:$F$1137,MATCH(41&amp;"|"&amp;$A327&amp;"|"&amp;D$325,'Transition Stepwise'!$E$2:$E$1137,0))</f>
        <v>47</v>
      </c>
      <c r="E327" s="38" t="n">
        <f aca="false">INDEX('Transition Stepwise'!$F$2:$F$1137,MATCH(41&amp;"|"&amp;$A327&amp;"|"&amp;E$325,'Transition Stepwise'!$E$2:$E$1137,0))</f>
        <v>4</v>
      </c>
      <c r="F327" s="38" t="n">
        <f aca="false">ROUND(SUM(B327:E327),9)</f>
        <v>77</v>
      </c>
    </row>
    <row r="328" customFormat="false" ht="15" hidden="false" customHeight="true" outlineLevel="0" collapsed="false">
      <c r="A328" s="41" t="s">
        <v>169</v>
      </c>
      <c r="B328" s="38" t="n">
        <f aca="false">INDEX('Transition Stepwise'!$F$2:$F$1137,MATCH(41&amp;"|"&amp;$A328&amp;"|"&amp;B$325,'Transition Stepwise'!$E$2:$E$1137,0))</f>
        <v>11</v>
      </c>
      <c r="C328" s="38" t="n">
        <f aca="false">INDEX('Transition Stepwise'!$F$2:$F$1137,MATCH(41&amp;"|"&amp;$A328&amp;"|"&amp;C$325,'Transition Stepwise'!$E$2:$E$1137,0))</f>
        <v>4</v>
      </c>
      <c r="D328" s="38" t="n">
        <f aca="false">INDEX('Transition Stepwise'!$F$2:$F$1137,MATCH(41&amp;"|"&amp;$A328&amp;"|"&amp;D$325,'Transition Stepwise'!$E$2:$E$1137,0))</f>
        <v>10</v>
      </c>
      <c r="E328" s="38" t="n">
        <f aca="false">INDEX('Transition Stepwise'!$F$2:$F$1137,MATCH(41&amp;"|"&amp;$A328&amp;"|"&amp;E$325,'Transition Stepwise'!$E$2:$E$1137,0))</f>
        <v>10</v>
      </c>
      <c r="F328" s="38" t="n">
        <f aca="false">ROUND(SUM(B328:E328),9)</f>
        <v>35</v>
      </c>
    </row>
    <row r="329" customFormat="false" ht="15" hidden="false" customHeight="true" outlineLevel="0" collapsed="false">
      <c r="A329" s="41" t="s">
        <v>171</v>
      </c>
      <c r="B329" s="38" t="n">
        <f aca="false">INDEX('Transition Stepwise'!$F$2:$F$1137,MATCH(41&amp;"|"&amp;$A329&amp;"|"&amp;B$325,'Transition Stepwise'!$E$2:$E$1137,0))</f>
        <v>7</v>
      </c>
      <c r="C329" s="38" t="n">
        <f aca="false">INDEX('Transition Stepwise'!$F$2:$F$1137,MATCH(41&amp;"|"&amp;$A329&amp;"|"&amp;C$325,'Transition Stepwise'!$E$2:$E$1137,0))</f>
        <v>5</v>
      </c>
      <c r="D329" s="38" t="n">
        <f aca="false">INDEX('Transition Stepwise'!$F$2:$F$1137,MATCH(41&amp;"|"&amp;$A329&amp;"|"&amp;D$325,'Transition Stepwise'!$E$2:$E$1137,0))</f>
        <v>18</v>
      </c>
      <c r="E329" s="38" t="n">
        <f aca="false">INDEX('Transition Stepwise'!$F$2:$F$1137,MATCH(41&amp;"|"&amp;$A329&amp;"|"&amp;E$325,'Transition Stepwise'!$E$2:$E$1137,0))</f>
        <v>3</v>
      </c>
      <c r="F329" s="38" t="n">
        <f aca="false">ROUND(SUM(B329:E329),9)</f>
        <v>33</v>
      </c>
    </row>
    <row r="330" customFormat="false" ht="15" hidden="false" customHeight="true" outlineLevel="0" collapsed="false">
      <c r="A330" s="38"/>
      <c r="B330" s="38"/>
      <c r="C330" s="38"/>
      <c r="D330" s="38"/>
      <c r="E330" s="38"/>
      <c r="F330" s="38"/>
    </row>
    <row r="331" customFormat="false" ht="15" hidden="false" customHeight="true" outlineLevel="0" collapsed="false">
      <c r="A331" s="38"/>
      <c r="B331" s="38"/>
      <c r="C331" s="38"/>
      <c r="D331" s="38"/>
      <c r="E331" s="38"/>
      <c r="F331" s="38"/>
    </row>
    <row r="332" customFormat="false" ht="15" hidden="false" customHeight="true" outlineLevel="0" collapsed="false">
      <c r="A332" s="41" t="s">
        <v>735</v>
      </c>
      <c r="B332" s="38"/>
      <c r="C332" s="38"/>
      <c r="D332" s="38"/>
      <c r="E332" s="38"/>
      <c r="F332" s="38"/>
    </row>
    <row r="333" customFormat="false" ht="15" hidden="false" customHeight="true" outlineLevel="0" collapsed="false">
      <c r="A333" s="39" t="s">
        <v>693</v>
      </c>
      <c r="B333" s="39" t="s">
        <v>172</v>
      </c>
      <c r="C333" s="39" t="s">
        <v>170</v>
      </c>
      <c r="D333" s="39" t="s">
        <v>169</v>
      </c>
      <c r="E333" s="39" t="s">
        <v>171</v>
      </c>
      <c r="F333" s="39" t="s">
        <v>694</v>
      </c>
    </row>
    <row r="334" customFormat="false" ht="15" hidden="false" customHeight="true" outlineLevel="0" collapsed="false">
      <c r="A334" s="41" t="s">
        <v>172</v>
      </c>
      <c r="B334" s="38" t="n">
        <f aca="false">INDEX('Transition Stepwise'!$F$2:$F$1137,MATCH(42&amp;"|"&amp;$A334&amp;"|"&amp;B$333,'Transition Stepwise'!$E$2:$E$1137,0))</f>
        <v>13</v>
      </c>
      <c r="C334" s="38" t="n">
        <f aca="false">INDEX('Transition Stepwise'!$F$2:$F$1137,MATCH(42&amp;"|"&amp;$A334&amp;"|"&amp;C$333,'Transition Stepwise'!$E$2:$E$1137,0))</f>
        <v>0</v>
      </c>
      <c r="D334" s="38" t="n">
        <f aca="false">INDEX('Transition Stepwise'!$F$2:$F$1137,MATCH(42&amp;"|"&amp;$A334&amp;"|"&amp;D$333,'Transition Stepwise'!$E$2:$E$1137,0))</f>
        <v>30</v>
      </c>
      <c r="E334" s="38" t="n">
        <f aca="false">INDEX('Transition Stepwise'!$F$2:$F$1137,MATCH(42&amp;"|"&amp;$A334&amp;"|"&amp;E$333,'Transition Stepwise'!$E$2:$E$1137,0))</f>
        <v>5</v>
      </c>
      <c r="F334" s="38" t="n">
        <f aca="false">ROUND(SUM(B334:E334),9)</f>
        <v>48</v>
      </c>
    </row>
    <row r="335" customFormat="false" ht="15" hidden="false" customHeight="true" outlineLevel="0" collapsed="false">
      <c r="A335" s="41" t="s">
        <v>170</v>
      </c>
      <c r="B335" s="38" t="n">
        <f aca="false">INDEX('Transition Stepwise'!$F$2:$F$1137,MATCH(42&amp;"|"&amp;$A335&amp;"|"&amp;B$333,'Transition Stepwise'!$E$2:$E$1137,0))</f>
        <v>5</v>
      </c>
      <c r="C335" s="38" t="n">
        <f aca="false">INDEX('Transition Stepwise'!$F$2:$F$1137,MATCH(42&amp;"|"&amp;$A335&amp;"|"&amp;C$333,'Transition Stepwise'!$E$2:$E$1137,0))</f>
        <v>2</v>
      </c>
      <c r="D335" s="38" t="n">
        <f aca="false">INDEX('Transition Stepwise'!$F$2:$F$1137,MATCH(42&amp;"|"&amp;$A335&amp;"|"&amp;D$333,'Transition Stepwise'!$E$2:$E$1137,0))</f>
        <v>9</v>
      </c>
      <c r="E335" s="38" t="n">
        <f aca="false">INDEX('Transition Stepwise'!$F$2:$F$1137,MATCH(42&amp;"|"&amp;$A335&amp;"|"&amp;E$333,'Transition Stepwise'!$E$2:$E$1137,0))</f>
        <v>4</v>
      </c>
      <c r="F335" s="38" t="n">
        <f aca="false">ROUND(SUM(B335:E335),9)</f>
        <v>20</v>
      </c>
    </row>
    <row r="336" customFormat="false" ht="15" hidden="false" customHeight="true" outlineLevel="0" collapsed="false">
      <c r="A336" s="41" t="s">
        <v>169</v>
      </c>
      <c r="B336" s="38" t="n">
        <f aca="false">INDEX('Transition Stepwise'!$F$2:$F$1137,MATCH(42&amp;"|"&amp;$A336&amp;"|"&amp;B$333,'Transition Stepwise'!$E$2:$E$1137,0))</f>
        <v>25</v>
      </c>
      <c r="C336" s="38" t="n">
        <f aca="false">INDEX('Transition Stepwise'!$F$2:$F$1137,MATCH(42&amp;"|"&amp;$A336&amp;"|"&amp;C$333,'Transition Stepwise'!$E$2:$E$1137,0))</f>
        <v>18</v>
      </c>
      <c r="D336" s="38" t="n">
        <f aca="false">INDEX('Transition Stepwise'!$F$2:$F$1137,MATCH(42&amp;"|"&amp;$A336&amp;"|"&amp;D$333,'Transition Stepwise'!$E$2:$E$1137,0))</f>
        <v>42</v>
      </c>
      <c r="E336" s="38" t="n">
        <f aca="false">INDEX('Transition Stepwise'!$F$2:$F$1137,MATCH(42&amp;"|"&amp;$A336&amp;"|"&amp;E$333,'Transition Stepwise'!$E$2:$E$1137,0))</f>
        <v>20</v>
      </c>
      <c r="F336" s="38" t="n">
        <f aca="false">ROUND(SUM(B336:E336),9)</f>
        <v>105</v>
      </c>
    </row>
    <row r="337" customFormat="false" ht="15" hidden="false" customHeight="true" outlineLevel="0" collapsed="false">
      <c r="A337" s="41" t="s">
        <v>171</v>
      </c>
      <c r="B337" s="38" t="n">
        <f aca="false">INDEX('Transition Stepwise'!$F$2:$F$1137,MATCH(42&amp;"|"&amp;$A337&amp;"|"&amp;B$333,'Transition Stepwise'!$E$2:$E$1137,0))</f>
        <v>2</v>
      </c>
      <c r="C337" s="38" t="n">
        <f aca="false">INDEX('Transition Stepwise'!$F$2:$F$1137,MATCH(42&amp;"|"&amp;$A337&amp;"|"&amp;C$333,'Transition Stepwise'!$E$2:$E$1137,0))</f>
        <v>3</v>
      </c>
      <c r="D337" s="38" t="n">
        <f aca="false">INDEX('Transition Stepwise'!$F$2:$F$1137,MATCH(42&amp;"|"&amp;$A337&amp;"|"&amp;D$333,'Transition Stepwise'!$E$2:$E$1137,0))</f>
        <v>18</v>
      </c>
      <c r="E337" s="38" t="n">
        <f aca="false">INDEX('Transition Stepwise'!$F$2:$F$1137,MATCH(42&amp;"|"&amp;$A337&amp;"|"&amp;E$333,'Transition Stepwise'!$E$2:$E$1137,0))</f>
        <v>3</v>
      </c>
      <c r="F337" s="38" t="n">
        <f aca="false">ROUND(SUM(B337:E337),9)</f>
        <v>26</v>
      </c>
    </row>
    <row r="338" customFormat="false" ht="15" hidden="false" customHeight="true" outlineLevel="0" collapsed="false">
      <c r="A338" s="38"/>
      <c r="B338" s="38"/>
      <c r="C338" s="38"/>
      <c r="D338" s="38"/>
      <c r="E338" s="38"/>
      <c r="F338" s="38"/>
    </row>
    <row r="339" customFormat="false" ht="15" hidden="false" customHeight="true" outlineLevel="0" collapsed="false">
      <c r="A339" s="38"/>
      <c r="B339" s="38"/>
      <c r="C339" s="38"/>
      <c r="D339" s="38"/>
      <c r="E339" s="38"/>
      <c r="F339" s="38"/>
    </row>
    <row r="340" customFormat="false" ht="15" hidden="false" customHeight="true" outlineLevel="0" collapsed="false">
      <c r="A340" s="41" t="s">
        <v>736</v>
      </c>
      <c r="B340" s="38"/>
      <c r="C340" s="38"/>
      <c r="D340" s="38"/>
      <c r="E340" s="38"/>
      <c r="F340" s="38"/>
    </row>
    <row r="341" customFormat="false" ht="15" hidden="false" customHeight="true" outlineLevel="0" collapsed="false">
      <c r="A341" s="39" t="s">
        <v>693</v>
      </c>
      <c r="B341" s="39" t="s">
        <v>172</v>
      </c>
      <c r="C341" s="39" t="s">
        <v>170</v>
      </c>
      <c r="D341" s="39" t="s">
        <v>169</v>
      </c>
      <c r="E341" s="39" t="s">
        <v>171</v>
      </c>
      <c r="F341" s="39" t="s">
        <v>694</v>
      </c>
    </row>
    <row r="342" customFormat="false" ht="15" hidden="false" customHeight="true" outlineLevel="0" collapsed="false">
      <c r="A342" s="41" t="s">
        <v>172</v>
      </c>
      <c r="B342" s="38" t="n">
        <f aca="false">INDEX('Transition Stepwise'!$F$2:$F$1137,MATCH(43&amp;"|"&amp;$A342&amp;"|"&amp;B$341,'Transition Stepwise'!$E$2:$E$1137,0))</f>
        <v>22</v>
      </c>
      <c r="C342" s="38" t="n">
        <f aca="false">INDEX('Transition Stepwise'!$F$2:$F$1137,MATCH(43&amp;"|"&amp;$A342&amp;"|"&amp;C$341,'Transition Stepwise'!$E$2:$E$1137,0))</f>
        <v>6</v>
      </c>
      <c r="D342" s="38" t="n">
        <f aca="false">INDEX('Transition Stepwise'!$F$2:$F$1137,MATCH(43&amp;"|"&amp;$A342&amp;"|"&amp;D$341,'Transition Stepwise'!$E$2:$E$1137,0))</f>
        <v>13</v>
      </c>
      <c r="E342" s="38" t="n">
        <f aca="false">INDEX('Transition Stepwise'!$F$2:$F$1137,MATCH(43&amp;"|"&amp;$A342&amp;"|"&amp;E$341,'Transition Stepwise'!$E$2:$E$1137,0))</f>
        <v>4</v>
      </c>
      <c r="F342" s="38" t="n">
        <f aca="false">ROUND(SUM(B342:E342),9)</f>
        <v>45</v>
      </c>
    </row>
    <row r="343" customFormat="false" ht="15" hidden="false" customHeight="true" outlineLevel="0" collapsed="false">
      <c r="A343" s="41" t="s">
        <v>170</v>
      </c>
      <c r="B343" s="38" t="n">
        <f aca="false">INDEX('Transition Stepwise'!$F$2:$F$1137,MATCH(43&amp;"|"&amp;$A343&amp;"|"&amp;B$341,'Transition Stepwise'!$E$2:$E$1137,0))</f>
        <v>9</v>
      </c>
      <c r="C343" s="38" t="n">
        <f aca="false">INDEX('Transition Stepwise'!$F$2:$F$1137,MATCH(43&amp;"|"&amp;$A343&amp;"|"&amp;C$341,'Transition Stepwise'!$E$2:$E$1137,0))</f>
        <v>4</v>
      </c>
      <c r="D343" s="38" t="n">
        <f aca="false">INDEX('Transition Stepwise'!$F$2:$F$1137,MATCH(43&amp;"|"&amp;$A343&amp;"|"&amp;D$341,'Transition Stepwise'!$E$2:$E$1137,0))</f>
        <v>7</v>
      </c>
      <c r="E343" s="38" t="n">
        <f aca="false">INDEX('Transition Stepwise'!$F$2:$F$1137,MATCH(43&amp;"|"&amp;$A343&amp;"|"&amp;E$341,'Transition Stepwise'!$E$2:$E$1137,0))</f>
        <v>3</v>
      </c>
      <c r="F343" s="38" t="n">
        <f aca="false">ROUND(SUM(B343:E343),9)</f>
        <v>23</v>
      </c>
    </row>
    <row r="344" customFormat="false" ht="15" hidden="false" customHeight="true" outlineLevel="0" collapsed="false">
      <c r="A344" s="41" t="s">
        <v>169</v>
      </c>
      <c r="B344" s="38" t="n">
        <f aca="false">INDEX('Transition Stepwise'!$F$2:$F$1137,MATCH(43&amp;"|"&amp;$A344&amp;"|"&amp;B$341,'Transition Stepwise'!$E$2:$E$1137,0))</f>
        <v>53</v>
      </c>
      <c r="C344" s="38" t="n">
        <f aca="false">INDEX('Transition Stepwise'!$F$2:$F$1137,MATCH(43&amp;"|"&amp;$A344&amp;"|"&amp;C$341,'Transition Stepwise'!$E$2:$E$1137,0))</f>
        <v>13</v>
      </c>
      <c r="D344" s="38" t="n">
        <f aca="false">INDEX('Transition Stepwise'!$F$2:$F$1137,MATCH(43&amp;"|"&amp;$A344&amp;"|"&amp;D$341,'Transition Stepwise'!$E$2:$E$1137,0))</f>
        <v>20</v>
      </c>
      <c r="E344" s="38" t="n">
        <f aca="false">INDEX('Transition Stepwise'!$F$2:$F$1137,MATCH(43&amp;"|"&amp;$A344&amp;"|"&amp;E$341,'Transition Stepwise'!$E$2:$E$1137,0))</f>
        <v>13</v>
      </c>
      <c r="F344" s="38" t="n">
        <f aca="false">ROUND(SUM(B344:E344),9)</f>
        <v>99</v>
      </c>
    </row>
    <row r="345" customFormat="false" ht="15" hidden="false" customHeight="true" outlineLevel="0" collapsed="false">
      <c r="A345" s="41" t="s">
        <v>171</v>
      </c>
      <c r="B345" s="38" t="n">
        <f aca="false">INDEX('Transition Stepwise'!$F$2:$F$1137,MATCH(43&amp;"|"&amp;$A345&amp;"|"&amp;B$341,'Transition Stepwise'!$E$2:$E$1137,0))</f>
        <v>15</v>
      </c>
      <c r="C345" s="38" t="n">
        <f aca="false">INDEX('Transition Stepwise'!$F$2:$F$1137,MATCH(43&amp;"|"&amp;$A345&amp;"|"&amp;C$341,'Transition Stepwise'!$E$2:$E$1137,0))</f>
        <v>8</v>
      </c>
      <c r="D345" s="38" t="n">
        <f aca="false">INDEX('Transition Stepwise'!$F$2:$F$1137,MATCH(43&amp;"|"&amp;$A345&amp;"|"&amp;D$341,'Transition Stepwise'!$E$2:$E$1137,0))</f>
        <v>6</v>
      </c>
      <c r="E345" s="38" t="n">
        <f aca="false">INDEX('Transition Stepwise'!$F$2:$F$1137,MATCH(43&amp;"|"&amp;$A345&amp;"|"&amp;E$341,'Transition Stepwise'!$E$2:$E$1137,0))</f>
        <v>3</v>
      </c>
      <c r="F345" s="38" t="n">
        <f aca="false">ROUND(SUM(B345:E345),9)</f>
        <v>32</v>
      </c>
    </row>
    <row r="346" customFormat="false" ht="15" hidden="false" customHeight="true" outlineLevel="0" collapsed="false">
      <c r="A346" s="38"/>
      <c r="B346" s="38"/>
      <c r="C346" s="38"/>
      <c r="D346" s="38"/>
      <c r="E346" s="38"/>
      <c r="F346" s="38"/>
    </row>
    <row r="347" customFormat="false" ht="15" hidden="false" customHeight="true" outlineLevel="0" collapsed="false">
      <c r="A347" s="38"/>
      <c r="B347" s="38"/>
      <c r="C347" s="38"/>
      <c r="D347" s="38"/>
      <c r="E347" s="38"/>
      <c r="F347" s="38"/>
    </row>
    <row r="348" customFormat="false" ht="15" hidden="false" customHeight="true" outlineLevel="0" collapsed="false">
      <c r="A348" s="41" t="s">
        <v>737</v>
      </c>
      <c r="B348" s="38"/>
      <c r="C348" s="38"/>
      <c r="D348" s="38"/>
      <c r="E348" s="38"/>
      <c r="F348" s="38"/>
    </row>
    <row r="349" customFormat="false" ht="15" hidden="false" customHeight="true" outlineLevel="0" collapsed="false">
      <c r="A349" s="39" t="s">
        <v>693</v>
      </c>
      <c r="B349" s="39" t="s">
        <v>172</v>
      </c>
      <c r="C349" s="39" t="s">
        <v>170</v>
      </c>
      <c r="D349" s="39" t="s">
        <v>169</v>
      </c>
      <c r="E349" s="39" t="s">
        <v>171</v>
      </c>
      <c r="F349" s="39" t="s">
        <v>694</v>
      </c>
    </row>
    <row r="350" customFormat="false" ht="15" hidden="false" customHeight="true" outlineLevel="0" collapsed="false">
      <c r="A350" s="41" t="s">
        <v>172</v>
      </c>
      <c r="B350" s="38" t="n">
        <f aca="false">INDEX('Transition Stepwise'!$F$2:$F$1137,MATCH(44&amp;"|"&amp;$A350&amp;"|"&amp;B$349,'Transition Stepwise'!$E$2:$E$1137,0))</f>
        <v>1</v>
      </c>
      <c r="C350" s="38" t="n">
        <f aca="false">INDEX('Transition Stepwise'!$F$2:$F$1137,MATCH(44&amp;"|"&amp;$A350&amp;"|"&amp;C$349,'Transition Stepwise'!$E$2:$E$1137,0))</f>
        <v>2</v>
      </c>
      <c r="D350" s="38" t="n">
        <f aca="false">INDEX('Transition Stepwise'!$F$2:$F$1137,MATCH(44&amp;"|"&amp;$A350&amp;"|"&amp;D$349,'Transition Stepwise'!$E$2:$E$1137,0))</f>
        <v>86</v>
      </c>
      <c r="E350" s="38" t="n">
        <f aca="false">INDEX('Transition Stepwise'!$F$2:$F$1137,MATCH(44&amp;"|"&amp;$A350&amp;"|"&amp;E$349,'Transition Stepwise'!$E$2:$E$1137,0))</f>
        <v>9</v>
      </c>
      <c r="F350" s="38" t="n">
        <f aca="false">ROUND(SUM(B350:E350),9)</f>
        <v>98</v>
      </c>
    </row>
    <row r="351" customFormat="false" ht="15" hidden="false" customHeight="true" outlineLevel="0" collapsed="false">
      <c r="A351" s="41" t="s">
        <v>170</v>
      </c>
      <c r="B351" s="38" t="n">
        <f aca="false">INDEX('Transition Stepwise'!$F$2:$F$1137,MATCH(44&amp;"|"&amp;$A351&amp;"|"&amp;B$349,'Transition Stepwise'!$E$2:$E$1137,0))</f>
        <v>7</v>
      </c>
      <c r="C351" s="38" t="n">
        <f aca="false">INDEX('Transition Stepwise'!$F$2:$F$1137,MATCH(44&amp;"|"&amp;$A351&amp;"|"&amp;C$349,'Transition Stepwise'!$E$2:$E$1137,0))</f>
        <v>1</v>
      </c>
      <c r="D351" s="38" t="n">
        <f aca="false">INDEX('Transition Stepwise'!$F$2:$F$1137,MATCH(44&amp;"|"&amp;$A351&amp;"|"&amp;D$349,'Transition Stepwise'!$E$2:$E$1137,0))</f>
        <v>16</v>
      </c>
      <c r="E351" s="38" t="n">
        <f aca="false">INDEX('Transition Stepwise'!$F$2:$F$1137,MATCH(44&amp;"|"&amp;$A351&amp;"|"&amp;E$349,'Transition Stepwise'!$E$2:$E$1137,0))</f>
        <v>6</v>
      </c>
      <c r="F351" s="38" t="n">
        <f aca="false">ROUND(SUM(B351:E351),9)</f>
        <v>30</v>
      </c>
    </row>
    <row r="352" customFormat="false" ht="15" hidden="false" customHeight="true" outlineLevel="0" collapsed="false">
      <c r="A352" s="41" t="s">
        <v>169</v>
      </c>
      <c r="B352" s="38" t="n">
        <f aca="false">INDEX('Transition Stepwise'!$F$2:$F$1137,MATCH(44&amp;"|"&amp;$A352&amp;"|"&amp;B$349,'Transition Stepwise'!$E$2:$E$1137,0))</f>
        <v>6</v>
      </c>
      <c r="C352" s="38" t="n">
        <f aca="false">INDEX('Transition Stepwise'!$F$2:$F$1137,MATCH(44&amp;"|"&amp;$A352&amp;"|"&amp;C$349,'Transition Stepwise'!$E$2:$E$1137,0))</f>
        <v>1</v>
      </c>
      <c r="D352" s="38" t="n">
        <f aca="false">INDEX('Transition Stepwise'!$F$2:$F$1137,MATCH(44&amp;"|"&amp;$A352&amp;"|"&amp;D$349,'Transition Stepwise'!$E$2:$E$1137,0))</f>
        <v>32</v>
      </c>
      <c r="E352" s="38" t="n">
        <f aca="false">INDEX('Transition Stepwise'!$F$2:$F$1137,MATCH(44&amp;"|"&amp;$A352&amp;"|"&amp;E$349,'Transition Stepwise'!$E$2:$E$1137,0))</f>
        <v>7</v>
      </c>
      <c r="F352" s="38" t="n">
        <f aca="false">ROUND(SUM(B352:E352),9)</f>
        <v>46</v>
      </c>
    </row>
    <row r="353" customFormat="false" ht="15" hidden="false" customHeight="true" outlineLevel="0" collapsed="false">
      <c r="A353" s="41" t="s">
        <v>171</v>
      </c>
      <c r="B353" s="38" t="n">
        <f aca="false">INDEX('Transition Stepwise'!$F$2:$F$1137,MATCH(44&amp;"|"&amp;$A353&amp;"|"&amp;B$349,'Transition Stepwise'!$E$2:$E$1137,0))</f>
        <v>1</v>
      </c>
      <c r="C353" s="38" t="n">
        <f aca="false">INDEX('Transition Stepwise'!$F$2:$F$1137,MATCH(44&amp;"|"&amp;$A353&amp;"|"&amp;C$349,'Transition Stepwise'!$E$2:$E$1137,0))</f>
        <v>1</v>
      </c>
      <c r="D353" s="38" t="n">
        <f aca="false">INDEX('Transition Stepwise'!$F$2:$F$1137,MATCH(44&amp;"|"&amp;$A353&amp;"|"&amp;D$349,'Transition Stepwise'!$E$2:$E$1137,0))</f>
        <v>15</v>
      </c>
      <c r="E353" s="38" t="n">
        <f aca="false">INDEX('Transition Stepwise'!$F$2:$F$1137,MATCH(44&amp;"|"&amp;$A353&amp;"|"&amp;E$349,'Transition Stepwise'!$E$2:$E$1137,0))</f>
        <v>6</v>
      </c>
      <c r="F353" s="38" t="n">
        <f aca="false">ROUND(SUM(B353:E353),9)</f>
        <v>23</v>
      </c>
    </row>
    <row r="354" customFormat="false" ht="15" hidden="false" customHeight="true" outlineLevel="0" collapsed="false">
      <c r="A354" s="38"/>
      <c r="B354" s="38"/>
      <c r="C354" s="38"/>
      <c r="D354" s="38"/>
      <c r="E354" s="38"/>
      <c r="F354" s="38"/>
    </row>
    <row r="355" customFormat="false" ht="15" hidden="false" customHeight="true" outlineLevel="0" collapsed="false">
      <c r="A355" s="38"/>
      <c r="B355" s="38"/>
      <c r="C355" s="38"/>
      <c r="D355" s="38"/>
      <c r="E355" s="38"/>
      <c r="F355" s="38"/>
    </row>
    <row r="356" customFormat="false" ht="15" hidden="false" customHeight="true" outlineLevel="0" collapsed="false">
      <c r="A356" s="41" t="s">
        <v>738</v>
      </c>
      <c r="B356" s="38"/>
      <c r="C356" s="38"/>
      <c r="D356" s="38"/>
      <c r="E356" s="38"/>
      <c r="F356" s="38"/>
    </row>
    <row r="357" customFormat="false" ht="15" hidden="false" customHeight="true" outlineLevel="0" collapsed="false">
      <c r="A357" s="39" t="s">
        <v>693</v>
      </c>
      <c r="B357" s="39" t="s">
        <v>172</v>
      </c>
      <c r="C357" s="39" t="s">
        <v>170</v>
      </c>
      <c r="D357" s="39" t="s">
        <v>169</v>
      </c>
      <c r="E357" s="39" t="s">
        <v>171</v>
      </c>
      <c r="F357" s="39" t="s">
        <v>694</v>
      </c>
    </row>
    <row r="358" customFormat="false" ht="15" hidden="false" customHeight="true" outlineLevel="0" collapsed="false">
      <c r="A358" s="41" t="s">
        <v>172</v>
      </c>
      <c r="B358" s="38" t="n">
        <f aca="false">INDEX('Transition Stepwise'!$F$2:$F$1137,MATCH(45&amp;"|"&amp;$A358&amp;"|"&amp;B$357,'Transition Stepwise'!$E$2:$E$1137,0))</f>
        <v>0</v>
      </c>
      <c r="C358" s="38" t="n">
        <f aca="false">INDEX('Transition Stepwise'!$F$2:$F$1137,MATCH(45&amp;"|"&amp;$A358&amp;"|"&amp;C$357,'Transition Stepwise'!$E$2:$E$1137,0))</f>
        <v>1</v>
      </c>
      <c r="D358" s="38" t="n">
        <f aca="false">INDEX('Transition Stepwise'!$F$2:$F$1137,MATCH(45&amp;"|"&amp;$A358&amp;"|"&amp;D$357,'Transition Stepwise'!$E$2:$E$1137,0))</f>
        <v>5</v>
      </c>
      <c r="E358" s="38" t="n">
        <f aca="false">INDEX('Transition Stepwise'!$F$2:$F$1137,MATCH(45&amp;"|"&amp;$A358&amp;"|"&amp;E$357,'Transition Stepwise'!$E$2:$E$1137,0))</f>
        <v>3</v>
      </c>
      <c r="F358" s="38" t="n">
        <f aca="false">ROUND(SUM(B358:E358),9)</f>
        <v>9</v>
      </c>
    </row>
    <row r="359" customFormat="false" ht="15" hidden="false" customHeight="true" outlineLevel="0" collapsed="false">
      <c r="A359" s="41" t="s">
        <v>170</v>
      </c>
      <c r="B359" s="38" t="n">
        <f aca="false">INDEX('Transition Stepwise'!$F$2:$F$1137,MATCH(45&amp;"|"&amp;$A359&amp;"|"&amp;B$357,'Transition Stepwise'!$E$2:$E$1137,0))</f>
        <v>0</v>
      </c>
      <c r="C359" s="38" t="n">
        <f aca="false">INDEX('Transition Stepwise'!$F$2:$F$1137,MATCH(45&amp;"|"&amp;$A359&amp;"|"&amp;C$357,'Transition Stepwise'!$E$2:$E$1137,0))</f>
        <v>1</v>
      </c>
      <c r="D359" s="38" t="n">
        <f aca="false">INDEX('Transition Stepwise'!$F$2:$F$1137,MATCH(45&amp;"|"&amp;$A359&amp;"|"&amp;D$357,'Transition Stepwise'!$E$2:$E$1137,0))</f>
        <v>3</v>
      </c>
      <c r="E359" s="38" t="n">
        <f aca="false">INDEX('Transition Stepwise'!$F$2:$F$1137,MATCH(45&amp;"|"&amp;$A359&amp;"|"&amp;E$357,'Transition Stepwise'!$E$2:$E$1137,0))</f>
        <v>1</v>
      </c>
      <c r="F359" s="38" t="n">
        <f aca="false">ROUND(SUM(B359:E359),9)</f>
        <v>5</v>
      </c>
    </row>
    <row r="360" customFormat="false" ht="15" hidden="false" customHeight="true" outlineLevel="0" collapsed="false">
      <c r="A360" s="41" t="s">
        <v>169</v>
      </c>
      <c r="B360" s="38" t="n">
        <f aca="false">INDEX('Transition Stepwise'!$F$2:$F$1137,MATCH(45&amp;"|"&amp;$A360&amp;"|"&amp;B$357,'Transition Stepwise'!$E$2:$E$1137,0))</f>
        <v>15</v>
      </c>
      <c r="C360" s="38" t="n">
        <f aca="false">INDEX('Transition Stepwise'!$F$2:$F$1137,MATCH(45&amp;"|"&amp;$A360&amp;"|"&amp;C$357,'Transition Stepwise'!$E$2:$E$1137,0))</f>
        <v>2</v>
      </c>
      <c r="D360" s="38" t="n">
        <f aca="false">INDEX('Transition Stepwise'!$F$2:$F$1137,MATCH(45&amp;"|"&amp;$A360&amp;"|"&amp;D$357,'Transition Stepwise'!$E$2:$E$1137,0))</f>
        <v>112</v>
      </c>
      <c r="E360" s="38" t="n">
        <f aca="false">INDEX('Transition Stepwise'!$F$2:$F$1137,MATCH(45&amp;"|"&amp;$A360&amp;"|"&amp;E$357,'Transition Stepwise'!$E$2:$E$1137,0))</f>
        <v>4</v>
      </c>
      <c r="F360" s="38" t="n">
        <f aca="false">ROUND(SUM(B360:E360),9)</f>
        <v>133</v>
      </c>
    </row>
    <row r="361" customFormat="false" ht="15" hidden="false" customHeight="true" outlineLevel="0" collapsed="false">
      <c r="A361" s="41" t="s">
        <v>171</v>
      </c>
      <c r="B361" s="38" t="n">
        <f aca="false">INDEX('Transition Stepwise'!$F$2:$F$1137,MATCH(45&amp;"|"&amp;$A361&amp;"|"&amp;B$357,'Transition Stepwise'!$E$2:$E$1137,0))</f>
        <v>1</v>
      </c>
      <c r="C361" s="38" t="n">
        <f aca="false">INDEX('Transition Stepwise'!$F$2:$F$1137,MATCH(45&amp;"|"&amp;$A361&amp;"|"&amp;C$357,'Transition Stepwise'!$E$2:$E$1137,0))</f>
        <v>0</v>
      </c>
      <c r="D361" s="38" t="n">
        <f aca="false">INDEX('Transition Stepwise'!$F$2:$F$1137,MATCH(45&amp;"|"&amp;$A361&amp;"|"&amp;D$357,'Transition Stepwise'!$E$2:$E$1137,0))</f>
        <v>16</v>
      </c>
      <c r="E361" s="38" t="n">
        <f aca="false">INDEX('Transition Stepwise'!$F$2:$F$1137,MATCH(45&amp;"|"&amp;$A361&amp;"|"&amp;E$357,'Transition Stepwise'!$E$2:$E$1137,0))</f>
        <v>4</v>
      </c>
      <c r="F361" s="38" t="n">
        <f aca="false">ROUND(SUM(B361:E361),9)</f>
        <v>21</v>
      </c>
    </row>
    <row r="362" customFormat="false" ht="15" hidden="false" customHeight="true" outlineLevel="0" collapsed="false">
      <c r="A362" s="38"/>
      <c r="B362" s="38"/>
      <c r="C362" s="38"/>
      <c r="D362" s="38"/>
      <c r="E362" s="38"/>
      <c r="F362" s="38"/>
    </row>
    <row r="363" customFormat="false" ht="15" hidden="false" customHeight="true" outlineLevel="0" collapsed="false">
      <c r="A363" s="38"/>
      <c r="B363" s="38"/>
      <c r="C363" s="38"/>
      <c r="D363" s="38"/>
      <c r="E363" s="38"/>
      <c r="F363" s="38"/>
    </row>
    <row r="364" customFormat="false" ht="15" hidden="false" customHeight="true" outlineLevel="0" collapsed="false">
      <c r="A364" s="41" t="s">
        <v>739</v>
      </c>
      <c r="B364" s="38"/>
      <c r="C364" s="38"/>
      <c r="D364" s="38"/>
      <c r="E364" s="38"/>
      <c r="F364" s="38"/>
    </row>
    <row r="365" customFormat="false" ht="15" hidden="false" customHeight="true" outlineLevel="0" collapsed="false">
      <c r="A365" s="39" t="s">
        <v>693</v>
      </c>
      <c r="B365" s="39" t="s">
        <v>172</v>
      </c>
      <c r="C365" s="39" t="s">
        <v>170</v>
      </c>
      <c r="D365" s="39" t="s">
        <v>169</v>
      </c>
      <c r="E365" s="39" t="s">
        <v>171</v>
      </c>
      <c r="F365" s="39" t="s">
        <v>694</v>
      </c>
    </row>
    <row r="366" customFormat="false" ht="15" hidden="false" customHeight="true" outlineLevel="0" collapsed="false">
      <c r="A366" s="41" t="s">
        <v>172</v>
      </c>
      <c r="B366" s="38" t="n">
        <f aca="false">INDEX('Transition Stepwise'!$F$2:$F$1137,MATCH(46&amp;"|"&amp;$A366&amp;"|"&amp;B$365,'Transition Stepwise'!$E$2:$E$1137,0))</f>
        <v>0</v>
      </c>
      <c r="C366" s="38" t="n">
        <f aca="false">INDEX('Transition Stepwise'!$F$2:$F$1137,MATCH(46&amp;"|"&amp;$A366&amp;"|"&amp;C$365,'Transition Stepwise'!$E$2:$E$1137,0))</f>
        <v>3</v>
      </c>
      <c r="D366" s="38" t="n">
        <f aca="false">INDEX('Transition Stepwise'!$F$2:$F$1137,MATCH(46&amp;"|"&amp;$A366&amp;"|"&amp;D$365,'Transition Stepwise'!$E$2:$E$1137,0))</f>
        <v>1</v>
      </c>
      <c r="E366" s="38" t="n">
        <f aca="false">INDEX('Transition Stepwise'!$F$2:$F$1137,MATCH(46&amp;"|"&amp;$A366&amp;"|"&amp;E$365,'Transition Stepwise'!$E$2:$E$1137,0))</f>
        <v>12</v>
      </c>
      <c r="F366" s="38" t="n">
        <f aca="false">ROUND(SUM(B366:E366),9)</f>
        <v>16</v>
      </c>
    </row>
    <row r="367" customFormat="false" ht="15" hidden="false" customHeight="true" outlineLevel="0" collapsed="false">
      <c r="A367" s="41" t="s">
        <v>170</v>
      </c>
      <c r="B367" s="38" t="n">
        <f aca="false">INDEX('Transition Stepwise'!$F$2:$F$1137,MATCH(46&amp;"|"&amp;$A367&amp;"|"&amp;B$365,'Transition Stepwise'!$E$2:$E$1137,0))</f>
        <v>1</v>
      </c>
      <c r="C367" s="38" t="n">
        <f aca="false">INDEX('Transition Stepwise'!$F$2:$F$1137,MATCH(46&amp;"|"&amp;$A367&amp;"|"&amp;C$365,'Transition Stepwise'!$E$2:$E$1137,0))</f>
        <v>1</v>
      </c>
      <c r="D367" s="38" t="n">
        <f aca="false">INDEX('Transition Stepwise'!$F$2:$F$1137,MATCH(46&amp;"|"&amp;$A367&amp;"|"&amp;D$365,'Transition Stepwise'!$E$2:$E$1137,0))</f>
        <v>1</v>
      </c>
      <c r="E367" s="38" t="n">
        <f aca="false">INDEX('Transition Stepwise'!$F$2:$F$1137,MATCH(46&amp;"|"&amp;$A367&amp;"|"&amp;E$365,'Transition Stepwise'!$E$2:$E$1137,0))</f>
        <v>1</v>
      </c>
      <c r="F367" s="38" t="n">
        <f aca="false">ROUND(SUM(B367:E367),9)</f>
        <v>4</v>
      </c>
    </row>
    <row r="368" customFormat="false" ht="15" hidden="false" customHeight="true" outlineLevel="0" collapsed="false">
      <c r="A368" s="41" t="s">
        <v>169</v>
      </c>
      <c r="B368" s="38" t="n">
        <f aca="false">INDEX('Transition Stepwise'!$F$2:$F$1137,MATCH(46&amp;"|"&amp;$A368&amp;"|"&amp;B$365,'Transition Stepwise'!$E$2:$E$1137,0))</f>
        <v>0</v>
      </c>
      <c r="C368" s="38" t="n">
        <f aca="false">INDEX('Transition Stepwise'!$F$2:$F$1137,MATCH(46&amp;"|"&amp;$A368&amp;"|"&amp;C$365,'Transition Stepwise'!$E$2:$E$1137,0))</f>
        <v>15</v>
      </c>
      <c r="D368" s="38" t="n">
        <f aca="false">INDEX('Transition Stepwise'!$F$2:$F$1137,MATCH(46&amp;"|"&amp;$A368&amp;"|"&amp;D$365,'Transition Stepwise'!$E$2:$E$1137,0))</f>
        <v>4</v>
      </c>
      <c r="E368" s="38" t="n">
        <f aca="false">INDEX('Transition Stepwise'!$F$2:$F$1137,MATCH(46&amp;"|"&amp;$A368&amp;"|"&amp;E$365,'Transition Stepwise'!$E$2:$E$1137,0))</f>
        <v>117</v>
      </c>
      <c r="F368" s="38" t="n">
        <f aca="false">ROUND(SUM(B368:E368),9)</f>
        <v>136</v>
      </c>
    </row>
    <row r="369" customFormat="false" ht="15" hidden="false" customHeight="true" outlineLevel="0" collapsed="false">
      <c r="A369" s="41" t="s">
        <v>171</v>
      </c>
      <c r="B369" s="38" t="n">
        <f aca="false">INDEX('Transition Stepwise'!$F$2:$F$1137,MATCH(46&amp;"|"&amp;$A369&amp;"|"&amp;B$365,'Transition Stepwise'!$E$2:$E$1137,0))</f>
        <v>5</v>
      </c>
      <c r="C369" s="38" t="n">
        <f aca="false">INDEX('Transition Stepwise'!$F$2:$F$1137,MATCH(46&amp;"|"&amp;$A369&amp;"|"&amp;C$365,'Transition Stepwise'!$E$2:$E$1137,0))</f>
        <v>3</v>
      </c>
      <c r="D369" s="38" t="n">
        <f aca="false">INDEX('Transition Stepwise'!$F$2:$F$1137,MATCH(46&amp;"|"&amp;$A369&amp;"|"&amp;D$365,'Transition Stepwise'!$E$2:$E$1137,0))</f>
        <v>3</v>
      </c>
      <c r="E369" s="38" t="n">
        <f aca="false">INDEX('Transition Stepwise'!$F$2:$F$1137,MATCH(46&amp;"|"&amp;$A369&amp;"|"&amp;E$365,'Transition Stepwise'!$E$2:$E$1137,0))</f>
        <v>1</v>
      </c>
      <c r="F369" s="38" t="n">
        <f aca="false">ROUND(SUM(B369:E369),9)</f>
        <v>12</v>
      </c>
    </row>
    <row r="370" customFormat="false" ht="15" hidden="false" customHeight="true" outlineLevel="0" collapsed="false">
      <c r="A370" s="38"/>
      <c r="B370" s="38"/>
      <c r="C370" s="38"/>
      <c r="D370" s="38"/>
      <c r="E370" s="38"/>
      <c r="F370" s="38"/>
    </row>
    <row r="371" customFormat="false" ht="15" hidden="false" customHeight="true" outlineLevel="0" collapsed="false">
      <c r="A371" s="38"/>
      <c r="B371" s="38"/>
      <c r="C371" s="38"/>
      <c r="D371" s="38"/>
      <c r="E371" s="38"/>
      <c r="F371" s="38"/>
    </row>
    <row r="372" customFormat="false" ht="15" hidden="false" customHeight="true" outlineLevel="0" collapsed="false">
      <c r="A372" s="41" t="s">
        <v>740</v>
      </c>
      <c r="B372" s="38"/>
      <c r="C372" s="38"/>
      <c r="D372" s="38"/>
      <c r="E372" s="38"/>
      <c r="F372" s="38"/>
    </row>
    <row r="373" customFormat="false" ht="15" hidden="false" customHeight="true" outlineLevel="0" collapsed="false">
      <c r="A373" s="39" t="s">
        <v>693</v>
      </c>
      <c r="B373" s="39" t="s">
        <v>172</v>
      </c>
      <c r="C373" s="39" t="s">
        <v>170</v>
      </c>
      <c r="D373" s="39" t="s">
        <v>169</v>
      </c>
      <c r="E373" s="39" t="s">
        <v>171</v>
      </c>
      <c r="F373" s="39" t="s">
        <v>694</v>
      </c>
    </row>
    <row r="374" customFormat="false" ht="15" hidden="false" customHeight="true" outlineLevel="0" collapsed="false">
      <c r="A374" s="41" t="s">
        <v>172</v>
      </c>
      <c r="B374" s="38" t="n">
        <f aca="false">INDEX('Transition Stepwise'!$F$2:$F$1137,MATCH(47&amp;"|"&amp;$A374&amp;"|"&amp;B$373,'Transition Stepwise'!$E$2:$E$1137,0))</f>
        <v>1</v>
      </c>
      <c r="C374" s="38" t="n">
        <f aca="false">INDEX('Transition Stepwise'!$F$2:$F$1137,MATCH(47&amp;"|"&amp;$A374&amp;"|"&amp;C$373,'Transition Stepwise'!$E$2:$E$1137,0))</f>
        <v>20</v>
      </c>
      <c r="D374" s="38" t="n">
        <f aca="false">INDEX('Transition Stepwise'!$F$2:$F$1137,MATCH(47&amp;"|"&amp;$A374&amp;"|"&amp;D$373,'Transition Stepwise'!$E$2:$E$1137,0))</f>
        <v>1</v>
      </c>
      <c r="E374" s="38" t="n">
        <f aca="false">INDEX('Transition Stepwise'!$F$2:$F$1137,MATCH(47&amp;"|"&amp;$A374&amp;"|"&amp;E$373,'Transition Stepwise'!$E$2:$E$1137,0))</f>
        <v>4</v>
      </c>
      <c r="F374" s="38" t="n">
        <f aca="false">ROUND(SUM(B374:E374),9)</f>
        <v>26</v>
      </c>
    </row>
    <row r="375" customFormat="false" ht="15" hidden="false" customHeight="true" outlineLevel="0" collapsed="false">
      <c r="A375" s="41" t="s">
        <v>170</v>
      </c>
      <c r="B375" s="38" t="n">
        <f aca="false">INDEX('Transition Stepwise'!$F$2:$F$1137,MATCH(47&amp;"|"&amp;$A375&amp;"|"&amp;B$373,'Transition Stepwise'!$E$2:$E$1137,0))</f>
        <v>0</v>
      </c>
      <c r="C375" s="38" t="n">
        <f aca="false">INDEX('Transition Stepwise'!$F$2:$F$1137,MATCH(47&amp;"|"&amp;$A375&amp;"|"&amp;C$373,'Transition Stepwise'!$E$2:$E$1137,0))</f>
        <v>22</v>
      </c>
      <c r="D375" s="38" t="n">
        <f aca="false">INDEX('Transition Stepwise'!$F$2:$F$1137,MATCH(47&amp;"|"&amp;$A375&amp;"|"&amp;D$373,'Transition Stepwise'!$E$2:$E$1137,0))</f>
        <v>0</v>
      </c>
      <c r="E375" s="38" t="n">
        <f aca="false">INDEX('Transition Stepwise'!$F$2:$F$1137,MATCH(47&amp;"|"&amp;$A375&amp;"|"&amp;E$373,'Transition Stepwise'!$E$2:$E$1137,0))</f>
        <v>1</v>
      </c>
      <c r="F375" s="38" t="n">
        <f aca="false">ROUND(SUM(B375:E375),9)</f>
        <v>23</v>
      </c>
    </row>
    <row r="376" customFormat="false" ht="15" hidden="false" customHeight="true" outlineLevel="0" collapsed="false">
      <c r="A376" s="41" t="s">
        <v>169</v>
      </c>
      <c r="B376" s="38" t="n">
        <f aca="false">INDEX('Transition Stepwise'!$F$2:$F$1137,MATCH(47&amp;"|"&amp;$A376&amp;"|"&amp;B$373,'Transition Stepwise'!$E$2:$E$1137,0))</f>
        <v>0</v>
      </c>
      <c r="C376" s="38" t="n">
        <f aca="false">INDEX('Transition Stepwise'!$F$2:$F$1137,MATCH(47&amp;"|"&amp;$A376&amp;"|"&amp;C$373,'Transition Stepwise'!$E$2:$E$1137,0))</f>
        <v>8</v>
      </c>
      <c r="D376" s="38" t="n">
        <f aca="false">INDEX('Transition Stepwise'!$F$2:$F$1137,MATCH(47&amp;"|"&amp;$A376&amp;"|"&amp;D$373,'Transition Stepwise'!$E$2:$E$1137,0))</f>
        <v>0</v>
      </c>
      <c r="E376" s="38" t="n">
        <f aca="false">INDEX('Transition Stepwise'!$F$2:$F$1137,MATCH(47&amp;"|"&amp;$A376&amp;"|"&amp;E$373,'Transition Stepwise'!$E$2:$E$1137,0))</f>
        <v>8</v>
      </c>
      <c r="F376" s="38" t="n">
        <f aca="false">ROUND(SUM(B376:E376),9)</f>
        <v>16</v>
      </c>
    </row>
    <row r="377" customFormat="false" ht="15" hidden="false" customHeight="true" outlineLevel="0" collapsed="false">
      <c r="A377" s="41" t="s">
        <v>171</v>
      </c>
      <c r="B377" s="38" t="n">
        <f aca="false">INDEX('Transition Stepwise'!$F$2:$F$1137,MATCH(47&amp;"|"&amp;$A377&amp;"|"&amp;B$373,'Transition Stepwise'!$E$2:$E$1137,0))</f>
        <v>0</v>
      </c>
      <c r="C377" s="38" t="n">
        <f aca="false">INDEX('Transition Stepwise'!$F$2:$F$1137,MATCH(47&amp;"|"&amp;$A377&amp;"|"&amp;C$373,'Transition Stepwise'!$E$2:$E$1137,0))</f>
        <v>117</v>
      </c>
      <c r="D377" s="38" t="n">
        <f aca="false">INDEX('Transition Stepwise'!$F$2:$F$1137,MATCH(47&amp;"|"&amp;$A377&amp;"|"&amp;D$373,'Transition Stepwise'!$E$2:$E$1137,0))</f>
        <v>1</v>
      </c>
      <c r="E377" s="38" t="n">
        <f aca="false">INDEX('Transition Stepwise'!$F$2:$F$1137,MATCH(47&amp;"|"&amp;$A377&amp;"|"&amp;E$373,'Transition Stepwise'!$E$2:$E$1137,0))</f>
        <v>16</v>
      </c>
      <c r="F377" s="38" t="n">
        <f aca="false">ROUND(SUM(B377:E377),9)</f>
        <v>134</v>
      </c>
    </row>
    <row r="378" customFormat="false" ht="15" hidden="false" customHeight="true" outlineLevel="0" collapsed="false">
      <c r="A378" s="38"/>
      <c r="B378" s="38"/>
      <c r="C378" s="38"/>
      <c r="D378" s="38"/>
      <c r="E378" s="38"/>
      <c r="F378" s="38"/>
    </row>
    <row r="379" customFormat="false" ht="15" hidden="false" customHeight="true" outlineLevel="0" collapsed="false">
      <c r="A379" s="38"/>
      <c r="B379" s="38"/>
      <c r="C379" s="38"/>
      <c r="D379" s="38"/>
      <c r="E379" s="38"/>
      <c r="F379" s="38"/>
    </row>
    <row r="380" customFormat="false" ht="15" hidden="false" customHeight="true" outlineLevel="0" collapsed="false">
      <c r="A380" s="41" t="s">
        <v>741</v>
      </c>
      <c r="B380" s="38"/>
      <c r="C380" s="38"/>
      <c r="D380" s="38"/>
      <c r="E380" s="38"/>
      <c r="F380" s="38"/>
    </row>
    <row r="381" customFormat="false" ht="15" hidden="false" customHeight="true" outlineLevel="0" collapsed="false">
      <c r="A381" s="39" t="s">
        <v>693</v>
      </c>
      <c r="B381" s="39" t="s">
        <v>172</v>
      </c>
      <c r="C381" s="39" t="s">
        <v>170</v>
      </c>
      <c r="D381" s="39" t="s">
        <v>169</v>
      </c>
      <c r="E381" s="39" t="s">
        <v>171</v>
      </c>
      <c r="F381" s="39" t="s">
        <v>694</v>
      </c>
    </row>
    <row r="382" customFormat="false" ht="15" hidden="false" customHeight="true" outlineLevel="0" collapsed="false">
      <c r="A382" s="41" t="s">
        <v>172</v>
      </c>
      <c r="B382" s="38" t="n">
        <f aca="false">INDEX('Transition Stepwise'!$F$2:$F$1137,MATCH(48&amp;"|"&amp;$A382&amp;"|"&amp;B$381,'Transition Stepwise'!$E$2:$E$1137,0))</f>
        <v>1</v>
      </c>
      <c r="C382" s="38" t="n">
        <f aca="false">INDEX('Transition Stepwise'!$F$2:$F$1137,MATCH(48&amp;"|"&amp;$A382&amp;"|"&amp;C$381,'Transition Stepwise'!$E$2:$E$1137,0))</f>
        <v>0</v>
      </c>
      <c r="D382" s="38" t="n">
        <f aca="false">INDEX('Transition Stepwise'!$F$2:$F$1137,MATCH(48&amp;"|"&amp;$A382&amp;"|"&amp;D$381,'Transition Stepwise'!$E$2:$E$1137,0))</f>
        <v>0</v>
      </c>
      <c r="E382" s="38" t="n">
        <f aca="false">INDEX('Transition Stepwise'!$F$2:$F$1137,MATCH(48&amp;"|"&amp;$A382&amp;"|"&amp;E$381,'Transition Stepwise'!$E$2:$E$1137,0))</f>
        <v>0</v>
      </c>
      <c r="F382" s="38" t="n">
        <f aca="false">ROUND(SUM(B382:E382),9)</f>
        <v>1</v>
      </c>
    </row>
    <row r="383" customFormat="false" ht="15" hidden="false" customHeight="true" outlineLevel="0" collapsed="false">
      <c r="A383" s="41" t="s">
        <v>170</v>
      </c>
      <c r="B383" s="38" t="n">
        <f aca="false">INDEX('Transition Stepwise'!$F$2:$F$1137,MATCH(48&amp;"|"&amp;$A383&amp;"|"&amp;B$381,'Transition Stepwise'!$E$2:$E$1137,0))</f>
        <v>23</v>
      </c>
      <c r="C383" s="38" t="n">
        <f aca="false">INDEX('Transition Stepwise'!$F$2:$F$1137,MATCH(48&amp;"|"&amp;$A383&amp;"|"&amp;C$381,'Transition Stepwise'!$E$2:$E$1137,0))</f>
        <v>51</v>
      </c>
      <c r="D383" s="38" t="n">
        <f aca="false">INDEX('Transition Stepwise'!$F$2:$F$1137,MATCH(48&amp;"|"&amp;$A383&amp;"|"&amp;D$381,'Transition Stepwise'!$E$2:$E$1137,0))</f>
        <v>84</v>
      </c>
      <c r="E383" s="38" t="n">
        <f aca="false">INDEX('Transition Stepwise'!$F$2:$F$1137,MATCH(48&amp;"|"&amp;$A383&amp;"|"&amp;E$381,'Transition Stepwise'!$E$2:$E$1137,0))</f>
        <v>9</v>
      </c>
      <c r="F383" s="38" t="n">
        <f aca="false">ROUND(SUM(B383:E383),9)</f>
        <v>167</v>
      </c>
    </row>
    <row r="384" customFormat="false" ht="15" hidden="false" customHeight="true" outlineLevel="0" collapsed="false">
      <c r="A384" s="41" t="s">
        <v>169</v>
      </c>
      <c r="B384" s="38" t="n">
        <f aca="false">INDEX('Transition Stepwise'!$F$2:$F$1137,MATCH(48&amp;"|"&amp;$A384&amp;"|"&amp;B$381,'Transition Stepwise'!$E$2:$E$1137,0))</f>
        <v>0</v>
      </c>
      <c r="C384" s="38" t="n">
        <f aca="false">INDEX('Transition Stepwise'!$F$2:$F$1137,MATCH(48&amp;"|"&amp;$A384&amp;"|"&amp;C$381,'Transition Stepwise'!$E$2:$E$1137,0))</f>
        <v>2</v>
      </c>
      <c r="D384" s="38" t="n">
        <f aca="false">INDEX('Transition Stepwise'!$F$2:$F$1137,MATCH(48&amp;"|"&amp;$A384&amp;"|"&amp;D$381,'Transition Stepwise'!$E$2:$E$1137,0))</f>
        <v>0</v>
      </c>
      <c r="E384" s="38" t="n">
        <f aca="false">INDEX('Transition Stepwise'!$F$2:$F$1137,MATCH(48&amp;"|"&amp;$A384&amp;"|"&amp;E$381,'Transition Stepwise'!$E$2:$E$1137,0))</f>
        <v>0</v>
      </c>
      <c r="F384" s="38" t="n">
        <f aca="false">ROUND(SUM(B384:E384),9)</f>
        <v>2</v>
      </c>
    </row>
    <row r="385" customFormat="false" ht="15" hidden="false" customHeight="true" outlineLevel="0" collapsed="false">
      <c r="A385" s="41" t="s">
        <v>171</v>
      </c>
      <c r="B385" s="38" t="n">
        <f aca="false">INDEX('Transition Stepwise'!$F$2:$F$1137,MATCH(48&amp;"|"&amp;$A385&amp;"|"&amp;B$381,'Transition Stepwise'!$E$2:$E$1137,0))</f>
        <v>7</v>
      </c>
      <c r="C385" s="38" t="n">
        <f aca="false">INDEX('Transition Stepwise'!$F$2:$F$1137,MATCH(48&amp;"|"&amp;$A385&amp;"|"&amp;C$381,'Transition Stepwise'!$E$2:$E$1137,0))</f>
        <v>4</v>
      </c>
      <c r="D385" s="38" t="n">
        <f aca="false">INDEX('Transition Stepwise'!$F$2:$F$1137,MATCH(48&amp;"|"&amp;$A385&amp;"|"&amp;D$381,'Transition Stepwise'!$E$2:$E$1137,0))</f>
        <v>16</v>
      </c>
      <c r="E385" s="38" t="n">
        <f aca="false">INDEX('Transition Stepwise'!$F$2:$F$1137,MATCH(48&amp;"|"&amp;$A385&amp;"|"&amp;E$381,'Transition Stepwise'!$E$2:$E$1137,0))</f>
        <v>2</v>
      </c>
      <c r="F385" s="38" t="n">
        <f aca="false">ROUND(SUM(B385:E385),9)</f>
        <v>29</v>
      </c>
    </row>
    <row r="386" customFormat="false" ht="15" hidden="false" customHeight="true" outlineLevel="0" collapsed="false">
      <c r="A386" s="38"/>
      <c r="B386" s="38"/>
      <c r="C386" s="38"/>
      <c r="D386" s="38"/>
      <c r="E386" s="38"/>
      <c r="F386" s="38"/>
    </row>
    <row r="387" customFormat="false" ht="15" hidden="false" customHeight="true" outlineLevel="0" collapsed="false">
      <c r="A387" s="38"/>
      <c r="B387" s="38"/>
      <c r="C387" s="38"/>
      <c r="D387" s="38"/>
      <c r="E387" s="38"/>
      <c r="F387" s="38"/>
    </row>
    <row r="388" customFormat="false" ht="15" hidden="false" customHeight="true" outlineLevel="0" collapsed="false">
      <c r="A388" s="41" t="s">
        <v>742</v>
      </c>
      <c r="B388" s="38"/>
      <c r="C388" s="38"/>
      <c r="D388" s="38"/>
      <c r="E388" s="38"/>
      <c r="F388" s="38"/>
    </row>
    <row r="389" customFormat="false" ht="15" hidden="false" customHeight="true" outlineLevel="0" collapsed="false">
      <c r="A389" s="39" t="s">
        <v>693</v>
      </c>
      <c r="B389" s="39" t="s">
        <v>172</v>
      </c>
      <c r="C389" s="39" t="s">
        <v>170</v>
      </c>
      <c r="D389" s="39" t="s">
        <v>169</v>
      </c>
      <c r="E389" s="39" t="s">
        <v>171</v>
      </c>
      <c r="F389" s="39" t="s">
        <v>694</v>
      </c>
    </row>
    <row r="390" customFormat="false" ht="15" hidden="false" customHeight="true" outlineLevel="0" collapsed="false">
      <c r="A390" s="41" t="s">
        <v>172</v>
      </c>
      <c r="B390" s="38" t="n">
        <f aca="false">INDEX('Transition Stepwise'!$F$2:$F$1137,MATCH(49&amp;"|"&amp;$A390&amp;"|"&amp;B$389,'Transition Stepwise'!$E$2:$E$1137,0))</f>
        <v>2</v>
      </c>
      <c r="C390" s="38" t="n">
        <f aca="false">INDEX('Transition Stepwise'!$F$2:$F$1137,MATCH(49&amp;"|"&amp;$A390&amp;"|"&amp;C$389,'Transition Stepwise'!$E$2:$E$1137,0))</f>
        <v>15</v>
      </c>
      <c r="D390" s="38" t="n">
        <f aca="false">INDEX('Transition Stepwise'!$F$2:$F$1137,MATCH(49&amp;"|"&amp;$A390&amp;"|"&amp;D$389,'Transition Stepwise'!$E$2:$E$1137,0))</f>
        <v>8</v>
      </c>
      <c r="E390" s="38" t="n">
        <f aca="false">INDEX('Transition Stepwise'!$F$2:$F$1137,MATCH(49&amp;"|"&amp;$A390&amp;"|"&amp;E$389,'Transition Stepwise'!$E$2:$E$1137,0))</f>
        <v>6</v>
      </c>
      <c r="F390" s="38" t="n">
        <f aca="false">ROUND(SUM(B390:E390),9)</f>
        <v>31</v>
      </c>
    </row>
    <row r="391" customFormat="false" ht="15" hidden="false" customHeight="true" outlineLevel="0" collapsed="false">
      <c r="A391" s="41" t="s">
        <v>170</v>
      </c>
      <c r="B391" s="38" t="n">
        <f aca="false">INDEX('Transition Stepwise'!$F$2:$F$1137,MATCH(49&amp;"|"&amp;$A391&amp;"|"&amp;B$389,'Transition Stepwise'!$E$2:$E$1137,0))</f>
        <v>3</v>
      </c>
      <c r="C391" s="38" t="n">
        <f aca="false">INDEX('Transition Stepwise'!$F$2:$F$1137,MATCH(49&amp;"|"&amp;$A391&amp;"|"&amp;C$389,'Transition Stepwise'!$E$2:$E$1137,0))</f>
        <v>34</v>
      </c>
      <c r="D391" s="38" t="n">
        <f aca="false">INDEX('Transition Stepwise'!$F$2:$F$1137,MATCH(49&amp;"|"&amp;$A391&amp;"|"&amp;D$389,'Transition Stepwise'!$E$2:$E$1137,0))</f>
        <v>12</v>
      </c>
      <c r="E391" s="38" t="n">
        <f aca="false">INDEX('Transition Stepwise'!$F$2:$F$1137,MATCH(49&amp;"|"&amp;$A391&amp;"|"&amp;E$389,'Transition Stepwise'!$E$2:$E$1137,0))</f>
        <v>8</v>
      </c>
      <c r="F391" s="38" t="n">
        <f aca="false">ROUND(SUM(B391:E391),9)</f>
        <v>57</v>
      </c>
    </row>
    <row r="392" customFormat="false" ht="15" hidden="false" customHeight="true" outlineLevel="0" collapsed="false">
      <c r="A392" s="41" t="s">
        <v>169</v>
      </c>
      <c r="B392" s="38" t="n">
        <f aca="false">INDEX('Transition Stepwise'!$F$2:$F$1137,MATCH(49&amp;"|"&amp;$A392&amp;"|"&amp;B$389,'Transition Stepwise'!$E$2:$E$1137,0))</f>
        <v>16</v>
      </c>
      <c r="C392" s="38" t="n">
        <f aca="false">INDEX('Transition Stepwise'!$F$2:$F$1137,MATCH(49&amp;"|"&amp;$A392&amp;"|"&amp;C$389,'Transition Stepwise'!$E$2:$E$1137,0))</f>
        <v>33</v>
      </c>
      <c r="D392" s="38" t="n">
        <f aca="false">INDEX('Transition Stepwise'!$F$2:$F$1137,MATCH(49&amp;"|"&amp;$A392&amp;"|"&amp;D$389,'Transition Stepwise'!$E$2:$E$1137,0))</f>
        <v>30</v>
      </c>
      <c r="E392" s="38" t="n">
        <f aca="false">INDEX('Transition Stepwise'!$F$2:$F$1137,MATCH(49&amp;"|"&amp;$A392&amp;"|"&amp;E$389,'Transition Stepwise'!$E$2:$E$1137,0))</f>
        <v>21</v>
      </c>
      <c r="F392" s="38" t="n">
        <f aca="false">ROUND(SUM(B392:E392),9)</f>
        <v>100</v>
      </c>
    </row>
    <row r="393" customFormat="false" ht="15" hidden="false" customHeight="true" outlineLevel="0" collapsed="false">
      <c r="A393" s="41" t="s">
        <v>171</v>
      </c>
      <c r="B393" s="38" t="n">
        <f aca="false">INDEX('Transition Stepwise'!$F$2:$F$1137,MATCH(49&amp;"|"&amp;$A393&amp;"|"&amp;B$389,'Transition Stepwise'!$E$2:$E$1137,0))</f>
        <v>2</v>
      </c>
      <c r="C393" s="38" t="n">
        <f aca="false">INDEX('Transition Stepwise'!$F$2:$F$1137,MATCH(49&amp;"|"&amp;$A393&amp;"|"&amp;C$389,'Transition Stepwise'!$E$2:$E$1137,0))</f>
        <v>5</v>
      </c>
      <c r="D393" s="38" t="n">
        <f aca="false">INDEX('Transition Stepwise'!$F$2:$F$1137,MATCH(49&amp;"|"&amp;$A393&amp;"|"&amp;D$389,'Transition Stepwise'!$E$2:$E$1137,0))</f>
        <v>4</v>
      </c>
      <c r="E393" s="38" t="n">
        <f aca="false">INDEX('Transition Stepwise'!$F$2:$F$1137,MATCH(49&amp;"|"&amp;$A393&amp;"|"&amp;E$389,'Transition Stepwise'!$E$2:$E$1137,0))</f>
        <v>0</v>
      </c>
      <c r="F393" s="38" t="n">
        <f aca="false">ROUND(SUM(B393:E393),9)</f>
        <v>11</v>
      </c>
    </row>
    <row r="394" customFormat="false" ht="15" hidden="false" customHeight="true" outlineLevel="0" collapsed="false">
      <c r="A394" s="38"/>
      <c r="B394" s="38"/>
      <c r="C394" s="38"/>
      <c r="D394" s="38"/>
      <c r="E394" s="38"/>
      <c r="F394" s="38"/>
    </row>
    <row r="395" customFormat="false" ht="15" hidden="false" customHeight="true" outlineLevel="0" collapsed="false">
      <c r="A395" s="38"/>
      <c r="B395" s="38"/>
      <c r="C395" s="38"/>
      <c r="D395" s="38"/>
      <c r="E395" s="38"/>
      <c r="F395" s="38"/>
    </row>
    <row r="396" customFormat="false" ht="15" hidden="false" customHeight="true" outlineLevel="0" collapsed="false">
      <c r="A396" s="41" t="s">
        <v>743</v>
      </c>
      <c r="B396" s="38"/>
      <c r="C396" s="38"/>
      <c r="D396" s="38"/>
      <c r="E396" s="38"/>
      <c r="F396" s="38"/>
    </row>
    <row r="397" customFormat="false" ht="15" hidden="false" customHeight="true" outlineLevel="0" collapsed="false">
      <c r="A397" s="39" t="s">
        <v>693</v>
      </c>
      <c r="B397" s="39" t="s">
        <v>172</v>
      </c>
      <c r="C397" s="39" t="s">
        <v>170</v>
      </c>
      <c r="D397" s="39" t="s">
        <v>169</v>
      </c>
      <c r="E397" s="39" t="s">
        <v>171</v>
      </c>
      <c r="F397" s="39" t="s">
        <v>694</v>
      </c>
    </row>
    <row r="398" customFormat="false" ht="15" hidden="false" customHeight="true" outlineLevel="0" collapsed="false">
      <c r="A398" s="41" t="s">
        <v>172</v>
      </c>
      <c r="B398" s="38" t="n">
        <f aca="false">INDEX('Transition Stepwise'!$F$2:$F$1137,MATCH(50&amp;"|"&amp;$A398&amp;"|"&amp;B$397,'Transition Stepwise'!$E$2:$E$1137,0))</f>
        <v>3</v>
      </c>
      <c r="C398" s="38" t="n">
        <f aca="false">INDEX('Transition Stepwise'!$F$2:$F$1137,MATCH(50&amp;"|"&amp;$A398&amp;"|"&amp;C$397,'Transition Stepwise'!$E$2:$E$1137,0))</f>
        <v>2</v>
      </c>
      <c r="D398" s="38" t="n">
        <f aca="false">INDEX('Transition Stepwise'!$F$2:$F$1137,MATCH(50&amp;"|"&amp;$A398&amp;"|"&amp;D$397,'Transition Stepwise'!$E$2:$E$1137,0))</f>
        <v>16</v>
      </c>
      <c r="E398" s="38" t="n">
        <f aca="false">INDEX('Transition Stepwise'!$F$2:$F$1137,MATCH(50&amp;"|"&amp;$A398&amp;"|"&amp;E$397,'Transition Stepwise'!$E$2:$E$1137,0))</f>
        <v>2</v>
      </c>
      <c r="F398" s="38" t="n">
        <f aca="false">ROUND(SUM(B398:E398),9)</f>
        <v>23</v>
      </c>
    </row>
    <row r="399" customFormat="false" ht="15" hidden="false" customHeight="true" outlineLevel="0" collapsed="false">
      <c r="A399" s="41" t="s">
        <v>170</v>
      </c>
      <c r="B399" s="38" t="n">
        <f aca="false">INDEX('Transition Stepwise'!$F$2:$F$1137,MATCH(50&amp;"|"&amp;$A399&amp;"|"&amp;B$397,'Transition Stepwise'!$E$2:$E$1137,0))</f>
        <v>16</v>
      </c>
      <c r="C399" s="38" t="n">
        <f aca="false">INDEX('Transition Stepwise'!$F$2:$F$1137,MATCH(50&amp;"|"&amp;$A399&amp;"|"&amp;C$397,'Transition Stepwise'!$E$2:$E$1137,0))</f>
        <v>18</v>
      </c>
      <c r="D399" s="38" t="n">
        <f aca="false">INDEX('Transition Stepwise'!$F$2:$F$1137,MATCH(50&amp;"|"&amp;$A399&amp;"|"&amp;D$397,'Transition Stepwise'!$E$2:$E$1137,0))</f>
        <v>38</v>
      </c>
      <c r="E399" s="38" t="n">
        <f aca="false">INDEX('Transition Stepwise'!$F$2:$F$1137,MATCH(50&amp;"|"&amp;$A399&amp;"|"&amp;E$397,'Transition Stepwise'!$E$2:$E$1137,0))</f>
        <v>15</v>
      </c>
      <c r="F399" s="38" t="n">
        <f aca="false">ROUND(SUM(B399:E399),9)</f>
        <v>87</v>
      </c>
    </row>
    <row r="400" customFormat="false" ht="15" hidden="false" customHeight="true" outlineLevel="0" collapsed="false">
      <c r="A400" s="41" t="s">
        <v>169</v>
      </c>
      <c r="B400" s="38" t="n">
        <f aca="false">INDEX('Transition Stepwise'!$F$2:$F$1137,MATCH(50&amp;"|"&amp;$A400&amp;"|"&amp;B$397,'Transition Stepwise'!$E$2:$E$1137,0))</f>
        <v>4</v>
      </c>
      <c r="C400" s="38" t="n">
        <f aca="false">INDEX('Transition Stepwise'!$F$2:$F$1137,MATCH(50&amp;"|"&amp;$A400&amp;"|"&amp;C$397,'Transition Stepwise'!$E$2:$E$1137,0))</f>
        <v>14</v>
      </c>
      <c r="D400" s="38" t="n">
        <f aca="false">INDEX('Transition Stepwise'!$F$2:$F$1137,MATCH(50&amp;"|"&amp;$A400&amp;"|"&amp;D$397,'Transition Stepwise'!$E$2:$E$1137,0))</f>
        <v>26</v>
      </c>
      <c r="E400" s="38" t="n">
        <f aca="false">INDEX('Transition Stepwise'!$F$2:$F$1137,MATCH(50&amp;"|"&amp;$A400&amp;"|"&amp;E$397,'Transition Stepwise'!$E$2:$E$1137,0))</f>
        <v>9</v>
      </c>
      <c r="F400" s="38" t="n">
        <f aca="false">ROUND(SUM(B400:E400),9)</f>
        <v>53</v>
      </c>
    </row>
    <row r="401" customFormat="false" ht="15" hidden="false" customHeight="true" outlineLevel="0" collapsed="false">
      <c r="A401" s="41" t="s">
        <v>171</v>
      </c>
      <c r="B401" s="38" t="n">
        <f aca="false">INDEX('Transition Stepwise'!$F$2:$F$1137,MATCH(50&amp;"|"&amp;$A401&amp;"|"&amp;B$397,'Transition Stepwise'!$E$2:$E$1137,0))</f>
        <v>5</v>
      </c>
      <c r="C401" s="38" t="n">
        <f aca="false">INDEX('Transition Stepwise'!$F$2:$F$1137,MATCH(50&amp;"|"&amp;$A401&amp;"|"&amp;C$397,'Transition Stepwise'!$E$2:$E$1137,0))</f>
        <v>7</v>
      </c>
      <c r="D401" s="38" t="n">
        <f aca="false">INDEX('Transition Stepwise'!$F$2:$F$1137,MATCH(50&amp;"|"&amp;$A401&amp;"|"&amp;D$397,'Transition Stepwise'!$E$2:$E$1137,0))</f>
        <v>19</v>
      </c>
      <c r="E401" s="38" t="n">
        <f aca="false">INDEX('Transition Stepwise'!$F$2:$F$1137,MATCH(50&amp;"|"&amp;$A401&amp;"|"&amp;E$397,'Transition Stepwise'!$E$2:$E$1137,0))</f>
        <v>4</v>
      </c>
      <c r="F401" s="38" t="n">
        <f aca="false">ROUND(SUM(B401:E401),9)</f>
        <v>35</v>
      </c>
    </row>
    <row r="402" customFormat="false" ht="15" hidden="false" customHeight="true" outlineLevel="0" collapsed="false">
      <c r="A402" s="38"/>
      <c r="B402" s="38"/>
      <c r="C402" s="38"/>
      <c r="D402" s="38"/>
      <c r="E402" s="38"/>
      <c r="F402" s="38"/>
    </row>
    <row r="403" customFormat="false" ht="15" hidden="false" customHeight="true" outlineLevel="0" collapsed="false">
      <c r="A403" s="38"/>
      <c r="B403" s="38"/>
      <c r="C403" s="38"/>
      <c r="D403" s="38"/>
      <c r="E403" s="38"/>
      <c r="F403" s="38"/>
    </row>
    <row r="404" customFormat="false" ht="15" hidden="false" customHeight="true" outlineLevel="0" collapsed="false">
      <c r="A404" s="41" t="s">
        <v>744</v>
      </c>
      <c r="B404" s="38"/>
      <c r="C404" s="38"/>
      <c r="D404" s="38"/>
      <c r="E404" s="38"/>
      <c r="F404" s="38"/>
    </row>
    <row r="405" customFormat="false" ht="15" hidden="false" customHeight="true" outlineLevel="0" collapsed="false">
      <c r="A405" s="39" t="s">
        <v>693</v>
      </c>
      <c r="B405" s="39" t="s">
        <v>172</v>
      </c>
      <c r="C405" s="39" t="s">
        <v>170</v>
      </c>
      <c r="D405" s="39" t="s">
        <v>169</v>
      </c>
      <c r="E405" s="39" t="s">
        <v>171</v>
      </c>
      <c r="F405" s="39" t="s">
        <v>694</v>
      </c>
    </row>
    <row r="406" customFormat="false" ht="15" hidden="false" customHeight="true" outlineLevel="0" collapsed="false">
      <c r="A406" s="41" t="s">
        <v>172</v>
      </c>
      <c r="B406" s="38" t="n">
        <f aca="false">INDEX('Transition Stepwise'!$F$2:$F$1137,MATCH(51&amp;"|"&amp;$A406&amp;"|"&amp;B$405,'Transition Stepwise'!$E$2:$E$1137,0))</f>
        <v>1</v>
      </c>
      <c r="C406" s="38" t="n">
        <f aca="false">INDEX('Transition Stepwise'!$F$2:$F$1137,MATCH(51&amp;"|"&amp;$A406&amp;"|"&amp;C$405,'Transition Stepwise'!$E$2:$E$1137,0))</f>
        <v>0</v>
      </c>
      <c r="D406" s="38" t="n">
        <f aca="false">INDEX('Transition Stepwise'!$F$2:$F$1137,MATCH(51&amp;"|"&amp;$A406&amp;"|"&amp;D$405,'Transition Stepwise'!$E$2:$E$1137,0))</f>
        <v>27</v>
      </c>
      <c r="E406" s="38" t="n">
        <f aca="false">INDEX('Transition Stepwise'!$F$2:$F$1137,MATCH(51&amp;"|"&amp;$A406&amp;"|"&amp;E$405,'Transition Stepwise'!$E$2:$E$1137,0))</f>
        <v>0</v>
      </c>
      <c r="F406" s="38" t="n">
        <f aca="false">ROUND(SUM(B406:E406),9)</f>
        <v>28</v>
      </c>
    </row>
    <row r="407" customFormat="false" ht="15" hidden="false" customHeight="true" outlineLevel="0" collapsed="false">
      <c r="A407" s="41" t="s">
        <v>170</v>
      </c>
      <c r="B407" s="38" t="n">
        <f aca="false">INDEX('Transition Stepwise'!$F$2:$F$1137,MATCH(51&amp;"|"&amp;$A407&amp;"|"&amp;B$405,'Transition Stepwise'!$E$2:$E$1137,0))</f>
        <v>9</v>
      </c>
      <c r="C407" s="38" t="n">
        <f aca="false">INDEX('Transition Stepwise'!$F$2:$F$1137,MATCH(51&amp;"|"&amp;$A407&amp;"|"&amp;C$405,'Transition Stepwise'!$E$2:$E$1137,0))</f>
        <v>0</v>
      </c>
      <c r="D407" s="38" t="n">
        <f aca="false">INDEX('Transition Stepwise'!$F$2:$F$1137,MATCH(51&amp;"|"&amp;$A407&amp;"|"&amp;D$405,'Transition Stepwise'!$E$2:$E$1137,0))</f>
        <v>32</v>
      </c>
      <c r="E407" s="38" t="n">
        <f aca="false">INDEX('Transition Stepwise'!$F$2:$F$1137,MATCH(51&amp;"|"&amp;$A407&amp;"|"&amp;E$405,'Transition Stepwise'!$E$2:$E$1137,0))</f>
        <v>0</v>
      </c>
      <c r="F407" s="38" t="n">
        <f aca="false">ROUND(SUM(B407:E407),9)</f>
        <v>41</v>
      </c>
    </row>
    <row r="408" customFormat="false" ht="15" hidden="false" customHeight="true" outlineLevel="0" collapsed="false">
      <c r="A408" s="41" t="s">
        <v>169</v>
      </c>
      <c r="B408" s="38" t="n">
        <f aca="false">INDEX('Transition Stepwise'!$F$2:$F$1137,MATCH(51&amp;"|"&amp;$A408&amp;"|"&amp;B$405,'Transition Stepwise'!$E$2:$E$1137,0))</f>
        <v>15</v>
      </c>
      <c r="C408" s="38" t="n">
        <f aca="false">INDEX('Transition Stepwise'!$F$2:$F$1137,MATCH(51&amp;"|"&amp;$A408&amp;"|"&amp;C$405,'Transition Stepwise'!$E$2:$E$1137,0))</f>
        <v>1</v>
      </c>
      <c r="D408" s="38" t="n">
        <f aca="false">INDEX('Transition Stepwise'!$F$2:$F$1137,MATCH(51&amp;"|"&amp;$A408&amp;"|"&amp;D$405,'Transition Stepwise'!$E$2:$E$1137,0))</f>
        <v>80</v>
      </c>
      <c r="E408" s="38" t="n">
        <f aca="false">INDEX('Transition Stepwise'!$F$2:$F$1137,MATCH(51&amp;"|"&amp;$A408&amp;"|"&amp;E$405,'Transition Stepwise'!$E$2:$E$1137,0))</f>
        <v>3</v>
      </c>
      <c r="F408" s="38" t="n">
        <f aca="false">ROUND(SUM(B408:E408),9)</f>
        <v>99</v>
      </c>
    </row>
    <row r="409" customFormat="false" ht="15" hidden="false" customHeight="true" outlineLevel="0" collapsed="false">
      <c r="A409" s="41" t="s">
        <v>171</v>
      </c>
      <c r="B409" s="38" t="n">
        <f aca="false">INDEX('Transition Stepwise'!$F$2:$F$1137,MATCH(51&amp;"|"&amp;$A409&amp;"|"&amp;B$405,'Transition Stepwise'!$E$2:$E$1137,0))</f>
        <v>1</v>
      </c>
      <c r="C409" s="38" t="n">
        <f aca="false">INDEX('Transition Stepwise'!$F$2:$F$1137,MATCH(51&amp;"|"&amp;$A409&amp;"|"&amp;C$405,'Transition Stepwise'!$E$2:$E$1137,0))</f>
        <v>0</v>
      </c>
      <c r="D409" s="38" t="n">
        <f aca="false">INDEX('Transition Stepwise'!$F$2:$F$1137,MATCH(51&amp;"|"&amp;$A409&amp;"|"&amp;D$405,'Transition Stepwise'!$E$2:$E$1137,0))</f>
        <v>28</v>
      </c>
      <c r="E409" s="38" t="n">
        <f aca="false">INDEX('Transition Stepwise'!$F$2:$F$1137,MATCH(51&amp;"|"&amp;$A409&amp;"|"&amp;E$405,'Transition Stepwise'!$E$2:$E$1137,0))</f>
        <v>1</v>
      </c>
      <c r="F409" s="38" t="n">
        <f aca="false">ROUND(SUM(B409:E409),9)</f>
        <v>30</v>
      </c>
    </row>
    <row r="410" customFormat="false" ht="15" hidden="false" customHeight="true" outlineLevel="0" collapsed="false">
      <c r="A410" s="38"/>
      <c r="B410" s="38"/>
      <c r="C410" s="38"/>
      <c r="D410" s="38"/>
      <c r="E410" s="38"/>
      <c r="F410" s="38"/>
    </row>
    <row r="411" customFormat="false" ht="15" hidden="false" customHeight="true" outlineLevel="0" collapsed="false">
      <c r="A411" s="38"/>
      <c r="B411" s="38"/>
      <c r="C411" s="38"/>
      <c r="D411" s="38"/>
      <c r="E411" s="38"/>
      <c r="F411" s="38"/>
    </row>
    <row r="412" customFormat="false" ht="15" hidden="false" customHeight="true" outlineLevel="0" collapsed="false">
      <c r="A412" s="41" t="s">
        <v>745</v>
      </c>
      <c r="B412" s="38"/>
      <c r="C412" s="38"/>
      <c r="D412" s="38"/>
      <c r="E412" s="38"/>
      <c r="F412" s="38"/>
    </row>
    <row r="413" customFormat="false" ht="15" hidden="false" customHeight="true" outlineLevel="0" collapsed="false">
      <c r="A413" s="39" t="s">
        <v>693</v>
      </c>
      <c r="B413" s="39" t="s">
        <v>172</v>
      </c>
      <c r="C413" s="39" t="s">
        <v>170</v>
      </c>
      <c r="D413" s="39" t="s">
        <v>169</v>
      </c>
      <c r="E413" s="39" t="s">
        <v>171</v>
      </c>
      <c r="F413" s="39" t="s">
        <v>694</v>
      </c>
    </row>
    <row r="414" customFormat="false" ht="15" hidden="false" customHeight="true" outlineLevel="0" collapsed="false">
      <c r="A414" s="41" t="s">
        <v>172</v>
      </c>
      <c r="B414" s="38" t="n">
        <f aca="false">INDEX('Transition Stepwise'!$F$2:$F$1137,MATCH(52&amp;"|"&amp;$A414&amp;"|"&amp;B$413,'Transition Stepwise'!$E$2:$E$1137,0))</f>
        <v>0</v>
      </c>
      <c r="C414" s="38" t="n">
        <f aca="false">INDEX('Transition Stepwise'!$F$2:$F$1137,MATCH(52&amp;"|"&amp;$A414&amp;"|"&amp;C$413,'Transition Stepwise'!$E$2:$E$1137,0))</f>
        <v>0</v>
      </c>
      <c r="D414" s="38" t="n">
        <f aca="false">INDEX('Transition Stepwise'!$F$2:$F$1137,MATCH(52&amp;"|"&amp;$A414&amp;"|"&amp;D$413,'Transition Stepwise'!$E$2:$E$1137,0))</f>
        <v>26</v>
      </c>
      <c r="E414" s="38" t="n">
        <f aca="false">INDEX('Transition Stepwise'!$F$2:$F$1137,MATCH(52&amp;"|"&amp;$A414&amp;"|"&amp;E$413,'Transition Stepwise'!$E$2:$E$1137,0))</f>
        <v>0</v>
      </c>
      <c r="F414" s="38" t="n">
        <f aca="false">ROUND(SUM(B414:E414),9)</f>
        <v>26</v>
      </c>
    </row>
    <row r="415" customFormat="false" ht="15" hidden="false" customHeight="true" outlineLevel="0" collapsed="false">
      <c r="A415" s="41" t="s">
        <v>170</v>
      </c>
      <c r="B415" s="38" t="n">
        <f aca="false">INDEX('Transition Stepwise'!$F$2:$F$1137,MATCH(52&amp;"|"&amp;$A415&amp;"|"&amp;B$413,'Transition Stepwise'!$E$2:$E$1137,0))</f>
        <v>0</v>
      </c>
      <c r="C415" s="38" t="n">
        <f aca="false">INDEX('Transition Stepwise'!$F$2:$F$1137,MATCH(52&amp;"|"&amp;$A415&amp;"|"&amp;C$413,'Transition Stepwise'!$E$2:$E$1137,0))</f>
        <v>0</v>
      </c>
      <c r="D415" s="38" t="n">
        <f aca="false">INDEX('Transition Stepwise'!$F$2:$F$1137,MATCH(52&amp;"|"&amp;$A415&amp;"|"&amp;D$413,'Transition Stepwise'!$E$2:$E$1137,0))</f>
        <v>2</v>
      </c>
      <c r="E415" s="38" t="n">
        <f aca="false">INDEX('Transition Stepwise'!$F$2:$F$1137,MATCH(52&amp;"|"&amp;$A415&amp;"|"&amp;E$413,'Transition Stepwise'!$E$2:$E$1137,0))</f>
        <v>0</v>
      </c>
      <c r="F415" s="38" t="n">
        <f aca="false">ROUND(SUM(B415:E415),9)</f>
        <v>2</v>
      </c>
    </row>
    <row r="416" customFormat="false" ht="15" hidden="false" customHeight="true" outlineLevel="0" collapsed="false">
      <c r="A416" s="41" t="s">
        <v>169</v>
      </c>
      <c r="B416" s="38" t="n">
        <f aca="false">INDEX('Transition Stepwise'!$F$2:$F$1137,MATCH(52&amp;"|"&amp;$A416&amp;"|"&amp;B$413,'Transition Stepwise'!$E$2:$E$1137,0))</f>
        <v>1</v>
      </c>
      <c r="C416" s="38" t="n">
        <f aca="false">INDEX('Transition Stepwise'!$F$2:$F$1137,MATCH(52&amp;"|"&amp;$A416&amp;"|"&amp;C$413,'Transition Stepwise'!$E$2:$E$1137,0))</f>
        <v>0</v>
      </c>
      <c r="D416" s="38" t="n">
        <f aca="false">INDEX('Transition Stepwise'!$F$2:$F$1137,MATCH(52&amp;"|"&amp;$A416&amp;"|"&amp;D$413,'Transition Stepwise'!$E$2:$E$1137,0))</f>
        <v>164</v>
      </c>
      <c r="E416" s="38" t="n">
        <f aca="false">INDEX('Transition Stepwise'!$F$2:$F$1137,MATCH(52&amp;"|"&amp;$A416&amp;"|"&amp;E$413,'Transition Stepwise'!$E$2:$E$1137,0))</f>
        <v>2</v>
      </c>
      <c r="F416" s="38" t="n">
        <f aca="false">ROUND(SUM(B416:E416),9)</f>
        <v>167</v>
      </c>
    </row>
    <row r="417" customFormat="false" ht="15" hidden="false" customHeight="true" outlineLevel="0" collapsed="false">
      <c r="A417" s="41" t="s">
        <v>171</v>
      </c>
      <c r="B417" s="38" t="n">
        <f aca="false">INDEX('Transition Stepwise'!$F$2:$F$1137,MATCH(52&amp;"|"&amp;$A417&amp;"|"&amp;B$413,'Transition Stepwise'!$E$2:$E$1137,0))</f>
        <v>0</v>
      </c>
      <c r="C417" s="38" t="n">
        <f aca="false">INDEX('Transition Stepwise'!$F$2:$F$1137,MATCH(52&amp;"|"&amp;$A417&amp;"|"&amp;C$413,'Transition Stepwise'!$E$2:$E$1137,0))</f>
        <v>1</v>
      </c>
      <c r="D417" s="38" t="n">
        <f aca="false">INDEX('Transition Stepwise'!$F$2:$F$1137,MATCH(52&amp;"|"&amp;$A417&amp;"|"&amp;D$413,'Transition Stepwise'!$E$2:$E$1137,0))</f>
        <v>3</v>
      </c>
      <c r="E417" s="38" t="n">
        <f aca="false">INDEX('Transition Stepwise'!$F$2:$F$1137,MATCH(52&amp;"|"&amp;$A417&amp;"|"&amp;E$413,'Transition Stepwise'!$E$2:$E$1137,0))</f>
        <v>0</v>
      </c>
      <c r="F417" s="38" t="n">
        <f aca="false">ROUND(SUM(B417:E417),9)</f>
        <v>4</v>
      </c>
    </row>
    <row r="418" customFormat="false" ht="15" hidden="false" customHeight="true" outlineLevel="0" collapsed="false">
      <c r="A418" s="38"/>
      <c r="B418" s="38"/>
      <c r="C418" s="38"/>
      <c r="D418" s="38"/>
      <c r="E418" s="38"/>
      <c r="F418" s="38"/>
    </row>
    <row r="419" customFormat="false" ht="15" hidden="false" customHeight="true" outlineLevel="0" collapsed="false">
      <c r="A419" s="38"/>
      <c r="B419" s="38"/>
      <c r="C419" s="38"/>
      <c r="D419" s="38"/>
      <c r="E419" s="38"/>
      <c r="F419" s="38"/>
    </row>
    <row r="420" customFormat="false" ht="15" hidden="false" customHeight="true" outlineLevel="0" collapsed="false">
      <c r="A420" s="41" t="s">
        <v>746</v>
      </c>
      <c r="B420" s="38"/>
      <c r="C420" s="38"/>
      <c r="D420" s="38"/>
      <c r="E420" s="38"/>
      <c r="F420" s="38"/>
    </row>
    <row r="421" customFormat="false" ht="15" hidden="false" customHeight="true" outlineLevel="0" collapsed="false">
      <c r="A421" s="39" t="s">
        <v>693</v>
      </c>
      <c r="B421" s="39" t="s">
        <v>172</v>
      </c>
      <c r="C421" s="39" t="s">
        <v>170</v>
      </c>
      <c r="D421" s="39" t="s">
        <v>169</v>
      </c>
      <c r="E421" s="39" t="s">
        <v>171</v>
      </c>
      <c r="F421" s="39" t="s">
        <v>694</v>
      </c>
    </row>
    <row r="422" customFormat="false" ht="15" hidden="false" customHeight="true" outlineLevel="0" collapsed="false">
      <c r="A422" s="41" t="s">
        <v>172</v>
      </c>
      <c r="B422" s="38" t="n">
        <f aca="false">INDEX('Transition Stepwise'!$F$2:$F$1137,MATCH(53&amp;"|"&amp;$A422&amp;"|"&amp;B$421,'Transition Stepwise'!$E$2:$E$1137,0))</f>
        <v>0</v>
      </c>
      <c r="C422" s="38" t="n">
        <f aca="false">INDEX('Transition Stepwise'!$F$2:$F$1137,MATCH(53&amp;"|"&amp;$A422&amp;"|"&amp;C$421,'Transition Stepwise'!$E$2:$E$1137,0))</f>
        <v>0</v>
      </c>
      <c r="D422" s="38" t="n">
        <f aca="false">INDEX('Transition Stepwise'!$F$2:$F$1137,MATCH(53&amp;"|"&amp;$A422&amp;"|"&amp;D$421,'Transition Stepwise'!$E$2:$E$1137,0))</f>
        <v>0</v>
      </c>
      <c r="E422" s="38" t="n">
        <f aca="false">INDEX('Transition Stepwise'!$F$2:$F$1137,MATCH(53&amp;"|"&amp;$A422&amp;"|"&amp;E$421,'Transition Stepwise'!$E$2:$E$1137,0))</f>
        <v>1</v>
      </c>
      <c r="F422" s="38" t="n">
        <f aca="false">ROUND(SUM(B422:E422),9)</f>
        <v>1</v>
      </c>
    </row>
    <row r="423" customFormat="false" ht="15" hidden="false" customHeight="true" outlineLevel="0" collapsed="false">
      <c r="A423" s="41" t="s">
        <v>170</v>
      </c>
      <c r="B423" s="38" t="n">
        <f aca="false">INDEX('Transition Stepwise'!$F$2:$F$1137,MATCH(53&amp;"|"&amp;$A423&amp;"|"&amp;B$421,'Transition Stepwise'!$E$2:$E$1137,0))</f>
        <v>0</v>
      </c>
      <c r="C423" s="38" t="n">
        <f aca="false">INDEX('Transition Stepwise'!$F$2:$F$1137,MATCH(53&amp;"|"&amp;$A423&amp;"|"&amp;C$421,'Transition Stepwise'!$E$2:$E$1137,0))</f>
        <v>0</v>
      </c>
      <c r="D423" s="38" t="n">
        <f aca="false">INDEX('Transition Stepwise'!$F$2:$F$1137,MATCH(53&amp;"|"&amp;$A423&amp;"|"&amp;D$421,'Transition Stepwise'!$E$2:$E$1137,0))</f>
        <v>0</v>
      </c>
      <c r="E423" s="38" t="n">
        <f aca="false">INDEX('Transition Stepwise'!$F$2:$F$1137,MATCH(53&amp;"|"&amp;$A423&amp;"|"&amp;E$421,'Transition Stepwise'!$E$2:$E$1137,0))</f>
        <v>1</v>
      </c>
      <c r="F423" s="38" t="n">
        <f aca="false">ROUND(SUM(B423:E423),9)</f>
        <v>1</v>
      </c>
    </row>
    <row r="424" customFormat="false" ht="15" hidden="false" customHeight="true" outlineLevel="0" collapsed="false">
      <c r="A424" s="41" t="s">
        <v>169</v>
      </c>
      <c r="B424" s="38" t="n">
        <f aca="false">INDEX('Transition Stepwise'!$F$2:$F$1137,MATCH(53&amp;"|"&amp;$A424&amp;"|"&amp;B$421,'Transition Stepwise'!$E$2:$E$1137,0))</f>
        <v>2</v>
      </c>
      <c r="C424" s="38" t="n">
        <f aca="false">INDEX('Transition Stepwise'!$F$2:$F$1137,MATCH(53&amp;"|"&amp;$A424&amp;"|"&amp;C$421,'Transition Stepwise'!$E$2:$E$1137,0))</f>
        <v>0</v>
      </c>
      <c r="D424" s="38" t="n">
        <f aca="false">INDEX('Transition Stepwise'!$F$2:$F$1137,MATCH(53&amp;"|"&amp;$A424&amp;"|"&amp;D$421,'Transition Stepwise'!$E$2:$E$1137,0))</f>
        <v>0</v>
      </c>
      <c r="E424" s="38" t="n">
        <f aca="false">INDEX('Transition Stepwise'!$F$2:$F$1137,MATCH(53&amp;"|"&amp;$A424&amp;"|"&amp;E$421,'Transition Stepwise'!$E$2:$E$1137,0))</f>
        <v>193</v>
      </c>
      <c r="F424" s="38" t="n">
        <f aca="false">ROUND(SUM(B424:E424),9)</f>
        <v>195</v>
      </c>
    </row>
    <row r="425" customFormat="false" ht="15" hidden="false" customHeight="true" outlineLevel="0" collapsed="false">
      <c r="A425" s="41" t="s">
        <v>171</v>
      </c>
      <c r="B425" s="38" t="n">
        <f aca="false">INDEX('Transition Stepwise'!$F$2:$F$1137,MATCH(53&amp;"|"&amp;$A425&amp;"|"&amp;B$421,'Transition Stepwise'!$E$2:$E$1137,0))</f>
        <v>0</v>
      </c>
      <c r="C425" s="38" t="n">
        <f aca="false">INDEX('Transition Stepwise'!$F$2:$F$1137,MATCH(53&amp;"|"&amp;$A425&amp;"|"&amp;C$421,'Transition Stepwise'!$E$2:$E$1137,0))</f>
        <v>0</v>
      </c>
      <c r="D425" s="38" t="n">
        <f aca="false">INDEX('Transition Stepwise'!$F$2:$F$1137,MATCH(53&amp;"|"&amp;$A425&amp;"|"&amp;D$421,'Transition Stepwise'!$E$2:$E$1137,0))</f>
        <v>0</v>
      </c>
      <c r="E425" s="38" t="n">
        <f aca="false">INDEX('Transition Stepwise'!$F$2:$F$1137,MATCH(53&amp;"|"&amp;$A425&amp;"|"&amp;E$421,'Transition Stepwise'!$E$2:$E$1137,0))</f>
        <v>2</v>
      </c>
      <c r="F425" s="38" t="n">
        <f aca="false">ROUND(SUM(B425:E425),9)</f>
        <v>2</v>
      </c>
    </row>
    <row r="426" customFormat="false" ht="15" hidden="false" customHeight="true" outlineLevel="0" collapsed="false">
      <c r="A426" s="38"/>
      <c r="B426" s="38"/>
      <c r="C426" s="38"/>
      <c r="D426" s="38"/>
      <c r="E426" s="38"/>
      <c r="F426" s="38"/>
    </row>
    <row r="427" customFormat="false" ht="15" hidden="false" customHeight="true" outlineLevel="0" collapsed="false">
      <c r="A427" s="38"/>
      <c r="B427" s="38"/>
      <c r="C427" s="38"/>
      <c r="D427" s="38"/>
      <c r="E427" s="38"/>
      <c r="F427" s="38"/>
    </row>
    <row r="428" customFormat="false" ht="15" hidden="false" customHeight="true" outlineLevel="0" collapsed="false">
      <c r="A428" s="41" t="s">
        <v>747</v>
      </c>
      <c r="B428" s="38"/>
      <c r="C428" s="38"/>
      <c r="D428" s="38"/>
      <c r="E428" s="38"/>
      <c r="F428" s="38"/>
    </row>
    <row r="429" customFormat="false" ht="15" hidden="false" customHeight="true" outlineLevel="0" collapsed="false">
      <c r="A429" s="39" t="s">
        <v>693</v>
      </c>
      <c r="B429" s="39" t="s">
        <v>172</v>
      </c>
      <c r="C429" s="39" t="s">
        <v>170</v>
      </c>
      <c r="D429" s="39" t="s">
        <v>169</v>
      </c>
      <c r="E429" s="39" t="s">
        <v>171</v>
      </c>
      <c r="F429" s="39" t="s">
        <v>694</v>
      </c>
    </row>
    <row r="430" customFormat="false" ht="15" hidden="false" customHeight="true" outlineLevel="0" collapsed="false">
      <c r="A430" s="41" t="s">
        <v>172</v>
      </c>
      <c r="B430" s="38" t="n">
        <f aca="false">INDEX('Transition Stepwise'!$F$2:$F$1137,MATCH(54&amp;"|"&amp;$A430&amp;"|"&amp;B$429,'Transition Stepwise'!$E$2:$E$1137,0))</f>
        <v>0</v>
      </c>
      <c r="C430" s="38" t="n">
        <f aca="false">INDEX('Transition Stepwise'!$F$2:$F$1137,MATCH(54&amp;"|"&amp;$A430&amp;"|"&amp;C$429,'Transition Stepwise'!$E$2:$E$1137,0))</f>
        <v>0</v>
      </c>
      <c r="D430" s="38" t="n">
        <f aca="false">INDEX('Transition Stepwise'!$F$2:$F$1137,MATCH(54&amp;"|"&amp;$A430&amp;"|"&amp;D$429,'Transition Stepwise'!$E$2:$E$1137,0))</f>
        <v>0</v>
      </c>
      <c r="E430" s="38" t="n">
        <f aca="false">INDEX('Transition Stepwise'!$F$2:$F$1137,MATCH(54&amp;"|"&amp;$A430&amp;"|"&amp;E$429,'Transition Stepwise'!$E$2:$E$1137,0))</f>
        <v>2</v>
      </c>
      <c r="F430" s="38" t="n">
        <f aca="false">ROUND(SUM(B430:E430),9)</f>
        <v>2</v>
      </c>
    </row>
    <row r="431" customFormat="false" ht="15" hidden="false" customHeight="true" outlineLevel="0" collapsed="false">
      <c r="A431" s="41" t="s">
        <v>170</v>
      </c>
      <c r="B431" s="38" t="n">
        <f aca="false">INDEX('Transition Stepwise'!$F$2:$F$1137,MATCH(54&amp;"|"&amp;$A431&amp;"|"&amp;B$429,'Transition Stepwise'!$E$2:$E$1137,0))</f>
        <v>0</v>
      </c>
      <c r="C431" s="38" t="n">
        <f aca="false">INDEX('Transition Stepwise'!$F$2:$F$1137,MATCH(54&amp;"|"&amp;$A431&amp;"|"&amp;C$429,'Transition Stepwise'!$E$2:$E$1137,0))</f>
        <v>0</v>
      </c>
      <c r="D431" s="38" t="n">
        <f aca="false">INDEX('Transition Stepwise'!$F$2:$F$1137,MATCH(54&amp;"|"&amp;$A431&amp;"|"&amp;D$429,'Transition Stepwise'!$E$2:$E$1137,0))</f>
        <v>0</v>
      </c>
      <c r="E431" s="38" t="n">
        <f aca="false">INDEX('Transition Stepwise'!$F$2:$F$1137,MATCH(54&amp;"|"&amp;$A431&amp;"|"&amp;E$429,'Transition Stepwise'!$E$2:$E$1137,0))</f>
        <v>0</v>
      </c>
      <c r="F431" s="38" t="n">
        <f aca="false">ROUND(SUM(B431:E431),9)</f>
        <v>0</v>
      </c>
    </row>
    <row r="432" customFormat="false" ht="15" hidden="false" customHeight="true" outlineLevel="0" collapsed="false">
      <c r="A432" s="41" t="s">
        <v>169</v>
      </c>
      <c r="B432" s="38" t="n">
        <f aca="false">INDEX('Transition Stepwise'!$F$2:$F$1137,MATCH(54&amp;"|"&amp;$A432&amp;"|"&amp;B$429,'Transition Stepwise'!$E$2:$E$1137,0))</f>
        <v>0</v>
      </c>
      <c r="C432" s="38" t="n">
        <f aca="false">INDEX('Transition Stepwise'!$F$2:$F$1137,MATCH(54&amp;"|"&amp;$A432&amp;"|"&amp;C$429,'Transition Stepwise'!$E$2:$E$1137,0))</f>
        <v>0</v>
      </c>
      <c r="D432" s="38" t="n">
        <f aca="false">INDEX('Transition Stepwise'!$F$2:$F$1137,MATCH(54&amp;"|"&amp;$A432&amp;"|"&amp;D$429,'Transition Stepwise'!$E$2:$E$1137,0))</f>
        <v>0</v>
      </c>
      <c r="E432" s="38" t="n">
        <f aca="false">INDEX('Transition Stepwise'!$F$2:$F$1137,MATCH(54&amp;"|"&amp;$A432&amp;"|"&amp;E$429,'Transition Stepwise'!$E$2:$E$1137,0))</f>
        <v>0</v>
      </c>
      <c r="F432" s="38" t="n">
        <f aca="false">ROUND(SUM(B432:E432),9)</f>
        <v>0</v>
      </c>
    </row>
    <row r="433" customFormat="false" ht="15" hidden="false" customHeight="true" outlineLevel="0" collapsed="false">
      <c r="A433" s="41" t="s">
        <v>171</v>
      </c>
      <c r="B433" s="38" t="n">
        <f aca="false">INDEX('Transition Stepwise'!$F$2:$F$1137,MATCH(54&amp;"|"&amp;$A433&amp;"|"&amp;B$429,'Transition Stepwise'!$E$2:$E$1137,0))</f>
        <v>1</v>
      </c>
      <c r="C433" s="38" t="n">
        <f aca="false">INDEX('Transition Stepwise'!$F$2:$F$1137,MATCH(54&amp;"|"&amp;$A433&amp;"|"&amp;C$429,'Transition Stepwise'!$E$2:$E$1137,0))</f>
        <v>1</v>
      </c>
      <c r="D433" s="38" t="n">
        <f aca="false">INDEX('Transition Stepwise'!$F$2:$F$1137,MATCH(54&amp;"|"&amp;$A433&amp;"|"&amp;D$429,'Transition Stepwise'!$E$2:$E$1137,0))</f>
        <v>1</v>
      </c>
      <c r="E433" s="38" t="n">
        <f aca="false">INDEX('Transition Stepwise'!$F$2:$F$1137,MATCH(54&amp;"|"&amp;$A433&amp;"|"&amp;E$429,'Transition Stepwise'!$E$2:$E$1137,0))</f>
        <v>194</v>
      </c>
      <c r="F433" s="38" t="n">
        <f aca="false">ROUND(SUM(B433:E433),9)</f>
        <v>197</v>
      </c>
    </row>
    <row r="434" customFormat="false" ht="15" hidden="false" customHeight="true" outlineLevel="0" collapsed="false">
      <c r="A434" s="38"/>
      <c r="B434" s="38"/>
      <c r="C434" s="38"/>
      <c r="D434" s="38"/>
      <c r="E434" s="38"/>
      <c r="F434" s="38"/>
    </row>
    <row r="435" customFormat="false" ht="15" hidden="false" customHeight="true" outlineLevel="0" collapsed="false">
      <c r="A435" s="38"/>
      <c r="B435" s="38"/>
      <c r="C435" s="38"/>
      <c r="D435" s="38"/>
      <c r="E435" s="38"/>
      <c r="F435" s="38"/>
    </row>
    <row r="436" customFormat="false" ht="15" hidden="false" customHeight="true" outlineLevel="0" collapsed="false">
      <c r="A436" s="41" t="s">
        <v>748</v>
      </c>
      <c r="B436" s="38"/>
      <c r="C436" s="38"/>
      <c r="D436" s="38"/>
      <c r="E436" s="38"/>
      <c r="F436" s="38"/>
    </row>
    <row r="437" customFormat="false" ht="15" hidden="false" customHeight="true" outlineLevel="0" collapsed="false">
      <c r="A437" s="39" t="s">
        <v>693</v>
      </c>
      <c r="B437" s="39" t="s">
        <v>172</v>
      </c>
      <c r="C437" s="39" t="s">
        <v>170</v>
      </c>
      <c r="D437" s="39" t="s">
        <v>169</v>
      </c>
      <c r="E437" s="39" t="s">
        <v>171</v>
      </c>
      <c r="F437" s="39" t="s">
        <v>694</v>
      </c>
    </row>
    <row r="438" customFormat="false" ht="15" hidden="false" customHeight="true" outlineLevel="0" collapsed="false">
      <c r="A438" s="41" t="s">
        <v>172</v>
      </c>
      <c r="B438" s="38" t="n">
        <f aca="false">INDEX('Transition Stepwise'!$F$2:$F$1137,MATCH(55&amp;"|"&amp;$A438&amp;"|"&amp;B$437,'Transition Stepwise'!$E$2:$E$1137,0))</f>
        <v>1</v>
      </c>
      <c r="C438" s="38" t="n">
        <f aca="false">INDEX('Transition Stepwise'!$F$2:$F$1137,MATCH(55&amp;"|"&amp;$A438&amp;"|"&amp;C$437,'Transition Stepwise'!$E$2:$E$1137,0))</f>
        <v>0</v>
      </c>
      <c r="D438" s="38" t="n">
        <f aca="false">INDEX('Transition Stepwise'!$F$2:$F$1137,MATCH(55&amp;"|"&amp;$A438&amp;"|"&amp;D$437,'Transition Stepwise'!$E$2:$E$1137,0))</f>
        <v>0</v>
      </c>
      <c r="E438" s="38" t="n">
        <f aca="false">INDEX('Transition Stepwise'!$F$2:$F$1137,MATCH(55&amp;"|"&amp;$A438&amp;"|"&amp;E$437,'Transition Stepwise'!$E$2:$E$1137,0))</f>
        <v>0</v>
      </c>
      <c r="F438" s="38" t="n">
        <f aca="false">ROUND(SUM(B438:E438),9)</f>
        <v>1</v>
      </c>
    </row>
    <row r="439" customFormat="false" ht="15" hidden="false" customHeight="true" outlineLevel="0" collapsed="false">
      <c r="A439" s="41" t="s">
        <v>170</v>
      </c>
      <c r="B439" s="38" t="n">
        <f aca="false">INDEX('Transition Stepwise'!$F$2:$F$1137,MATCH(55&amp;"|"&amp;$A439&amp;"|"&amp;B$437,'Transition Stepwise'!$E$2:$E$1137,0))</f>
        <v>0</v>
      </c>
      <c r="C439" s="38" t="n">
        <f aca="false">INDEX('Transition Stepwise'!$F$2:$F$1137,MATCH(55&amp;"|"&amp;$A439&amp;"|"&amp;C$437,'Transition Stepwise'!$E$2:$E$1137,0))</f>
        <v>0</v>
      </c>
      <c r="D439" s="38" t="n">
        <f aca="false">INDEX('Transition Stepwise'!$F$2:$F$1137,MATCH(55&amp;"|"&amp;$A439&amp;"|"&amp;D$437,'Transition Stepwise'!$E$2:$E$1137,0))</f>
        <v>1</v>
      </c>
      <c r="E439" s="38" t="n">
        <f aca="false">INDEX('Transition Stepwise'!$F$2:$F$1137,MATCH(55&amp;"|"&amp;$A439&amp;"|"&amp;E$437,'Transition Stepwise'!$E$2:$E$1137,0))</f>
        <v>0</v>
      </c>
      <c r="F439" s="38" t="n">
        <f aca="false">ROUND(SUM(B439:E439),9)</f>
        <v>1</v>
      </c>
    </row>
    <row r="440" customFormat="false" ht="15" hidden="false" customHeight="true" outlineLevel="0" collapsed="false">
      <c r="A440" s="41" t="s">
        <v>169</v>
      </c>
      <c r="B440" s="38" t="n">
        <f aca="false">INDEX('Transition Stepwise'!$F$2:$F$1137,MATCH(55&amp;"|"&amp;$A440&amp;"|"&amp;B$437,'Transition Stepwise'!$E$2:$E$1137,0))</f>
        <v>0</v>
      </c>
      <c r="C440" s="38" t="n">
        <f aca="false">INDEX('Transition Stepwise'!$F$2:$F$1137,MATCH(55&amp;"|"&amp;$A440&amp;"|"&amp;C$437,'Transition Stepwise'!$E$2:$E$1137,0))</f>
        <v>1</v>
      </c>
      <c r="D440" s="38" t="n">
        <f aca="false">INDEX('Transition Stepwise'!$F$2:$F$1137,MATCH(55&amp;"|"&amp;$A440&amp;"|"&amp;D$437,'Transition Stepwise'!$E$2:$E$1137,0))</f>
        <v>0</v>
      </c>
      <c r="E440" s="38" t="n">
        <f aca="false">INDEX('Transition Stepwise'!$F$2:$F$1137,MATCH(55&amp;"|"&amp;$A440&amp;"|"&amp;E$437,'Transition Stepwise'!$E$2:$E$1137,0))</f>
        <v>0</v>
      </c>
      <c r="F440" s="38" t="n">
        <f aca="false">ROUND(SUM(B440:E440),9)</f>
        <v>1</v>
      </c>
    </row>
    <row r="441" customFormat="false" ht="15" hidden="false" customHeight="true" outlineLevel="0" collapsed="false">
      <c r="A441" s="41" t="s">
        <v>171</v>
      </c>
      <c r="B441" s="38" t="n">
        <f aca="false">INDEX('Transition Stepwise'!$F$2:$F$1137,MATCH(55&amp;"|"&amp;$A441&amp;"|"&amp;B$437,'Transition Stepwise'!$E$2:$E$1137,0))</f>
        <v>1</v>
      </c>
      <c r="C441" s="38" t="n">
        <f aca="false">INDEX('Transition Stepwise'!$F$2:$F$1137,MATCH(55&amp;"|"&amp;$A441&amp;"|"&amp;C$437,'Transition Stepwise'!$E$2:$E$1137,0))</f>
        <v>194</v>
      </c>
      <c r="D441" s="38" t="n">
        <f aca="false">INDEX('Transition Stepwise'!$F$2:$F$1137,MATCH(55&amp;"|"&amp;$A441&amp;"|"&amp;D$437,'Transition Stepwise'!$E$2:$E$1137,0))</f>
        <v>0</v>
      </c>
      <c r="E441" s="38" t="n">
        <f aca="false">INDEX('Transition Stepwise'!$F$2:$F$1137,MATCH(55&amp;"|"&amp;$A441&amp;"|"&amp;E$437,'Transition Stepwise'!$E$2:$E$1137,0))</f>
        <v>1</v>
      </c>
      <c r="F441" s="38" t="n">
        <f aca="false">ROUND(SUM(B441:E441),9)</f>
        <v>196</v>
      </c>
    </row>
    <row r="442" customFormat="false" ht="15" hidden="false" customHeight="true" outlineLevel="0" collapsed="false">
      <c r="A442" s="38"/>
      <c r="B442" s="38"/>
      <c r="C442" s="38"/>
      <c r="D442" s="38"/>
      <c r="E442" s="38"/>
      <c r="F442" s="38"/>
    </row>
    <row r="443" customFormat="false" ht="15" hidden="false" customHeight="true" outlineLevel="0" collapsed="false">
      <c r="A443" s="38"/>
      <c r="B443" s="38"/>
      <c r="C443" s="38"/>
      <c r="D443" s="38"/>
      <c r="E443" s="38"/>
      <c r="F443" s="38"/>
    </row>
    <row r="444" customFormat="false" ht="15" hidden="false" customHeight="true" outlineLevel="0" collapsed="false">
      <c r="A444" s="41" t="s">
        <v>749</v>
      </c>
      <c r="B444" s="38"/>
      <c r="C444" s="38"/>
      <c r="D444" s="38"/>
      <c r="E444" s="38"/>
      <c r="F444" s="38"/>
    </row>
    <row r="445" customFormat="false" ht="15" hidden="false" customHeight="true" outlineLevel="0" collapsed="false">
      <c r="A445" s="39" t="s">
        <v>693</v>
      </c>
      <c r="B445" s="39" t="s">
        <v>172</v>
      </c>
      <c r="C445" s="39" t="s">
        <v>170</v>
      </c>
      <c r="D445" s="39" t="s">
        <v>169</v>
      </c>
      <c r="E445" s="39" t="s">
        <v>171</v>
      </c>
      <c r="F445" s="39" t="s">
        <v>694</v>
      </c>
    </row>
    <row r="446" customFormat="false" ht="15" hidden="false" customHeight="true" outlineLevel="0" collapsed="false">
      <c r="A446" s="41" t="s">
        <v>172</v>
      </c>
      <c r="B446" s="38" t="n">
        <f aca="false">INDEX('Transition Stepwise'!$F$2:$F$1137,MATCH(56&amp;"|"&amp;$A446&amp;"|"&amp;B$445,'Transition Stepwise'!$E$2:$E$1137,0))</f>
        <v>0</v>
      </c>
      <c r="C446" s="38" t="n">
        <f aca="false">INDEX('Transition Stepwise'!$F$2:$F$1137,MATCH(56&amp;"|"&amp;$A446&amp;"|"&amp;C$445,'Transition Stepwise'!$E$2:$E$1137,0))</f>
        <v>0</v>
      </c>
      <c r="D446" s="38" t="n">
        <f aca="false">INDEX('Transition Stepwise'!$F$2:$F$1137,MATCH(56&amp;"|"&amp;$A446&amp;"|"&amp;D$445,'Transition Stepwise'!$E$2:$E$1137,0))</f>
        <v>1</v>
      </c>
      <c r="E446" s="38" t="n">
        <f aca="false">INDEX('Transition Stepwise'!$F$2:$F$1137,MATCH(56&amp;"|"&amp;$A446&amp;"|"&amp;E$445,'Transition Stepwise'!$E$2:$E$1137,0))</f>
        <v>1</v>
      </c>
      <c r="F446" s="38" t="n">
        <f aca="false">ROUND(SUM(B446:E446),9)</f>
        <v>2</v>
      </c>
    </row>
    <row r="447" customFormat="false" ht="15" hidden="false" customHeight="true" outlineLevel="0" collapsed="false">
      <c r="A447" s="41" t="s">
        <v>170</v>
      </c>
      <c r="B447" s="38" t="n">
        <f aca="false">INDEX('Transition Stepwise'!$F$2:$F$1137,MATCH(56&amp;"|"&amp;$A447&amp;"|"&amp;B$445,'Transition Stepwise'!$E$2:$E$1137,0))</f>
        <v>75</v>
      </c>
      <c r="C447" s="38" t="n">
        <f aca="false">INDEX('Transition Stepwise'!$F$2:$F$1137,MATCH(56&amp;"|"&amp;$A447&amp;"|"&amp;C$445,'Transition Stepwise'!$E$2:$E$1137,0))</f>
        <v>0</v>
      </c>
      <c r="D447" s="38" t="n">
        <f aca="false">INDEX('Transition Stepwise'!$F$2:$F$1137,MATCH(56&amp;"|"&amp;$A447&amp;"|"&amp;D$445,'Transition Stepwise'!$E$2:$E$1137,0))</f>
        <v>120</v>
      </c>
      <c r="E447" s="38" t="n">
        <f aca="false">INDEX('Transition Stepwise'!$F$2:$F$1137,MATCH(56&amp;"|"&amp;$A447&amp;"|"&amp;E$445,'Transition Stepwise'!$E$2:$E$1137,0))</f>
        <v>0</v>
      </c>
      <c r="F447" s="38" t="n">
        <f aca="false">ROUND(SUM(B447:E447),9)</f>
        <v>195</v>
      </c>
    </row>
    <row r="448" customFormat="false" ht="15" hidden="false" customHeight="true" outlineLevel="0" collapsed="false">
      <c r="A448" s="41" t="s">
        <v>169</v>
      </c>
      <c r="B448" s="38" t="n">
        <f aca="false">INDEX('Transition Stepwise'!$F$2:$F$1137,MATCH(56&amp;"|"&amp;$A448&amp;"|"&amp;B$445,'Transition Stepwise'!$E$2:$E$1137,0))</f>
        <v>1</v>
      </c>
      <c r="C448" s="38" t="n">
        <f aca="false">INDEX('Transition Stepwise'!$F$2:$F$1137,MATCH(56&amp;"|"&amp;$A448&amp;"|"&amp;C$445,'Transition Stepwise'!$E$2:$E$1137,0))</f>
        <v>0</v>
      </c>
      <c r="D448" s="38" t="n">
        <f aca="false">INDEX('Transition Stepwise'!$F$2:$F$1137,MATCH(56&amp;"|"&amp;$A448&amp;"|"&amp;D$445,'Transition Stepwise'!$E$2:$E$1137,0))</f>
        <v>0</v>
      </c>
      <c r="E448" s="38" t="n">
        <f aca="false">INDEX('Transition Stepwise'!$F$2:$F$1137,MATCH(56&amp;"|"&amp;$A448&amp;"|"&amp;E$445,'Transition Stepwise'!$E$2:$E$1137,0))</f>
        <v>0</v>
      </c>
      <c r="F448" s="38" t="n">
        <f aca="false">ROUND(SUM(B448:E448),9)</f>
        <v>1</v>
      </c>
    </row>
    <row r="449" customFormat="false" ht="15" hidden="false" customHeight="true" outlineLevel="0" collapsed="false">
      <c r="A449" s="41" t="s">
        <v>171</v>
      </c>
      <c r="B449" s="38" t="n">
        <f aca="false">INDEX('Transition Stepwise'!$F$2:$F$1137,MATCH(56&amp;"|"&amp;$A449&amp;"|"&amp;B$445,'Transition Stepwise'!$E$2:$E$1137,0))</f>
        <v>0</v>
      </c>
      <c r="C449" s="38" t="n">
        <f aca="false">INDEX('Transition Stepwise'!$F$2:$F$1137,MATCH(56&amp;"|"&amp;$A449&amp;"|"&amp;C$445,'Transition Stepwise'!$E$2:$E$1137,0))</f>
        <v>0</v>
      </c>
      <c r="D449" s="38" t="n">
        <f aca="false">INDEX('Transition Stepwise'!$F$2:$F$1137,MATCH(56&amp;"|"&amp;$A449&amp;"|"&amp;D$445,'Transition Stepwise'!$E$2:$E$1137,0))</f>
        <v>0</v>
      </c>
      <c r="E449" s="38" t="n">
        <f aca="false">INDEX('Transition Stepwise'!$F$2:$F$1137,MATCH(56&amp;"|"&amp;$A449&amp;"|"&amp;E$445,'Transition Stepwise'!$E$2:$E$1137,0))</f>
        <v>0</v>
      </c>
      <c r="F449" s="38" t="n">
        <f aca="false">ROUND(SUM(B449:E449),9)</f>
        <v>0</v>
      </c>
    </row>
    <row r="450" customFormat="false" ht="15" hidden="false" customHeight="true" outlineLevel="0" collapsed="false">
      <c r="A450" s="38"/>
      <c r="B450" s="38"/>
      <c r="C450" s="38"/>
      <c r="D450" s="38"/>
      <c r="E450" s="38"/>
      <c r="F450" s="38"/>
    </row>
    <row r="451" customFormat="false" ht="15" hidden="false" customHeight="true" outlineLevel="0" collapsed="false">
      <c r="A451" s="38"/>
      <c r="B451" s="38"/>
      <c r="C451" s="38"/>
      <c r="D451" s="38"/>
      <c r="E451" s="38"/>
      <c r="F451" s="38"/>
    </row>
    <row r="452" customFormat="false" ht="15" hidden="false" customHeight="true" outlineLevel="0" collapsed="false">
      <c r="A452" s="41" t="s">
        <v>750</v>
      </c>
      <c r="B452" s="38"/>
      <c r="C452" s="38"/>
      <c r="D452" s="38"/>
      <c r="E452" s="38"/>
      <c r="F452" s="38"/>
    </row>
    <row r="453" customFormat="false" ht="15" hidden="false" customHeight="true" outlineLevel="0" collapsed="false">
      <c r="A453" s="39" t="s">
        <v>693</v>
      </c>
      <c r="B453" s="39" t="s">
        <v>172</v>
      </c>
      <c r="C453" s="39" t="s">
        <v>170</v>
      </c>
      <c r="D453" s="39" t="s">
        <v>169</v>
      </c>
      <c r="E453" s="39" t="s">
        <v>171</v>
      </c>
      <c r="F453" s="39" t="s">
        <v>694</v>
      </c>
    </row>
    <row r="454" customFormat="false" ht="15" hidden="false" customHeight="true" outlineLevel="0" collapsed="false">
      <c r="A454" s="41" t="s">
        <v>172</v>
      </c>
      <c r="B454" s="38" t="n">
        <f aca="false">INDEX('Transition Stepwise'!$F$2:$F$1137,MATCH(57&amp;"|"&amp;$A454&amp;"|"&amp;B$453,'Transition Stepwise'!$E$2:$E$1137,0))</f>
        <v>75</v>
      </c>
      <c r="C454" s="38" t="n">
        <f aca="false">INDEX('Transition Stepwise'!$F$2:$F$1137,MATCH(57&amp;"|"&amp;$A454&amp;"|"&amp;C$453,'Transition Stepwise'!$E$2:$E$1137,0))</f>
        <v>0</v>
      </c>
      <c r="D454" s="38" t="n">
        <f aca="false">INDEX('Transition Stepwise'!$F$2:$F$1137,MATCH(57&amp;"|"&amp;$A454&amp;"|"&amp;D$453,'Transition Stepwise'!$E$2:$E$1137,0))</f>
        <v>0</v>
      </c>
      <c r="E454" s="38" t="n">
        <f aca="false">INDEX('Transition Stepwise'!$F$2:$F$1137,MATCH(57&amp;"|"&amp;$A454&amp;"|"&amp;E$453,'Transition Stepwise'!$E$2:$E$1137,0))</f>
        <v>1</v>
      </c>
      <c r="F454" s="38" t="n">
        <f aca="false">ROUND(SUM(B454:E454),9)</f>
        <v>76</v>
      </c>
    </row>
    <row r="455" customFormat="false" ht="15" hidden="false" customHeight="true" outlineLevel="0" collapsed="false">
      <c r="A455" s="41" t="s">
        <v>170</v>
      </c>
      <c r="B455" s="38" t="n">
        <f aca="false">INDEX('Transition Stepwise'!$F$2:$F$1137,MATCH(57&amp;"|"&amp;$A455&amp;"|"&amp;B$453,'Transition Stepwise'!$E$2:$E$1137,0))</f>
        <v>0</v>
      </c>
      <c r="C455" s="38" t="n">
        <f aca="false">INDEX('Transition Stepwise'!$F$2:$F$1137,MATCH(57&amp;"|"&amp;$A455&amp;"|"&amp;C$453,'Transition Stepwise'!$E$2:$E$1137,0))</f>
        <v>0</v>
      </c>
      <c r="D455" s="38" t="n">
        <f aca="false">INDEX('Transition Stepwise'!$F$2:$F$1137,MATCH(57&amp;"|"&amp;$A455&amp;"|"&amp;D$453,'Transition Stepwise'!$E$2:$E$1137,0))</f>
        <v>0</v>
      </c>
      <c r="E455" s="38" t="n">
        <f aca="false">INDEX('Transition Stepwise'!$F$2:$F$1137,MATCH(57&amp;"|"&amp;$A455&amp;"|"&amp;E$453,'Transition Stepwise'!$E$2:$E$1137,0))</f>
        <v>0</v>
      </c>
      <c r="F455" s="38" t="n">
        <f aca="false">ROUND(SUM(B455:E455),9)</f>
        <v>0</v>
      </c>
    </row>
    <row r="456" customFormat="false" ht="15" hidden="false" customHeight="true" outlineLevel="0" collapsed="false">
      <c r="A456" s="41" t="s">
        <v>169</v>
      </c>
      <c r="B456" s="38" t="n">
        <f aca="false">INDEX('Transition Stepwise'!$F$2:$F$1137,MATCH(57&amp;"|"&amp;$A456&amp;"|"&amp;B$453,'Transition Stepwise'!$E$2:$E$1137,0))</f>
        <v>121</v>
      </c>
      <c r="C456" s="38" t="n">
        <f aca="false">INDEX('Transition Stepwise'!$F$2:$F$1137,MATCH(57&amp;"|"&amp;$A456&amp;"|"&amp;C$453,'Transition Stepwise'!$E$2:$E$1137,0))</f>
        <v>0</v>
      </c>
      <c r="D456" s="38" t="n">
        <f aca="false">INDEX('Transition Stepwise'!$F$2:$F$1137,MATCH(57&amp;"|"&amp;$A456&amp;"|"&amp;D$453,'Transition Stepwise'!$E$2:$E$1137,0))</f>
        <v>0</v>
      </c>
      <c r="E456" s="38" t="n">
        <f aca="false">INDEX('Transition Stepwise'!$F$2:$F$1137,MATCH(57&amp;"|"&amp;$A456&amp;"|"&amp;E$453,'Transition Stepwise'!$E$2:$E$1137,0))</f>
        <v>0</v>
      </c>
      <c r="F456" s="38" t="n">
        <f aca="false">ROUND(SUM(B456:E456),9)</f>
        <v>121</v>
      </c>
    </row>
    <row r="457" customFormat="false" ht="15" hidden="false" customHeight="true" outlineLevel="0" collapsed="false">
      <c r="A457" s="41" t="s">
        <v>171</v>
      </c>
      <c r="B457" s="38" t="n">
        <f aca="false">INDEX('Transition Stepwise'!$F$2:$F$1137,MATCH(57&amp;"|"&amp;$A457&amp;"|"&amp;B$453,'Transition Stepwise'!$E$2:$E$1137,0))</f>
        <v>0</v>
      </c>
      <c r="C457" s="38" t="n">
        <f aca="false">INDEX('Transition Stepwise'!$F$2:$F$1137,MATCH(57&amp;"|"&amp;$A457&amp;"|"&amp;C$453,'Transition Stepwise'!$E$2:$E$1137,0))</f>
        <v>1</v>
      </c>
      <c r="D457" s="38" t="n">
        <f aca="false">INDEX('Transition Stepwise'!$F$2:$F$1137,MATCH(57&amp;"|"&amp;$A457&amp;"|"&amp;D$453,'Transition Stepwise'!$E$2:$E$1137,0))</f>
        <v>0</v>
      </c>
      <c r="E457" s="38" t="n">
        <f aca="false">INDEX('Transition Stepwise'!$F$2:$F$1137,MATCH(57&amp;"|"&amp;$A457&amp;"|"&amp;E$453,'Transition Stepwise'!$E$2:$E$1137,0))</f>
        <v>0</v>
      </c>
      <c r="F457" s="38" t="n">
        <f aca="false">ROUND(SUM(B457:E457),9)</f>
        <v>1</v>
      </c>
    </row>
    <row r="458" customFormat="false" ht="15" hidden="false" customHeight="true" outlineLevel="0" collapsed="false">
      <c r="A458" s="38"/>
      <c r="B458" s="38"/>
      <c r="C458" s="38"/>
      <c r="D458" s="38"/>
      <c r="E458" s="38"/>
      <c r="F458" s="38"/>
    </row>
    <row r="459" customFormat="false" ht="15" hidden="false" customHeight="true" outlineLevel="0" collapsed="false">
      <c r="A459" s="38"/>
      <c r="B459" s="38"/>
      <c r="C459" s="38"/>
      <c r="D459" s="38"/>
      <c r="E459" s="38"/>
      <c r="F459" s="38"/>
    </row>
    <row r="460" customFormat="false" ht="15" hidden="false" customHeight="true" outlineLevel="0" collapsed="false">
      <c r="A460" s="41" t="s">
        <v>751</v>
      </c>
      <c r="B460" s="38"/>
      <c r="C460" s="38"/>
      <c r="D460" s="38"/>
      <c r="E460" s="38"/>
      <c r="F460" s="38"/>
    </row>
    <row r="461" customFormat="false" ht="15" hidden="false" customHeight="true" outlineLevel="0" collapsed="false">
      <c r="A461" s="39" t="s">
        <v>693</v>
      </c>
      <c r="B461" s="39" t="s">
        <v>172</v>
      </c>
      <c r="C461" s="39" t="s">
        <v>170</v>
      </c>
      <c r="D461" s="39" t="s">
        <v>169</v>
      </c>
      <c r="E461" s="39" t="s">
        <v>171</v>
      </c>
      <c r="F461" s="39" t="s">
        <v>694</v>
      </c>
    </row>
    <row r="462" customFormat="false" ht="15" hidden="false" customHeight="true" outlineLevel="0" collapsed="false">
      <c r="A462" s="41" t="s">
        <v>172</v>
      </c>
      <c r="B462" s="38" t="n">
        <f aca="false">INDEX('Transition Stepwise'!$F$2:$F$1137,MATCH(58&amp;"|"&amp;$A462&amp;"|"&amp;B$461,'Transition Stepwise'!$E$2:$E$1137,0))</f>
        <v>91</v>
      </c>
      <c r="C462" s="38" t="n">
        <f aca="false">INDEX('Transition Stepwise'!$F$2:$F$1137,MATCH(58&amp;"|"&amp;$A462&amp;"|"&amp;C$461,'Transition Stepwise'!$E$2:$E$1137,0))</f>
        <v>10</v>
      </c>
      <c r="D462" s="38" t="n">
        <f aca="false">INDEX('Transition Stepwise'!$F$2:$F$1137,MATCH(58&amp;"|"&amp;$A462&amp;"|"&amp;D$461,'Transition Stepwise'!$E$2:$E$1137,0))</f>
        <v>46</v>
      </c>
      <c r="E462" s="38" t="n">
        <f aca="false">INDEX('Transition Stepwise'!$F$2:$F$1137,MATCH(58&amp;"|"&amp;$A462&amp;"|"&amp;E$461,'Transition Stepwise'!$E$2:$E$1137,0))</f>
        <v>50</v>
      </c>
      <c r="F462" s="38" t="n">
        <f aca="false">ROUND(SUM(B462:E462),9)</f>
        <v>197</v>
      </c>
    </row>
    <row r="463" customFormat="false" ht="15" hidden="false" customHeight="true" outlineLevel="0" collapsed="false">
      <c r="A463" s="41" t="s">
        <v>170</v>
      </c>
      <c r="B463" s="38" t="n">
        <f aca="false">INDEX('Transition Stepwise'!$F$2:$F$1137,MATCH(58&amp;"|"&amp;$A463&amp;"|"&amp;B$461,'Transition Stepwise'!$E$2:$E$1137,0))</f>
        <v>0</v>
      </c>
      <c r="C463" s="38" t="n">
        <f aca="false">INDEX('Transition Stepwise'!$F$2:$F$1137,MATCH(58&amp;"|"&amp;$A463&amp;"|"&amp;C$461,'Transition Stepwise'!$E$2:$E$1137,0))</f>
        <v>1</v>
      </c>
      <c r="D463" s="38" t="n">
        <f aca="false">INDEX('Transition Stepwise'!$F$2:$F$1137,MATCH(58&amp;"|"&amp;$A463&amp;"|"&amp;D$461,'Transition Stepwise'!$E$2:$E$1137,0))</f>
        <v>0</v>
      </c>
      <c r="E463" s="38" t="n">
        <f aca="false">INDEX('Transition Stepwise'!$F$2:$F$1137,MATCH(58&amp;"|"&amp;$A463&amp;"|"&amp;E$461,'Transition Stepwise'!$E$2:$E$1137,0))</f>
        <v>0</v>
      </c>
      <c r="F463" s="38" t="n">
        <f aca="false">ROUND(SUM(B463:E463),9)</f>
        <v>1</v>
      </c>
    </row>
    <row r="464" customFormat="false" ht="15" hidden="false" customHeight="true" outlineLevel="0" collapsed="false">
      <c r="A464" s="41" t="s">
        <v>169</v>
      </c>
      <c r="B464" s="38" t="n">
        <f aca="false">INDEX('Transition Stepwise'!$F$2:$F$1137,MATCH(58&amp;"|"&amp;$A464&amp;"|"&amp;B$461,'Transition Stepwise'!$E$2:$E$1137,0))</f>
        <v>0</v>
      </c>
      <c r="C464" s="38" t="n">
        <f aca="false">INDEX('Transition Stepwise'!$F$2:$F$1137,MATCH(58&amp;"|"&amp;$A464&amp;"|"&amp;C$461,'Transition Stepwise'!$E$2:$E$1137,0))</f>
        <v>0</v>
      </c>
      <c r="D464" s="38" t="n">
        <f aca="false">INDEX('Transition Stepwise'!$F$2:$F$1137,MATCH(58&amp;"|"&amp;$A464&amp;"|"&amp;D$461,'Transition Stepwise'!$E$2:$E$1137,0))</f>
        <v>0</v>
      </c>
      <c r="E464" s="38" t="n">
        <f aca="false">INDEX('Transition Stepwise'!$F$2:$F$1137,MATCH(58&amp;"|"&amp;$A464&amp;"|"&amp;E$461,'Transition Stepwise'!$E$2:$E$1137,0))</f>
        <v>0</v>
      </c>
      <c r="F464" s="38" t="n">
        <f aca="false">ROUND(SUM(B464:E464),9)</f>
        <v>0</v>
      </c>
    </row>
    <row r="465" customFormat="false" ht="15" hidden="false" customHeight="true" outlineLevel="0" collapsed="false">
      <c r="A465" s="41" t="s">
        <v>171</v>
      </c>
      <c r="B465" s="38" t="n">
        <f aca="false">INDEX('Transition Stepwise'!$F$2:$F$1137,MATCH(58&amp;"|"&amp;$A465&amp;"|"&amp;B$461,'Transition Stepwise'!$E$2:$E$1137,0))</f>
        <v>0</v>
      </c>
      <c r="C465" s="38" t="n">
        <f aca="false">INDEX('Transition Stepwise'!$F$2:$F$1137,MATCH(58&amp;"|"&amp;$A465&amp;"|"&amp;C$461,'Transition Stepwise'!$E$2:$E$1137,0))</f>
        <v>1</v>
      </c>
      <c r="D465" s="38" t="n">
        <f aca="false">INDEX('Transition Stepwise'!$F$2:$F$1137,MATCH(58&amp;"|"&amp;$A465&amp;"|"&amp;D$461,'Transition Stepwise'!$E$2:$E$1137,0))</f>
        <v>0</v>
      </c>
      <c r="E465" s="38" t="n">
        <f aca="false">INDEX('Transition Stepwise'!$F$2:$F$1137,MATCH(58&amp;"|"&amp;$A465&amp;"|"&amp;E$461,'Transition Stepwise'!$E$2:$E$1137,0))</f>
        <v>0</v>
      </c>
      <c r="F465" s="38" t="n">
        <f aca="false">ROUND(SUM(B465:E465),9)</f>
        <v>1</v>
      </c>
    </row>
    <row r="466" customFormat="false" ht="15" hidden="false" customHeight="true" outlineLevel="0" collapsed="false">
      <c r="A466" s="38"/>
      <c r="B466" s="38"/>
      <c r="C466" s="38"/>
      <c r="D466" s="38"/>
      <c r="E466" s="38"/>
      <c r="F466" s="38"/>
    </row>
    <row r="467" customFormat="false" ht="15" hidden="false" customHeight="true" outlineLevel="0" collapsed="false">
      <c r="A467" s="38"/>
      <c r="B467" s="38"/>
      <c r="C467" s="38"/>
      <c r="D467" s="38"/>
      <c r="E467" s="38"/>
      <c r="F467" s="38"/>
    </row>
    <row r="468" customFormat="false" ht="15" hidden="false" customHeight="true" outlineLevel="0" collapsed="false">
      <c r="A468" s="41" t="s">
        <v>752</v>
      </c>
      <c r="B468" s="38"/>
      <c r="C468" s="38"/>
      <c r="D468" s="38"/>
      <c r="E468" s="38"/>
      <c r="F468" s="38"/>
    </row>
    <row r="469" customFormat="false" ht="15" hidden="false" customHeight="true" outlineLevel="0" collapsed="false">
      <c r="A469" s="39" t="s">
        <v>693</v>
      </c>
      <c r="B469" s="39" t="s">
        <v>172</v>
      </c>
      <c r="C469" s="39" t="s">
        <v>170</v>
      </c>
      <c r="D469" s="39" t="s">
        <v>169</v>
      </c>
      <c r="E469" s="39" t="s">
        <v>171</v>
      </c>
      <c r="F469" s="39" t="s">
        <v>694</v>
      </c>
    </row>
    <row r="470" customFormat="false" ht="15" hidden="false" customHeight="true" outlineLevel="0" collapsed="false">
      <c r="A470" s="41" t="s">
        <v>172</v>
      </c>
      <c r="B470" s="38" t="n">
        <f aca="false">INDEX('Transition Stepwise'!$F$2:$F$1137,MATCH(59&amp;"|"&amp;$A470&amp;"|"&amp;B$469,'Transition Stepwise'!$E$2:$E$1137,0))</f>
        <v>1</v>
      </c>
      <c r="C470" s="38" t="n">
        <f aca="false">INDEX('Transition Stepwise'!$F$2:$F$1137,MATCH(59&amp;"|"&amp;$A470&amp;"|"&amp;C$469,'Transition Stepwise'!$E$2:$E$1137,0))</f>
        <v>9</v>
      </c>
      <c r="D470" s="38" t="n">
        <f aca="false">INDEX('Transition Stepwise'!$F$2:$F$1137,MATCH(59&amp;"|"&amp;$A470&amp;"|"&amp;D$469,'Transition Stepwise'!$E$2:$E$1137,0))</f>
        <v>1</v>
      </c>
      <c r="E470" s="38" t="n">
        <f aca="false">INDEX('Transition Stepwise'!$F$2:$F$1137,MATCH(59&amp;"|"&amp;$A470&amp;"|"&amp;E$469,'Transition Stepwise'!$E$2:$E$1137,0))</f>
        <v>80</v>
      </c>
      <c r="F470" s="38" t="n">
        <f aca="false">ROUND(SUM(B470:E470),9)</f>
        <v>91</v>
      </c>
    </row>
    <row r="471" customFormat="false" ht="15" hidden="false" customHeight="true" outlineLevel="0" collapsed="false">
      <c r="A471" s="41" t="s">
        <v>170</v>
      </c>
      <c r="B471" s="38" t="n">
        <f aca="false">INDEX('Transition Stepwise'!$F$2:$F$1137,MATCH(59&amp;"|"&amp;$A471&amp;"|"&amp;B$469,'Transition Stepwise'!$E$2:$E$1137,0))</f>
        <v>0</v>
      </c>
      <c r="C471" s="38" t="n">
        <f aca="false">INDEX('Transition Stepwise'!$F$2:$F$1137,MATCH(59&amp;"|"&amp;$A471&amp;"|"&amp;C$469,'Transition Stepwise'!$E$2:$E$1137,0))</f>
        <v>3</v>
      </c>
      <c r="D471" s="38" t="n">
        <f aca="false">INDEX('Transition Stepwise'!$F$2:$F$1137,MATCH(59&amp;"|"&amp;$A471&amp;"|"&amp;D$469,'Transition Stepwise'!$E$2:$E$1137,0))</f>
        <v>1</v>
      </c>
      <c r="E471" s="38" t="n">
        <f aca="false">INDEX('Transition Stepwise'!$F$2:$F$1137,MATCH(59&amp;"|"&amp;$A471&amp;"|"&amp;E$469,'Transition Stepwise'!$E$2:$E$1137,0))</f>
        <v>8</v>
      </c>
      <c r="F471" s="38" t="n">
        <f aca="false">ROUND(SUM(B471:E471),9)</f>
        <v>12</v>
      </c>
    </row>
    <row r="472" customFormat="false" ht="15" hidden="false" customHeight="true" outlineLevel="0" collapsed="false">
      <c r="A472" s="41" t="s">
        <v>169</v>
      </c>
      <c r="B472" s="38" t="n">
        <f aca="false">INDEX('Transition Stepwise'!$F$2:$F$1137,MATCH(59&amp;"|"&amp;$A472&amp;"|"&amp;B$469,'Transition Stepwise'!$E$2:$E$1137,0))</f>
        <v>0</v>
      </c>
      <c r="C472" s="38" t="n">
        <f aca="false">INDEX('Transition Stepwise'!$F$2:$F$1137,MATCH(59&amp;"|"&amp;$A472&amp;"|"&amp;C$469,'Transition Stepwise'!$E$2:$E$1137,0))</f>
        <v>6</v>
      </c>
      <c r="D472" s="38" t="n">
        <f aca="false">INDEX('Transition Stepwise'!$F$2:$F$1137,MATCH(59&amp;"|"&amp;$A472&amp;"|"&amp;D$469,'Transition Stepwise'!$E$2:$E$1137,0))</f>
        <v>0</v>
      </c>
      <c r="E472" s="38" t="n">
        <f aca="false">INDEX('Transition Stepwise'!$F$2:$F$1137,MATCH(59&amp;"|"&amp;$A472&amp;"|"&amp;E$469,'Transition Stepwise'!$E$2:$E$1137,0))</f>
        <v>40</v>
      </c>
      <c r="F472" s="38" t="n">
        <f aca="false">ROUND(SUM(B472:E472),9)</f>
        <v>46</v>
      </c>
    </row>
    <row r="473" customFormat="false" ht="15" hidden="false" customHeight="true" outlineLevel="0" collapsed="false">
      <c r="A473" s="41" t="s">
        <v>171</v>
      </c>
      <c r="B473" s="38" t="n">
        <f aca="false">INDEX('Transition Stepwise'!$F$2:$F$1137,MATCH(59&amp;"|"&amp;$A473&amp;"|"&amp;B$469,'Transition Stepwise'!$E$2:$E$1137,0))</f>
        <v>0</v>
      </c>
      <c r="C473" s="38" t="n">
        <f aca="false">INDEX('Transition Stepwise'!$F$2:$F$1137,MATCH(59&amp;"|"&amp;$A473&amp;"|"&amp;C$469,'Transition Stepwise'!$E$2:$E$1137,0))</f>
        <v>22</v>
      </c>
      <c r="D473" s="38" t="n">
        <f aca="false">INDEX('Transition Stepwise'!$F$2:$F$1137,MATCH(59&amp;"|"&amp;$A473&amp;"|"&amp;D$469,'Transition Stepwise'!$E$2:$E$1137,0))</f>
        <v>0</v>
      </c>
      <c r="E473" s="38" t="n">
        <f aca="false">INDEX('Transition Stepwise'!$F$2:$F$1137,MATCH(59&amp;"|"&amp;$A473&amp;"|"&amp;E$469,'Transition Stepwise'!$E$2:$E$1137,0))</f>
        <v>28</v>
      </c>
      <c r="F473" s="38" t="n">
        <f aca="false">ROUND(SUM(B473:E473),9)</f>
        <v>50</v>
      </c>
    </row>
    <row r="474" customFormat="false" ht="15" hidden="false" customHeight="true" outlineLevel="0" collapsed="false">
      <c r="A474" s="38"/>
      <c r="B474" s="38"/>
      <c r="C474" s="38"/>
      <c r="D474" s="38"/>
      <c r="E474" s="38"/>
      <c r="F474" s="38"/>
    </row>
    <row r="475" customFormat="false" ht="15" hidden="false" customHeight="true" outlineLevel="0" collapsed="false">
      <c r="A475" s="38"/>
      <c r="B475" s="38"/>
      <c r="C475" s="38"/>
      <c r="D475" s="38"/>
      <c r="E475" s="38"/>
      <c r="F475" s="38"/>
    </row>
    <row r="476" customFormat="false" ht="15" hidden="false" customHeight="true" outlineLevel="0" collapsed="false">
      <c r="A476" s="41" t="s">
        <v>753</v>
      </c>
      <c r="B476" s="38"/>
      <c r="C476" s="38"/>
      <c r="D476" s="38"/>
      <c r="E476" s="38"/>
      <c r="F476" s="38"/>
    </row>
    <row r="477" customFormat="false" ht="15" hidden="false" customHeight="true" outlineLevel="0" collapsed="false">
      <c r="A477" s="39" t="s">
        <v>693</v>
      </c>
      <c r="B477" s="39" t="s">
        <v>172</v>
      </c>
      <c r="C477" s="39" t="s">
        <v>170</v>
      </c>
      <c r="D477" s="39" t="s">
        <v>169</v>
      </c>
      <c r="E477" s="39" t="s">
        <v>171</v>
      </c>
      <c r="F477" s="39" t="s">
        <v>694</v>
      </c>
    </row>
    <row r="478" customFormat="false" ht="15" hidden="false" customHeight="true" outlineLevel="0" collapsed="false">
      <c r="A478" s="41" t="s">
        <v>172</v>
      </c>
      <c r="B478" s="38" t="n">
        <f aca="false">INDEX('Transition Stepwise'!$F$2:$F$1137,MATCH(60&amp;"|"&amp;$A478&amp;"|"&amp;B$477,'Transition Stepwise'!$E$2:$E$1137,0))</f>
        <v>0</v>
      </c>
      <c r="C478" s="38" t="n">
        <f aca="false">INDEX('Transition Stepwise'!$F$2:$F$1137,MATCH(60&amp;"|"&amp;$A478&amp;"|"&amp;C$477,'Transition Stepwise'!$E$2:$E$1137,0))</f>
        <v>1</v>
      </c>
      <c r="D478" s="38" t="n">
        <f aca="false">INDEX('Transition Stepwise'!$F$2:$F$1137,MATCH(60&amp;"|"&amp;$A478&amp;"|"&amp;D$477,'Transition Stepwise'!$E$2:$E$1137,0))</f>
        <v>0</v>
      </c>
      <c r="E478" s="38" t="n">
        <f aca="false">INDEX('Transition Stepwise'!$F$2:$F$1137,MATCH(60&amp;"|"&amp;$A478&amp;"|"&amp;E$477,'Transition Stepwise'!$E$2:$E$1137,0))</f>
        <v>0</v>
      </c>
      <c r="F478" s="38" t="n">
        <f aca="false">ROUND(SUM(B478:E478),9)</f>
        <v>1</v>
      </c>
    </row>
    <row r="479" customFormat="false" ht="15" hidden="false" customHeight="true" outlineLevel="0" collapsed="false">
      <c r="A479" s="41" t="s">
        <v>170</v>
      </c>
      <c r="B479" s="38" t="n">
        <f aca="false">INDEX('Transition Stepwise'!$F$2:$F$1137,MATCH(60&amp;"|"&amp;$A479&amp;"|"&amp;B$477,'Transition Stepwise'!$E$2:$E$1137,0))</f>
        <v>0</v>
      </c>
      <c r="C479" s="38" t="n">
        <f aca="false">INDEX('Transition Stepwise'!$F$2:$F$1137,MATCH(60&amp;"|"&amp;$A479&amp;"|"&amp;C$477,'Transition Stepwise'!$E$2:$E$1137,0))</f>
        <v>40</v>
      </c>
      <c r="D479" s="38" t="n">
        <f aca="false">INDEX('Transition Stepwise'!$F$2:$F$1137,MATCH(60&amp;"|"&amp;$A479&amp;"|"&amp;D$477,'Transition Stepwise'!$E$2:$E$1137,0))</f>
        <v>0</v>
      </c>
      <c r="E479" s="38" t="n">
        <f aca="false">INDEX('Transition Stepwise'!$F$2:$F$1137,MATCH(60&amp;"|"&amp;$A479&amp;"|"&amp;E$477,'Transition Stepwise'!$E$2:$E$1137,0))</f>
        <v>0</v>
      </c>
      <c r="F479" s="38" t="n">
        <f aca="false">ROUND(SUM(B479:E479),9)</f>
        <v>40</v>
      </c>
    </row>
    <row r="480" customFormat="false" ht="15" hidden="false" customHeight="true" outlineLevel="0" collapsed="false">
      <c r="A480" s="41" t="s">
        <v>169</v>
      </c>
      <c r="B480" s="38" t="n">
        <f aca="false">INDEX('Transition Stepwise'!$F$2:$F$1137,MATCH(60&amp;"|"&amp;$A480&amp;"|"&amp;B$477,'Transition Stepwise'!$E$2:$E$1137,0))</f>
        <v>0</v>
      </c>
      <c r="C480" s="38" t="n">
        <f aca="false">INDEX('Transition Stepwise'!$F$2:$F$1137,MATCH(60&amp;"|"&amp;$A480&amp;"|"&amp;C$477,'Transition Stepwise'!$E$2:$E$1137,0))</f>
        <v>1</v>
      </c>
      <c r="D480" s="38" t="n">
        <f aca="false">INDEX('Transition Stepwise'!$F$2:$F$1137,MATCH(60&amp;"|"&amp;$A480&amp;"|"&amp;D$477,'Transition Stepwise'!$E$2:$E$1137,0))</f>
        <v>1</v>
      </c>
      <c r="E480" s="38" t="n">
        <f aca="false">INDEX('Transition Stepwise'!$F$2:$F$1137,MATCH(60&amp;"|"&amp;$A480&amp;"|"&amp;E$477,'Transition Stepwise'!$E$2:$E$1137,0))</f>
        <v>0</v>
      </c>
      <c r="F480" s="38" t="n">
        <f aca="false">ROUND(SUM(B480:E480),9)</f>
        <v>2</v>
      </c>
    </row>
    <row r="481" customFormat="false" ht="15" hidden="false" customHeight="true" outlineLevel="0" collapsed="false">
      <c r="A481" s="41" t="s">
        <v>171</v>
      </c>
      <c r="B481" s="38" t="n">
        <f aca="false">INDEX('Transition Stepwise'!$F$2:$F$1137,MATCH(60&amp;"|"&amp;$A481&amp;"|"&amp;B$477,'Transition Stepwise'!$E$2:$E$1137,0))</f>
        <v>0</v>
      </c>
      <c r="C481" s="38" t="n">
        <f aca="false">INDEX('Transition Stepwise'!$F$2:$F$1137,MATCH(60&amp;"|"&amp;$A481&amp;"|"&amp;C$477,'Transition Stepwise'!$E$2:$E$1137,0))</f>
        <v>155</v>
      </c>
      <c r="D481" s="38" t="n">
        <f aca="false">INDEX('Transition Stepwise'!$F$2:$F$1137,MATCH(60&amp;"|"&amp;$A481&amp;"|"&amp;D$477,'Transition Stepwise'!$E$2:$E$1137,0))</f>
        <v>0</v>
      </c>
      <c r="E481" s="38" t="n">
        <f aca="false">INDEX('Transition Stepwise'!$F$2:$F$1137,MATCH(60&amp;"|"&amp;$A481&amp;"|"&amp;E$477,'Transition Stepwise'!$E$2:$E$1137,0))</f>
        <v>1</v>
      </c>
      <c r="F481" s="38" t="n">
        <f aca="false">ROUND(SUM(B481:E481),9)</f>
        <v>156</v>
      </c>
    </row>
    <row r="482" customFormat="false" ht="15" hidden="false" customHeight="true" outlineLevel="0" collapsed="false">
      <c r="A482" s="38"/>
      <c r="B482" s="38"/>
      <c r="C482" s="38"/>
      <c r="D482" s="38"/>
      <c r="E482" s="38"/>
      <c r="F482" s="38"/>
    </row>
    <row r="483" customFormat="false" ht="15" hidden="false" customHeight="true" outlineLevel="0" collapsed="false">
      <c r="A483" s="38"/>
      <c r="B483" s="38"/>
      <c r="C483" s="38"/>
      <c r="D483" s="38"/>
      <c r="E483" s="38"/>
      <c r="F483" s="38"/>
    </row>
    <row r="484" customFormat="false" ht="15" hidden="false" customHeight="true" outlineLevel="0" collapsed="false">
      <c r="A484" s="41" t="s">
        <v>754</v>
      </c>
      <c r="B484" s="38"/>
      <c r="C484" s="38"/>
      <c r="D484" s="38"/>
      <c r="E484" s="38"/>
      <c r="F484" s="38"/>
    </row>
    <row r="485" customFormat="false" ht="15" hidden="false" customHeight="true" outlineLevel="0" collapsed="false">
      <c r="A485" s="39" t="s">
        <v>693</v>
      </c>
      <c r="B485" s="39" t="s">
        <v>172</v>
      </c>
      <c r="C485" s="39" t="s">
        <v>170</v>
      </c>
      <c r="D485" s="39" t="s">
        <v>169</v>
      </c>
      <c r="E485" s="39" t="s">
        <v>171</v>
      </c>
      <c r="F485" s="39" t="s">
        <v>694</v>
      </c>
    </row>
    <row r="486" customFormat="false" ht="15" hidden="false" customHeight="true" outlineLevel="0" collapsed="false">
      <c r="A486" s="41" t="s">
        <v>172</v>
      </c>
      <c r="B486" s="38" t="n">
        <f aca="false">INDEX('Transition Stepwise'!$F$2:$F$1137,MATCH(61&amp;"|"&amp;$A486&amp;"|"&amp;B$485,'Transition Stepwise'!$E$2:$E$1137,0))</f>
        <v>0</v>
      </c>
      <c r="C486" s="38" t="n">
        <f aca="false">INDEX('Transition Stepwise'!$F$2:$F$1137,MATCH(61&amp;"|"&amp;$A486&amp;"|"&amp;C$485,'Transition Stepwise'!$E$2:$E$1137,0))</f>
        <v>0</v>
      </c>
      <c r="D486" s="38" t="n">
        <f aca="false">INDEX('Transition Stepwise'!$F$2:$F$1137,MATCH(61&amp;"|"&amp;$A486&amp;"|"&amp;D$485,'Transition Stepwise'!$E$2:$E$1137,0))</f>
        <v>0</v>
      </c>
      <c r="E486" s="38" t="n">
        <f aca="false">INDEX('Transition Stepwise'!$F$2:$F$1137,MATCH(61&amp;"|"&amp;$A486&amp;"|"&amp;E$485,'Transition Stepwise'!$E$2:$E$1137,0))</f>
        <v>0</v>
      </c>
      <c r="F486" s="38" t="n">
        <f aca="false">ROUND(SUM(B486:E486),9)</f>
        <v>0</v>
      </c>
    </row>
    <row r="487" customFormat="false" ht="15" hidden="false" customHeight="true" outlineLevel="0" collapsed="false">
      <c r="A487" s="41" t="s">
        <v>170</v>
      </c>
      <c r="B487" s="38" t="n">
        <f aca="false">INDEX('Transition Stepwise'!$F$2:$F$1137,MATCH(61&amp;"|"&amp;$A487&amp;"|"&amp;B$485,'Transition Stepwise'!$E$2:$E$1137,0))</f>
        <v>3</v>
      </c>
      <c r="C487" s="38" t="n">
        <f aca="false">INDEX('Transition Stepwise'!$F$2:$F$1137,MATCH(61&amp;"|"&amp;$A487&amp;"|"&amp;C$485,'Transition Stepwise'!$E$2:$E$1137,0))</f>
        <v>167</v>
      </c>
      <c r="D487" s="38" t="n">
        <f aca="false">INDEX('Transition Stepwise'!$F$2:$F$1137,MATCH(61&amp;"|"&amp;$A487&amp;"|"&amp;D$485,'Transition Stepwise'!$E$2:$E$1137,0))</f>
        <v>2</v>
      </c>
      <c r="E487" s="38" t="n">
        <f aca="false">INDEX('Transition Stepwise'!$F$2:$F$1137,MATCH(61&amp;"|"&amp;$A487&amp;"|"&amp;E$485,'Transition Stepwise'!$E$2:$E$1137,0))</f>
        <v>25</v>
      </c>
      <c r="F487" s="38" t="n">
        <f aca="false">ROUND(SUM(B487:E487),9)</f>
        <v>197</v>
      </c>
    </row>
    <row r="488" customFormat="false" ht="15" hidden="false" customHeight="true" outlineLevel="0" collapsed="false">
      <c r="A488" s="41" t="s">
        <v>169</v>
      </c>
      <c r="B488" s="38" t="n">
        <f aca="false">INDEX('Transition Stepwise'!$F$2:$F$1137,MATCH(61&amp;"|"&amp;$A488&amp;"|"&amp;B$485,'Transition Stepwise'!$E$2:$E$1137,0))</f>
        <v>0</v>
      </c>
      <c r="C488" s="38" t="n">
        <f aca="false">INDEX('Transition Stepwise'!$F$2:$F$1137,MATCH(61&amp;"|"&amp;$A488&amp;"|"&amp;C$485,'Transition Stepwise'!$E$2:$E$1137,0))</f>
        <v>0</v>
      </c>
      <c r="D488" s="38" t="n">
        <f aca="false">INDEX('Transition Stepwise'!$F$2:$F$1137,MATCH(61&amp;"|"&amp;$A488&amp;"|"&amp;D$485,'Transition Stepwise'!$E$2:$E$1137,0))</f>
        <v>0</v>
      </c>
      <c r="E488" s="38" t="n">
        <f aca="false">INDEX('Transition Stepwise'!$F$2:$F$1137,MATCH(61&amp;"|"&amp;$A488&amp;"|"&amp;E$485,'Transition Stepwise'!$E$2:$E$1137,0))</f>
        <v>1</v>
      </c>
      <c r="F488" s="38" t="n">
        <f aca="false">ROUND(SUM(B488:E488),9)</f>
        <v>1</v>
      </c>
    </row>
    <row r="489" customFormat="false" ht="15" hidden="false" customHeight="true" outlineLevel="0" collapsed="false">
      <c r="A489" s="41" t="s">
        <v>171</v>
      </c>
      <c r="B489" s="38" t="n">
        <f aca="false">INDEX('Transition Stepwise'!$F$2:$F$1137,MATCH(61&amp;"|"&amp;$A489&amp;"|"&amp;B$485,'Transition Stepwise'!$E$2:$E$1137,0))</f>
        <v>0</v>
      </c>
      <c r="C489" s="38" t="n">
        <f aca="false">INDEX('Transition Stepwise'!$F$2:$F$1137,MATCH(61&amp;"|"&amp;$A489&amp;"|"&amp;C$485,'Transition Stepwise'!$E$2:$E$1137,0))</f>
        <v>1</v>
      </c>
      <c r="D489" s="38" t="n">
        <f aca="false">INDEX('Transition Stepwise'!$F$2:$F$1137,MATCH(61&amp;"|"&amp;$A489&amp;"|"&amp;D$485,'Transition Stepwise'!$E$2:$E$1137,0))</f>
        <v>0</v>
      </c>
      <c r="E489" s="38" t="n">
        <f aca="false">INDEX('Transition Stepwise'!$F$2:$F$1137,MATCH(61&amp;"|"&amp;$A489&amp;"|"&amp;E$485,'Transition Stepwise'!$E$2:$E$1137,0))</f>
        <v>0</v>
      </c>
      <c r="F489" s="38" t="n">
        <f aca="false">ROUND(SUM(B489:E489),9)</f>
        <v>1</v>
      </c>
    </row>
    <row r="490" customFormat="false" ht="15" hidden="false" customHeight="true" outlineLevel="0" collapsed="false">
      <c r="A490" s="38"/>
      <c r="B490" s="38"/>
      <c r="C490" s="38"/>
      <c r="D490" s="38"/>
      <c r="E490" s="38"/>
      <c r="F490" s="38"/>
    </row>
    <row r="491" customFormat="false" ht="15" hidden="false" customHeight="true" outlineLevel="0" collapsed="false">
      <c r="A491" s="38"/>
      <c r="B491" s="38"/>
      <c r="C491" s="38"/>
      <c r="D491" s="38"/>
      <c r="E491" s="38"/>
      <c r="F491" s="38"/>
    </row>
    <row r="492" customFormat="false" ht="15" hidden="false" customHeight="true" outlineLevel="0" collapsed="false">
      <c r="A492" s="41" t="s">
        <v>755</v>
      </c>
      <c r="B492" s="38"/>
      <c r="C492" s="38"/>
      <c r="D492" s="38"/>
      <c r="E492" s="38"/>
      <c r="F492" s="38"/>
    </row>
    <row r="493" customFormat="false" ht="15" hidden="false" customHeight="true" outlineLevel="0" collapsed="false">
      <c r="A493" s="39" t="s">
        <v>693</v>
      </c>
      <c r="B493" s="39" t="s">
        <v>172</v>
      </c>
      <c r="C493" s="39" t="s">
        <v>170</v>
      </c>
      <c r="D493" s="39" t="s">
        <v>169</v>
      </c>
      <c r="E493" s="39" t="s">
        <v>171</v>
      </c>
      <c r="F493" s="39" t="s">
        <v>694</v>
      </c>
    </row>
    <row r="494" customFormat="false" ht="15" hidden="false" customHeight="true" outlineLevel="0" collapsed="false">
      <c r="A494" s="41" t="s">
        <v>172</v>
      </c>
      <c r="B494" s="38" t="n">
        <f aca="false">INDEX('Transition Stepwise'!$F$2:$F$1137,MATCH(62&amp;"|"&amp;$A494&amp;"|"&amp;B$493,'Transition Stepwise'!$E$2:$E$1137,0))</f>
        <v>0</v>
      </c>
      <c r="C494" s="38" t="n">
        <f aca="false">INDEX('Transition Stepwise'!$F$2:$F$1137,MATCH(62&amp;"|"&amp;$A494&amp;"|"&amp;C$493,'Transition Stepwise'!$E$2:$E$1137,0))</f>
        <v>3</v>
      </c>
      <c r="D494" s="38" t="n">
        <f aca="false">INDEX('Transition Stepwise'!$F$2:$F$1137,MATCH(62&amp;"|"&amp;$A494&amp;"|"&amp;D$493,'Transition Stepwise'!$E$2:$E$1137,0))</f>
        <v>0</v>
      </c>
      <c r="E494" s="38" t="n">
        <f aca="false">INDEX('Transition Stepwise'!$F$2:$F$1137,MATCH(62&amp;"|"&amp;$A494&amp;"|"&amp;E$493,'Transition Stepwise'!$E$2:$E$1137,0))</f>
        <v>0</v>
      </c>
      <c r="F494" s="38" t="n">
        <f aca="false">ROUND(SUM(B494:E494),9)</f>
        <v>3</v>
      </c>
    </row>
    <row r="495" customFormat="false" ht="15" hidden="false" customHeight="true" outlineLevel="0" collapsed="false">
      <c r="A495" s="41" t="s">
        <v>170</v>
      </c>
      <c r="B495" s="38" t="n">
        <f aca="false">INDEX('Transition Stepwise'!$F$2:$F$1137,MATCH(62&amp;"|"&amp;$A495&amp;"|"&amp;B$493,'Transition Stepwise'!$E$2:$E$1137,0))</f>
        <v>20</v>
      </c>
      <c r="C495" s="38" t="n">
        <f aca="false">INDEX('Transition Stepwise'!$F$2:$F$1137,MATCH(62&amp;"|"&amp;$A495&amp;"|"&amp;C$493,'Transition Stepwise'!$E$2:$E$1137,0))</f>
        <v>77</v>
      </c>
      <c r="D495" s="38" t="n">
        <f aca="false">INDEX('Transition Stepwise'!$F$2:$F$1137,MATCH(62&amp;"|"&amp;$A495&amp;"|"&amp;D$493,'Transition Stepwise'!$E$2:$E$1137,0))</f>
        <v>41</v>
      </c>
      <c r="E495" s="38" t="n">
        <f aca="false">INDEX('Transition Stepwise'!$F$2:$F$1137,MATCH(62&amp;"|"&amp;$A495&amp;"|"&amp;E$493,'Transition Stepwise'!$E$2:$E$1137,0))</f>
        <v>30</v>
      </c>
      <c r="F495" s="38" t="n">
        <f aca="false">ROUND(SUM(B495:E495),9)</f>
        <v>168</v>
      </c>
    </row>
    <row r="496" customFormat="false" ht="15" hidden="false" customHeight="true" outlineLevel="0" collapsed="false">
      <c r="A496" s="41" t="s">
        <v>169</v>
      </c>
      <c r="B496" s="38" t="n">
        <f aca="false">INDEX('Transition Stepwise'!$F$2:$F$1137,MATCH(62&amp;"|"&amp;$A496&amp;"|"&amp;B$493,'Transition Stepwise'!$E$2:$E$1137,0))</f>
        <v>0</v>
      </c>
      <c r="C496" s="38" t="n">
        <f aca="false">INDEX('Transition Stepwise'!$F$2:$F$1137,MATCH(62&amp;"|"&amp;$A496&amp;"|"&amp;C$493,'Transition Stepwise'!$E$2:$E$1137,0))</f>
        <v>2</v>
      </c>
      <c r="D496" s="38" t="n">
        <f aca="false">INDEX('Transition Stepwise'!$F$2:$F$1137,MATCH(62&amp;"|"&amp;$A496&amp;"|"&amp;D$493,'Transition Stepwise'!$E$2:$E$1137,0))</f>
        <v>0</v>
      </c>
      <c r="E496" s="38" t="n">
        <f aca="false">INDEX('Transition Stepwise'!$F$2:$F$1137,MATCH(62&amp;"|"&amp;$A496&amp;"|"&amp;E$493,'Transition Stepwise'!$E$2:$E$1137,0))</f>
        <v>0</v>
      </c>
      <c r="F496" s="38" t="n">
        <f aca="false">ROUND(SUM(B496:E496),9)</f>
        <v>2</v>
      </c>
    </row>
    <row r="497" customFormat="false" ht="15" hidden="false" customHeight="true" outlineLevel="0" collapsed="false">
      <c r="A497" s="41" t="s">
        <v>171</v>
      </c>
      <c r="B497" s="38" t="n">
        <f aca="false">INDEX('Transition Stepwise'!$F$2:$F$1137,MATCH(62&amp;"|"&amp;$A497&amp;"|"&amp;B$493,'Transition Stepwise'!$E$2:$E$1137,0))</f>
        <v>2</v>
      </c>
      <c r="C497" s="38" t="n">
        <f aca="false">INDEX('Transition Stepwise'!$F$2:$F$1137,MATCH(62&amp;"|"&amp;$A497&amp;"|"&amp;C$493,'Transition Stepwise'!$E$2:$E$1137,0))</f>
        <v>15</v>
      </c>
      <c r="D497" s="38" t="n">
        <f aca="false">INDEX('Transition Stepwise'!$F$2:$F$1137,MATCH(62&amp;"|"&amp;$A497&amp;"|"&amp;D$493,'Transition Stepwise'!$E$2:$E$1137,0))</f>
        <v>7</v>
      </c>
      <c r="E497" s="38" t="n">
        <f aca="false">INDEX('Transition Stepwise'!$F$2:$F$1137,MATCH(62&amp;"|"&amp;$A497&amp;"|"&amp;E$493,'Transition Stepwise'!$E$2:$E$1137,0))</f>
        <v>2</v>
      </c>
      <c r="F497" s="38" t="n">
        <f aca="false">ROUND(SUM(B497:E497),9)</f>
        <v>26</v>
      </c>
    </row>
    <row r="498" customFormat="false" ht="15" hidden="false" customHeight="true" outlineLevel="0" collapsed="false">
      <c r="A498" s="38"/>
      <c r="B498" s="38"/>
      <c r="C498" s="38"/>
      <c r="D498" s="38"/>
      <c r="E498" s="38"/>
      <c r="F498" s="38"/>
    </row>
    <row r="499" customFormat="false" ht="15" hidden="false" customHeight="true" outlineLevel="0" collapsed="false">
      <c r="A499" s="38"/>
      <c r="B499" s="38"/>
      <c r="C499" s="38"/>
      <c r="D499" s="38"/>
      <c r="E499" s="38"/>
      <c r="F499" s="38"/>
    </row>
    <row r="500" customFormat="false" ht="15" hidden="false" customHeight="true" outlineLevel="0" collapsed="false">
      <c r="A500" s="41" t="s">
        <v>756</v>
      </c>
      <c r="B500" s="38"/>
      <c r="C500" s="38"/>
      <c r="D500" s="38"/>
      <c r="E500" s="38"/>
      <c r="F500" s="38"/>
    </row>
    <row r="501" customFormat="false" ht="15" hidden="false" customHeight="true" outlineLevel="0" collapsed="false">
      <c r="A501" s="39" t="s">
        <v>693</v>
      </c>
      <c r="B501" s="39" t="s">
        <v>172</v>
      </c>
      <c r="C501" s="39" t="s">
        <v>170</v>
      </c>
      <c r="D501" s="39" t="s">
        <v>169</v>
      </c>
      <c r="E501" s="39" t="s">
        <v>171</v>
      </c>
      <c r="F501" s="39" t="s">
        <v>694</v>
      </c>
    </row>
    <row r="502" customFormat="false" ht="15" hidden="false" customHeight="true" outlineLevel="0" collapsed="false">
      <c r="A502" s="41" t="s">
        <v>172</v>
      </c>
      <c r="B502" s="38" t="n">
        <f aca="false">INDEX('Transition Stepwise'!$F$2:$F$1137,MATCH(63&amp;"|"&amp;$A502&amp;"|"&amp;B$501,'Transition Stepwise'!$E$2:$E$1137,0))</f>
        <v>4</v>
      </c>
      <c r="C502" s="38" t="n">
        <f aca="false">INDEX('Transition Stepwise'!$F$2:$F$1137,MATCH(63&amp;"|"&amp;$A502&amp;"|"&amp;C$501,'Transition Stepwise'!$E$2:$E$1137,0))</f>
        <v>7</v>
      </c>
      <c r="D502" s="38" t="n">
        <f aca="false">INDEX('Transition Stepwise'!$F$2:$F$1137,MATCH(63&amp;"|"&amp;$A502&amp;"|"&amp;D$501,'Transition Stepwise'!$E$2:$E$1137,0))</f>
        <v>9</v>
      </c>
      <c r="E502" s="38" t="n">
        <f aca="false">INDEX('Transition Stepwise'!$F$2:$F$1137,MATCH(63&amp;"|"&amp;$A502&amp;"|"&amp;E$501,'Transition Stepwise'!$E$2:$E$1137,0))</f>
        <v>2</v>
      </c>
      <c r="F502" s="38" t="n">
        <f aca="false">ROUND(SUM(B502:E502),9)</f>
        <v>22</v>
      </c>
    </row>
    <row r="503" customFormat="false" ht="15" hidden="false" customHeight="true" outlineLevel="0" collapsed="false">
      <c r="A503" s="41" t="s">
        <v>170</v>
      </c>
      <c r="B503" s="38" t="n">
        <f aca="false">INDEX('Transition Stepwise'!$F$2:$F$1137,MATCH(63&amp;"|"&amp;$A503&amp;"|"&amp;B$501,'Transition Stepwise'!$E$2:$E$1137,0))</f>
        <v>18</v>
      </c>
      <c r="C503" s="38" t="n">
        <f aca="false">INDEX('Transition Stepwise'!$F$2:$F$1137,MATCH(63&amp;"|"&amp;$A503&amp;"|"&amp;C$501,'Transition Stepwise'!$E$2:$E$1137,0))</f>
        <v>18</v>
      </c>
      <c r="D503" s="38" t="n">
        <f aca="false">INDEX('Transition Stepwise'!$F$2:$F$1137,MATCH(63&amp;"|"&amp;$A503&amp;"|"&amp;D$501,'Transition Stepwise'!$E$2:$E$1137,0))</f>
        <v>39</v>
      </c>
      <c r="E503" s="38" t="n">
        <f aca="false">INDEX('Transition Stepwise'!$F$2:$F$1137,MATCH(63&amp;"|"&amp;$A503&amp;"|"&amp;E$501,'Transition Stepwise'!$E$2:$E$1137,0))</f>
        <v>22</v>
      </c>
      <c r="F503" s="38" t="n">
        <f aca="false">ROUND(SUM(B503:E503),9)</f>
        <v>97</v>
      </c>
    </row>
    <row r="504" customFormat="false" ht="15" hidden="false" customHeight="true" outlineLevel="0" collapsed="false">
      <c r="A504" s="41" t="s">
        <v>169</v>
      </c>
      <c r="B504" s="38" t="n">
        <f aca="false">INDEX('Transition Stepwise'!$F$2:$F$1137,MATCH(63&amp;"|"&amp;$A504&amp;"|"&amp;B$501,'Transition Stepwise'!$E$2:$E$1137,0))</f>
        <v>5</v>
      </c>
      <c r="C504" s="38" t="n">
        <f aca="false">INDEX('Transition Stepwise'!$F$2:$F$1137,MATCH(63&amp;"|"&amp;$A504&amp;"|"&amp;C$501,'Transition Stepwise'!$E$2:$E$1137,0))</f>
        <v>12</v>
      </c>
      <c r="D504" s="38" t="n">
        <f aca="false">INDEX('Transition Stepwise'!$F$2:$F$1137,MATCH(63&amp;"|"&amp;$A504&amp;"|"&amp;D$501,'Transition Stepwise'!$E$2:$E$1137,0))</f>
        <v>26</v>
      </c>
      <c r="E504" s="38" t="n">
        <f aca="false">INDEX('Transition Stepwise'!$F$2:$F$1137,MATCH(63&amp;"|"&amp;$A504&amp;"|"&amp;E$501,'Transition Stepwise'!$E$2:$E$1137,0))</f>
        <v>5</v>
      </c>
      <c r="F504" s="38" t="n">
        <f aca="false">ROUND(SUM(B504:E504),9)</f>
        <v>48</v>
      </c>
    </row>
    <row r="505" customFormat="false" ht="15" hidden="false" customHeight="true" outlineLevel="0" collapsed="false">
      <c r="A505" s="41" t="s">
        <v>171</v>
      </c>
      <c r="B505" s="38" t="n">
        <f aca="false">INDEX('Transition Stepwise'!$F$2:$F$1137,MATCH(63&amp;"|"&amp;$A505&amp;"|"&amp;B$501,'Transition Stepwise'!$E$2:$E$1137,0))</f>
        <v>5</v>
      </c>
      <c r="C505" s="38" t="n">
        <f aca="false">INDEX('Transition Stepwise'!$F$2:$F$1137,MATCH(63&amp;"|"&amp;$A505&amp;"|"&amp;C$501,'Transition Stepwise'!$E$2:$E$1137,0))</f>
        <v>5</v>
      </c>
      <c r="D505" s="38" t="n">
        <f aca="false">INDEX('Transition Stepwise'!$F$2:$F$1137,MATCH(63&amp;"|"&amp;$A505&amp;"|"&amp;D$501,'Transition Stepwise'!$E$2:$E$1137,0))</f>
        <v>18</v>
      </c>
      <c r="E505" s="38" t="n">
        <f aca="false">INDEX('Transition Stepwise'!$F$2:$F$1137,MATCH(63&amp;"|"&amp;$A505&amp;"|"&amp;E$501,'Transition Stepwise'!$E$2:$E$1137,0))</f>
        <v>4</v>
      </c>
      <c r="F505" s="38" t="n">
        <f aca="false">ROUND(SUM(B505:E505),9)</f>
        <v>32</v>
      </c>
    </row>
    <row r="506" customFormat="false" ht="15" hidden="false" customHeight="true" outlineLevel="0" collapsed="false">
      <c r="A506" s="38"/>
      <c r="B506" s="38"/>
      <c r="C506" s="38"/>
      <c r="D506" s="38"/>
      <c r="E506" s="38"/>
      <c r="F506" s="38"/>
    </row>
    <row r="507" customFormat="false" ht="15" hidden="false" customHeight="true" outlineLevel="0" collapsed="false">
      <c r="A507" s="38"/>
      <c r="B507" s="38"/>
      <c r="C507" s="38"/>
      <c r="D507" s="38"/>
      <c r="E507" s="38"/>
      <c r="F507" s="38"/>
    </row>
    <row r="508" customFormat="false" ht="15" hidden="false" customHeight="true" outlineLevel="0" collapsed="false">
      <c r="A508" s="41" t="s">
        <v>757</v>
      </c>
      <c r="B508" s="38"/>
      <c r="C508" s="38"/>
      <c r="D508" s="38"/>
      <c r="E508" s="38"/>
      <c r="F508" s="38"/>
    </row>
    <row r="509" customFormat="false" ht="15" hidden="false" customHeight="true" outlineLevel="0" collapsed="false">
      <c r="A509" s="39" t="s">
        <v>693</v>
      </c>
      <c r="B509" s="39" t="s">
        <v>172</v>
      </c>
      <c r="C509" s="39" t="s">
        <v>170</v>
      </c>
      <c r="D509" s="39" t="s">
        <v>169</v>
      </c>
      <c r="E509" s="39" t="s">
        <v>171</v>
      </c>
      <c r="F509" s="39" t="s">
        <v>694</v>
      </c>
    </row>
    <row r="510" customFormat="false" ht="15" hidden="false" customHeight="true" outlineLevel="0" collapsed="false">
      <c r="A510" s="41" t="s">
        <v>172</v>
      </c>
      <c r="B510" s="38" t="n">
        <f aca="false">INDEX('Transition Stepwise'!$F$2:$F$1137,MATCH(64&amp;"|"&amp;$A510&amp;"|"&amp;B$509,'Transition Stepwise'!$E$2:$E$1137,0))</f>
        <v>1</v>
      </c>
      <c r="C510" s="38" t="n">
        <f aca="false">INDEX('Transition Stepwise'!$F$2:$F$1137,MATCH(64&amp;"|"&amp;$A510&amp;"|"&amp;C$509,'Transition Stepwise'!$E$2:$E$1137,0))</f>
        <v>14</v>
      </c>
      <c r="D510" s="38" t="n">
        <f aca="false">INDEX('Transition Stepwise'!$F$2:$F$1137,MATCH(64&amp;"|"&amp;$A510&amp;"|"&amp;D$509,'Transition Stepwise'!$E$2:$E$1137,0))</f>
        <v>5</v>
      </c>
      <c r="E510" s="38" t="n">
        <f aca="false">INDEX('Transition Stepwise'!$F$2:$F$1137,MATCH(64&amp;"|"&amp;$A510&amp;"|"&amp;E$509,'Transition Stepwise'!$E$2:$E$1137,0))</f>
        <v>11</v>
      </c>
      <c r="F510" s="38" t="n">
        <f aca="false">ROUND(SUM(B510:E510),9)</f>
        <v>31</v>
      </c>
    </row>
    <row r="511" customFormat="false" ht="15" hidden="false" customHeight="true" outlineLevel="0" collapsed="false">
      <c r="A511" s="41" t="s">
        <v>170</v>
      </c>
      <c r="B511" s="38" t="n">
        <f aca="false">INDEX('Transition Stepwise'!$F$2:$F$1137,MATCH(64&amp;"|"&amp;$A511&amp;"|"&amp;B$509,'Transition Stepwise'!$E$2:$E$1137,0))</f>
        <v>4</v>
      </c>
      <c r="C511" s="38" t="n">
        <f aca="false">INDEX('Transition Stepwise'!$F$2:$F$1137,MATCH(64&amp;"|"&amp;$A511&amp;"|"&amp;C$509,'Transition Stepwise'!$E$2:$E$1137,0))</f>
        <v>10</v>
      </c>
      <c r="D511" s="38" t="n">
        <f aca="false">INDEX('Transition Stepwise'!$F$2:$F$1137,MATCH(64&amp;"|"&amp;$A511&amp;"|"&amp;D$509,'Transition Stepwise'!$E$2:$E$1137,0))</f>
        <v>11</v>
      </c>
      <c r="E511" s="38" t="n">
        <f aca="false">INDEX('Transition Stepwise'!$F$2:$F$1137,MATCH(64&amp;"|"&amp;$A511&amp;"|"&amp;E$509,'Transition Stepwise'!$E$2:$E$1137,0))</f>
        <v>17</v>
      </c>
      <c r="F511" s="38" t="n">
        <f aca="false">ROUND(SUM(B511:E511),9)</f>
        <v>42</v>
      </c>
    </row>
    <row r="512" customFormat="false" ht="15" hidden="false" customHeight="true" outlineLevel="0" collapsed="false">
      <c r="A512" s="41" t="s">
        <v>169</v>
      </c>
      <c r="B512" s="38" t="n">
        <f aca="false">INDEX('Transition Stepwise'!$F$2:$F$1137,MATCH(64&amp;"|"&amp;$A512&amp;"|"&amp;B$509,'Transition Stepwise'!$E$2:$E$1137,0))</f>
        <v>2</v>
      </c>
      <c r="C512" s="38" t="n">
        <f aca="false">INDEX('Transition Stepwise'!$F$2:$F$1137,MATCH(64&amp;"|"&amp;$A512&amp;"|"&amp;C$509,'Transition Stepwise'!$E$2:$E$1137,0))</f>
        <v>22</v>
      </c>
      <c r="D512" s="38" t="n">
        <f aca="false">INDEX('Transition Stepwise'!$F$2:$F$1137,MATCH(64&amp;"|"&amp;$A512&amp;"|"&amp;D$509,'Transition Stepwise'!$E$2:$E$1137,0))</f>
        <v>37</v>
      </c>
      <c r="E512" s="38" t="n">
        <f aca="false">INDEX('Transition Stepwise'!$F$2:$F$1137,MATCH(64&amp;"|"&amp;$A512&amp;"|"&amp;E$509,'Transition Stepwise'!$E$2:$E$1137,0))</f>
        <v>31</v>
      </c>
      <c r="F512" s="38" t="n">
        <f aca="false">ROUND(SUM(B512:E512),9)</f>
        <v>92</v>
      </c>
    </row>
    <row r="513" customFormat="false" ht="15" hidden="false" customHeight="true" outlineLevel="0" collapsed="false">
      <c r="A513" s="41" t="s">
        <v>171</v>
      </c>
      <c r="B513" s="38" t="n">
        <f aca="false">INDEX('Transition Stepwise'!$F$2:$F$1137,MATCH(64&amp;"|"&amp;$A513&amp;"|"&amp;B$509,'Transition Stepwise'!$E$2:$E$1137,0))</f>
        <v>2</v>
      </c>
      <c r="C513" s="38" t="n">
        <f aca="false">INDEX('Transition Stepwise'!$F$2:$F$1137,MATCH(64&amp;"|"&amp;$A513&amp;"|"&amp;C$509,'Transition Stepwise'!$E$2:$E$1137,0))</f>
        <v>17</v>
      </c>
      <c r="D513" s="38" t="n">
        <f aca="false">INDEX('Transition Stepwise'!$F$2:$F$1137,MATCH(64&amp;"|"&amp;$A513&amp;"|"&amp;D$509,'Transition Stepwise'!$E$2:$E$1137,0))</f>
        <v>4</v>
      </c>
      <c r="E513" s="38" t="n">
        <f aca="false">INDEX('Transition Stepwise'!$F$2:$F$1137,MATCH(64&amp;"|"&amp;$A513&amp;"|"&amp;E$509,'Transition Stepwise'!$E$2:$E$1137,0))</f>
        <v>10</v>
      </c>
      <c r="F513" s="38" t="n">
        <f aca="false">ROUND(SUM(B513:E513),9)</f>
        <v>33</v>
      </c>
    </row>
    <row r="514" customFormat="false" ht="15" hidden="false" customHeight="true" outlineLevel="0" collapsed="false">
      <c r="A514" s="38"/>
      <c r="B514" s="38"/>
      <c r="C514" s="38"/>
      <c r="D514" s="38"/>
      <c r="E514" s="38"/>
      <c r="F514" s="38"/>
    </row>
    <row r="515" customFormat="false" ht="15" hidden="false" customHeight="true" outlineLevel="0" collapsed="false">
      <c r="A515" s="38"/>
      <c r="B515" s="38"/>
      <c r="C515" s="38"/>
      <c r="D515" s="38"/>
      <c r="E515" s="38"/>
      <c r="F515" s="38"/>
    </row>
    <row r="516" customFormat="false" ht="15" hidden="false" customHeight="true" outlineLevel="0" collapsed="false">
      <c r="A516" s="41" t="s">
        <v>758</v>
      </c>
      <c r="B516" s="38"/>
      <c r="C516" s="38"/>
      <c r="D516" s="38"/>
      <c r="E516" s="38"/>
      <c r="F516" s="38"/>
    </row>
    <row r="517" customFormat="false" ht="15" hidden="false" customHeight="true" outlineLevel="0" collapsed="false">
      <c r="A517" s="39" t="s">
        <v>693</v>
      </c>
      <c r="B517" s="39" t="s">
        <v>172</v>
      </c>
      <c r="C517" s="39" t="s">
        <v>170</v>
      </c>
      <c r="D517" s="39" t="s">
        <v>169</v>
      </c>
      <c r="E517" s="39" t="s">
        <v>171</v>
      </c>
      <c r="F517" s="39" t="s">
        <v>694</v>
      </c>
    </row>
    <row r="518" customFormat="false" ht="15" hidden="false" customHeight="true" outlineLevel="0" collapsed="false">
      <c r="A518" s="41" t="s">
        <v>172</v>
      </c>
      <c r="B518" s="38" t="n">
        <f aca="false">INDEX('Transition Stepwise'!$F$2:$F$1137,MATCH(65&amp;"|"&amp;$A518&amp;"|"&amp;B$517,'Transition Stepwise'!$E$2:$E$1137,0))</f>
        <v>1</v>
      </c>
      <c r="C518" s="38" t="n">
        <f aca="false">INDEX('Transition Stepwise'!$F$2:$F$1137,MATCH(65&amp;"|"&amp;$A518&amp;"|"&amp;C$517,'Transition Stepwise'!$E$2:$E$1137,0))</f>
        <v>2</v>
      </c>
      <c r="D518" s="38" t="n">
        <f aca="false">INDEX('Transition Stepwise'!$F$2:$F$1137,MATCH(65&amp;"|"&amp;$A518&amp;"|"&amp;D$517,'Transition Stepwise'!$E$2:$E$1137,0))</f>
        <v>0</v>
      </c>
      <c r="E518" s="38" t="n">
        <f aca="false">INDEX('Transition Stepwise'!$F$2:$F$1137,MATCH(65&amp;"|"&amp;$A518&amp;"|"&amp;E$517,'Transition Stepwise'!$E$2:$E$1137,0))</f>
        <v>6</v>
      </c>
      <c r="F518" s="38" t="n">
        <f aca="false">ROUND(SUM(B518:E518),9)</f>
        <v>9</v>
      </c>
    </row>
    <row r="519" customFormat="false" ht="15" hidden="false" customHeight="true" outlineLevel="0" collapsed="false">
      <c r="A519" s="41" t="s">
        <v>170</v>
      </c>
      <c r="B519" s="38" t="n">
        <f aca="false">INDEX('Transition Stepwise'!$F$2:$F$1137,MATCH(65&amp;"|"&amp;$A519&amp;"|"&amp;B$517,'Transition Stepwise'!$E$2:$E$1137,0))</f>
        <v>11</v>
      </c>
      <c r="C519" s="38" t="n">
        <f aca="false">INDEX('Transition Stepwise'!$F$2:$F$1137,MATCH(65&amp;"|"&amp;$A519&amp;"|"&amp;C$517,'Transition Stepwise'!$E$2:$E$1137,0))</f>
        <v>37</v>
      </c>
      <c r="D519" s="38" t="n">
        <f aca="false">INDEX('Transition Stepwise'!$F$2:$F$1137,MATCH(65&amp;"|"&amp;$A519&amp;"|"&amp;D$517,'Transition Stepwise'!$E$2:$E$1137,0))</f>
        <v>1</v>
      </c>
      <c r="E519" s="38" t="n">
        <f aca="false">INDEX('Transition Stepwise'!$F$2:$F$1137,MATCH(65&amp;"|"&amp;$A519&amp;"|"&amp;E$517,'Transition Stepwise'!$E$2:$E$1137,0))</f>
        <v>14</v>
      </c>
      <c r="F519" s="38" t="n">
        <f aca="false">ROUND(SUM(B519:E519),9)</f>
        <v>63</v>
      </c>
    </row>
    <row r="520" customFormat="false" ht="15" hidden="false" customHeight="true" outlineLevel="0" collapsed="false">
      <c r="A520" s="41" t="s">
        <v>169</v>
      </c>
      <c r="B520" s="38" t="n">
        <f aca="false">INDEX('Transition Stepwise'!$F$2:$F$1137,MATCH(65&amp;"|"&amp;$A520&amp;"|"&amp;B$517,'Transition Stepwise'!$E$2:$E$1137,0))</f>
        <v>9</v>
      </c>
      <c r="C520" s="38" t="n">
        <f aca="false">INDEX('Transition Stepwise'!$F$2:$F$1137,MATCH(65&amp;"|"&amp;$A520&amp;"|"&amp;C$517,'Transition Stepwise'!$E$2:$E$1137,0))</f>
        <v>30</v>
      </c>
      <c r="D520" s="38" t="n">
        <f aca="false">INDEX('Transition Stepwise'!$F$2:$F$1137,MATCH(65&amp;"|"&amp;$A520&amp;"|"&amp;D$517,'Transition Stepwise'!$E$2:$E$1137,0))</f>
        <v>1</v>
      </c>
      <c r="E520" s="38" t="n">
        <f aca="false">INDEX('Transition Stepwise'!$F$2:$F$1137,MATCH(65&amp;"|"&amp;$A520&amp;"|"&amp;E$517,'Transition Stepwise'!$E$2:$E$1137,0))</f>
        <v>17</v>
      </c>
      <c r="F520" s="38" t="n">
        <f aca="false">ROUND(SUM(B520:E520),9)</f>
        <v>57</v>
      </c>
    </row>
    <row r="521" customFormat="false" ht="15" hidden="false" customHeight="true" outlineLevel="0" collapsed="false">
      <c r="A521" s="41" t="s">
        <v>171</v>
      </c>
      <c r="B521" s="38" t="n">
        <f aca="false">INDEX('Transition Stepwise'!$F$2:$F$1137,MATCH(65&amp;"|"&amp;$A521&amp;"|"&amp;B$517,'Transition Stepwise'!$E$2:$E$1137,0))</f>
        <v>22</v>
      </c>
      <c r="C521" s="38" t="n">
        <f aca="false">INDEX('Transition Stepwise'!$F$2:$F$1137,MATCH(65&amp;"|"&amp;$A521&amp;"|"&amp;C$517,'Transition Stepwise'!$E$2:$E$1137,0))</f>
        <v>35</v>
      </c>
      <c r="D521" s="38" t="n">
        <f aca="false">INDEX('Transition Stepwise'!$F$2:$F$1137,MATCH(65&amp;"|"&amp;$A521&amp;"|"&amp;D$517,'Transition Stepwise'!$E$2:$E$1137,0))</f>
        <v>0</v>
      </c>
      <c r="E521" s="38" t="n">
        <f aca="false">INDEX('Transition Stepwise'!$F$2:$F$1137,MATCH(65&amp;"|"&amp;$A521&amp;"|"&amp;E$517,'Transition Stepwise'!$E$2:$E$1137,0))</f>
        <v>12</v>
      </c>
      <c r="F521" s="38" t="n">
        <f aca="false">ROUND(SUM(B521:E521),9)</f>
        <v>69</v>
      </c>
    </row>
    <row r="522" customFormat="false" ht="15" hidden="false" customHeight="true" outlineLevel="0" collapsed="false">
      <c r="A522" s="38"/>
      <c r="B522" s="38"/>
      <c r="C522" s="38"/>
      <c r="D522" s="38"/>
      <c r="E522" s="38"/>
      <c r="F522" s="38"/>
    </row>
    <row r="523" customFormat="false" ht="15" hidden="false" customHeight="true" outlineLevel="0" collapsed="false">
      <c r="A523" s="38"/>
      <c r="B523" s="38"/>
      <c r="C523" s="38"/>
      <c r="D523" s="38"/>
      <c r="E523" s="38"/>
      <c r="F523" s="38"/>
    </row>
    <row r="524" customFormat="false" ht="15" hidden="false" customHeight="true" outlineLevel="0" collapsed="false">
      <c r="A524" s="41" t="s">
        <v>759</v>
      </c>
      <c r="B524" s="38"/>
      <c r="C524" s="38"/>
      <c r="D524" s="38"/>
      <c r="E524" s="38"/>
      <c r="F524" s="38"/>
    </row>
    <row r="525" customFormat="false" ht="15" hidden="false" customHeight="true" outlineLevel="0" collapsed="false">
      <c r="A525" s="39" t="s">
        <v>693</v>
      </c>
      <c r="B525" s="39" t="s">
        <v>172</v>
      </c>
      <c r="C525" s="39" t="s">
        <v>170</v>
      </c>
      <c r="D525" s="39" t="s">
        <v>169</v>
      </c>
      <c r="E525" s="39" t="s">
        <v>171</v>
      </c>
      <c r="F525" s="39" t="s">
        <v>694</v>
      </c>
    </row>
    <row r="526" customFormat="false" ht="15" hidden="false" customHeight="true" outlineLevel="0" collapsed="false">
      <c r="A526" s="41" t="s">
        <v>172</v>
      </c>
      <c r="B526" s="38" t="n">
        <f aca="false">INDEX('Transition Stepwise'!$F$2:$F$1137,MATCH(66&amp;"|"&amp;$A526&amp;"|"&amp;B$525,'Transition Stepwise'!$E$2:$E$1137,0))</f>
        <v>4</v>
      </c>
      <c r="C526" s="38" t="n">
        <f aca="false">INDEX('Transition Stepwise'!$F$2:$F$1137,MATCH(66&amp;"|"&amp;$A526&amp;"|"&amp;C$525,'Transition Stepwise'!$E$2:$E$1137,0))</f>
        <v>13</v>
      </c>
      <c r="D526" s="38" t="n">
        <f aca="false">INDEX('Transition Stepwise'!$F$2:$F$1137,MATCH(66&amp;"|"&amp;$A526&amp;"|"&amp;D$525,'Transition Stepwise'!$E$2:$E$1137,0))</f>
        <v>15</v>
      </c>
      <c r="E526" s="38" t="n">
        <f aca="false">INDEX('Transition Stepwise'!$F$2:$F$1137,MATCH(66&amp;"|"&amp;$A526&amp;"|"&amp;E$525,'Transition Stepwise'!$E$2:$E$1137,0))</f>
        <v>11</v>
      </c>
      <c r="F526" s="38" t="n">
        <f aca="false">ROUND(SUM(B526:E526),9)</f>
        <v>43</v>
      </c>
    </row>
    <row r="527" customFormat="false" ht="15" hidden="false" customHeight="true" outlineLevel="0" collapsed="false">
      <c r="A527" s="41" t="s">
        <v>170</v>
      </c>
      <c r="B527" s="38" t="n">
        <f aca="false">INDEX('Transition Stepwise'!$F$2:$F$1137,MATCH(66&amp;"|"&amp;$A527&amp;"|"&amp;B$525,'Transition Stepwise'!$E$2:$E$1137,0))</f>
        <v>19</v>
      </c>
      <c r="C527" s="38" t="n">
        <f aca="false">INDEX('Transition Stepwise'!$F$2:$F$1137,MATCH(66&amp;"|"&amp;$A527&amp;"|"&amp;C$525,'Transition Stepwise'!$E$2:$E$1137,0))</f>
        <v>22</v>
      </c>
      <c r="D527" s="38" t="n">
        <f aca="false">INDEX('Transition Stepwise'!$F$2:$F$1137,MATCH(66&amp;"|"&amp;$A527&amp;"|"&amp;D$525,'Transition Stepwise'!$E$2:$E$1137,0))</f>
        <v>48</v>
      </c>
      <c r="E527" s="38" t="n">
        <f aca="false">INDEX('Transition Stepwise'!$F$2:$F$1137,MATCH(66&amp;"|"&amp;$A527&amp;"|"&amp;E$525,'Transition Stepwise'!$E$2:$E$1137,0))</f>
        <v>16</v>
      </c>
      <c r="F527" s="38" t="n">
        <f aca="false">ROUND(SUM(B527:E527),9)</f>
        <v>105</v>
      </c>
    </row>
    <row r="528" customFormat="false" ht="15" hidden="false" customHeight="true" outlineLevel="0" collapsed="false">
      <c r="A528" s="41" t="s">
        <v>169</v>
      </c>
      <c r="B528" s="38" t="n">
        <f aca="false">INDEX('Transition Stepwise'!$F$2:$F$1137,MATCH(66&amp;"|"&amp;$A528&amp;"|"&amp;B$525,'Transition Stepwise'!$E$2:$E$1137,0))</f>
        <v>0</v>
      </c>
      <c r="C528" s="38" t="n">
        <f aca="false">INDEX('Transition Stepwise'!$F$2:$F$1137,MATCH(66&amp;"|"&amp;$A528&amp;"|"&amp;C$525,'Transition Stepwise'!$E$2:$E$1137,0))</f>
        <v>0</v>
      </c>
      <c r="D528" s="38" t="n">
        <f aca="false">INDEX('Transition Stepwise'!$F$2:$F$1137,MATCH(66&amp;"|"&amp;$A528&amp;"|"&amp;D$525,'Transition Stepwise'!$E$2:$E$1137,0))</f>
        <v>2</v>
      </c>
      <c r="E528" s="38" t="n">
        <f aca="false">INDEX('Transition Stepwise'!$F$2:$F$1137,MATCH(66&amp;"|"&amp;$A528&amp;"|"&amp;E$525,'Transition Stepwise'!$E$2:$E$1137,0))</f>
        <v>0</v>
      </c>
      <c r="F528" s="38" t="n">
        <f aca="false">ROUND(SUM(B528:E528),9)</f>
        <v>2</v>
      </c>
    </row>
    <row r="529" customFormat="false" ht="15" hidden="false" customHeight="true" outlineLevel="0" collapsed="false">
      <c r="A529" s="41" t="s">
        <v>171</v>
      </c>
      <c r="B529" s="38" t="n">
        <f aca="false">INDEX('Transition Stepwise'!$F$2:$F$1137,MATCH(66&amp;"|"&amp;$A529&amp;"|"&amp;B$525,'Transition Stepwise'!$E$2:$E$1137,0))</f>
        <v>18</v>
      </c>
      <c r="C529" s="38" t="n">
        <f aca="false">INDEX('Transition Stepwise'!$F$2:$F$1137,MATCH(66&amp;"|"&amp;$A529&amp;"|"&amp;C$525,'Transition Stepwise'!$E$2:$E$1137,0))</f>
        <v>10</v>
      </c>
      <c r="D529" s="38" t="n">
        <f aca="false">INDEX('Transition Stepwise'!$F$2:$F$1137,MATCH(66&amp;"|"&amp;$A529&amp;"|"&amp;D$525,'Transition Stepwise'!$E$2:$E$1137,0))</f>
        <v>10</v>
      </c>
      <c r="E529" s="38" t="n">
        <f aca="false">INDEX('Transition Stepwise'!$F$2:$F$1137,MATCH(66&amp;"|"&amp;$A529&amp;"|"&amp;E$525,'Transition Stepwise'!$E$2:$E$1137,0))</f>
        <v>11</v>
      </c>
      <c r="F529" s="38" t="n">
        <f aca="false">ROUND(SUM(B529:E529),9)</f>
        <v>49</v>
      </c>
    </row>
    <row r="530" customFormat="false" ht="15" hidden="false" customHeight="true" outlineLevel="0" collapsed="false">
      <c r="A530" s="38"/>
      <c r="B530" s="38"/>
      <c r="C530" s="38"/>
      <c r="D530" s="38"/>
      <c r="E530" s="38"/>
      <c r="F530" s="38"/>
    </row>
    <row r="531" customFormat="false" ht="15" hidden="false" customHeight="true" outlineLevel="0" collapsed="false">
      <c r="A531" s="38"/>
      <c r="B531" s="38"/>
      <c r="C531" s="38"/>
      <c r="D531" s="38"/>
      <c r="E531" s="38"/>
      <c r="F531" s="38"/>
    </row>
    <row r="532" customFormat="false" ht="15" hidden="false" customHeight="true" outlineLevel="0" collapsed="false">
      <c r="A532" s="41" t="s">
        <v>760</v>
      </c>
      <c r="B532" s="38"/>
      <c r="C532" s="38"/>
      <c r="D532" s="38"/>
      <c r="E532" s="38"/>
      <c r="F532" s="38"/>
    </row>
    <row r="533" customFormat="false" ht="15" hidden="false" customHeight="true" outlineLevel="0" collapsed="false">
      <c r="A533" s="39" t="s">
        <v>693</v>
      </c>
      <c r="B533" s="39" t="s">
        <v>172</v>
      </c>
      <c r="C533" s="39" t="s">
        <v>170</v>
      </c>
      <c r="D533" s="39" t="s">
        <v>169</v>
      </c>
      <c r="E533" s="39" t="s">
        <v>171</v>
      </c>
      <c r="F533" s="39" t="s">
        <v>694</v>
      </c>
    </row>
    <row r="534" customFormat="false" ht="15" hidden="false" customHeight="true" outlineLevel="0" collapsed="false">
      <c r="A534" s="41" t="s">
        <v>172</v>
      </c>
      <c r="B534" s="38" t="n">
        <f aca="false">INDEX('Transition Stepwise'!$F$2:$F$1137,MATCH(67&amp;"|"&amp;$A534&amp;"|"&amp;B$533,'Transition Stepwise'!$E$2:$E$1137,0))</f>
        <v>3</v>
      </c>
      <c r="C534" s="38" t="n">
        <f aca="false">INDEX('Transition Stepwise'!$F$2:$F$1137,MATCH(67&amp;"|"&amp;$A534&amp;"|"&amp;C$533,'Transition Stepwise'!$E$2:$E$1137,0))</f>
        <v>15</v>
      </c>
      <c r="D534" s="38" t="n">
        <f aca="false">INDEX('Transition Stepwise'!$F$2:$F$1137,MATCH(67&amp;"|"&amp;$A534&amp;"|"&amp;D$533,'Transition Stepwise'!$E$2:$E$1137,0))</f>
        <v>13</v>
      </c>
      <c r="E534" s="38" t="n">
        <f aca="false">INDEX('Transition Stepwise'!$F$2:$F$1137,MATCH(67&amp;"|"&amp;$A534&amp;"|"&amp;E$533,'Transition Stepwise'!$E$2:$E$1137,0))</f>
        <v>10</v>
      </c>
      <c r="F534" s="38" t="n">
        <f aca="false">ROUND(SUM(B534:E534),9)</f>
        <v>41</v>
      </c>
    </row>
    <row r="535" customFormat="false" ht="15" hidden="false" customHeight="true" outlineLevel="0" collapsed="false">
      <c r="A535" s="41" t="s">
        <v>170</v>
      </c>
      <c r="B535" s="38" t="n">
        <f aca="false">INDEX('Transition Stepwise'!$F$2:$F$1137,MATCH(67&amp;"|"&amp;$A535&amp;"|"&amp;B$533,'Transition Stepwise'!$E$2:$E$1137,0))</f>
        <v>7</v>
      </c>
      <c r="C535" s="38" t="n">
        <f aca="false">INDEX('Transition Stepwise'!$F$2:$F$1137,MATCH(67&amp;"|"&amp;$A535&amp;"|"&amp;C$533,'Transition Stepwise'!$E$2:$E$1137,0))</f>
        <v>15</v>
      </c>
      <c r="D535" s="38" t="n">
        <f aca="false">INDEX('Transition Stepwise'!$F$2:$F$1137,MATCH(67&amp;"|"&amp;$A535&amp;"|"&amp;D$533,'Transition Stepwise'!$E$2:$E$1137,0))</f>
        <v>17</v>
      </c>
      <c r="E535" s="38" t="n">
        <f aca="false">INDEX('Transition Stepwise'!$F$2:$F$1137,MATCH(67&amp;"|"&amp;$A535&amp;"|"&amp;E$533,'Transition Stepwise'!$E$2:$E$1137,0))</f>
        <v>6</v>
      </c>
      <c r="F535" s="38" t="n">
        <f aca="false">ROUND(SUM(B535:E535),9)</f>
        <v>45</v>
      </c>
    </row>
    <row r="536" customFormat="false" ht="15" hidden="false" customHeight="true" outlineLevel="0" collapsed="false">
      <c r="A536" s="41" t="s">
        <v>169</v>
      </c>
      <c r="B536" s="38" t="n">
        <f aca="false">INDEX('Transition Stepwise'!$F$2:$F$1137,MATCH(67&amp;"|"&amp;$A536&amp;"|"&amp;B$533,'Transition Stepwise'!$E$2:$E$1137,0))</f>
        <v>5</v>
      </c>
      <c r="C536" s="38" t="n">
        <f aca="false">INDEX('Transition Stepwise'!$F$2:$F$1137,MATCH(67&amp;"|"&amp;$A536&amp;"|"&amp;C$533,'Transition Stepwise'!$E$2:$E$1137,0))</f>
        <v>14</v>
      </c>
      <c r="D536" s="38" t="n">
        <f aca="false">INDEX('Transition Stepwise'!$F$2:$F$1137,MATCH(67&amp;"|"&amp;$A536&amp;"|"&amp;D$533,'Transition Stepwise'!$E$2:$E$1137,0))</f>
        <v>46</v>
      </c>
      <c r="E536" s="38" t="n">
        <f aca="false">INDEX('Transition Stepwise'!$F$2:$F$1137,MATCH(67&amp;"|"&amp;$A536&amp;"|"&amp;E$533,'Transition Stepwise'!$E$2:$E$1137,0))</f>
        <v>10</v>
      </c>
      <c r="F536" s="38" t="n">
        <f aca="false">ROUND(SUM(B536:E536),9)</f>
        <v>75</v>
      </c>
    </row>
    <row r="537" customFormat="false" ht="15" hidden="false" customHeight="true" outlineLevel="0" collapsed="false">
      <c r="A537" s="41" t="s">
        <v>171</v>
      </c>
      <c r="B537" s="38" t="n">
        <f aca="false">INDEX('Transition Stepwise'!$F$2:$F$1137,MATCH(67&amp;"|"&amp;$A537&amp;"|"&amp;B$533,'Transition Stepwise'!$E$2:$E$1137,0))</f>
        <v>0</v>
      </c>
      <c r="C537" s="38" t="n">
        <f aca="false">INDEX('Transition Stepwise'!$F$2:$F$1137,MATCH(67&amp;"|"&amp;$A537&amp;"|"&amp;C$533,'Transition Stepwise'!$E$2:$E$1137,0))</f>
        <v>18</v>
      </c>
      <c r="D537" s="38" t="n">
        <f aca="false">INDEX('Transition Stepwise'!$F$2:$F$1137,MATCH(67&amp;"|"&amp;$A537&amp;"|"&amp;D$533,'Transition Stepwise'!$E$2:$E$1137,0))</f>
        <v>11</v>
      </c>
      <c r="E537" s="38" t="n">
        <f aca="false">INDEX('Transition Stepwise'!$F$2:$F$1137,MATCH(67&amp;"|"&amp;$A537&amp;"|"&amp;E$533,'Transition Stepwise'!$E$2:$E$1137,0))</f>
        <v>9</v>
      </c>
      <c r="F537" s="38" t="n">
        <f aca="false">ROUND(SUM(B537:E537),9)</f>
        <v>38</v>
      </c>
    </row>
    <row r="538" customFormat="false" ht="15" hidden="false" customHeight="true" outlineLevel="0" collapsed="false">
      <c r="A538" s="38"/>
      <c r="B538" s="38"/>
      <c r="C538" s="38"/>
      <c r="D538" s="38"/>
      <c r="E538" s="38"/>
      <c r="F538" s="38"/>
    </row>
    <row r="539" customFormat="false" ht="15" hidden="false" customHeight="true" outlineLevel="0" collapsed="false">
      <c r="A539" s="38"/>
      <c r="B539" s="38"/>
      <c r="C539" s="38"/>
      <c r="D539" s="38"/>
      <c r="E539" s="38"/>
      <c r="F539" s="38"/>
    </row>
    <row r="540" customFormat="false" ht="15" hidden="false" customHeight="true" outlineLevel="0" collapsed="false">
      <c r="A540" s="41" t="s">
        <v>761</v>
      </c>
      <c r="B540" s="38"/>
      <c r="C540" s="38"/>
      <c r="D540" s="38"/>
      <c r="E540" s="38"/>
      <c r="F540" s="38"/>
    </row>
    <row r="541" customFormat="false" ht="15" hidden="false" customHeight="true" outlineLevel="0" collapsed="false">
      <c r="A541" s="39" t="s">
        <v>693</v>
      </c>
      <c r="B541" s="39" t="s">
        <v>172</v>
      </c>
      <c r="C541" s="39" t="s">
        <v>170</v>
      </c>
      <c r="D541" s="39" t="s">
        <v>169</v>
      </c>
      <c r="E541" s="39" t="s">
        <v>171</v>
      </c>
      <c r="F541" s="39" t="s">
        <v>694</v>
      </c>
    </row>
    <row r="542" customFormat="false" ht="15" hidden="false" customHeight="true" outlineLevel="0" collapsed="false">
      <c r="A542" s="41" t="s">
        <v>172</v>
      </c>
      <c r="B542" s="38" t="n">
        <f aca="false">INDEX('Transition Stepwise'!$F$2:$F$1137,MATCH(68&amp;"|"&amp;$A542&amp;"|"&amp;B$541,'Transition Stepwise'!$E$2:$E$1137,0))</f>
        <v>4</v>
      </c>
      <c r="C542" s="38" t="n">
        <f aca="false">INDEX('Transition Stepwise'!$F$2:$F$1137,MATCH(68&amp;"|"&amp;$A542&amp;"|"&amp;C$541,'Transition Stepwise'!$E$2:$E$1137,0))</f>
        <v>4</v>
      </c>
      <c r="D542" s="38" t="n">
        <f aca="false">INDEX('Transition Stepwise'!$F$2:$F$1137,MATCH(68&amp;"|"&amp;$A542&amp;"|"&amp;D$541,'Transition Stepwise'!$E$2:$E$1137,0))</f>
        <v>6</v>
      </c>
      <c r="E542" s="38" t="n">
        <f aca="false">INDEX('Transition Stepwise'!$F$2:$F$1137,MATCH(68&amp;"|"&amp;$A542&amp;"|"&amp;E$541,'Transition Stepwise'!$E$2:$E$1137,0))</f>
        <v>1</v>
      </c>
      <c r="F542" s="38" t="n">
        <f aca="false">ROUND(SUM(B542:E542),9)</f>
        <v>15</v>
      </c>
    </row>
    <row r="543" customFormat="false" ht="15" hidden="false" customHeight="true" outlineLevel="0" collapsed="false">
      <c r="A543" s="41" t="s">
        <v>170</v>
      </c>
      <c r="B543" s="38" t="n">
        <f aca="false">INDEX('Transition Stepwise'!$F$2:$F$1137,MATCH(68&amp;"|"&amp;$A543&amp;"|"&amp;B$541,'Transition Stepwise'!$E$2:$E$1137,0))</f>
        <v>4</v>
      </c>
      <c r="C543" s="38" t="n">
        <f aca="false">INDEX('Transition Stepwise'!$F$2:$F$1137,MATCH(68&amp;"|"&amp;$A543&amp;"|"&amp;C$541,'Transition Stepwise'!$E$2:$E$1137,0))</f>
        <v>42</v>
      </c>
      <c r="D543" s="38" t="n">
        <f aca="false">INDEX('Transition Stepwise'!$F$2:$F$1137,MATCH(68&amp;"|"&amp;$A543&amp;"|"&amp;D$541,'Transition Stepwise'!$E$2:$E$1137,0))</f>
        <v>9</v>
      </c>
      <c r="E543" s="38" t="n">
        <f aca="false">INDEX('Transition Stepwise'!$F$2:$F$1137,MATCH(68&amp;"|"&amp;$A543&amp;"|"&amp;E$541,'Transition Stepwise'!$E$2:$E$1137,0))</f>
        <v>7</v>
      </c>
      <c r="F543" s="38" t="n">
        <f aca="false">ROUND(SUM(B543:E543),9)</f>
        <v>62</v>
      </c>
    </row>
    <row r="544" customFormat="false" ht="15" hidden="false" customHeight="true" outlineLevel="0" collapsed="false">
      <c r="A544" s="41" t="s">
        <v>169</v>
      </c>
      <c r="B544" s="38" t="n">
        <f aca="false">INDEX('Transition Stepwise'!$F$2:$F$1137,MATCH(68&amp;"|"&amp;$A544&amp;"|"&amp;B$541,'Transition Stepwise'!$E$2:$E$1137,0))</f>
        <v>13</v>
      </c>
      <c r="C544" s="38" t="n">
        <f aca="false">INDEX('Transition Stepwise'!$F$2:$F$1137,MATCH(68&amp;"|"&amp;$A544&amp;"|"&amp;C$541,'Transition Stepwise'!$E$2:$E$1137,0))</f>
        <v>22</v>
      </c>
      <c r="D544" s="38" t="n">
        <f aca="false">INDEX('Transition Stepwise'!$F$2:$F$1137,MATCH(68&amp;"|"&amp;$A544&amp;"|"&amp;D$541,'Transition Stepwise'!$E$2:$E$1137,0))</f>
        <v>49</v>
      </c>
      <c r="E544" s="38" t="n">
        <f aca="false">INDEX('Transition Stepwise'!$F$2:$F$1137,MATCH(68&amp;"|"&amp;$A544&amp;"|"&amp;E$541,'Transition Stepwise'!$E$2:$E$1137,0))</f>
        <v>3</v>
      </c>
      <c r="F544" s="38" t="n">
        <f aca="false">ROUND(SUM(B544:E544),9)</f>
        <v>87</v>
      </c>
    </row>
    <row r="545" customFormat="false" ht="15" hidden="false" customHeight="true" outlineLevel="0" collapsed="false">
      <c r="A545" s="41" t="s">
        <v>171</v>
      </c>
      <c r="B545" s="38" t="n">
        <f aca="false">INDEX('Transition Stepwise'!$F$2:$F$1137,MATCH(68&amp;"|"&amp;$A545&amp;"|"&amp;B$541,'Transition Stepwise'!$E$2:$E$1137,0))</f>
        <v>4</v>
      </c>
      <c r="C545" s="38" t="n">
        <f aca="false">INDEX('Transition Stepwise'!$F$2:$F$1137,MATCH(68&amp;"|"&amp;$A545&amp;"|"&amp;C$541,'Transition Stepwise'!$E$2:$E$1137,0))</f>
        <v>20</v>
      </c>
      <c r="D545" s="38" t="n">
        <f aca="false">INDEX('Transition Stepwise'!$F$2:$F$1137,MATCH(68&amp;"|"&amp;$A545&amp;"|"&amp;D$541,'Transition Stepwise'!$E$2:$E$1137,0))</f>
        <v>6</v>
      </c>
      <c r="E545" s="38" t="n">
        <f aca="false">INDEX('Transition Stepwise'!$F$2:$F$1137,MATCH(68&amp;"|"&amp;$A545&amp;"|"&amp;E$541,'Transition Stepwise'!$E$2:$E$1137,0))</f>
        <v>5</v>
      </c>
      <c r="F545" s="38" t="n">
        <f aca="false">ROUND(SUM(B545:E545),9)</f>
        <v>35</v>
      </c>
    </row>
    <row r="546" customFormat="false" ht="15" hidden="false" customHeight="true" outlineLevel="0" collapsed="false">
      <c r="A546" s="38"/>
      <c r="B546" s="38"/>
      <c r="C546" s="38"/>
      <c r="D546" s="38"/>
      <c r="E546" s="38"/>
      <c r="F546" s="38"/>
    </row>
    <row r="547" customFormat="false" ht="15" hidden="false" customHeight="true" outlineLevel="0" collapsed="false">
      <c r="A547" s="38"/>
      <c r="B547" s="38"/>
      <c r="C547" s="38"/>
      <c r="D547" s="38"/>
      <c r="E547" s="38"/>
      <c r="F547" s="38"/>
    </row>
    <row r="548" customFormat="false" ht="15" hidden="false" customHeight="true" outlineLevel="0" collapsed="false">
      <c r="A548" s="41" t="s">
        <v>762</v>
      </c>
      <c r="B548" s="38"/>
      <c r="C548" s="38"/>
      <c r="D548" s="38"/>
      <c r="E548" s="38"/>
      <c r="F548" s="38"/>
    </row>
    <row r="549" customFormat="false" ht="15" hidden="false" customHeight="true" outlineLevel="0" collapsed="false">
      <c r="A549" s="39" t="s">
        <v>693</v>
      </c>
      <c r="B549" s="39" t="s">
        <v>172</v>
      </c>
      <c r="C549" s="39" t="s">
        <v>170</v>
      </c>
      <c r="D549" s="39" t="s">
        <v>169</v>
      </c>
      <c r="E549" s="39" t="s">
        <v>171</v>
      </c>
      <c r="F549" s="39" t="s">
        <v>694</v>
      </c>
    </row>
    <row r="550" customFormat="false" ht="15" hidden="false" customHeight="true" outlineLevel="0" collapsed="false">
      <c r="A550" s="41" t="s">
        <v>172</v>
      </c>
      <c r="B550" s="38" t="n">
        <f aca="false">INDEX('Transition Stepwise'!$F$2:$F$1137,MATCH(69&amp;"|"&amp;$A550&amp;"|"&amp;B$549,'Transition Stepwise'!$E$2:$E$1137,0))</f>
        <v>5</v>
      </c>
      <c r="C550" s="38" t="n">
        <f aca="false">INDEX('Transition Stepwise'!$F$2:$F$1137,MATCH(69&amp;"|"&amp;$A550&amp;"|"&amp;C$549,'Transition Stepwise'!$E$2:$E$1137,0))</f>
        <v>10</v>
      </c>
      <c r="D550" s="38" t="n">
        <f aca="false">INDEX('Transition Stepwise'!$F$2:$F$1137,MATCH(69&amp;"|"&amp;$A550&amp;"|"&amp;D$549,'Transition Stepwise'!$E$2:$E$1137,0))</f>
        <v>10</v>
      </c>
      <c r="E550" s="38" t="n">
        <f aca="false">INDEX('Transition Stepwise'!$F$2:$F$1137,MATCH(69&amp;"|"&amp;$A550&amp;"|"&amp;E$549,'Transition Stepwise'!$E$2:$E$1137,0))</f>
        <v>0</v>
      </c>
      <c r="F550" s="38" t="n">
        <f aca="false">ROUND(SUM(B550:E550),9)</f>
        <v>25</v>
      </c>
    </row>
    <row r="551" customFormat="false" ht="15" hidden="false" customHeight="true" outlineLevel="0" collapsed="false">
      <c r="A551" s="41" t="s">
        <v>170</v>
      </c>
      <c r="B551" s="38" t="n">
        <f aca="false">INDEX('Transition Stepwise'!$F$2:$F$1137,MATCH(69&amp;"|"&amp;$A551&amp;"|"&amp;B$549,'Transition Stepwise'!$E$2:$E$1137,0))</f>
        <v>9</v>
      </c>
      <c r="C551" s="38" t="n">
        <f aca="false">INDEX('Transition Stepwise'!$F$2:$F$1137,MATCH(69&amp;"|"&amp;$A551&amp;"|"&amp;C$549,'Transition Stepwise'!$E$2:$E$1137,0))</f>
        <v>31</v>
      </c>
      <c r="D551" s="38" t="n">
        <f aca="false">INDEX('Transition Stepwise'!$F$2:$F$1137,MATCH(69&amp;"|"&amp;$A551&amp;"|"&amp;D$549,'Transition Stepwise'!$E$2:$E$1137,0))</f>
        <v>30</v>
      </c>
      <c r="E551" s="38" t="n">
        <f aca="false">INDEX('Transition Stepwise'!$F$2:$F$1137,MATCH(69&amp;"|"&amp;$A551&amp;"|"&amp;E$549,'Transition Stepwise'!$E$2:$E$1137,0))</f>
        <v>18</v>
      </c>
      <c r="F551" s="38" t="n">
        <f aca="false">ROUND(SUM(B551:E551),9)</f>
        <v>88</v>
      </c>
    </row>
    <row r="552" customFormat="false" ht="15" hidden="false" customHeight="true" outlineLevel="0" collapsed="false">
      <c r="A552" s="41" t="s">
        <v>169</v>
      </c>
      <c r="B552" s="38" t="n">
        <f aca="false">INDEX('Transition Stepwise'!$F$2:$F$1137,MATCH(69&amp;"|"&amp;$A552&amp;"|"&amp;B$549,'Transition Stepwise'!$E$2:$E$1137,0))</f>
        <v>9</v>
      </c>
      <c r="C552" s="38" t="n">
        <f aca="false">INDEX('Transition Stepwise'!$F$2:$F$1137,MATCH(69&amp;"|"&amp;$A552&amp;"|"&amp;C$549,'Transition Stepwise'!$E$2:$E$1137,0))</f>
        <v>22</v>
      </c>
      <c r="D552" s="38" t="n">
        <f aca="false">INDEX('Transition Stepwise'!$F$2:$F$1137,MATCH(69&amp;"|"&amp;$A552&amp;"|"&amp;D$549,'Transition Stepwise'!$E$2:$E$1137,0))</f>
        <v>29</v>
      </c>
      <c r="E552" s="38" t="n">
        <f aca="false">INDEX('Transition Stepwise'!$F$2:$F$1137,MATCH(69&amp;"|"&amp;$A552&amp;"|"&amp;E$549,'Transition Stepwise'!$E$2:$E$1137,0))</f>
        <v>10</v>
      </c>
      <c r="F552" s="38" t="n">
        <f aca="false">ROUND(SUM(B552:E552),9)</f>
        <v>70</v>
      </c>
    </row>
    <row r="553" customFormat="false" ht="15" hidden="false" customHeight="true" outlineLevel="0" collapsed="false">
      <c r="A553" s="41" t="s">
        <v>171</v>
      </c>
      <c r="B553" s="38" t="n">
        <f aca="false">INDEX('Transition Stepwise'!$F$2:$F$1137,MATCH(69&amp;"|"&amp;$A553&amp;"|"&amp;B$549,'Transition Stepwise'!$E$2:$E$1137,0))</f>
        <v>0</v>
      </c>
      <c r="C553" s="38" t="n">
        <f aca="false">INDEX('Transition Stepwise'!$F$2:$F$1137,MATCH(69&amp;"|"&amp;$A553&amp;"|"&amp;C$549,'Transition Stepwise'!$E$2:$E$1137,0))</f>
        <v>8</v>
      </c>
      <c r="D553" s="38" t="n">
        <f aca="false">INDEX('Transition Stepwise'!$F$2:$F$1137,MATCH(69&amp;"|"&amp;$A553&amp;"|"&amp;D$549,'Transition Stepwise'!$E$2:$E$1137,0))</f>
        <v>6</v>
      </c>
      <c r="E553" s="38" t="n">
        <f aca="false">INDEX('Transition Stepwise'!$F$2:$F$1137,MATCH(69&amp;"|"&amp;$A553&amp;"|"&amp;E$549,'Transition Stepwise'!$E$2:$E$1137,0))</f>
        <v>2</v>
      </c>
      <c r="F553" s="38" t="n">
        <f aca="false">ROUND(SUM(B553:E553),9)</f>
        <v>16</v>
      </c>
    </row>
    <row r="554" customFormat="false" ht="15" hidden="false" customHeight="true" outlineLevel="0" collapsed="false">
      <c r="A554" s="38"/>
      <c r="B554" s="38"/>
      <c r="C554" s="38"/>
      <c r="D554" s="38"/>
      <c r="E554" s="38"/>
      <c r="F554" s="38"/>
    </row>
    <row r="555" customFormat="false" ht="15" hidden="false" customHeight="true" outlineLevel="0" collapsed="false">
      <c r="A555" s="38"/>
      <c r="B555" s="38"/>
      <c r="C555" s="38"/>
      <c r="D555" s="38"/>
      <c r="E555" s="38"/>
      <c r="F555" s="38"/>
    </row>
    <row r="556" customFormat="false" ht="15" hidden="false" customHeight="true" outlineLevel="0" collapsed="false">
      <c r="A556" s="41" t="s">
        <v>763</v>
      </c>
      <c r="B556" s="38"/>
      <c r="C556" s="38"/>
      <c r="D556" s="38"/>
      <c r="E556" s="38"/>
      <c r="F556" s="38"/>
    </row>
    <row r="557" customFormat="false" ht="15" hidden="false" customHeight="true" outlineLevel="0" collapsed="false">
      <c r="A557" s="39" t="s">
        <v>693</v>
      </c>
      <c r="B557" s="39" t="s">
        <v>172</v>
      </c>
      <c r="C557" s="39" t="s">
        <v>170</v>
      </c>
      <c r="D557" s="39" t="s">
        <v>169</v>
      </c>
      <c r="E557" s="39" t="s">
        <v>171</v>
      </c>
      <c r="F557" s="39" t="s">
        <v>694</v>
      </c>
    </row>
    <row r="558" customFormat="false" ht="15" hidden="false" customHeight="true" outlineLevel="0" collapsed="false">
      <c r="A558" s="41" t="s">
        <v>172</v>
      </c>
      <c r="B558" s="38" t="n">
        <f aca="false">INDEX('Transition Stepwise'!$F$2:$F$1137,MATCH(70&amp;"|"&amp;$A558&amp;"|"&amp;B$557,'Transition Stepwise'!$E$2:$E$1137,0))</f>
        <v>1</v>
      </c>
      <c r="C558" s="38" t="n">
        <f aca="false">INDEX('Transition Stepwise'!$F$2:$F$1137,MATCH(70&amp;"|"&amp;$A558&amp;"|"&amp;C$557,'Transition Stepwise'!$E$2:$E$1137,0))</f>
        <v>6</v>
      </c>
      <c r="D558" s="38" t="n">
        <f aca="false">INDEX('Transition Stepwise'!$F$2:$F$1137,MATCH(70&amp;"|"&amp;$A558&amp;"|"&amp;D$557,'Transition Stepwise'!$E$2:$E$1137,0))</f>
        <v>14</v>
      </c>
      <c r="E558" s="38" t="n">
        <f aca="false">INDEX('Transition Stepwise'!$F$2:$F$1137,MATCH(70&amp;"|"&amp;$A558&amp;"|"&amp;E$557,'Transition Stepwise'!$E$2:$E$1137,0))</f>
        <v>2</v>
      </c>
      <c r="F558" s="38" t="n">
        <f aca="false">ROUND(SUM(B558:E558),9)</f>
        <v>23</v>
      </c>
    </row>
    <row r="559" customFormat="false" ht="15" hidden="false" customHeight="true" outlineLevel="0" collapsed="false">
      <c r="A559" s="41" t="s">
        <v>170</v>
      </c>
      <c r="B559" s="38" t="n">
        <f aca="false">INDEX('Transition Stepwise'!$F$2:$F$1137,MATCH(70&amp;"|"&amp;$A559&amp;"|"&amp;B$557,'Transition Stepwise'!$E$2:$E$1137,0))</f>
        <v>1</v>
      </c>
      <c r="C559" s="38" t="n">
        <f aca="false">INDEX('Transition Stepwise'!$F$2:$F$1137,MATCH(70&amp;"|"&amp;$A559&amp;"|"&amp;C$557,'Transition Stepwise'!$E$2:$E$1137,0))</f>
        <v>47</v>
      </c>
      <c r="D559" s="38" t="n">
        <f aca="false">INDEX('Transition Stepwise'!$F$2:$F$1137,MATCH(70&amp;"|"&amp;$A559&amp;"|"&amp;D$557,'Transition Stepwise'!$E$2:$E$1137,0))</f>
        <v>22</v>
      </c>
      <c r="E559" s="38" t="n">
        <f aca="false">INDEX('Transition Stepwise'!$F$2:$F$1137,MATCH(70&amp;"|"&amp;$A559&amp;"|"&amp;E$557,'Transition Stepwise'!$E$2:$E$1137,0))</f>
        <v>1</v>
      </c>
      <c r="F559" s="38" t="n">
        <f aca="false">ROUND(SUM(B559:E559),9)</f>
        <v>71</v>
      </c>
    </row>
    <row r="560" customFormat="false" ht="15" hidden="false" customHeight="true" outlineLevel="0" collapsed="false">
      <c r="A560" s="41" t="s">
        <v>169</v>
      </c>
      <c r="B560" s="38" t="n">
        <f aca="false">INDEX('Transition Stepwise'!$F$2:$F$1137,MATCH(70&amp;"|"&amp;$A560&amp;"|"&amp;B$557,'Transition Stepwise'!$E$2:$E$1137,0))</f>
        <v>3</v>
      </c>
      <c r="C560" s="38" t="n">
        <f aca="false">INDEX('Transition Stepwise'!$F$2:$F$1137,MATCH(70&amp;"|"&amp;$A560&amp;"|"&amp;C$557,'Transition Stepwise'!$E$2:$E$1137,0))</f>
        <v>22</v>
      </c>
      <c r="D560" s="38" t="n">
        <f aca="false">INDEX('Transition Stepwise'!$F$2:$F$1137,MATCH(70&amp;"|"&amp;$A560&amp;"|"&amp;D$557,'Transition Stepwise'!$E$2:$E$1137,0))</f>
        <v>44</v>
      </c>
      <c r="E560" s="38" t="n">
        <f aca="false">INDEX('Transition Stepwise'!$F$2:$F$1137,MATCH(70&amp;"|"&amp;$A560&amp;"|"&amp;E$557,'Transition Stepwise'!$E$2:$E$1137,0))</f>
        <v>6</v>
      </c>
      <c r="F560" s="38" t="n">
        <f aca="false">ROUND(SUM(B560:E560),9)</f>
        <v>75</v>
      </c>
    </row>
    <row r="561" customFormat="false" ht="15" hidden="false" customHeight="true" outlineLevel="0" collapsed="false">
      <c r="A561" s="41" t="s">
        <v>171</v>
      </c>
      <c r="B561" s="38" t="n">
        <f aca="false">INDEX('Transition Stepwise'!$F$2:$F$1137,MATCH(70&amp;"|"&amp;$A561&amp;"|"&amp;B$557,'Transition Stepwise'!$E$2:$E$1137,0))</f>
        <v>0</v>
      </c>
      <c r="C561" s="38" t="n">
        <f aca="false">INDEX('Transition Stepwise'!$F$2:$F$1137,MATCH(70&amp;"|"&amp;$A561&amp;"|"&amp;C$557,'Transition Stepwise'!$E$2:$E$1137,0))</f>
        <v>28</v>
      </c>
      <c r="D561" s="38" t="n">
        <f aca="false">INDEX('Transition Stepwise'!$F$2:$F$1137,MATCH(70&amp;"|"&amp;$A561&amp;"|"&amp;D$557,'Transition Stepwise'!$E$2:$E$1137,0))</f>
        <v>2</v>
      </c>
      <c r="E561" s="38" t="n">
        <f aca="false">INDEX('Transition Stepwise'!$F$2:$F$1137,MATCH(70&amp;"|"&amp;$A561&amp;"|"&amp;E$557,'Transition Stepwise'!$E$2:$E$1137,0))</f>
        <v>0</v>
      </c>
      <c r="F561" s="38" t="n">
        <f aca="false">ROUND(SUM(B561:E561),9)</f>
        <v>30</v>
      </c>
    </row>
    <row r="562" customFormat="false" ht="15" hidden="false" customHeight="true" outlineLevel="0" collapsed="false">
      <c r="A562" s="38"/>
      <c r="B562" s="38"/>
      <c r="C562" s="38"/>
      <c r="D562" s="38"/>
      <c r="E562" s="38"/>
      <c r="F562" s="38"/>
    </row>
    <row r="563" customFormat="false" ht="15" hidden="false" customHeight="true" outlineLevel="0" collapsed="false">
      <c r="A563" s="38"/>
      <c r="B563" s="38"/>
      <c r="C563" s="38"/>
      <c r="D563" s="38"/>
      <c r="E563" s="38"/>
      <c r="F563" s="38"/>
    </row>
    <row r="564" customFormat="false" ht="15" hidden="false" customHeight="true" outlineLevel="0" collapsed="false">
      <c r="A564" s="41" t="s">
        <v>764</v>
      </c>
      <c r="B564" s="38"/>
      <c r="C564" s="38"/>
      <c r="D564" s="38"/>
      <c r="E564" s="38"/>
      <c r="F564" s="38"/>
    </row>
    <row r="565" customFormat="false" ht="15" hidden="false" customHeight="true" outlineLevel="0" collapsed="false">
      <c r="A565" s="39" t="s">
        <v>693</v>
      </c>
      <c r="B565" s="39" t="s">
        <v>172</v>
      </c>
      <c r="C565" s="39" t="s">
        <v>170</v>
      </c>
      <c r="D565" s="39" t="s">
        <v>169</v>
      </c>
      <c r="E565" s="39" t="s">
        <v>171</v>
      </c>
      <c r="F565" s="39" t="s">
        <v>694</v>
      </c>
    </row>
    <row r="566" customFormat="false" ht="15" hidden="false" customHeight="true" outlineLevel="0" collapsed="false">
      <c r="A566" s="41" t="s">
        <v>172</v>
      </c>
      <c r="B566" s="38" t="n">
        <f aca="false">INDEX('Transition Stepwise'!$F$2:$F$1137,MATCH(71&amp;"|"&amp;$A566&amp;"|"&amp;B$565,'Transition Stepwise'!$E$2:$E$1137,0))</f>
        <v>0</v>
      </c>
      <c r="C566" s="38" t="n">
        <f aca="false">INDEX('Transition Stepwise'!$F$2:$F$1137,MATCH(71&amp;"|"&amp;$A566&amp;"|"&amp;C$565,'Transition Stepwise'!$E$2:$E$1137,0))</f>
        <v>4</v>
      </c>
      <c r="D566" s="38" t="n">
        <f aca="false">INDEX('Transition Stepwise'!$F$2:$F$1137,MATCH(71&amp;"|"&amp;$A566&amp;"|"&amp;D$565,'Transition Stepwise'!$E$2:$E$1137,0))</f>
        <v>1</v>
      </c>
      <c r="E566" s="38" t="n">
        <f aca="false">INDEX('Transition Stepwise'!$F$2:$F$1137,MATCH(71&amp;"|"&amp;$A566&amp;"|"&amp;E$565,'Transition Stepwise'!$E$2:$E$1137,0))</f>
        <v>0</v>
      </c>
      <c r="F566" s="38" t="n">
        <f aca="false">ROUND(SUM(B566:E566),9)</f>
        <v>5</v>
      </c>
    </row>
    <row r="567" customFormat="false" ht="15" hidden="false" customHeight="true" outlineLevel="0" collapsed="false">
      <c r="A567" s="41" t="s">
        <v>170</v>
      </c>
      <c r="B567" s="38" t="n">
        <f aca="false">INDEX('Transition Stepwise'!$F$2:$F$1137,MATCH(71&amp;"|"&amp;$A567&amp;"|"&amp;B$565,'Transition Stepwise'!$E$2:$E$1137,0))</f>
        <v>7</v>
      </c>
      <c r="C567" s="38" t="n">
        <f aca="false">INDEX('Transition Stepwise'!$F$2:$F$1137,MATCH(71&amp;"|"&amp;$A567&amp;"|"&amp;C$565,'Transition Stepwise'!$E$2:$E$1137,0))</f>
        <v>66</v>
      </c>
      <c r="D567" s="38" t="n">
        <f aca="false">INDEX('Transition Stepwise'!$F$2:$F$1137,MATCH(71&amp;"|"&amp;$A567&amp;"|"&amp;D$565,'Transition Stepwise'!$E$2:$E$1137,0))</f>
        <v>12</v>
      </c>
      <c r="E567" s="38" t="n">
        <f aca="false">INDEX('Transition Stepwise'!$F$2:$F$1137,MATCH(71&amp;"|"&amp;$A567&amp;"|"&amp;E$565,'Transition Stepwise'!$E$2:$E$1137,0))</f>
        <v>18</v>
      </c>
      <c r="F567" s="38" t="n">
        <f aca="false">ROUND(SUM(B567:E567),9)</f>
        <v>103</v>
      </c>
    </row>
    <row r="568" customFormat="false" ht="15" hidden="false" customHeight="true" outlineLevel="0" collapsed="false">
      <c r="A568" s="41" t="s">
        <v>169</v>
      </c>
      <c r="B568" s="38" t="n">
        <f aca="false">INDEX('Transition Stepwise'!$F$2:$F$1137,MATCH(71&amp;"|"&amp;$A568&amp;"|"&amp;B$565,'Transition Stepwise'!$E$2:$E$1137,0))</f>
        <v>9</v>
      </c>
      <c r="C568" s="38" t="n">
        <f aca="false">INDEX('Transition Stepwise'!$F$2:$F$1137,MATCH(71&amp;"|"&amp;$A568&amp;"|"&amp;C$565,'Transition Stepwise'!$E$2:$E$1137,0))</f>
        <v>66</v>
      </c>
      <c r="D568" s="38" t="n">
        <f aca="false">INDEX('Transition Stepwise'!$F$2:$F$1137,MATCH(71&amp;"|"&amp;$A568&amp;"|"&amp;D$565,'Transition Stepwise'!$E$2:$E$1137,0))</f>
        <v>4</v>
      </c>
      <c r="E568" s="38" t="n">
        <f aca="false">INDEX('Transition Stepwise'!$F$2:$F$1137,MATCH(71&amp;"|"&amp;$A568&amp;"|"&amp;E$565,'Transition Stepwise'!$E$2:$E$1137,0))</f>
        <v>3</v>
      </c>
      <c r="F568" s="38" t="n">
        <f aca="false">ROUND(SUM(B568:E568),9)</f>
        <v>82</v>
      </c>
    </row>
    <row r="569" customFormat="false" ht="15" hidden="false" customHeight="true" outlineLevel="0" collapsed="false">
      <c r="A569" s="41" t="s">
        <v>171</v>
      </c>
      <c r="B569" s="38" t="n">
        <f aca="false">INDEX('Transition Stepwise'!$F$2:$F$1137,MATCH(71&amp;"|"&amp;$A569&amp;"|"&amp;B$565,'Transition Stepwise'!$E$2:$E$1137,0))</f>
        <v>0</v>
      </c>
      <c r="C569" s="38" t="n">
        <f aca="false">INDEX('Transition Stepwise'!$F$2:$F$1137,MATCH(71&amp;"|"&amp;$A569&amp;"|"&amp;C$565,'Transition Stepwise'!$E$2:$E$1137,0))</f>
        <v>9</v>
      </c>
      <c r="D569" s="38" t="n">
        <f aca="false">INDEX('Transition Stepwise'!$F$2:$F$1137,MATCH(71&amp;"|"&amp;$A569&amp;"|"&amp;D$565,'Transition Stepwise'!$E$2:$E$1137,0))</f>
        <v>0</v>
      </c>
      <c r="E569" s="38" t="n">
        <f aca="false">INDEX('Transition Stepwise'!$F$2:$F$1137,MATCH(71&amp;"|"&amp;$A569&amp;"|"&amp;E$565,'Transition Stepwise'!$E$2:$E$1137,0))</f>
        <v>0</v>
      </c>
      <c r="F569" s="38" t="n">
        <f aca="false">ROUND(SUM(B569:E569),9)</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9"/>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6" min="2" style="0" width="12"/>
  </cols>
  <sheetData>
    <row r="1" customFormat="false" ht="15" hidden="false" customHeight="true" outlineLevel="0" collapsed="false">
      <c r="A1" s="37" t="s">
        <v>765</v>
      </c>
      <c r="B1" s="38"/>
      <c r="C1" s="38"/>
      <c r="D1" s="38"/>
      <c r="E1" s="38"/>
      <c r="F1" s="38"/>
    </row>
    <row r="2" customFormat="false" ht="15" hidden="false" customHeight="true" outlineLevel="0" collapsed="false">
      <c r="A2" s="38" t="s">
        <v>691</v>
      </c>
      <c r="B2" s="38"/>
      <c r="C2" s="38"/>
      <c r="D2" s="38"/>
      <c r="E2" s="38"/>
      <c r="F2" s="38"/>
    </row>
    <row r="3" customFormat="false" ht="15" hidden="false" customHeight="true" outlineLevel="0" collapsed="false">
      <c r="A3" s="38"/>
      <c r="B3" s="38"/>
      <c r="C3" s="38"/>
      <c r="D3" s="38"/>
      <c r="E3" s="38"/>
      <c r="F3" s="38"/>
    </row>
    <row r="4" customFormat="false" ht="15" hidden="false" customHeight="true" outlineLevel="0" collapsed="false">
      <c r="A4" s="41" t="s">
        <v>692</v>
      </c>
      <c r="B4" s="38"/>
      <c r="C4" s="38"/>
      <c r="D4" s="38"/>
      <c r="E4" s="38"/>
      <c r="F4" s="38"/>
    </row>
    <row r="5" customFormat="false" ht="15" hidden="false" customHeight="true" outlineLevel="0" collapsed="false">
      <c r="A5" s="39" t="s">
        <v>693</v>
      </c>
      <c r="B5" s="39" t="s">
        <v>172</v>
      </c>
      <c r="C5" s="39" t="s">
        <v>170</v>
      </c>
      <c r="D5" s="39" t="s">
        <v>169</v>
      </c>
      <c r="E5" s="39" t="s">
        <v>171</v>
      </c>
      <c r="F5" s="39" t="s">
        <v>766</v>
      </c>
    </row>
    <row r="6" customFormat="false" ht="15" hidden="false" customHeight="true" outlineLevel="0" collapsed="false">
      <c r="A6" s="41" t="s">
        <v>172</v>
      </c>
      <c r="B6" s="45" t="n">
        <f aca="false">INDEX('Transition Stepwise'!$J$2:$J$1137,MATCH(1&amp;"|"&amp;$A6&amp;"|"&amp;B$5,'Transition Stepwise'!$E$2:$E$1137,0))</f>
        <v>0.0588235294117647</v>
      </c>
      <c r="C6" s="45" t="n">
        <f aca="false">INDEX('Transition Stepwise'!$J$2:$J$1137,MATCH(1&amp;"|"&amp;$A6&amp;"|"&amp;C$5,'Transition Stepwise'!$E$2:$E$1137,0))</f>
        <v>0.117647058823529</v>
      </c>
      <c r="D6" s="45" t="n">
        <f aca="false">INDEX('Transition Stepwise'!$J$2:$J$1137,MATCH(1&amp;"|"&amp;$A6&amp;"|"&amp;D$5,'Transition Stepwise'!$E$2:$E$1137,0))</f>
        <v>0.764705882352941</v>
      </c>
      <c r="E6" s="45" t="n">
        <f aca="false">INDEX('Transition Stepwise'!$J$2:$J$1137,MATCH(1&amp;"|"&amp;$A6&amp;"|"&amp;E$5,'Transition Stepwise'!$E$2:$E$1137,0))</f>
        <v>0.0588235294117647</v>
      </c>
      <c r="F6" s="38" t="n">
        <f aca="false">ROUND(SUM(B6:E6),9)</f>
        <v>1</v>
      </c>
    </row>
    <row r="7" customFormat="false" ht="15" hidden="false" customHeight="true" outlineLevel="0" collapsed="false">
      <c r="A7" s="41" t="s">
        <v>170</v>
      </c>
      <c r="B7" s="45" t="n">
        <f aca="false">INDEX('Transition Stepwise'!$J$2:$J$1137,MATCH(1&amp;"|"&amp;$A7&amp;"|"&amp;B$5,'Transition Stepwise'!$E$2:$E$1137,0))</f>
        <v>0.04</v>
      </c>
      <c r="C7" s="45" t="n">
        <f aca="false">INDEX('Transition Stepwise'!$J$2:$J$1137,MATCH(1&amp;"|"&amp;$A7&amp;"|"&amp;C$5,'Transition Stepwise'!$E$2:$E$1137,0))</f>
        <v>0.2</v>
      </c>
      <c r="D7" s="45" t="n">
        <f aca="false">INDEX('Transition Stepwise'!$J$2:$J$1137,MATCH(1&amp;"|"&amp;$A7&amp;"|"&amp;D$5,'Transition Stepwise'!$E$2:$E$1137,0))</f>
        <v>0.68</v>
      </c>
      <c r="E7" s="45" t="n">
        <f aca="false">INDEX('Transition Stepwise'!$J$2:$J$1137,MATCH(1&amp;"|"&amp;$A7&amp;"|"&amp;E$5,'Transition Stepwise'!$E$2:$E$1137,0))</f>
        <v>0.08</v>
      </c>
      <c r="F7" s="38" t="n">
        <f aca="false">ROUND(SUM(B7:E7),9)</f>
        <v>1</v>
      </c>
    </row>
    <row r="8" customFormat="false" ht="15" hidden="false" customHeight="true" outlineLevel="0" collapsed="false">
      <c r="A8" s="41" t="s">
        <v>169</v>
      </c>
      <c r="B8" s="45" t="n">
        <f aca="false">INDEX('Transition Stepwise'!$J$2:$J$1137,MATCH(1&amp;"|"&amp;$A8&amp;"|"&amp;B$5,'Transition Stepwise'!$E$2:$E$1137,0))</f>
        <v>0.0448717948717949</v>
      </c>
      <c r="C8" s="45" t="n">
        <f aca="false">INDEX('Transition Stepwise'!$J$2:$J$1137,MATCH(1&amp;"|"&amp;$A8&amp;"|"&amp;C$5,'Transition Stepwise'!$E$2:$E$1137,0))</f>
        <v>0.442307692307692</v>
      </c>
      <c r="D8" s="45" t="n">
        <f aca="false">INDEX('Transition Stepwise'!$J$2:$J$1137,MATCH(1&amp;"|"&amp;$A8&amp;"|"&amp;D$5,'Transition Stepwise'!$E$2:$E$1137,0))</f>
        <v>0.474358974358974</v>
      </c>
      <c r="E8" s="45" t="n">
        <f aca="false">INDEX('Transition Stepwise'!$J$2:$J$1137,MATCH(1&amp;"|"&amp;$A8&amp;"|"&amp;E$5,'Transition Stepwise'!$E$2:$E$1137,0))</f>
        <v>0.0384615384615385</v>
      </c>
      <c r="F8" s="38" t="n">
        <f aca="false">ROUND(SUM(B8:E8),9)</f>
        <v>1</v>
      </c>
    </row>
    <row r="9" customFormat="false" ht="15" hidden="false" customHeight="true" outlineLevel="0" collapsed="false">
      <c r="A9" s="41" t="s">
        <v>171</v>
      </c>
      <c r="B9" s="45" t="n">
        <f aca="false">INDEX('Transition Stepwise'!$J$2:$J$1137,MATCH(1&amp;"|"&amp;$A9&amp;"|"&amp;B$5,'Transition Stepwise'!$E$2:$E$1137,0))</f>
        <v>0.0588235294117647</v>
      </c>
      <c r="C9" s="45" t="n">
        <f aca="false">INDEX('Transition Stepwise'!$J$2:$J$1137,MATCH(1&amp;"|"&amp;$A9&amp;"|"&amp;C$5,'Transition Stepwise'!$E$2:$E$1137,0))</f>
        <v>0.588235294117647</v>
      </c>
      <c r="D9" s="45" t="n">
        <f aca="false">INDEX('Transition Stepwise'!$J$2:$J$1137,MATCH(1&amp;"|"&amp;$A9&amp;"|"&amp;D$5,'Transition Stepwise'!$E$2:$E$1137,0))</f>
        <v>0.294117647058824</v>
      </c>
      <c r="E9" s="45" t="n">
        <f aca="false">INDEX('Transition Stepwise'!$J$2:$J$1137,MATCH(1&amp;"|"&amp;$A9&amp;"|"&amp;E$5,'Transition Stepwise'!$E$2:$E$1137,0))</f>
        <v>0.0588235294117647</v>
      </c>
      <c r="F9" s="38" t="n">
        <f aca="false">ROUND(SUM(B9:E9),9)</f>
        <v>1</v>
      </c>
    </row>
    <row r="10" customFormat="false" ht="15" hidden="false" customHeight="true" outlineLevel="0" collapsed="false">
      <c r="A10" s="38"/>
      <c r="B10" s="38"/>
      <c r="C10" s="38"/>
      <c r="D10" s="38"/>
      <c r="E10" s="38"/>
      <c r="F10" s="38"/>
    </row>
    <row r="11" customFormat="false" ht="15" hidden="false" customHeight="true" outlineLevel="0" collapsed="false">
      <c r="A11" s="38"/>
      <c r="B11" s="38"/>
      <c r="C11" s="38"/>
      <c r="D11" s="38"/>
      <c r="E11" s="38"/>
      <c r="F11" s="38"/>
    </row>
    <row r="12" customFormat="false" ht="15" hidden="false" customHeight="true" outlineLevel="0" collapsed="false">
      <c r="A12" s="41" t="s">
        <v>695</v>
      </c>
      <c r="B12" s="38"/>
      <c r="C12" s="38"/>
      <c r="D12" s="38"/>
      <c r="E12" s="38"/>
      <c r="F12" s="38"/>
    </row>
    <row r="13" customFormat="false" ht="15" hidden="false" customHeight="true" outlineLevel="0" collapsed="false">
      <c r="A13" s="39" t="s">
        <v>693</v>
      </c>
      <c r="B13" s="39" t="s">
        <v>172</v>
      </c>
      <c r="C13" s="39" t="s">
        <v>170</v>
      </c>
      <c r="D13" s="39" t="s">
        <v>169</v>
      </c>
      <c r="E13" s="39" t="s">
        <v>171</v>
      </c>
      <c r="F13" s="39" t="s">
        <v>766</v>
      </c>
    </row>
    <row r="14" customFormat="false" ht="15" hidden="false" customHeight="true" outlineLevel="0" collapsed="false">
      <c r="A14" s="41" t="s">
        <v>172</v>
      </c>
      <c r="B14" s="45" t="n">
        <f aca="false">INDEX('Transition Stepwise'!$J$2:$J$1137,MATCH(2&amp;"|"&amp;$A14&amp;"|"&amp;B$13,'Transition Stepwise'!$E$2:$E$1137,0))</f>
        <v>0.1</v>
      </c>
      <c r="C14" s="45" t="n">
        <f aca="false">INDEX('Transition Stepwise'!$J$2:$J$1137,MATCH(2&amp;"|"&amp;$A14&amp;"|"&amp;C$13,'Transition Stepwise'!$E$2:$E$1137,0))</f>
        <v>0.6</v>
      </c>
      <c r="D14" s="45" t="n">
        <f aca="false">INDEX('Transition Stepwise'!$J$2:$J$1137,MATCH(2&amp;"|"&amp;$A14&amp;"|"&amp;D$13,'Transition Stepwise'!$E$2:$E$1137,0))</f>
        <v>0.2</v>
      </c>
      <c r="E14" s="45" t="n">
        <f aca="false">INDEX('Transition Stepwise'!$J$2:$J$1137,MATCH(2&amp;"|"&amp;$A14&amp;"|"&amp;E$13,'Transition Stepwise'!$E$2:$E$1137,0))</f>
        <v>0.1</v>
      </c>
      <c r="F14" s="38" t="n">
        <f aca="false">ROUND(SUM(B14:E14),9)</f>
        <v>1</v>
      </c>
    </row>
    <row r="15" customFormat="false" ht="15" hidden="false" customHeight="true" outlineLevel="0" collapsed="false">
      <c r="A15" s="41" t="s">
        <v>170</v>
      </c>
      <c r="B15" s="45" t="n">
        <f aca="false">INDEX('Transition Stepwise'!$J$2:$J$1137,MATCH(2&amp;"|"&amp;$A15&amp;"|"&amp;B$13,'Transition Stepwise'!$E$2:$E$1137,0))</f>
        <v>0.0348837209302326</v>
      </c>
      <c r="C15" s="45" t="n">
        <f aca="false">INDEX('Transition Stepwise'!$J$2:$J$1137,MATCH(2&amp;"|"&amp;$A15&amp;"|"&amp;C$13,'Transition Stepwise'!$E$2:$E$1137,0))</f>
        <v>0.523255813953488</v>
      </c>
      <c r="D15" s="45" t="n">
        <f aca="false">INDEX('Transition Stepwise'!$J$2:$J$1137,MATCH(2&amp;"|"&amp;$A15&amp;"|"&amp;D$13,'Transition Stepwise'!$E$2:$E$1137,0))</f>
        <v>0.267441860465116</v>
      </c>
      <c r="E15" s="45" t="n">
        <f aca="false">INDEX('Transition Stepwise'!$J$2:$J$1137,MATCH(2&amp;"|"&amp;$A15&amp;"|"&amp;E$13,'Transition Stepwise'!$E$2:$E$1137,0))</f>
        <v>0.174418604651163</v>
      </c>
      <c r="F15" s="38" t="n">
        <f aca="false">ROUND(SUM(B15:E15),9)</f>
        <v>1</v>
      </c>
    </row>
    <row r="16" customFormat="false" ht="15" hidden="false" customHeight="true" outlineLevel="0" collapsed="false">
      <c r="A16" s="41" t="s">
        <v>169</v>
      </c>
      <c r="B16" s="45" t="n">
        <f aca="false">INDEX('Transition Stepwise'!$J$2:$J$1137,MATCH(2&amp;"|"&amp;$A16&amp;"|"&amp;B$13,'Transition Stepwise'!$E$2:$E$1137,0))</f>
        <v>0.119266055045872</v>
      </c>
      <c r="C16" s="45" t="n">
        <f aca="false">INDEX('Transition Stepwise'!$J$2:$J$1137,MATCH(2&amp;"|"&amp;$A16&amp;"|"&amp;C$13,'Transition Stepwise'!$E$2:$E$1137,0))</f>
        <v>0.229357798165138</v>
      </c>
      <c r="D16" s="45" t="n">
        <f aca="false">INDEX('Transition Stepwise'!$J$2:$J$1137,MATCH(2&amp;"|"&amp;$A16&amp;"|"&amp;D$13,'Transition Stepwise'!$E$2:$E$1137,0))</f>
        <v>0.568807339449541</v>
      </c>
      <c r="E16" s="45" t="n">
        <f aca="false">INDEX('Transition Stepwise'!$J$2:$J$1137,MATCH(2&amp;"|"&amp;$A16&amp;"|"&amp;E$13,'Transition Stepwise'!$E$2:$E$1137,0))</f>
        <v>0.0825688073394496</v>
      </c>
      <c r="F16" s="38" t="n">
        <f aca="false">ROUND(SUM(B16:E16),9)</f>
        <v>1</v>
      </c>
    </row>
    <row r="17" customFormat="false" ht="15" hidden="false" customHeight="true" outlineLevel="0" collapsed="false">
      <c r="A17" s="41" t="s">
        <v>171</v>
      </c>
      <c r="B17" s="45" t="n">
        <f aca="false">INDEX('Transition Stepwise'!$J$2:$J$1137,MATCH(2&amp;"|"&amp;$A17&amp;"|"&amp;B$13,'Transition Stepwise'!$E$2:$E$1137,0))</f>
        <v>0.1</v>
      </c>
      <c r="C17" s="45" t="n">
        <f aca="false">INDEX('Transition Stepwise'!$J$2:$J$1137,MATCH(2&amp;"|"&amp;$A17&amp;"|"&amp;C$13,'Transition Stepwise'!$E$2:$E$1137,0))</f>
        <v>0.5</v>
      </c>
      <c r="D17" s="45" t="n">
        <f aca="false">INDEX('Transition Stepwise'!$J$2:$J$1137,MATCH(2&amp;"|"&amp;$A17&amp;"|"&amp;D$13,'Transition Stepwise'!$E$2:$E$1137,0))</f>
        <v>0.2</v>
      </c>
      <c r="E17" s="45" t="n">
        <f aca="false">INDEX('Transition Stepwise'!$J$2:$J$1137,MATCH(2&amp;"|"&amp;$A17&amp;"|"&amp;E$13,'Transition Stepwise'!$E$2:$E$1137,0))</f>
        <v>0.2</v>
      </c>
      <c r="F17" s="38" t="n">
        <f aca="false">ROUND(SUM(B17:E17),9)</f>
        <v>1</v>
      </c>
    </row>
    <row r="18" customFormat="false" ht="15" hidden="false" customHeight="true" outlineLevel="0" collapsed="false">
      <c r="A18" s="38"/>
      <c r="B18" s="38"/>
      <c r="C18" s="38"/>
      <c r="D18" s="38"/>
      <c r="E18" s="38"/>
      <c r="F18" s="38"/>
    </row>
    <row r="19" customFormat="false" ht="15" hidden="false" customHeight="true" outlineLevel="0" collapsed="false">
      <c r="A19" s="38"/>
      <c r="B19" s="38"/>
      <c r="C19" s="38"/>
      <c r="D19" s="38"/>
      <c r="E19" s="38"/>
      <c r="F19" s="38"/>
    </row>
    <row r="20" customFormat="false" ht="15" hidden="false" customHeight="true" outlineLevel="0" collapsed="false">
      <c r="A20" s="41" t="s">
        <v>696</v>
      </c>
      <c r="B20" s="38"/>
      <c r="C20" s="38"/>
      <c r="D20" s="38"/>
      <c r="E20" s="38"/>
      <c r="F20" s="38"/>
    </row>
    <row r="21" customFormat="false" ht="15" hidden="false" customHeight="true" outlineLevel="0" collapsed="false">
      <c r="A21" s="39" t="s">
        <v>693</v>
      </c>
      <c r="B21" s="39" t="s">
        <v>172</v>
      </c>
      <c r="C21" s="39" t="s">
        <v>170</v>
      </c>
      <c r="D21" s="39" t="s">
        <v>169</v>
      </c>
      <c r="E21" s="39" t="s">
        <v>171</v>
      </c>
      <c r="F21" s="39" t="s">
        <v>766</v>
      </c>
    </row>
    <row r="22" customFormat="false" ht="15" hidden="false" customHeight="true" outlineLevel="0" collapsed="false">
      <c r="A22" s="41" t="s">
        <v>172</v>
      </c>
      <c r="B22" s="45" t="n">
        <f aca="false">INDEX('Transition Stepwise'!$J$2:$J$1137,MATCH(3&amp;"|"&amp;$A22&amp;"|"&amp;B$21,'Transition Stepwise'!$E$2:$E$1137,0))</f>
        <v>0.166666666666667</v>
      </c>
      <c r="C22" s="45" t="n">
        <f aca="false">INDEX('Transition Stepwise'!$J$2:$J$1137,MATCH(3&amp;"|"&amp;$A22&amp;"|"&amp;C$21,'Transition Stepwise'!$E$2:$E$1137,0))</f>
        <v>0.222222222222222</v>
      </c>
      <c r="D22" s="45" t="n">
        <f aca="false">INDEX('Transition Stepwise'!$J$2:$J$1137,MATCH(3&amp;"|"&amp;$A22&amp;"|"&amp;D$21,'Transition Stepwise'!$E$2:$E$1137,0))</f>
        <v>0.555555555555556</v>
      </c>
      <c r="E22" s="45" t="n">
        <f aca="false">INDEX('Transition Stepwise'!$J$2:$J$1137,MATCH(3&amp;"|"&amp;$A22&amp;"|"&amp;E$21,'Transition Stepwise'!$E$2:$E$1137,0))</f>
        <v>0.0555555555555556</v>
      </c>
      <c r="F22" s="38" t="n">
        <f aca="false">ROUND(SUM(B22:E22),9)</f>
        <v>1</v>
      </c>
    </row>
    <row r="23" customFormat="false" ht="15" hidden="false" customHeight="true" outlineLevel="0" collapsed="false">
      <c r="A23" s="41" t="s">
        <v>170</v>
      </c>
      <c r="B23" s="45" t="n">
        <f aca="false">INDEX('Transition Stepwise'!$J$2:$J$1137,MATCH(3&amp;"|"&amp;$A23&amp;"|"&amp;B$21,'Transition Stepwise'!$E$2:$E$1137,0))</f>
        <v>0.0987654320987654</v>
      </c>
      <c r="C23" s="45" t="n">
        <f aca="false">INDEX('Transition Stepwise'!$J$2:$J$1137,MATCH(3&amp;"|"&amp;$A23&amp;"|"&amp;C$21,'Transition Stepwise'!$E$2:$E$1137,0))</f>
        <v>0.283950617283951</v>
      </c>
      <c r="D23" s="45" t="n">
        <f aca="false">INDEX('Transition Stepwise'!$J$2:$J$1137,MATCH(3&amp;"|"&amp;$A23&amp;"|"&amp;D$21,'Transition Stepwise'!$E$2:$E$1137,0))</f>
        <v>0.395061728395062</v>
      </c>
      <c r="E23" s="45" t="n">
        <f aca="false">INDEX('Transition Stepwise'!$J$2:$J$1137,MATCH(3&amp;"|"&amp;$A23&amp;"|"&amp;E$21,'Transition Stepwise'!$E$2:$E$1137,0))</f>
        <v>0.222222222222222</v>
      </c>
      <c r="F23" s="38" t="n">
        <f aca="false">ROUND(SUM(B23:E23),9)</f>
        <v>1</v>
      </c>
    </row>
    <row r="24" customFormat="false" ht="15" hidden="false" customHeight="true" outlineLevel="0" collapsed="false">
      <c r="A24" s="41" t="s">
        <v>169</v>
      </c>
      <c r="B24" s="45" t="n">
        <f aca="false">INDEX('Transition Stepwise'!$J$2:$J$1137,MATCH(3&amp;"|"&amp;$A24&amp;"|"&amp;B$21,'Transition Stepwise'!$E$2:$E$1137,0))</f>
        <v>0.0786516853932584</v>
      </c>
      <c r="C24" s="45" t="n">
        <f aca="false">INDEX('Transition Stepwise'!$J$2:$J$1137,MATCH(3&amp;"|"&amp;$A24&amp;"|"&amp;C$21,'Transition Stepwise'!$E$2:$E$1137,0))</f>
        <v>0.325842696629214</v>
      </c>
      <c r="D24" s="45" t="n">
        <f aca="false">INDEX('Transition Stepwise'!$J$2:$J$1137,MATCH(3&amp;"|"&amp;$A24&amp;"|"&amp;D$21,'Transition Stepwise'!$E$2:$E$1137,0))</f>
        <v>0.460674157303371</v>
      </c>
      <c r="E24" s="45" t="n">
        <f aca="false">INDEX('Transition Stepwise'!$J$2:$J$1137,MATCH(3&amp;"|"&amp;$A24&amp;"|"&amp;E$21,'Transition Stepwise'!$E$2:$E$1137,0))</f>
        <v>0.134831460674157</v>
      </c>
      <c r="F24" s="38" t="n">
        <f aca="false">ROUND(SUM(B24:E24),9)</f>
        <v>1</v>
      </c>
    </row>
    <row r="25" customFormat="false" ht="15" hidden="false" customHeight="true" outlineLevel="0" collapsed="false">
      <c r="A25" s="41" t="s">
        <v>171</v>
      </c>
      <c r="B25" s="45" t="n">
        <f aca="false">INDEX('Transition Stepwise'!$J$2:$J$1137,MATCH(3&amp;"|"&amp;$A25&amp;"|"&amp;B$21,'Transition Stepwise'!$E$2:$E$1137,0))</f>
        <v>0.037037037037037</v>
      </c>
      <c r="C25" s="45" t="n">
        <f aca="false">INDEX('Transition Stepwise'!$J$2:$J$1137,MATCH(3&amp;"|"&amp;$A25&amp;"|"&amp;C$21,'Transition Stepwise'!$E$2:$E$1137,0))</f>
        <v>0.333333333333333</v>
      </c>
      <c r="D25" s="45" t="n">
        <f aca="false">INDEX('Transition Stepwise'!$J$2:$J$1137,MATCH(3&amp;"|"&amp;$A25&amp;"|"&amp;D$21,'Transition Stepwise'!$E$2:$E$1137,0))</f>
        <v>0.37037037037037</v>
      </c>
      <c r="E25" s="45" t="n">
        <f aca="false">INDEX('Transition Stepwise'!$J$2:$J$1137,MATCH(3&amp;"|"&amp;$A25&amp;"|"&amp;E$21,'Transition Stepwise'!$E$2:$E$1137,0))</f>
        <v>0.259259259259259</v>
      </c>
      <c r="F25" s="38" t="n">
        <f aca="false">ROUND(SUM(B25:E25),9)</f>
        <v>1</v>
      </c>
    </row>
    <row r="26" customFormat="false" ht="15" hidden="false" customHeight="true" outlineLevel="0" collapsed="false">
      <c r="A26" s="38"/>
      <c r="B26" s="38"/>
      <c r="C26" s="38"/>
      <c r="D26" s="38"/>
      <c r="E26" s="38"/>
      <c r="F26" s="38"/>
    </row>
    <row r="27" customFormat="false" ht="15" hidden="false" customHeight="true" outlineLevel="0" collapsed="false">
      <c r="A27" s="38"/>
      <c r="B27" s="38"/>
      <c r="C27" s="38"/>
      <c r="D27" s="38"/>
      <c r="E27" s="38"/>
      <c r="F27" s="38"/>
    </row>
    <row r="28" customFormat="false" ht="15" hidden="false" customHeight="true" outlineLevel="0" collapsed="false">
      <c r="A28" s="41" t="s">
        <v>697</v>
      </c>
      <c r="B28" s="38"/>
      <c r="C28" s="38"/>
      <c r="D28" s="38"/>
      <c r="E28" s="38"/>
      <c r="F28" s="38"/>
    </row>
    <row r="29" customFormat="false" ht="15" hidden="false" customHeight="true" outlineLevel="0" collapsed="false">
      <c r="A29" s="39" t="s">
        <v>693</v>
      </c>
      <c r="B29" s="39" t="s">
        <v>172</v>
      </c>
      <c r="C29" s="39" t="s">
        <v>170</v>
      </c>
      <c r="D29" s="39" t="s">
        <v>169</v>
      </c>
      <c r="E29" s="39" t="s">
        <v>171</v>
      </c>
      <c r="F29" s="39" t="s">
        <v>766</v>
      </c>
    </row>
    <row r="30" customFormat="false" ht="15" hidden="false" customHeight="true" outlineLevel="0" collapsed="false">
      <c r="A30" s="41" t="s">
        <v>172</v>
      </c>
      <c r="B30" s="45" t="n">
        <f aca="false">INDEX('Transition Stepwise'!$J$2:$J$1137,MATCH(4&amp;"|"&amp;$A30&amp;"|"&amp;B$29,'Transition Stepwise'!$E$2:$E$1137,0))</f>
        <v>0.263157894736842</v>
      </c>
      <c r="C30" s="45" t="n">
        <f aca="false">INDEX('Transition Stepwise'!$J$2:$J$1137,MATCH(4&amp;"|"&amp;$A30&amp;"|"&amp;C$29,'Transition Stepwise'!$E$2:$E$1137,0))</f>
        <v>0.210526315789474</v>
      </c>
      <c r="D30" s="45" t="n">
        <f aca="false">INDEX('Transition Stepwise'!$J$2:$J$1137,MATCH(4&amp;"|"&amp;$A30&amp;"|"&amp;D$29,'Transition Stepwise'!$E$2:$E$1137,0))</f>
        <v>0.421052631578947</v>
      </c>
      <c r="E30" s="45" t="n">
        <f aca="false">INDEX('Transition Stepwise'!$J$2:$J$1137,MATCH(4&amp;"|"&amp;$A30&amp;"|"&amp;E$29,'Transition Stepwise'!$E$2:$E$1137,0))</f>
        <v>0.105263157894737</v>
      </c>
      <c r="F30" s="38" t="n">
        <f aca="false">ROUND(SUM(B30:E30),9)</f>
        <v>1</v>
      </c>
    </row>
    <row r="31" customFormat="false" ht="15" hidden="false" customHeight="true" outlineLevel="0" collapsed="false">
      <c r="A31" s="41" t="s">
        <v>170</v>
      </c>
      <c r="B31" s="45" t="n">
        <f aca="false">INDEX('Transition Stepwise'!$J$2:$J$1137,MATCH(4&amp;"|"&amp;$A31&amp;"|"&amp;B$29,'Transition Stepwise'!$E$2:$E$1137,0))</f>
        <v>0.0615384615384615</v>
      </c>
      <c r="C31" s="45" t="n">
        <f aca="false">INDEX('Transition Stepwise'!$J$2:$J$1137,MATCH(4&amp;"|"&amp;$A31&amp;"|"&amp;C$29,'Transition Stepwise'!$E$2:$E$1137,0))</f>
        <v>0.6</v>
      </c>
      <c r="D31" s="45" t="n">
        <f aca="false">INDEX('Transition Stepwise'!$J$2:$J$1137,MATCH(4&amp;"|"&amp;$A31&amp;"|"&amp;D$29,'Transition Stepwise'!$E$2:$E$1137,0))</f>
        <v>0.215384615384615</v>
      </c>
      <c r="E31" s="45" t="n">
        <f aca="false">INDEX('Transition Stepwise'!$J$2:$J$1137,MATCH(4&amp;"|"&amp;$A31&amp;"|"&amp;E$29,'Transition Stepwise'!$E$2:$E$1137,0))</f>
        <v>0.123076923076923</v>
      </c>
      <c r="F31" s="38" t="n">
        <f aca="false">ROUND(SUM(B31:E31),9)</f>
        <v>1</v>
      </c>
    </row>
    <row r="32" customFormat="false" ht="15" hidden="false" customHeight="true" outlineLevel="0" collapsed="false">
      <c r="A32" s="41" t="s">
        <v>169</v>
      </c>
      <c r="B32" s="45" t="n">
        <f aca="false">INDEX('Transition Stepwise'!$J$2:$J$1137,MATCH(4&amp;"|"&amp;$A32&amp;"|"&amp;B$29,'Transition Stepwise'!$E$2:$E$1137,0))</f>
        <v>0.225806451612903</v>
      </c>
      <c r="C32" s="45" t="n">
        <f aca="false">INDEX('Transition Stepwise'!$J$2:$J$1137,MATCH(4&amp;"|"&amp;$A32&amp;"|"&amp;C$29,'Transition Stepwise'!$E$2:$E$1137,0))</f>
        <v>0.225806451612903</v>
      </c>
      <c r="D32" s="45" t="n">
        <f aca="false">INDEX('Transition Stepwise'!$J$2:$J$1137,MATCH(4&amp;"|"&amp;$A32&amp;"|"&amp;D$29,'Transition Stepwise'!$E$2:$E$1137,0))</f>
        <v>0.473118279569893</v>
      </c>
      <c r="E32" s="45" t="n">
        <f aca="false">INDEX('Transition Stepwise'!$J$2:$J$1137,MATCH(4&amp;"|"&amp;$A32&amp;"|"&amp;E$29,'Transition Stepwise'!$E$2:$E$1137,0))</f>
        <v>0.0752688172043011</v>
      </c>
      <c r="F32" s="38" t="n">
        <f aca="false">ROUND(SUM(B32:E32),9)</f>
        <v>1</v>
      </c>
    </row>
    <row r="33" customFormat="false" ht="15" hidden="false" customHeight="true" outlineLevel="0" collapsed="false">
      <c r="A33" s="41" t="s">
        <v>171</v>
      </c>
      <c r="B33" s="45" t="n">
        <f aca="false">INDEX('Transition Stepwise'!$J$2:$J$1137,MATCH(4&amp;"|"&amp;$A33&amp;"|"&amp;B$29,'Transition Stepwise'!$E$2:$E$1137,0))</f>
        <v>0.105263157894737</v>
      </c>
      <c r="C33" s="45" t="n">
        <f aca="false">INDEX('Transition Stepwise'!$J$2:$J$1137,MATCH(4&amp;"|"&amp;$A33&amp;"|"&amp;C$29,'Transition Stepwise'!$E$2:$E$1137,0))</f>
        <v>0.5</v>
      </c>
      <c r="D33" s="45" t="n">
        <f aca="false">INDEX('Transition Stepwise'!$J$2:$J$1137,MATCH(4&amp;"|"&amp;$A33&amp;"|"&amp;D$29,'Transition Stepwise'!$E$2:$E$1137,0))</f>
        <v>0.184210526315789</v>
      </c>
      <c r="E33" s="45" t="n">
        <f aca="false">INDEX('Transition Stepwise'!$J$2:$J$1137,MATCH(4&amp;"|"&amp;$A33&amp;"|"&amp;E$29,'Transition Stepwise'!$E$2:$E$1137,0))</f>
        <v>0.210526315789474</v>
      </c>
      <c r="F33" s="38" t="n">
        <f aca="false">ROUND(SUM(B33:E33),9)</f>
        <v>1</v>
      </c>
    </row>
    <row r="34" customFormat="false" ht="15" hidden="false" customHeight="true" outlineLevel="0" collapsed="false">
      <c r="A34" s="38"/>
      <c r="B34" s="38"/>
      <c r="C34" s="38"/>
      <c r="D34" s="38"/>
      <c r="E34" s="38"/>
      <c r="F34" s="38"/>
    </row>
    <row r="35" customFormat="false" ht="15" hidden="false" customHeight="true" outlineLevel="0" collapsed="false">
      <c r="A35" s="38"/>
      <c r="B35" s="38"/>
      <c r="C35" s="38"/>
      <c r="D35" s="38"/>
      <c r="E35" s="38"/>
      <c r="F35" s="38"/>
    </row>
    <row r="36" customFormat="false" ht="15" hidden="false" customHeight="true" outlineLevel="0" collapsed="false">
      <c r="A36" s="41" t="s">
        <v>698</v>
      </c>
      <c r="B36" s="38"/>
      <c r="C36" s="38"/>
      <c r="D36" s="38"/>
      <c r="E36" s="38"/>
      <c r="F36" s="38"/>
    </row>
    <row r="37" customFormat="false" ht="15" hidden="false" customHeight="true" outlineLevel="0" collapsed="false">
      <c r="A37" s="39" t="s">
        <v>693</v>
      </c>
      <c r="B37" s="39" t="s">
        <v>172</v>
      </c>
      <c r="C37" s="39" t="s">
        <v>170</v>
      </c>
      <c r="D37" s="39" t="s">
        <v>169</v>
      </c>
      <c r="E37" s="39" t="s">
        <v>171</v>
      </c>
      <c r="F37" s="39" t="s">
        <v>766</v>
      </c>
    </row>
    <row r="38" customFormat="false" ht="15" hidden="false" customHeight="true" outlineLevel="0" collapsed="false">
      <c r="A38" s="41" t="s">
        <v>172</v>
      </c>
      <c r="B38" s="45" t="n">
        <f aca="false">INDEX('Transition Stepwise'!$J$2:$J$1137,MATCH(5&amp;"|"&amp;$A38&amp;"|"&amp;B$37,'Transition Stepwise'!$E$2:$E$1137,0))</f>
        <v>0.205882352941176</v>
      </c>
      <c r="C38" s="45" t="n">
        <f aca="false">INDEX('Transition Stepwise'!$J$2:$J$1137,MATCH(5&amp;"|"&amp;$A38&amp;"|"&amp;C$37,'Transition Stepwise'!$E$2:$E$1137,0))</f>
        <v>0.264705882352941</v>
      </c>
      <c r="D38" s="45" t="n">
        <f aca="false">INDEX('Transition Stepwise'!$J$2:$J$1137,MATCH(5&amp;"|"&amp;$A38&amp;"|"&amp;D$37,'Transition Stepwise'!$E$2:$E$1137,0))</f>
        <v>0.176470588235294</v>
      </c>
      <c r="E38" s="45" t="n">
        <f aca="false">INDEX('Transition Stepwise'!$J$2:$J$1137,MATCH(5&amp;"|"&amp;$A38&amp;"|"&amp;E$37,'Transition Stepwise'!$E$2:$E$1137,0))</f>
        <v>0.352941176470588</v>
      </c>
      <c r="F38" s="38" t="n">
        <f aca="false">ROUND(SUM(B38:E38),9)</f>
        <v>1</v>
      </c>
    </row>
    <row r="39" customFormat="false" ht="15" hidden="false" customHeight="true" outlineLevel="0" collapsed="false">
      <c r="A39" s="41" t="s">
        <v>170</v>
      </c>
      <c r="B39" s="45" t="n">
        <f aca="false">INDEX('Transition Stepwise'!$J$2:$J$1137,MATCH(5&amp;"|"&amp;$A39&amp;"|"&amp;B$37,'Transition Stepwise'!$E$2:$E$1137,0))</f>
        <v>0.156626506024096</v>
      </c>
      <c r="C39" s="45" t="n">
        <f aca="false">INDEX('Transition Stepwise'!$J$2:$J$1137,MATCH(5&amp;"|"&amp;$A39&amp;"|"&amp;C$37,'Transition Stepwise'!$E$2:$E$1137,0))</f>
        <v>0.457831325301205</v>
      </c>
      <c r="D39" s="45" t="n">
        <f aca="false">INDEX('Transition Stepwise'!$J$2:$J$1137,MATCH(5&amp;"|"&amp;$A39&amp;"|"&amp;D$37,'Transition Stepwise'!$E$2:$E$1137,0))</f>
        <v>0.180722891566265</v>
      </c>
      <c r="E39" s="45" t="n">
        <f aca="false">INDEX('Transition Stepwise'!$J$2:$J$1137,MATCH(5&amp;"|"&amp;$A39&amp;"|"&amp;E$37,'Transition Stepwise'!$E$2:$E$1137,0))</f>
        <v>0.204819277108434</v>
      </c>
      <c r="F39" s="38" t="n">
        <f aca="false">ROUND(SUM(B39:E39),9)</f>
        <v>1</v>
      </c>
    </row>
    <row r="40" customFormat="false" ht="15" hidden="false" customHeight="true" outlineLevel="0" collapsed="false">
      <c r="A40" s="41" t="s">
        <v>169</v>
      </c>
      <c r="B40" s="45" t="n">
        <f aca="false">INDEX('Transition Stepwise'!$J$2:$J$1137,MATCH(5&amp;"|"&amp;$A40&amp;"|"&amp;B$37,'Transition Stepwise'!$E$2:$E$1137,0))</f>
        <v>0.232876712328767</v>
      </c>
      <c r="C40" s="45" t="n">
        <f aca="false">INDEX('Transition Stepwise'!$J$2:$J$1137,MATCH(5&amp;"|"&amp;$A40&amp;"|"&amp;C$37,'Transition Stepwise'!$E$2:$E$1137,0))</f>
        <v>0.178082191780822</v>
      </c>
      <c r="D40" s="45" t="n">
        <f aca="false">INDEX('Transition Stepwise'!$J$2:$J$1137,MATCH(5&amp;"|"&amp;$A40&amp;"|"&amp;D$37,'Transition Stepwise'!$E$2:$E$1137,0))</f>
        <v>0.301369863013699</v>
      </c>
      <c r="E40" s="45" t="n">
        <f aca="false">INDEX('Transition Stepwise'!$J$2:$J$1137,MATCH(5&amp;"|"&amp;$A40&amp;"|"&amp;E$37,'Transition Stepwise'!$E$2:$E$1137,0))</f>
        <v>0.287671232876712</v>
      </c>
      <c r="F40" s="38" t="n">
        <f aca="false">ROUND(SUM(B40:E40),9)</f>
        <v>1</v>
      </c>
    </row>
    <row r="41" customFormat="false" ht="15" hidden="false" customHeight="true" outlineLevel="0" collapsed="false">
      <c r="A41" s="41" t="s">
        <v>171</v>
      </c>
      <c r="B41" s="45" t="n">
        <f aca="false">INDEX('Transition Stepwise'!$J$2:$J$1137,MATCH(5&amp;"|"&amp;$A41&amp;"|"&amp;B$37,'Transition Stepwise'!$E$2:$E$1137,0))</f>
        <v>0.04</v>
      </c>
      <c r="C41" s="45" t="n">
        <f aca="false">INDEX('Transition Stepwise'!$J$2:$J$1137,MATCH(5&amp;"|"&amp;$A41&amp;"|"&amp;C$37,'Transition Stepwise'!$E$2:$E$1137,0))</f>
        <v>0.36</v>
      </c>
      <c r="D41" s="45" t="n">
        <f aca="false">INDEX('Transition Stepwise'!$J$2:$J$1137,MATCH(5&amp;"|"&amp;$A41&amp;"|"&amp;D$37,'Transition Stepwise'!$E$2:$E$1137,0))</f>
        <v>0.36</v>
      </c>
      <c r="E41" s="45" t="n">
        <f aca="false">INDEX('Transition Stepwise'!$J$2:$J$1137,MATCH(5&amp;"|"&amp;$A41&amp;"|"&amp;E$37,'Transition Stepwise'!$E$2:$E$1137,0))</f>
        <v>0.24</v>
      </c>
      <c r="F41" s="38" t="n">
        <f aca="false">ROUND(SUM(B41:E41),9)</f>
        <v>1</v>
      </c>
    </row>
    <row r="42" customFormat="false" ht="15" hidden="false" customHeight="true" outlineLevel="0" collapsed="false">
      <c r="A42" s="38"/>
      <c r="B42" s="38"/>
      <c r="C42" s="38"/>
      <c r="D42" s="38"/>
      <c r="E42" s="38"/>
      <c r="F42" s="38"/>
    </row>
    <row r="43" customFormat="false" ht="15" hidden="false" customHeight="true" outlineLevel="0" collapsed="false">
      <c r="A43" s="38"/>
      <c r="B43" s="38"/>
      <c r="C43" s="38"/>
      <c r="D43" s="38"/>
      <c r="E43" s="38"/>
      <c r="F43" s="38"/>
    </row>
    <row r="44" customFormat="false" ht="15" hidden="false" customHeight="true" outlineLevel="0" collapsed="false">
      <c r="A44" s="41" t="s">
        <v>699</v>
      </c>
      <c r="B44" s="38"/>
      <c r="C44" s="38"/>
      <c r="D44" s="38"/>
      <c r="E44" s="38"/>
      <c r="F44" s="38"/>
    </row>
    <row r="45" customFormat="false" ht="15" hidden="false" customHeight="true" outlineLevel="0" collapsed="false">
      <c r="A45" s="39" t="s">
        <v>693</v>
      </c>
      <c r="B45" s="39" t="s">
        <v>172</v>
      </c>
      <c r="C45" s="39" t="s">
        <v>170</v>
      </c>
      <c r="D45" s="39" t="s">
        <v>169</v>
      </c>
      <c r="E45" s="39" t="s">
        <v>171</v>
      </c>
      <c r="F45" s="39" t="s">
        <v>766</v>
      </c>
    </row>
    <row r="46" customFormat="false" ht="15" hidden="false" customHeight="true" outlineLevel="0" collapsed="false">
      <c r="A46" s="41" t="s">
        <v>172</v>
      </c>
      <c r="B46" s="45" t="n">
        <f aca="false">INDEX('Transition Stepwise'!$J$2:$J$1137,MATCH(6&amp;"|"&amp;$A46&amp;"|"&amp;B$45,'Transition Stepwise'!$E$2:$E$1137,0))</f>
        <v>0.263157894736842</v>
      </c>
      <c r="C46" s="45" t="n">
        <f aca="false">INDEX('Transition Stepwise'!$J$2:$J$1137,MATCH(6&amp;"|"&amp;$A46&amp;"|"&amp;C$45,'Transition Stepwise'!$E$2:$E$1137,0))</f>
        <v>0.0526315789473684</v>
      </c>
      <c r="D46" s="45" t="n">
        <f aca="false">INDEX('Transition Stepwise'!$J$2:$J$1137,MATCH(6&amp;"|"&amp;$A46&amp;"|"&amp;D$45,'Transition Stepwise'!$E$2:$E$1137,0))</f>
        <v>0.394736842105263</v>
      </c>
      <c r="E46" s="45" t="n">
        <f aca="false">INDEX('Transition Stepwise'!$J$2:$J$1137,MATCH(6&amp;"|"&amp;$A46&amp;"|"&amp;E$45,'Transition Stepwise'!$E$2:$E$1137,0))</f>
        <v>0.289473684210526</v>
      </c>
      <c r="F46" s="38" t="n">
        <f aca="false">ROUND(SUM(B46:E46),9)</f>
        <v>1</v>
      </c>
    </row>
    <row r="47" customFormat="false" ht="15" hidden="false" customHeight="true" outlineLevel="0" collapsed="false">
      <c r="A47" s="41" t="s">
        <v>170</v>
      </c>
      <c r="B47" s="45" t="n">
        <f aca="false">INDEX('Transition Stepwise'!$J$2:$J$1137,MATCH(6&amp;"|"&amp;$A47&amp;"|"&amp;B$45,'Transition Stepwise'!$E$2:$E$1137,0))</f>
        <v>0.130434782608696</v>
      </c>
      <c r="C47" s="45" t="n">
        <f aca="false">INDEX('Transition Stepwise'!$J$2:$J$1137,MATCH(6&amp;"|"&amp;$A47&amp;"|"&amp;C$45,'Transition Stepwise'!$E$2:$E$1137,0))</f>
        <v>0.0289855072463768</v>
      </c>
      <c r="D47" s="45" t="n">
        <f aca="false">INDEX('Transition Stepwise'!$J$2:$J$1137,MATCH(6&amp;"|"&amp;$A47&amp;"|"&amp;D$45,'Transition Stepwise'!$E$2:$E$1137,0))</f>
        <v>0.579710144927536</v>
      </c>
      <c r="E47" s="45" t="n">
        <f aca="false">INDEX('Transition Stepwise'!$J$2:$J$1137,MATCH(6&amp;"|"&amp;$A47&amp;"|"&amp;E$45,'Transition Stepwise'!$E$2:$E$1137,0))</f>
        <v>0.260869565217391</v>
      </c>
      <c r="F47" s="38" t="n">
        <f aca="false">ROUND(SUM(B47:E47),9)</f>
        <v>1</v>
      </c>
    </row>
    <row r="48" customFormat="false" ht="15" hidden="false" customHeight="true" outlineLevel="0" collapsed="false">
      <c r="A48" s="41" t="s">
        <v>169</v>
      </c>
      <c r="B48" s="45" t="n">
        <f aca="false">INDEX('Transition Stepwise'!$J$2:$J$1137,MATCH(6&amp;"|"&amp;$A48&amp;"|"&amp;B$45,'Transition Stepwise'!$E$2:$E$1137,0))</f>
        <v>0.230769230769231</v>
      </c>
      <c r="C48" s="45" t="n">
        <f aca="false">INDEX('Transition Stepwise'!$J$2:$J$1137,MATCH(6&amp;"|"&amp;$A48&amp;"|"&amp;C$45,'Transition Stepwise'!$E$2:$E$1137,0))</f>
        <v>0.0384615384615385</v>
      </c>
      <c r="D48" s="45" t="n">
        <f aca="false">INDEX('Transition Stepwise'!$J$2:$J$1137,MATCH(6&amp;"|"&amp;$A48&amp;"|"&amp;D$45,'Transition Stepwise'!$E$2:$E$1137,0))</f>
        <v>0.461538461538462</v>
      </c>
      <c r="E48" s="45" t="n">
        <f aca="false">INDEX('Transition Stepwise'!$J$2:$J$1137,MATCH(6&amp;"|"&amp;$A48&amp;"|"&amp;E$45,'Transition Stepwise'!$E$2:$E$1137,0))</f>
        <v>0.269230769230769</v>
      </c>
      <c r="F48" s="38" t="n">
        <f aca="false">ROUND(SUM(B48:E48),9)</f>
        <v>1</v>
      </c>
    </row>
    <row r="49" customFormat="false" ht="15" hidden="false" customHeight="true" outlineLevel="0" collapsed="false">
      <c r="A49" s="41" t="s">
        <v>171</v>
      </c>
      <c r="B49" s="45" t="n">
        <f aca="false">INDEX('Transition Stepwise'!$J$2:$J$1137,MATCH(6&amp;"|"&amp;$A49&amp;"|"&amp;B$45,'Transition Stepwise'!$E$2:$E$1137,0))</f>
        <v>0.357142857142857</v>
      </c>
      <c r="C49" s="45" t="n">
        <f aca="false">INDEX('Transition Stepwise'!$J$2:$J$1137,MATCH(6&amp;"|"&amp;$A49&amp;"|"&amp;C$45,'Transition Stepwise'!$E$2:$E$1137,0))</f>
        <v>0.0178571428571429</v>
      </c>
      <c r="D49" s="45" t="n">
        <f aca="false">INDEX('Transition Stepwise'!$J$2:$J$1137,MATCH(6&amp;"|"&amp;$A49&amp;"|"&amp;D$45,'Transition Stepwise'!$E$2:$E$1137,0))</f>
        <v>0.535714285714286</v>
      </c>
      <c r="E49" s="45" t="n">
        <f aca="false">INDEX('Transition Stepwise'!$J$2:$J$1137,MATCH(6&amp;"|"&amp;$A49&amp;"|"&amp;E$45,'Transition Stepwise'!$E$2:$E$1137,0))</f>
        <v>0.0892857142857143</v>
      </c>
      <c r="F49" s="38" t="n">
        <f aca="false">ROUND(SUM(B49:E49),9)</f>
        <v>1</v>
      </c>
    </row>
    <row r="50" customFormat="false" ht="15" hidden="false" customHeight="true" outlineLevel="0" collapsed="false">
      <c r="A50" s="38"/>
      <c r="B50" s="38"/>
      <c r="C50" s="38"/>
      <c r="D50" s="38"/>
      <c r="E50" s="38"/>
      <c r="F50" s="38"/>
    </row>
    <row r="51" customFormat="false" ht="15" hidden="false" customHeight="true" outlineLevel="0" collapsed="false">
      <c r="A51" s="38"/>
      <c r="B51" s="38"/>
      <c r="C51" s="38"/>
      <c r="D51" s="38"/>
      <c r="E51" s="38"/>
      <c r="F51" s="38"/>
    </row>
    <row r="52" customFormat="false" ht="15" hidden="false" customHeight="true" outlineLevel="0" collapsed="false">
      <c r="A52" s="41" t="s">
        <v>700</v>
      </c>
      <c r="B52" s="38"/>
      <c r="C52" s="38"/>
      <c r="D52" s="38"/>
      <c r="E52" s="38"/>
      <c r="F52" s="38"/>
    </row>
    <row r="53" customFormat="false" ht="15" hidden="false" customHeight="true" outlineLevel="0" collapsed="false">
      <c r="A53" s="39" t="s">
        <v>693</v>
      </c>
      <c r="B53" s="39" t="s">
        <v>172</v>
      </c>
      <c r="C53" s="39" t="s">
        <v>170</v>
      </c>
      <c r="D53" s="39" t="s">
        <v>169</v>
      </c>
      <c r="E53" s="39" t="s">
        <v>171</v>
      </c>
      <c r="F53" s="39" t="s">
        <v>766</v>
      </c>
    </row>
    <row r="54" customFormat="false" ht="15" hidden="false" customHeight="true" outlineLevel="0" collapsed="false">
      <c r="A54" s="41" t="s">
        <v>172</v>
      </c>
      <c r="B54" s="45" t="n">
        <f aca="false">INDEX('Transition Stepwise'!$J$2:$J$1137,MATCH(7&amp;"|"&amp;$A54&amp;"|"&amp;B$53,'Transition Stepwise'!$E$2:$E$1137,0))</f>
        <v>0.0392156862745098</v>
      </c>
      <c r="C54" s="45" t="n">
        <f aca="false">INDEX('Transition Stepwise'!$J$2:$J$1137,MATCH(7&amp;"|"&amp;$A54&amp;"|"&amp;C$53,'Transition Stepwise'!$E$2:$E$1137,0))</f>
        <v>0.0196078431372549</v>
      </c>
      <c r="D54" s="45" t="n">
        <f aca="false">INDEX('Transition Stepwise'!$J$2:$J$1137,MATCH(7&amp;"|"&amp;$A54&amp;"|"&amp;D$53,'Transition Stepwise'!$E$2:$E$1137,0))</f>
        <v>0.0196078431372549</v>
      </c>
      <c r="E54" s="45" t="n">
        <f aca="false">INDEX('Transition Stepwise'!$J$2:$J$1137,MATCH(7&amp;"|"&amp;$A54&amp;"|"&amp;E$53,'Transition Stepwise'!$E$2:$E$1137,0))</f>
        <v>0.92156862745098</v>
      </c>
      <c r="F54" s="38" t="n">
        <f aca="false">ROUND(SUM(B54:E54),9)</f>
        <v>1</v>
      </c>
    </row>
    <row r="55" customFormat="false" ht="15" hidden="false" customHeight="true" outlineLevel="0" collapsed="false">
      <c r="A55" s="41" t="s">
        <v>170</v>
      </c>
      <c r="B55" s="45" t="n">
        <f aca="false">INDEX('Transition Stepwise'!$J$2:$J$1137,MATCH(7&amp;"|"&amp;$A55&amp;"|"&amp;B$53,'Transition Stepwise'!$E$2:$E$1137,0))</f>
        <v>0.142857142857143</v>
      </c>
      <c r="C55" s="45" t="n">
        <f aca="false">INDEX('Transition Stepwise'!$J$2:$J$1137,MATCH(7&amp;"|"&amp;$A55&amp;"|"&amp;C$53,'Transition Stepwise'!$E$2:$E$1137,0))</f>
        <v>0.142857142857143</v>
      </c>
      <c r="D55" s="45" t="n">
        <f aca="false">INDEX('Transition Stepwise'!$J$2:$J$1137,MATCH(7&amp;"|"&amp;$A55&amp;"|"&amp;D$53,'Transition Stepwise'!$E$2:$E$1137,0))</f>
        <v>0.142857142857143</v>
      </c>
      <c r="E55" s="45" t="n">
        <f aca="false">INDEX('Transition Stepwise'!$J$2:$J$1137,MATCH(7&amp;"|"&amp;$A55&amp;"|"&amp;E$53,'Transition Stepwise'!$E$2:$E$1137,0))</f>
        <v>0.571428571428571</v>
      </c>
      <c r="F55" s="38" t="n">
        <f aca="false">ROUND(SUM(B55:E55),9)</f>
        <v>1</v>
      </c>
    </row>
    <row r="56" customFormat="false" ht="15" hidden="false" customHeight="true" outlineLevel="0" collapsed="false">
      <c r="A56" s="41" t="s">
        <v>169</v>
      </c>
      <c r="B56" s="45" t="n">
        <f aca="false">INDEX('Transition Stepwise'!$J$2:$J$1137,MATCH(7&amp;"|"&amp;$A56&amp;"|"&amp;B$53,'Transition Stepwise'!$E$2:$E$1137,0))</f>
        <v>0.00917431192660551</v>
      </c>
      <c r="C56" s="45" t="n">
        <f aca="false">INDEX('Transition Stepwise'!$J$2:$J$1137,MATCH(7&amp;"|"&amp;$A56&amp;"|"&amp;C$53,'Transition Stepwise'!$E$2:$E$1137,0))</f>
        <v>0.00917431192660551</v>
      </c>
      <c r="D56" s="45" t="n">
        <f aca="false">INDEX('Transition Stepwise'!$J$2:$J$1137,MATCH(7&amp;"|"&amp;$A56&amp;"|"&amp;D$53,'Transition Stepwise'!$E$2:$E$1137,0))</f>
        <v>0.018348623853211</v>
      </c>
      <c r="E56" s="45" t="n">
        <f aca="false">INDEX('Transition Stepwise'!$J$2:$J$1137,MATCH(7&amp;"|"&amp;$A56&amp;"|"&amp;E$53,'Transition Stepwise'!$E$2:$E$1137,0))</f>
        <v>0.963302752293578</v>
      </c>
      <c r="F56" s="38" t="n">
        <f aca="false">ROUND(SUM(B56:E56),9)</f>
        <v>1</v>
      </c>
    </row>
    <row r="57" customFormat="false" ht="15" hidden="false" customHeight="true" outlineLevel="0" collapsed="false">
      <c r="A57" s="41" t="s">
        <v>171</v>
      </c>
      <c r="B57" s="45" t="n">
        <f aca="false">INDEX('Transition Stepwise'!$J$2:$J$1137,MATCH(7&amp;"|"&amp;$A57&amp;"|"&amp;B$53,'Transition Stepwise'!$E$2:$E$1137,0))</f>
        <v>0.0208333333333333</v>
      </c>
      <c r="C57" s="45" t="n">
        <f aca="false">INDEX('Transition Stepwise'!$J$2:$J$1137,MATCH(7&amp;"|"&amp;$A57&amp;"|"&amp;C$53,'Transition Stepwise'!$E$2:$E$1137,0))</f>
        <v>0.0208333333333333</v>
      </c>
      <c r="D57" s="45" t="n">
        <f aca="false">INDEX('Transition Stepwise'!$J$2:$J$1137,MATCH(7&amp;"|"&amp;$A57&amp;"|"&amp;D$53,'Transition Stepwise'!$E$2:$E$1137,0))</f>
        <v>0.0208333333333333</v>
      </c>
      <c r="E57" s="45" t="n">
        <f aca="false">INDEX('Transition Stepwise'!$J$2:$J$1137,MATCH(7&amp;"|"&amp;$A57&amp;"|"&amp;E$53,'Transition Stepwise'!$E$2:$E$1137,0))</f>
        <v>0.9375</v>
      </c>
      <c r="F57" s="38" t="n">
        <f aca="false">ROUND(SUM(B57:E57),9)</f>
        <v>1</v>
      </c>
    </row>
    <row r="58" customFormat="false" ht="15" hidden="false" customHeight="true" outlineLevel="0" collapsed="false">
      <c r="A58" s="38"/>
      <c r="B58" s="38"/>
      <c r="C58" s="38"/>
      <c r="D58" s="38"/>
      <c r="E58" s="38"/>
      <c r="F58" s="38"/>
    </row>
    <row r="59" customFormat="false" ht="15" hidden="false" customHeight="true" outlineLevel="0" collapsed="false">
      <c r="A59" s="38"/>
      <c r="B59" s="38"/>
      <c r="C59" s="38"/>
      <c r="D59" s="38"/>
      <c r="E59" s="38"/>
      <c r="F59" s="38"/>
    </row>
    <row r="60" customFormat="false" ht="15" hidden="false" customHeight="true" outlineLevel="0" collapsed="false">
      <c r="A60" s="41" t="s">
        <v>701</v>
      </c>
      <c r="B60" s="38"/>
      <c r="C60" s="38"/>
      <c r="D60" s="38"/>
      <c r="E60" s="38"/>
      <c r="F60" s="38"/>
    </row>
    <row r="61" customFormat="false" ht="15" hidden="false" customHeight="true" outlineLevel="0" collapsed="false">
      <c r="A61" s="39" t="s">
        <v>693</v>
      </c>
      <c r="B61" s="39" t="s">
        <v>172</v>
      </c>
      <c r="C61" s="39" t="s">
        <v>170</v>
      </c>
      <c r="D61" s="39" t="s">
        <v>169</v>
      </c>
      <c r="E61" s="39" t="s">
        <v>171</v>
      </c>
      <c r="F61" s="39" t="s">
        <v>766</v>
      </c>
    </row>
    <row r="62" customFormat="false" ht="15" hidden="false" customHeight="true" outlineLevel="0" collapsed="false">
      <c r="A62" s="41" t="s">
        <v>172</v>
      </c>
      <c r="B62" s="45" t="n">
        <f aca="false">INDEX('Transition Stepwise'!$J$2:$J$1137,MATCH(8&amp;"|"&amp;$A62&amp;"|"&amp;B$61,'Transition Stepwise'!$E$2:$E$1137,0))</f>
        <v>0.4</v>
      </c>
      <c r="C62" s="45" t="n">
        <f aca="false">INDEX('Transition Stepwise'!$J$2:$J$1137,MATCH(8&amp;"|"&amp;$A62&amp;"|"&amp;C$61,'Transition Stepwise'!$E$2:$E$1137,0))</f>
        <v>0.2</v>
      </c>
      <c r="D62" s="45" t="n">
        <f aca="false">INDEX('Transition Stepwise'!$J$2:$J$1137,MATCH(8&amp;"|"&amp;$A62&amp;"|"&amp;D$61,'Transition Stepwise'!$E$2:$E$1137,0))</f>
        <v>0.2</v>
      </c>
      <c r="E62" s="45" t="n">
        <f aca="false">INDEX('Transition Stepwise'!$J$2:$J$1137,MATCH(8&amp;"|"&amp;$A62&amp;"|"&amp;E$61,'Transition Stepwise'!$E$2:$E$1137,0))</f>
        <v>0.2</v>
      </c>
      <c r="F62" s="38" t="n">
        <f aca="false">ROUND(SUM(B62:E62),9)</f>
        <v>1</v>
      </c>
    </row>
    <row r="63" customFormat="false" ht="15" hidden="false" customHeight="true" outlineLevel="0" collapsed="false">
      <c r="A63" s="41" t="s">
        <v>170</v>
      </c>
      <c r="B63" s="45" t="n">
        <f aca="false">INDEX('Transition Stepwise'!$J$2:$J$1137,MATCH(8&amp;"|"&amp;$A63&amp;"|"&amp;B$61,'Transition Stepwise'!$E$2:$E$1137,0))</f>
        <v>0.25</v>
      </c>
      <c r="C63" s="45" t="n">
        <f aca="false">INDEX('Transition Stepwise'!$J$2:$J$1137,MATCH(8&amp;"|"&amp;$A63&amp;"|"&amp;C$61,'Transition Stepwise'!$E$2:$E$1137,0))</f>
        <v>0.25</v>
      </c>
      <c r="D63" s="45" t="n">
        <f aca="false">INDEX('Transition Stepwise'!$J$2:$J$1137,MATCH(8&amp;"|"&amp;$A63&amp;"|"&amp;D$61,'Transition Stepwise'!$E$2:$E$1137,0))</f>
        <v>0.25</v>
      </c>
      <c r="E63" s="45" t="n">
        <f aca="false">INDEX('Transition Stepwise'!$J$2:$J$1137,MATCH(8&amp;"|"&amp;$A63&amp;"|"&amp;E$61,'Transition Stepwise'!$E$2:$E$1137,0))</f>
        <v>0.25</v>
      </c>
      <c r="F63" s="38" t="n">
        <f aca="false">ROUND(SUM(B63:E63),9)</f>
        <v>1</v>
      </c>
    </row>
    <row r="64" customFormat="false" ht="15" hidden="false" customHeight="true" outlineLevel="0" collapsed="false">
      <c r="A64" s="41" t="s">
        <v>169</v>
      </c>
      <c r="B64" s="45" t="n">
        <f aca="false">INDEX('Transition Stepwise'!$J$2:$J$1137,MATCH(8&amp;"|"&amp;$A64&amp;"|"&amp;B$61,'Transition Stepwise'!$E$2:$E$1137,0))</f>
        <v>0.2</v>
      </c>
      <c r="C64" s="45" t="n">
        <f aca="false">INDEX('Transition Stepwise'!$J$2:$J$1137,MATCH(8&amp;"|"&amp;$A64&amp;"|"&amp;C$61,'Transition Stepwise'!$E$2:$E$1137,0))</f>
        <v>0.4</v>
      </c>
      <c r="D64" s="45" t="n">
        <f aca="false">INDEX('Transition Stepwise'!$J$2:$J$1137,MATCH(8&amp;"|"&amp;$A64&amp;"|"&amp;D$61,'Transition Stepwise'!$E$2:$E$1137,0))</f>
        <v>0.2</v>
      </c>
      <c r="E64" s="45" t="n">
        <f aca="false">INDEX('Transition Stepwise'!$J$2:$J$1137,MATCH(8&amp;"|"&amp;$A64&amp;"|"&amp;E$61,'Transition Stepwise'!$E$2:$E$1137,0))</f>
        <v>0.2</v>
      </c>
      <c r="F64" s="38" t="n">
        <f aca="false">ROUND(SUM(B64:E64),9)</f>
        <v>1</v>
      </c>
    </row>
    <row r="65" customFormat="false" ht="15" hidden="false" customHeight="true" outlineLevel="0" collapsed="false">
      <c r="A65" s="41" t="s">
        <v>171</v>
      </c>
      <c r="B65" s="45" t="n">
        <f aca="false">INDEX('Transition Stepwise'!$J$2:$J$1137,MATCH(8&amp;"|"&amp;$A65&amp;"|"&amp;B$61,'Transition Stepwise'!$E$2:$E$1137,0))</f>
        <v>0.65</v>
      </c>
      <c r="C65" s="45" t="n">
        <f aca="false">INDEX('Transition Stepwise'!$J$2:$J$1137,MATCH(8&amp;"|"&amp;$A65&amp;"|"&amp;C$61,'Transition Stepwise'!$E$2:$E$1137,0))</f>
        <v>0.035</v>
      </c>
      <c r="D65" s="45" t="n">
        <f aca="false">INDEX('Transition Stepwise'!$J$2:$J$1137,MATCH(8&amp;"|"&amp;$A65&amp;"|"&amp;D$61,'Transition Stepwise'!$E$2:$E$1137,0))</f>
        <v>0.31</v>
      </c>
      <c r="E65" s="45" t="n">
        <f aca="false">INDEX('Transition Stepwise'!$J$2:$J$1137,MATCH(8&amp;"|"&amp;$A65&amp;"|"&amp;E$61,'Transition Stepwise'!$E$2:$E$1137,0))</f>
        <v>0.005</v>
      </c>
      <c r="F65" s="38" t="n">
        <f aca="false">ROUND(SUM(B65:E65),9)</f>
        <v>1</v>
      </c>
    </row>
    <row r="66" customFormat="false" ht="15" hidden="false" customHeight="true" outlineLevel="0" collapsed="false">
      <c r="A66" s="38"/>
      <c r="B66" s="38"/>
      <c r="C66" s="38"/>
      <c r="D66" s="38"/>
      <c r="E66" s="38"/>
      <c r="F66" s="38"/>
    </row>
    <row r="67" customFormat="false" ht="15" hidden="false" customHeight="true" outlineLevel="0" collapsed="false">
      <c r="A67" s="38"/>
      <c r="B67" s="38"/>
      <c r="C67" s="38"/>
      <c r="D67" s="38"/>
      <c r="E67" s="38"/>
      <c r="F67" s="38"/>
    </row>
    <row r="68" customFormat="false" ht="15" hidden="false" customHeight="true" outlineLevel="0" collapsed="false">
      <c r="A68" s="41" t="s">
        <v>702</v>
      </c>
      <c r="B68" s="38"/>
      <c r="C68" s="38"/>
      <c r="D68" s="38"/>
      <c r="E68" s="38"/>
      <c r="F68" s="38"/>
    </row>
    <row r="69" customFormat="false" ht="15" hidden="false" customHeight="true" outlineLevel="0" collapsed="false">
      <c r="A69" s="39" t="s">
        <v>693</v>
      </c>
      <c r="B69" s="39" t="s">
        <v>172</v>
      </c>
      <c r="C69" s="39" t="s">
        <v>170</v>
      </c>
      <c r="D69" s="39" t="s">
        <v>169</v>
      </c>
      <c r="E69" s="39" t="s">
        <v>171</v>
      </c>
      <c r="F69" s="39" t="s">
        <v>766</v>
      </c>
    </row>
    <row r="70" customFormat="false" ht="15" hidden="false" customHeight="true" outlineLevel="0" collapsed="false">
      <c r="A70" s="41" t="s">
        <v>172</v>
      </c>
      <c r="B70" s="45" t="n">
        <f aca="false">INDEX('Transition Stepwise'!$J$2:$J$1137,MATCH(9&amp;"|"&amp;$A70&amp;"|"&amp;B$69,'Transition Stepwise'!$E$2:$E$1137,0))</f>
        <v>0.00746268656716418</v>
      </c>
      <c r="C70" s="45" t="n">
        <f aca="false">INDEX('Transition Stepwise'!$J$2:$J$1137,MATCH(9&amp;"|"&amp;$A70&amp;"|"&amp;C$69,'Transition Stepwise'!$E$2:$E$1137,0))</f>
        <v>0.0223880597014925</v>
      </c>
      <c r="D70" s="45" t="n">
        <f aca="false">INDEX('Transition Stepwise'!$J$2:$J$1137,MATCH(9&amp;"|"&amp;$A70&amp;"|"&amp;D$69,'Transition Stepwise'!$E$2:$E$1137,0))</f>
        <v>0.962686567164179</v>
      </c>
      <c r="E70" s="45" t="n">
        <f aca="false">INDEX('Transition Stepwise'!$J$2:$J$1137,MATCH(9&amp;"|"&amp;$A70&amp;"|"&amp;E$69,'Transition Stepwise'!$E$2:$E$1137,0))</f>
        <v>0.00746268656716418</v>
      </c>
      <c r="F70" s="38" t="n">
        <f aca="false">ROUND(SUM(B70:E70),9)</f>
        <v>1</v>
      </c>
    </row>
    <row r="71" customFormat="false" ht="15" hidden="false" customHeight="true" outlineLevel="0" collapsed="false">
      <c r="A71" s="41" t="s">
        <v>170</v>
      </c>
      <c r="B71" s="45" t="n">
        <f aca="false">INDEX('Transition Stepwise'!$J$2:$J$1137,MATCH(9&amp;"|"&amp;$A71&amp;"|"&amp;B$69,'Transition Stepwise'!$E$2:$E$1137,0))</f>
        <v>0.0909090909090909</v>
      </c>
      <c r="C71" s="45" t="n">
        <f aca="false">INDEX('Transition Stepwise'!$J$2:$J$1137,MATCH(9&amp;"|"&amp;$A71&amp;"|"&amp;C$69,'Transition Stepwise'!$E$2:$E$1137,0))</f>
        <v>0.0909090909090909</v>
      </c>
      <c r="D71" s="45" t="n">
        <f aca="false">INDEX('Transition Stepwise'!$J$2:$J$1137,MATCH(9&amp;"|"&amp;$A71&amp;"|"&amp;D$69,'Transition Stepwise'!$E$2:$E$1137,0))</f>
        <v>0.727272727272727</v>
      </c>
      <c r="E71" s="45" t="n">
        <f aca="false">INDEX('Transition Stepwise'!$J$2:$J$1137,MATCH(9&amp;"|"&amp;$A71&amp;"|"&amp;E$69,'Transition Stepwise'!$E$2:$E$1137,0))</f>
        <v>0.0909090909090909</v>
      </c>
      <c r="F71" s="38" t="n">
        <f aca="false">ROUND(SUM(B71:E71),9)</f>
        <v>1</v>
      </c>
    </row>
    <row r="72" customFormat="false" ht="15" hidden="false" customHeight="true" outlineLevel="0" collapsed="false">
      <c r="A72" s="41" t="s">
        <v>169</v>
      </c>
      <c r="B72" s="45" t="n">
        <f aca="false">INDEX('Transition Stepwise'!$J$2:$J$1137,MATCH(9&amp;"|"&amp;$A72&amp;"|"&amp;B$69,'Transition Stepwise'!$E$2:$E$1137,0))</f>
        <v>0.0153846153846154</v>
      </c>
      <c r="C72" s="45" t="n">
        <f aca="false">INDEX('Transition Stepwise'!$J$2:$J$1137,MATCH(9&amp;"|"&amp;$A72&amp;"|"&amp;C$69,'Transition Stepwise'!$E$2:$E$1137,0))</f>
        <v>0.107692307692308</v>
      </c>
      <c r="D72" s="45" t="n">
        <f aca="false">INDEX('Transition Stepwise'!$J$2:$J$1137,MATCH(9&amp;"|"&amp;$A72&amp;"|"&amp;D$69,'Transition Stepwise'!$E$2:$E$1137,0))</f>
        <v>0.861538461538462</v>
      </c>
      <c r="E72" s="45" t="n">
        <f aca="false">INDEX('Transition Stepwise'!$J$2:$J$1137,MATCH(9&amp;"|"&amp;$A72&amp;"|"&amp;E$69,'Transition Stepwise'!$E$2:$E$1137,0))</f>
        <v>0.0153846153846154</v>
      </c>
      <c r="F72" s="38" t="n">
        <f aca="false">ROUND(SUM(B72:E72),9)</f>
        <v>1</v>
      </c>
    </row>
    <row r="73" customFormat="false" ht="15" hidden="false" customHeight="true" outlineLevel="0" collapsed="false">
      <c r="A73" s="41" t="s">
        <v>171</v>
      </c>
      <c r="B73" s="45" t="n">
        <f aca="false">INDEX('Transition Stepwise'!$J$2:$J$1137,MATCH(9&amp;"|"&amp;$A73&amp;"|"&amp;B$69,'Transition Stepwise'!$E$2:$E$1137,0))</f>
        <v>0.25</v>
      </c>
      <c r="C73" s="45" t="n">
        <f aca="false">INDEX('Transition Stepwise'!$J$2:$J$1137,MATCH(9&amp;"|"&amp;$A73&amp;"|"&amp;C$69,'Transition Stepwise'!$E$2:$E$1137,0))</f>
        <v>0.25</v>
      </c>
      <c r="D73" s="45" t="n">
        <f aca="false">INDEX('Transition Stepwise'!$J$2:$J$1137,MATCH(9&amp;"|"&amp;$A73&amp;"|"&amp;D$69,'Transition Stepwise'!$E$2:$E$1137,0))</f>
        <v>0.25</v>
      </c>
      <c r="E73" s="45" t="n">
        <f aca="false">INDEX('Transition Stepwise'!$J$2:$J$1137,MATCH(9&amp;"|"&amp;$A73&amp;"|"&amp;E$69,'Transition Stepwise'!$E$2:$E$1137,0))</f>
        <v>0.25</v>
      </c>
      <c r="F73" s="38" t="n">
        <f aca="false">ROUND(SUM(B73:E73),9)</f>
        <v>1</v>
      </c>
    </row>
    <row r="74" customFormat="false" ht="15" hidden="false" customHeight="true" outlineLevel="0" collapsed="false">
      <c r="A74" s="38"/>
      <c r="B74" s="38"/>
      <c r="C74" s="38"/>
      <c r="D74" s="38"/>
      <c r="E74" s="38"/>
      <c r="F74" s="38"/>
    </row>
    <row r="75" customFormat="false" ht="15" hidden="false" customHeight="true" outlineLevel="0" collapsed="false">
      <c r="A75" s="38"/>
      <c r="B75" s="38"/>
      <c r="C75" s="38"/>
      <c r="D75" s="38"/>
      <c r="E75" s="38"/>
      <c r="F75" s="38"/>
    </row>
    <row r="76" customFormat="false" ht="15" hidden="false" customHeight="true" outlineLevel="0" collapsed="false">
      <c r="A76" s="41" t="s">
        <v>703</v>
      </c>
      <c r="B76" s="38"/>
      <c r="C76" s="38"/>
      <c r="D76" s="38"/>
      <c r="E76" s="38"/>
      <c r="F76" s="38"/>
    </row>
    <row r="77" customFormat="false" ht="15" hidden="false" customHeight="true" outlineLevel="0" collapsed="false">
      <c r="A77" s="39" t="s">
        <v>693</v>
      </c>
      <c r="B77" s="39" t="s">
        <v>172</v>
      </c>
      <c r="C77" s="39" t="s">
        <v>170</v>
      </c>
      <c r="D77" s="39" t="s">
        <v>169</v>
      </c>
      <c r="E77" s="39" t="s">
        <v>171</v>
      </c>
      <c r="F77" s="39" t="s">
        <v>766</v>
      </c>
    </row>
    <row r="78" customFormat="false" ht="15" hidden="false" customHeight="true" outlineLevel="0" collapsed="false">
      <c r="A78" s="41" t="s">
        <v>172</v>
      </c>
      <c r="B78" s="45" t="n">
        <f aca="false">INDEX('Transition Stepwise'!$J$2:$J$1137,MATCH(10&amp;"|"&amp;$A78&amp;"|"&amp;B$77,'Transition Stepwise'!$E$2:$E$1137,0))</f>
        <v>0.25</v>
      </c>
      <c r="C78" s="45" t="n">
        <f aca="false">INDEX('Transition Stepwise'!$J$2:$J$1137,MATCH(10&amp;"|"&amp;$A78&amp;"|"&amp;C$77,'Transition Stepwise'!$E$2:$E$1137,0))</f>
        <v>0.25</v>
      </c>
      <c r="D78" s="45" t="n">
        <f aca="false">INDEX('Transition Stepwise'!$J$2:$J$1137,MATCH(10&amp;"|"&amp;$A78&amp;"|"&amp;D$77,'Transition Stepwise'!$E$2:$E$1137,0))</f>
        <v>0.25</v>
      </c>
      <c r="E78" s="45" t="n">
        <f aca="false">INDEX('Transition Stepwise'!$J$2:$J$1137,MATCH(10&amp;"|"&amp;$A78&amp;"|"&amp;E$77,'Transition Stepwise'!$E$2:$E$1137,0))</f>
        <v>0.25</v>
      </c>
      <c r="F78" s="38" t="n">
        <f aca="false">ROUND(SUM(B78:E78),9)</f>
        <v>1</v>
      </c>
    </row>
    <row r="79" customFormat="false" ht="15" hidden="false" customHeight="true" outlineLevel="0" collapsed="false">
      <c r="A79" s="41" t="s">
        <v>170</v>
      </c>
      <c r="B79" s="45" t="n">
        <f aca="false">INDEX('Transition Stepwise'!$J$2:$J$1137,MATCH(10&amp;"|"&amp;$A79&amp;"|"&amp;B$77,'Transition Stepwise'!$E$2:$E$1137,0))</f>
        <v>0.0833333333333333</v>
      </c>
      <c r="C79" s="45" t="n">
        <f aca="false">INDEX('Transition Stepwise'!$J$2:$J$1137,MATCH(10&amp;"|"&amp;$A79&amp;"|"&amp;C$77,'Transition Stepwise'!$E$2:$E$1137,0))</f>
        <v>0.583333333333333</v>
      </c>
      <c r="D79" s="45" t="n">
        <f aca="false">INDEX('Transition Stepwise'!$J$2:$J$1137,MATCH(10&amp;"|"&amp;$A79&amp;"|"&amp;D$77,'Transition Stepwise'!$E$2:$E$1137,0))</f>
        <v>0.166666666666667</v>
      </c>
      <c r="E79" s="45" t="n">
        <f aca="false">INDEX('Transition Stepwise'!$J$2:$J$1137,MATCH(10&amp;"|"&amp;$A79&amp;"|"&amp;E$77,'Transition Stepwise'!$E$2:$E$1137,0))</f>
        <v>0.166666666666667</v>
      </c>
      <c r="F79" s="38" t="n">
        <f aca="false">ROUND(SUM(B79:E79),9)</f>
        <v>1</v>
      </c>
    </row>
    <row r="80" customFormat="false" ht="15" hidden="false" customHeight="true" outlineLevel="0" collapsed="false">
      <c r="A80" s="41" t="s">
        <v>169</v>
      </c>
      <c r="B80" s="45" t="n">
        <f aca="false">INDEX('Transition Stepwise'!$J$2:$J$1137,MATCH(10&amp;"|"&amp;$A80&amp;"|"&amp;B$77,'Transition Stepwise'!$E$2:$E$1137,0))</f>
        <v>0.041025641025641</v>
      </c>
      <c r="C80" s="45" t="n">
        <f aca="false">INDEX('Transition Stepwise'!$J$2:$J$1137,MATCH(10&amp;"|"&amp;$A80&amp;"|"&amp;C$77,'Transition Stepwise'!$E$2:$E$1137,0))</f>
        <v>0.723076923076923</v>
      </c>
      <c r="D80" s="45" t="n">
        <f aca="false">INDEX('Transition Stepwise'!$J$2:$J$1137,MATCH(10&amp;"|"&amp;$A80&amp;"|"&amp;D$77,'Transition Stepwise'!$E$2:$E$1137,0))</f>
        <v>0.0307692307692308</v>
      </c>
      <c r="E80" s="45" t="n">
        <f aca="false">INDEX('Transition Stepwise'!$J$2:$J$1137,MATCH(10&amp;"|"&amp;$A80&amp;"|"&amp;E$77,'Transition Stepwise'!$E$2:$E$1137,0))</f>
        <v>0.205128205128205</v>
      </c>
      <c r="F80" s="38" t="n">
        <f aca="false">ROUND(SUM(B80:E80),9)</f>
        <v>1</v>
      </c>
    </row>
    <row r="81" customFormat="false" ht="15" hidden="false" customHeight="true" outlineLevel="0" collapsed="false">
      <c r="A81" s="41" t="s">
        <v>171</v>
      </c>
      <c r="B81" s="45" t="n">
        <f aca="false">INDEX('Transition Stepwise'!$J$2:$J$1137,MATCH(10&amp;"|"&amp;$A81&amp;"|"&amp;B$77,'Transition Stepwise'!$E$2:$E$1137,0))</f>
        <v>0.25</v>
      </c>
      <c r="C81" s="45" t="n">
        <f aca="false">INDEX('Transition Stepwise'!$J$2:$J$1137,MATCH(10&amp;"|"&amp;$A81&amp;"|"&amp;C$77,'Transition Stepwise'!$E$2:$E$1137,0))</f>
        <v>0.25</v>
      </c>
      <c r="D81" s="45" t="n">
        <f aca="false">INDEX('Transition Stepwise'!$J$2:$J$1137,MATCH(10&amp;"|"&amp;$A81&amp;"|"&amp;D$77,'Transition Stepwise'!$E$2:$E$1137,0))</f>
        <v>0.25</v>
      </c>
      <c r="E81" s="45" t="n">
        <f aca="false">INDEX('Transition Stepwise'!$J$2:$J$1137,MATCH(10&amp;"|"&amp;$A81&amp;"|"&amp;E$77,'Transition Stepwise'!$E$2:$E$1137,0))</f>
        <v>0.25</v>
      </c>
      <c r="F81" s="38" t="n">
        <f aca="false">ROUND(SUM(B81:E81),9)</f>
        <v>1</v>
      </c>
    </row>
    <row r="82" customFormat="false" ht="15" hidden="false" customHeight="true" outlineLevel="0" collapsed="false">
      <c r="A82" s="38"/>
      <c r="B82" s="38"/>
      <c r="C82" s="38"/>
      <c r="D82" s="38"/>
      <c r="E82" s="38"/>
      <c r="F82" s="38"/>
    </row>
    <row r="83" customFormat="false" ht="15" hidden="false" customHeight="true" outlineLevel="0" collapsed="false">
      <c r="A83" s="38"/>
      <c r="B83" s="38"/>
      <c r="C83" s="38"/>
      <c r="D83" s="38"/>
      <c r="E83" s="38"/>
      <c r="F83" s="38"/>
    </row>
    <row r="84" customFormat="false" ht="15" hidden="false" customHeight="true" outlineLevel="0" collapsed="false">
      <c r="A84" s="41" t="s">
        <v>704</v>
      </c>
      <c r="B84" s="38"/>
      <c r="C84" s="38"/>
      <c r="D84" s="38"/>
      <c r="E84" s="38"/>
      <c r="F84" s="38"/>
    </row>
    <row r="85" customFormat="false" ht="15" hidden="false" customHeight="true" outlineLevel="0" collapsed="false">
      <c r="A85" s="39" t="s">
        <v>693</v>
      </c>
      <c r="B85" s="39" t="s">
        <v>172</v>
      </c>
      <c r="C85" s="39" t="s">
        <v>170</v>
      </c>
      <c r="D85" s="39" t="s">
        <v>169</v>
      </c>
      <c r="E85" s="39" t="s">
        <v>171</v>
      </c>
      <c r="F85" s="39" t="s">
        <v>766</v>
      </c>
    </row>
    <row r="86" customFormat="false" ht="15" hidden="false" customHeight="true" outlineLevel="0" collapsed="false">
      <c r="A86" s="41" t="s">
        <v>172</v>
      </c>
      <c r="B86" s="45" t="n">
        <f aca="false">INDEX('Transition Stepwise'!$J$2:$J$1137,MATCH(11&amp;"|"&amp;$A86&amp;"|"&amp;B$85,'Transition Stepwise'!$E$2:$E$1137,0))</f>
        <v>0.0909090909090909</v>
      </c>
      <c r="C86" s="45" t="n">
        <f aca="false">INDEX('Transition Stepwise'!$J$2:$J$1137,MATCH(11&amp;"|"&amp;$A86&amp;"|"&amp;C$85,'Transition Stepwise'!$E$2:$E$1137,0))</f>
        <v>0.0909090909090909</v>
      </c>
      <c r="D86" s="45" t="n">
        <f aca="false">INDEX('Transition Stepwise'!$J$2:$J$1137,MATCH(11&amp;"|"&amp;$A86&amp;"|"&amp;D$85,'Transition Stepwise'!$E$2:$E$1137,0))</f>
        <v>0.454545454545455</v>
      </c>
      <c r="E86" s="45" t="n">
        <f aca="false">INDEX('Transition Stepwise'!$J$2:$J$1137,MATCH(11&amp;"|"&amp;$A86&amp;"|"&amp;E$85,'Transition Stepwise'!$E$2:$E$1137,0))</f>
        <v>0.363636363636364</v>
      </c>
      <c r="F86" s="38" t="n">
        <f aca="false">ROUND(SUM(B86:E86),9)</f>
        <v>1</v>
      </c>
    </row>
    <row r="87" customFormat="false" ht="15" hidden="false" customHeight="true" outlineLevel="0" collapsed="false">
      <c r="A87" s="41" t="s">
        <v>170</v>
      </c>
      <c r="B87" s="45" t="n">
        <f aca="false">INDEX('Transition Stepwise'!$J$2:$J$1137,MATCH(11&amp;"|"&amp;$A87&amp;"|"&amp;B$85,'Transition Stepwise'!$E$2:$E$1137,0))</f>
        <v>0.0466666666666667</v>
      </c>
      <c r="C87" s="45" t="n">
        <f aca="false">INDEX('Transition Stepwise'!$J$2:$J$1137,MATCH(11&amp;"|"&amp;$A87&amp;"|"&amp;C$85,'Transition Stepwise'!$E$2:$E$1137,0))</f>
        <v>0.12</v>
      </c>
      <c r="D87" s="45" t="n">
        <f aca="false">INDEX('Transition Stepwise'!$J$2:$J$1137,MATCH(11&amp;"|"&amp;$A87&amp;"|"&amp;D$85,'Transition Stepwise'!$E$2:$E$1137,0))</f>
        <v>0.133333333333333</v>
      </c>
      <c r="E87" s="45" t="n">
        <f aca="false">INDEX('Transition Stepwise'!$J$2:$J$1137,MATCH(11&amp;"|"&amp;$A87&amp;"|"&amp;E$85,'Transition Stepwise'!$E$2:$E$1137,0))</f>
        <v>0.7</v>
      </c>
      <c r="F87" s="38" t="n">
        <f aca="false">ROUND(SUM(B87:E87),9)</f>
        <v>1</v>
      </c>
    </row>
    <row r="88" customFormat="false" ht="15" hidden="false" customHeight="true" outlineLevel="0" collapsed="false">
      <c r="A88" s="41" t="s">
        <v>169</v>
      </c>
      <c r="B88" s="45" t="n">
        <f aca="false">INDEX('Transition Stepwise'!$J$2:$J$1137,MATCH(11&amp;"|"&amp;$A88&amp;"|"&amp;B$85,'Transition Stepwise'!$E$2:$E$1137,0))</f>
        <v>0.3</v>
      </c>
      <c r="C88" s="45" t="n">
        <f aca="false">INDEX('Transition Stepwise'!$J$2:$J$1137,MATCH(11&amp;"|"&amp;$A88&amp;"|"&amp;C$85,'Transition Stepwise'!$E$2:$E$1137,0))</f>
        <v>0.1</v>
      </c>
      <c r="D88" s="45" t="n">
        <f aca="false">INDEX('Transition Stepwise'!$J$2:$J$1137,MATCH(11&amp;"|"&amp;$A88&amp;"|"&amp;D$85,'Transition Stepwise'!$E$2:$E$1137,0))</f>
        <v>0.4</v>
      </c>
      <c r="E88" s="45" t="n">
        <f aca="false">INDEX('Transition Stepwise'!$J$2:$J$1137,MATCH(11&amp;"|"&amp;$A88&amp;"|"&amp;E$85,'Transition Stepwise'!$E$2:$E$1137,0))</f>
        <v>0.2</v>
      </c>
      <c r="F88" s="38" t="n">
        <f aca="false">ROUND(SUM(B88:E88),9)</f>
        <v>1</v>
      </c>
    </row>
    <row r="89" customFormat="false" ht="15" hidden="false" customHeight="true" outlineLevel="0" collapsed="false">
      <c r="A89" s="41" t="s">
        <v>171</v>
      </c>
      <c r="B89" s="45" t="n">
        <f aca="false">INDEX('Transition Stepwise'!$J$2:$J$1137,MATCH(11&amp;"|"&amp;$A89&amp;"|"&amp;B$85,'Transition Stepwise'!$E$2:$E$1137,0))</f>
        <v>0.136363636363636</v>
      </c>
      <c r="C89" s="45" t="n">
        <f aca="false">INDEX('Transition Stepwise'!$J$2:$J$1137,MATCH(11&amp;"|"&amp;$A89&amp;"|"&amp;C$85,'Transition Stepwise'!$E$2:$E$1137,0))</f>
        <v>0.295454545454545</v>
      </c>
      <c r="D89" s="45" t="n">
        <f aca="false">INDEX('Transition Stepwise'!$J$2:$J$1137,MATCH(11&amp;"|"&amp;$A89&amp;"|"&amp;D$85,'Transition Stepwise'!$E$2:$E$1137,0))</f>
        <v>0.295454545454545</v>
      </c>
      <c r="E89" s="45" t="n">
        <f aca="false">INDEX('Transition Stepwise'!$J$2:$J$1137,MATCH(11&amp;"|"&amp;$A89&amp;"|"&amp;E$85,'Transition Stepwise'!$E$2:$E$1137,0))</f>
        <v>0.272727272727273</v>
      </c>
      <c r="F89" s="38" t="n">
        <f aca="false">ROUND(SUM(B89:E89),9)</f>
        <v>1</v>
      </c>
    </row>
    <row r="90" customFormat="false" ht="15" hidden="false" customHeight="true" outlineLevel="0" collapsed="false">
      <c r="A90" s="38"/>
      <c r="B90" s="38"/>
      <c r="C90" s="38"/>
      <c r="D90" s="38"/>
      <c r="E90" s="38"/>
      <c r="F90" s="38"/>
    </row>
    <row r="91" customFormat="false" ht="15" hidden="false" customHeight="true" outlineLevel="0" collapsed="false">
      <c r="A91" s="38"/>
      <c r="B91" s="38"/>
      <c r="C91" s="38"/>
      <c r="D91" s="38"/>
      <c r="E91" s="38"/>
      <c r="F91" s="38"/>
    </row>
    <row r="92" customFormat="false" ht="15" hidden="false" customHeight="true" outlineLevel="0" collapsed="false">
      <c r="A92" s="41" t="s">
        <v>705</v>
      </c>
      <c r="B92" s="38"/>
      <c r="C92" s="38"/>
      <c r="D92" s="38"/>
      <c r="E92" s="38"/>
      <c r="F92" s="38"/>
    </row>
    <row r="93" customFormat="false" ht="15" hidden="false" customHeight="true" outlineLevel="0" collapsed="false">
      <c r="A93" s="39" t="s">
        <v>693</v>
      </c>
      <c r="B93" s="39" t="s">
        <v>172</v>
      </c>
      <c r="C93" s="39" t="s">
        <v>170</v>
      </c>
      <c r="D93" s="39" t="s">
        <v>169</v>
      </c>
      <c r="E93" s="39" t="s">
        <v>171</v>
      </c>
      <c r="F93" s="39" t="s">
        <v>766</v>
      </c>
    </row>
    <row r="94" customFormat="false" ht="15" hidden="false" customHeight="true" outlineLevel="0" collapsed="false">
      <c r="A94" s="41" t="s">
        <v>172</v>
      </c>
      <c r="B94" s="45" t="n">
        <f aca="false">INDEX('Transition Stepwise'!$J$2:$J$1137,MATCH(12&amp;"|"&amp;$A94&amp;"|"&amp;B$93,'Transition Stepwise'!$E$2:$E$1137,0))</f>
        <v>0.0588235294117647</v>
      </c>
      <c r="C94" s="45" t="n">
        <f aca="false">INDEX('Transition Stepwise'!$J$2:$J$1137,MATCH(12&amp;"|"&amp;$A94&amp;"|"&amp;C$93,'Transition Stepwise'!$E$2:$E$1137,0))</f>
        <v>0.0588235294117647</v>
      </c>
      <c r="D94" s="45" t="n">
        <f aca="false">INDEX('Transition Stepwise'!$J$2:$J$1137,MATCH(12&amp;"|"&amp;$A94&amp;"|"&amp;D$93,'Transition Stepwise'!$E$2:$E$1137,0))</f>
        <v>0.411764705882353</v>
      </c>
      <c r="E94" s="45" t="n">
        <f aca="false">INDEX('Transition Stepwise'!$J$2:$J$1137,MATCH(12&amp;"|"&amp;$A94&amp;"|"&amp;E$93,'Transition Stepwise'!$E$2:$E$1137,0))</f>
        <v>0.470588235294118</v>
      </c>
      <c r="F94" s="38" t="n">
        <f aca="false">ROUND(SUM(B94:E94),9)</f>
        <v>1</v>
      </c>
    </row>
    <row r="95" customFormat="false" ht="15" hidden="false" customHeight="true" outlineLevel="0" collapsed="false">
      <c r="A95" s="41" t="s">
        <v>170</v>
      </c>
      <c r="B95" s="45" t="n">
        <f aca="false">INDEX('Transition Stepwise'!$J$2:$J$1137,MATCH(12&amp;"|"&amp;$A95&amp;"|"&amp;B$93,'Transition Stepwise'!$E$2:$E$1137,0))</f>
        <v>0.242424242424242</v>
      </c>
      <c r="C95" s="45" t="n">
        <f aca="false">INDEX('Transition Stepwise'!$J$2:$J$1137,MATCH(12&amp;"|"&amp;$A95&amp;"|"&amp;C$93,'Transition Stepwise'!$E$2:$E$1137,0))</f>
        <v>0.151515151515152</v>
      </c>
      <c r="D95" s="45" t="n">
        <f aca="false">INDEX('Transition Stepwise'!$J$2:$J$1137,MATCH(12&amp;"|"&amp;$A95&amp;"|"&amp;D$93,'Transition Stepwise'!$E$2:$E$1137,0))</f>
        <v>0.242424242424242</v>
      </c>
      <c r="E95" s="45" t="n">
        <f aca="false">INDEX('Transition Stepwise'!$J$2:$J$1137,MATCH(12&amp;"|"&amp;$A95&amp;"|"&amp;E$93,'Transition Stepwise'!$E$2:$E$1137,0))</f>
        <v>0.363636363636364</v>
      </c>
      <c r="F95" s="38" t="n">
        <f aca="false">ROUND(SUM(B95:E95),9)</f>
        <v>1</v>
      </c>
    </row>
    <row r="96" customFormat="false" ht="15" hidden="false" customHeight="true" outlineLevel="0" collapsed="false">
      <c r="A96" s="41" t="s">
        <v>169</v>
      </c>
      <c r="B96" s="45" t="n">
        <f aca="false">INDEX('Transition Stepwise'!$J$2:$J$1137,MATCH(12&amp;"|"&amp;$A96&amp;"|"&amp;B$93,'Transition Stepwise'!$E$2:$E$1137,0))</f>
        <v>0.142857142857143</v>
      </c>
      <c r="C96" s="45" t="n">
        <f aca="false">INDEX('Transition Stepwise'!$J$2:$J$1137,MATCH(12&amp;"|"&amp;$A96&amp;"|"&amp;C$93,'Transition Stepwise'!$E$2:$E$1137,0))</f>
        <v>0.476190476190476</v>
      </c>
      <c r="D96" s="45" t="n">
        <f aca="false">INDEX('Transition Stepwise'!$J$2:$J$1137,MATCH(12&amp;"|"&amp;$A96&amp;"|"&amp;D$93,'Transition Stepwise'!$E$2:$E$1137,0))</f>
        <v>0.142857142857143</v>
      </c>
      <c r="E96" s="45" t="n">
        <f aca="false">INDEX('Transition Stepwise'!$J$2:$J$1137,MATCH(12&amp;"|"&amp;$A96&amp;"|"&amp;E$93,'Transition Stepwise'!$E$2:$E$1137,0))</f>
        <v>0.238095238095238</v>
      </c>
      <c r="F96" s="38" t="n">
        <f aca="false">ROUND(SUM(B96:E96),9)</f>
        <v>1</v>
      </c>
    </row>
    <row r="97" customFormat="false" ht="15" hidden="false" customHeight="true" outlineLevel="0" collapsed="false">
      <c r="A97" s="41" t="s">
        <v>171</v>
      </c>
      <c r="B97" s="45" t="n">
        <f aca="false">INDEX('Transition Stepwise'!$J$2:$J$1137,MATCH(12&amp;"|"&amp;$A97&amp;"|"&amp;B$93,'Transition Stepwise'!$E$2:$E$1137,0))</f>
        <v>0.016260162601626</v>
      </c>
      <c r="C97" s="45" t="n">
        <f aca="false">INDEX('Transition Stepwise'!$J$2:$J$1137,MATCH(12&amp;"|"&amp;$A97&amp;"|"&amp;C$93,'Transition Stepwise'!$E$2:$E$1137,0))</f>
        <v>0.869918699186992</v>
      </c>
      <c r="D97" s="45" t="n">
        <f aca="false">INDEX('Transition Stepwise'!$J$2:$J$1137,MATCH(12&amp;"|"&amp;$A97&amp;"|"&amp;D$93,'Transition Stepwise'!$E$2:$E$1137,0))</f>
        <v>0.016260162601626</v>
      </c>
      <c r="E97" s="45" t="n">
        <f aca="false">INDEX('Transition Stepwise'!$J$2:$J$1137,MATCH(12&amp;"|"&amp;$A97&amp;"|"&amp;E$93,'Transition Stepwise'!$E$2:$E$1137,0))</f>
        <v>0.0975609756097561</v>
      </c>
      <c r="F97" s="38" t="n">
        <f aca="false">ROUND(SUM(B97:E97),9)</f>
        <v>1</v>
      </c>
    </row>
    <row r="98" customFormat="false" ht="15" hidden="false" customHeight="true" outlineLevel="0" collapsed="false">
      <c r="A98" s="38"/>
      <c r="B98" s="38"/>
      <c r="C98" s="38"/>
      <c r="D98" s="38"/>
      <c r="E98" s="38"/>
      <c r="F98" s="38"/>
    </row>
    <row r="99" customFormat="false" ht="15" hidden="false" customHeight="true" outlineLevel="0" collapsed="false">
      <c r="A99" s="38"/>
      <c r="B99" s="38"/>
      <c r="C99" s="38"/>
      <c r="D99" s="38"/>
      <c r="E99" s="38"/>
      <c r="F99" s="38"/>
    </row>
    <row r="100" customFormat="false" ht="15" hidden="false" customHeight="true" outlineLevel="0" collapsed="false">
      <c r="A100" s="41" t="s">
        <v>706</v>
      </c>
      <c r="B100" s="38"/>
      <c r="C100" s="38"/>
      <c r="D100" s="38"/>
      <c r="E100" s="38"/>
      <c r="F100" s="38"/>
    </row>
    <row r="101" customFormat="false" ht="15" hidden="false" customHeight="true" outlineLevel="0" collapsed="false">
      <c r="A101" s="39" t="s">
        <v>693</v>
      </c>
      <c r="B101" s="39" t="s">
        <v>172</v>
      </c>
      <c r="C101" s="39" t="s">
        <v>170</v>
      </c>
      <c r="D101" s="39" t="s">
        <v>169</v>
      </c>
      <c r="E101" s="39" t="s">
        <v>171</v>
      </c>
      <c r="F101" s="39" t="s">
        <v>766</v>
      </c>
    </row>
    <row r="102" customFormat="false" ht="15" hidden="false" customHeight="true" outlineLevel="0" collapsed="false">
      <c r="A102" s="41" t="s">
        <v>172</v>
      </c>
      <c r="B102" s="45" t="n">
        <f aca="false">INDEX('Transition Stepwise'!$J$2:$J$1137,MATCH(13&amp;"|"&amp;$A102&amp;"|"&amp;B$101,'Transition Stepwise'!$E$2:$E$1137,0))</f>
        <v>0.764705882352941</v>
      </c>
      <c r="C102" s="45" t="n">
        <f aca="false">INDEX('Transition Stepwise'!$J$2:$J$1137,MATCH(13&amp;"|"&amp;$A102&amp;"|"&amp;C$101,'Transition Stepwise'!$E$2:$E$1137,0))</f>
        <v>0.0588235294117647</v>
      </c>
      <c r="D102" s="45" t="n">
        <f aca="false">INDEX('Transition Stepwise'!$J$2:$J$1137,MATCH(13&amp;"|"&amp;$A102&amp;"|"&amp;D$101,'Transition Stepwise'!$E$2:$E$1137,0))</f>
        <v>0.117647058823529</v>
      </c>
      <c r="E102" s="45" t="n">
        <f aca="false">INDEX('Transition Stepwise'!$J$2:$J$1137,MATCH(13&amp;"|"&amp;$A102&amp;"|"&amp;E$101,'Transition Stepwise'!$E$2:$E$1137,0))</f>
        <v>0.0588235294117647</v>
      </c>
      <c r="F102" s="38" t="n">
        <f aca="false">ROUND(SUM(B102:E102),9)</f>
        <v>1</v>
      </c>
    </row>
    <row r="103" customFormat="false" ht="15" hidden="false" customHeight="true" outlineLevel="0" collapsed="false">
      <c r="A103" s="41" t="s">
        <v>170</v>
      </c>
      <c r="B103" s="45" t="n">
        <f aca="false">INDEX('Transition Stepwise'!$J$2:$J$1137,MATCH(13&amp;"|"&amp;$A103&amp;"|"&amp;B$101,'Transition Stepwise'!$E$2:$E$1137,0))</f>
        <v>0.969924812030075</v>
      </c>
      <c r="C103" s="45" t="n">
        <f aca="false">INDEX('Transition Stepwise'!$J$2:$J$1137,MATCH(13&amp;"|"&amp;$A103&amp;"|"&amp;C$101,'Transition Stepwise'!$E$2:$E$1137,0))</f>
        <v>0.0150375939849624</v>
      </c>
      <c r="D103" s="45" t="n">
        <f aca="false">INDEX('Transition Stepwise'!$J$2:$J$1137,MATCH(13&amp;"|"&amp;$A103&amp;"|"&amp;D$101,'Transition Stepwise'!$E$2:$E$1137,0))</f>
        <v>0.0075187969924812</v>
      </c>
      <c r="E103" s="45" t="n">
        <f aca="false">INDEX('Transition Stepwise'!$J$2:$J$1137,MATCH(13&amp;"|"&amp;$A103&amp;"|"&amp;E$101,'Transition Stepwise'!$E$2:$E$1137,0))</f>
        <v>0.0075187969924812</v>
      </c>
      <c r="F103" s="38" t="n">
        <f aca="false">ROUND(SUM(B103:E103),9)</f>
        <v>1</v>
      </c>
    </row>
    <row r="104" customFormat="false" ht="15" hidden="false" customHeight="true" outlineLevel="0" collapsed="false">
      <c r="A104" s="41" t="s">
        <v>169</v>
      </c>
      <c r="B104" s="45" t="n">
        <f aca="false">INDEX('Transition Stepwise'!$J$2:$J$1137,MATCH(13&amp;"|"&amp;$A104&amp;"|"&amp;B$101,'Transition Stepwise'!$E$2:$E$1137,0))</f>
        <v>0.869565217391304</v>
      </c>
      <c r="C104" s="45" t="n">
        <f aca="false">INDEX('Transition Stepwise'!$J$2:$J$1137,MATCH(13&amp;"|"&amp;$A104&amp;"|"&amp;C$101,'Transition Stepwise'!$E$2:$E$1137,0))</f>
        <v>0.0434782608695652</v>
      </c>
      <c r="D104" s="45" t="n">
        <f aca="false">INDEX('Transition Stepwise'!$J$2:$J$1137,MATCH(13&amp;"|"&amp;$A104&amp;"|"&amp;D$101,'Transition Stepwise'!$E$2:$E$1137,0))</f>
        <v>0.0434782608695652</v>
      </c>
      <c r="E104" s="45" t="n">
        <f aca="false">INDEX('Transition Stepwise'!$J$2:$J$1137,MATCH(13&amp;"|"&amp;$A104&amp;"|"&amp;E$101,'Transition Stepwise'!$E$2:$E$1137,0))</f>
        <v>0.0434782608695652</v>
      </c>
      <c r="F104" s="38" t="n">
        <f aca="false">ROUND(SUM(B104:E104),9)</f>
        <v>1</v>
      </c>
    </row>
    <row r="105" customFormat="false" ht="15" hidden="false" customHeight="true" outlineLevel="0" collapsed="false">
      <c r="A105" s="41" t="s">
        <v>171</v>
      </c>
      <c r="B105" s="45" t="n">
        <f aca="false">INDEX('Transition Stepwise'!$J$2:$J$1137,MATCH(13&amp;"|"&amp;$A105&amp;"|"&amp;B$101,'Transition Stepwise'!$E$2:$E$1137,0))</f>
        <v>0.928571428571429</v>
      </c>
      <c r="C105" s="45" t="n">
        <f aca="false">INDEX('Transition Stepwise'!$J$2:$J$1137,MATCH(13&amp;"|"&amp;$A105&amp;"|"&amp;C$101,'Transition Stepwise'!$E$2:$E$1137,0))</f>
        <v>0.0238095238095238</v>
      </c>
      <c r="D105" s="45" t="n">
        <f aca="false">INDEX('Transition Stepwise'!$J$2:$J$1137,MATCH(13&amp;"|"&amp;$A105&amp;"|"&amp;D$101,'Transition Stepwise'!$E$2:$E$1137,0))</f>
        <v>0.0238095238095238</v>
      </c>
      <c r="E105" s="45" t="n">
        <f aca="false">INDEX('Transition Stepwise'!$J$2:$J$1137,MATCH(13&amp;"|"&amp;$A105&amp;"|"&amp;E$101,'Transition Stepwise'!$E$2:$E$1137,0))</f>
        <v>0.0238095238095238</v>
      </c>
      <c r="F105" s="38" t="n">
        <f aca="false">ROUND(SUM(B105:E105),9)</f>
        <v>1</v>
      </c>
    </row>
    <row r="106" customFormat="false" ht="15" hidden="false" customHeight="true" outlineLevel="0" collapsed="false">
      <c r="A106" s="38"/>
      <c r="B106" s="38"/>
      <c r="C106" s="38"/>
      <c r="D106" s="38"/>
      <c r="E106" s="38"/>
      <c r="F106" s="38"/>
    </row>
    <row r="107" customFormat="false" ht="15" hidden="false" customHeight="true" outlineLevel="0" collapsed="false">
      <c r="A107" s="38"/>
      <c r="B107" s="38"/>
      <c r="C107" s="38"/>
      <c r="D107" s="38"/>
      <c r="E107" s="38"/>
      <c r="F107" s="38"/>
    </row>
    <row r="108" customFormat="false" ht="15" hidden="false" customHeight="true" outlineLevel="0" collapsed="false">
      <c r="A108" s="41" t="s">
        <v>707</v>
      </c>
      <c r="B108" s="38"/>
      <c r="C108" s="38"/>
      <c r="D108" s="38"/>
      <c r="E108" s="38"/>
      <c r="F108" s="38"/>
    </row>
    <row r="109" customFormat="false" ht="15" hidden="false" customHeight="true" outlineLevel="0" collapsed="false">
      <c r="A109" s="39" t="s">
        <v>693</v>
      </c>
      <c r="B109" s="39" t="s">
        <v>172</v>
      </c>
      <c r="C109" s="39" t="s">
        <v>170</v>
      </c>
      <c r="D109" s="39" t="s">
        <v>169</v>
      </c>
      <c r="E109" s="39" t="s">
        <v>171</v>
      </c>
      <c r="F109" s="39" t="s">
        <v>766</v>
      </c>
    </row>
    <row r="110" customFormat="false" ht="15" hidden="false" customHeight="true" outlineLevel="0" collapsed="false">
      <c r="A110" s="41" t="s">
        <v>172</v>
      </c>
      <c r="B110" s="45" t="n">
        <f aca="false">INDEX('Transition Stepwise'!$J$2:$J$1137,MATCH(14&amp;"|"&amp;$A110&amp;"|"&amp;B$109,'Transition Stepwise'!$E$2:$E$1137,0))</f>
        <v>0.165</v>
      </c>
      <c r="C110" s="45" t="n">
        <f aca="false">INDEX('Transition Stepwise'!$J$2:$J$1137,MATCH(14&amp;"|"&amp;$A110&amp;"|"&amp;C$109,'Transition Stepwise'!$E$2:$E$1137,0))</f>
        <v>0.01</v>
      </c>
      <c r="D110" s="45" t="n">
        <f aca="false">INDEX('Transition Stepwise'!$J$2:$J$1137,MATCH(14&amp;"|"&amp;$A110&amp;"|"&amp;D$109,'Transition Stepwise'!$E$2:$E$1137,0))</f>
        <v>0.81</v>
      </c>
      <c r="E110" s="45" t="n">
        <f aca="false">INDEX('Transition Stepwise'!$J$2:$J$1137,MATCH(14&amp;"|"&amp;$A110&amp;"|"&amp;E$109,'Transition Stepwise'!$E$2:$E$1137,0))</f>
        <v>0.015</v>
      </c>
      <c r="F110" s="38" t="n">
        <f aca="false">ROUND(SUM(B110:E110),9)</f>
        <v>1</v>
      </c>
    </row>
    <row r="111" customFormat="false" ht="15" hidden="false" customHeight="true" outlineLevel="0" collapsed="false">
      <c r="A111" s="41" t="s">
        <v>170</v>
      </c>
      <c r="B111" s="45" t="n">
        <f aca="false">INDEX('Transition Stepwise'!$J$2:$J$1137,MATCH(14&amp;"|"&amp;$A111&amp;"|"&amp;B$109,'Transition Stepwise'!$E$2:$E$1137,0))</f>
        <v>0.4</v>
      </c>
      <c r="C111" s="45" t="n">
        <f aca="false">INDEX('Transition Stepwise'!$J$2:$J$1137,MATCH(14&amp;"|"&amp;$A111&amp;"|"&amp;C$109,'Transition Stepwise'!$E$2:$E$1137,0))</f>
        <v>0.2</v>
      </c>
      <c r="D111" s="45" t="n">
        <f aca="false">INDEX('Transition Stepwise'!$J$2:$J$1137,MATCH(14&amp;"|"&amp;$A111&amp;"|"&amp;D$109,'Transition Stepwise'!$E$2:$E$1137,0))</f>
        <v>0.2</v>
      </c>
      <c r="E111" s="45" t="n">
        <f aca="false">INDEX('Transition Stepwise'!$J$2:$J$1137,MATCH(14&amp;"|"&amp;$A111&amp;"|"&amp;E$109,'Transition Stepwise'!$E$2:$E$1137,0))</f>
        <v>0.2</v>
      </c>
      <c r="F111" s="38" t="n">
        <f aca="false">ROUND(SUM(B111:E111),9)</f>
        <v>1</v>
      </c>
    </row>
    <row r="112" customFormat="false" ht="15" hidden="false" customHeight="true" outlineLevel="0" collapsed="false">
      <c r="A112" s="41" t="s">
        <v>169</v>
      </c>
      <c r="B112" s="45" t="n">
        <f aca="false">INDEX('Transition Stepwise'!$J$2:$J$1137,MATCH(14&amp;"|"&amp;$A112&amp;"|"&amp;B$109,'Transition Stepwise'!$E$2:$E$1137,0))</f>
        <v>0.2</v>
      </c>
      <c r="C112" s="45" t="n">
        <f aca="false">INDEX('Transition Stepwise'!$J$2:$J$1137,MATCH(14&amp;"|"&amp;$A112&amp;"|"&amp;C$109,'Transition Stepwise'!$E$2:$E$1137,0))</f>
        <v>0.4</v>
      </c>
      <c r="D112" s="45" t="n">
        <f aca="false">INDEX('Transition Stepwise'!$J$2:$J$1137,MATCH(14&amp;"|"&amp;$A112&amp;"|"&amp;D$109,'Transition Stepwise'!$E$2:$E$1137,0))</f>
        <v>0.2</v>
      </c>
      <c r="E112" s="45" t="n">
        <f aca="false">INDEX('Transition Stepwise'!$J$2:$J$1137,MATCH(14&amp;"|"&amp;$A112&amp;"|"&amp;E$109,'Transition Stepwise'!$E$2:$E$1137,0))</f>
        <v>0.2</v>
      </c>
      <c r="F112" s="38" t="n">
        <f aca="false">ROUND(SUM(B112:E112),9)</f>
        <v>1</v>
      </c>
    </row>
    <row r="113" customFormat="false" ht="15" hidden="false" customHeight="true" outlineLevel="0" collapsed="false">
      <c r="A113" s="41" t="s">
        <v>171</v>
      </c>
      <c r="B113" s="45" t="n">
        <f aca="false">INDEX('Transition Stepwise'!$J$2:$J$1137,MATCH(14&amp;"|"&amp;$A113&amp;"|"&amp;B$109,'Transition Stepwise'!$E$2:$E$1137,0))</f>
        <v>0.25</v>
      </c>
      <c r="C113" s="45" t="n">
        <f aca="false">INDEX('Transition Stepwise'!$J$2:$J$1137,MATCH(14&amp;"|"&amp;$A113&amp;"|"&amp;C$109,'Transition Stepwise'!$E$2:$E$1137,0))</f>
        <v>0.25</v>
      </c>
      <c r="D113" s="45" t="n">
        <f aca="false">INDEX('Transition Stepwise'!$J$2:$J$1137,MATCH(14&amp;"|"&amp;$A113&amp;"|"&amp;D$109,'Transition Stepwise'!$E$2:$E$1137,0))</f>
        <v>0.25</v>
      </c>
      <c r="E113" s="45" t="n">
        <f aca="false">INDEX('Transition Stepwise'!$J$2:$J$1137,MATCH(14&amp;"|"&amp;$A113&amp;"|"&amp;E$109,'Transition Stepwise'!$E$2:$E$1137,0))</f>
        <v>0.25</v>
      </c>
      <c r="F113" s="38" t="n">
        <f aca="false">ROUND(SUM(B113:E113),9)</f>
        <v>1</v>
      </c>
    </row>
    <row r="114" customFormat="false" ht="15" hidden="false" customHeight="true" outlineLevel="0" collapsed="false">
      <c r="A114" s="38"/>
      <c r="B114" s="38"/>
      <c r="C114" s="38"/>
      <c r="D114" s="38"/>
      <c r="E114" s="38"/>
      <c r="F114" s="38"/>
    </row>
    <row r="115" customFormat="false" ht="15" hidden="false" customHeight="true" outlineLevel="0" collapsed="false">
      <c r="A115" s="38"/>
      <c r="B115" s="38"/>
      <c r="C115" s="38"/>
      <c r="D115" s="38"/>
      <c r="E115" s="38"/>
      <c r="F115" s="38"/>
    </row>
    <row r="116" customFormat="false" ht="15" hidden="false" customHeight="true" outlineLevel="0" collapsed="false">
      <c r="A116" s="41" t="s">
        <v>708</v>
      </c>
      <c r="B116" s="38"/>
      <c r="C116" s="38"/>
      <c r="D116" s="38"/>
      <c r="E116" s="38"/>
      <c r="F116" s="38"/>
    </row>
    <row r="117" customFormat="false" ht="15" hidden="false" customHeight="true" outlineLevel="0" collapsed="false">
      <c r="A117" s="39" t="s">
        <v>693</v>
      </c>
      <c r="B117" s="39" t="s">
        <v>172</v>
      </c>
      <c r="C117" s="39" t="s">
        <v>170</v>
      </c>
      <c r="D117" s="39" t="s">
        <v>169</v>
      </c>
      <c r="E117" s="39" t="s">
        <v>171</v>
      </c>
      <c r="F117" s="39" t="s">
        <v>766</v>
      </c>
    </row>
    <row r="118" customFormat="false" ht="15" hidden="false" customHeight="true" outlineLevel="0" collapsed="false">
      <c r="A118" s="41" t="s">
        <v>172</v>
      </c>
      <c r="B118" s="45" t="n">
        <f aca="false">INDEX('Transition Stepwise'!$J$2:$J$1137,MATCH(15&amp;"|"&amp;$A118&amp;"|"&amp;B$117,'Transition Stepwise'!$E$2:$E$1137,0))</f>
        <v>0.0952380952380952</v>
      </c>
      <c r="C118" s="45" t="n">
        <f aca="false">INDEX('Transition Stepwise'!$J$2:$J$1137,MATCH(15&amp;"|"&amp;$A118&amp;"|"&amp;C$117,'Transition Stepwise'!$E$2:$E$1137,0))</f>
        <v>0.0952380952380952</v>
      </c>
      <c r="D118" s="45" t="n">
        <f aca="false">INDEX('Transition Stepwise'!$J$2:$J$1137,MATCH(15&amp;"|"&amp;$A118&amp;"|"&amp;D$117,'Transition Stepwise'!$E$2:$E$1137,0))</f>
        <v>0.0476190476190476</v>
      </c>
      <c r="E118" s="45" t="n">
        <f aca="false">INDEX('Transition Stepwise'!$J$2:$J$1137,MATCH(15&amp;"|"&amp;$A118&amp;"|"&amp;E$117,'Transition Stepwise'!$E$2:$E$1137,0))</f>
        <v>0.761904761904762</v>
      </c>
      <c r="F118" s="38" t="n">
        <f aca="false">ROUND(SUM(B118:E118),9)</f>
        <v>1</v>
      </c>
    </row>
    <row r="119" customFormat="false" ht="15" hidden="false" customHeight="true" outlineLevel="0" collapsed="false">
      <c r="A119" s="41" t="s">
        <v>170</v>
      </c>
      <c r="B119" s="45" t="n">
        <f aca="false">INDEX('Transition Stepwise'!$J$2:$J$1137,MATCH(15&amp;"|"&amp;$A119&amp;"|"&amp;B$117,'Transition Stepwise'!$E$2:$E$1137,0))</f>
        <v>0.2</v>
      </c>
      <c r="C119" s="45" t="n">
        <f aca="false">INDEX('Transition Stepwise'!$J$2:$J$1137,MATCH(15&amp;"|"&amp;$A119&amp;"|"&amp;C$117,'Transition Stepwise'!$E$2:$E$1137,0))</f>
        <v>0.2</v>
      </c>
      <c r="D119" s="45" t="n">
        <f aca="false">INDEX('Transition Stepwise'!$J$2:$J$1137,MATCH(15&amp;"|"&amp;$A119&amp;"|"&amp;D$117,'Transition Stepwise'!$E$2:$E$1137,0))</f>
        <v>0.2</v>
      </c>
      <c r="E119" s="45" t="n">
        <f aca="false">INDEX('Transition Stepwise'!$J$2:$J$1137,MATCH(15&amp;"|"&amp;$A119&amp;"|"&amp;E$117,'Transition Stepwise'!$E$2:$E$1137,0))</f>
        <v>0.4</v>
      </c>
      <c r="F119" s="38" t="n">
        <f aca="false">ROUND(SUM(B119:E119),9)</f>
        <v>1</v>
      </c>
    </row>
    <row r="120" customFormat="false" ht="15" hidden="false" customHeight="true" outlineLevel="0" collapsed="false">
      <c r="A120" s="41" t="s">
        <v>169</v>
      </c>
      <c r="B120" s="45" t="n">
        <f aca="false">INDEX('Transition Stepwise'!$J$2:$J$1137,MATCH(15&amp;"|"&amp;$A120&amp;"|"&amp;B$117,'Transition Stepwise'!$E$2:$E$1137,0))</f>
        <v>0.0256410256410256</v>
      </c>
      <c r="C120" s="45" t="n">
        <f aca="false">INDEX('Transition Stepwise'!$J$2:$J$1137,MATCH(15&amp;"|"&amp;$A120&amp;"|"&amp;C$117,'Transition Stepwise'!$E$2:$E$1137,0))</f>
        <v>0.393162393162393</v>
      </c>
      <c r="D120" s="45" t="n">
        <f aca="false">INDEX('Transition Stepwise'!$J$2:$J$1137,MATCH(15&amp;"|"&amp;$A120&amp;"|"&amp;D$117,'Transition Stepwise'!$E$2:$E$1137,0))</f>
        <v>0.0341880341880342</v>
      </c>
      <c r="E120" s="45" t="n">
        <f aca="false">INDEX('Transition Stepwise'!$J$2:$J$1137,MATCH(15&amp;"|"&amp;$A120&amp;"|"&amp;E$117,'Transition Stepwise'!$E$2:$E$1137,0))</f>
        <v>0.547008547008547</v>
      </c>
      <c r="F120" s="38" t="n">
        <f aca="false">ROUND(SUM(B120:E120),9)</f>
        <v>1</v>
      </c>
    </row>
    <row r="121" customFormat="false" ht="15" hidden="false" customHeight="true" outlineLevel="0" collapsed="false">
      <c r="A121" s="41" t="s">
        <v>171</v>
      </c>
      <c r="B121" s="45" t="n">
        <f aca="false">INDEX('Transition Stepwise'!$J$2:$J$1137,MATCH(15&amp;"|"&amp;$A121&amp;"|"&amp;B$117,'Transition Stepwise'!$E$2:$E$1137,0))</f>
        <v>0.2</v>
      </c>
      <c r="C121" s="45" t="n">
        <f aca="false">INDEX('Transition Stepwise'!$J$2:$J$1137,MATCH(15&amp;"|"&amp;$A121&amp;"|"&amp;C$117,'Transition Stepwise'!$E$2:$E$1137,0))</f>
        <v>0.4</v>
      </c>
      <c r="D121" s="45" t="n">
        <f aca="false">INDEX('Transition Stepwise'!$J$2:$J$1137,MATCH(15&amp;"|"&amp;$A121&amp;"|"&amp;D$117,'Transition Stepwise'!$E$2:$E$1137,0))</f>
        <v>0.2</v>
      </c>
      <c r="E121" s="45" t="n">
        <f aca="false">INDEX('Transition Stepwise'!$J$2:$J$1137,MATCH(15&amp;"|"&amp;$A121&amp;"|"&amp;E$117,'Transition Stepwise'!$E$2:$E$1137,0))</f>
        <v>0.2</v>
      </c>
      <c r="F121" s="38" t="n">
        <f aca="false">ROUND(SUM(B121:E121),9)</f>
        <v>1</v>
      </c>
    </row>
    <row r="122" customFormat="false" ht="15" hidden="false" customHeight="true" outlineLevel="0" collapsed="false">
      <c r="A122" s="38"/>
      <c r="B122" s="38"/>
      <c r="C122" s="38"/>
      <c r="D122" s="38"/>
      <c r="E122" s="38"/>
      <c r="F122" s="38"/>
    </row>
    <row r="123" customFormat="false" ht="15" hidden="false" customHeight="true" outlineLevel="0" collapsed="false">
      <c r="A123" s="38"/>
      <c r="B123" s="38"/>
      <c r="C123" s="38"/>
      <c r="D123" s="38"/>
      <c r="E123" s="38"/>
      <c r="F123" s="38"/>
    </row>
    <row r="124" customFormat="false" ht="15" hidden="false" customHeight="true" outlineLevel="0" collapsed="false">
      <c r="A124" s="41" t="s">
        <v>709</v>
      </c>
      <c r="B124" s="38"/>
      <c r="C124" s="38"/>
      <c r="D124" s="38"/>
      <c r="E124" s="38"/>
      <c r="F124" s="38"/>
    </row>
    <row r="125" customFormat="false" ht="15" hidden="false" customHeight="true" outlineLevel="0" collapsed="false">
      <c r="A125" s="39" t="s">
        <v>693</v>
      </c>
      <c r="B125" s="39" t="s">
        <v>172</v>
      </c>
      <c r="C125" s="39" t="s">
        <v>170</v>
      </c>
      <c r="D125" s="39" t="s">
        <v>169</v>
      </c>
      <c r="E125" s="39" t="s">
        <v>171</v>
      </c>
      <c r="F125" s="39" t="s">
        <v>766</v>
      </c>
    </row>
    <row r="126" customFormat="false" ht="15" hidden="false" customHeight="true" outlineLevel="0" collapsed="false">
      <c r="A126" s="41" t="s">
        <v>172</v>
      </c>
      <c r="B126" s="45" t="n">
        <f aca="false">INDEX('Transition Stepwise'!$J$2:$J$1137,MATCH(16&amp;"|"&amp;$A126&amp;"|"&amp;B$125,'Transition Stepwise'!$E$2:$E$1137,0))</f>
        <v>0.142857142857143</v>
      </c>
      <c r="C126" s="45" t="n">
        <f aca="false">INDEX('Transition Stepwise'!$J$2:$J$1137,MATCH(16&amp;"|"&amp;$A126&amp;"|"&amp;C$125,'Transition Stepwise'!$E$2:$E$1137,0))</f>
        <v>0.285714285714286</v>
      </c>
      <c r="D126" s="45" t="n">
        <f aca="false">INDEX('Transition Stepwise'!$J$2:$J$1137,MATCH(16&amp;"|"&amp;$A126&amp;"|"&amp;D$125,'Transition Stepwise'!$E$2:$E$1137,0))</f>
        <v>0.142857142857143</v>
      </c>
      <c r="E126" s="45" t="n">
        <f aca="false">INDEX('Transition Stepwise'!$J$2:$J$1137,MATCH(16&amp;"|"&amp;$A126&amp;"|"&amp;E$125,'Transition Stepwise'!$E$2:$E$1137,0))</f>
        <v>0.428571428571429</v>
      </c>
      <c r="F126" s="38" t="n">
        <f aca="false">ROUND(SUM(B126:E126),9)</f>
        <v>1</v>
      </c>
    </row>
    <row r="127" customFormat="false" ht="15" hidden="false" customHeight="true" outlineLevel="0" collapsed="false">
      <c r="A127" s="41" t="s">
        <v>170</v>
      </c>
      <c r="B127" s="45" t="n">
        <f aca="false">INDEX('Transition Stepwise'!$J$2:$J$1137,MATCH(16&amp;"|"&amp;$A127&amp;"|"&amp;B$125,'Transition Stepwise'!$E$2:$E$1137,0))</f>
        <v>0.04</v>
      </c>
      <c r="C127" s="45" t="n">
        <f aca="false">INDEX('Transition Stepwise'!$J$2:$J$1137,MATCH(16&amp;"|"&amp;$A127&amp;"|"&amp;C$125,'Transition Stepwise'!$E$2:$E$1137,0))</f>
        <v>0.46</v>
      </c>
      <c r="D127" s="45" t="n">
        <f aca="false">INDEX('Transition Stepwise'!$J$2:$J$1137,MATCH(16&amp;"|"&amp;$A127&amp;"|"&amp;D$125,'Transition Stepwise'!$E$2:$E$1137,0))</f>
        <v>0.02</v>
      </c>
      <c r="E127" s="45" t="n">
        <f aca="false">INDEX('Transition Stepwise'!$J$2:$J$1137,MATCH(16&amp;"|"&amp;$A127&amp;"|"&amp;E$125,'Transition Stepwise'!$E$2:$E$1137,0))</f>
        <v>0.48</v>
      </c>
      <c r="F127" s="38" t="n">
        <f aca="false">ROUND(SUM(B127:E127),9)</f>
        <v>1</v>
      </c>
    </row>
    <row r="128" customFormat="false" ht="15" hidden="false" customHeight="true" outlineLevel="0" collapsed="false">
      <c r="A128" s="41" t="s">
        <v>169</v>
      </c>
      <c r="B128" s="45" t="n">
        <f aca="false">INDEX('Transition Stepwise'!$J$2:$J$1137,MATCH(16&amp;"|"&amp;$A128&amp;"|"&amp;B$125,'Transition Stepwise'!$E$2:$E$1137,0))</f>
        <v>0.142857142857143</v>
      </c>
      <c r="C128" s="45" t="n">
        <f aca="false">INDEX('Transition Stepwise'!$J$2:$J$1137,MATCH(16&amp;"|"&amp;$A128&amp;"|"&amp;C$125,'Transition Stepwise'!$E$2:$E$1137,0))</f>
        <v>0.142857142857143</v>
      </c>
      <c r="D128" s="45" t="n">
        <f aca="false">INDEX('Transition Stepwise'!$J$2:$J$1137,MATCH(16&amp;"|"&amp;$A128&amp;"|"&amp;D$125,'Transition Stepwise'!$E$2:$E$1137,0))</f>
        <v>0.285714285714286</v>
      </c>
      <c r="E128" s="45" t="n">
        <f aca="false">INDEX('Transition Stepwise'!$J$2:$J$1137,MATCH(16&amp;"|"&amp;$A128&amp;"|"&amp;E$125,'Transition Stepwise'!$E$2:$E$1137,0))</f>
        <v>0.428571428571429</v>
      </c>
      <c r="F128" s="38" t="n">
        <f aca="false">ROUND(SUM(B128:E128),9)</f>
        <v>1</v>
      </c>
    </row>
    <row r="129" customFormat="false" ht="15" hidden="false" customHeight="true" outlineLevel="0" collapsed="false">
      <c r="A129" s="41" t="s">
        <v>171</v>
      </c>
      <c r="B129" s="45" t="n">
        <f aca="false">INDEX('Transition Stepwise'!$J$2:$J$1137,MATCH(16&amp;"|"&amp;$A129&amp;"|"&amp;B$125,'Transition Stepwise'!$E$2:$E$1137,0))</f>
        <v>0.0975609756097561</v>
      </c>
      <c r="C129" s="45" t="n">
        <f aca="false">INDEX('Transition Stepwise'!$J$2:$J$1137,MATCH(16&amp;"|"&amp;$A129&amp;"|"&amp;C$125,'Transition Stepwise'!$E$2:$E$1137,0))</f>
        <v>0.268292682926829</v>
      </c>
      <c r="D129" s="45" t="n">
        <f aca="false">INDEX('Transition Stepwise'!$J$2:$J$1137,MATCH(16&amp;"|"&amp;$A129&amp;"|"&amp;D$125,'Transition Stepwise'!$E$2:$E$1137,0))</f>
        <v>0.024390243902439</v>
      </c>
      <c r="E129" s="45" t="n">
        <f aca="false">INDEX('Transition Stepwise'!$J$2:$J$1137,MATCH(16&amp;"|"&amp;$A129&amp;"|"&amp;E$125,'Transition Stepwise'!$E$2:$E$1137,0))</f>
        <v>0.609756097560976</v>
      </c>
      <c r="F129" s="38" t="n">
        <f aca="false">ROUND(SUM(B129:E129),9)</f>
        <v>1</v>
      </c>
    </row>
    <row r="130" customFormat="false" ht="15" hidden="false" customHeight="true" outlineLevel="0" collapsed="false">
      <c r="A130" s="38"/>
      <c r="B130" s="38"/>
      <c r="C130" s="38"/>
      <c r="D130" s="38"/>
      <c r="E130" s="38"/>
      <c r="F130" s="38"/>
    </row>
    <row r="131" customFormat="false" ht="15" hidden="false" customHeight="true" outlineLevel="0" collapsed="false">
      <c r="A131" s="38"/>
      <c r="B131" s="38"/>
      <c r="C131" s="38"/>
      <c r="D131" s="38"/>
      <c r="E131" s="38"/>
      <c r="F131" s="38"/>
    </row>
    <row r="132" customFormat="false" ht="15" hidden="false" customHeight="true" outlineLevel="0" collapsed="false">
      <c r="A132" s="41" t="s">
        <v>710</v>
      </c>
      <c r="B132" s="38"/>
      <c r="C132" s="38"/>
      <c r="D132" s="38"/>
      <c r="E132" s="38"/>
      <c r="F132" s="38"/>
    </row>
    <row r="133" customFormat="false" ht="15" hidden="false" customHeight="true" outlineLevel="0" collapsed="false">
      <c r="A133" s="39" t="s">
        <v>693</v>
      </c>
      <c r="B133" s="39" t="s">
        <v>172</v>
      </c>
      <c r="C133" s="39" t="s">
        <v>170</v>
      </c>
      <c r="D133" s="39" t="s">
        <v>169</v>
      </c>
      <c r="E133" s="39" t="s">
        <v>171</v>
      </c>
      <c r="F133" s="39" t="s">
        <v>766</v>
      </c>
    </row>
    <row r="134" customFormat="false" ht="15" hidden="false" customHeight="true" outlineLevel="0" collapsed="false">
      <c r="A134" s="41" t="s">
        <v>172</v>
      </c>
      <c r="B134" s="45" t="n">
        <f aca="false">INDEX('Transition Stepwise'!$J$2:$J$1137,MATCH(17&amp;"|"&amp;$A134&amp;"|"&amp;B$133,'Transition Stepwise'!$E$2:$E$1137,0))</f>
        <v>0.125</v>
      </c>
      <c r="C134" s="45" t="n">
        <f aca="false">INDEX('Transition Stepwise'!$J$2:$J$1137,MATCH(17&amp;"|"&amp;$A134&amp;"|"&amp;C$133,'Transition Stepwise'!$E$2:$E$1137,0))</f>
        <v>0.0625</v>
      </c>
      <c r="D134" s="45" t="n">
        <f aca="false">INDEX('Transition Stepwise'!$J$2:$J$1137,MATCH(17&amp;"|"&amp;$A134&amp;"|"&amp;D$133,'Transition Stepwise'!$E$2:$E$1137,0))</f>
        <v>0.75</v>
      </c>
      <c r="E134" s="45" t="n">
        <f aca="false">INDEX('Transition Stepwise'!$J$2:$J$1137,MATCH(17&amp;"|"&amp;$A134&amp;"|"&amp;E$133,'Transition Stepwise'!$E$2:$E$1137,0))</f>
        <v>0.0625</v>
      </c>
      <c r="F134" s="38" t="n">
        <f aca="false">ROUND(SUM(B134:E134),9)</f>
        <v>1</v>
      </c>
    </row>
    <row r="135" customFormat="false" ht="15" hidden="false" customHeight="true" outlineLevel="0" collapsed="false">
      <c r="A135" s="41" t="s">
        <v>170</v>
      </c>
      <c r="B135" s="45" t="n">
        <f aca="false">INDEX('Transition Stepwise'!$J$2:$J$1137,MATCH(17&amp;"|"&amp;$A135&amp;"|"&amp;B$133,'Transition Stepwise'!$E$2:$E$1137,0))</f>
        <v>0.0149253731343284</v>
      </c>
      <c r="C135" s="45" t="n">
        <f aca="false">INDEX('Transition Stepwise'!$J$2:$J$1137,MATCH(17&amp;"|"&amp;$A135&amp;"|"&amp;C$133,'Transition Stepwise'!$E$2:$E$1137,0))</f>
        <v>0.0149253731343284</v>
      </c>
      <c r="D135" s="45" t="n">
        <f aca="false">INDEX('Transition Stepwise'!$J$2:$J$1137,MATCH(17&amp;"|"&amp;$A135&amp;"|"&amp;D$133,'Transition Stepwise'!$E$2:$E$1137,0))</f>
        <v>0.955223880597015</v>
      </c>
      <c r="E135" s="45" t="n">
        <f aca="false">INDEX('Transition Stepwise'!$J$2:$J$1137,MATCH(17&amp;"|"&amp;$A135&amp;"|"&amp;E$133,'Transition Stepwise'!$E$2:$E$1137,0))</f>
        <v>0.0149253731343284</v>
      </c>
      <c r="F135" s="38" t="n">
        <f aca="false">ROUND(SUM(B135:E135),9)</f>
        <v>1</v>
      </c>
    </row>
    <row r="136" customFormat="false" ht="15" hidden="false" customHeight="true" outlineLevel="0" collapsed="false">
      <c r="A136" s="41" t="s">
        <v>169</v>
      </c>
      <c r="B136" s="45" t="n">
        <f aca="false">INDEX('Transition Stepwise'!$J$2:$J$1137,MATCH(17&amp;"|"&amp;$A136&amp;"|"&amp;B$133,'Transition Stepwise'!$E$2:$E$1137,0))</f>
        <v>0.0833333333333333</v>
      </c>
      <c r="C136" s="45" t="n">
        <f aca="false">INDEX('Transition Stepwise'!$J$2:$J$1137,MATCH(17&amp;"|"&amp;$A136&amp;"|"&amp;C$133,'Transition Stepwise'!$E$2:$E$1137,0))</f>
        <v>0.0833333333333333</v>
      </c>
      <c r="D136" s="45" t="n">
        <f aca="false">INDEX('Transition Stepwise'!$J$2:$J$1137,MATCH(17&amp;"|"&amp;$A136&amp;"|"&amp;D$133,'Transition Stepwise'!$E$2:$E$1137,0))</f>
        <v>0.75</v>
      </c>
      <c r="E136" s="45" t="n">
        <f aca="false">INDEX('Transition Stepwise'!$J$2:$J$1137,MATCH(17&amp;"|"&amp;$A136&amp;"|"&amp;E$133,'Transition Stepwise'!$E$2:$E$1137,0))</f>
        <v>0.0833333333333333</v>
      </c>
      <c r="F136" s="38" t="n">
        <f aca="false">ROUND(SUM(B136:E136),9)</f>
        <v>1</v>
      </c>
    </row>
    <row r="137" customFormat="false" ht="15" hidden="false" customHeight="true" outlineLevel="0" collapsed="false">
      <c r="A137" s="41" t="s">
        <v>171</v>
      </c>
      <c r="B137" s="45" t="n">
        <f aca="false">INDEX('Transition Stepwise'!$J$2:$J$1137,MATCH(17&amp;"|"&amp;$A137&amp;"|"&amp;B$133,'Transition Stepwise'!$E$2:$E$1137,0))</f>
        <v>0.00854700854700855</v>
      </c>
      <c r="C137" s="45" t="n">
        <f aca="false">INDEX('Transition Stepwise'!$J$2:$J$1137,MATCH(17&amp;"|"&amp;$A137&amp;"|"&amp;C$133,'Transition Stepwise'!$E$2:$E$1137,0))</f>
        <v>0.00854700854700855</v>
      </c>
      <c r="D137" s="45" t="n">
        <f aca="false">INDEX('Transition Stepwise'!$J$2:$J$1137,MATCH(17&amp;"|"&amp;$A137&amp;"|"&amp;D$133,'Transition Stepwise'!$E$2:$E$1137,0))</f>
        <v>0.974358974358974</v>
      </c>
      <c r="E137" s="45" t="n">
        <f aca="false">INDEX('Transition Stepwise'!$J$2:$J$1137,MATCH(17&amp;"|"&amp;$A137&amp;"|"&amp;E$133,'Transition Stepwise'!$E$2:$E$1137,0))</f>
        <v>0.00854700854700855</v>
      </c>
      <c r="F137" s="38" t="n">
        <f aca="false">ROUND(SUM(B137:E137),9)</f>
        <v>1</v>
      </c>
    </row>
    <row r="138" customFormat="false" ht="15" hidden="false" customHeight="true" outlineLevel="0" collapsed="false">
      <c r="A138" s="38"/>
      <c r="B138" s="38"/>
      <c r="C138" s="38"/>
      <c r="D138" s="38"/>
      <c r="E138" s="38"/>
      <c r="F138" s="38"/>
    </row>
    <row r="139" customFormat="false" ht="15" hidden="false" customHeight="true" outlineLevel="0" collapsed="false">
      <c r="A139" s="38"/>
      <c r="B139" s="38"/>
      <c r="C139" s="38"/>
      <c r="D139" s="38"/>
      <c r="E139" s="38"/>
      <c r="F139" s="38"/>
    </row>
    <row r="140" customFormat="false" ht="15" hidden="false" customHeight="true" outlineLevel="0" collapsed="false">
      <c r="A140" s="41" t="s">
        <v>711</v>
      </c>
      <c r="B140" s="38"/>
      <c r="C140" s="38"/>
      <c r="D140" s="38"/>
      <c r="E140" s="38"/>
      <c r="F140" s="38"/>
    </row>
    <row r="141" customFormat="false" ht="15" hidden="false" customHeight="true" outlineLevel="0" collapsed="false">
      <c r="A141" s="39" t="s">
        <v>693</v>
      </c>
      <c r="B141" s="39" t="s">
        <v>172</v>
      </c>
      <c r="C141" s="39" t="s">
        <v>170</v>
      </c>
      <c r="D141" s="39" t="s">
        <v>169</v>
      </c>
      <c r="E141" s="39" t="s">
        <v>171</v>
      </c>
      <c r="F141" s="39" t="s">
        <v>766</v>
      </c>
    </row>
    <row r="142" customFormat="false" ht="15" hidden="false" customHeight="true" outlineLevel="0" collapsed="false">
      <c r="A142" s="41" t="s">
        <v>172</v>
      </c>
      <c r="B142" s="45" t="n">
        <f aca="false">INDEX('Transition Stepwise'!$J$2:$J$1137,MATCH(18&amp;"|"&amp;$A142&amp;"|"&amp;B$141,'Transition Stepwise'!$E$2:$E$1137,0))</f>
        <v>0.4</v>
      </c>
      <c r="C142" s="45" t="n">
        <f aca="false">INDEX('Transition Stepwise'!$J$2:$J$1137,MATCH(18&amp;"|"&amp;$A142&amp;"|"&amp;C$141,'Transition Stepwise'!$E$2:$E$1137,0))</f>
        <v>0.2</v>
      </c>
      <c r="D142" s="45" t="n">
        <f aca="false">INDEX('Transition Stepwise'!$J$2:$J$1137,MATCH(18&amp;"|"&amp;$A142&amp;"|"&amp;D$141,'Transition Stepwise'!$E$2:$E$1137,0))</f>
        <v>0.2</v>
      </c>
      <c r="E142" s="45" t="n">
        <f aca="false">INDEX('Transition Stepwise'!$J$2:$J$1137,MATCH(18&amp;"|"&amp;$A142&amp;"|"&amp;E$141,'Transition Stepwise'!$E$2:$E$1137,0))</f>
        <v>0.2</v>
      </c>
      <c r="F142" s="38" t="n">
        <f aca="false">ROUND(SUM(B142:E142),9)</f>
        <v>1</v>
      </c>
    </row>
    <row r="143" customFormat="false" ht="15" hidden="false" customHeight="true" outlineLevel="0" collapsed="false">
      <c r="A143" s="41" t="s">
        <v>170</v>
      </c>
      <c r="B143" s="45" t="n">
        <f aca="false">INDEX('Transition Stepwise'!$J$2:$J$1137,MATCH(18&amp;"|"&amp;$A143&amp;"|"&amp;B$141,'Transition Stepwise'!$E$2:$E$1137,0))</f>
        <v>0.25</v>
      </c>
      <c r="C143" s="45" t="n">
        <f aca="false">INDEX('Transition Stepwise'!$J$2:$J$1137,MATCH(18&amp;"|"&amp;$A143&amp;"|"&amp;C$141,'Transition Stepwise'!$E$2:$E$1137,0))</f>
        <v>0.25</v>
      </c>
      <c r="D143" s="45" t="n">
        <f aca="false">INDEX('Transition Stepwise'!$J$2:$J$1137,MATCH(18&amp;"|"&amp;$A143&amp;"|"&amp;D$141,'Transition Stepwise'!$E$2:$E$1137,0))</f>
        <v>0.25</v>
      </c>
      <c r="E143" s="45" t="n">
        <f aca="false">INDEX('Transition Stepwise'!$J$2:$J$1137,MATCH(18&amp;"|"&amp;$A143&amp;"|"&amp;E$141,'Transition Stepwise'!$E$2:$E$1137,0))</f>
        <v>0.25</v>
      </c>
      <c r="F143" s="38" t="n">
        <f aca="false">ROUND(SUM(B143:E143),9)</f>
        <v>1</v>
      </c>
    </row>
    <row r="144" customFormat="false" ht="15" hidden="false" customHeight="true" outlineLevel="0" collapsed="false">
      <c r="A144" s="41" t="s">
        <v>169</v>
      </c>
      <c r="B144" s="45" t="n">
        <f aca="false">INDEX('Transition Stepwise'!$J$2:$J$1137,MATCH(18&amp;"|"&amp;$A144&amp;"|"&amp;B$141,'Transition Stepwise'!$E$2:$E$1137,0))</f>
        <v>0.00495049504950495</v>
      </c>
      <c r="C144" s="45" t="n">
        <f aca="false">INDEX('Transition Stepwise'!$J$2:$J$1137,MATCH(18&amp;"|"&amp;$A144&amp;"|"&amp;C$141,'Transition Stepwise'!$E$2:$E$1137,0))</f>
        <v>0.00495049504950495</v>
      </c>
      <c r="D144" s="45" t="n">
        <f aca="false">INDEX('Transition Stepwise'!$J$2:$J$1137,MATCH(18&amp;"|"&amp;$A144&amp;"|"&amp;D$141,'Transition Stepwise'!$E$2:$E$1137,0))</f>
        <v>0.975247524752475</v>
      </c>
      <c r="E144" s="45" t="n">
        <f aca="false">INDEX('Transition Stepwise'!$J$2:$J$1137,MATCH(18&amp;"|"&amp;$A144&amp;"|"&amp;E$141,'Transition Stepwise'!$E$2:$E$1137,0))</f>
        <v>0.0148514851485149</v>
      </c>
      <c r="F144" s="38" t="n">
        <f aca="false">ROUND(SUM(B144:E144),9)</f>
        <v>1</v>
      </c>
    </row>
    <row r="145" customFormat="false" ht="15" hidden="false" customHeight="true" outlineLevel="0" collapsed="false">
      <c r="A145" s="41" t="s">
        <v>171</v>
      </c>
      <c r="B145" s="45" t="n">
        <f aca="false">INDEX('Transition Stepwise'!$J$2:$J$1137,MATCH(18&amp;"|"&amp;$A145&amp;"|"&amp;B$141,'Transition Stepwise'!$E$2:$E$1137,0))</f>
        <v>0.25</v>
      </c>
      <c r="C145" s="45" t="n">
        <f aca="false">INDEX('Transition Stepwise'!$J$2:$J$1137,MATCH(18&amp;"|"&amp;$A145&amp;"|"&amp;C$141,'Transition Stepwise'!$E$2:$E$1137,0))</f>
        <v>0.25</v>
      </c>
      <c r="D145" s="45" t="n">
        <f aca="false">INDEX('Transition Stepwise'!$J$2:$J$1137,MATCH(18&amp;"|"&amp;$A145&amp;"|"&amp;D$141,'Transition Stepwise'!$E$2:$E$1137,0))</f>
        <v>0.25</v>
      </c>
      <c r="E145" s="45" t="n">
        <f aca="false">INDEX('Transition Stepwise'!$J$2:$J$1137,MATCH(18&amp;"|"&amp;$A145&amp;"|"&amp;E$141,'Transition Stepwise'!$E$2:$E$1137,0))</f>
        <v>0.25</v>
      </c>
      <c r="F145" s="38" t="n">
        <f aca="false">ROUND(SUM(B145:E145),9)</f>
        <v>1</v>
      </c>
    </row>
    <row r="146" customFormat="false" ht="15" hidden="false" customHeight="true" outlineLevel="0" collapsed="false">
      <c r="A146" s="38"/>
      <c r="B146" s="38"/>
      <c r="C146" s="38"/>
      <c r="D146" s="38"/>
      <c r="E146" s="38"/>
      <c r="F146" s="38"/>
    </row>
    <row r="147" customFormat="false" ht="15" hidden="false" customHeight="true" outlineLevel="0" collapsed="false">
      <c r="A147" s="38"/>
      <c r="B147" s="38"/>
      <c r="C147" s="38"/>
      <c r="D147" s="38"/>
      <c r="E147" s="38"/>
      <c r="F147" s="38"/>
    </row>
    <row r="148" customFormat="false" ht="15" hidden="false" customHeight="true" outlineLevel="0" collapsed="false">
      <c r="A148" s="41" t="s">
        <v>712</v>
      </c>
      <c r="B148" s="38"/>
      <c r="C148" s="38"/>
      <c r="D148" s="38"/>
      <c r="E148" s="38"/>
      <c r="F148" s="38"/>
    </row>
    <row r="149" customFormat="false" ht="15" hidden="false" customHeight="true" outlineLevel="0" collapsed="false">
      <c r="A149" s="39" t="s">
        <v>693</v>
      </c>
      <c r="B149" s="39" t="s">
        <v>172</v>
      </c>
      <c r="C149" s="39" t="s">
        <v>170</v>
      </c>
      <c r="D149" s="39" t="s">
        <v>169</v>
      </c>
      <c r="E149" s="39" t="s">
        <v>171</v>
      </c>
      <c r="F149" s="39" t="s">
        <v>766</v>
      </c>
    </row>
    <row r="150" customFormat="false" ht="15" hidden="false" customHeight="true" outlineLevel="0" collapsed="false">
      <c r="A150" s="41" t="s">
        <v>172</v>
      </c>
      <c r="B150" s="45" t="n">
        <f aca="false">INDEX('Transition Stepwise'!$J$2:$J$1137,MATCH(19&amp;"|"&amp;$A150&amp;"|"&amp;B$149,'Transition Stepwise'!$E$2:$E$1137,0))</f>
        <v>0.2</v>
      </c>
      <c r="C150" s="45" t="n">
        <f aca="false">INDEX('Transition Stepwise'!$J$2:$J$1137,MATCH(19&amp;"|"&amp;$A150&amp;"|"&amp;C$149,'Transition Stepwise'!$E$2:$E$1137,0))</f>
        <v>0.2</v>
      </c>
      <c r="D150" s="45" t="n">
        <f aca="false">INDEX('Transition Stepwise'!$J$2:$J$1137,MATCH(19&amp;"|"&amp;$A150&amp;"|"&amp;D$149,'Transition Stepwise'!$E$2:$E$1137,0))</f>
        <v>0.2</v>
      </c>
      <c r="E150" s="45" t="n">
        <f aca="false">INDEX('Transition Stepwise'!$J$2:$J$1137,MATCH(19&amp;"|"&amp;$A150&amp;"|"&amp;E$149,'Transition Stepwise'!$E$2:$E$1137,0))</f>
        <v>0.4</v>
      </c>
      <c r="F150" s="38" t="n">
        <f aca="false">ROUND(SUM(B150:E150),9)</f>
        <v>1</v>
      </c>
    </row>
    <row r="151" customFormat="false" ht="15" hidden="false" customHeight="true" outlineLevel="0" collapsed="false">
      <c r="A151" s="41" t="s">
        <v>170</v>
      </c>
      <c r="B151" s="45" t="n">
        <f aca="false">INDEX('Transition Stepwise'!$J$2:$J$1137,MATCH(19&amp;"|"&amp;$A151&amp;"|"&amp;B$149,'Transition Stepwise'!$E$2:$E$1137,0))</f>
        <v>0.25</v>
      </c>
      <c r="C151" s="45" t="n">
        <f aca="false">INDEX('Transition Stepwise'!$J$2:$J$1137,MATCH(19&amp;"|"&amp;$A151&amp;"|"&amp;C$149,'Transition Stepwise'!$E$2:$E$1137,0))</f>
        <v>0.25</v>
      </c>
      <c r="D151" s="45" t="n">
        <f aca="false">INDEX('Transition Stepwise'!$J$2:$J$1137,MATCH(19&amp;"|"&amp;$A151&amp;"|"&amp;D$149,'Transition Stepwise'!$E$2:$E$1137,0))</f>
        <v>0.25</v>
      </c>
      <c r="E151" s="45" t="n">
        <f aca="false">INDEX('Transition Stepwise'!$J$2:$J$1137,MATCH(19&amp;"|"&amp;$A151&amp;"|"&amp;E$149,'Transition Stepwise'!$E$2:$E$1137,0))</f>
        <v>0.25</v>
      </c>
      <c r="F151" s="38" t="n">
        <f aca="false">ROUND(SUM(B151:E151),9)</f>
        <v>1</v>
      </c>
    </row>
    <row r="152" customFormat="false" ht="15" hidden="false" customHeight="true" outlineLevel="0" collapsed="false">
      <c r="A152" s="41" t="s">
        <v>169</v>
      </c>
      <c r="B152" s="45" t="n">
        <f aca="false">INDEX('Transition Stepwise'!$J$2:$J$1137,MATCH(19&amp;"|"&amp;$A152&amp;"|"&amp;B$149,'Transition Stepwise'!$E$2:$E$1137,0))</f>
        <v>0.09</v>
      </c>
      <c r="C152" s="45" t="n">
        <f aca="false">INDEX('Transition Stepwise'!$J$2:$J$1137,MATCH(19&amp;"|"&amp;$A152&amp;"|"&amp;C$149,'Transition Stepwise'!$E$2:$E$1137,0))</f>
        <v>0.23</v>
      </c>
      <c r="D152" s="45" t="n">
        <f aca="false">INDEX('Transition Stepwise'!$J$2:$J$1137,MATCH(19&amp;"|"&amp;$A152&amp;"|"&amp;D$149,'Transition Stepwise'!$E$2:$E$1137,0))</f>
        <v>0.095</v>
      </c>
      <c r="E152" s="45" t="n">
        <f aca="false">INDEX('Transition Stepwise'!$J$2:$J$1137,MATCH(19&amp;"|"&amp;$A152&amp;"|"&amp;E$149,'Transition Stepwise'!$E$2:$E$1137,0))</f>
        <v>0.585</v>
      </c>
      <c r="F152" s="38" t="n">
        <f aca="false">ROUND(SUM(B152:E152),9)</f>
        <v>1</v>
      </c>
    </row>
    <row r="153" customFormat="false" ht="15" hidden="false" customHeight="true" outlineLevel="0" collapsed="false">
      <c r="A153" s="41" t="s">
        <v>171</v>
      </c>
      <c r="B153" s="45" t="n">
        <f aca="false">INDEX('Transition Stepwise'!$J$2:$J$1137,MATCH(19&amp;"|"&amp;$A153&amp;"|"&amp;B$149,'Transition Stepwise'!$E$2:$E$1137,0))</f>
        <v>0.2</v>
      </c>
      <c r="C153" s="45" t="n">
        <f aca="false">INDEX('Transition Stepwise'!$J$2:$J$1137,MATCH(19&amp;"|"&amp;$A153&amp;"|"&amp;C$149,'Transition Stepwise'!$E$2:$E$1137,0))</f>
        <v>0.2</v>
      </c>
      <c r="D153" s="45" t="n">
        <f aca="false">INDEX('Transition Stepwise'!$J$2:$J$1137,MATCH(19&amp;"|"&amp;$A153&amp;"|"&amp;D$149,'Transition Stepwise'!$E$2:$E$1137,0))</f>
        <v>0.2</v>
      </c>
      <c r="E153" s="45" t="n">
        <f aca="false">INDEX('Transition Stepwise'!$J$2:$J$1137,MATCH(19&amp;"|"&amp;$A153&amp;"|"&amp;E$149,'Transition Stepwise'!$E$2:$E$1137,0))</f>
        <v>0.4</v>
      </c>
      <c r="F153" s="38" t="n">
        <f aca="false">ROUND(SUM(B153:E153),9)</f>
        <v>1</v>
      </c>
    </row>
    <row r="154" customFormat="false" ht="15" hidden="false" customHeight="true" outlineLevel="0" collapsed="false">
      <c r="A154" s="38"/>
      <c r="B154" s="38"/>
      <c r="C154" s="38"/>
      <c r="D154" s="38"/>
      <c r="E154" s="38"/>
      <c r="F154" s="38"/>
    </row>
    <row r="155" customFormat="false" ht="15" hidden="false" customHeight="true" outlineLevel="0" collapsed="false">
      <c r="A155" s="38"/>
      <c r="B155" s="38"/>
      <c r="C155" s="38"/>
      <c r="D155" s="38"/>
      <c r="E155" s="38"/>
      <c r="F155" s="38"/>
    </row>
    <row r="156" customFormat="false" ht="15" hidden="false" customHeight="true" outlineLevel="0" collapsed="false">
      <c r="A156" s="41" t="s">
        <v>713</v>
      </c>
      <c r="B156" s="38"/>
      <c r="C156" s="38"/>
      <c r="D156" s="38"/>
      <c r="E156" s="38"/>
      <c r="F156" s="38"/>
    </row>
    <row r="157" customFormat="false" ht="15" hidden="false" customHeight="true" outlineLevel="0" collapsed="false">
      <c r="A157" s="39" t="s">
        <v>693</v>
      </c>
      <c r="B157" s="39" t="s">
        <v>172</v>
      </c>
      <c r="C157" s="39" t="s">
        <v>170</v>
      </c>
      <c r="D157" s="39" t="s">
        <v>169</v>
      </c>
      <c r="E157" s="39" t="s">
        <v>171</v>
      </c>
      <c r="F157" s="39" t="s">
        <v>766</v>
      </c>
    </row>
    <row r="158" customFormat="false" ht="15" hidden="false" customHeight="true" outlineLevel="0" collapsed="false">
      <c r="A158" s="41" t="s">
        <v>172</v>
      </c>
      <c r="B158" s="45" t="n">
        <f aca="false">INDEX('Transition Stepwise'!$J$2:$J$1137,MATCH(20&amp;"|"&amp;$A158&amp;"|"&amp;B$157,'Transition Stepwise'!$E$2:$E$1137,0))</f>
        <v>0.80952380952381</v>
      </c>
      <c r="C158" s="45" t="n">
        <f aca="false">INDEX('Transition Stepwise'!$J$2:$J$1137,MATCH(20&amp;"|"&amp;$A158&amp;"|"&amp;C$157,'Transition Stepwise'!$E$2:$E$1137,0))</f>
        <v>0.0476190476190476</v>
      </c>
      <c r="D158" s="45" t="n">
        <f aca="false">INDEX('Transition Stepwise'!$J$2:$J$1137,MATCH(20&amp;"|"&amp;$A158&amp;"|"&amp;D$157,'Transition Stepwise'!$E$2:$E$1137,0))</f>
        <v>0.0476190476190476</v>
      </c>
      <c r="E158" s="45" t="n">
        <f aca="false">INDEX('Transition Stepwise'!$J$2:$J$1137,MATCH(20&amp;"|"&amp;$A158&amp;"|"&amp;E$157,'Transition Stepwise'!$E$2:$E$1137,0))</f>
        <v>0.0952380952380952</v>
      </c>
      <c r="F158" s="38" t="n">
        <f aca="false">ROUND(SUM(B158:E158),9)</f>
        <v>1</v>
      </c>
    </row>
    <row r="159" customFormat="false" ht="15" hidden="false" customHeight="true" outlineLevel="0" collapsed="false">
      <c r="A159" s="41" t="s">
        <v>170</v>
      </c>
      <c r="B159" s="45" t="n">
        <f aca="false">INDEX('Transition Stepwise'!$J$2:$J$1137,MATCH(20&amp;"|"&amp;$A159&amp;"|"&amp;B$157,'Transition Stepwise'!$E$2:$E$1137,0))</f>
        <v>0.714285714285714</v>
      </c>
      <c r="C159" s="45" t="n">
        <f aca="false">INDEX('Transition Stepwise'!$J$2:$J$1137,MATCH(20&amp;"|"&amp;$A159&amp;"|"&amp;C$157,'Transition Stepwise'!$E$2:$E$1137,0))</f>
        <v>0.0816326530612245</v>
      </c>
      <c r="D159" s="45" t="n">
        <f aca="false">INDEX('Transition Stepwise'!$J$2:$J$1137,MATCH(20&amp;"|"&amp;$A159&amp;"|"&amp;D$157,'Transition Stepwise'!$E$2:$E$1137,0))</f>
        <v>0.102040816326531</v>
      </c>
      <c r="E159" s="45" t="n">
        <f aca="false">INDEX('Transition Stepwise'!$J$2:$J$1137,MATCH(20&amp;"|"&amp;$A159&amp;"|"&amp;E$157,'Transition Stepwise'!$E$2:$E$1137,0))</f>
        <v>0.102040816326531</v>
      </c>
      <c r="F159" s="38" t="n">
        <f aca="false">ROUND(SUM(B159:E159),9)</f>
        <v>1</v>
      </c>
    </row>
    <row r="160" customFormat="false" ht="15" hidden="false" customHeight="true" outlineLevel="0" collapsed="false">
      <c r="A160" s="41" t="s">
        <v>169</v>
      </c>
      <c r="B160" s="45" t="n">
        <f aca="false">INDEX('Transition Stepwise'!$J$2:$J$1137,MATCH(20&amp;"|"&amp;$A160&amp;"|"&amp;B$157,'Transition Stepwise'!$E$2:$E$1137,0))</f>
        <v>0.863636363636364</v>
      </c>
      <c r="C160" s="45" t="n">
        <f aca="false">INDEX('Transition Stepwise'!$J$2:$J$1137,MATCH(20&amp;"|"&amp;$A160&amp;"|"&amp;C$157,'Transition Stepwise'!$E$2:$E$1137,0))</f>
        <v>0.0454545454545455</v>
      </c>
      <c r="D160" s="45" t="n">
        <f aca="false">INDEX('Transition Stepwise'!$J$2:$J$1137,MATCH(20&amp;"|"&amp;$A160&amp;"|"&amp;D$157,'Transition Stepwise'!$E$2:$E$1137,0))</f>
        <v>0.0454545454545455</v>
      </c>
      <c r="E160" s="45" t="n">
        <f aca="false">INDEX('Transition Stepwise'!$J$2:$J$1137,MATCH(20&amp;"|"&amp;$A160&amp;"|"&amp;E$157,'Transition Stepwise'!$E$2:$E$1137,0))</f>
        <v>0.0454545454545455</v>
      </c>
      <c r="F160" s="38" t="n">
        <f aca="false">ROUND(SUM(B160:E160),9)</f>
        <v>1</v>
      </c>
    </row>
    <row r="161" customFormat="false" ht="15" hidden="false" customHeight="true" outlineLevel="0" collapsed="false">
      <c r="A161" s="41" t="s">
        <v>171</v>
      </c>
      <c r="B161" s="45" t="n">
        <f aca="false">INDEX('Transition Stepwise'!$J$2:$J$1137,MATCH(20&amp;"|"&amp;$A161&amp;"|"&amp;B$157,'Transition Stepwise'!$E$2:$E$1137,0))</f>
        <v>0.901639344262295</v>
      </c>
      <c r="C161" s="45" t="n">
        <f aca="false">INDEX('Transition Stepwise'!$J$2:$J$1137,MATCH(20&amp;"|"&amp;$A161&amp;"|"&amp;C$157,'Transition Stepwise'!$E$2:$E$1137,0))</f>
        <v>0.0163934426229508</v>
      </c>
      <c r="D161" s="45" t="n">
        <f aca="false">INDEX('Transition Stepwise'!$J$2:$J$1137,MATCH(20&amp;"|"&amp;$A161&amp;"|"&amp;D$157,'Transition Stepwise'!$E$2:$E$1137,0))</f>
        <v>0.0327868852459016</v>
      </c>
      <c r="E161" s="45" t="n">
        <f aca="false">INDEX('Transition Stepwise'!$J$2:$J$1137,MATCH(20&amp;"|"&amp;$A161&amp;"|"&amp;E$157,'Transition Stepwise'!$E$2:$E$1137,0))</f>
        <v>0.0491803278688525</v>
      </c>
      <c r="F161" s="38" t="n">
        <f aca="false">ROUND(SUM(B161:E161),9)</f>
        <v>1</v>
      </c>
    </row>
    <row r="162" customFormat="false" ht="15" hidden="false" customHeight="true" outlineLevel="0" collapsed="false">
      <c r="A162" s="38"/>
      <c r="B162" s="38"/>
      <c r="C162" s="38"/>
      <c r="D162" s="38"/>
      <c r="E162" s="38"/>
      <c r="F162" s="38"/>
    </row>
    <row r="163" customFormat="false" ht="15" hidden="false" customHeight="true" outlineLevel="0" collapsed="false">
      <c r="A163" s="38"/>
      <c r="B163" s="38"/>
      <c r="C163" s="38"/>
      <c r="D163" s="38"/>
      <c r="E163" s="38"/>
      <c r="F163" s="38"/>
    </row>
    <row r="164" customFormat="false" ht="15" hidden="false" customHeight="true" outlineLevel="0" collapsed="false">
      <c r="A164" s="41" t="s">
        <v>714</v>
      </c>
      <c r="B164" s="38"/>
      <c r="C164" s="38"/>
      <c r="D164" s="38"/>
      <c r="E164" s="38"/>
      <c r="F164" s="38"/>
    </row>
    <row r="165" customFormat="false" ht="15" hidden="false" customHeight="true" outlineLevel="0" collapsed="false">
      <c r="A165" s="39" t="s">
        <v>693</v>
      </c>
      <c r="B165" s="39" t="s">
        <v>172</v>
      </c>
      <c r="C165" s="39" t="s">
        <v>170</v>
      </c>
      <c r="D165" s="39" t="s">
        <v>169</v>
      </c>
      <c r="E165" s="39" t="s">
        <v>171</v>
      </c>
      <c r="F165" s="39" t="s">
        <v>766</v>
      </c>
    </row>
    <row r="166" customFormat="false" ht="15" hidden="false" customHeight="true" outlineLevel="0" collapsed="false">
      <c r="A166" s="41" t="s">
        <v>172</v>
      </c>
      <c r="B166" s="45" t="n">
        <f aca="false">INDEX('Transition Stepwise'!$J$2:$J$1137,MATCH(21&amp;"|"&amp;$A166&amp;"|"&amp;B$165,'Transition Stepwise'!$E$2:$E$1137,0))</f>
        <v>0.159340659340659</v>
      </c>
      <c r="C166" s="45" t="n">
        <f aca="false">INDEX('Transition Stepwise'!$J$2:$J$1137,MATCH(21&amp;"|"&amp;$A166&amp;"|"&amp;C$165,'Transition Stepwise'!$E$2:$E$1137,0))</f>
        <v>0.0054945054945055</v>
      </c>
      <c r="D166" s="45" t="n">
        <f aca="false">INDEX('Transition Stepwise'!$J$2:$J$1137,MATCH(21&amp;"|"&amp;$A166&amp;"|"&amp;D$165,'Transition Stepwise'!$E$2:$E$1137,0))</f>
        <v>0.769230769230769</v>
      </c>
      <c r="E166" s="45" t="n">
        <f aca="false">INDEX('Transition Stepwise'!$J$2:$J$1137,MATCH(21&amp;"|"&amp;$A166&amp;"|"&amp;E$165,'Transition Stepwise'!$E$2:$E$1137,0))</f>
        <v>0.0659340659340659</v>
      </c>
      <c r="F166" s="38" t="n">
        <f aca="false">ROUND(SUM(B166:E166),9)</f>
        <v>1</v>
      </c>
    </row>
    <row r="167" customFormat="false" ht="15" hidden="false" customHeight="true" outlineLevel="0" collapsed="false">
      <c r="A167" s="41" t="s">
        <v>170</v>
      </c>
      <c r="B167" s="45" t="n">
        <f aca="false">INDEX('Transition Stepwise'!$J$2:$J$1137,MATCH(21&amp;"|"&amp;$A167&amp;"|"&amp;B$165,'Transition Stepwise'!$E$2:$E$1137,0))</f>
        <v>0.5</v>
      </c>
      <c r="C167" s="45" t="n">
        <f aca="false">INDEX('Transition Stepwise'!$J$2:$J$1137,MATCH(21&amp;"|"&amp;$A167&amp;"|"&amp;C$165,'Transition Stepwise'!$E$2:$E$1137,0))</f>
        <v>0.125</v>
      </c>
      <c r="D167" s="45" t="n">
        <f aca="false">INDEX('Transition Stepwise'!$J$2:$J$1137,MATCH(21&amp;"|"&amp;$A167&amp;"|"&amp;D$165,'Transition Stepwise'!$E$2:$E$1137,0))</f>
        <v>0.25</v>
      </c>
      <c r="E167" s="45" t="n">
        <f aca="false">INDEX('Transition Stepwise'!$J$2:$J$1137,MATCH(21&amp;"|"&amp;$A167&amp;"|"&amp;E$165,'Transition Stepwise'!$E$2:$E$1137,0))</f>
        <v>0.125</v>
      </c>
      <c r="F167" s="38" t="n">
        <f aca="false">ROUND(SUM(B167:E167),9)</f>
        <v>1</v>
      </c>
    </row>
    <row r="168" customFormat="false" ht="15" hidden="false" customHeight="true" outlineLevel="0" collapsed="false">
      <c r="A168" s="41" t="s">
        <v>169</v>
      </c>
      <c r="B168" s="45" t="n">
        <f aca="false">INDEX('Transition Stepwise'!$J$2:$J$1137,MATCH(21&amp;"|"&amp;$A168&amp;"|"&amp;B$165,'Transition Stepwise'!$E$2:$E$1137,0))</f>
        <v>0.727272727272727</v>
      </c>
      <c r="C168" s="45" t="n">
        <f aca="false">INDEX('Transition Stepwise'!$J$2:$J$1137,MATCH(21&amp;"|"&amp;$A168&amp;"|"&amp;C$165,'Transition Stepwise'!$E$2:$E$1137,0))</f>
        <v>0.0909090909090909</v>
      </c>
      <c r="D168" s="45" t="n">
        <f aca="false">INDEX('Transition Stepwise'!$J$2:$J$1137,MATCH(21&amp;"|"&amp;$A168&amp;"|"&amp;D$165,'Transition Stepwise'!$E$2:$E$1137,0))</f>
        <v>0.0909090909090909</v>
      </c>
      <c r="E168" s="45" t="n">
        <f aca="false">INDEX('Transition Stepwise'!$J$2:$J$1137,MATCH(21&amp;"|"&amp;$A168&amp;"|"&amp;E$165,'Transition Stepwise'!$E$2:$E$1137,0))</f>
        <v>0.0909090909090909</v>
      </c>
      <c r="F168" s="38" t="n">
        <f aca="false">ROUND(SUM(B168:E168),9)</f>
        <v>1</v>
      </c>
    </row>
    <row r="169" customFormat="false" ht="15" hidden="false" customHeight="true" outlineLevel="0" collapsed="false">
      <c r="A169" s="41" t="s">
        <v>171</v>
      </c>
      <c r="B169" s="45" t="n">
        <f aca="false">INDEX('Transition Stepwise'!$J$2:$J$1137,MATCH(21&amp;"|"&amp;$A169&amp;"|"&amp;B$165,'Transition Stepwise'!$E$2:$E$1137,0))</f>
        <v>0.285714285714286</v>
      </c>
      <c r="C169" s="45" t="n">
        <f aca="false">INDEX('Transition Stepwise'!$J$2:$J$1137,MATCH(21&amp;"|"&amp;$A169&amp;"|"&amp;C$165,'Transition Stepwise'!$E$2:$E$1137,0))</f>
        <v>0.0714285714285714</v>
      </c>
      <c r="D169" s="45" t="n">
        <f aca="false">INDEX('Transition Stepwise'!$J$2:$J$1137,MATCH(21&amp;"|"&amp;$A169&amp;"|"&amp;D$165,'Transition Stepwise'!$E$2:$E$1137,0))</f>
        <v>0.357142857142857</v>
      </c>
      <c r="E169" s="45" t="n">
        <f aca="false">INDEX('Transition Stepwise'!$J$2:$J$1137,MATCH(21&amp;"|"&amp;$A169&amp;"|"&amp;E$165,'Transition Stepwise'!$E$2:$E$1137,0))</f>
        <v>0.285714285714286</v>
      </c>
      <c r="F169" s="38" t="n">
        <f aca="false">ROUND(SUM(B169:E169),9)</f>
        <v>1</v>
      </c>
    </row>
    <row r="170" customFormat="false" ht="15" hidden="false" customHeight="true" outlineLevel="0" collapsed="false">
      <c r="A170" s="38"/>
      <c r="B170" s="38"/>
      <c r="C170" s="38"/>
      <c r="D170" s="38"/>
      <c r="E170" s="38"/>
      <c r="F170" s="38"/>
    </row>
    <row r="171" customFormat="false" ht="15" hidden="false" customHeight="true" outlineLevel="0" collapsed="false">
      <c r="A171" s="38"/>
      <c r="B171" s="38"/>
      <c r="C171" s="38"/>
      <c r="D171" s="38"/>
      <c r="E171" s="38"/>
      <c r="F171" s="38"/>
    </row>
    <row r="172" customFormat="false" ht="15" hidden="false" customHeight="true" outlineLevel="0" collapsed="false">
      <c r="A172" s="41" t="s">
        <v>715</v>
      </c>
      <c r="B172" s="38"/>
      <c r="C172" s="38"/>
      <c r="D172" s="38"/>
      <c r="E172" s="38"/>
      <c r="F172" s="38"/>
    </row>
    <row r="173" customFormat="false" ht="15" hidden="false" customHeight="true" outlineLevel="0" collapsed="false">
      <c r="A173" s="39" t="s">
        <v>693</v>
      </c>
      <c r="B173" s="39" t="s">
        <v>172</v>
      </c>
      <c r="C173" s="39" t="s">
        <v>170</v>
      </c>
      <c r="D173" s="39" t="s">
        <v>169</v>
      </c>
      <c r="E173" s="39" t="s">
        <v>171</v>
      </c>
      <c r="F173" s="39" t="s">
        <v>766</v>
      </c>
    </row>
    <row r="174" customFormat="false" ht="15" hidden="false" customHeight="true" outlineLevel="0" collapsed="false">
      <c r="A174" s="41" t="s">
        <v>172</v>
      </c>
      <c r="B174" s="45" t="n">
        <f aca="false">INDEX('Transition Stepwise'!$J$2:$J$1137,MATCH(22&amp;"|"&amp;$A174&amp;"|"&amp;B$173,'Transition Stepwise'!$E$2:$E$1137,0))</f>
        <v>0.155555555555556</v>
      </c>
      <c r="C174" s="45" t="n">
        <f aca="false">INDEX('Transition Stepwise'!$J$2:$J$1137,MATCH(22&amp;"|"&amp;$A174&amp;"|"&amp;C$173,'Transition Stepwise'!$E$2:$E$1137,0))</f>
        <v>0.266666666666667</v>
      </c>
      <c r="D174" s="45" t="n">
        <f aca="false">INDEX('Transition Stepwise'!$J$2:$J$1137,MATCH(22&amp;"|"&amp;$A174&amp;"|"&amp;D$173,'Transition Stepwise'!$E$2:$E$1137,0))</f>
        <v>0.488888888888889</v>
      </c>
      <c r="E174" s="45" t="n">
        <f aca="false">INDEX('Transition Stepwise'!$J$2:$J$1137,MATCH(22&amp;"|"&amp;$A174&amp;"|"&amp;E$173,'Transition Stepwise'!$E$2:$E$1137,0))</f>
        <v>0.0888888888888889</v>
      </c>
      <c r="F174" s="38" t="n">
        <f aca="false">ROUND(SUM(B174:E174),9)</f>
        <v>1</v>
      </c>
    </row>
    <row r="175" customFormat="false" ht="15" hidden="false" customHeight="true" outlineLevel="0" collapsed="false">
      <c r="A175" s="41" t="s">
        <v>170</v>
      </c>
      <c r="B175" s="45" t="n">
        <f aca="false">INDEX('Transition Stepwise'!$J$2:$J$1137,MATCH(22&amp;"|"&amp;$A175&amp;"|"&amp;B$173,'Transition Stepwise'!$E$2:$E$1137,0))</f>
        <v>0.25</v>
      </c>
      <c r="C175" s="45" t="n">
        <f aca="false">INDEX('Transition Stepwise'!$J$2:$J$1137,MATCH(22&amp;"|"&amp;$A175&amp;"|"&amp;C$173,'Transition Stepwise'!$E$2:$E$1137,0))</f>
        <v>0.25</v>
      </c>
      <c r="D175" s="45" t="n">
        <f aca="false">INDEX('Transition Stepwise'!$J$2:$J$1137,MATCH(22&amp;"|"&amp;$A175&amp;"|"&amp;D$173,'Transition Stepwise'!$E$2:$E$1137,0))</f>
        <v>0.25</v>
      </c>
      <c r="E175" s="45" t="n">
        <f aca="false">INDEX('Transition Stepwise'!$J$2:$J$1137,MATCH(22&amp;"|"&amp;$A175&amp;"|"&amp;E$173,'Transition Stepwise'!$E$2:$E$1137,0))</f>
        <v>0.25</v>
      </c>
      <c r="F175" s="38" t="n">
        <f aca="false">ROUND(SUM(B175:E175),9)</f>
        <v>1</v>
      </c>
    </row>
    <row r="176" customFormat="false" ht="15" hidden="false" customHeight="true" outlineLevel="0" collapsed="false">
      <c r="A176" s="41" t="s">
        <v>169</v>
      </c>
      <c r="B176" s="45" t="n">
        <f aca="false">INDEX('Transition Stepwise'!$J$2:$J$1137,MATCH(22&amp;"|"&amp;$A176&amp;"|"&amp;B$173,'Transition Stepwise'!$E$2:$E$1137,0))</f>
        <v>0.77027027027027</v>
      </c>
      <c r="C176" s="45" t="n">
        <f aca="false">INDEX('Transition Stepwise'!$J$2:$J$1137,MATCH(22&amp;"|"&amp;$A176&amp;"|"&amp;C$173,'Transition Stepwise'!$E$2:$E$1137,0))</f>
        <v>0.155405405405405</v>
      </c>
      <c r="D176" s="45" t="n">
        <f aca="false">INDEX('Transition Stepwise'!$J$2:$J$1137,MATCH(22&amp;"|"&amp;$A176&amp;"|"&amp;D$173,'Transition Stepwise'!$E$2:$E$1137,0))</f>
        <v>0.0405405405405405</v>
      </c>
      <c r="E176" s="45" t="n">
        <f aca="false">INDEX('Transition Stepwise'!$J$2:$J$1137,MATCH(22&amp;"|"&amp;$A176&amp;"|"&amp;E$173,'Transition Stepwise'!$E$2:$E$1137,0))</f>
        <v>0.0337837837837838</v>
      </c>
      <c r="F176" s="38" t="n">
        <f aca="false">ROUND(SUM(B176:E176),9)</f>
        <v>1</v>
      </c>
    </row>
    <row r="177" customFormat="false" ht="15" hidden="false" customHeight="true" outlineLevel="0" collapsed="false">
      <c r="A177" s="41" t="s">
        <v>171</v>
      </c>
      <c r="B177" s="45" t="n">
        <f aca="false">INDEX('Transition Stepwise'!$J$2:$J$1137,MATCH(22&amp;"|"&amp;$A177&amp;"|"&amp;B$173,'Transition Stepwise'!$E$2:$E$1137,0))</f>
        <v>0.111111111111111</v>
      </c>
      <c r="C177" s="45" t="n">
        <f aca="false">INDEX('Transition Stepwise'!$J$2:$J$1137,MATCH(22&amp;"|"&amp;$A177&amp;"|"&amp;C$173,'Transition Stepwise'!$E$2:$E$1137,0))</f>
        <v>0.333333333333333</v>
      </c>
      <c r="D177" s="45" t="n">
        <f aca="false">INDEX('Transition Stepwise'!$J$2:$J$1137,MATCH(22&amp;"|"&amp;$A177&amp;"|"&amp;D$173,'Transition Stepwise'!$E$2:$E$1137,0))</f>
        <v>0.222222222222222</v>
      </c>
      <c r="E177" s="45" t="n">
        <f aca="false">INDEX('Transition Stepwise'!$J$2:$J$1137,MATCH(22&amp;"|"&amp;$A177&amp;"|"&amp;E$173,'Transition Stepwise'!$E$2:$E$1137,0))</f>
        <v>0.333333333333333</v>
      </c>
      <c r="F177" s="38" t="n">
        <f aca="false">ROUND(SUM(B177:E177),9)</f>
        <v>1</v>
      </c>
    </row>
    <row r="178" customFormat="false" ht="15" hidden="false" customHeight="true" outlineLevel="0" collapsed="false">
      <c r="A178" s="38"/>
      <c r="B178" s="38"/>
      <c r="C178" s="38"/>
      <c r="D178" s="38"/>
      <c r="E178" s="38"/>
      <c r="F178" s="38"/>
    </row>
    <row r="179" customFormat="false" ht="15" hidden="false" customHeight="true" outlineLevel="0" collapsed="false">
      <c r="A179" s="38"/>
      <c r="B179" s="38"/>
      <c r="C179" s="38"/>
      <c r="D179" s="38"/>
      <c r="E179" s="38"/>
      <c r="F179" s="38"/>
    </row>
    <row r="180" customFormat="false" ht="15" hidden="false" customHeight="true" outlineLevel="0" collapsed="false">
      <c r="A180" s="41" t="s">
        <v>716</v>
      </c>
      <c r="B180" s="38"/>
      <c r="C180" s="38"/>
      <c r="D180" s="38"/>
      <c r="E180" s="38"/>
      <c r="F180" s="38"/>
    </row>
    <row r="181" customFormat="false" ht="15" hidden="false" customHeight="true" outlineLevel="0" collapsed="false">
      <c r="A181" s="39" t="s">
        <v>693</v>
      </c>
      <c r="B181" s="39" t="s">
        <v>172</v>
      </c>
      <c r="C181" s="39" t="s">
        <v>170</v>
      </c>
      <c r="D181" s="39" t="s">
        <v>169</v>
      </c>
      <c r="E181" s="39" t="s">
        <v>171</v>
      </c>
      <c r="F181" s="39" t="s">
        <v>766</v>
      </c>
    </row>
    <row r="182" customFormat="false" ht="15" hidden="false" customHeight="true" outlineLevel="0" collapsed="false">
      <c r="A182" s="41" t="s">
        <v>172</v>
      </c>
      <c r="B182" s="45" t="n">
        <f aca="false">INDEX('Transition Stepwise'!$J$2:$J$1137,MATCH(23&amp;"|"&amp;$A182&amp;"|"&amp;B$181,'Transition Stepwise'!$E$2:$E$1137,0))</f>
        <v>0.0967741935483871</v>
      </c>
      <c r="C182" s="45" t="n">
        <f aca="false">INDEX('Transition Stepwise'!$J$2:$J$1137,MATCH(23&amp;"|"&amp;$A182&amp;"|"&amp;C$181,'Transition Stepwise'!$E$2:$E$1137,0))</f>
        <v>0.0161290322580645</v>
      </c>
      <c r="D182" s="45" t="n">
        <f aca="false">INDEX('Transition Stepwise'!$J$2:$J$1137,MATCH(23&amp;"|"&amp;$A182&amp;"|"&amp;D$181,'Transition Stepwise'!$E$2:$E$1137,0))</f>
        <v>0.854838709677419</v>
      </c>
      <c r="E182" s="45" t="n">
        <f aca="false">INDEX('Transition Stepwise'!$J$2:$J$1137,MATCH(23&amp;"|"&amp;$A182&amp;"|"&amp;E$181,'Transition Stepwise'!$E$2:$E$1137,0))</f>
        <v>0.032258064516129</v>
      </c>
      <c r="F182" s="38" t="n">
        <f aca="false">ROUND(SUM(B182:E182),9)</f>
        <v>1</v>
      </c>
    </row>
    <row r="183" customFormat="false" ht="15" hidden="false" customHeight="true" outlineLevel="0" collapsed="false">
      <c r="A183" s="41" t="s">
        <v>170</v>
      </c>
      <c r="B183" s="45" t="n">
        <f aca="false">INDEX('Transition Stepwise'!$J$2:$J$1137,MATCH(23&amp;"|"&amp;$A183&amp;"|"&amp;B$181,'Transition Stepwise'!$E$2:$E$1137,0))</f>
        <v>0.285714285714286</v>
      </c>
      <c r="C183" s="45" t="n">
        <f aca="false">INDEX('Transition Stepwise'!$J$2:$J$1137,MATCH(23&amp;"|"&amp;$A183&amp;"|"&amp;C$181,'Transition Stepwise'!$E$2:$E$1137,0))</f>
        <v>0.0952380952380952</v>
      </c>
      <c r="D183" s="45" t="n">
        <f aca="false">INDEX('Transition Stepwise'!$J$2:$J$1137,MATCH(23&amp;"|"&amp;$A183&amp;"|"&amp;D$181,'Transition Stepwise'!$E$2:$E$1137,0))</f>
        <v>0.5</v>
      </c>
      <c r="E183" s="45" t="n">
        <f aca="false">INDEX('Transition Stepwise'!$J$2:$J$1137,MATCH(23&amp;"|"&amp;$A183&amp;"|"&amp;E$181,'Transition Stepwise'!$E$2:$E$1137,0))</f>
        <v>0.119047619047619</v>
      </c>
      <c r="F183" s="38" t="n">
        <f aca="false">ROUND(SUM(B183:E183),9)</f>
        <v>1</v>
      </c>
    </row>
    <row r="184" customFormat="false" ht="15" hidden="false" customHeight="true" outlineLevel="0" collapsed="false">
      <c r="A184" s="41" t="s">
        <v>169</v>
      </c>
      <c r="B184" s="45" t="n">
        <f aca="false">INDEX('Transition Stepwise'!$J$2:$J$1137,MATCH(23&amp;"|"&amp;$A184&amp;"|"&amp;B$181,'Transition Stepwise'!$E$2:$E$1137,0))</f>
        <v>0.333333333333333</v>
      </c>
      <c r="C184" s="45" t="n">
        <f aca="false">INDEX('Transition Stepwise'!$J$2:$J$1137,MATCH(23&amp;"|"&amp;$A184&amp;"|"&amp;C$181,'Transition Stepwise'!$E$2:$E$1137,0))</f>
        <v>0.0303030303030303</v>
      </c>
      <c r="D184" s="45" t="n">
        <f aca="false">INDEX('Transition Stepwise'!$J$2:$J$1137,MATCH(23&amp;"|"&amp;$A184&amp;"|"&amp;D$181,'Transition Stepwise'!$E$2:$E$1137,0))</f>
        <v>0.606060606060606</v>
      </c>
      <c r="E184" s="45" t="n">
        <f aca="false">INDEX('Transition Stepwise'!$J$2:$J$1137,MATCH(23&amp;"|"&amp;$A184&amp;"|"&amp;E$181,'Transition Stepwise'!$E$2:$E$1137,0))</f>
        <v>0.0303030303030303</v>
      </c>
      <c r="F184" s="38" t="n">
        <f aca="false">ROUND(SUM(B184:E184),9)</f>
        <v>1</v>
      </c>
    </row>
    <row r="185" customFormat="false" ht="15" hidden="false" customHeight="true" outlineLevel="0" collapsed="false">
      <c r="A185" s="41" t="s">
        <v>171</v>
      </c>
      <c r="B185" s="45" t="n">
        <f aca="false">INDEX('Transition Stepwise'!$J$2:$J$1137,MATCH(23&amp;"|"&amp;$A185&amp;"|"&amp;B$181,'Transition Stepwise'!$E$2:$E$1137,0))</f>
        <v>0.375</v>
      </c>
      <c r="C185" s="45" t="n">
        <f aca="false">INDEX('Transition Stepwise'!$J$2:$J$1137,MATCH(23&amp;"|"&amp;$A185&amp;"|"&amp;C$181,'Transition Stepwise'!$E$2:$E$1137,0))</f>
        <v>0.1875</v>
      </c>
      <c r="D185" s="45" t="n">
        <f aca="false">INDEX('Transition Stepwise'!$J$2:$J$1137,MATCH(23&amp;"|"&amp;$A185&amp;"|"&amp;D$181,'Transition Stepwise'!$E$2:$E$1137,0))</f>
        <v>0.375</v>
      </c>
      <c r="E185" s="45" t="n">
        <f aca="false">INDEX('Transition Stepwise'!$J$2:$J$1137,MATCH(23&amp;"|"&amp;$A185&amp;"|"&amp;E$181,'Transition Stepwise'!$E$2:$E$1137,0))</f>
        <v>0.0625</v>
      </c>
      <c r="F185" s="38" t="n">
        <f aca="false">ROUND(SUM(B185:E185),9)</f>
        <v>1</v>
      </c>
    </row>
    <row r="186" customFormat="false" ht="15" hidden="false" customHeight="true" outlineLevel="0" collapsed="false">
      <c r="A186" s="38"/>
      <c r="B186" s="38"/>
      <c r="C186" s="38"/>
      <c r="D186" s="38"/>
      <c r="E186" s="38"/>
      <c r="F186" s="38"/>
    </row>
    <row r="187" customFormat="false" ht="15" hidden="false" customHeight="true" outlineLevel="0" collapsed="false">
      <c r="A187" s="38"/>
      <c r="B187" s="38"/>
      <c r="C187" s="38"/>
      <c r="D187" s="38"/>
      <c r="E187" s="38"/>
      <c r="F187" s="38"/>
    </row>
    <row r="188" customFormat="false" ht="15" hidden="false" customHeight="true" outlineLevel="0" collapsed="false">
      <c r="A188" s="41" t="s">
        <v>717</v>
      </c>
      <c r="B188" s="38"/>
      <c r="C188" s="38"/>
      <c r="D188" s="38"/>
      <c r="E188" s="38"/>
      <c r="F188" s="38"/>
    </row>
    <row r="189" customFormat="false" ht="15" hidden="false" customHeight="true" outlineLevel="0" collapsed="false">
      <c r="A189" s="39" t="s">
        <v>693</v>
      </c>
      <c r="B189" s="39" t="s">
        <v>172</v>
      </c>
      <c r="C189" s="39" t="s">
        <v>170</v>
      </c>
      <c r="D189" s="39" t="s">
        <v>169</v>
      </c>
      <c r="E189" s="39" t="s">
        <v>171</v>
      </c>
      <c r="F189" s="39" t="s">
        <v>766</v>
      </c>
    </row>
    <row r="190" customFormat="false" ht="15" hidden="false" customHeight="true" outlineLevel="0" collapsed="false">
      <c r="A190" s="41" t="s">
        <v>172</v>
      </c>
      <c r="B190" s="45" t="n">
        <f aca="false">INDEX('Transition Stepwise'!$J$2:$J$1137,MATCH(24&amp;"|"&amp;$A190&amp;"|"&amp;B$189,'Transition Stepwise'!$E$2:$E$1137,0))</f>
        <v>0.024390243902439</v>
      </c>
      <c r="C190" s="45" t="n">
        <f aca="false">INDEX('Transition Stepwise'!$J$2:$J$1137,MATCH(24&amp;"|"&amp;$A190&amp;"|"&amp;C$189,'Transition Stepwise'!$E$2:$E$1137,0))</f>
        <v>0.682926829268293</v>
      </c>
      <c r="D190" s="45" t="n">
        <f aca="false">INDEX('Transition Stepwise'!$J$2:$J$1137,MATCH(24&amp;"|"&amp;$A190&amp;"|"&amp;D$189,'Transition Stepwise'!$E$2:$E$1137,0))</f>
        <v>0.024390243902439</v>
      </c>
      <c r="E190" s="45" t="n">
        <f aca="false">INDEX('Transition Stepwise'!$J$2:$J$1137,MATCH(24&amp;"|"&amp;$A190&amp;"|"&amp;E$189,'Transition Stepwise'!$E$2:$E$1137,0))</f>
        <v>0.268292682926829</v>
      </c>
      <c r="F190" s="38" t="n">
        <f aca="false">ROUND(SUM(B190:E190),9)</f>
        <v>1</v>
      </c>
    </row>
    <row r="191" customFormat="false" ht="15" hidden="false" customHeight="true" outlineLevel="0" collapsed="false">
      <c r="A191" s="41" t="s">
        <v>170</v>
      </c>
      <c r="B191" s="45" t="n">
        <f aca="false">INDEX('Transition Stepwise'!$J$2:$J$1137,MATCH(24&amp;"|"&amp;$A191&amp;"|"&amp;B$189,'Transition Stepwise'!$E$2:$E$1137,0))</f>
        <v>0.1</v>
      </c>
      <c r="C191" s="45" t="n">
        <f aca="false">INDEX('Transition Stepwise'!$J$2:$J$1137,MATCH(24&amp;"|"&amp;$A191&amp;"|"&amp;C$189,'Transition Stepwise'!$E$2:$E$1137,0))</f>
        <v>0.5</v>
      </c>
      <c r="D191" s="45" t="n">
        <f aca="false">INDEX('Transition Stepwise'!$J$2:$J$1137,MATCH(24&amp;"|"&amp;$A191&amp;"|"&amp;D$189,'Transition Stepwise'!$E$2:$E$1137,0))</f>
        <v>0.2</v>
      </c>
      <c r="E191" s="45" t="n">
        <f aca="false">INDEX('Transition Stepwise'!$J$2:$J$1137,MATCH(24&amp;"|"&amp;$A191&amp;"|"&amp;E$189,'Transition Stepwise'!$E$2:$E$1137,0))</f>
        <v>0.2</v>
      </c>
      <c r="F191" s="38" t="n">
        <f aca="false">ROUND(SUM(B191:E191),9)</f>
        <v>1</v>
      </c>
    </row>
    <row r="192" customFormat="false" ht="15" hidden="false" customHeight="true" outlineLevel="0" collapsed="false">
      <c r="A192" s="41" t="s">
        <v>169</v>
      </c>
      <c r="B192" s="45" t="n">
        <f aca="false">INDEX('Transition Stepwise'!$J$2:$J$1137,MATCH(24&amp;"|"&amp;$A192&amp;"|"&amp;B$189,'Transition Stepwise'!$E$2:$E$1137,0))</f>
        <v>0.0130718954248366</v>
      </c>
      <c r="C192" s="45" t="n">
        <f aca="false">INDEX('Transition Stepwise'!$J$2:$J$1137,MATCH(24&amp;"|"&amp;$A192&amp;"|"&amp;C$189,'Transition Stepwise'!$E$2:$E$1137,0))</f>
        <v>0.915032679738562</v>
      </c>
      <c r="D192" s="45" t="n">
        <f aca="false">INDEX('Transition Stepwise'!$J$2:$J$1137,MATCH(24&amp;"|"&amp;$A192&amp;"|"&amp;D$189,'Transition Stepwise'!$E$2:$E$1137,0))</f>
        <v>0.0457516339869281</v>
      </c>
      <c r="E192" s="45" t="n">
        <f aca="false">INDEX('Transition Stepwise'!$J$2:$J$1137,MATCH(24&amp;"|"&amp;$A192&amp;"|"&amp;E$189,'Transition Stepwise'!$E$2:$E$1137,0))</f>
        <v>0.0261437908496732</v>
      </c>
      <c r="F192" s="38" t="n">
        <f aca="false">ROUND(SUM(B192:E192),9)</f>
        <v>1</v>
      </c>
    </row>
    <row r="193" customFormat="false" ht="15" hidden="false" customHeight="true" outlineLevel="0" collapsed="false">
      <c r="A193" s="41" t="s">
        <v>171</v>
      </c>
      <c r="B193" s="45" t="n">
        <f aca="false">INDEX('Transition Stepwise'!$J$2:$J$1137,MATCH(24&amp;"|"&amp;$A193&amp;"|"&amp;B$189,'Transition Stepwise'!$E$2:$E$1137,0))</f>
        <v>0.0909090909090909</v>
      </c>
      <c r="C193" s="45" t="n">
        <f aca="false">INDEX('Transition Stepwise'!$J$2:$J$1137,MATCH(24&amp;"|"&amp;$A193&amp;"|"&amp;C$189,'Transition Stepwise'!$E$2:$E$1137,0))</f>
        <v>0.727272727272727</v>
      </c>
      <c r="D193" s="45" t="n">
        <f aca="false">INDEX('Transition Stepwise'!$J$2:$J$1137,MATCH(24&amp;"|"&amp;$A193&amp;"|"&amp;D$189,'Transition Stepwise'!$E$2:$E$1137,0))</f>
        <v>0.0909090909090909</v>
      </c>
      <c r="E193" s="45" t="n">
        <f aca="false">INDEX('Transition Stepwise'!$J$2:$J$1137,MATCH(24&amp;"|"&amp;$A193&amp;"|"&amp;E$189,'Transition Stepwise'!$E$2:$E$1137,0))</f>
        <v>0.0909090909090909</v>
      </c>
      <c r="F193" s="38" t="n">
        <f aca="false">ROUND(SUM(B193:E193),9)</f>
        <v>1</v>
      </c>
    </row>
    <row r="194" customFormat="false" ht="15" hidden="false" customHeight="true" outlineLevel="0" collapsed="false">
      <c r="A194" s="38"/>
      <c r="B194" s="38"/>
      <c r="C194" s="38"/>
      <c r="D194" s="38"/>
      <c r="E194" s="38"/>
      <c r="F194" s="38"/>
    </row>
    <row r="195" customFormat="false" ht="15" hidden="false" customHeight="true" outlineLevel="0" collapsed="false">
      <c r="A195" s="38"/>
      <c r="B195" s="38"/>
      <c r="C195" s="38"/>
      <c r="D195" s="38"/>
      <c r="E195" s="38"/>
      <c r="F195" s="38"/>
    </row>
    <row r="196" customFormat="false" ht="15" hidden="false" customHeight="true" outlineLevel="0" collapsed="false">
      <c r="A196" s="41" t="s">
        <v>718</v>
      </c>
      <c r="B196" s="38"/>
      <c r="C196" s="38"/>
      <c r="D196" s="38"/>
      <c r="E196" s="38"/>
      <c r="F196" s="38"/>
    </row>
    <row r="197" customFormat="false" ht="15" hidden="false" customHeight="true" outlineLevel="0" collapsed="false">
      <c r="A197" s="39" t="s">
        <v>693</v>
      </c>
      <c r="B197" s="39" t="s">
        <v>172</v>
      </c>
      <c r="C197" s="39" t="s">
        <v>170</v>
      </c>
      <c r="D197" s="39" t="s">
        <v>169</v>
      </c>
      <c r="E197" s="39" t="s">
        <v>171</v>
      </c>
      <c r="F197" s="39" t="s">
        <v>766</v>
      </c>
    </row>
    <row r="198" customFormat="false" ht="15" hidden="false" customHeight="true" outlineLevel="0" collapsed="false">
      <c r="A198" s="41" t="s">
        <v>172</v>
      </c>
      <c r="B198" s="45" t="n">
        <f aca="false">INDEX('Transition Stepwise'!$J$2:$J$1137,MATCH(25&amp;"|"&amp;$A198&amp;"|"&amp;B$197,'Transition Stepwise'!$E$2:$E$1137,0))</f>
        <v>0.2</v>
      </c>
      <c r="C198" s="45" t="n">
        <f aca="false">INDEX('Transition Stepwise'!$J$2:$J$1137,MATCH(25&amp;"|"&amp;$A198&amp;"|"&amp;C$197,'Transition Stepwise'!$E$2:$E$1137,0))</f>
        <v>0.2</v>
      </c>
      <c r="D198" s="45" t="n">
        <f aca="false">INDEX('Transition Stepwise'!$J$2:$J$1137,MATCH(25&amp;"|"&amp;$A198&amp;"|"&amp;D$197,'Transition Stepwise'!$E$2:$E$1137,0))</f>
        <v>0.4</v>
      </c>
      <c r="E198" s="45" t="n">
        <f aca="false">INDEX('Transition Stepwise'!$J$2:$J$1137,MATCH(25&amp;"|"&amp;$A198&amp;"|"&amp;E$197,'Transition Stepwise'!$E$2:$E$1137,0))</f>
        <v>0.2</v>
      </c>
      <c r="F198" s="38" t="n">
        <f aca="false">ROUND(SUM(B198:E198),9)</f>
        <v>1</v>
      </c>
    </row>
    <row r="199" customFormat="false" ht="15" hidden="false" customHeight="true" outlineLevel="0" collapsed="false">
      <c r="A199" s="41" t="s">
        <v>170</v>
      </c>
      <c r="B199" s="45" t="n">
        <f aca="false">INDEX('Transition Stepwise'!$J$2:$J$1137,MATCH(25&amp;"|"&amp;$A199&amp;"|"&amp;B$197,'Transition Stepwise'!$E$2:$E$1137,0))</f>
        <v>0.425414364640884</v>
      </c>
      <c r="C199" s="45" t="n">
        <f aca="false">INDEX('Transition Stepwise'!$J$2:$J$1137,MATCH(25&amp;"|"&amp;$A199&amp;"|"&amp;C$197,'Transition Stepwise'!$E$2:$E$1137,0))</f>
        <v>0.0220994475138122</v>
      </c>
      <c r="D199" s="45" t="n">
        <f aca="false">INDEX('Transition Stepwise'!$J$2:$J$1137,MATCH(25&amp;"|"&amp;$A199&amp;"|"&amp;D$197,'Transition Stepwise'!$E$2:$E$1137,0))</f>
        <v>0.497237569060774</v>
      </c>
      <c r="E199" s="45" t="n">
        <f aca="false">INDEX('Transition Stepwise'!$J$2:$J$1137,MATCH(25&amp;"|"&amp;$A199&amp;"|"&amp;E$197,'Transition Stepwise'!$E$2:$E$1137,0))</f>
        <v>0.0552486187845304</v>
      </c>
      <c r="F199" s="38" t="n">
        <f aca="false">ROUND(SUM(B199:E199),9)</f>
        <v>1</v>
      </c>
    </row>
    <row r="200" customFormat="false" ht="15" hidden="false" customHeight="true" outlineLevel="0" collapsed="false">
      <c r="A200" s="41" t="s">
        <v>169</v>
      </c>
      <c r="B200" s="45" t="n">
        <f aca="false">INDEX('Transition Stepwise'!$J$2:$J$1137,MATCH(25&amp;"|"&amp;$A200&amp;"|"&amp;B$197,'Transition Stepwise'!$E$2:$E$1137,0))</f>
        <v>0.545454545454545</v>
      </c>
      <c r="C200" s="45" t="n">
        <f aca="false">INDEX('Transition Stepwise'!$J$2:$J$1137,MATCH(25&amp;"|"&amp;$A200&amp;"|"&amp;C$197,'Transition Stepwise'!$E$2:$E$1137,0))</f>
        <v>0.0909090909090909</v>
      </c>
      <c r="D200" s="45" t="n">
        <f aca="false">INDEX('Transition Stepwise'!$J$2:$J$1137,MATCH(25&amp;"|"&amp;$A200&amp;"|"&amp;D$197,'Transition Stepwise'!$E$2:$E$1137,0))</f>
        <v>0.272727272727273</v>
      </c>
      <c r="E200" s="45" t="n">
        <f aca="false">INDEX('Transition Stepwise'!$J$2:$J$1137,MATCH(25&amp;"|"&amp;$A200&amp;"|"&amp;E$197,'Transition Stepwise'!$E$2:$E$1137,0))</f>
        <v>0.0909090909090909</v>
      </c>
      <c r="F200" s="38" t="n">
        <f aca="false">ROUND(SUM(B200:E200),9)</f>
        <v>1</v>
      </c>
    </row>
    <row r="201" customFormat="false" ht="15" hidden="false" customHeight="true" outlineLevel="0" collapsed="false">
      <c r="A201" s="41" t="s">
        <v>171</v>
      </c>
      <c r="B201" s="45" t="n">
        <f aca="false">INDEX('Transition Stepwise'!$J$2:$J$1137,MATCH(25&amp;"|"&amp;$A201&amp;"|"&amp;B$197,'Transition Stepwise'!$E$2:$E$1137,0))</f>
        <v>0.166666666666667</v>
      </c>
      <c r="C201" s="45" t="n">
        <f aca="false">INDEX('Transition Stepwise'!$J$2:$J$1137,MATCH(25&amp;"|"&amp;$A201&amp;"|"&amp;C$197,'Transition Stepwise'!$E$2:$E$1137,0))</f>
        <v>0.166666666666667</v>
      </c>
      <c r="D201" s="45" t="n">
        <f aca="false">INDEX('Transition Stepwise'!$J$2:$J$1137,MATCH(25&amp;"|"&amp;$A201&amp;"|"&amp;D$197,'Transition Stepwise'!$E$2:$E$1137,0))</f>
        <v>0.5</v>
      </c>
      <c r="E201" s="45" t="n">
        <f aca="false">INDEX('Transition Stepwise'!$J$2:$J$1137,MATCH(25&amp;"|"&amp;$A201&amp;"|"&amp;E$197,'Transition Stepwise'!$E$2:$E$1137,0))</f>
        <v>0.166666666666667</v>
      </c>
      <c r="F201" s="38" t="n">
        <f aca="false">ROUND(SUM(B201:E201),9)</f>
        <v>1</v>
      </c>
    </row>
    <row r="202" customFormat="false" ht="15" hidden="false" customHeight="true" outlineLevel="0" collapsed="false">
      <c r="A202" s="38"/>
      <c r="B202" s="38"/>
      <c r="C202" s="38"/>
      <c r="D202" s="38"/>
      <c r="E202" s="38"/>
      <c r="F202" s="38"/>
    </row>
    <row r="203" customFormat="false" ht="15" hidden="false" customHeight="true" outlineLevel="0" collapsed="false">
      <c r="A203" s="38"/>
      <c r="B203" s="38"/>
      <c r="C203" s="38"/>
      <c r="D203" s="38"/>
      <c r="E203" s="38"/>
      <c r="F203" s="38"/>
    </row>
    <row r="204" customFormat="false" ht="15" hidden="false" customHeight="true" outlineLevel="0" collapsed="false">
      <c r="A204" s="41" t="s">
        <v>719</v>
      </c>
      <c r="B204" s="38"/>
      <c r="C204" s="38"/>
      <c r="D204" s="38"/>
      <c r="E204" s="38"/>
      <c r="F204" s="38"/>
    </row>
    <row r="205" customFormat="false" ht="15" hidden="false" customHeight="true" outlineLevel="0" collapsed="false">
      <c r="A205" s="39" t="s">
        <v>693</v>
      </c>
      <c r="B205" s="39" t="s">
        <v>172</v>
      </c>
      <c r="C205" s="39" t="s">
        <v>170</v>
      </c>
      <c r="D205" s="39" t="s">
        <v>169</v>
      </c>
      <c r="E205" s="39" t="s">
        <v>171</v>
      </c>
      <c r="F205" s="39" t="s">
        <v>766</v>
      </c>
    </row>
    <row r="206" customFormat="false" ht="15" hidden="false" customHeight="true" outlineLevel="0" collapsed="false">
      <c r="A206" s="41" t="s">
        <v>172</v>
      </c>
      <c r="B206" s="45" t="n">
        <f aca="false">INDEX('Transition Stepwise'!$J$2:$J$1137,MATCH(26&amp;"|"&amp;$A206&amp;"|"&amp;B$205,'Transition Stepwise'!$E$2:$E$1137,0))</f>
        <v>0.183908045977012</v>
      </c>
      <c r="C206" s="45" t="n">
        <f aca="false">INDEX('Transition Stepwise'!$J$2:$J$1137,MATCH(26&amp;"|"&amp;$A206&amp;"|"&amp;C$205,'Transition Stepwise'!$E$2:$E$1137,0))</f>
        <v>0.367816091954023</v>
      </c>
      <c r="D206" s="45" t="n">
        <f aca="false">INDEX('Transition Stepwise'!$J$2:$J$1137,MATCH(26&amp;"|"&amp;$A206&amp;"|"&amp;D$205,'Transition Stepwise'!$E$2:$E$1137,0))</f>
        <v>0.160919540229885</v>
      </c>
      <c r="E206" s="45" t="n">
        <f aca="false">INDEX('Transition Stepwise'!$J$2:$J$1137,MATCH(26&amp;"|"&amp;$A206&amp;"|"&amp;E$205,'Transition Stepwise'!$E$2:$E$1137,0))</f>
        <v>0.28735632183908</v>
      </c>
      <c r="F206" s="38" t="n">
        <f aca="false">ROUND(SUM(B206:E206),9)</f>
        <v>1</v>
      </c>
    </row>
    <row r="207" customFormat="false" ht="15" hidden="false" customHeight="true" outlineLevel="0" collapsed="false">
      <c r="A207" s="41" t="s">
        <v>170</v>
      </c>
      <c r="B207" s="45" t="n">
        <f aca="false">INDEX('Transition Stepwise'!$J$2:$J$1137,MATCH(26&amp;"|"&amp;$A207&amp;"|"&amp;B$205,'Transition Stepwise'!$E$2:$E$1137,0))</f>
        <v>0.111111111111111</v>
      </c>
      <c r="C207" s="45" t="n">
        <f aca="false">INDEX('Transition Stepwise'!$J$2:$J$1137,MATCH(26&amp;"|"&amp;$A207&amp;"|"&amp;C$205,'Transition Stepwise'!$E$2:$E$1137,0))</f>
        <v>0.333333333333333</v>
      </c>
      <c r="D207" s="45" t="n">
        <f aca="false">INDEX('Transition Stepwise'!$J$2:$J$1137,MATCH(26&amp;"|"&amp;$A207&amp;"|"&amp;D$205,'Transition Stepwise'!$E$2:$E$1137,0))</f>
        <v>0.222222222222222</v>
      </c>
      <c r="E207" s="45" t="n">
        <f aca="false">INDEX('Transition Stepwise'!$J$2:$J$1137,MATCH(26&amp;"|"&amp;$A207&amp;"|"&amp;E$205,'Transition Stepwise'!$E$2:$E$1137,0))</f>
        <v>0.333333333333333</v>
      </c>
      <c r="F207" s="38" t="n">
        <f aca="false">ROUND(SUM(B207:E207),9)</f>
        <v>1</v>
      </c>
    </row>
    <row r="208" customFormat="false" ht="15" hidden="false" customHeight="true" outlineLevel="0" collapsed="false">
      <c r="A208" s="41" t="s">
        <v>169</v>
      </c>
      <c r="B208" s="45" t="n">
        <f aca="false">INDEX('Transition Stepwise'!$J$2:$J$1137,MATCH(26&amp;"|"&amp;$A208&amp;"|"&amp;B$205,'Transition Stepwise'!$E$2:$E$1137,0))</f>
        <v>0.0865384615384615</v>
      </c>
      <c r="C208" s="45" t="n">
        <f aca="false">INDEX('Transition Stepwise'!$J$2:$J$1137,MATCH(26&amp;"|"&amp;$A208&amp;"|"&amp;C$205,'Transition Stepwise'!$E$2:$E$1137,0))</f>
        <v>0.528846153846154</v>
      </c>
      <c r="D208" s="45" t="n">
        <f aca="false">INDEX('Transition Stepwise'!$J$2:$J$1137,MATCH(26&amp;"|"&amp;$A208&amp;"|"&amp;D$205,'Transition Stepwise'!$E$2:$E$1137,0))</f>
        <v>0.163461538461538</v>
      </c>
      <c r="E208" s="45" t="n">
        <f aca="false">INDEX('Transition Stepwise'!$J$2:$J$1137,MATCH(26&amp;"|"&amp;$A208&amp;"|"&amp;E$205,'Transition Stepwise'!$E$2:$E$1137,0))</f>
        <v>0.221153846153846</v>
      </c>
      <c r="F208" s="38" t="n">
        <f aca="false">ROUND(SUM(B208:E208),9)</f>
        <v>1</v>
      </c>
    </row>
    <row r="209" customFormat="false" ht="15" hidden="false" customHeight="true" outlineLevel="0" collapsed="false">
      <c r="A209" s="41" t="s">
        <v>171</v>
      </c>
      <c r="B209" s="45" t="n">
        <f aca="false">INDEX('Transition Stepwise'!$J$2:$J$1137,MATCH(26&amp;"|"&amp;$A209&amp;"|"&amp;B$205,'Transition Stepwise'!$E$2:$E$1137,0))</f>
        <v>0.133333333333333</v>
      </c>
      <c r="C209" s="45" t="n">
        <f aca="false">INDEX('Transition Stepwise'!$J$2:$J$1137,MATCH(26&amp;"|"&amp;$A209&amp;"|"&amp;C$205,'Transition Stepwise'!$E$2:$E$1137,0))</f>
        <v>0.466666666666667</v>
      </c>
      <c r="D209" s="45" t="n">
        <f aca="false">INDEX('Transition Stepwise'!$J$2:$J$1137,MATCH(26&amp;"|"&amp;$A209&amp;"|"&amp;D$205,'Transition Stepwise'!$E$2:$E$1137,0))</f>
        <v>0.133333333333333</v>
      </c>
      <c r="E209" s="45" t="n">
        <f aca="false">INDEX('Transition Stepwise'!$J$2:$J$1137,MATCH(26&amp;"|"&amp;$A209&amp;"|"&amp;E$205,'Transition Stepwise'!$E$2:$E$1137,0))</f>
        <v>0.266666666666667</v>
      </c>
      <c r="F209" s="38" t="n">
        <f aca="false">ROUND(SUM(B209:E209),9)</f>
        <v>1</v>
      </c>
    </row>
    <row r="210" customFormat="false" ht="15" hidden="false" customHeight="true" outlineLevel="0" collapsed="false">
      <c r="A210" s="38"/>
      <c r="B210" s="38"/>
      <c r="C210" s="38"/>
      <c r="D210" s="38"/>
      <c r="E210" s="38"/>
      <c r="F210" s="38"/>
    </row>
    <row r="211" customFormat="false" ht="15" hidden="false" customHeight="true" outlineLevel="0" collapsed="false">
      <c r="A211" s="38"/>
      <c r="B211" s="38"/>
      <c r="C211" s="38"/>
      <c r="D211" s="38"/>
      <c r="E211" s="38"/>
      <c r="F211" s="38"/>
    </row>
    <row r="212" customFormat="false" ht="15" hidden="false" customHeight="true" outlineLevel="0" collapsed="false">
      <c r="A212" s="41" t="s">
        <v>720</v>
      </c>
      <c r="B212" s="38"/>
      <c r="C212" s="38"/>
      <c r="D212" s="38"/>
      <c r="E212" s="38"/>
      <c r="F212" s="38"/>
    </row>
    <row r="213" customFormat="false" ht="15" hidden="false" customHeight="true" outlineLevel="0" collapsed="false">
      <c r="A213" s="39" t="s">
        <v>693</v>
      </c>
      <c r="B213" s="39" t="s">
        <v>172</v>
      </c>
      <c r="C213" s="39" t="s">
        <v>170</v>
      </c>
      <c r="D213" s="39" t="s">
        <v>169</v>
      </c>
      <c r="E213" s="39" t="s">
        <v>171</v>
      </c>
      <c r="F213" s="39" t="s">
        <v>766</v>
      </c>
    </row>
    <row r="214" customFormat="false" ht="15" hidden="false" customHeight="true" outlineLevel="0" collapsed="false">
      <c r="A214" s="41" t="s">
        <v>172</v>
      </c>
      <c r="B214" s="45" t="n">
        <f aca="false">INDEX('Transition Stepwise'!$J$2:$J$1137,MATCH(27&amp;"|"&amp;$A214&amp;"|"&amp;B$213,'Transition Stepwise'!$E$2:$E$1137,0))</f>
        <v>0.107142857142857</v>
      </c>
      <c r="C214" s="45" t="n">
        <f aca="false">INDEX('Transition Stepwise'!$J$2:$J$1137,MATCH(27&amp;"|"&amp;$A214&amp;"|"&amp;C$213,'Transition Stepwise'!$E$2:$E$1137,0))</f>
        <v>0.535714285714286</v>
      </c>
      <c r="D214" s="45" t="n">
        <f aca="false">INDEX('Transition Stepwise'!$J$2:$J$1137,MATCH(27&amp;"|"&amp;$A214&amp;"|"&amp;D$213,'Transition Stepwise'!$E$2:$E$1137,0))</f>
        <v>0.142857142857143</v>
      </c>
      <c r="E214" s="45" t="n">
        <f aca="false">INDEX('Transition Stepwise'!$J$2:$J$1137,MATCH(27&amp;"|"&amp;$A214&amp;"|"&amp;E$213,'Transition Stepwise'!$E$2:$E$1137,0))</f>
        <v>0.214285714285714</v>
      </c>
      <c r="F214" s="38" t="n">
        <f aca="false">ROUND(SUM(B214:E214),9)</f>
        <v>1</v>
      </c>
    </row>
    <row r="215" customFormat="false" ht="15" hidden="false" customHeight="true" outlineLevel="0" collapsed="false">
      <c r="A215" s="41" t="s">
        <v>170</v>
      </c>
      <c r="B215" s="45" t="n">
        <f aca="false">INDEX('Transition Stepwise'!$J$2:$J$1137,MATCH(27&amp;"|"&amp;$A215&amp;"|"&amp;B$213,'Transition Stepwise'!$E$2:$E$1137,0))</f>
        <v>0.164948453608247</v>
      </c>
      <c r="C215" s="45" t="n">
        <f aca="false">INDEX('Transition Stepwise'!$J$2:$J$1137,MATCH(27&amp;"|"&amp;$A215&amp;"|"&amp;C$213,'Transition Stepwise'!$E$2:$E$1137,0))</f>
        <v>0.412371134020619</v>
      </c>
      <c r="D215" s="45" t="n">
        <f aca="false">INDEX('Transition Stepwise'!$J$2:$J$1137,MATCH(27&amp;"|"&amp;$A215&amp;"|"&amp;D$213,'Transition Stepwise'!$E$2:$E$1137,0))</f>
        <v>0.123711340206186</v>
      </c>
      <c r="E215" s="45" t="n">
        <f aca="false">INDEX('Transition Stepwise'!$J$2:$J$1137,MATCH(27&amp;"|"&amp;$A215&amp;"|"&amp;E$213,'Transition Stepwise'!$E$2:$E$1137,0))</f>
        <v>0.298969072164948</v>
      </c>
      <c r="F215" s="38" t="n">
        <f aca="false">ROUND(SUM(B215:E215),9)</f>
        <v>1</v>
      </c>
    </row>
    <row r="216" customFormat="false" ht="15" hidden="false" customHeight="true" outlineLevel="0" collapsed="false">
      <c r="A216" s="41" t="s">
        <v>169</v>
      </c>
      <c r="B216" s="45" t="n">
        <f aca="false">INDEX('Transition Stepwise'!$J$2:$J$1137,MATCH(27&amp;"|"&amp;$A216&amp;"|"&amp;B$213,'Transition Stepwise'!$E$2:$E$1137,0))</f>
        <v>0.142857142857143</v>
      </c>
      <c r="C216" s="45" t="n">
        <f aca="false">INDEX('Transition Stepwise'!$J$2:$J$1137,MATCH(27&amp;"|"&amp;$A216&amp;"|"&amp;C$213,'Transition Stepwise'!$E$2:$E$1137,0))</f>
        <v>0.714285714285714</v>
      </c>
      <c r="D216" s="45" t="n">
        <f aca="false">INDEX('Transition Stepwise'!$J$2:$J$1137,MATCH(27&amp;"|"&amp;$A216&amp;"|"&amp;D$213,'Transition Stepwise'!$E$2:$E$1137,0))</f>
        <v>0.114285714285714</v>
      </c>
      <c r="E216" s="45" t="n">
        <f aca="false">INDEX('Transition Stepwise'!$J$2:$J$1137,MATCH(27&amp;"|"&amp;$A216&amp;"|"&amp;E$213,'Transition Stepwise'!$E$2:$E$1137,0))</f>
        <v>0.0285714285714286</v>
      </c>
      <c r="F216" s="38" t="n">
        <f aca="false">ROUND(SUM(B216:E216),9)</f>
        <v>1</v>
      </c>
    </row>
    <row r="217" customFormat="false" ht="15" hidden="false" customHeight="true" outlineLevel="0" collapsed="false">
      <c r="A217" s="41" t="s">
        <v>171</v>
      </c>
      <c r="B217" s="45" t="n">
        <f aca="false">INDEX('Transition Stepwise'!$J$2:$J$1137,MATCH(27&amp;"|"&amp;$A217&amp;"|"&amp;B$213,'Transition Stepwise'!$E$2:$E$1137,0))</f>
        <v>0.0727272727272727</v>
      </c>
      <c r="C217" s="45" t="n">
        <f aca="false">INDEX('Transition Stepwise'!$J$2:$J$1137,MATCH(27&amp;"|"&amp;$A217&amp;"|"&amp;C$213,'Transition Stepwise'!$E$2:$E$1137,0))</f>
        <v>0.490909090909091</v>
      </c>
      <c r="D217" s="45" t="n">
        <f aca="false">INDEX('Transition Stepwise'!$J$2:$J$1137,MATCH(27&amp;"|"&amp;$A217&amp;"|"&amp;D$213,'Transition Stepwise'!$E$2:$E$1137,0))</f>
        <v>0.109090909090909</v>
      </c>
      <c r="E217" s="45" t="n">
        <f aca="false">INDEX('Transition Stepwise'!$J$2:$J$1137,MATCH(27&amp;"|"&amp;$A217&amp;"|"&amp;E$213,'Transition Stepwise'!$E$2:$E$1137,0))</f>
        <v>0.327272727272727</v>
      </c>
      <c r="F217" s="38" t="n">
        <f aca="false">ROUND(SUM(B217:E217),9)</f>
        <v>1</v>
      </c>
    </row>
    <row r="218" customFormat="false" ht="15" hidden="false" customHeight="true" outlineLevel="0" collapsed="false">
      <c r="A218" s="38"/>
      <c r="B218" s="38"/>
      <c r="C218" s="38"/>
      <c r="D218" s="38"/>
      <c r="E218" s="38"/>
      <c r="F218" s="38"/>
    </row>
    <row r="219" customFormat="false" ht="15" hidden="false" customHeight="true" outlineLevel="0" collapsed="false">
      <c r="A219" s="38"/>
      <c r="B219" s="38"/>
      <c r="C219" s="38"/>
      <c r="D219" s="38"/>
      <c r="E219" s="38"/>
      <c r="F219" s="38"/>
    </row>
    <row r="220" customFormat="false" ht="15" hidden="false" customHeight="true" outlineLevel="0" collapsed="false">
      <c r="A220" s="41" t="s">
        <v>721</v>
      </c>
      <c r="B220" s="38"/>
      <c r="C220" s="38"/>
      <c r="D220" s="38"/>
      <c r="E220" s="38"/>
      <c r="F220" s="38"/>
    </row>
    <row r="221" customFormat="false" ht="15" hidden="false" customHeight="true" outlineLevel="0" collapsed="false">
      <c r="A221" s="39" t="s">
        <v>693</v>
      </c>
      <c r="B221" s="39" t="s">
        <v>172</v>
      </c>
      <c r="C221" s="39" t="s">
        <v>170</v>
      </c>
      <c r="D221" s="39" t="s">
        <v>169</v>
      </c>
      <c r="E221" s="39" t="s">
        <v>171</v>
      </c>
      <c r="F221" s="39" t="s">
        <v>766</v>
      </c>
    </row>
    <row r="222" customFormat="false" ht="15" hidden="false" customHeight="true" outlineLevel="0" collapsed="false">
      <c r="A222" s="41" t="s">
        <v>172</v>
      </c>
      <c r="B222" s="45" t="n">
        <f aca="false">INDEX('Transition Stepwise'!$J$2:$J$1137,MATCH(28&amp;"|"&amp;$A222&amp;"|"&amp;B$221,'Transition Stepwise'!$E$2:$E$1137,0))</f>
        <v>0.142857142857143</v>
      </c>
      <c r="C222" s="45" t="n">
        <f aca="false">INDEX('Transition Stepwise'!$J$2:$J$1137,MATCH(28&amp;"|"&amp;$A222&amp;"|"&amp;C$221,'Transition Stepwise'!$E$2:$E$1137,0))</f>
        <v>0.285714285714286</v>
      </c>
      <c r="D222" s="45" t="n">
        <f aca="false">INDEX('Transition Stepwise'!$J$2:$J$1137,MATCH(28&amp;"|"&amp;$A222&amp;"|"&amp;D$221,'Transition Stepwise'!$E$2:$E$1137,0))</f>
        <v>0.178571428571429</v>
      </c>
      <c r="E222" s="45" t="n">
        <f aca="false">INDEX('Transition Stepwise'!$J$2:$J$1137,MATCH(28&amp;"|"&amp;$A222&amp;"|"&amp;E$221,'Transition Stepwise'!$E$2:$E$1137,0))</f>
        <v>0.392857142857143</v>
      </c>
      <c r="F222" s="38" t="n">
        <f aca="false">ROUND(SUM(B222:E222),9)</f>
        <v>1</v>
      </c>
    </row>
    <row r="223" customFormat="false" ht="15" hidden="false" customHeight="true" outlineLevel="0" collapsed="false">
      <c r="A223" s="41" t="s">
        <v>170</v>
      </c>
      <c r="B223" s="45" t="n">
        <f aca="false">INDEX('Transition Stepwise'!$J$2:$J$1137,MATCH(28&amp;"|"&amp;$A223&amp;"|"&amp;B$221,'Transition Stepwise'!$E$2:$E$1137,0))</f>
        <v>0.177570093457944</v>
      </c>
      <c r="C223" s="45" t="n">
        <f aca="false">INDEX('Transition Stepwise'!$J$2:$J$1137,MATCH(28&amp;"|"&amp;$A223&amp;"|"&amp;C$221,'Transition Stepwise'!$E$2:$E$1137,0))</f>
        <v>0.0841121495327103</v>
      </c>
      <c r="D223" s="45" t="n">
        <f aca="false">INDEX('Transition Stepwise'!$J$2:$J$1137,MATCH(28&amp;"|"&amp;$A223&amp;"|"&amp;D$221,'Transition Stepwise'!$E$2:$E$1137,0))</f>
        <v>0.448598130841122</v>
      </c>
      <c r="E223" s="45" t="n">
        <f aca="false">INDEX('Transition Stepwise'!$J$2:$J$1137,MATCH(28&amp;"|"&amp;$A223&amp;"|"&amp;E$221,'Transition Stepwise'!$E$2:$E$1137,0))</f>
        <v>0.289719626168224</v>
      </c>
      <c r="F223" s="38" t="n">
        <f aca="false">ROUND(SUM(B223:E223),9)</f>
        <v>1</v>
      </c>
    </row>
    <row r="224" customFormat="false" ht="15" hidden="false" customHeight="true" outlineLevel="0" collapsed="false">
      <c r="A224" s="41" t="s">
        <v>169</v>
      </c>
      <c r="B224" s="45" t="n">
        <f aca="false">INDEX('Transition Stepwise'!$J$2:$J$1137,MATCH(28&amp;"|"&amp;$A224&amp;"|"&amp;B$221,'Transition Stepwise'!$E$2:$E$1137,0))</f>
        <v>0.192307692307692</v>
      </c>
      <c r="C224" s="45" t="n">
        <f aca="false">INDEX('Transition Stepwise'!$J$2:$J$1137,MATCH(28&amp;"|"&amp;$A224&amp;"|"&amp;C$221,'Transition Stepwise'!$E$2:$E$1137,0))</f>
        <v>0.307692307692308</v>
      </c>
      <c r="D224" s="45" t="n">
        <f aca="false">INDEX('Transition Stepwise'!$J$2:$J$1137,MATCH(28&amp;"|"&amp;$A224&amp;"|"&amp;D$221,'Transition Stepwise'!$E$2:$E$1137,0))</f>
        <v>0.423076923076923</v>
      </c>
      <c r="E224" s="45" t="n">
        <f aca="false">INDEX('Transition Stepwise'!$J$2:$J$1137,MATCH(28&amp;"|"&amp;$A224&amp;"|"&amp;E$221,'Transition Stepwise'!$E$2:$E$1137,0))</f>
        <v>0.0769230769230769</v>
      </c>
      <c r="F224" s="38" t="n">
        <f aca="false">ROUND(SUM(B224:E224),9)</f>
        <v>1</v>
      </c>
    </row>
    <row r="225" customFormat="false" ht="15" hidden="false" customHeight="true" outlineLevel="0" collapsed="false">
      <c r="A225" s="41" t="s">
        <v>171</v>
      </c>
      <c r="B225" s="45" t="n">
        <f aca="false">INDEX('Transition Stepwise'!$J$2:$J$1137,MATCH(28&amp;"|"&amp;$A225&amp;"|"&amp;B$221,'Transition Stepwise'!$E$2:$E$1137,0))</f>
        <v>0.148148148148148</v>
      </c>
      <c r="C225" s="45" t="n">
        <f aca="false">INDEX('Transition Stepwise'!$J$2:$J$1137,MATCH(28&amp;"|"&amp;$A225&amp;"|"&amp;C$221,'Transition Stepwise'!$E$2:$E$1137,0))</f>
        <v>0.259259259259259</v>
      </c>
      <c r="D225" s="45" t="n">
        <f aca="false">INDEX('Transition Stepwise'!$J$2:$J$1137,MATCH(28&amp;"|"&amp;$A225&amp;"|"&amp;D$221,'Transition Stepwise'!$E$2:$E$1137,0))</f>
        <v>0.314814814814815</v>
      </c>
      <c r="E225" s="45" t="n">
        <f aca="false">INDEX('Transition Stepwise'!$J$2:$J$1137,MATCH(28&amp;"|"&amp;$A225&amp;"|"&amp;E$221,'Transition Stepwise'!$E$2:$E$1137,0))</f>
        <v>0.277777777777778</v>
      </c>
      <c r="F225" s="38" t="n">
        <f aca="false">ROUND(SUM(B225:E225),9)</f>
        <v>1</v>
      </c>
    </row>
    <row r="226" customFormat="false" ht="15" hidden="false" customHeight="true" outlineLevel="0" collapsed="false">
      <c r="A226" s="38"/>
      <c r="B226" s="38"/>
      <c r="C226" s="38"/>
      <c r="D226" s="38"/>
      <c r="E226" s="38"/>
      <c r="F226" s="38"/>
    </row>
    <row r="227" customFormat="false" ht="15" hidden="false" customHeight="true" outlineLevel="0" collapsed="false">
      <c r="A227" s="38"/>
      <c r="B227" s="38"/>
      <c r="C227" s="38"/>
      <c r="D227" s="38"/>
      <c r="E227" s="38"/>
      <c r="F227" s="38"/>
    </row>
    <row r="228" customFormat="false" ht="15" hidden="false" customHeight="true" outlineLevel="0" collapsed="false">
      <c r="A228" s="41" t="s">
        <v>722</v>
      </c>
      <c r="B228" s="38"/>
      <c r="C228" s="38"/>
      <c r="D228" s="38"/>
      <c r="E228" s="38"/>
      <c r="F228" s="38"/>
    </row>
    <row r="229" customFormat="false" ht="15" hidden="false" customHeight="true" outlineLevel="0" collapsed="false">
      <c r="A229" s="39" t="s">
        <v>693</v>
      </c>
      <c r="B229" s="39" t="s">
        <v>172</v>
      </c>
      <c r="C229" s="39" t="s">
        <v>170</v>
      </c>
      <c r="D229" s="39" t="s">
        <v>169</v>
      </c>
      <c r="E229" s="39" t="s">
        <v>171</v>
      </c>
      <c r="F229" s="39" t="s">
        <v>766</v>
      </c>
    </row>
    <row r="230" customFormat="false" ht="15" hidden="false" customHeight="true" outlineLevel="0" collapsed="false">
      <c r="A230" s="41" t="s">
        <v>172</v>
      </c>
      <c r="B230" s="45" t="n">
        <f aca="false">INDEX('Transition Stepwise'!$J$2:$J$1137,MATCH(29&amp;"|"&amp;$A230&amp;"|"&amp;B$229,'Transition Stepwise'!$E$2:$E$1137,0))</f>
        <v>0.0277777777777778</v>
      </c>
      <c r="C230" s="45" t="n">
        <f aca="false">INDEX('Transition Stepwise'!$J$2:$J$1137,MATCH(29&amp;"|"&amp;$A230&amp;"|"&amp;C$229,'Transition Stepwise'!$E$2:$E$1137,0))</f>
        <v>0.25</v>
      </c>
      <c r="D230" s="45" t="n">
        <f aca="false">INDEX('Transition Stepwise'!$J$2:$J$1137,MATCH(29&amp;"|"&amp;$A230&amp;"|"&amp;D$229,'Transition Stepwise'!$E$2:$E$1137,0))</f>
        <v>0.694444444444444</v>
      </c>
      <c r="E230" s="45" t="n">
        <f aca="false">INDEX('Transition Stepwise'!$J$2:$J$1137,MATCH(29&amp;"|"&amp;$A230&amp;"|"&amp;E$229,'Transition Stepwise'!$E$2:$E$1137,0))</f>
        <v>0.0277777777777778</v>
      </c>
      <c r="F230" s="38" t="n">
        <f aca="false">ROUND(SUM(B230:E230),9)</f>
        <v>1</v>
      </c>
    </row>
    <row r="231" customFormat="false" ht="15" hidden="false" customHeight="true" outlineLevel="0" collapsed="false">
      <c r="A231" s="41" t="s">
        <v>170</v>
      </c>
      <c r="B231" s="45" t="n">
        <f aca="false">INDEX('Transition Stepwise'!$J$2:$J$1137,MATCH(29&amp;"|"&amp;$A231&amp;"|"&amp;B$229,'Transition Stepwise'!$E$2:$E$1137,0))</f>
        <v>0.0256410256410256</v>
      </c>
      <c r="C231" s="45" t="n">
        <f aca="false">INDEX('Transition Stepwise'!$J$2:$J$1137,MATCH(29&amp;"|"&amp;$A231&amp;"|"&amp;C$229,'Transition Stepwise'!$E$2:$E$1137,0))</f>
        <v>0.17948717948718</v>
      </c>
      <c r="D231" s="45" t="n">
        <f aca="false">INDEX('Transition Stepwise'!$J$2:$J$1137,MATCH(29&amp;"|"&amp;$A231&amp;"|"&amp;D$229,'Transition Stepwise'!$E$2:$E$1137,0))</f>
        <v>0.743589743589744</v>
      </c>
      <c r="E231" s="45" t="n">
        <f aca="false">INDEX('Transition Stepwise'!$J$2:$J$1137,MATCH(29&amp;"|"&amp;$A231&amp;"|"&amp;E$229,'Transition Stepwise'!$E$2:$E$1137,0))</f>
        <v>0.0512820512820513</v>
      </c>
      <c r="F231" s="38" t="n">
        <f aca="false">ROUND(SUM(B231:E231),9)</f>
        <v>1</v>
      </c>
    </row>
    <row r="232" customFormat="false" ht="15" hidden="false" customHeight="true" outlineLevel="0" collapsed="false">
      <c r="A232" s="41" t="s">
        <v>169</v>
      </c>
      <c r="B232" s="45" t="n">
        <f aca="false">INDEX('Transition Stepwise'!$J$2:$J$1137,MATCH(29&amp;"|"&amp;$A232&amp;"|"&amp;B$229,'Transition Stepwise'!$E$2:$E$1137,0))</f>
        <v>0.0123456790123457</v>
      </c>
      <c r="C232" s="45" t="n">
        <f aca="false">INDEX('Transition Stepwise'!$J$2:$J$1137,MATCH(29&amp;"|"&amp;$A232&amp;"|"&amp;C$229,'Transition Stepwise'!$E$2:$E$1137,0))</f>
        <v>0.135802469135802</v>
      </c>
      <c r="D232" s="45" t="n">
        <f aca="false">INDEX('Transition Stepwise'!$J$2:$J$1137,MATCH(29&amp;"|"&amp;$A232&amp;"|"&amp;D$229,'Transition Stepwise'!$E$2:$E$1137,0))</f>
        <v>0.765432098765432</v>
      </c>
      <c r="E232" s="45" t="n">
        <f aca="false">INDEX('Transition Stepwise'!$J$2:$J$1137,MATCH(29&amp;"|"&amp;$A232&amp;"|"&amp;E$229,'Transition Stepwise'!$E$2:$E$1137,0))</f>
        <v>0.0864197530864198</v>
      </c>
      <c r="F232" s="38" t="n">
        <f aca="false">ROUND(SUM(B232:E232),9)</f>
        <v>1</v>
      </c>
    </row>
    <row r="233" customFormat="false" ht="15" hidden="false" customHeight="true" outlineLevel="0" collapsed="false">
      <c r="A233" s="41" t="s">
        <v>171</v>
      </c>
      <c r="B233" s="45" t="n">
        <f aca="false">INDEX('Transition Stepwise'!$J$2:$J$1137,MATCH(29&amp;"|"&amp;$A233&amp;"|"&amp;B$229,'Transition Stepwise'!$E$2:$E$1137,0))</f>
        <v>0.0169491525423729</v>
      </c>
      <c r="C233" s="45" t="n">
        <f aca="false">INDEX('Transition Stepwise'!$J$2:$J$1137,MATCH(29&amp;"|"&amp;$A233&amp;"|"&amp;C$229,'Transition Stepwise'!$E$2:$E$1137,0))</f>
        <v>0.322033898305085</v>
      </c>
      <c r="D233" s="45" t="n">
        <f aca="false">INDEX('Transition Stepwise'!$J$2:$J$1137,MATCH(29&amp;"|"&amp;$A233&amp;"|"&amp;D$229,'Transition Stepwise'!$E$2:$E$1137,0))</f>
        <v>0.644067796610169</v>
      </c>
      <c r="E233" s="45" t="n">
        <f aca="false">INDEX('Transition Stepwise'!$J$2:$J$1137,MATCH(29&amp;"|"&amp;$A233&amp;"|"&amp;E$229,'Transition Stepwise'!$E$2:$E$1137,0))</f>
        <v>0.0169491525423729</v>
      </c>
      <c r="F233" s="38" t="n">
        <f aca="false">ROUND(SUM(B233:E233),9)</f>
        <v>1</v>
      </c>
    </row>
    <row r="234" customFormat="false" ht="15" hidden="false" customHeight="true" outlineLevel="0" collapsed="false">
      <c r="A234" s="38"/>
      <c r="B234" s="38"/>
      <c r="C234" s="38"/>
      <c r="D234" s="38"/>
      <c r="E234" s="38"/>
      <c r="F234" s="38"/>
    </row>
    <row r="235" customFormat="false" ht="15" hidden="false" customHeight="true" outlineLevel="0" collapsed="false">
      <c r="A235" s="38"/>
      <c r="B235" s="38"/>
      <c r="C235" s="38"/>
      <c r="D235" s="38"/>
      <c r="E235" s="38"/>
      <c r="F235" s="38"/>
    </row>
    <row r="236" customFormat="false" ht="15" hidden="false" customHeight="true" outlineLevel="0" collapsed="false">
      <c r="A236" s="41" t="s">
        <v>723</v>
      </c>
      <c r="B236" s="38"/>
      <c r="C236" s="38"/>
      <c r="D236" s="38"/>
      <c r="E236" s="38"/>
      <c r="F236" s="38"/>
    </row>
    <row r="237" customFormat="false" ht="15" hidden="false" customHeight="true" outlineLevel="0" collapsed="false">
      <c r="A237" s="39" t="s">
        <v>693</v>
      </c>
      <c r="B237" s="39" t="s">
        <v>172</v>
      </c>
      <c r="C237" s="39" t="s">
        <v>170</v>
      </c>
      <c r="D237" s="39" t="s">
        <v>169</v>
      </c>
      <c r="E237" s="39" t="s">
        <v>171</v>
      </c>
      <c r="F237" s="39" t="s">
        <v>766</v>
      </c>
    </row>
    <row r="238" customFormat="false" ht="15" hidden="false" customHeight="true" outlineLevel="0" collapsed="false">
      <c r="A238" s="41" t="s">
        <v>172</v>
      </c>
      <c r="B238" s="45" t="n">
        <f aca="false">INDEX('Transition Stepwise'!$J$2:$J$1137,MATCH(30&amp;"|"&amp;$A238&amp;"|"&amp;B$237,'Transition Stepwise'!$E$2:$E$1137,0))</f>
        <v>0.25</v>
      </c>
      <c r="C238" s="45" t="n">
        <f aca="false">INDEX('Transition Stepwise'!$J$2:$J$1137,MATCH(30&amp;"|"&amp;$A238&amp;"|"&amp;C$237,'Transition Stepwise'!$E$2:$E$1137,0))</f>
        <v>0.25</v>
      </c>
      <c r="D238" s="45" t="n">
        <f aca="false">INDEX('Transition Stepwise'!$J$2:$J$1137,MATCH(30&amp;"|"&amp;$A238&amp;"|"&amp;D$237,'Transition Stepwise'!$E$2:$E$1137,0))</f>
        <v>0.25</v>
      </c>
      <c r="E238" s="45" t="n">
        <f aca="false">INDEX('Transition Stepwise'!$J$2:$J$1137,MATCH(30&amp;"|"&amp;$A238&amp;"|"&amp;E$237,'Transition Stepwise'!$E$2:$E$1137,0))</f>
        <v>0.25</v>
      </c>
      <c r="F238" s="38" t="n">
        <f aca="false">ROUND(SUM(B238:E238),9)</f>
        <v>1</v>
      </c>
    </row>
    <row r="239" customFormat="false" ht="15" hidden="false" customHeight="true" outlineLevel="0" collapsed="false">
      <c r="A239" s="41" t="s">
        <v>170</v>
      </c>
      <c r="B239" s="45" t="n">
        <f aca="false">INDEX('Transition Stepwise'!$J$2:$J$1137,MATCH(30&amp;"|"&amp;$A239&amp;"|"&amp;B$237,'Transition Stepwise'!$E$2:$E$1137,0))</f>
        <v>0.0869565217391304</v>
      </c>
      <c r="C239" s="45" t="n">
        <f aca="false">INDEX('Transition Stepwise'!$J$2:$J$1137,MATCH(30&amp;"|"&amp;$A239&amp;"|"&amp;C$237,'Transition Stepwise'!$E$2:$E$1137,0))</f>
        <v>0.630434782608696</v>
      </c>
      <c r="D239" s="45" t="n">
        <f aca="false">INDEX('Transition Stepwise'!$J$2:$J$1137,MATCH(30&amp;"|"&amp;$A239&amp;"|"&amp;D$237,'Transition Stepwise'!$E$2:$E$1137,0))</f>
        <v>0.217391304347826</v>
      </c>
      <c r="E239" s="45" t="n">
        <f aca="false">INDEX('Transition Stepwise'!$J$2:$J$1137,MATCH(30&amp;"|"&amp;$A239&amp;"|"&amp;E$237,'Transition Stepwise'!$E$2:$E$1137,0))</f>
        <v>0.0652173913043478</v>
      </c>
      <c r="F239" s="38" t="n">
        <f aca="false">ROUND(SUM(B239:E239),9)</f>
        <v>1</v>
      </c>
    </row>
    <row r="240" customFormat="false" ht="15" hidden="false" customHeight="true" outlineLevel="0" collapsed="false">
      <c r="A240" s="41" t="s">
        <v>169</v>
      </c>
      <c r="B240" s="45" t="n">
        <f aca="false">INDEX('Transition Stepwise'!$J$2:$J$1137,MATCH(30&amp;"|"&amp;$A240&amp;"|"&amp;B$237,'Transition Stepwise'!$E$2:$E$1137,0))</f>
        <v>0.324675324675325</v>
      </c>
      <c r="C240" s="45" t="n">
        <f aca="false">INDEX('Transition Stepwise'!$J$2:$J$1137,MATCH(30&amp;"|"&amp;$A240&amp;"|"&amp;C$237,'Transition Stepwise'!$E$2:$E$1137,0))</f>
        <v>0.285714285714286</v>
      </c>
      <c r="D240" s="45" t="n">
        <f aca="false">INDEX('Transition Stepwise'!$J$2:$J$1137,MATCH(30&amp;"|"&amp;$A240&amp;"|"&amp;D$237,'Transition Stepwise'!$E$2:$E$1137,0))</f>
        <v>0.272727272727273</v>
      </c>
      <c r="E240" s="45" t="n">
        <f aca="false">INDEX('Transition Stepwise'!$J$2:$J$1137,MATCH(30&amp;"|"&amp;$A240&amp;"|"&amp;E$237,'Transition Stepwise'!$E$2:$E$1137,0))</f>
        <v>0.116883116883117</v>
      </c>
      <c r="F240" s="38" t="n">
        <f aca="false">ROUND(SUM(B240:E240),9)</f>
        <v>1</v>
      </c>
    </row>
    <row r="241" customFormat="false" ht="15" hidden="false" customHeight="true" outlineLevel="0" collapsed="false">
      <c r="A241" s="41" t="s">
        <v>171</v>
      </c>
      <c r="B241" s="45" t="n">
        <f aca="false">INDEX('Transition Stepwise'!$J$2:$J$1137,MATCH(30&amp;"|"&amp;$A241&amp;"|"&amp;B$237,'Transition Stepwise'!$E$2:$E$1137,0))</f>
        <v>0.272727272727273</v>
      </c>
      <c r="C241" s="45" t="n">
        <f aca="false">INDEX('Transition Stepwise'!$J$2:$J$1137,MATCH(30&amp;"|"&amp;$A241&amp;"|"&amp;C$237,'Transition Stepwise'!$E$2:$E$1137,0))</f>
        <v>0.181818181818182</v>
      </c>
      <c r="D241" s="45" t="n">
        <f aca="false">INDEX('Transition Stepwise'!$J$2:$J$1137,MATCH(30&amp;"|"&amp;$A241&amp;"|"&amp;D$237,'Transition Stepwise'!$E$2:$E$1137,0))</f>
        <v>0.454545454545455</v>
      </c>
      <c r="E241" s="45" t="n">
        <f aca="false">INDEX('Transition Stepwise'!$J$2:$J$1137,MATCH(30&amp;"|"&amp;$A241&amp;"|"&amp;E$237,'Transition Stepwise'!$E$2:$E$1137,0))</f>
        <v>0.0909090909090909</v>
      </c>
      <c r="F241" s="38" t="n">
        <f aca="false">ROUND(SUM(B241:E241),9)</f>
        <v>1</v>
      </c>
    </row>
    <row r="242" customFormat="false" ht="15" hidden="false" customHeight="true" outlineLevel="0" collapsed="false">
      <c r="A242" s="38"/>
      <c r="B242" s="38"/>
      <c r="C242" s="38"/>
      <c r="D242" s="38"/>
      <c r="E242" s="38"/>
      <c r="F242" s="38"/>
    </row>
    <row r="243" customFormat="false" ht="15" hidden="false" customHeight="true" outlineLevel="0" collapsed="false">
      <c r="A243" s="38"/>
      <c r="B243" s="38"/>
      <c r="C243" s="38"/>
      <c r="D243" s="38"/>
      <c r="E243" s="38"/>
      <c r="F243" s="38"/>
    </row>
    <row r="244" customFormat="false" ht="15" hidden="false" customHeight="true" outlineLevel="0" collapsed="false">
      <c r="A244" s="41" t="s">
        <v>724</v>
      </c>
      <c r="B244" s="38"/>
      <c r="C244" s="38"/>
      <c r="D244" s="38"/>
      <c r="E244" s="38"/>
      <c r="F244" s="38"/>
    </row>
    <row r="245" customFormat="false" ht="15" hidden="false" customHeight="true" outlineLevel="0" collapsed="false">
      <c r="A245" s="39" t="s">
        <v>693</v>
      </c>
      <c r="B245" s="39" t="s">
        <v>172</v>
      </c>
      <c r="C245" s="39" t="s">
        <v>170</v>
      </c>
      <c r="D245" s="39" t="s">
        <v>169</v>
      </c>
      <c r="E245" s="39" t="s">
        <v>171</v>
      </c>
      <c r="F245" s="39" t="s">
        <v>766</v>
      </c>
    </row>
    <row r="246" customFormat="false" ht="15" hidden="false" customHeight="true" outlineLevel="0" collapsed="false">
      <c r="A246" s="41" t="s">
        <v>172</v>
      </c>
      <c r="B246" s="45" t="n">
        <f aca="false">INDEX('Transition Stepwise'!$J$2:$J$1137,MATCH(31&amp;"|"&amp;$A246&amp;"|"&amp;B$245,'Transition Stepwise'!$E$2:$E$1137,0))</f>
        <v>0.0172413793103448</v>
      </c>
      <c r="C246" s="45" t="n">
        <f aca="false">INDEX('Transition Stepwise'!$J$2:$J$1137,MATCH(31&amp;"|"&amp;$A246&amp;"|"&amp;C$245,'Transition Stepwise'!$E$2:$E$1137,0))</f>
        <v>0.827586206896552</v>
      </c>
      <c r="D246" s="45" t="n">
        <f aca="false">INDEX('Transition Stepwise'!$J$2:$J$1137,MATCH(31&amp;"|"&amp;$A246&amp;"|"&amp;D$245,'Transition Stepwise'!$E$2:$E$1137,0))</f>
        <v>0.0172413793103448</v>
      </c>
      <c r="E246" s="45" t="n">
        <f aca="false">INDEX('Transition Stepwise'!$J$2:$J$1137,MATCH(31&amp;"|"&amp;$A246&amp;"|"&amp;E$245,'Transition Stepwise'!$E$2:$E$1137,0))</f>
        <v>0.137931034482759</v>
      </c>
      <c r="F246" s="38" t="n">
        <f aca="false">ROUND(SUM(B246:E246),9)</f>
        <v>1</v>
      </c>
    </row>
    <row r="247" customFormat="false" ht="15" hidden="false" customHeight="true" outlineLevel="0" collapsed="false">
      <c r="A247" s="41" t="s">
        <v>170</v>
      </c>
      <c r="B247" s="45" t="n">
        <f aca="false">INDEX('Transition Stepwise'!$J$2:$J$1137,MATCH(31&amp;"|"&amp;$A247&amp;"|"&amp;B$245,'Transition Stepwise'!$E$2:$E$1137,0))</f>
        <v>0.0921052631578947</v>
      </c>
      <c r="C247" s="45" t="n">
        <f aca="false">INDEX('Transition Stepwise'!$J$2:$J$1137,MATCH(31&amp;"|"&amp;$A247&amp;"|"&amp;C$245,'Transition Stepwise'!$E$2:$E$1137,0))</f>
        <v>0.486842105263158</v>
      </c>
      <c r="D247" s="45" t="n">
        <f aca="false">INDEX('Transition Stepwise'!$J$2:$J$1137,MATCH(31&amp;"|"&amp;$A247&amp;"|"&amp;D$245,'Transition Stepwise'!$E$2:$E$1137,0))</f>
        <v>0.0131578947368421</v>
      </c>
      <c r="E247" s="45" t="n">
        <f aca="false">INDEX('Transition Stepwise'!$J$2:$J$1137,MATCH(31&amp;"|"&amp;$A247&amp;"|"&amp;E$245,'Transition Stepwise'!$E$2:$E$1137,0))</f>
        <v>0.407894736842105</v>
      </c>
      <c r="F247" s="38" t="n">
        <f aca="false">ROUND(SUM(B247:E247),9)</f>
        <v>1</v>
      </c>
    </row>
    <row r="248" customFormat="false" ht="15" hidden="false" customHeight="true" outlineLevel="0" collapsed="false">
      <c r="A248" s="41" t="s">
        <v>169</v>
      </c>
      <c r="B248" s="45" t="n">
        <f aca="false">INDEX('Transition Stepwise'!$J$2:$J$1137,MATCH(31&amp;"|"&amp;$A248&amp;"|"&amp;B$245,'Transition Stepwise'!$E$2:$E$1137,0))</f>
        <v>0.0172413793103448</v>
      </c>
      <c r="C248" s="45" t="n">
        <f aca="false">INDEX('Transition Stepwise'!$J$2:$J$1137,MATCH(31&amp;"|"&amp;$A248&amp;"|"&amp;C$245,'Transition Stepwise'!$E$2:$E$1137,0))</f>
        <v>0.603448275862069</v>
      </c>
      <c r="D248" s="45" t="n">
        <f aca="false">INDEX('Transition Stepwise'!$J$2:$J$1137,MATCH(31&amp;"|"&amp;$A248&amp;"|"&amp;D$245,'Transition Stepwise'!$E$2:$E$1137,0))</f>
        <v>0.0172413793103448</v>
      </c>
      <c r="E248" s="45" t="n">
        <f aca="false">INDEX('Transition Stepwise'!$J$2:$J$1137,MATCH(31&amp;"|"&amp;$A248&amp;"|"&amp;E$245,'Transition Stepwise'!$E$2:$E$1137,0))</f>
        <v>0.362068965517241</v>
      </c>
      <c r="F248" s="38" t="n">
        <f aca="false">ROUND(SUM(B248:E248),9)</f>
        <v>1</v>
      </c>
    </row>
    <row r="249" customFormat="false" ht="15" hidden="false" customHeight="true" outlineLevel="0" collapsed="false">
      <c r="A249" s="41" t="s">
        <v>171</v>
      </c>
      <c r="B249" s="45" t="n">
        <f aca="false">INDEX('Transition Stepwise'!$J$2:$J$1137,MATCH(31&amp;"|"&amp;$A249&amp;"|"&amp;B$245,'Transition Stepwise'!$E$2:$E$1137,0))</f>
        <v>0.0434782608695652</v>
      </c>
      <c r="C249" s="45" t="n">
        <f aca="false">INDEX('Transition Stepwise'!$J$2:$J$1137,MATCH(31&amp;"|"&amp;$A249&amp;"|"&amp;C$245,'Transition Stepwise'!$E$2:$E$1137,0))</f>
        <v>0.782608695652174</v>
      </c>
      <c r="D249" s="45" t="n">
        <f aca="false">INDEX('Transition Stepwise'!$J$2:$J$1137,MATCH(31&amp;"|"&amp;$A249&amp;"|"&amp;D$245,'Transition Stepwise'!$E$2:$E$1137,0))</f>
        <v>0.0434782608695652</v>
      </c>
      <c r="E249" s="45" t="n">
        <f aca="false">INDEX('Transition Stepwise'!$J$2:$J$1137,MATCH(31&amp;"|"&amp;$A249&amp;"|"&amp;E$245,'Transition Stepwise'!$E$2:$E$1137,0))</f>
        <v>0.130434782608696</v>
      </c>
      <c r="F249" s="38" t="n">
        <f aca="false">ROUND(SUM(B249:E249),9)</f>
        <v>1</v>
      </c>
    </row>
    <row r="250" customFormat="false" ht="15" hidden="false" customHeight="true" outlineLevel="0" collapsed="false">
      <c r="A250" s="38"/>
      <c r="B250" s="38"/>
      <c r="C250" s="38"/>
      <c r="D250" s="38"/>
      <c r="E250" s="38"/>
      <c r="F250" s="38"/>
    </row>
    <row r="251" customFormat="false" ht="15" hidden="false" customHeight="true" outlineLevel="0" collapsed="false">
      <c r="A251" s="38"/>
      <c r="B251" s="38"/>
      <c r="C251" s="38"/>
      <c r="D251" s="38"/>
      <c r="E251" s="38"/>
      <c r="F251" s="38"/>
    </row>
    <row r="252" customFormat="false" ht="15" hidden="false" customHeight="true" outlineLevel="0" collapsed="false">
      <c r="A252" s="41" t="s">
        <v>725</v>
      </c>
      <c r="B252" s="38"/>
      <c r="C252" s="38"/>
      <c r="D252" s="38"/>
      <c r="E252" s="38"/>
      <c r="F252" s="38"/>
    </row>
    <row r="253" customFormat="false" ht="15" hidden="false" customHeight="true" outlineLevel="0" collapsed="false">
      <c r="A253" s="39" t="s">
        <v>693</v>
      </c>
      <c r="B253" s="39" t="s">
        <v>172</v>
      </c>
      <c r="C253" s="39" t="s">
        <v>170</v>
      </c>
      <c r="D253" s="39" t="s">
        <v>169</v>
      </c>
      <c r="E253" s="39" t="s">
        <v>171</v>
      </c>
      <c r="F253" s="39" t="s">
        <v>766</v>
      </c>
    </row>
    <row r="254" customFormat="false" ht="15" hidden="false" customHeight="true" outlineLevel="0" collapsed="false">
      <c r="A254" s="41" t="s">
        <v>172</v>
      </c>
      <c r="B254" s="45" t="n">
        <f aca="false">INDEX('Transition Stepwise'!$J$2:$J$1137,MATCH(32&amp;"|"&amp;$A254&amp;"|"&amp;B$253,'Transition Stepwise'!$E$2:$E$1137,0))</f>
        <v>0.1</v>
      </c>
      <c r="C254" s="45" t="n">
        <f aca="false">INDEX('Transition Stepwise'!$J$2:$J$1137,MATCH(32&amp;"|"&amp;$A254&amp;"|"&amp;C$253,'Transition Stepwise'!$E$2:$E$1137,0))</f>
        <v>0.1</v>
      </c>
      <c r="D254" s="45" t="n">
        <f aca="false">INDEX('Transition Stepwise'!$J$2:$J$1137,MATCH(32&amp;"|"&amp;$A254&amp;"|"&amp;D$253,'Transition Stepwise'!$E$2:$E$1137,0))</f>
        <v>0.1</v>
      </c>
      <c r="E254" s="45" t="n">
        <f aca="false">INDEX('Transition Stepwise'!$J$2:$J$1137,MATCH(32&amp;"|"&amp;$A254&amp;"|"&amp;E$253,'Transition Stepwise'!$E$2:$E$1137,0))</f>
        <v>0.7</v>
      </c>
      <c r="F254" s="38" t="n">
        <f aca="false">ROUND(SUM(B254:E254),9)</f>
        <v>1</v>
      </c>
    </row>
    <row r="255" customFormat="false" ht="15" hidden="false" customHeight="true" outlineLevel="0" collapsed="false">
      <c r="A255" s="41" t="s">
        <v>170</v>
      </c>
      <c r="B255" s="45" t="n">
        <f aca="false">INDEX('Transition Stepwise'!$J$2:$J$1137,MATCH(32&amp;"|"&amp;$A255&amp;"|"&amp;B$253,'Transition Stepwise'!$E$2:$E$1137,0))</f>
        <v>0.0072463768115942</v>
      </c>
      <c r="C255" s="45" t="n">
        <f aca="false">INDEX('Transition Stepwise'!$J$2:$J$1137,MATCH(32&amp;"|"&amp;$A255&amp;"|"&amp;C$253,'Transition Stepwise'!$E$2:$E$1137,0))</f>
        <v>0.0144927536231884</v>
      </c>
      <c r="D255" s="45" t="n">
        <f aca="false">INDEX('Transition Stepwise'!$J$2:$J$1137,MATCH(32&amp;"|"&amp;$A255&amp;"|"&amp;D$253,'Transition Stepwise'!$E$2:$E$1137,0))</f>
        <v>0.0072463768115942</v>
      </c>
      <c r="E255" s="45" t="n">
        <f aca="false">INDEX('Transition Stepwise'!$J$2:$J$1137,MATCH(32&amp;"|"&amp;$A255&amp;"|"&amp;E$253,'Transition Stepwise'!$E$2:$E$1137,0))</f>
        <v>0.971014492753623</v>
      </c>
      <c r="F255" s="38" t="n">
        <f aca="false">ROUND(SUM(B255:E255),9)</f>
        <v>1</v>
      </c>
    </row>
    <row r="256" customFormat="false" ht="15" hidden="false" customHeight="true" outlineLevel="0" collapsed="false">
      <c r="A256" s="41" t="s">
        <v>169</v>
      </c>
      <c r="B256" s="45" t="n">
        <f aca="false">INDEX('Transition Stepwise'!$J$2:$J$1137,MATCH(32&amp;"|"&amp;$A256&amp;"|"&amp;B$253,'Transition Stepwise'!$E$2:$E$1137,0))</f>
        <v>0.25</v>
      </c>
      <c r="C256" s="45" t="n">
        <f aca="false">INDEX('Transition Stepwise'!$J$2:$J$1137,MATCH(32&amp;"|"&amp;$A256&amp;"|"&amp;C$253,'Transition Stepwise'!$E$2:$E$1137,0))</f>
        <v>0.25</v>
      </c>
      <c r="D256" s="45" t="n">
        <f aca="false">INDEX('Transition Stepwise'!$J$2:$J$1137,MATCH(32&amp;"|"&amp;$A256&amp;"|"&amp;D$253,'Transition Stepwise'!$E$2:$E$1137,0))</f>
        <v>0.25</v>
      </c>
      <c r="E256" s="45" t="n">
        <f aca="false">INDEX('Transition Stepwise'!$J$2:$J$1137,MATCH(32&amp;"|"&amp;$A256&amp;"|"&amp;E$253,'Transition Stepwise'!$E$2:$E$1137,0))</f>
        <v>0.25</v>
      </c>
      <c r="F256" s="38" t="n">
        <f aca="false">ROUND(SUM(B256:E256),9)</f>
        <v>1</v>
      </c>
    </row>
    <row r="257" customFormat="false" ht="15" hidden="false" customHeight="true" outlineLevel="0" collapsed="false">
      <c r="A257" s="41" t="s">
        <v>171</v>
      </c>
      <c r="B257" s="45" t="n">
        <f aca="false">INDEX('Transition Stepwise'!$J$2:$J$1137,MATCH(32&amp;"|"&amp;$A257&amp;"|"&amp;B$253,'Transition Stepwise'!$E$2:$E$1137,0))</f>
        <v>0.0317460317460317</v>
      </c>
      <c r="C257" s="45" t="n">
        <f aca="false">INDEX('Transition Stepwise'!$J$2:$J$1137,MATCH(32&amp;"|"&amp;$A257&amp;"|"&amp;C$253,'Transition Stepwise'!$E$2:$E$1137,0))</f>
        <v>0.0158730158730159</v>
      </c>
      <c r="D257" s="45" t="n">
        <f aca="false">INDEX('Transition Stepwise'!$J$2:$J$1137,MATCH(32&amp;"|"&amp;$A257&amp;"|"&amp;D$253,'Transition Stepwise'!$E$2:$E$1137,0))</f>
        <v>0.0158730158730159</v>
      </c>
      <c r="E257" s="45" t="n">
        <f aca="false">INDEX('Transition Stepwise'!$J$2:$J$1137,MATCH(32&amp;"|"&amp;$A257&amp;"|"&amp;E$253,'Transition Stepwise'!$E$2:$E$1137,0))</f>
        <v>0.936507936507937</v>
      </c>
      <c r="F257" s="38" t="n">
        <f aca="false">ROUND(SUM(B257:E257),9)</f>
        <v>1</v>
      </c>
    </row>
    <row r="258" customFormat="false" ht="15" hidden="false" customHeight="true" outlineLevel="0" collapsed="false">
      <c r="A258" s="38"/>
      <c r="B258" s="38"/>
      <c r="C258" s="38"/>
      <c r="D258" s="38"/>
      <c r="E258" s="38"/>
      <c r="F258" s="38"/>
    </row>
    <row r="259" customFormat="false" ht="15" hidden="false" customHeight="true" outlineLevel="0" collapsed="false">
      <c r="A259" s="38"/>
      <c r="B259" s="38"/>
      <c r="C259" s="38"/>
      <c r="D259" s="38"/>
      <c r="E259" s="38"/>
      <c r="F259" s="38"/>
    </row>
    <row r="260" customFormat="false" ht="15" hidden="false" customHeight="true" outlineLevel="0" collapsed="false">
      <c r="A260" s="41" t="s">
        <v>726</v>
      </c>
      <c r="B260" s="38"/>
      <c r="C260" s="38"/>
      <c r="D260" s="38"/>
      <c r="E260" s="38"/>
      <c r="F260" s="38"/>
    </row>
    <row r="261" customFormat="false" ht="15" hidden="false" customHeight="true" outlineLevel="0" collapsed="false">
      <c r="A261" s="39" t="s">
        <v>693</v>
      </c>
      <c r="B261" s="39" t="s">
        <v>172</v>
      </c>
      <c r="C261" s="39" t="s">
        <v>170</v>
      </c>
      <c r="D261" s="39" t="s">
        <v>169</v>
      </c>
      <c r="E261" s="39" t="s">
        <v>171</v>
      </c>
      <c r="F261" s="39" t="s">
        <v>766</v>
      </c>
    </row>
    <row r="262" customFormat="false" ht="15" hidden="false" customHeight="true" outlineLevel="0" collapsed="false">
      <c r="A262" s="41" t="s">
        <v>172</v>
      </c>
      <c r="B262" s="45" t="n">
        <f aca="false">INDEX('Transition Stepwise'!$J$2:$J$1137,MATCH(33&amp;"|"&amp;$A262&amp;"|"&amp;B$261,'Transition Stepwise'!$E$2:$E$1137,0))</f>
        <v>0.2</v>
      </c>
      <c r="C262" s="45" t="n">
        <f aca="false">INDEX('Transition Stepwise'!$J$2:$J$1137,MATCH(33&amp;"|"&amp;$A262&amp;"|"&amp;C$261,'Transition Stepwise'!$E$2:$E$1137,0))</f>
        <v>0.4</v>
      </c>
      <c r="D262" s="45" t="n">
        <f aca="false">INDEX('Transition Stepwise'!$J$2:$J$1137,MATCH(33&amp;"|"&amp;$A262&amp;"|"&amp;D$261,'Transition Stepwise'!$E$2:$E$1137,0))</f>
        <v>0.2</v>
      </c>
      <c r="E262" s="45" t="n">
        <f aca="false">INDEX('Transition Stepwise'!$J$2:$J$1137,MATCH(33&amp;"|"&amp;$A262&amp;"|"&amp;E$261,'Transition Stepwise'!$E$2:$E$1137,0))</f>
        <v>0.2</v>
      </c>
      <c r="F262" s="38" t="n">
        <f aca="false">ROUND(SUM(B262:E262),9)</f>
        <v>1</v>
      </c>
    </row>
    <row r="263" customFormat="false" ht="15" hidden="false" customHeight="true" outlineLevel="0" collapsed="false">
      <c r="A263" s="41" t="s">
        <v>170</v>
      </c>
      <c r="B263" s="45" t="n">
        <f aca="false">INDEX('Transition Stepwise'!$J$2:$J$1137,MATCH(33&amp;"|"&amp;$A263&amp;"|"&amp;B$261,'Transition Stepwise'!$E$2:$E$1137,0))</f>
        <v>0.2</v>
      </c>
      <c r="C263" s="45" t="n">
        <f aca="false">INDEX('Transition Stepwise'!$J$2:$J$1137,MATCH(33&amp;"|"&amp;$A263&amp;"|"&amp;C$261,'Transition Stepwise'!$E$2:$E$1137,0))</f>
        <v>0.4</v>
      </c>
      <c r="D263" s="45" t="n">
        <f aca="false">INDEX('Transition Stepwise'!$J$2:$J$1137,MATCH(33&amp;"|"&amp;$A263&amp;"|"&amp;D$261,'Transition Stepwise'!$E$2:$E$1137,0))</f>
        <v>0.2</v>
      </c>
      <c r="E263" s="45" t="n">
        <f aca="false">INDEX('Transition Stepwise'!$J$2:$J$1137,MATCH(33&amp;"|"&amp;$A263&amp;"|"&amp;E$261,'Transition Stepwise'!$E$2:$E$1137,0))</f>
        <v>0.2</v>
      </c>
      <c r="F263" s="38" t="n">
        <f aca="false">ROUND(SUM(B263:E263),9)</f>
        <v>1</v>
      </c>
    </row>
    <row r="264" customFormat="false" ht="15" hidden="false" customHeight="true" outlineLevel="0" collapsed="false">
      <c r="A264" s="41" t="s">
        <v>169</v>
      </c>
      <c r="B264" s="45" t="n">
        <f aca="false">INDEX('Transition Stepwise'!$J$2:$J$1137,MATCH(33&amp;"|"&amp;$A264&amp;"|"&amp;B$261,'Transition Stepwise'!$E$2:$E$1137,0))</f>
        <v>0.25</v>
      </c>
      <c r="C264" s="45" t="n">
        <f aca="false">INDEX('Transition Stepwise'!$J$2:$J$1137,MATCH(33&amp;"|"&amp;$A264&amp;"|"&amp;C$261,'Transition Stepwise'!$E$2:$E$1137,0))</f>
        <v>0.25</v>
      </c>
      <c r="D264" s="45" t="n">
        <f aca="false">INDEX('Transition Stepwise'!$J$2:$J$1137,MATCH(33&amp;"|"&amp;$A264&amp;"|"&amp;D$261,'Transition Stepwise'!$E$2:$E$1137,0))</f>
        <v>0.25</v>
      </c>
      <c r="E264" s="45" t="n">
        <f aca="false">INDEX('Transition Stepwise'!$J$2:$J$1137,MATCH(33&amp;"|"&amp;$A264&amp;"|"&amp;E$261,'Transition Stepwise'!$E$2:$E$1137,0))</f>
        <v>0.25</v>
      </c>
      <c r="F264" s="38" t="n">
        <f aca="false">ROUND(SUM(B264:E264),9)</f>
        <v>1</v>
      </c>
    </row>
    <row r="265" customFormat="false" ht="15" hidden="false" customHeight="true" outlineLevel="0" collapsed="false">
      <c r="A265" s="41" t="s">
        <v>171</v>
      </c>
      <c r="B265" s="45" t="n">
        <f aca="false">INDEX('Transition Stepwise'!$J$2:$J$1137,MATCH(33&amp;"|"&amp;$A265&amp;"|"&amp;B$261,'Transition Stepwise'!$E$2:$E$1137,0))</f>
        <v>0.0497512437810945</v>
      </c>
      <c r="C265" s="45" t="n">
        <f aca="false">INDEX('Transition Stepwise'!$J$2:$J$1137,MATCH(33&amp;"|"&amp;$A265&amp;"|"&amp;C$261,'Transition Stepwise'!$E$2:$E$1137,0))</f>
        <v>0.323383084577114</v>
      </c>
      <c r="D265" s="45" t="n">
        <f aca="false">INDEX('Transition Stepwise'!$J$2:$J$1137,MATCH(33&amp;"|"&amp;$A265&amp;"|"&amp;D$261,'Transition Stepwise'!$E$2:$E$1137,0))</f>
        <v>0.333333333333333</v>
      </c>
      <c r="E265" s="45" t="n">
        <f aca="false">INDEX('Transition Stepwise'!$J$2:$J$1137,MATCH(33&amp;"|"&amp;$A265&amp;"|"&amp;E$261,'Transition Stepwise'!$E$2:$E$1137,0))</f>
        <v>0.293532338308458</v>
      </c>
      <c r="F265" s="38" t="n">
        <f aca="false">ROUND(SUM(B265:E265),9)</f>
        <v>1</v>
      </c>
    </row>
    <row r="266" customFormat="false" ht="15" hidden="false" customHeight="true" outlineLevel="0" collapsed="false">
      <c r="A266" s="38"/>
      <c r="B266" s="38"/>
      <c r="C266" s="38"/>
      <c r="D266" s="38"/>
      <c r="E266" s="38"/>
      <c r="F266" s="38"/>
    </row>
    <row r="267" customFormat="false" ht="15" hidden="false" customHeight="true" outlineLevel="0" collapsed="false">
      <c r="A267" s="38"/>
      <c r="B267" s="38"/>
      <c r="C267" s="38"/>
      <c r="D267" s="38"/>
      <c r="E267" s="38"/>
      <c r="F267" s="38"/>
    </row>
    <row r="268" customFormat="false" ht="15" hidden="false" customHeight="true" outlineLevel="0" collapsed="false">
      <c r="A268" s="41" t="s">
        <v>727</v>
      </c>
      <c r="B268" s="38"/>
      <c r="C268" s="38"/>
      <c r="D268" s="38"/>
      <c r="E268" s="38"/>
      <c r="F268" s="38"/>
    </row>
    <row r="269" customFormat="false" ht="15" hidden="false" customHeight="true" outlineLevel="0" collapsed="false">
      <c r="A269" s="39" t="s">
        <v>693</v>
      </c>
      <c r="B269" s="39" t="s">
        <v>172</v>
      </c>
      <c r="C269" s="39" t="s">
        <v>170</v>
      </c>
      <c r="D269" s="39" t="s">
        <v>169</v>
      </c>
      <c r="E269" s="39" t="s">
        <v>171</v>
      </c>
      <c r="F269" s="39" t="s">
        <v>766</v>
      </c>
    </row>
    <row r="270" customFormat="false" ht="15" hidden="false" customHeight="true" outlineLevel="0" collapsed="false">
      <c r="A270" s="41" t="s">
        <v>172</v>
      </c>
      <c r="B270" s="45" t="n">
        <f aca="false">INDEX('Transition Stepwise'!$J$2:$J$1137,MATCH(34&amp;"|"&amp;$A270&amp;"|"&amp;B$269,'Transition Stepwise'!$E$2:$E$1137,0))</f>
        <v>0.307692307692308</v>
      </c>
      <c r="C270" s="45" t="n">
        <f aca="false">INDEX('Transition Stepwise'!$J$2:$J$1137,MATCH(34&amp;"|"&amp;$A270&amp;"|"&amp;C$269,'Transition Stepwise'!$E$2:$E$1137,0))</f>
        <v>0.230769230769231</v>
      </c>
      <c r="D270" s="45" t="n">
        <f aca="false">INDEX('Transition Stepwise'!$J$2:$J$1137,MATCH(34&amp;"|"&amp;$A270&amp;"|"&amp;D$269,'Transition Stepwise'!$E$2:$E$1137,0))</f>
        <v>0.384615384615385</v>
      </c>
      <c r="E270" s="45" t="n">
        <f aca="false">INDEX('Transition Stepwise'!$J$2:$J$1137,MATCH(34&amp;"|"&amp;$A270&amp;"|"&amp;E$269,'Transition Stepwise'!$E$2:$E$1137,0))</f>
        <v>0.0769230769230769</v>
      </c>
      <c r="F270" s="38" t="n">
        <f aca="false">ROUND(SUM(B270:E270),9)</f>
        <v>1</v>
      </c>
    </row>
    <row r="271" customFormat="false" ht="15" hidden="false" customHeight="true" outlineLevel="0" collapsed="false">
      <c r="A271" s="41" t="s">
        <v>170</v>
      </c>
      <c r="B271" s="45" t="n">
        <f aca="false">INDEX('Transition Stepwise'!$J$2:$J$1137,MATCH(34&amp;"|"&amp;$A271&amp;"|"&amp;B$269,'Transition Stepwise'!$E$2:$E$1137,0))</f>
        <v>0.371428571428571</v>
      </c>
      <c r="C271" s="45" t="n">
        <f aca="false">INDEX('Transition Stepwise'!$J$2:$J$1137,MATCH(34&amp;"|"&amp;$A271&amp;"|"&amp;C$269,'Transition Stepwise'!$E$2:$E$1137,0))</f>
        <v>0.271428571428571</v>
      </c>
      <c r="D271" s="45" t="n">
        <f aca="false">INDEX('Transition Stepwise'!$J$2:$J$1137,MATCH(34&amp;"|"&amp;$A271&amp;"|"&amp;D$269,'Transition Stepwise'!$E$2:$E$1137,0))</f>
        <v>0.171428571428571</v>
      </c>
      <c r="E271" s="45" t="n">
        <f aca="false">INDEX('Transition Stepwise'!$J$2:$J$1137,MATCH(34&amp;"|"&amp;$A271&amp;"|"&amp;E$269,'Transition Stepwise'!$E$2:$E$1137,0))</f>
        <v>0.185714285714286</v>
      </c>
      <c r="F271" s="38" t="n">
        <f aca="false">ROUND(SUM(B271:E271),9)</f>
        <v>1</v>
      </c>
    </row>
    <row r="272" customFormat="false" ht="15" hidden="false" customHeight="true" outlineLevel="0" collapsed="false">
      <c r="A272" s="41" t="s">
        <v>169</v>
      </c>
      <c r="B272" s="45" t="n">
        <f aca="false">INDEX('Transition Stepwise'!$J$2:$J$1137,MATCH(34&amp;"|"&amp;$A272&amp;"|"&amp;B$269,'Transition Stepwise'!$E$2:$E$1137,0))</f>
        <v>0.314285714285714</v>
      </c>
      <c r="C272" s="45" t="n">
        <f aca="false">INDEX('Transition Stepwise'!$J$2:$J$1137,MATCH(34&amp;"|"&amp;$A272&amp;"|"&amp;C$269,'Transition Stepwise'!$E$2:$E$1137,0))</f>
        <v>0.2</v>
      </c>
      <c r="D272" s="45" t="n">
        <f aca="false">INDEX('Transition Stepwise'!$J$2:$J$1137,MATCH(34&amp;"|"&amp;$A272&amp;"|"&amp;D$269,'Transition Stepwise'!$E$2:$E$1137,0))</f>
        <v>0.2</v>
      </c>
      <c r="E272" s="45" t="n">
        <f aca="false">INDEX('Transition Stepwise'!$J$2:$J$1137,MATCH(34&amp;"|"&amp;$A272&amp;"|"&amp;E$269,'Transition Stepwise'!$E$2:$E$1137,0))</f>
        <v>0.285714285714286</v>
      </c>
      <c r="F272" s="38" t="n">
        <f aca="false">ROUND(SUM(B272:E272),9)</f>
        <v>1</v>
      </c>
    </row>
    <row r="273" customFormat="false" ht="15" hidden="false" customHeight="true" outlineLevel="0" collapsed="false">
      <c r="A273" s="41" t="s">
        <v>171</v>
      </c>
      <c r="B273" s="45" t="n">
        <f aca="false">INDEX('Transition Stepwise'!$J$2:$J$1137,MATCH(34&amp;"|"&amp;$A273&amp;"|"&amp;B$269,'Transition Stepwise'!$E$2:$E$1137,0))</f>
        <v>0.209677419354839</v>
      </c>
      <c r="C273" s="45" t="n">
        <f aca="false">INDEX('Transition Stepwise'!$J$2:$J$1137,MATCH(34&amp;"|"&amp;$A273&amp;"|"&amp;C$269,'Transition Stepwise'!$E$2:$E$1137,0))</f>
        <v>0.225806451612903</v>
      </c>
      <c r="D273" s="45" t="n">
        <f aca="false">INDEX('Transition Stepwise'!$J$2:$J$1137,MATCH(34&amp;"|"&amp;$A273&amp;"|"&amp;D$269,'Transition Stepwise'!$E$2:$E$1137,0))</f>
        <v>0.387096774193548</v>
      </c>
      <c r="E273" s="45" t="n">
        <f aca="false">INDEX('Transition Stepwise'!$J$2:$J$1137,MATCH(34&amp;"|"&amp;$A273&amp;"|"&amp;E$269,'Transition Stepwise'!$E$2:$E$1137,0))</f>
        <v>0.17741935483871</v>
      </c>
      <c r="F273" s="38" t="n">
        <f aca="false">ROUND(SUM(B273:E273),9)</f>
        <v>1</v>
      </c>
    </row>
    <row r="274" customFormat="false" ht="15" hidden="false" customHeight="true" outlineLevel="0" collapsed="false">
      <c r="A274" s="38"/>
      <c r="B274" s="38"/>
      <c r="C274" s="38"/>
      <c r="D274" s="38"/>
      <c r="E274" s="38"/>
      <c r="F274" s="38"/>
    </row>
    <row r="275" customFormat="false" ht="15" hidden="false" customHeight="true" outlineLevel="0" collapsed="false">
      <c r="A275" s="38"/>
      <c r="B275" s="38"/>
      <c r="C275" s="38"/>
      <c r="D275" s="38"/>
      <c r="E275" s="38"/>
      <c r="F275" s="38"/>
    </row>
    <row r="276" customFormat="false" ht="15" hidden="false" customHeight="true" outlineLevel="0" collapsed="false">
      <c r="A276" s="41" t="s">
        <v>728</v>
      </c>
      <c r="B276" s="38"/>
      <c r="C276" s="38"/>
      <c r="D276" s="38"/>
      <c r="E276" s="38"/>
      <c r="F276" s="38"/>
    </row>
    <row r="277" customFormat="false" ht="15" hidden="false" customHeight="true" outlineLevel="0" collapsed="false">
      <c r="A277" s="39" t="s">
        <v>693</v>
      </c>
      <c r="B277" s="39" t="s">
        <v>172</v>
      </c>
      <c r="C277" s="39" t="s">
        <v>170</v>
      </c>
      <c r="D277" s="39" t="s">
        <v>169</v>
      </c>
      <c r="E277" s="39" t="s">
        <v>171</v>
      </c>
      <c r="F277" s="39" t="s">
        <v>766</v>
      </c>
    </row>
    <row r="278" customFormat="false" ht="15" hidden="false" customHeight="true" outlineLevel="0" collapsed="false">
      <c r="A278" s="41" t="s">
        <v>172</v>
      </c>
      <c r="B278" s="45" t="n">
        <f aca="false">INDEX('Transition Stepwise'!$J$2:$J$1137,MATCH(35&amp;"|"&amp;$A278&amp;"|"&amp;B$277,'Transition Stepwise'!$E$2:$E$1137,0))</f>
        <v>0.184615384615385</v>
      </c>
      <c r="C278" s="45" t="n">
        <f aca="false">INDEX('Transition Stepwise'!$J$2:$J$1137,MATCH(35&amp;"|"&amp;$A278&amp;"|"&amp;C$277,'Transition Stepwise'!$E$2:$E$1137,0))</f>
        <v>0.292307692307692</v>
      </c>
      <c r="D278" s="45" t="n">
        <f aca="false">INDEX('Transition Stepwise'!$J$2:$J$1137,MATCH(35&amp;"|"&amp;$A278&amp;"|"&amp;D$277,'Transition Stepwise'!$E$2:$E$1137,0))</f>
        <v>0.0769230769230769</v>
      </c>
      <c r="E278" s="45" t="n">
        <f aca="false">INDEX('Transition Stepwise'!$J$2:$J$1137,MATCH(35&amp;"|"&amp;$A278&amp;"|"&amp;E$277,'Transition Stepwise'!$E$2:$E$1137,0))</f>
        <v>0.446153846153846</v>
      </c>
      <c r="F278" s="38" t="n">
        <f aca="false">ROUND(SUM(B278:E278),9)</f>
        <v>1</v>
      </c>
    </row>
    <row r="279" customFormat="false" ht="15" hidden="false" customHeight="true" outlineLevel="0" collapsed="false">
      <c r="A279" s="41" t="s">
        <v>170</v>
      </c>
      <c r="B279" s="45" t="n">
        <f aca="false">INDEX('Transition Stepwise'!$J$2:$J$1137,MATCH(35&amp;"|"&amp;$A279&amp;"|"&amp;B$277,'Transition Stepwise'!$E$2:$E$1137,0))</f>
        <v>0.42</v>
      </c>
      <c r="C279" s="45" t="n">
        <f aca="false">INDEX('Transition Stepwise'!$J$2:$J$1137,MATCH(35&amp;"|"&amp;$A279&amp;"|"&amp;C$277,'Transition Stepwise'!$E$2:$E$1137,0))</f>
        <v>0.26</v>
      </c>
      <c r="D279" s="45" t="n">
        <f aca="false">INDEX('Transition Stepwise'!$J$2:$J$1137,MATCH(35&amp;"|"&amp;$A279&amp;"|"&amp;D$277,'Transition Stepwise'!$E$2:$E$1137,0))</f>
        <v>0.14</v>
      </c>
      <c r="E279" s="45" t="n">
        <f aca="false">INDEX('Transition Stepwise'!$J$2:$J$1137,MATCH(35&amp;"|"&amp;$A279&amp;"|"&amp;E$277,'Transition Stepwise'!$E$2:$E$1137,0))</f>
        <v>0.18</v>
      </c>
      <c r="F279" s="38" t="n">
        <f aca="false">ROUND(SUM(B279:E279),9)</f>
        <v>1</v>
      </c>
    </row>
    <row r="280" customFormat="false" ht="15" hidden="false" customHeight="true" outlineLevel="0" collapsed="false">
      <c r="A280" s="41" t="s">
        <v>169</v>
      </c>
      <c r="B280" s="45" t="n">
        <f aca="false">INDEX('Transition Stepwise'!$J$2:$J$1137,MATCH(35&amp;"|"&amp;$A280&amp;"|"&amp;B$277,'Transition Stepwise'!$E$2:$E$1137,0))</f>
        <v>0.109090909090909</v>
      </c>
      <c r="C280" s="45" t="n">
        <f aca="false">INDEX('Transition Stepwise'!$J$2:$J$1137,MATCH(35&amp;"|"&amp;$A280&amp;"|"&amp;C$277,'Transition Stepwise'!$E$2:$E$1137,0))</f>
        <v>0.290909090909091</v>
      </c>
      <c r="D280" s="45" t="n">
        <f aca="false">INDEX('Transition Stepwise'!$J$2:$J$1137,MATCH(35&amp;"|"&amp;$A280&amp;"|"&amp;D$277,'Transition Stepwise'!$E$2:$E$1137,0))</f>
        <v>0.236363636363636</v>
      </c>
      <c r="E280" s="45" t="n">
        <f aca="false">INDEX('Transition Stepwise'!$J$2:$J$1137,MATCH(35&amp;"|"&amp;$A280&amp;"|"&amp;E$277,'Transition Stepwise'!$E$2:$E$1137,0))</f>
        <v>0.363636363636364</v>
      </c>
      <c r="F280" s="38" t="n">
        <f aca="false">ROUND(SUM(B280:E280),9)</f>
        <v>1</v>
      </c>
    </row>
    <row r="281" customFormat="false" ht="15" hidden="false" customHeight="true" outlineLevel="0" collapsed="false">
      <c r="A281" s="41" t="s">
        <v>171</v>
      </c>
      <c r="B281" s="45" t="n">
        <f aca="false">INDEX('Transition Stepwise'!$J$2:$J$1137,MATCH(35&amp;"|"&amp;$A281&amp;"|"&amp;B$277,'Transition Stepwise'!$E$2:$E$1137,0))</f>
        <v>0.177777777777778</v>
      </c>
      <c r="C281" s="45" t="n">
        <f aca="false">INDEX('Transition Stepwise'!$J$2:$J$1137,MATCH(35&amp;"|"&amp;$A281&amp;"|"&amp;C$277,'Transition Stepwise'!$E$2:$E$1137,0))</f>
        <v>0.2</v>
      </c>
      <c r="D281" s="45" t="n">
        <f aca="false">INDEX('Transition Stepwise'!$J$2:$J$1137,MATCH(35&amp;"|"&amp;$A281&amp;"|"&amp;D$277,'Transition Stepwise'!$E$2:$E$1137,0))</f>
        <v>0.244444444444444</v>
      </c>
      <c r="E281" s="45" t="n">
        <f aca="false">INDEX('Transition Stepwise'!$J$2:$J$1137,MATCH(35&amp;"|"&amp;$A281&amp;"|"&amp;E$277,'Transition Stepwise'!$E$2:$E$1137,0))</f>
        <v>0.377777777777778</v>
      </c>
      <c r="F281" s="38" t="n">
        <f aca="false">ROUND(SUM(B281:E281),9)</f>
        <v>1</v>
      </c>
    </row>
    <row r="282" customFormat="false" ht="15" hidden="false" customHeight="true" outlineLevel="0" collapsed="false">
      <c r="A282" s="38"/>
      <c r="B282" s="38"/>
      <c r="C282" s="38"/>
      <c r="D282" s="38"/>
      <c r="E282" s="38"/>
      <c r="F282" s="38"/>
    </row>
    <row r="283" customFormat="false" ht="15" hidden="false" customHeight="true" outlineLevel="0" collapsed="false">
      <c r="A283" s="38"/>
      <c r="B283" s="38"/>
      <c r="C283" s="38"/>
      <c r="D283" s="38"/>
      <c r="E283" s="38"/>
      <c r="F283" s="38"/>
    </row>
    <row r="284" customFormat="false" ht="15" hidden="false" customHeight="true" outlineLevel="0" collapsed="false">
      <c r="A284" s="41" t="s">
        <v>729</v>
      </c>
      <c r="B284" s="38"/>
      <c r="C284" s="38"/>
      <c r="D284" s="38"/>
      <c r="E284" s="38"/>
      <c r="F284" s="38"/>
    </row>
    <row r="285" customFormat="false" ht="15" hidden="false" customHeight="true" outlineLevel="0" collapsed="false">
      <c r="A285" s="39" t="s">
        <v>693</v>
      </c>
      <c r="B285" s="39" t="s">
        <v>172</v>
      </c>
      <c r="C285" s="39" t="s">
        <v>170</v>
      </c>
      <c r="D285" s="39" t="s">
        <v>169</v>
      </c>
      <c r="E285" s="39" t="s">
        <v>171</v>
      </c>
      <c r="F285" s="39" t="s">
        <v>766</v>
      </c>
    </row>
    <row r="286" customFormat="false" ht="15" hidden="false" customHeight="true" outlineLevel="0" collapsed="false">
      <c r="A286" s="41" t="s">
        <v>172</v>
      </c>
      <c r="B286" s="45" t="n">
        <f aca="false">INDEX('Transition Stepwise'!$J$2:$J$1137,MATCH(36&amp;"|"&amp;$A286&amp;"|"&amp;B$285,'Transition Stepwise'!$E$2:$E$1137,0))</f>
        <v>0.553191489361702</v>
      </c>
      <c r="C286" s="45" t="n">
        <f aca="false">INDEX('Transition Stepwise'!$J$2:$J$1137,MATCH(36&amp;"|"&amp;$A286&amp;"|"&amp;C$285,'Transition Stepwise'!$E$2:$E$1137,0))</f>
        <v>0.0425531914893617</v>
      </c>
      <c r="D286" s="45" t="n">
        <f aca="false">INDEX('Transition Stepwise'!$J$2:$J$1137,MATCH(36&amp;"|"&amp;$A286&amp;"|"&amp;D$285,'Transition Stepwise'!$E$2:$E$1137,0))</f>
        <v>0.382978723404255</v>
      </c>
      <c r="E286" s="45" t="n">
        <f aca="false">INDEX('Transition Stepwise'!$J$2:$J$1137,MATCH(36&amp;"|"&amp;$A286&amp;"|"&amp;E$285,'Transition Stepwise'!$E$2:$E$1137,0))</f>
        <v>0.0212765957446809</v>
      </c>
      <c r="F286" s="38" t="n">
        <f aca="false">ROUND(SUM(B286:E286),9)</f>
        <v>1</v>
      </c>
    </row>
    <row r="287" customFormat="false" ht="15" hidden="false" customHeight="true" outlineLevel="0" collapsed="false">
      <c r="A287" s="41" t="s">
        <v>170</v>
      </c>
      <c r="B287" s="45" t="n">
        <f aca="false">INDEX('Transition Stepwise'!$J$2:$J$1137,MATCH(36&amp;"|"&amp;$A287&amp;"|"&amp;B$285,'Transition Stepwise'!$E$2:$E$1137,0))</f>
        <v>0.894736842105263</v>
      </c>
      <c r="C287" s="45" t="n">
        <f aca="false">INDEX('Transition Stepwise'!$J$2:$J$1137,MATCH(36&amp;"|"&amp;$A287&amp;"|"&amp;C$285,'Transition Stepwise'!$E$2:$E$1137,0))</f>
        <v>0.0175438596491228</v>
      </c>
      <c r="D287" s="45" t="n">
        <f aca="false">INDEX('Transition Stepwise'!$J$2:$J$1137,MATCH(36&amp;"|"&amp;$A287&amp;"|"&amp;D$285,'Transition Stepwise'!$E$2:$E$1137,0))</f>
        <v>0.0701754385964912</v>
      </c>
      <c r="E287" s="45" t="n">
        <f aca="false">INDEX('Transition Stepwise'!$J$2:$J$1137,MATCH(36&amp;"|"&amp;$A287&amp;"|"&amp;E$285,'Transition Stepwise'!$E$2:$E$1137,0))</f>
        <v>0.0175438596491228</v>
      </c>
      <c r="F287" s="38" t="n">
        <f aca="false">ROUND(SUM(B287:E287),9)</f>
        <v>1</v>
      </c>
    </row>
    <row r="288" customFormat="false" ht="15" hidden="false" customHeight="true" outlineLevel="0" collapsed="false">
      <c r="A288" s="41" t="s">
        <v>169</v>
      </c>
      <c r="B288" s="45" t="n">
        <f aca="false">INDEX('Transition Stepwise'!$J$2:$J$1137,MATCH(36&amp;"|"&amp;$A288&amp;"|"&amp;B$285,'Transition Stepwise'!$E$2:$E$1137,0))</f>
        <v>0.138888888888889</v>
      </c>
      <c r="C288" s="45" t="n">
        <f aca="false">INDEX('Transition Stepwise'!$J$2:$J$1137,MATCH(36&amp;"|"&amp;$A288&amp;"|"&amp;C$285,'Transition Stepwise'!$E$2:$E$1137,0))</f>
        <v>0.0277777777777778</v>
      </c>
      <c r="D288" s="45" t="n">
        <f aca="false">INDEX('Transition Stepwise'!$J$2:$J$1137,MATCH(36&amp;"|"&amp;$A288&amp;"|"&amp;D$285,'Transition Stepwise'!$E$2:$E$1137,0))</f>
        <v>0.805555555555556</v>
      </c>
      <c r="E288" s="45" t="n">
        <f aca="false">INDEX('Transition Stepwise'!$J$2:$J$1137,MATCH(36&amp;"|"&amp;$A288&amp;"|"&amp;E$285,'Transition Stepwise'!$E$2:$E$1137,0))</f>
        <v>0.0277777777777778</v>
      </c>
      <c r="F288" s="38" t="n">
        <f aca="false">ROUND(SUM(B288:E288),9)</f>
        <v>1</v>
      </c>
    </row>
    <row r="289" customFormat="false" ht="15" hidden="false" customHeight="true" outlineLevel="0" collapsed="false">
      <c r="A289" s="41" t="s">
        <v>171</v>
      </c>
      <c r="B289" s="45" t="n">
        <f aca="false">INDEX('Transition Stepwise'!$J$2:$J$1137,MATCH(36&amp;"|"&amp;$A289&amp;"|"&amp;B$285,'Transition Stepwise'!$E$2:$E$1137,0))</f>
        <v>0.96</v>
      </c>
      <c r="C289" s="45" t="n">
        <f aca="false">INDEX('Transition Stepwise'!$J$2:$J$1137,MATCH(36&amp;"|"&amp;$A289&amp;"|"&amp;C$285,'Transition Stepwise'!$E$2:$E$1137,0))</f>
        <v>0.0133333333333333</v>
      </c>
      <c r="D289" s="45" t="n">
        <f aca="false">INDEX('Transition Stepwise'!$J$2:$J$1137,MATCH(36&amp;"|"&amp;$A289&amp;"|"&amp;D$285,'Transition Stepwise'!$E$2:$E$1137,0))</f>
        <v>0.0133333333333333</v>
      </c>
      <c r="E289" s="45" t="n">
        <f aca="false">INDEX('Transition Stepwise'!$J$2:$J$1137,MATCH(36&amp;"|"&amp;$A289&amp;"|"&amp;E$285,'Transition Stepwise'!$E$2:$E$1137,0))</f>
        <v>0.0133333333333333</v>
      </c>
      <c r="F289" s="38" t="n">
        <f aca="false">ROUND(SUM(B289:E289),9)</f>
        <v>1</v>
      </c>
    </row>
    <row r="290" customFormat="false" ht="15" hidden="false" customHeight="true" outlineLevel="0" collapsed="false">
      <c r="A290" s="38"/>
      <c r="B290" s="38"/>
      <c r="C290" s="38"/>
      <c r="D290" s="38"/>
      <c r="E290" s="38"/>
      <c r="F290" s="38"/>
    </row>
    <row r="291" customFormat="false" ht="15" hidden="false" customHeight="true" outlineLevel="0" collapsed="false">
      <c r="A291" s="38"/>
      <c r="B291" s="38"/>
      <c r="C291" s="38"/>
      <c r="D291" s="38"/>
      <c r="E291" s="38"/>
      <c r="F291" s="38"/>
    </row>
    <row r="292" customFormat="false" ht="15" hidden="false" customHeight="true" outlineLevel="0" collapsed="false">
      <c r="A292" s="41" t="s">
        <v>730</v>
      </c>
      <c r="B292" s="38"/>
      <c r="C292" s="38"/>
      <c r="D292" s="38"/>
      <c r="E292" s="38"/>
      <c r="F292" s="38"/>
    </row>
    <row r="293" customFormat="false" ht="15" hidden="false" customHeight="true" outlineLevel="0" collapsed="false">
      <c r="A293" s="39" t="s">
        <v>693</v>
      </c>
      <c r="B293" s="39" t="s">
        <v>172</v>
      </c>
      <c r="C293" s="39" t="s">
        <v>170</v>
      </c>
      <c r="D293" s="39" t="s">
        <v>169</v>
      </c>
      <c r="E293" s="39" t="s">
        <v>171</v>
      </c>
      <c r="F293" s="39" t="s">
        <v>766</v>
      </c>
    </row>
    <row r="294" customFormat="false" ht="15" hidden="false" customHeight="true" outlineLevel="0" collapsed="false">
      <c r="A294" s="41" t="s">
        <v>172</v>
      </c>
      <c r="B294" s="45" t="n">
        <f aca="false">INDEX('Transition Stepwise'!$J$2:$J$1137,MATCH(37&amp;"|"&amp;$A294&amp;"|"&amp;B$293,'Transition Stepwise'!$E$2:$E$1137,0))</f>
        <v>0.746753246753247</v>
      </c>
      <c r="C294" s="45" t="n">
        <f aca="false">INDEX('Transition Stepwise'!$J$2:$J$1137,MATCH(37&amp;"|"&amp;$A294&amp;"|"&amp;C$293,'Transition Stepwise'!$E$2:$E$1137,0))</f>
        <v>0.149350649350649</v>
      </c>
      <c r="D294" s="45" t="n">
        <f aca="false">INDEX('Transition Stepwise'!$J$2:$J$1137,MATCH(37&amp;"|"&amp;$A294&amp;"|"&amp;D$293,'Transition Stepwise'!$E$2:$E$1137,0))</f>
        <v>0.00649350649350649</v>
      </c>
      <c r="E294" s="45" t="n">
        <f aca="false">INDEX('Transition Stepwise'!$J$2:$J$1137,MATCH(37&amp;"|"&amp;$A294&amp;"|"&amp;E$293,'Transition Stepwise'!$E$2:$E$1137,0))</f>
        <v>0.0974025974025974</v>
      </c>
      <c r="F294" s="38" t="n">
        <f aca="false">ROUND(SUM(B294:E294),9)</f>
        <v>1</v>
      </c>
    </row>
    <row r="295" customFormat="false" ht="15" hidden="false" customHeight="true" outlineLevel="0" collapsed="false">
      <c r="A295" s="41" t="s">
        <v>170</v>
      </c>
      <c r="B295" s="45" t="n">
        <f aca="false">INDEX('Transition Stepwise'!$J$2:$J$1137,MATCH(37&amp;"|"&amp;$A295&amp;"|"&amp;B$293,'Transition Stepwise'!$E$2:$E$1137,0))</f>
        <v>0.4</v>
      </c>
      <c r="C295" s="45" t="n">
        <f aca="false">INDEX('Transition Stepwise'!$J$2:$J$1137,MATCH(37&amp;"|"&amp;$A295&amp;"|"&amp;C$293,'Transition Stepwise'!$E$2:$E$1137,0))</f>
        <v>0.2</v>
      </c>
      <c r="D295" s="45" t="n">
        <f aca="false">INDEX('Transition Stepwise'!$J$2:$J$1137,MATCH(37&amp;"|"&amp;$A295&amp;"|"&amp;D$293,'Transition Stepwise'!$E$2:$E$1137,0))</f>
        <v>0.2</v>
      </c>
      <c r="E295" s="45" t="n">
        <f aca="false">INDEX('Transition Stepwise'!$J$2:$J$1137,MATCH(37&amp;"|"&amp;$A295&amp;"|"&amp;E$293,'Transition Stepwise'!$E$2:$E$1137,0))</f>
        <v>0.2</v>
      </c>
      <c r="F295" s="38" t="n">
        <f aca="false">ROUND(SUM(B295:E295),9)</f>
        <v>1</v>
      </c>
    </row>
    <row r="296" customFormat="false" ht="15" hidden="false" customHeight="true" outlineLevel="0" collapsed="false">
      <c r="A296" s="41" t="s">
        <v>169</v>
      </c>
      <c r="B296" s="45" t="n">
        <f aca="false">INDEX('Transition Stepwise'!$J$2:$J$1137,MATCH(37&amp;"|"&amp;$A296&amp;"|"&amp;B$293,'Transition Stepwise'!$E$2:$E$1137,0))</f>
        <v>0.615384615384615</v>
      </c>
      <c r="C296" s="45" t="n">
        <f aca="false">INDEX('Transition Stepwise'!$J$2:$J$1137,MATCH(37&amp;"|"&amp;$A296&amp;"|"&amp;C$293,'Transition Stepwise'!$E$2:$E$1137,0))</f>
        <v>0.153846153846154</v>
      </c>
      <c r="D296" s="45" t="n">
        <f aca="false">INDEX('Transition Stepwise'!$J$2:$J$1137,MATCH(37&amp;"|"&amp;$A296&amp;"|"&amp;D$293,'Transition Stepwise'!$E$2:$E$1137,0))</f>
        <v>0.0384615384615385</v>
      </c>
      <c r="E296" s="45" t="n">
        <f aca="false">INDEX('Transition Stepwise'!$J$2:$J$1137,MATCH(37&amp;"|"&amp;$A296&amp;"|"&amp;E$293,'Transition Stepwise'!$E$2:$E$1137,0))</f>
        <v>0.192307692307692</v>
      </c>
      <c r="F296" s="38" t="n">
        <f aca="false">ROUND(SUM(B296:E296),9)</f>
        <v>1</v>
      </c>
    </row>
    <row r="297" customFormat="false" ht="15" hidden="false" customHeight="true" outlineLevel="0" collapsed="false">
      <c r="A297" s="41" t="s">
        <v>171</v>
      </c>
      <c r="B297" s="45" t="n">
        <f aca="false">INDEX('Transition Stepwise'!$J$2:$J$1137,MATCH(37&amp;"|"&amp;$A297&amp;"|"&amp;B$293,'Transition Stepwise'!$E$2:$E$1137,0))</f>
        <v>0.25</v>
      </c>
      <c r="C297" s="45" t="n">
        <f aca="false">INDEX('Transition Stepwise'!$J$2:$J$1137,MATCH(37&amp;"|"&amp;$A297&amp;"|"&amp;C$293,'Transition Stepwise'!$E$2:$E$1137,0))</f>
        <v>0.25</v>
      </c>
      <c r="D297" s="45" t="n">
        <f aca="false">INDEX('Transition Stepwise'!$J$2:$J$1137,MATCH(37&amp;"|"&amp;$A297&amp;"|"&amp;D$293,'Transition Stepwise'!$E$2:$E$1137,0))</f>
        <v>0.25</v>
      </c>
      <c r="E297" s="45" t="n">
        <f aca="false">INDEX('Transition Stepwise'!$J$2:$J$1137,MATCH(37&amp;"|"&amp;$A297&amp;"|"&amp;E$293,'Transition Stepwise'!$E$2:$E$1137,0))</f>
        <v>0.25</v>
      </c>
      <c r="F297" s="38" t="n">
        <f aca="false">ROUND(SUM(B297:E297),9)</f>
        <v>1</v>
      </c>
    </row>
    <row r="298" customFormat="false" ht="15" hidden="false" customHeight="true" outlineLevel="0" collapsed="false">
      <c r="A298" s="38"/>
      <c r="B298" s="38"/>
      <c r="C298" s="38"/>
      <c r="D298" s="38"/>
      <c r="E298" s="38"/>
      <c r="F298" s="38"/>
    </row>
    <row r="299" customFormat="false" ht="15" hidden="false" customHeight="true" outlineLevel="0" collapsed="false">
      <c r="A299" s="38"/>
      <c r="B299" s="38"/>
      <c r="C299" s="38"/>
      <c r="D299" s="38"/>
      <c r="E299" s="38"/>
      <c r="F299" s="38"/>
    </row>
    <row r="300" customFormat="false" ht="15" hidden="false" customHeight="true" outlineLevel="0" collapsed="false">
      <c r="A300" s="41" t="s">
        <v>731</v>
      </c>
      <c r="B300" s="38"/>
      <c r="C300" s="38"/>
      <c r="D300" s="38"/>
      <c r="E300" s="38"/>
      <c r="F300" s="38"/>
    </row>
    <row r="301" customFormat="false" ht="15" hidden="false" customHeight="true" outlineLevel="0" collapsed="false">
      <c r="A301" s="39" t="s">
        <v>693</v>
      </c>
      <c r="B301" s="39" t="s">
        <v>172</v>
      </c>
      <c r="C301" s="39" t="s">
        <v>170</v>
      </c>
      <c r="D301" s="39" t="s">
        <v>169</v>
      </c>
      <c r="E301" s="39" t="s">
        <v>171</v>
      </c>
      <c r="F301" s="39" t="s">
        <v>766</v>
      </c>
    </row>
    <row r="302" customFormat="false" ht="15" hidden="false" customHeight="true" outlineLevel="0" collapsed="false">
      <c r="A302" s="41" t="s">
        <v>172</v>
      </c>
      <c r="B302" s="45" t="n">
        <f aca="false">INDEX('Transition Stepwise'!$J$2:$J$1137,MATCH(38&amp;"|"&amp;$A302&amp;"|"&amp;B$301,'Transition Stepwise'!$E$2:$E$1137,0))</f>
        <v>0.113333333333333</v>
      </c>
      <c r="C302" s="45" t="n">
        <f aca="false">INDEX('Transition Stepwise'!$J$2:$J$1137,MATCH(38&amp;"|"&amp;$A302&amp;"|"&amp;C$301,'Transition Stepwise'!$E$2:$E$1137,0))</f>
        <v>0.26</v>
      </c>
      <c r="D302" s="45" t="n">
        <f aca="false">INDEX('Transition Stepwise'!$J$2:$J$1137,MATCH(38&amp;"|"&amp;$A302&amp;"|"&amp;D$301,'Transition Stepwise'!$E$2:$E$1137,0))</f>
        <v>0.286666666666667</v>
      </c>
      <c r="E302" s="45" t="n">
        <f aca="false">INDEX('Transition Stepwise'!$J$2:$J$1137,MATCH(38&amp;"|"&amp;$A302&amp;"|"&amp;E$301,'Transition Stepwise'!$E$2:$E$1137,0))</f>
        <v>0.34</v>
      </c>
      <c r="F302" s="38" t="n">
        <f aca="false">ROUND(SUM(B302:E302),9)</f>
        <v>1</v>
      </c>
    </row>
    <row r="303" customFormat="false" ht="15" hidden="false" customHeight="true" outlineLevel="0" collapsed="false">
      <c r="A303" s="41" t="s">
        <v>170</v>
      </c>
      <c r="B303" s="45" t="n">
        <f aca="false">INDEX('Transition Stepwise'!$J$2:$J$1137,MATCH(38&amp;"|"&amp;$A303&amp;"|"&amp;B$301,'Transition Stepwise'!$E$2:$E$1137,0))</f>
        <v>0.0303030303030303</v>
      </c>
      <c r="C303" s="45" t="n">
        <f aca="false">INDEX('Transition Stepwise'!$J$2:$J$1137,MATCH(38&amp;"|"&amp;$A303&amp;"|"&amp;C$301,'Transition Stepwise'!$E$2:$E$1137,0))</f>
        <v>0.272727272727273</v>
      </c>
      <c r="D303" s="45" t="n">
        <f aca="false">INDEX('Transition Stepwise'!$J$2:$J$1137,MATCH(38&amp;"|"&amp;$A303&amp;"|"&amp;D$301,'Transition Stepwise'!$E$2:$E$1137,0))</f>
        <v>0.515151515151515</v>
      </c>
      <c r="E303" s="45" t="n">
        <f aca="false">INDEX('Transition Stepwise'!$J$2:$J$1137,MATCH(38&amp;"|"&amp;$A303&amp;"|"&amp;E$301,'Transition Stepwise'!$E$2:$E$1137,0))</f>
        <v>0.181818181818182</v>
      </c>
      <c r="F303" s="38" t="n">
        <f aca="false">ROUND(SUM(B303:E303),9)</f>
        <v>1</v>
      </c>
    </row>
    <row r="304" customFormat="false" ht="15" hidden="false" customHeight="true" outlineLevel="0" collapsed="false">
      <c r="A304" s="41" t="s">
        <v>169</v>
      </c>
      <c r="B304" s="45" t="n">
        <f aca="false">INDEX('Transition Stepwise'!$J$2:$J$1137,MATCH(38&amp;"|"&amp;$A304&amp;"|"&amp;B$301,'Transition Stepwise'!$E$2:$E$1137,0))</f>
        <v>0.2</v>
      </c>
      <c r="C304" s="45" t="n">
        <f aca="false">INDEX('Transition Stepwise'!$J$2:$J$1137,MATCH(38&amp;"|"&amp;$A304&amp;"|"&amp;C$301,'Transition Stepwise'!$E$2:$E$1137,0))</f>
        <v>0.2</v>
      </c>
      <c r="D304" s="45" t="n">
        <f aca="false">INDEX('Transition Stepwise'!$J$2:$J$1137,MATCH(38&amp;"|"&amp;$A304&amp;"|"&amp;D$301,'Transition Stepwise'!$E$2:$E$1137,0))</f>
        <v>0.2</v>
      </c>
      <c r="E304" s="45" t="n">
        <f aca="false">INDEX('Transition Stepwise'!$J$2:$J$1137,MATCH(38&amp;"|"&amp;$A304&amp;"|"&amp;E$301,'Transition Stepwise'!$E$2:$E$1137,0))</f>
        <v>0.4</v>
      </c>
      <c r="F304" s="38" t="n">
        <f aca="false">ROUND(SUM(B304:E304),9)</f>
        <v>1</v>
      </c>
    </row>
    <row r="305" customFormat="false" ht="15" hidden="false" customHeight="true" outlineLevel="0" collapsed="false">
      <c r="A305" s="41" t="s">
        <v>171</v>
      </c>
      <c r="B305" s="45" t="n">
        <f aca="false">INDEX('Transition Stepwise'!$J$2:$J$1137,MATCH(38&amp;"|"&amp;$A305&amp;"|"&amp;B$301,'Transition Stepwise'!$E$2:$E$1137,0))</f>
        <v>0.111111111111111</v>
      </c>
      <c r="C305" s="45" t="n">
        <f aca="false">INDEX('Transition Stepwise'!$J$2:$J$1137,MATCH(38&amp;"|"&amp;$A305&amp;"|"&amp;C$301,'Transition Stepwise'!$E$2:$E$1137,0))</f>
        <v>0.185185185185185</v>
      </c>
      <c r="D305" s="45" t="n">
        <f aca="false">INDEX('Transition Stepwise'!$J$2:$J$1137,MATCH(38&amp;"|"&amp;$A305&amp;"|"&amp;D$301,'Transition Stepwise'!$E$2:$E$1137,0))</f>
        <v>0.555555555555556</v>
      </c>
      <c r="E305" s="45" t="n">
        <f aca="false">INDEX('Transition Stepwise'!$J$2:$J$1137,MATCH(38&amp;"|"&amp;$A305&amp;"|"&amp;E$301,'Transition Stepwise'!$E$2:$E$1137,0))</f>
        <v>0.148148148148148</v>
      </c>
      <c r="F305" s="38" t="n">
        <f aca="false">ROUND(SUM(B305:E305),9)</f>
        <v>1</v>
      </c>
    </row>
    <row r="306" customFormat="false" ht="15" hidden="false" customHeight="true" outlineLevel="0" collapsed="false">
      <c r="A306" s="38"/>
      <c r="B306" s="38"/>
      <c r="C306" s="38"/>
      <c r="D306" s="38"/>
      <c r="E306" s="38"/>
      <c r="F306" s="38"/>
    </row>
    <row r="307" customFormat="false" ht="15" hidden="false" customHeight="true" outlineLevel="0" collapsed="false">
      <c r="A307" s="38"/>
      <c r="B307" s="38"/>
      <c r="C307" s="38"/>
      <c r="D307" s="38"/>
      <c r="E307" s="38"/>
      <c r="F307" s="38"/>
    </row>
    <row r="308" customFormat="false" ht="15" hidden="false" customHeight="true" outlineLevel="0" collapsed="false">
      <c r="A308" s="41" t="s">
        <v>732</v>
      </c>
      <c r="B308" s="38"/>
      <c r="C308" s="38"/>
      <c r="D308" s="38"/>
      <c r="E308" s="38"/>
      <c r="F308" s="38"/>
    </row>
    <row r="309" customFormat="false" ht="15" hidden="false" customHeight="true" outlineLevel="0" collapsed="false">
      <c r="A309" s="39" t="s">
        <v>693</v>
      </c>
      <c r="B309" s="39" t="s">
        <v>172</v>
      </c>
      <c r="C309" s="39" t="s">
        <v>170</v>
      </c>
      <c r="D309" s="39" t="s">
        <v>169</v>
      </c>
      <c r="E309" s="39" t="s">
        <v>171</v>
      </c>
      <c r="F309" s="39" t="s">
        <v>766</v>
      </c>
    </row>
    <row r="310" customFormat="false" ht="15" hidden="false" customHeight="true" outlineLevel="0" collapsed="false">
      <c r="A310" s="41" t="s">
        <v>172</v>
      </c>
      <c r="B310" s="45" t="n">
        <f aca="false">INDEX('Transition Stepwise'!$J$2:$J$1137,MATCH(39&amp;"|"&amp;$A310&amp;"|"&amp;B$309,'Transition Stepwise'!$E$2:$E$1137,0))</f>
        <v>0.0454545454545455</v>
      </c>
      <c r="C310" s="45" t="n">
        <f aca="false">INDEX('Transition Stepwise'!$J$2:$J$1137,MATCH(39&amp;"|"&amp;$A310&amp;"|"&amp;C$309,'Transition Stepwise'!$E$2:$E$1137,0))</f>
        <v>0.681818181818182</v>
      </c>
      <c r="D310" s="45" t="n">
        <f aca="false">INDEX('Transition Stepwise'!$J$2:$J$1137,MATCH(39&amp;"|"&amp;$A310&amp;"|"&amp;D$309,'Transition Stepwise'!$E$2:$E$1137,0))</f>
        <v>0.136363636363636</v>
      </c>
      <c r="E310" s="45" t="n">
        <f aca="false">INDEX('Transition Stepwise'!$J$2:$J$1137,MATCH(39&amp;"|"&amp;$A310&amp;"|"&amp;E$309,'Transition Stepwise'!$E$2:$E$1137,0))</f>
        <v>0.136363636363636</v>
      </c>
      <c r="F310" s="38" t="n">
        <f aca="false">ROUND(SUM(B310:E310),9)</f>
        <v>1</v>
      </c>
    </row>
    <row r="311" customFormat="false" ht="15" hidden="false" customHeight="true" outlineLevel="0" collapsed="false">
      <c r="A311" s="41" t="s">
        <v>170</v>
      </c>
      <c r="B311" s="45" t="n">
        <f aca="false">INDEX('Transition Stepwise'!$J$2:$J$1137,MATCH(39&amp;"|"&amp;$A311&amp;"|"&amp;B$309,'Transition Stepwise'!$E$2:$E$1137,0))</f>
        <v>0.0185185185185185</v>
      </c>
      <c r="C311" s="45" t="n">
        <f aca="false">INDEX('Transition Stepwise'!$J$2:$J$1137,MATCH(39&amp;"|"&amp;$A311&amp;"|"&amp;C$309,'Transition Stepwise'!$E$2:$E$1137,0))</f>
        <v>0.722222222222222</v>
      </c>
      <c r="D311" s="45" t="n">
        <f aca="false">INDEX('Transition Stepwise'!$J$2:$J$1137,MATCH(39&amp;"|"&amp;$A311&amp;"|"&amp;D$309,'Transition Stepwise'!$E$2:$E$1137,0))</f>
        <v>0.240740740740741</v>
      </c>
      <c r="E311" s="45" t="n">
        <f aca="false">INDEX('Transition Stepwise'!$J$2:$J$1137,MATCH(39&amp;"|"&amp;$A311&amp;"|"&amp;E$309,'Transition Stepwise'!$E$2:$E$1137,0))</f>
        <v>0.0185185185185185</v>
      </c>
      <c r="F311" s="38" t="n">
        <f aca="false">ROUND(SUM(B311:E311),9)</f>
        <v>1</v>
      </c>
    </row>
    <row r="312" customFormat="false" ht="15" hidden="false" customHeight="true" outlineLevel="0" collapsed="false">
      <c r="A312" s="41" t="s">
        <v>169</v>
      </c>
      <c r="B312" s="45" t="n">
        <f aca="false">INDEX('Transition Stepwise'!$J$2:$J$1137,MATCH(39&amp;"|"&amp;$A312&amp;"|"&amp;B$309,'Transition Stepwise'!$E$2:$E$1137,0))</f>
        <v>0.0131578947368421</v>
      </c>
      <c r="C312" s="45" t="n">
        <f aca="false">INDEX('Transition Stepwise'!$J$2:$J$1137,MATCH(39&amp;"|"&amp;$A312&amp;"|"&amp;C$309,'Transition Stepwise'!$E$2:$E$1137,0))</f>
        <v>0.526315789473684</v>
      </c>
      <c r="D312" s="45" t="n">
        <f aca="false">INDEX('Transition Stepwise'!$J$2:$J$1137,MATCH(39&amp;"|"&amp;$A312&amp;"|"&amp;D$309,'Transition Stepwise'!$E$2:$E$1137,0))</f>
        <v>0.381578947368421</v>
      </c>
      <c r="E312" s="45" t="n">
        <f aca="false">INDEX('Transition Stepwise'!$J$2:$J$1137,MATCH(39&amp;"|"&amp;$A312&amp;"|"&amp;E$309,'Transition Stepwise'!$E$2:$E$1137,0))</f>
        <v>0.0789473684210526</v>
      </c>
      <c r="F312" s="38" t="n">
        <f aca="false">ROUND(SUM(B312:E312),9)</f>
        <v>1</v>
      </c>
    </row>
    <row r="313" customFormat="false" ht="15" hidden="false" customHeight="true" outlineLevel="0" collapsed="false">
      <c r="A313" s="41" t="s">
        <v>171</v>
      </c>
      <c r="B313" s="45" t="n">
        <f aca="false">INDEX('Transition Stepwise'!$J$2:$J$1137,MATCH(39&amp;"|"&amp;$A313&amp;"|"&amp;B$309,'Transition Stepwise'!$E$2:$E$1137,0))</f>
        <v>0.0317460317460317</v>
      </c>
      <c r="C313" s="45" t="n">
        <f aca="false">INDEX('Transition Stepwise'!$J$2:$J$1137,MATCH(39&amp;"|"&amp;$A313&amp;"|"&amp;C$309,'Transition Stepwise'!$E$2:$E$1137,0))</f>
        <v>0.841269841269841</v>
      </c>
      <c r="D313" s="45" t="n">
        <f aca="false">INDEX('Transition Stepwise'!$J$2:$J$1137,MATCH(39&amp;"|"&amp;$A313&amp;"|"&amp;D$309,'Transition Stepwise'!$E$2:$E$1137,0))</f>
        <v>0.0952380952380952</v>
      </c>
      <c r="E313" s="45" t="n">
        <f aca="false">INDEX('Transition Stepwise'!$J$2:$J$1137,MATCH(39&amp;"|"&amp;$A313&amp;"|"&amp;E$309,'Transition Stepwise'!$E$2:$E$1137,0))</f>
        <v>0.0317460317460317</v>
      </c>
      <c r="F313" s="38" t="n">
        <f aca="false">ROUND(SUM(B313:E313),9)</f>
        <v>1</v>
      </c>
    </row>
    <row r="314" customFormat="false" ht="15" hidden="false" customHeight="true" outlineLevel="0" collapsed="false">
      <c r="A314" s="38"/>
      <c r="B314" s="38"/>
      <c r="C314" s="38"/>
      <c r="D314" s="38"/>
      <c r="E314" s="38"/>
      <c r="F314" s="38"/>
    </row>
    <row r="315" customFormat="false" ht="15" hidden="false" customHeight="true" outlineLevel="0" collapsed="false">
      <c r="A315" s="38"/>
      <c r="B315" s="38"/>
      <c r="C315" s="38"/>
      <c r="D315" s="38"/>
      <c r="E315" s="38"/>
      <c r="F315" s="38"/>
    </row>
    <row r="316" customFormat="false" ht="15" hidden="false" customHeight="true" outlineLevel="0" collapsed="false">
      <c r="A316" s="41" t="s">
        <v>733</v>
      </c>
      <c r="B316" s="38"/>
      <c r="C316" s="38"/>
      <c r="D316" s="38"/>
      <c r="E316" s="38"/>
      <c r="F316" s="38"/>
    </row>
    <row r="317" customFormat="false" ht="15" hidden="false" customHeight="true" outlineLevel="0" collapsed="false">
      <c r="A317" s="39" t="s">
        <v>693</v>
      </c>
      <c r="B317" s="39" t="s">
        <v>172</v>
      </c>
      <c r="C317" s="39" t="s">
        <v>170</v>
      </c>
      <c r="D317" s="39" t="s">
        <v>169</v>
      </c>
      <c r="E317" s="39" t="s">
        <v>171</v>
      </c>
      <c r="F317" s="39" t="s">
        <v>766</v>
      </c>
    </row>
    <row r="318" customFormat="false" ht="15" hidden="false" customHeight="true" outlineLevel="0" collapsed="false">
      <c r="A318" s="41" t="s">
        <v>172</v>
      </c>
      <c r="B318" s="45" t="n">
        <f aca="false">INDEX('Transition Stepwise'!$J$2:$J$1137,MATCH(40&amp;"|"&amp;$A318&amp;"|"&amp;B$317,'Transition Stepwise'!$E$2:$E$1137,0))</f>
        <v>0.2</v>
      </c>
      <c r="C318" s="45" t="n">
        <f aca="false">INDEX('Transition Stepwise'!$J$2:$J$1137,MATCH(40&amp;"|"&amp;$A318&amp;"|"&amp;C$317,'Transition Stepwise'!$E$2:$E$1137,0))</f>
        <v>0.4</v>
      </c>
      <c r="D318" s="45" t="n">
        <f aca="false">INDEX('Transition Stepwise'!$J$2:$J$1137,MATCH(40&amp;"|"&amp;$A318&amp;"|"&amp;D$317,'Transition Stepwise'!$E$2:$E$1137,0))</f>
        <v>0.2</v>
      </c>
      <c r="E318" s="45" t="n">
        <f aca="false">INDEX('Transition Stepwise'!$J$2:$J$1137,MATCH(40&amp;"|"&amp;$A318&amp;"|"&amp;E$317,'Transition Stepwise'!$E$2:$E$1137,0))</f>
        <v>0.2</v>
      </c>
      <c r="F318" s="38" t="n">
        <f aca="false">ROUND(SUM(B318:E318),9)</f>
        <v>1</v>
      </c>
    </row>
    <row r="319" customFormat="false" ht="15" hidden="false" customHeight="true" outlineLevel="0" collapsed="false">
      <c r="A319" s="41" t="s">
        <v>170</v>
      </c>
      <c r="B319" s="45" t="n">
        <f aca="false">INDEX('Transition Stepwise'!$J$2:$J$1137,MATCH(40&amp;"|"&amp;$A319&amp;"|"&amp;B$317,'Transition Stepwise'!$E$2:$E$1137,0))</f>
        <v>0.238095238095238</v>
      </c>
      <c r="C319" s="45" t="n">
        <f aca="false">INDEX('Transition Stepwise'!$J$2:$J$1137,MATCH(40&amp;"|"&amp;$A319&amp;"|"&amp;C$317,'Transition Stepwise'!$E$2:$E$1137,0))</f>
        <v>0.394557823129252</v>
      </c>
      <c r="D319" s="45" t="n">
        <f aca="false">INDEX('Transition Stepwise'!$J$2:$J$1137,MATCH(40&amp;"|"&amp;$A319&amp;"|"&amp;D$317,'Transition Stepwise'!$E$2:$E$1137,0))</f>
        <v>0.19047619047619</v>
      </c>
      <c r="E319" s="45" t="n">
        <f aca="false">INDEX('Transition Stepwise'!$J$2:$J$1137,MATCH(40&amp;"|"&amp;$A319&amp;"|"&amp;E$317,'Transition Stepwise'!$E$2:$E$1137,0))</f>
        <v>0.17687074829932</v>
      </c>
      <c r="F319" s="38" t="n">
        <f aca="false">ROUND(SUM(B319:E319),9)</f>
        <v>1</v>
      </c>
    </row>
    <row r="320" customFormat="false" ht="15" hidden="false" customHeight="true" outlineLevel="0" collapsed="false">
      <c r="A320" s="41" t="s">
        <v>169</v>
      </c>
      <c r="B320" s="45" t="n">
        <f aca="false">INDEX('Transition Stepwise'!$J$2:$J$1137,MATCH(40&amp;"|"&amp;$A320&amp;"|"&amp;B$317,'Transition Stepwise'!$E$2:$E$1137,0))</f>
        <v>0.372549019607843</v>
      </c>
      <c r="C320" s="45" t="n">
        <f aca="false">INDEX('Transition Stepwise'!$J$2:$J$1137,MATCH(40&amp;"|"&amp;$A320&amp;"|"&amp;C$317,'Transition Stepwise'!$E$2:$E$1137,0))</f>
        <v>0.313725490196078</v>
      </c>
      <c r="D320" s="45" t="n">
        <f aca="false">INDEX('Transition Stepwise'!$J$2:$J$1137,MATCH(40&amp;"|"&amp;$A320&amp;"|"&amp;D$317,'Transition Stepwise'!$E$2:$E$1137,0))</f>
        <v>0.137254901960784</v>
      </c>
      <c r="E320" s="45" t="n">
        <f aca="false">INDEX('Transition Stepwise'!$J$2:$J$1137,MATCH(40&amp;"|"&amp;$A320&amp;"|"&amp;E$317,'Transition Stepwise'!$E$2:$E$1137,0))</f>
        <v>0.176470588235294</v>
      </c>
      <c r="F320" s="38" t="n">
        <f aca="false">ROUND(SUM(B320:E320),9)</f>
        <v>1</v>
      </c>
    </row>
    <row r="321" customFormat="false" ht="15" hidden="false" customHeight="true" outlineLevel="0" collapsed="false">
      <c r="A321" s="41" t="s">
        <v>171</v>
      </c>
      <c r="B321" s="45" t="n">
        <f aca="false">INDEX('Transition Stepwise'!$J$2:$J$1137,MATCH(40&amp;"|"&amp;$A321&amp;"|"&amp;B$317,'Transition Stepwise'!$E$2:$E$1137,0))</f>
        <v>0.25</v>
      </c>
      <c r="C321" s="45" t="n">
        <f aca="false">INDEX('Transition Stepwise'!$J$2:$J$1137,MATCH(40&amp;"|"&amp;$A321&amp;"|"&amp;C$317,'Transition Stepwise'!$E$2:$E$1137,0))</f>
        <v>0.416666666666667</v>
      </c>
      <c r="D321" s="45" t="n">
        <f aca="false">INDEX('Transition Stepwise'!$J$2:$J$1137,MATCH(40&amp;"|"&amp;$A321&amp;"|"&amp;D$317,'Transition Stepwise'!$E$2:$E$1137,0))</f>
        <v>0.25</v>
      </c>
      <c r="E321" s="45" t="n">
        <f aca="false">INDEX('Transition Stepwise'!$J$2:$J$1137,MATCH(40&amp;"|"&amp;$A321&amp;"|"&amp;E$317,'Transition Stepwise'!$E$2:$E$1137,0))</f>
        <v>0.0833333333333333</v>
      </c>
      <c r="F321" s="38" t="n">
        <f aca="false">ROUND(SUM(B321:E321),9)</f>
        <v>1</v>
      </c>
    </row>
    <row r="322" customFormat="false" ht="15" hidden="false" customHeight="true" outlineLevel="0" collapsed="false">
      <c r="A322" s="38"/>
      <c r="B322" s="38"/>
      <c r="C322" s="38"/>
      <c r="D322" s="38"/>
      <c r="E322" s="38"/>
      <c r="F322" s="38"/>
    </row>
    <row r="323" customFormat="false" ht="15" hidden="false" customHeight="true" outlineLevel="0" collapsed="false">
      <c r="A323" s="38"/>
      <c r="B323" s="38"/>
      <c r="C323" s="38"/>
      <c r="D323" s="38"/>
      <c r="E323" s="38"/>
      <c r="F323" s="38"/>
    </row>
    <row r="324" customFormat="false" ht="15" hidden="false" customHeight="true" outlineLevel="0" collapsed="false">
      <c r="A324" s="41" t="s">
        <v>734</v>
      </c>
      <c r="B324" s="38"/>
      <c r="C324" s="38"/>
      <c r="D324" s="38"/>
      <c r="E324" s="38"/>
      <c r="F324" s="38"/>
    </row>
    <row r="325" customFormat="false" ht="15" hidden="false" customHeight="true" outlineLevel="0" collapsed="false">
      <c r="A325" s="39" t="s">
        <v>693</v>
      </c>
      <c r="B325" s="39" t="s">
        <v>172</v>
      </c>
      <c r="C325" s="39" t="s">
        <v>170</v>
      </c>
      <c r="D325" s="39" t="s">
        <v>169</v>
      </c>
      <c r="E325" s="39" t="s">
        <v>171</v>
      </c>
      <c r="F325" s="39" t="s">
        <v>766</v>
      </c>
    </row>
    <row r="326" customFormat="false" ht="15" hidden="false" customHeight="true" outlineLevel="0" collapsed="false">
      <c r="A326" s="41" t="s">
        <v>172</v>
      </c>
      <c r="B326" s="45" t="n">
        <f aca="false">INDEX('Transition Stepwise'!$J$2:$J$1137,MATCH(41&amp;"|"&amp;$A326&amp;"|"&amp;B$325,'Transition Stepwise'!$E$2:$E$1137,0))</f>
        <v>0.258620689655172</v>
      </c>
      <c r="C326" s="45" t="n">
        <f aca="false">INDEX('Transition Stepwise'!$J$2:$J$1137,MATCH(41&amp;"|"&amp;$A326&amp;"|"&amp;C$325,'Transition Stepwise'!$E$2:$E$1137,0))</f>
        <v>0.0344827586206897</v>
      </c>
      <c r="D326" s="45" t="n">
        <f aca="false">INDEX('Transition Stepwise'!$J$2:$J$1137,MATCH(41&amp;"|"&amp;$A326&amp;"|"&amp;D$325,'Transition Stepwise'!$E$2:$E$1137,0))</f>
        <v>0.53448275862069</v>
      </c>
      <c r="E326" s="45" t="n">
        <f aca="false">INDEX('Transition Stepwise'!$J$2:$J$1137,MATCH(41&amp;"|"&amp;$A326&amp;"|"&amp;E$325,'Transition Stepwise'!$E$2:$E$1137,0))</f>
        <v>0.172413793103448</v>
      </c>
      <c r="F326" s="38" t="n">
        <f aca="false">ROUND(SUM(B326:E326),9)</f>
        <v>1</v>
      </c>
    </row>
    <row r="327" customFormat="false" ht="15" hidden="false" customHeight="true" outlineLevel="0" collapsed="false">
      <c r="A327" s="41" t="s">
        <v>170</v>
      </c>
      <c r="B327" s="45" t="n">
        <f aca="false">INDEX('Transition Stepwise'!$J$2:$J$1137,MATCH(41&amp;"|"&amp;$A327&amp;"|"&amp;B$325,'Transition Stepwise'!$E$2:$E$1137,0))</f>
        <v>0.209876543209877</v>
      </c>
      <c r="C327" s="45" t="n">
        <f aca="false">INDEX('Transition Stepwise'!$J$2:$J$1137,MATCH(41&amp;"|"&amp;$A327&amp;"|"&amp;C$325,'Transition Stepwise'!$E$2:$E$1137,0))</f>
        <v>0.135802469135802</v>
      </c>
      <c r="D327" s="45" t="n">
        <f aca="false">INDEX('Transition Stepwise'!$J$2:$J$1137,MATCH(41&amp;"|"&amp;$A327&amp;"|"&amp;D$325,'Transition Stepwise'!$E$2:$E$1137,0))</f>
        <v>0.592592592592593</v>
      </c>
      <c r="E327" s="45" t="n">
        <f aca="false">INDEX('Transition Stepwise'!$J$2:$J$1137,MATCH(41&amp;"|"&amp;$A327&amp;"|"&amp;E$325,'Transition Stepwise'!$E$2:$E$1137,0))</f>
        <v>0.0617283950617284</v>
      </c>
      <c r="F327" s="38" t="n">
        <f aca="false">ROUND(SUM(B327:E327),9)</f>
        <v>1</v>
      </c>
    </row>
    <row r="328" customFormat="false" ht="15" hidden="false" customHeight="true" outlineLevel="0" collapsed="false">
      <c r="A328" s="41" t="s">
        <v>169</v>
      </c>
      <c r="B328" s="45" t="n">
        <f aca="false">INDEX('Transition Stepwise'!$J$2:$J$1137,MATCH(41&amp;"|"&amp;$A328&amp;"|"&amp;B$325,'Transition Stepwise'!$E$2:$E$1137,0))</f>
        <v>0.307692307692308</v>
      </c>
      <c r="C328" s="45" t="n">
        <f aca="false">INDEX('Transition Stepwise'!$J$2:$J$1137,MATCH(41&amp;"|"&amp;$A328&amp;"|"&amp;C$325,'Transition Stepwise'!$E$2:$E$1137,0))</f>
        <v>0.128205128205128</v>
      </c>
      <c r="D328" s="45" t="n">
        <f aca="false">INDEX('Transition Stepwise'!$J$2:$J$1137,MATCH(41&amp;"|"&amp;$A328&amp;"|"&amp;D$325,'Transition Stepwise'!$E$2:$E$1137,0))</f>
        <v>0.282051282051282</v>
      </c>
      <c r="E328" s="45" t="n">
        <f aca="false">INDEX('Transition Stepwise'!$J$2:$J$1137,MATCH(41&amp;"|"&amp;$A328&amp;"|"&amp;E$325,'Transition Stepwise'!$E$2:$E$1137,0))</f>
        <v>0.282051282051282</v>
      </c>
      <c r="F328" s="38" t="n">
        <f aca="false">ROUND(SUM(B328:E328),9)</f>
        <v>1</v>
      </c>
    </row>
    <row r="329" customFormat="false" ht="15" hidden="false" customHeight="true" outlineLevel="0" collapsed="false">
      <c r="A329" s="41" t="s">
        <v>171</v>
      </c>
      <c r="B329" s="45" t="n">
        <f aca="false">INDEX('Transition Stepwise'!$J$2:$J$1137,MATCH(41&amp;"|"&amp;$A329&amp;"|"&amp;B$325,'Transition Stepwise'!$E$2:$E$1137,0))</f>
        <v>0.216216216216216</v>
      </c>
      <c r="C329" s="45" t="n">
        <f aca="false">INDEX('Transition Stepwise'!$J$2:$J$1137,MATCH(41&amp;"|"&amp;$A329&amp;"|"&amp;C$325,'Transition Stepwise'!$E$2:$E$1137,0))</f>
        <v>0.162162162162162</v>
      </c>
      <c r="D329" s="45" t="n">
        <f aca="false">INDEX('Transition Stepwise'!$J$2:$J$1137,MATCH(41&amp;"|"&amp;$A329&amp;"|"&amp;D$325,'Transition Stepwise'!$E$2:$E$1137,0))</f>
        <v>0.513513513513514</v>
      </c>
      <c r="E329" s="45" t="n">
        <f aca="false">INDEX('Transition Stepwise'!$J$2:$J$1137,MATCH(41&amp;"|"&amp;$A329&amp;"|"&amp;E$325,'Transition Stepwise'!$E$2:$E$1137,0))</f>
        <v>0.108108108108108</v>
      </c>
      <c r="F329" s="38" t="n">
        <f aca="false">ROUND(SUM(B329:E329),9)</f>
        <v>1</v>
      </c>
    </row>
    <row r="330" customFormat="false" ht="15" hidden="false" customHeight="true" outlineLevel="0" collapsed="false">
      <c r="A330" s="38"/>
      <c r="B330" s="38"/>
      <c r="C330" s="38"/>
      <c r="D330" s="38"/>
      <c r="E330" s="38"/>
      <c r="F330" s="38"/>
    </row>
    <row r="331" customFormat="false" ht="15" hidden="false" customHeight="true" outlineLevel="0" collapsed="false">
      <c r="A331" s="38"/>
      <c r="B331" s="38"/>
      <c r="C331" s="38"/>
      <c r="D331" s="38"/>
      <c r="E331" s="38"/>
      <c r="F331" s="38"/>
    </row>
    <row r="332" customFormat="false" ht="15" hidden="false" customHeight="true" outlineLevel="0" collapsed="false">
      <c r="A332" s="41" t="s">
        <v>735</v>
      </c>
      <c r="B332" s="38"/>
      <c r="C332" s="38"/>
      <c r="D332" s="38"/>
      <c r="E332" s="38"/>
      <c r="F332" s="38"/>
    </row>
    <row r="333" customFormat="false" ht="15" hidden="false" customHeight="true" outlineLevel="0" collapsed="false">
      <c r="A333" s="39" t="s">
        <v>693</v>
      </c>
      <c r="B333" s="39" t="s">
        <v>172</v>
      </c>
      <c r="C333" s="39" t="s">
        <v>170</v>
      </c>
      <c r="D333" s="39" t="s">
        <v>169</v>
      </c>
      <c r="E333" s="39" t="s">
        <v>171</v>
      </c>
      <c r="F333" s="39" t="s">
        <v>766</v>
      </c>
    </row>
    <row r="334" customFormat="false" ht="15" hidden="false" customHeight="true" outlineLevel="0" collapsed="false">
      <c r="A334" s="41" t="s">
        <v>172</v>
      </c>
      <c r="B334" s="45" t="n">
        <f aca="false">INDEX('Transition Stepwise'!$J$2:$J$1137,MATCH(42&amp;"|"&amp;$A334&amp;"|"&amp;B$333,'Transition Stepwise'!$E$2:$E$1137,0))</f>
        <v>0.269230769230769</v>
      </c>
      <c r="C334" s="45" t="n">
        <f aca="false">INDEX('Transition Stepwise'!$J$2:$J$1137,MATCH(42&amp;"|"&amp;$A334&amp;"|"&amp;C$333,'Transition Stepwise'!$E$2:$E$1137,0))</f>
        <v>0.0192307692307692</v>
      </c>
      <c r="D334" s="45" t="n">
        <f aca="false">INDEX('Transition Stepwise'!$J$2:$J$1137,MATCH(42&amp;"|"&amp;$A334&amp;"|"&amp;D$333,'Transition Stepwise'!$E$2:$E$1137,0))</f>
        <v>0.596153846153846</v>
      </c>
      <c r="E334" s="45" t="n">
        <f aca="false">INDEX('Transition Stepwise'!$J$2:$J$1137,MATCH(42&amp;"|"&amp;$A334&amp;"|"&amp;E$333,'Transition Stepwise'!$E$2:$E$1137,0))</f>
        <v>0.115384615384615</v>
      </c>
      <c r="F334" s="38" t="n">
        <f aca="false">ROUND(SUM(B334:E334),9)</f>
        <v>1</v>
      </c>
    </row>
    <row r="335" customFormat="false" ht="15" hidden="false" customHeight="true" outlineLevel="0" collapsed="false">
      <c r="A335" s="41" t="s">
        <v>170</v>
      </c>
      <c r="B335" s="45" t="n">
        <f aca="false">INDEX('Transition Stepwise'!$J$2:$J$1137,MATCH(42&amp;"|"&amp;$A335&amp;"|"&amp;B$333,'Transition Stepwise'!$E$2:$E$1137,0))</f>
        <v>0.25</v>
      </c>
      <c r="C335" s="45" t="n">
        <f aca="false">INDEX('Transition Stepwise'!$J$2:$J$1137,MATCH(42&amp;"|"&amp;$A335&amp;"|"&amp;C$333,'Transition Stepwise'!$E$2:$E$1137,0))</f>
        <v>0.125</v>
      </c>
      <c r="D335" s="45" t="n">
        <f aca="false">INDEX('Transition Stepwise'!$J$2:$J$1137,MATCH(42&amp;"|"&amp;$A335&amp;"|"&amp;D$333,'Transition Stepwise'!$E$2:$E$1137,0))</f>
        <v>0.416666666666667</v>
      </c>
      <c r="E335" s="45" t="n">
        <f aca="false">INDEX('Transition Stepwise'!$J$2:$J$1137,MATCH(42&amp;"|"&amp;$A335&amp;"|"&amp;E$333,'Transition Stepwise'!$E$2:$E$1137,0))</f>
        <v>0.208333333333333</v>
      </c>
      <c r="F335" s="38" t="n">
        <f aca="false">ROUND(SUM(B335:E335),9)</f>
        <v>1</v>
      </c>
    </row>
    <row r="336" customFormat="false" ht="15" hidden="false" customHeight="true" outlineLevel="0" collapsed="false">
      <c r="A336" s="41" t="s">
        <v>169</v>
      </c>
      <c r="B336" s="45" t="n">
        <f aca="false">INDEX('Transition Stepwise'!$J$2:$J$1137,MATCH(42&amp;"|"&amp;$A336&amp;"|"&amp;B$333,'Transition Stepwise'!$E$2:$E$1137,0))</f>
        <v>0.238532110091743</v>
      </c>
      <c r="C336" s="45" t="n">
        <f aca="false">INDEX('Transition Stepwise'!$J$2:$J$1137,MATCH(42&amp;"|"&amp;$A336&amp;"|"&amp;C$333,'Transition Stepwise'!$E$2:$E$1137,0))</f>
        <v>0.174311926605505</v>
      </c>
      <c r="D336" s="45" t="n">
        <f aca="false">INDEX('Transition Stepwise'!$J$2:$J$1137,MATCH(42&amp;"|"&amp;$A336&amp;"|"&amp;D$333,'Transition Stepwise'!$E$2:$E$1137,0))</f>
        <v>0.394495412844037</v>
      </c>
      <c r="E336" s="45" t="n">
        <f aca="false">INDEX('Transition Stepwise'!$J$2:$J$1137,MATCH(42&amp;"|"&amp;$A336&amp;"|"&amp;E$333,'Transition Stepwise'!$E$2:$E$1137,0))</f>
        <v>0.192660550458716</v>
      </c>
      <c r="F336" s="38" t="n">
        <f aca="false">ROUND(SUM(B336:E336),9)</f>
        <v>1</v>
      </c>
    </row>
    <row r="337" customFormat="false" ht="15" hidden="false" customHeight="true" outlineLevel="0" collapsed="false">
      <c r="A337" s="41" t="s">
        <v>171</v>
      </c>
      <c r="B337" s="45" t="n">
        <f aca="false">INDEX('Transition Stepwise'!$J$2:$J$1137,MATCH(42&amp;"|"&amp;$A337&amp;"|"&amp;B$333,'Transition Stepwise'!$E$2:$E$1137,0))</f>
        <v>0.1</v>
      </c>
      <c r="C337" s="45" t="n">
        <f aca="false">INDEX('Transition Stepwise'!$J$2:$J$1137,MATCH(42&amp;"|"&amp;$A337&amp;"|"&amp;C$333,'Transition Stepwise'!$E$2:$E$1137,0))</f>
        <v>0.133333333333333</v>
      </c>
      <c r="D337" s="45" t="n">
        <f aca="false">INDEX('Transition Stepwise'!$J$2:$J$1137,MATCH(42&amp;"|"&amp;$A337&amp;"|"&amp;D$333,'Transition Stepwise'!$E$2:$E$1137,0))</f>
        <v>0.633333333333333</v>
      </c>
      <c r="E337" s="45" t="n">
        <f aca="false">INDEX('Transition Stepwise'!$J$2:$J$1137,MATCH(42&amp;"|"&amp;$A337&amp;"|"&amp;E$333,'Transition Stepwise'!$E$2:$E$1137,0))</f>
        <v>0.133333333333333</v>
      </c>
      <c r="F337" s="38" t="n">
        <f aca="false">ROUND(SUM(B337:E337),9)</f>
        <v>1</v>
      </c>
    </row>
    <row r="338" customFormat="false" ht="15" hidden="false" customHeight="true" outlineLevel="0" collapsed="false">
      <c r="A338" s="38"/>
      <c r="B338" s="38"/>
      <c r="C338" s="38"/>
      <c r="D338" s="38"/>
      <c r="E338" s="38"/>
      <c r="F338" s="38"/>
    </row>
    <row r="339" customFormat="false" ht="15" hidden="false" customHeight="true" outlineLevel="0" collapsed="false">
      <c r="A339" s="38"/>
      <c r="B339" s="38"/>
      <c r="C339" s="38"/>
      <c r="D339" s="38"/>
      <c r="E339" s="38"/>
      <c r="F339" s="38"/>
    </row>
    <row r="340" customFormat="false" ht="15" hidden="false" customHeight="true" outlineLevel="0" collapsed="false">
      <c r="A340" s="41" t="s">
        <v>736</v>
      </c>
      <c r="B340" s="38"/>
      <c r="C340" s="38"/>
      <c r="D340" s="38"/>
      <c r="E340" s="38"/>
      <c r="F340" s="38"/>
    </row>
    <row r="341" customFormat="false" ht="15" hidden="false" customHeight="true" outlineLevel="0" collapsed="false">
      <c r="A341" s="39" t="s">
        <v>693</v>
      </c>
      <c r="B341" s="39" t="s">
        <v>172</v>
      </c>
      <c r="C341" s="39" t="s">
        <v>170</v>
      </c>
      <c r="D341" s="39" t="s">
        <v>169</v>
      </c>
      <c r="E341" s="39" t="s">
        <v>171</v>
      </c>
      <c r="F341" s="39" t="s">
        <v>766</v>
      </c>
    </row>
    <row r="342" customFormat="false" ht="15" hidden="false" customHeight="true" outlineLevel="0" collapsed="false">
      <c r="A342" s="41" t="s">
        <v>172</v>
      </c>
      <c r="B342" s="45" t="n">
        <f aca="false">INDEX('Transition Stepwise'!$J$2:$J$1137,MATCH(43&amp;"|"&amp;$A342&amp;"|"&amp;B$341,'Transition Stepwise'!$E$2:$E$1137,0))</f>
        <v>0.469387755102041</v>
      </c>
      <c r="C342" s="45" t="n">
        <f aca="false">INDEX('Transition Stepwise'!$J$2:$J$1137,MATCH(43&amp;"|"&amp;$A342&amp;"|"&amp;C$341,'Transition Stepwise'!$E$2:$E$1137,0))</f>
        <v>0.142857142857143</v>
      </c>
      <c r="D342" s="45" t="n">
        <f aca="false">INDEX('Transition Stepwise'!$J$2:$J$1137,MATCH(43&amp;"|"&amp;$A342&amp;"|"&amp;D$341,'Transition Stepwise'!$E$2:$E$1137,0))</f>
        <v>0.285714285714286</v>
      </c>
      <c r="E342" s="45" t="n">
        <f aca="false">INDEX('Transition Stepwise'!$J$2:$J$1137,MATCH(43&amp;"|"&amp;$A342&amp;"|"&amp;E$341,'Transition Stepwise'!$E$2:$E$1137,0))</f>
        <v>0.102040816326531</v>
      </c>
      <c r="F342" s="38" t="n">
        <f aca="false">ROUND(SUM(B342:E342),9)</f>
        <v>1</v>
      </c>
    </row>
    <row r="343" customFormat="false" ht="15" hidden="false" customHeight="true" outlineLevel="0" collapsed="false">
      <c r="A343" s="41" t="s">
        <v>170</v>
      </c>
      <c r="B343" s="45" t="n">
        <f aca="false">INDEX('Transition Stepwise'!$J$2:$J$1137,MATCH(43&amp;"|"&amp;$A343&amp;"|"&amp;B$341,'Transition Stepwise'!$E$2:$E$1137,0))</f>
        <v>0.37037037037037</v>
      </c>
      <c r="C343" s="45" t="n">
        <f aca="false">INDEX('Transition Stepwise'!$J$2:$J$1137,MATCH(43&amp;"|"&amp;$A343&amp;"|"&amp;C$341,'Transition Stepwise'!$E$2:$E$1137,0))</f>
        <v>0.185185185185185</v>
      </c>
      <c r="D343" s="45" t="n">
        <f aca="false">INDEX('Transition Stepwise'!$J$2:$J$1137,MATCH(43&amp;"|"&amp;$A343&amp;"|"&amp;D$341,'Transition Stepwise'!$E$2:$E$1137,0))</f>
        <v>0.296296296296296</v>
      </c>
      <c r="E343" s="45" t="n">
        <f aca="false">INDEX('Transition Stepwise'!$J$2:$J$1137,MATCH(43&amp;"|"&amp;$A343&amp;"|"&amp;E$341,'Transition Stepwise'!$E$2:$E$1137,0))</f>
        <v>0.148148148148148</v>
      </c>
      <c r="F343" s="38" t="n">
        <f aca="false">ROUND(SUM(B343:E343),9)</f>
        <v>1</v>
      </c>
    </row>
    <row r="344" customFormat="false" ht="15" hidden="false" customHeight="true" outlineLevel="0" collapsed="false">
      <c r="A344" s="41" t="s">
        <v>169</v>
      </c>
      <c r="B344" s="45" t="n">
        <f aca="false">INDEX('Transition Stepwise'!$J$2:$J$1137,MATCH(43&amp;"|"&amp;$A344&amp;"|"&amp;B$341,'Transition Stepwise'!$E$2:$E$1137,0))</f>
        <v>0.524271844660194</v>
      </c>
      <c r="C344" s="45" t="n">
        <f aca="false">INDEX('Transition Stepwise'!$J$2:$J$1137,MATCH(43&amp;"|"&amp;$A344&amp;"|"&amp;C$341,'Transition Stepwise'!$E$2:$E$1137,0))</f>
        <v>0.135922330097087</v>
      </c>
      <c r="D344" s="45" t="n">
        <f aca="false">INDEX('Transition Stepwise'!$J$2:$J$1137,MATCH(43&amp;"|"&amp;$A344&amp;"|"&amp;D$341,'Transition Stepwise'!$E$2:$E$1137,0))</f>
        <v>0.203883495145631</v>
      </c>
      <c r="E344" s="45" t="n">
        <f aca="false">INDEX('Transition Stepwise'!$J$2:$J$1137,MATCH(43&amp;"|"&amp;$A344&amp;"|"&amp;E$341,'Transition Stepwise'!$E$2:$E$1137,0))</f>
        <v>0.135922330097087</v>
      </c>
      <c r="F344" s="38" t="n">
        <f aca="false">ROUND(SUM(B344:E344),9)</f>
        <v>1</v>
      </c>
    </row>
    <row r="345" customFormat="false" ht="15" hidden="false" customHeight="true" outlineLevel="0" collapsed="false">
      <c r="A345" s="41" t="s">
        <v>171</v>
      </c>
      <c r="B345" s="45" t="n">
        <f aca="false">INDEX('Transition Stepwise'!$J$2:$J$1137,MATCH(43&amp;"|"&amp;$A345&amp;"|"&amp;B$341,'Transition Stepwise'!$E$2:$E$1137,0))</f>
        <v>0.444444444444444</v>
      </c>
      <c r="C345" s="45" t="n">
        <f aca="false">INDEX('Transition Stepwise'!$J$2:$J$1137,MATCH(43&amp;"|"&amp;$A345&amp;"|"&amp;C$341,'Transition Stepwise'!$E$2:$E$1137,0))</f>
        <v>0.25</v>
      </c>
      <c r="D345" s="45" t="n">
        <f aca="false">INDEX('Transition Stepwise'!$J$2:$J$1137,MATCH(43&amp;"|"&amp;$A345&amp;"|"&amp;D$341,'Transition Stepwise'!$E$2:$E$1137,0))</f>
        <v>0.194444444444444</v>
      </c>
      <c r="E345" s="45" t="n">
        <f aca="false">INDEX('Transition Stepwise'!$J$2:$J$1137,MATCH(43&amp;"|"&amp;$A345&amp;"|"&amp;E$341,'Transition Stepwise'!$E$2:$E$1137,0))</f>
        <v>0.111111111111111</v>
      </c>
      <c r="F345" s="38" t="n">
        <f aca="false">ROUND(SUM(B345:E345),9)</f>
        <v>1</v>
      </c>
    </row>
    <row r="346" customFormat="false" ht="15" hidden="false" customHeight="true" outlineLevel="0" collapsed="false">
      <c r="A346" s="38"/>
      <c r="B346" s="38"/>
      <c r="C346" s="38"/>
      <c r="D346" s="38"/>
      <c r="E346" s="38"/>
      <c r="F346" s="38"/>
    </row>
    <row r="347" customFormat="false" ht="15" hidden="false" customHeight="true" outlineLevel="0" collapsed="false">
      <c r="A347" s="38"/>
      <c r="B347" s="38"/>
      <c r="C347" s="38"/>
      <c r="D347" s="38"/>
      <c r="E347" s="38"/>
      <c r="F347" s="38"/>
    </row>
    <row r="348" customFormat="false" ht="15" hidden="false" customHeight="true" outlineLevel="0" collapsed="false">
      <c r="A348" s="41" t="s">
        <v>737</v>
      </c>
      <c r="B348" s="38"/>
      <c r="C348" s="38"/>
      <c r="D348" s="38"/>
      <c r="E348" s="38"/>
      <c r="F348" s="38"/>
    </row>
    <row r="349" customFormat="false" ht="15" hidden="false" customHeight="true" outlineLevel="0" collapsed="false">
      <c r="A349" s="39" t="s">
        <v>693</v>
      </c>
      <c r="B349" s="39" t="s">
        <v>172</v>
      </c>
      <c r="C349" s="39" t="s">
        <v>170</v>
      </c>
      <c r="D349" s="39" t="s">
        <v>169</v>
      </c>
      <c r="E349" s="39" t="s">
        <v>171</v>
      </c>
      <c r="F349" s="39" t="s">
        <v>766</v>
      </c>
    </row>
    <row r="350" customFormat="false" ht="15" hidden="false" customHeight="true" outlineLevel="0" collapsed="false">
      <c r="A350" s="41" t="s">
        <v>172</v>
      </c>
      <c r="B350" s="45" t="n">
        <f aca="false">INDEX('Transition Stepwise'!$J$2:$J$1137,MATCH(44&amp;"|"&amp;$A350&amp;"|"&amp;B$349,'Transition Stepwise'!$E$2:$E$1137,0))</f>
        <v>0.0196078431372549</v>
      </c>
      <c r="C350" s="45" t="n">
        <f aca="false">INDEX('Transition Stepwise'!$J$2:$J$1137,MATCH(44&amp;"|"&amp;$A350&amp;"|"&amp;C$349,'Transition Stepwise'!$E$2:$E$1137,0))</f>
        <v>0.0294117647058824</v>
      </c>
      <c r="D350" s="45" t="n">
        <f aca="false">INDEX('Transition Stepwise'!$J$2:$J$1137,MATCH(44&amp;"|"&amp;$A350&amp;"|"&amp;D$349,'Transition Stepwise'!$E$2:$E$1137,0))</f>
        <v>0.852941176470588</v>
      </c>
      <c r="E350" s="45" t="n">
        <f aca="false">INDEX('Transition Stepwise'!$J$2:$J$1137,MATCH(44&amp;"|"&amp;$A350&amp;"|"&amp;E$349,'Transition Stepwise'!$E$2:$E$1137,0))</f>
        <v>0.0980392156862745</v>
      </c>
      <c r="F350" s="38" t="n">
        <f aca="false">ROUND(SUM(B350:E350),9)</f>
        <v>1</v>
      </c>
    </row>
    <row r="351" customFormat="false" ht="15" hidden="false" customHeight="true" outlineLevel="0" collapsed="false">
      <c r="A351" s="41" t="s">
        <v>170</v>
      </c>
      <c r="B351" s="45" t="n">
        <f aca="false">INDEX('Transition Stepwise'!$J$2:$J$1137,MATCH(44&amp;"|"&amp;$A351&amp;"|"&amp;B$349,'Transition Stepwise'!$E$2:$E$1137,0))</f>
        <v>0.235294117647059</v>
      </c>
      <c r="C351" s="45" t="n">
        <f aca="false">INDEX('Transition Stepwise'!$J$2:$J$1137,MATCH(44&amp;"|"&amp;$A351&amp;"|"&amp;C$349,'Transition Stepwise'!$E$2:$E$1137,0))</f>
        <v>0.0588235294117647</v>
      </c>
      <c r="D351" s="45" t="n">
        <f aca="false">INDEX('Transition Stepwise'!$J$2:$J$1137,MATCH(44&amp;"|"&amp;$A351&amp;"|"&amp;D$349,'Transition Stepwise'!$E$2:$E$1137,0))</f>
        <v>0.5</v>
      </c>
      <c r="E351" s="45" t="n">
        <f aca="false">INDEX('Transition Stepwise'!$J$2:$J$1137,MATCH(44&amp;"|"&amp;$A351&amp;"|"&amp;E$349,'Transition Stepwise'!$E$2:$E$1137,0))</f>
        <v>0.205882352941176</v>
      </c>
      <c r="F351" s="38" t="n">
        <f aca="false">ROUND(SUM(B351:E351),9)</f>
        <v>1</v>
      </c>
    </row>
    <row r="352" customFormat="false" ht="15" hidden="false" customHeight="true" outlineLevel="0" collapsed="false">
      <c r="A352" s="41" t="s">
        <v>169</v>
      </c>
      <c r="B352" s="45" t="n">
        <f aca="false">INDEX('Transition Stepwise'!$J$2:$J$1137,MATCH(44&amp;"|"&amp;$A352&amp;"|"&amp;B$349,'Transition Stepwise'!$E$2:$E$1137,0))</f>
        <v>0.14</v>
      </c>
      <c r="C352" s="45" t="n">
        <f aca="false">INDEX('Transition Stepwise'!$J$2:$J$1137,MATCH(44&amp;"|"&amp;$A352&amp;"|"&amp;C$349,'Transition Stepwise'!$E$2:$E$1137,0))</f>
        <v>0.04</v>
      </c>
      <c r="D352" s="45" t="n">
        <f aca="false">INDEX('Transition Stepwise'!$J$2:$J$1137,MATCH(44&amp;"|"&amp;$A352&amp;"|"&amp;D$349,'Transition Stepwise'!$E$2:$E$1137,0))</f>
        <v>0.66</v>
      </c>
      <c r="E352" s="45" t="n">
        <f aca="false">INDEX('Transition Stepwise'!$J$2:$J$1137,MATCH(44&amp;"|"&amp;$A352&amp;"|"&amp;E$349,'Transition Stepwise'!$E$2:$E$1137,0))</f>
        <v>0.16</v>
      </c>
      <c r="F352" s="38" t="n">
        <f aca="false">ROUND(SUM(B352:E352),9)</f>
        <v>1</v>
      </c>
    </row>
    <row r="353" customFormat="false" ht="15" hidden="false" customHeight="true" outlineLevel="0" collapsed="false">
      <c r="A353" s="41" t="s">
        <v>171</v>
      </c>
      <c r="B353" s="45" t="n">
        <f aca="false">INDEX('Transition Stepwise'!$J$2:$J$1137,MATCH(44&amp;"|"&amp;$A353&amp;"|"&amp;B$349,'Transition Stepwise'!$E$2:$E$1137,0))</f>
        <v>0.0740740740740741</v>
      </c>
      <c r="C353" s="45" t="n">
        <f aca="false">INDEX('Transition Stepwise'!$J$2:$J$1137,MATCH(44&amp;"|"&amp;$A353&amp;"|"&amp;C$349,'Transition Stepwise'!$E$2:$E$1137,0))</f>
        <v>0.0740740740740741</v>
      </c>
      <c r="D353" s="45" t="n">
        <f aca="false">INDEX('Transition Stepwise'!$J$2:$J$1137,MATCH(44&amp;"|"&amp;$A353&amp;"|"&amp;D$349,'Transition Stepwise'!$E$2:$E$1137,0))</f>
        <v>0.592592592592593</v>
      </c>
      <c r="E353" s="45" t="n">
        <f aca="false">INDEX('Transition Stepwise'!$J$2:$J$1137,MATCH(44&amp;"|"&amp;$A353&amp;"|"&amp;E$349,'Transition Stepwise'!$E$2:$E$1137,0))</f>
        <v>0.259259259259259</v>
      </c>
      <c r="F353" s="38" t="n">
        <f aca="false">ROUND(SUM(B353:E353),9)</f>
        <v>1</v>
      </c>
    </row>
    <row r="354" customFormat="false" ht="15" hidden="false" customHeight="true" outlineLevel="0" collapsed="false">
      <c r="A354" s="38"/>
      <c r="B354" s="38"/>
      <c r="C354" s="38"/>
      <c r="D354" s="38"/>
      <c r="E354" s="38"/>
      <c r="F354" s="38"/>
    </row>
    <row r="355" customFormat="false" ht="15" hidden="false" customHeight="true" outlineLevel="0" collapsed="false">
      <c r="A355" s="38"/>
      <c r="B355" s="38"/>
      <c r="C355" s="38"/>
      <c r="D355" s="38"/>
      <c r="E355" s="38"/>
      <c r="F355" s="38"/>
    </row>
    <row r="356" customFormat="false" ht="15" hidden="false" customHeight="true" outlineLevel="0" collapsed="false">
      <c r="A356" s="41" t="s">
        <v>738</v>
      </c>
      <c r="B356" s="38"/>
      <c r="C356" s="38"/>
      <c r="D356" s="38"/>
      <c r="E356" s="38"/>
      <c r="F356" s="38"/>
    </row>
    <row r="357" customFormat="false" ht="15" hidden="false" customHeight="true" outlineLevel="0" collapsed="false">
      <c r="A357" s="39" t="s">
        <v>693</v>
      </c>
      <c r="B357" s="39" t="s">
        <v>172</v>
      </c>
      <c r="C357" s="39" t="s">
        <v>170</v>
      </c>
      <c r="D357" s="39" t="s">
        <v>169</v>
      </c>
      <c r="E357" s="39" t="s">
        <v>171</v>
      </c>
      <c r="F357" s="39" t="s">
        <v>766</v>
      </c>
    </row>
    <row r="358" customFormat="false" ht="15" hidden="false" customHeight="true" outlineLevel="0" collapsed="false">
      <c r="A358" s="41" t="s">
        <v>172</v>
      </c>
      <c r="B358" s="45" t="n">
        <f aca="false">INDEX('Transition Stepwise'!$J$2:$J$1137,MATCH(45&amp;"|"&amp;$A358&amp;"|"&amp;B$357,'Transition Stepwise'!$E$2:$E$1137,0))</f>
        <v>0.0769230769230769</v>
      </c>
      <c r="C358" s="45" t="n">
        <f aca="false">INDEX('Transition Stepwise'!$J$2:$J$1137,MATCH(45&amp;"|"&amp;$A358&amp;"|"&amp;C$357,'Transition Stepwise'!$E$2:$E$1137,0))</f>
        <v>0.153846153846154</v>
      </c>
      <c r="D358" s="45" t="n">
        <f aca="false">INDEX('Transition Stepwise'!$J$2:$J$1137,MATCH(45&amp;"|"&amp;$A358&amp;"|"&amp;D$357,'Transition Stepwise'!$E$2:$E$1137,0))</f>
        <v>0.461538461538462</v>
      </c>
      <c r="E358" s="45" t="n">
        <f aca="false">INDEX('Transition Stepwise'!$J$2:$J$1137,MATCH(45&amp;"|"&amp;$A358&amp;"|"&amp;E$357,'Transition Stepwise'!$E$2:$E$1137,0))</f>
        <v>0.307692307692308</v>
      </c>
      <c r="F358" s="38" t="n">
        <f aca="false">ROUND(SUM(B358:E358),9)</f>
        <v>1</v>
      </c>
    </row>
    <row r="359" customFormat="false" ht="15" hidden="false" customHeight="true" outlineLevel="0" collapsed="false">
      <c r="A359" s="41" t="s">
        <v>170</v>
      </c>
      <c r="B359" s="45" t="n">
        <f aca="false">INDEX('Transition Stepwise'!$J$2:$J$1137,MATCH(45&amp;"|"&amp;$A359&amp;"|"&amp;B$357,'Transition Stepwise'!$E$2:$E$1137,0))</f>
        <v>0.111111111111111</v>
      </c>
      <c r="C359" s="45" t="n">
        <f aca="false">INDEX('Transition Stepwise'!$J$2:$J$1137,MATCH(45&amp;"|"&amp;$A359&amp;"|"&amp;C$357,'Transition Stepwise'!$E$2:$E$1137,0))</f>
        <v>0.222222222222222</v>
      </c>
      <c r="D359" s="45" t="n">
        <f aca="false">INDEX('Transition Stepwise'!$J$2:$J$1137,MATCH(45&amp;"|"&amp;$A359&amp;"|"&amp;D$357,'Transition Stepwise'!$E$2:$E$1137,0))</f>
        <v>0.444444444444444</v>
      </c>
      <c r="E359" s="45" t="n">
        <f aca="false">INDEX('Transition Stepwise'!$J$2:$J$1137,MATCH(45&amp;"|"&amp;$A359&amp;"|"&amp;E$357,'Transition Stepwise'!$E$2:$E$1137,0))</f>
        <v>0.222222222222222</v>
      </c>
      <c r="F359" s="38" t="n">
        <f aca="false">ROUND(SUM(B359:E359),9)</f>
        <v>1</v>
      </c>
    </row>
    <row r="360" customFormat="false" ht="15" hidden="false" customHeight="true" outlineLevel="0" collapsed="false">
      <c r="A360" s="41" t="s">
        <v>169</v>
      </c>
      <c r="B360" s="45" t="n">
        <f aca="false">INDEX('Transition Stepwise'!$J$2:$J$1137,MATCH(45&amp;"|"&amp;$A360&amp;"|"&amp;B$357,'Transition Stepwise'!$E$2:$E$1137,0))</f>
        <v>0.116788321167883</v>
      </c>
      <c r="C360" s="45" t="n">
        <f aca="false">INDEX('Transition Stepwise'!$J$2:$J$1137,MATCH(45&amp;"|"&amp;$A360&amp;"|"&amp;C$357,'Transition Stepwise'!$E$2:$E$1137,0))</f>
        <v>0.0218978102189781</v>
      </c>
      <c r="D360" s="45" t="n">
        <f aca="false">INDEX('Transition Stepwise'!$J$2:$J$1137,MATCH(45&amp;"|"&amp;$A360&amp;"|"&amp;D$357,'Transition Stepwise'!$E$2:$E$1137,0))</f>
        <v>0.824817518248175</v>
      </c>
      <c r="E360" s="45" t="n">
        <f aca="false">INDEX('Transition Stepwise'!$J$2:$J$1137,MATCH(45&amp;"|"&amp;$A360&amp;"|"&amp;E$357,'Transition Stepwise'!$E$2:$E$1137,0))</f>
        <v>0.0364963503649635</v>
      </c>
      <c r="F360" s="38" t="n">
        <f aca="false">ROUND(SUM(B360:E360),9)</f>
        <v>1</v>
      </c>
    </row>
    <row r="361" customFormat="false" ht="15" hidden="false" customHeight="true" outlineLevel="0" collapsed="false">
      <c r="A361" s="41" t="s">
        <v>171</v>
      </c>
      <c r="B361" s="45" t="n">
        <f aca="false">INDEX('Transition Stepwise'!$J$2:$J$1137,MATCH(45&amp;"|"&amp;$A361&amp;"|"&amp;B$357,'Transition Stepwise'!$E$2:$E$1137,0))</f>
        <v>0.08</v>
      </c>
      <c r="C361" s="45" t="n">
        <f aca="false">INDEX('Transition Stepwise'!$J$2:$J$1137,MATCH(45&amp;"|"&amp;$A361&amp;"|"&amp;C$357,'Transition Stepwise'!$E$2:$E$1137,0))</f>
        <v>0.04</v>
      </c>
      <c r="D361" s="45" t="n">
        <f aca="false">INDEX('Transition Stepwise'!$J$2:$J$1137,MATCH(45&amp;"|"&amp;$A361&amp;"|"&amp;D$357,'Transition Stepwise'!$E$2:$E$1137,0))</f>
        <v>0.68</v>
      </c>
      <c r="E361" s="45" t="n">
        <f aca="false">INDEX('Transition Stepwise'!$J$2:$J$1137,MATCH(45&amp;"|"&amp;$A361&amp;"|"&amp;E$357,'Transition Stepwise'!$E$2:$E$1137,0))</f>
        <v>0.2</v>
      </c>
      <c r="F361" s="38" t="n">
        <f aca="false">ROUND(SUM(B361:E361),9)</f>
        <v>1</v>
      </c>
    </row>
    <row r="362" customFormat="false" ht="15" hidden="false" customHeight="true" outlineLevel="0" collapsed="false">
      <c r="A362" s="38"/>
      <c r="B362" s="38"/>
      <c r="C362" s="38"/>
      <c r="D362" s="38"/>
      <c r="E362" s="38"/>
      <c r="F362" s="38"/>
    </row>
    <row r="363" customFormat="false" ht="15" hidden="false" customHeight="true" outlineLevel="0" collapsed="false">
      <c r="A363" s="38"/>
      <c r="B363" s="38"/>
      <c r="C363" s="38"/>
      <c r="D363" s="38"/>
      <c r="E363" s="38"/>
      <c r="F363" s="38"/>
    </row>
    <row r="364" customFormat="false" ht="15" hidden="false" customHeight="true" outlineLevel="0" collapsed="false">
      <c r="A364" s="41" t="s">
        <v>739</v>
      </c>
      <c r="B364" s="38"/>
      <c r="C364" s="38"/>
      <c r="D364" s="38"/>
      <c r="E364" s="38"/>
      <c r="F364" s="38"/>
    </row>
    <row r="365" customFormat="false" ht="15" hidden="false" customHeight="true" outlineLevel="0" collapsed="false">
      <c r="A365" s="39" t="s">
        <v>693</v>
      </c>
      <c r="B365" s="39" t="s">
        <v>172</v>
      </c>
      <c r="C365" s="39" t="s">
        <v>170</v>
      </c>
      <c r="D365" s="39" t="s">
        <v>169</v>
      </c>
      <c r="E365" s="39" t="s">
        <v>171</v>
      </c>
      <c r="F365" s="39" t="s">
        <v>766</v>
      </c>
    </row>
    <row r="366" customFormat="false" ht="15" hidden="false" customHeight="true" outlineLevel="0" collapsed="false">
      <c r="A366" s="41" t="s">
        <v>172</v>
      </c>
      <c r="B366" s="45" t="n">
        <f aca="false">INDEX('Transition Stepwise'!$J$2:$J$1137,MATCH(46&amp;"|"&amp;$A366&amp;"|"&amp;B$365,'Transition Stepwise'!$E$2:$E$1137,0))</f>
        <v>0.05</v>
      </c>
      <c r="C366" s="45" t="n">
        <f aca="false">INDEX('Transition Stepwise'!$J$2:$J$1137,MATCH(46&amp;"|"&amp;$A366&amp;"|"&amp;C$365,'Transition Stepwise'!$E$2:$E$1137,0))</f>
        <v>0.2</v>
      </c>
      <c r="D366" s="45" t="n">
        <f aca="false">INDEX('Transition Stepwise'!$J$2:$J$1137,MATCH(46&amp;"|"&amp;$A366&amp;"|"&amp;D$365,'Transition Stepwise'!$E$2:$E$1137,0))</f>
        <v>0.1</v>
      </c>
      <c r="E366" s="45" t="n">
        <f aca="false">INDEX('Transition Stepwise'!$J$2:$J$1137,MATCH(46&amp;"|"&amp;$A366&amp;"|"&amp;E$365,'Transition Stepwise'!$E$2:$E$1137,0))</f>
        <v>0.65</v>
      </c>
      <c r="F366" s="38" t="n">
        <f aca="false">ROUND(SUM(B366:E366),9)</f>
        <v>1</v>
      </c>
    </row>
    <row r="367" customFormat="false" ht="15" hidden="false" customHeight="true" outlineLevel="0" collapsed="false">
      <c r="A367" s="41" t="s">
        <v>170</v>
      </c>
      <c r="B367" s="45" t="n">
        <f aca="false">INDEX('Transition Stepwise'!$J$2:$J$1137,MATCH(46&amp;"|"&amp;$A367&amp;"|"&amp;B$365,'Transition Stepwise'!$E$2:$E$1137,0))</f>
        <v>0.25</v>
      </c>
      <c r="C367" s="45" t="n">
        <f aca="false">INDEX('Transition Stepwise'!$J$2:$J$1137,MATCH(46&amp;"|"&amp;$A367&amp;"|"&amp;C$365,'Transition Stepwise'!$E$2:$E$1137,0))</f>
        <v>0.25</v>
      </c>
      <c r="D367" s="45" t="n">
        <f aca="false">INDEX('Transition Stepwise'!$J$2:$J$1137,MATCH(46&amp;"|"&amp;$A367&amp;"|"&amp;D$365,'Transition Stepwise'!$E$2:$E$1137,0))</f>
        <v>0.25</v>
      </c>
      <c r="E367" s="45" t="n">
        <f aca="false">INDEX('Transition Stepwise'!$J$2:$J$1137,MATCH(46&amp;"|"&amp;$A367&amp;"|"&amp;E$365,'Transition Stepwise'!$E$2:$E$1137,0))</f>
        <v>0.25</v>
      </c>
      <c r="F367" s="38" t="n">
        <f aca="false">ROUND(SUM(B367:E367),9)</f>
        <v>1</v>
      </c>
    </row>
    <row r="368" customFormat="false" ht="15" hidden="false" customHeight="true" outlineLevel="0" collapsed="false">
      <c r="A368" s="41" t="s">
        <v>169</v>
      </c>
      <c r="B368" s="45" t="n">
        <f aca="false">INDEX('Transition Stepwise'!$J$2:$J$1137,MATCH(46&amp;"|"&amp;$A368&amp;"|"&amp;B$365,'Transition Stepwise'!$E$2:$E$1137,0))</f>
        <v>0.00714285714285714</v>
      </c>
      <c r="C368" s="45" t="n">
        <f aca="false">INDEX('Transition Stepwise'!$J$2:$J$1137,MATCH(46&amp;"|"&amp;$A368&amp;"|"&amp;C$365,'Transition Stepwise'!$E$2:$E$1137,0))</f>
        <v>0.114285714285714</v>
      </c>
      <c r="D368" s="45" t="n">
        <f aca="false">INDEX('Transition Stepwise'!$J$2:$J$1137,MATCH(46&amp;"|"&amp;$A368&amp;"|"&amp;D$365,'Transition Stepwise'!$E$2:$E$1137,0))</f>
        <v>0.0357142857142857</v>
      </c>
      <c r="E368" s="45" t="n">
        <f aca="false">INDEX('Transition Stepwise'!$J$2:$J$1137,MATCH(46&amp;"|"&amp;$A368&amp;"|"&amp;E$365,'Transition Stepwise'!$E$2:$E$1137,0))</f>
        <v>0.842857142857143</v>
      </c>
      <c r="F368" s="38" t="n">
        <f aca="false">ROUND(SUM(B368:E368),9)</f>
        <v>1</v>
      </c>
    </row>
    <row r="369" customFormat="false" ht="15" hidden="false" customHeight="true" outlineLevel="0" collapsed="false">
      <c r="A369" s="41" t="s">
        <v>171</v>
      </c>
      <c r="B369" s="45" t="n">
        <f aca="false">INDEX('Transition Stepwise'!$J$2:$J$1137,MATCH(46&amp;"|"&amp;$A369&amp;"|"&amp;B$365,'Transition Stepwise'!$E$2:$E$1137,0))</f>
        <v>0.375</v>
      </c>
      <c r="C369" s="45" t="n">
        <f aca="false">INDEX('Transition Stepwise'!$J$2:$J$1137,MATCH(46&amp;"|"&amp;$A369&amp;"|"&amp;C$365,'Transition Stepwise'!$E$2:$E$1137,0))</f>
        <v>0.25</v>
      </c>
      <c r="D369" s="45" t="n">
        <f aca="false">INDEX('Transition Stepwise'!$J$2:$J$1137,MATCH(46&amp;"|"&amp;$A369&amp;"|"&amp;D$365,'Transition Stepwise'!$E$2:$E$1137,0))</f>
        <v>0.25</v>
      </c>
      <c r="E369" s="45" t="n">
        <f aca="false">INDEX('Transition Stepwise'!$J$2:$J$1137,MATCH(46&amp;"|"&amp;$A369&amp;"|"&amp;E$365,'Transition Stepwise'!$E$2:$E$1137,0))</f>
        <v>0.125</v>
      </c>
      <c r="F369" s="38" t="n">
        <f aca="false">ROUND(SUM(B369:E369),9)</f>
        <v>1</v>
      </c>
    </row>
    <row r="370" customFormat="false" ht="15" hidden="false" customHeight="true" outlineLevel="0" collapsed="false">
      <c r="A370" s="38"/>
      <c r="B370" s="38"/>
      <c r="C370" s="38"/>
      <c r="D370" s="38"/>
      <c r="E370" s="38"/>
      <c r="F370" s="38"/>
    </row>
    <row r="371" customFormat="false" ht="15" hidden="false" customHeight="true" outlineLevel="0" collapsed="false">
      <c r="A371" s="38"/>
      <c r="B371" s="38"/>
      <c r="C371" s="38"/>
      <c r="D371" s="38"/>
      <c r="E371" s="38"/>
      <c r="F371" s="38"/>
    </row>
    <row r="372" customFormat="false" ht="15" hidden="false" customHeight="true" outlineLevel="0" collapsed="false">
      <c r="A372" s="41" t="s">
        <v>740</v>
      </c>
      <c r="B372" s="38"/>
      <c r="C372" s="38"/>
      <c r="D372" s="38"/>
      <c r="E372" s="38"/>
      <c r="F372" s="38"/>
    </row>
    <row r="373" customFormat="false" ht="15" hidden="false" customHeight="true" outlineLevel="0" collapsed="false">
      <c r="A373" s="39" t="s">
        <v>693</v>
      </c>
      <c r="B373" s="39" t="s">
        <v>172</v>
      </c>
      <c r="C373" s="39" t="s">
        <v>170</v>
      </c>
      <c r="D373" s="39" t="s">
        <v>169</v>
      </c>
      <c r="E373" s="39" t="s">
        <v>171</v>
      </c>
      <c r="F373" s="39" t="s">
        <v>766</v>
      </c>
    </row>
    <row r="374" customFormat="false" ht="15" hidden="false" customHeight="true" outlineLevel="0" collapsed="false">
      <c r="A374" s="41" t="s">
        <v>172</v>
      </c>
      <c r="B374" s="45" t="n">
        <f aca="false">INDEX('Transition Stepwise'!$J$2:$J$1137,MATCH(47&amp;"|"&amp;$A374&amp;"|"&amp;B$373,'Transition Stepwise'!$E$2:$E$1137,0))</f>
        <v>0.0666666666666667</v>
      </c>
      <c r="C374" s="45" t="n">
        <f aca="false">INDEX('Transition Stepwise'!$J$2:$J$1137,MATCH(47&amp;"|"&amp;$A374&amp;"|"&amp;C$373,'Transition Stepwise'!$E$2:$E$1137,0))</f>
        <v>0.7</v>
      </c>
      <c r="D374" s="45" t="n">
        <f aca="false">INDEX('Transition Stepwise'!$J$2:$J$1137,MATCH(47&amp;"|"&amp;$A374&amp;"|"&amp;D$373,'Transition Stepwise'!$E$2:$E$1137,0))</f>
        <v>0.0666666666666667</v>
      </c>
      <c r="E374" s="45" t="n">
        <f aca="false">INDEX('Transition Stepwise'!$J$2:$J$1137,MATCH(47&amp;"|"&amp;$A374&amp;"|"&amp;E$373,'Transition Stepwise'!$E$2:$E$1137,0))</f>
        <v>0.166666666666667</v>
      </c>
      <c r="F374" s="38" t="n">
        <f aca="false">ROUND(SUM(B374:E374),9)</f>
        <v>1</v>
      </c>
    </row>
    <row r="375" customFormat="false" ht="15" hidden="false" customHeight="true" outlineLevel="0" collapsed="false">
      <c r="A375" s="41" t="s">
        <v>170</v>
      </c>
      <c r="B375" s="45" t="n">
        <f aca="false">INDEX('Transition Stepwise'!$J$2:$J$1137,MATCH(47&amp;"|"&amp;$A375&amp;"|"&amp;B$373,'Transition Stepwise'!$E$2:$E$1137,0))</f>
        <v>0.037037037037037</v>
      </c>
      <c r="C375" s="45" t="n">
        <f aca="false">INDEX('Transition Stepwise'!$J$2:$J$1137,MATCH(47&amp;"|"&amp;$A375&amp;"|"&amp;C$373,'Transition Stepwise'!$E$2:$E$1137,0))</f>
        <v>0.851851851851852</v>
      </c>
      <c r="D375" s="45" t="n">
        <f aca="false">INDEX('Transition Stepwise'!$J$2:$J$1137,MATCH(47&amp;"|"&amp;$A375&amp;"|"&amp;D$373,'Transition Stepwise'!$E$2:$E$1137,0))</f>
        <v>0.037037037037037</v>
      </c>
      <c r="E375" s="45" t="n">
        <f aca="false">INDEX('Transition Stepwise'!$J$2:$J$1137,MATCH(47&amp;"|"&amp;$A375&amp;"|"&amp;E$373,'Transition Stepwise'!$E$2:$E$1137,0))</f>
        <v>0.0740740740740741</v>
      </c>
      <c r="F375" s="38" t="n">
        <f aca="false">ROUND(SUM(B375:E375),9)</f>
        <v>1</v>
      </c>
    </row>
    <row r="376" customFormat="false" ht="15" hidden="false" customHeight="true" outlineLevel="0" collapsed="false">
      <c r="A376" s="41" t="s">
        <v>169</v>
      </c>
      <c r="B376" s="45" t="n">
        <f aca="false">INDEX('Transition Stepwise'!$J$2:$J$1137,MATCH(47&amp;"|"&amp;$A376&amp;"|"&amp;B$373,'Transition Stepwise'!$E$2:$E$1137,0))</f>
        <v>0.05</v>
      </c>
      <c r="C376" s="45" t="n">
        <f aca="false">INDEX('Transition Stepwise'!$J$2:$J$1137,MATCH(47&amp;"|"&amp;$A376&amp;"|"&amp;C$373,'Transition Stepwise'!$E$2:$E$1137,0))</f>
        <v>0.45</v>
      </c>
      <c r="D376" s="45" t="n">
        <f aca="false">INDEX('Transition Stepwise'!$J$2:$J$1137,MATCH(47&amp;"|"&amp;$A376&amp;"|"&amp;D$373,'Transition Stepwise'!$E$2:$E$1137,0))</f>
        <v>0.05</v>
      </c>
      <c r="E376" s="45" t="n">
        <f aca="false">INDEX('Transition Stepwise'!$J$2:$J$1137,MATCH(47&amp;"|"&amp;$A376&amp;"|"&amp;E$373,'Transition Stepwise'!$E$2:$E$1137,0))</f>
        <v>0.45</v>
      </c>
      <c r="F376" s="38" t="n">
        <f aca="false">ROUND(SUM(B376:E376),9)</f>
        <v>1</v>
      </c>
    </row>
    <row r="377" customFormat="false" ht="15" hidden="false" customHeight="true" outlineLevel="0" collapsed="false">
      <c r="A377" s="41" t="s">
        <v>171</v>
      </c>
      <c r="B377" s="45" t="n">
        <f aca="false">INDEX('Transition Stepwise'!$J$2:$J$1137,MATCH(47&amp;"|"&amp;$A377&amp;"|"&amp;B$373,'Transition Stepwise'!$E$2:$E$1137,0))</f>
        <v>0.0072463768115942</v>
      </c>
      <c r="C377" s="45" t="n">
        <f aca="false">INDEX('Transition Stepwise'!$J$2:$J$1137,MATCH(47&amp;"|"&amp;$A377&amp;"|"&amp;C$373,'Transition Stepwise'!$E$2:$E$1137,0))</f>
        <v>0.855072463768116</v>
      </c>
      <c r="D377" s="45" t="n">
        <f aca="false">INDEX('Transition Stepwise'!$J$2:$J$1137,MATCH(47&amp;"|"&amp;$A377&amp;"|"&amp;D$373,'Transition Stepwise'!$E$2:$E$1137,0))</f>
        <v>0.0144927536231884</v>
      </c>
      <c r="E377" s="45" t="n">
        <f aca="false">INDEX('Transition Stepwise'!$J$2:$J$1137,MATCH(47&amp;"|"&amp;$A377&amp;"|"&amp;E$373,'Transition Stepwise'!$E$2:$E$1137,0))</f>
        <v>0.123188405797101</v>
      </c>
      <c r="F377" s="38" t="n">
        <f aca="false">ROUND(SUM(B377:E377),9)</f>
        <v>1</v>
      </c>
    </row>
    <row r="378" customFormat="false" ht="15" hidden="false" customHeight="true" outlineLevel="0" collapsed="false">
      <c r="A378" s="38"/>
      <c r="B378" s="38"/>
      <c r="C378" s="38"/>
      <c r="D378" s="38"/>
      <c r="E378" s="38"/>
      <c r="F378" s="38"/>
    </row>
    <row r="379" customFormat="false" ht="15" hidden="false" customHeight="true" outlineLevel="0" collapsed="false">
      <c r="A379" s="38"/>
      <c r="B379" s="38"/>
      <c r="C379" s="38"/>
      <c r="D379" s="38"/>
      <c r="E379" s="38"/>
      <c r="F379" s="38"/>
    </row>
    <row r="380" customFormat="false" ht="15" hidden="false" customHeight="true" outlineLevel="0" collapsed="false">
      <c r="A380" s="41" t="s">
        <v>741</v>
      </c>
      <c r="B380" s="38"/>
      <c r="C380" s="38"/>
      <c r="D380" s="38"/>
      <c r="E380" s="38"/>
      <c r="F380" s="38"/>
    </row>
    <row r="381" customFormat="false" ht="15" hidden="false" customHeight="true" outlineLevel="0" collapsed="false">
      <c r="A381" s="39" t="s">
        <v>693</v>
      </c>
      <c r="B381" s="39" t="s">
        <v>172</v>
      </c>
      <c r="C381" s="39" t="s">
        <v>170</v>
      </c>
      <c r="D381" s="39" t="s">
        <v>169</v>
      </c>
      <c r="E381" s="39" t="s">
        <v>171</v>
      </c>
      <c r="F381" s="39" t="s">
        <v>766</v>
      </c>
    </row>
    <row r="382" customFormat="false" ht="15" hidden="false" customHeight="true" outlineLevel="0" collapsed="false">
      <c r="A382" s="41" t="s">
        <v>172</v>
      </c>
      <c r="B382" s="45" t="n">
        <f aca="false">INDEX('Transition Stepwise'!$J$2:$J$1137,MATCH(48&amp;"|"&amp;$A382&amp;"|"&amp;B$381,'Transition Stepwise'!$E$2:$E$1137,0))</f>
        <v>0.4</v>
      </c>
      <c r="C382" s="45" t="n">
        <f aca="false">INDEX('Transition Stepwise'!$J$2:$J$1137,MATCH(48&amp;"|"&amp;$A382&amp;"|"&amp;C$381,'Transition Stepwise'!$E$2:$E$1137,0))</f>
        <v>0.2</v>
      </c>
      <c r="D382" s="45" t="n">
        <f aca="false">INDEX('Transition Stepwise'!$J$2:$J$1137,MATCH(48&amp;"|"&amp;$A382&amp;"|"&amp;D$381,'Transition Stepwise'!$E$2:$E$1137,0))</f>
        <v>0.2</v>
      </c>
      <c r="E382" s="45" t="n">
        <f aca="false">INDEX('Transition Stepwise'!$J$2:$J$1137,MATCH(48&amp;"|"&amp;$A382&amp;"|"&amp;E$381,'Transition Stepwise'!$E$2:$E$1137,0))</f>
        <v>0.2</v>
      </c>
      <c r="F382" s="38" t="n">
        <f aca="false">ROUND(SUM(B382:E382),9)</f>
        <v>1</v>
      </c>
    </row>
    <row r="383" customFormat="false" ht="15" hidden="false" customHeight="true" outlineLevel="0" collapsed="false">
      <c r="A383" s="41" t="s">
        <v>170</v>
      </c>
      <c r="B383" s="45" t="n">
        <f aca="false">INDEX('Transition Stepwise'!$J$2:$J$1137,MATCH(48&amp;"|"&amp;$A383&amp;"|"&amp;B$381,'Transition Stepwise'!$E$2:$E$1137,0))</f>
        <v>0.140350877192982</v>
      </c>
      <c r="C383" s="45" t="n">
        <f aca="false">INDEX('Transition Stepwise'!$J$2:$J$1137,MATCH(48&amp;"|"&amp;$A383&amp;"|"&amp;C$381,'Transition Stepwise'!$E$2:$E$1137,0))</f>
        <v>0.304093567251462</v>
      </c>
      <c r="D383" s="45" t="n">
        <f aca="false">INDEX('Transition Stepwise'!$J$2:$J$1137,MATCH(48&amp;"|"&amp;$A383&amp;"|"&amp;D$381,'Transition Stepwise'!$E$2:$E$1137,0))</f>
        <v>0.497076023391813</v>
      </c>
      <c r="E383" s="45" t="n">
        <f aca="false">INDEX('Transition Stepwise'!$J$2:$J$1137,MATCH(48&amp;"|"&amp;$A383&amp;"|"&amp;E$381,'Transition Stepwise'!$E$2:$E$1137,0))</f>
        <v>0.0584795321637427</v>
      </c>
      <c r="F383" s="38" t="n">
        <f aca="false">ROUND(SUM(B383:E383),9)</f>
        <v>1</v>
      </c>
    </row>
    <row r="384" customFormat="false" ht="15" hidden="false" customHeight="true" outlineLevel="0" collapsed="false">
      <c r="A384" s="41" t="s">
        <v>169</v>
      </c>
      <c r="B384" s="45" t="n">
        <f aca="false">INDEX('Transition Stepwise'!$J$2:$J$1137,MATCH(48&amp;"|"&amp;$A384&amp;"|"&amp;B$381,'Transition Stepwise'!$E$2:$E$1137,0))</f>
        <v>0.166666666666667</v>
      </c>
      <c r="C384" s="45" t="n">
        <f aca="false">INDEX('Transition Stepwise'!$J$2:$J$1137,MATCH(48&amp;"|"&amp;$A384&amp;"|"&amp;C$381,'Transition Stepwise'!$E$2:$E$1137,0))</f>
        <v>0.5</v>
      </c>
      <c r="D384" s="45" t="n">
        <f aca="false">INDEX('Transition Stepwise'!$J$2:$J$1137,MATCH(48&amp;"|"&amp;$A384&amp;"|"&amp;D$381,'Transition Stepwise'!$E$2:$E$1137,0))</f>
        <v>0.166666666666667</v>
      </c>
      <c r="E384" s="45" t="n">
        <f aca="false">INDEX('Transition Stepwise'!$J$2:$J$1137,MATCH(48&amp;"|"&amp;$A384&amp;"|"&amp;E$381,'Transition Stepwise'!$E$2:$E$1137,0))</f>
        <v>0.166666666666667</v>
      </c>
      <c r="F384" s="38" t="n">
        <f aca="false">ROUND(SUM(B384:E384),9)</f>
        <v>1</v>
      </c>
    </row>
    <row r="385" customFormat="false" ht="15" hidden="false" customHeight="true" outlineLevel="0" collapsed="false">
      <c r="A385" s="41" t="s">
        <v>171</v>
      </c>
      <c r="B385" s="45" t="n">
        <f aca="false">INDEX('Transition Stepwise'!$J$2:$J$1137,MATCH(48&amp;"|"&amp;$A385&amp;"|"&amp;B$381,'Transition Stepwise'!$E$2:$E$1137,0))</f>
        <v>0.242424242424242</v>
      </c>
      <c r="C385" s="45" t="n">
        <f aca="false">INDEX('Transition Stepwise'!$J$2:$J$1137,MATCH(48&amp;"|"&amp;$A385&amp;"|"&amp;C$381,'Transition Stepwise'!$E$2:$E$1137,0))</f>
        <v>0.151515151515152</v>
      </c>
      <c r="D385" s="45" t="n">
        <f aca="false">INDEX('Transition Stepwise'!$J$2:$J$1137,MATCH(48&amp;"|"&amp;$A385&amp;"|"&amp;D$381,'Transition Stepwise'!$E$2:$E$1137,0))</f>
        <v>0.515151515151515</v>
      </c>
      <c r="E385" s="45" t="n">
        <f aca="false">INDEX('Transition Stepwise'!$J$2:$J$1137,MATCH(48&amp;"|"&amp;$A385&amp;"|"&amp;E$381,'Transition Stepwise'!$E$2:$E$1137,0))</f>
        <v>0.0909090909090909</v>
      </c>
      <c r="F385" s="38" t="n">
        <f aca="false">ROUND(SUM(B385:E385),9)</f>
        <v>1</v>
      </c>
    </row>
    <row r="386" customFormat="false" ht="15" hidden="false" customHeight="true" outlineLevel="0" collapsed="false">
      <c r="A386" s="38"/>
      <c r="B386" s="38"/>
      <c r="C386" s="38"/>
      <c r="D386" s="38"/>
      <c r="E386" s="38"/>
      <c r="F386" s="38"/>
    </row>
    <row r="387" customFormat="false" ht="15" hidden="false" customHeight="true" outlineLevel="0" collapsed="false">
      <c r="A387" s="38"/>
      <c r="B387" s="38"/>
      <c r="C387" s="38"/>
      <c r="D387" s="38"/>
      <c r="E387" s="38"/>
      <c r="F387" s="38"/>
    </row>
    <row r="388" customFormat="false" ht="15" hidden="false" customHeight="true" outlineLevel="0" collapsed="false">
      <c r="A388" s="41" t="s">
        <v>742</v>
      </c>
      <c r="B388" s="38"/>
      <c r="C388" s="38"/>
      <c r="D388" s="38"/>
      <c r="E388" s="38"/>
      <c r="F388" s="38"/>
    </row>
    <row r="389" customFormat="false" ht="15" hidden="false" customHeight="true" outlineLevel="0" collapsed="false">
      <c r="A389" s="39" t="s">
        <v>693</v>
      </c>
      <c r="B389" s="39" t="s">
        <v>172</v>
      </c>
      <c r="C389" s="39" t="s">
        <v>170</v>
      </c>
      <c r="D389" s="39" t="s">
        <v>169</v>
      </c>
      <c r="E389" s="39" t="s">
        <v>171</v>
      </c>
      <c r="F389" s="39" t="s">
        <v>766</v>
      </c>
    </row>
    <row r="390" customFormat="false" ht="15" hidden="false" customHeight="true" outlineLevel="0" collapsed="false">
      <c r="A390" s="41" t="s">
        <v>172</v>
      </c>
      <c r="B390" s="45" t="n">
        <f aca="false">INDEX('Transition Stepwise'!$J$2:$J$1137,MATCH(49&amp;"|"&amp;$A390&amp;"|"&amp;B$389,'Transition Stepwise'!$E$2:$E$1137,0))</f>
        <v>0.0857142857142857</v>
      </c>
      <c r="C390" s="45" t="n">
        <f aca="false">INDEX('Transition Stepwise'!$J$2:$J$1137,MATCH(49&amp;"|"&amp;$A390&amp;"|"&amp;C$389,'Transition Stepwise'!$E$2:$E$1137,0))</f>
        <v>0.457142857142857</v>
      </c>
      <c r="D390" s="45" t="n">
        <f aca="false">INDEX('Transition Stepwise'!$J$2:$J$1137,MATCH(49&amp;"|"&amp;$A390&amp;"|"&amp;D$389,'Transition Stepwise'!$E$2:$E$1137,0))</f>
        <v>0.257142857142857</v>
      </c>
      <c r="E390" s="45" t="n">
        <f aca="false">INDEX('Transition Stepwise'!$J$2:$J$1137,MATCH(49&amp;"|"&amp;$A390&amp;"|"&amp;E$389,'Transition Stepwise'!$E$2:$E$1137,0))</f>
        <v>0.2</v>
      </c>
      <c r="F390" s="38" t="n">
        <f aca="false">ROUND(SUM(B390:E390),9)</f>
        <v>1</v>
      </c>
    </row>
    <row r="391" customFormat="false" ht="15" hidden="false" customHeight="true" outlineLevel="0" collapsed="false">
      <c r="A391" s="41" t="s">
        <v>170</v>
      </c>
      <c r="B391" s="45" t="n">
        <f aca="false">INDEX('Transition Stepwise'!$J$2:$J$1137,MATCH(49&amp;"|"&amp;$A391&amp;"|"&amp;B$389,'Transition Stepwise'!$E$2:$E$1137,0))</f>
        <v>0.0655737704918033</v>
      </c>
      <c r="C391" s="45" t="n">
        <f aca="false">INDEX('Transition Stepwise'!$J$2:$J$1137,MATCH(49&amp;"|"&amp;$A391&amp;"|"&amp;C$389,'Transition Stepwise'!$E$2:$E$1137,0))</f>
        <v>0.573770491803279</v>
      </c>
      <c r="D391" s="45" t="n">
        <f aca="false">INDEX('Transition Stepwise'!$J$2:$J$1137,MATCH(49&amp;"|"&amp;$A391&amp;"|"&amp;D$389,'Transition Stepwise'!$E$2:$E$1137,0))</f>
        <v>0.213114754098361</v>
      </c>
      <c r="E391" s="45" t="n">
        <f aca="false">INDEX('Transition Stepwise'!$J$2:$J$1137,MATCH(49&amp;"|"&amp;$A391&amp;"|"&amp;E$389,'Transition Stepwise'!$E$2:$E$1137,0))</f>
        <v>0.147540983606557</v>
      </c>
      <c r="F391" s="38" t="n">
        <f aca="false">ROUND(SUM(B391:E391),9)</f>
        <v>1</v>
      </c>
    </row>
    <row r="392" customFormat="false" ht="15" hidden="false" customHeight="true" outlineLevel="0" collapsed="false">
      <c r="A392" s="41" t="s">
        <v>169</v>
      </c>
      <c r="B392" s="45" t="n">
        <f aca="false">INDEX('Transition Stepwise'!$J$2:$J$1137,MATCH(49&amp;"|"&amp;$A392&amp;"|"&amp;B$389,'Transition Stepwise'!$E$2:$E$1137,0))</f>
        <v>0.163461538461538</v>
      </c>
      <c r="C392" s="45" t="n">
        <f aca="false">INDEX('Transition Stepwise'!$J$2:$J$1137,MATCH(49&amp;"|"&amp;$A392&amp;"|"&amp;C$389,'Transition Stepwise'!$E$2:$E$1137,0))</f>
        <v>0.326923076923077</v>
      </c>
      <c r="D392" s="45" t="n">
        <f aca="false">INDEX('Transition Stepwise'!$J$2:$J$1137,MATCH(49&amp;"|"&amp;$A392&amp;"|"&amp;D$389,'Transition Stepwise'!$E$2:$E$1137,0))</f>
        <v>0.298076923076923</v>
      </c>
      <c r="E392" s="45" t="n">
        <f aca="false">INDEX('Transition Stepwise'!$J$2:$J$1137,MATCH(49&amp;"|"&amp;$A392&amp;"|"&amp;E$389,'Transition Stepwise'!$E$2:$E$1137,0))</f>
        <v>0.211538461538462</v>
      </c>
      <c r="F392" s="38" t="n">
        <f aca="false">ROUND(SUM(B392:E392),9)</f>
        <v>1</v>
      </c>
    </row>
    <row r="393" customFormat="false" ht="15" hidden="false" customHeight="true" outlineLevel="0" collapsed="false">
      <c r="A393" s="41" t="s">
        <v>171</v>
      </c>
      <c r="B393" s="45" t="n">
        <f aca="false">INDEX('Transition Stepwise'!$J$2:$J$1137,MATCH(49&amp;"|"&amp;$A393&amp;"|"&amp;B$389,'Transition Stepwise'!$E$2:$E$1137,0))</f>
        <v>0.2</v>
      </c>
      <c r="C393" s="45" t="n">
        <f aca="false">INDEX('Transition Stepwise'!$J$2:$J$1137,MATCH(49&amp;"|"&amp;$A393&amp;"|"&amp;C$389,'Transition Stepwise'!$E$2:$E$1137,0))</f>
        <v>0.4</v>
      </c>
      <c r="D393" s="45" t="n">
        <f aca="false">INDEX('Transition Stepwise'!$J$2:$J$1137,MATCH(49&amp;"|"&amp;$A393&amp;"|"&amp;D$389,'Transition Stepwise'!$E$2:$E$1137,0))</f>
        <v>0.333333333333333</v>
      </c>
      <c r="E393" s="45" t="n">
        <f aca="false">INDEX('Transition Stepwise'!$J$2:$J$1137,MATCH(49&amp;"|"&amp;$A393&amp;"|"&amp;E$389,'Transition Stepwise'!$E$2:$E$1137,0))</f>
        <v>0.0666666666666667</v>
      </c>
      <c r="F393" s="38" t="n">
        <f aca="false">ROUND(SUM(B393:E393),9)</f>
        <v>1</v>
      </c>
    </row>
    <row r="394" customFormat="false" ht="15" hidden="false" customHeight="true" outlineLevel="0" collapsed="false">
      <c r="A394" s="38"/>
      <c r="B394" s="38"/>
      <c r="C394" s="38"/>
      <c r="D394" s="38"/>
      <c r="E394" s="38"/>
      <c r="F394" s="38"/>
    </row>
    <row r="395" customFormat="false" ht="15" hidden="false" customHeight="true" outlineLevel="0" collapsed="false">
      <c r="A395" s="38"/>
      <c r="B395" s="38"/>
      <c r="C395" s="38"/>
      <c r="D395" s="38"/>
      <c r="E395" s="38"/>
      <c r="F395" s="38"/>
    </row>
    <row r="396" customFormat="false" ht="15" hidden="false" customHeight="true" outlineLevel="0" collapsed="false">
      <c r="A396" s="41" t="s">
        <v>743</v>
      </c>
      <c r="B396" s="38"/>
      <c r="C396" s="38"/>
      <c r="D396" s="38"/>
      <c r="E396" s="38"/>
      <c r="F396" s="38"/>
    </row>
    <row r="397" customFormat="false" ht="15" hidden="false" customHeight="true" outlineLevel="0" collapsed="false">
      <c r="A397" s="39" t="s">
        <v>693</v>
      </c>
      <c r="B397" s="39" t="s">
        <v>172</v>
      </c>
      <c r="C397" s="39" t="s">
        <v>170</v>
      </c>
      <c r="D397" s="39" t="s">
        <v>169</v>
      </c>
      <c r="E397" s="39" t="s">
        <v>171</v>
      </c>
      <c r="F397" s="39" t="s">
        <v>766</v>
      </c>
    </row>
    <row r="398" customFormat="false" ht="15" hidden="false" customHeight="true" outlineLevel="0" collapsed="false">
      <c r="A398" s="41" t="s">
        <v>172</v>
      </c>
      <c r="B398" s="45" t="n">
        <f aca="false">INDEX('Transition Stepwise'!$J$2:$J$1137,MATCH(50&amp;"|"&amp;$A398&amp;"|"&amp;B$397,'Transition Stepwise'!$E$2:$E$1137,0))</f>
        <v>0.148148148148148</v>
      </c>
      <c r="C398" s="45" t="n">
        <f aca="false">INDEX('Transition Stepwise'!$J$2:$J$1137,MATCH(50&amp;"|"&amp;$A398&amp;"|"&amp;C$397,'Transition Stepwise'!$E$2:$E$1137,0))</f>
        <v>0.111111111111111</v>
      </c>
      <c r="D398" s="45" t="n">
        <f aca="false">INDEX('Transition Stepwise'!$J$2:$J$1137,MATCH(50&amp;"|"&amp;$A398&amp;"|"&amp;D$397,'Transition Stepwise'!$E$2:$E$1137,0))</f>
        <v>0.62962962962963</v>
      </c>
      <c r="E398" s="45" t="n">
        <f aca="false">INDEX('Transition Stepwise'!$J$2:$J$1137,MATCH(50&amp;"|"&amp;$A398&amp;"|"&amp;E$397,'Transition Stepwise'!$E$2:$E$1137,0))</f>
        <v>0.111111111111111</v>
      </c>
      <c r="F398" s="38" t="n">
        <f aca="false">ROUND(SUM(B398:E398),9)</f>
        <v>1</v>
      </c>
    </row>
    <row r="399" customFormat="false" ht="15" hidden="false" customHeight="true" outlineLevel="0" collapsed="false">
      <c r="A399" s="41" t="s">
        <v>170</v>
      </c>
      <c r="B399" s="45" t="n">
        <f aca="false">INDEX('Transition Stepwise'!$J$2:$J$1137,MATCH(50&amp;"|"&amp;$A399&amp;"|"&amp;B$397,'Transition Stepwise'!$E$2:$E$1137,0))</f>
        <v>0.186813186813187</v>
      </c>
      <c r="C399" s="45" t="n">
        <f aca="false">INDEX('Transition Stepwise'!$J$2:$J$1137,MATCH(50&amp;"|"&amp;$A399&amp;"|"&amp;C$397,'Transition Stepwise'!$E$2:$E$1137,0))</f>
        <v>0.208791208791209</v>
      </c>
      <c r="D399" s="45" t="n">
        <f aca="false">INDEX('Transition Stepwise'!$J$2:$J$1137,MATCH(50&amp;"|"&amp;$A399&amp;"|"&amp;D$397,'Transition Stepwise'!$E$2:$E$1137,0))</f>
        <v>0.428571428571429</v>
      </c>
      <c r="E399" s="45" t="n">
        <f aca="false">INDEX('Transition Stepwise'!$J$2:$J$1137,MATCH(50&amp;"|"&amp;$A399&amp;"|"&amp;E$397,'Transition Stepwise'!$E$2:$E$1137,0))</f>
        <v>0.175824175824176</v>
      </c>
      <c r="F399" s="38" t="n">
        <f aca="false">ROUND(SUM(B399:E399),9)</f>
        <v>1</v>
      </c>
    </row>
    <row r="400" customFormat="false" ht="15" hidden="false" customHeight="true" outlineLevel="0" collapsed="false">
      <c r="A400" s="41" t="s">
        <v>169</v>
      </c>
      <c r="B400" s="45" t="n">
        <f aca="false">INDEX('Transition Stepwise'!$J$2:$J$1137,MATCH(50&amp;"|"&amp;$A400&amp;"|"&amp;B$397,'Transition Stepwise'!$E$2:$E$1137,0))</f>
        <v>0.087719298245614</v>
      </c>
      <c r="C400" s="45" t="n">
        <f aca="false">INDEX('Transition Stepwise'!$J$2:$J$1137,MATCH(50&amp;"|"&amp;$A400&amp;"|"&amp;C$397,'Transition Stepwise'!$E$2:$E$1137,0))</f>
        <v>0.263157894736842</v>
      </c>
      <c r="D400" s="45" t="n">
        <f aca="false">INDEX('Transition Stepwise'!$J$2:$J$1137,MATCH(50&amp;"|"&amp;$A400&amp;"|"&amp;D$397,'Transition Stepwise'!$E$2:$E$1137,0))</f>
        <v>0.473684210526316</v>
      </c>
      <c r="E400" s="45" t="n">
        <f aca="false">INDEX('Transition Stepwise'!$J$2:$J$1137,MATCH(50&amp;"|"&amp;$A400&amp;"|"&amp;E$397,'Transition Stepwise'!$E$2:$E$1137,0))</f>
        <v>0.175438596491228</v>
      </c>
      <c r="F400" s="38" t="n">
        <f aca="false">ROUND(SUM(B400:E400),9)</f>
        <v>1</v>
      </c>
    </row>
    <row r="401" customFormat="false" ht="15" hidden="false" customHeight="true" outlineLevel="0" collapsed="false">
      <c r="A401" s="41" t="s">
        <v>171</v>
      </c>
      <c r="B401" s="45" t="n">
        <f aca="false">INDEX('Transition Stepwise'!$J$2:$J$1137,MATCH(50&amp;"|"&amp;$A401&amp;"|"&amp;B$397,'Transition Stepwise'!$E$2:$E$1137,0))</f>
        <v>0.153846153846154</v>
      </c>
      <c r="C401" s="45" t="n">
        <f aca="false">INDEX('Transition Stepwise'!$J$2:$J$1137,MATCH(50&amp;"|"&amp;$A401&amp;"|"&amp;C$397,'Transition Stepwise'!$E$2:$E$1137,0))</f>
        <v>0.205128205128205</v>
      </c>
      <c r="D401" s="45" t="n">
        <f aca="false">INDEX('Transition Stepwise'!$J$2:$J$1137,MATCH(50&amp;"|"&amp;$A401&amp;"|"&amp;D$397,'Transition Stepwise'!$E$2:$E$1137,0))</f>
        <v>0.512820512820513</v>
      </c>
      <c r="E401" s="45" t="n">
        <f aca="false">INDEX('Transition Stepwise'!$J$2:$J$1137,MATCH(50&amp;"|"&amp;$A401&amp;"|"&amp;E$397,'Transition Stepwise'!$E$2:$E$1137,0))</f>
        <v>0.128205128205128</v>
      </c>
      <c r="F401" s="38" t="n">
        <f aca="false">ROUND(SUM(B401:E401),9)</f>
        <v>1</v>
      </c>
    </row>
    <row r="402" customFormat="false" ht="15" hidden="false" customHeight="true" outlineLevel="0" collapsed="false">
      <c r="A402" s="38"/>
      <c r="B402" s="38"/>
      <c r="C402" s="38"/>
      <c r="D402" s="38"/>
      <c r="E402" s="38"/>
      <c r="F402" s="38"/>
    </row>
    <row r="403" customFormat="false" ht="15" hidden="false" customHeight="true" outlineLevel="0" collapsed="false">
      <c r="A403" s="38"/>
      <c r="B403" s="38"/>
      <c r="C403" s="38"/>
      <c r="D403" s="38"/>
      <c r="E403" s="38"/>
      <c r="F403" s="38"/>
    </row>
    <row r="404" customFormat="false" ht="15" hidden="false" customHeight="true" outlineLevel="0" collapsed="false">
      <c r="A404" s="41" t="s">
        <v>744</v>
      </c>
      <c r="B404" s="38"/>
      <c r="C404" s="38"/>
      <c r="D404" s="38"/>
      <c r="E404" s="38"/>
      <c r="F404" s="38"/>
    </row>
    <row r="405" customFormat="false" ht="15" hidden="false" customHeight="true" outlineLevel="0" collapsed="false">
      <c r="A405" s="39" t="s">
        <v>693</v>
      </c>
      <c r="B405" s="39" t="s">
        <v>172</v>
      </c>
      <c r="C405" s="39" t="s">
        <v>170</v>
      </c>
      <c r="D405" s="39" t="s">
        <v>169</v>
      </c>
      <c r="E405" s="39" t="s">
        <v>171</v>
      </c>
      <c r="F405" s="39" t="s">
        <v>766</v>
      </c>
    </row>
    <row r="406" customFormat="false" ht="15" hidden="false" customHeight="true" outlineLevel="0" collapsed="false">
      <c r="A406" s="41" t="s">
        <v>172</v>
      </c>
      <c r="B406" s="45" t="n">
        <f aca="false">INDEX('Transition Stepwise'!$J$2:$J$1137,MATCH(51&amp;"|"&amp;$A406&amp;"|"&amp;B$405,'Transition Stepwise'!$E$2:$E$1137,0))</f>
        <v>0.0625</v>
      </c>
      <c r="C406" s="45" t="n">
        <f aca="false">INDEX('Transition Stepwise'!$J$2:$J$1137,MATCH(51&amp;"|"&amp;$A406&amp;"|"&amp;C$405,'Transition Stepwise'!$E$2:$E$1137,0))</f>
        <v>0.03125</v>
      </c>
      <c r="D406" s="45" t="n">
        <f aca="false">INDEX('Transition Stepwise'!$J$2:$J$1137,MATCH(51&amp;"|"&amp;$A406&amp;"|"&amp;D$405,'Transition Stepwise'!$E$2:$E$1137,0))</f>
        <v>0.875</v>
      </c>
      <c r="E406" s="45" t="n">
        <f aca="false">INDEX('Transition Stepwise'!$J$2:$J$1137,MATCH(51&amp;"|"&amp;$A406&amp;"|"&amp;E$405,'Transition Stepwise'!$E$2:$E$1137,0))</f>
        <v>0.03125</v>
      </c>
      <c r="F406" s="38" t="n">
        <f aca="false">ROUND(SUM(B406:E406),9)</f>
        <v>1</v>
      </c>
    </row>
    <row r="407" customFormat="false" ht="15" hidden="false" customHeight="true" outlineLevel="0" collapsed="false">
      <c r="A407" s="41" t="s">
        <v>170</v>
      </c>
      <c r="B407" s="45" t="n">
        <f aca="false">INDEX('Transition Stepwise'!$J$2:$J$1137,MATCH(51&amp;"|"&amp;$A407&amp;"|"&amp;B$405,'Transition Stepwise'!$E$2:$E$1137,0))</f>
        <v>0.222222222222222</v>
      </c>
      <c r="C407" s="45" t="n">
        <f aca="false">INDEX('Transition Stepwise'!$J$2:$J$1137,MATCH(51&amp;"|"&amp;$A407&amp;"|"&amp;C$405,'Transition Stepwise'!$E$2:$E$1137,0))</f>
        <v>0.0222222222222222</v>
      </c>
      <c r="D407" s="45" t="n">
        <f aca="false">INDEX('Transition Stepwise'!$J$2:$J$1137,MATCH(51&amp;"|"&amp;$A407&amp;"|"&amp;D$405,'Transition Stepwise'!$E$2:$E$1137,0))</f>
        <v>0.733333333333333</v>
      </c>
      <c r="E407" s="45" t="n">
        <f aca="false">INDEX('Transition Stepwise'!$J$2:$J$1137,MATCH(51&amp;"|"&amp;$A407&amp;"|"&amp;E$405,'Transition Stepwise'!$E$2:$E$1137,0))</f>
        <v>0.0222222222222222</v>
      </c>
      <c r="F407" s="38" t="n">
        <f aca="false">ROUND(SUM(B407:E407),9)</f>
        <v>1</v>
      </c>
    </row>
    <row r="408" customFormat="false" ht="15" hidden="false" customHeight="true" outlineLevel="0" collapsed="false">
      <c r="A408" s="41" t="s">
        <v>169</v>
      </c>
      <c r="B408" s="45" t="n">
        <f aca="false">INDEX('Transition Stepwise'!$J$2:$J$1137,MATCH(51&amp;"|"&amp;$A408&amp;"|"&amp;B$405,'Transition Stepwise'!$E$2:$E$1137,0))</f>
        <v>0.155339805825243</v>
      </c>
      <c r="C408" s="45" t="n">
        <f aca="false">INDEX('Transition Stepwise'!$J$2:$J$1137,MATCH(51&amp;"|"&amp;$A408&amp;"|"&amp;C$405,'Transition Stepwise'!$E$2:$E$1137,0))</f>
        <v>0.0194174757281553</v>
      </c>
      <c r="D408" s="45" t="n">
        <f aca="false">INDEX('Transition Stepwise'!$J$2:$J$1137,MATCH(51&amp;"|"&amp;$A408&amp;"|"&amp;D$405,'Transition Stepwise'!$E$2:$E$1137,0))</f>
        <v>0.786407766990291</v>
      </c>
      <c r="E408" s="45" t="n">
        <f aca="false">INDEX('Transition Stepwise'!$J$2:$J$1137,MATCH(51&amp;"|"&amp;$A408&amp;"|"&amp;E$405,'Transition Stepwise'!$E$2:$E$1137,0))</f>
        <v>0.0388349514563107</v>
      </c>
      <c r="F408" s="38" t="n">
        <f aca="false">ROUND(SUM(B408:E408),9)</f>
        <v>1</v>
      </c>
    </row>
    <row r="409" customFormat="false" ht="15" hidden="false" customHeight="true" outlineLevel="0" collapsed="false">
      <c r="A409" s="41" t="s">
        <v>171</v>
      </c>
      <c r="B409" s="45" t="n">
        <f aca="false">INDEX('Transition Stepwise'!$J$2:$J$1137,MATCH(51&amp;"|"&amp;$A409&amp;"|"&amp;B$405,'Transition Stepwise'!$E$2:$E$1137,0))</f>
        <v>0.0588235294117647</v>
      </c>
      <c r="C409" s="45" t="n">
        <f aca="false">INDEX('Transition Stepwise'!$J$2:$J$1137,MATCH(51&amp;"|"&amp;$A409&amp;"|"&amp;C$405,'Transition Stepwise'!$E$2:$E$1137,0))</f>
        <v>0.0294117647058824</v>
      </c>
      <c r="D409" s="45" t="n">
        <f aca="false">INDEX('Transition Stepwise'!$J$2:$J$1137,MATCH(51&amp;"|"&amp;$A409&amp;"|"&amp;D$405,'Transition Stepwise'!$E$2:$E$1137,0))</f>
        <v>0.852941176470588</v>
      </c>
      <c r="E409" s="45" t="n">
        <f aca="false">INDEX('Transition Stepwise'!$J$2:$J$1137,MATCH(51&amp;"|"&amp;$A409&amp;"|"&amp;E$405,'Transition Stepwise'!$E$2:$E$1137,0))</f>
        <v>0.0588235294117647</v>
      </c>
      <c r="F409" s="38" t="n">
        <f aca="false">ROUND(SUM(B409:E409),9)</f>
        <v>1</v>
      </c>
    </row>
    <row r="410" customFormat="false" ht="15" hidden="false" customHeight="true" outlineLevel="0" collapsed="false">
      <c r="A410" s="38"/>
      <c r="B410" s="38"/>
      <c r="C410" s="38"/>
      <c r="D410" s="38"/>
      <c r="E410" s="38"/>
      <c r="F410" s="38"/>
    </row>
    <row r="411" customFormat="false" ht="15" hidden="false" customHeight="true" outlineLevel="0" collapsed="false">
      <c r="A411" s="38"/>
      <c r="B411" s="38"/>
      <c r="C411" s="38"/>
      <c r="D411" s="38"/>
      <c r="E411" s="38"/>
      <c r="F411" s="38"/>
    </row>
    <row r="412" customFormat="false" ht="15" hidden="false" customHeight="true" outlineLevel="0" collapsed="false">
      <c r="A412" s="41" t="s">
        <v>745</v>
      </c>
      <c r="B412" s="38"/>
      <c r="C412" s="38"/>
      <c r="D412" s="38"/>
      <c r="E412" s="38"/>
      <c r="F412" s="38"/>
    </row>
    <row r="413" customFormat="false" ht="15" hidden="false" customHeight="true" outlineLevel="0" collapsed="false">
      <c r="A413" s="39" t="s">
        <v>693</v>
      </c>
      <c r="B413" s="39" t="s">
        <v>172</v>
      </c>
      <c r="C413" s="39" t="s">
        <v>170</v>
      </c>
      <c r="D413" s="39" t="s">
        <v>169</v>
      </c>
      <c r="E413" s="39" t="s">
        <v>171</v>
      </c>
      <c r="F413" s="39" t="s">
        <v>766</v>
      </c>
    </row>
    <row r="414" customFormat="false" ht="15" hidden="false" customHeight="true" outlineLevel="0" collapsed="false">
      <c r="A414" s="41" t="s">
        <v>172</v>
      </c>
      <c r="B414" s="45" t="n">
        <f aca="false">INDEX('Transition Stepwise'!$J$2:$J$1137,MATCH(52&amp;"|"&amp;$A414&amp;"|"&amp;B$413,'Transition Stepwise'!$E$2:$E$1137,0))</f>
        <v>0.0333333333333333</v>
      </c>
      <c r="C414" s="45" t="n">
        <f aca="false">INDEX('Transition Stepwise'!$J$2:$J$1137,MATCH(52&amp;"|"&amp;$A414&amp;"|"&amp;C$413,'Transition Stepwise'!$E$2:$E$1137,0))</f>
        <v>0.0333333333333333</v>
      </c>
      <c r="D414" s="45" t="n">
        <f aca="false">INDEX('Transition Stepwise'!$J$2:$J$1137,MATCH(52&amp;"|"&amp;$A414&amp;"|"&amp;D$413,'Transition Stepwise'!$E$2:$E$1137,0))</f>
        <v>0.9</v>
      </c>
      <c r="E414" s="45" t="n">
        <f aca="false">INDEX('Transition Stepwise'!$J$2:$J$1137,MATCH(52&amp;"|"&amp;$A414&amp;"|"&amp;E$413,'Transition Stepwise'!$E$2:$E$1137,0))</f>
        <v>0.0333333333333333</v>
      </c>
      <c r="F414" s="38" t="n">
        <f aca="false">ROUND(SUM(B414:E414),9)</f>
        <v>1</v>
      </c>
    </row>
    <row r="415" customFormat="false" ht="15" hidden="false" customHeight="true" outlineLevel="0" collapsed="false">
      <c r="A415" s="41" t="s">
        <v>170</v>
      </c>
      <c r="B415" s="45" t="n">
        <f aca="false">INDEX('Transition Stepwise'!$J$2:$J$1137,MATCH(52&amp;"|"&amp;$A415&amp;"|"&amp;B$413,'Transition Stepwise'!$E$2:$E$1137,0))</f>
        <v>0.166666666666667</v>
      </c>
      <c r="C415" s="45" t="n">
        <f aca="false">INDEX('Transition Stepwise'!$J$2:$J$1137,MATCH(52&amp;"|"&amp;$A415&amp;"|"&amp;C$413,'Transition Stepwise'!$E$2:$E$1137,0))</f>
        <v>0.166666666666667</v>
      </c>
      <c r="D415" s="45" t="n">
        <f aca="false">INDEX('Transition Stepwise'!$J$2:$J$1137,MATCH(52&amp;"|"&amp;$A415&amp;"|"&amp;D$413,'Transition Stepwise'!$E$2:$E$1137,0))</f>
        <v>0.5</v>
      </c>
      <c r="E415" s="45" t="n">
        <f aca="false">INDEX('Transition Stepwise'!$J$2:$J$1137,MATCH(52&amp;"|"&amp;$A415&amp;"|"&amp;E$413,'Transition Stepwise'!$E$2:$E$1137,0))</f>
        <v>0.166666666666667</v>
      </c>
      <c r="F415" s="38" t="n">
        <f aca="false">ROUND(SUM(B415:E415),9)</f>
        <v>1</v>
      </c>
    </row>
    <row r="416" customFormat="false" ht="15" hidden="false" customHeight="true" outlineLevel="0" collapsed="false">
      <c r="A416" s="41" t="s">
        <v>169</v>
      </c>
      <c r="B416" s="45" t="n">
        <f aca="false">INDEX('Transition Stepwise'!$J$2:$J$1137,MATCH(52&amp;"|"&amp;$A416&amp;"|"&amp;B$413,'Transition Stepwise'!$E$2:$E$1137,0))</f>
        <v>0.0116959064327485</v>
      </c>
      <c r="C416" s="45" t="n">
        <f aca="false">INDEX('Transition Stepwise'!$J$2:$J$1137,MATCH(52&amp;"|"&amp;$A416&amp;"|"&amp;C$413,'Transition Stepwise'!$E$2:$E$1137,0))</f>
        <v>0.00584795321637427</v>
      </c>
      <c r="D416" s="45" t="n">
        <f aca="false">INDEX('Transition Stepwise'!$J$2:$J$1137,MATCH(52&amp;"|"&amp;$A416&amp;"|"&amp;D$413,'Transition Stepwise'!$E$2:$E$1137,0))</f>
        <v>0.964912280701754</v>
      </c>
      <c r="E416" s="45" t="n">
        <f aca="false">INDEX('Transition Stepwise'!$J$2:$J$1137,MATCH(52&amp;"|"&amp;$A416&amp;"|"&amp;E$413,'Transition Stepwise'!$E$2:$E$1137,0))</f>
        <v>0.0175438596491228</v>
      </c>
      <c r="F416" s="38" t="n">
        <f aca="false">ROUND(SUM(B416:E416),9)</f>
        <v>1</v>
      </c>
    </row>
    <row r="417" customFormat="false" ht="15" hidden="false" customHeight="true" outlineLevel="0" collapsed="false">
      <c r="A417" s="41" t="s">
        <v>171</v>
      </c>
      <c r="B417" s="45" t="n">
        <f aca="false">INDEX('Transition Stepwise'!$J$2:$J$1137,MATCH(52&amp;"|"&amp;$A417&amp;"|"&amp;B$413,'Transition Stepwise'!$E$2:$E$1137,0))</f>
        <v>0.125</v>
      </c>
      <c r="C417" s="45" t="n">
        <f aca="false">INDEX('Transition Stepwise'!$J$2:$J$1137,MATCH(52&amp;"|"&amp;$A417&amp;"|"&amp;C$413,'Transition Stepwise'!$E$2:$E$1137,0))</f>
        <v>0.25</v>
      </c>
      <c r="D417" s="45" t="n">
        <f aca="false">INDEX('Transition Stepwise'!$J$2:$J$1137,MATCH(52&amp;"|"&amp;$A417&amp;"|"&amp;D$413,'Transition Stepwise'!$E$2:$E$1137,0))</f>
        <v>0.5</v>
      </c>
      <c r="E417" s="45" t="n">
        <f aca="false">INDEX('Transition Stepwise'!$J$2:$J$1137,MATCH(52&amp;"|"&amp;$A417&amp;"|"&amp;E$413,'Transition Stepwise'!$E$2:$E$1137,0))</f>
        <v>0.125</v>
      </c>
      <c r="F417" s="38" t="n">
        <f aca="false">ROUND(SUM(B417:E417),9)</f>
        <v>1</v>
      </c>
    </row>
    <row r="418" customFormat="false" ht="15" hidden="false" customHeight="true" outlineLevel="0" collapsed="false">
      <c r="A418" s="38"/>
      <c r="B418" s="38"/>
      <c r="C418" s="38"/>
      <c r="D418" s="38"/>
      <c r="E418" s="38"/>
      <c r="F418" s="38"/>
    </row>
    <row r="419" customFormat="false" ht="15" hidden="false" customHeight="true" outlineLevel="0" collapsed="false">
      <c r="A419" s="38"/>
      <c r="B419" s="38"/>
      <c r="C419" s="38"/>
      <c r="D419" s="38"/>
      <c r="E419" s="38"/>
      <c r="F419" s="38"/>
    </row>
    <row r="420" customFormat="false" ht="15" hidden="false" customHeight="true" outlineLevel="0" collapsed="false">
      <c r="A420" s="41" t="s">
        <v>746</v>
      </c>
      <c r="B420" s="38"/>
      <c r="C420" s="38"/>
      <c r="D420" s="38"/>
      <c r="E420" s="38"/>
      <c r="F420" s="38"/>
    </row>
    <row r="421" customFormat="false" ht="15" hidden="false" customHeight="true" outlineLevel="0" collapsed="false">
      <c r="A421" s="39" t="s">
        <v>693</v>
      </c>
      <c r="B421" s="39" t="s">
        <v>172</v>
      </c>
      <c r="C421" s="39" t="s">
        <v>170</v>
      </c>
      <c r="D421" s="39" t="s">
        <v>169</v>
      </c>
      <c r="E421" s="39" t="s">
        <v>171</v>
      </c>
      <c r="F421" s="39" t="s">
        <v>766</v>
      </c>
    </row>
    <row r="422" customFormat="false" ht="15" hidden="false" customHeight="true" outlineLevel="0" collapsed="false">
      <c r="A422" s="41" t="s">
        <v>172</v>
      </c>
      <c r="B422" s="45" t="n">
        <f aca="false">INDEX('Transition Stepwise'!$J$2:$J$1137,MATCH(53&amp;"|"&amp;$A422&amp;"|"&amp;B$421,'Transition Stepwise'!$E$2:$E$1137,0))</f>
        <v>0.2</v>
      </c>
      <c r="C422" s="45" t="n">
        <f aca="false">INDEX('Transition Stepwise'!$J$2:$J$1137,MATCH(53&amp;"|"&amp;$A422&amp;"|"&amp;C$421,'Transition Stepwise'!$E$2:$E$1137,0))</f>
        <v>0.2</v>
      </c>
      <c r="D422" s="45" t="n">
        <f aca="false">INDEX('Transition Stepwise'!$J$2:$J$1137,MATCH(53&amp;"|"&amp;$A422&amp;"|"&amp;D$421,'Transition Stepwise'!$E$2:$E$1137,0))</f>
        <v>0.2</v>
      </c>
      <c r="E422" s="45" t="n">
        <f aca="false">INDEX('Transition Stepwise'!$J$2:$J$1137,MATCH(53&amp;"|"&amp;$A422&amp;"|"&amp;E$421,'Transition Stepwise'!$E$2:$E$1137,0))</f>
        <v>0.4</v>
      </c>
      <c r="F422" s="38" t="n">
        <f aca="false">ROUND(SUM(B422:E422),9)</f>
        <v>1</v>
      </c>
    </row>
    <row r="423" customFormat="false" ht="15" hidden="false" customHeight="true" outlineLevel="0" collapsed="false">
      <c r="A423" s="41" t="s">
        <v>170</v>
      </c>
      <c r="B423" s="45" t="n">
        <f aca="false">INDEX('Transition Stepwise'!$J$2:$J$1137,MATCH(53&amp;"|"&amp;$A423&amp;"|"&amp;B$421,'Transition Stepwise'!$E$2:$E$1137,0))</f>
        <v>0.2</v>
      </c>
      <c r="C423" s="45" t="n">
        <f aca="false">INDEX('Transition Stepwise'!$J$2:$J$1137,MATCH(53&amp;"|"&amp;$A423&amp;"|"&amp;C$421,'Transition Stepwise'!$E$2:$E$1137,0))</f>
        <v>0.2</v>
      </c>
      <c r="D423" s="45" t="n">
        <f aca="false">INDEX('Transition Stepwise'!$J$2:$J$1137,MATCH(53&amp;"|"&amp;$A423&amp;"|"&amp;D$421,'Transition Stepwise'!$E$2:$E$1137,0))</f>
        <v>0.2</v>
      </c>
      <c r="E423" s="45" t="n">
        <f aca="false">INDEX('Transition Stepwise'!$J$2:$J$1137,MATCH(53&amp;"|"&amp;$A423&amp;"|"&amp;E$421,'Transition Stepwise'!$E$2:$E$1137,0))</f>
        <v>0.4</v>
      </c>
      <c r="F423" s="38" t="n">
        <f aca="false">ROUND(SUM(B423:E423),9)</f>
        <v>1</v>
      </c>
    </row>
    <row r="424" customFormat="false" ht="15" hidden="false" customHeight="true" outlineLevel="0" collapsed="false">
      <c r="A424" s="41" t="s">
        <v>169</v>
      </c>
      <c r="B424" s="45" t="n">
        <f aca="false">INDEX('Transition Stepwise'!$J$2:$J$1137,MATCH(53&amp;"|"&amp;$A424&amp;"|"&amp;B$421,'Transition Stepwise'!$E$2:$E$1137,0))</f>
        <v>0.0150753768844221</v>
      </c>
      <c r="C424" s="45" t="n">
        <f aca="false">INDEX('Transition Stepwise'!$J$2:$J$1137,MATCH(53&amp;"|"&amp;$A424&amp;"|"&amp;C$421,'Transition Stepwise'!$E$2:$E$1137,0))</f>
        <v>0.0050251256281407</v>
      </c>
      <c r="D424" s="45" t="n">
        <f aca="false">INDEX('Transition Stepwise'!$J$2:$J$1137,MATCH(53&amp;"|"&amp;$A424&amp;"|"&amp;D$421,'Transition Stepwise'!$E$2:$E$1137,0))</f>
        <v>0.0050251256281407</v>
      </c>
      <c r="E424" s="45" t="n">
        <f aca="false">INDEX('Transition Stepwise'!$J$2:$J$1137,MATCH(53&amp;"|"&amp;$A424&amp;"|"&amp;E$421,'Transition Stepwise'!$E$2:$E$1137,0))</f>
        <v>0.974874371859297</v>
      </c>
      <c r="F424" s="38" t="n">
        <f aca="false">ROUND(SUM(B424:E424),9)</f>
        <v>1</v>
      </c>
    </row>
    <row r="425" customFormat="false" ht="15" hidden="false" customHeight="true" outlineLevel="0" collapsed="false">
      <c r="A425" s="41" t="s">
        <v>171</v>
      </c>
      <c r="B425" s="45" t="n">
        <f aca="false">INDEX('Transition Stepwise'!$J$2:$J$1137,MATCH(53&amp;"|"&amp;$A425&amp;"|"&amp;B$421,'Transition Stepwise'!$E$2:$E$1137,0))</f>
        <v>0.166666666666667</v>
      </c>
      <c r="C425" s="45" t="n">
        <f aca="false">INDEX('Transition Stepwise'!$J$2:$J$1137,MATCH(53&amp;"|"&amp;$A425&amp;"|"&amp;C$421,'Transition Stepwise'!$E$2:$E$1137,0))</f>
        <v>0.166666666666667</v>
      </c>
      <c r="D425" s="45" t="n">
        <f aca="false">INDEX('Transition Stepwise'!$J$2:$J$1137,MATCH(53&amp;"|"&amp;$A425&amp;"|"&amp;D$421,'Transition Stepwise'!$E$2:$E$1137,0))</f>
        <v>0.166666666666667</v>
      </c>
      <c r="E425" s="45" t="n">
        <f aca="false">INDEX('Transition Stepwise'!$J$2:$J$1137,MATCH(53&amp;"|"&amp;$A425&amp;"|"&amp;E$421,'Transition Stepwise'!$E$2:$E$1137,0))</f>
        <v>0.5</v>
      </c>
      <c r="F425" s="38" t="n">
        <f aca="false">ROUND(SUM(B425:E425),9)</f>
        <v>1</v>
      </c>
    </row>
    <row r="426" customFormat="false" ht="15" hidden="false" customHeight="true" outlineLevel="0" collapsed="false">
      <c r="A426" s="38"/>
      <c r="B426" s="38"/>
      <c r="C426" s="38"/>
      <c r="D426" s="38"/>
      <c r="E426" s="38"/>
      <c r="F426" s="38"/>
    </row>
    <row r="427" customFormat="false" ht="15" hidden="false" customHeight="true" outlineLevel="0" collapsed="false">
      <c r="A427" s="38"/>
      <c r="B427" s="38"/>
      <c r="C427" s="38"/>
      <c r="D427" s="38"/>
      <c r="E427" s="38"/>
      <c r="F427" s="38"/>
    </row>
    <row r="428" customFormat="false" ht="15" hidden="false" customHeight="true" outlineLevel="0" collapsed="false">
      <c r="A428" s="41" t="s">
        <v>747</v>
      </c>
      <c r="B428" s="38"/>
      <c r="C428" s="38"/>
      <c r="D428" s="38"/>
      <c r="E428" s="38"/>
      <c r="F428" s="38"/>
    </row>
    <row r="429" customFormat="false" ht="15" hidden="false" customHeight="true" outlineLevel="0" collapsed="false">
      <c r="A429" s="39" t="s">
        <v>693</v>
      </c>
      <c r="B429" s="39" t="s">
        <v>172</v>
      </c>
      <c r="C429" s="39" t="s">
        <v>170</v>
      </c>
      <c r="D429" s="39" t="s">
        <v>169</v>
      </c>
      <c r="E429" s="39" t="s">
        <v>171</v>
      </c>
      <c r="F429" s="39" t="s">
        <v>766</v>
      </c>
    </row>
    <row r="430" customFormat="false" ht="15" hidden="false" customHeight="true" outlineLevel="0" collapsed="false">
      <c r="A430" s="41" t="s">
        <v>172</v>
      </c>
      <c r="B430" s="45" t="n">
        <f aca="false">INDEX('Transition Stepwise'!$J$2:$J$1137,MATCH(54&amp;"|"&amp;$A430&amp;"|"&amp;B$429,'Transition Stepwise'!$E$2:$E$1137,0))</f>
        <v>0.166666666666667</v>
      </c>
      <c r="C430" s="45" t="n">
        <f aca="false">INDEX('Transition Stepwise'!$J$2:$J$1137,MATCH(54&amp;"|"&amp;$A430&amp;"|"&amp;C$429,'Transition Stepwise'!$E$2:$E$1137,0))</f>
        <v>0.166666666666667</v>
      </c>
      <c r="D430" s="45" t="n">
        <f aca="false">INDEX('Transition Stepwise'!$J$2:$J$1137,MATCH(54&amp;"|"&amp;$A430&amp;"|"&amp;D$429,'Transition Stepwise'!$E$2:$E$1137,0))</f>
        <v>0.166666666666667</v>
      </c>
      <c r="E430" s="45" t="n">
        <f aca="false">INDEX('Transition Stepwise'!$J$2:$J$1137,MATCH(54&amp;"|"&amp;$A430&amp;"|"&amp;E$429,'Transition Stepwise'!$E$2:$E$1137,0))</f>
        <v>0.5</v>
      </c>
      <c r="F430" s="38" t="n">
        <f aca="false">ROUND(SUM(B430:E430),9)</f>
        <v>1</v>
      </c>
    </row>
    <row r="431" customFormat="false" ht="15" hidden="false" customHeight="true" outlineLevel="0" collapsed="false">
      <c r="A431" s="41" t="s">
        <v>170</v>
      </c>
      <c r="B431" s="45" t="n">
        <f aca="false">INDEX('Transition Stepwise'!$J$2:$J$1137,MATCH(54&amp;"|"&amp;$A431&amp;"|"&amp;B$429,'Transition Stepwise'!$E$2:$E$1137,0))</f>
        <v>0.25</v>
      </c>
      <c r="C431" s="45" t="n">
        <f aca="false">INDEX('Transition Stepwise'!$J$2:$J$1137,MATCH(54&amp;"|"&amp;$A431&amp;"|"&amp;C$429,'Transition Stepwise'!$E$2:$E$1137,0))</f>
        <v>0.25</v>
      </c>
      <c r="D431" s="45" t="n">
        <f aca="false">INDEX('Transition Stepwise'!$J$2:$J$1137,MATCH(54&amp;"|"&amp;$A431&amp;"|"&amp;D$429,'Transition Stepwise'!$E$2:$E$1137,0))</f>
        <v>0.25</v>
      </c>
      <c r="E431" s="45" t="n">
        <f aca="false">INDEX('Transition Stepwise'!$J$2:$J$1137,MATCH(54&amp;"|"&amp;$A431&amp;"|"&amp;E$429,'Transition Stepwise'!$E$2:$E$1137,0))</f>
        <v>0.25</v>
      </c>
      <c r="F431" s="38" t="n">
        <f aca="false">ROUND(SUM(B431:E431),9)</f>
        <v>1</v>
      </c>
    </row>
    <row r="432" customFormat="false" ht="15" hidden="false" customHeight="true" outlineLevel="0" collapsed="false">
      <c r="A432" s="41" t="s">
        <v>169</v>
      </c>
      <c r="B432" s="45" t="n">
        <f aca="false">INDEX('Transition Stepwise'!$J$2:$J$1137,MATCH(54&amp;"|"&amp;$A432&amp;"|"&amp;B$429,'Transition Stepwise'!$E$2:$E$1137,0))</f>
        <v>0.25</v>
      </c>
      <c r="C432" s="45" t="n">
        <f aca="false">INDEX('Transition Stepwise'!$J$2:$J$1137,MATCH(54&amp;"|"&amp;$A432&amp;"|"&amp;C$429,'Transition Stepwise'!$E$2:$E$1137,0))</f>
        <v>0.25</v>
      </c>
      <c r="D432" s="45" t="n">
        <f aca="false">INDEX('Transition Stepwise'!$J$2:$J$1137,MATCH(54&amp;"|"&amp;$A432&amp;"|"&amp;D$429,'Transition Stepwise'!$E$2:$E$1137,0))</f>
        <v>0.25</v>
      </c>
      <c r="E432" s="45" t="n">
        <f aca="false">INDEX('Transition Stepwise'!$J$2:$J$1137,MATCH(54&amp;"|"&amp;$A432&amp;"|"&amp;E$429,'Transition Stepwise'!$E$2:$E$1137,0))</f>
        <v>0.25</v>
      </c>
      <c r="F432" s="38" t="n">
        <f aca="false">ROUND(SUM(B432:E432),9)</f>
        <v>1</v>
      </c>
    </row>
    <row r="433" customFormat="false" ht="15" hidden="false" customHeight="true" outlineLevel="0" collapsed="false">
      <c r="A433" s="41" t="s">
        <v>171</v>
      </c>
      <c r="B433" s="45" t="n">
        <f aca="false">INDEX('Transition Stepwise'!$J$2:$J$1137,MATCH(54&amp;"|"&amp;$A433&amp;"|"&amp;B$429,'Transition Stepwise'!$E$2:$E$1137,0))</f>
        <v>0.00995024875621891</v>
      </c>
      <c r="C433" s="45" t="n">
        <f aca="false">INDEX('Transition Stepwise'!$J$2:$J$1137,MATCH(54&amp;"|"&amp;$A433&amp;"|"&amp;C$429,'Transition Stepwise'!$E$2:$E$1137,0))</f>
        <v>0.00995024875621891</v>
      </c>
      <c r="D433" s="45" t="n">
        <f aca="false">INDEX('Transition Stepwise'!$J$2:$J$1137,MATCH(54&amp;"|"&amp;$A433&amp;"|"&amp;D$429,'Transition Stepwise'!$E$2:$E$1137,0))</f>
        <v>0.00995024875621891</v>
      </c>
      <c r="E433" s="45" t="n">
        <f aca="false">INDEX('Transition Stepwise'!$J$2:$J$1137,MATCH(54&amp;"|"&amp;$A433&amp;"|"&amp;E$429,'Transition Stepwise'!$E$2:$E$1137,0))</f>
        <v>0.970149253731343</v>
      </c>
      <c r="F433" s="38" t="n">
        <f aca="false">ROUND(SUM(B433:E433),9)</f>
        <v>1</v>
      </c>
    </row>
    <row r="434" customFormat="false" ht="15" hidden="false" customHeight="true" outlineLevel="0" collapsed="false">
      <c r="A434" s="38"/>
      <c r="B434" s="38"/>
      <c r="C434" s="38"/>
      <c r="D434" s="38"/>
      <c r="E434" s="38"/>
      <c r="F434" s="38"/>
    </row>
    <row r="435" customFormat="false" ht="15" hidden="false" customHeight="true" outlineLevel="0" collapsed="false">
      <c r="A435" s="38"/>
      <c r="B435" s="38"/>
      <c r="C435" s="38"/>
      <c r="D435" s="38"/>
      <c r="E435" s="38"/>
      <c r="F435" s="38"/>
    </row>
    <row r="436" customFormat="false" ht="15" hidden="false" customHeight="true" outlineLevel="0" collapsed="false">
      <c r="A436" s="41" t="s">
        <v>748</v>
      </c>
      <c r="B436" s="38"/>
      <c r="C436" s="38"/>
      <c r="D436" s="38"/>
      <c r="E436" s="38"/>
      <c r="F436" s="38"/>
    </row>
    <row r="437" customFormat="false" ht="15" hidden="false" customHeight="true" outlineLevel="0" collapsed="false">
      <c r="A437" s="39" t="s">
        <v>693</v>
      </c>
      <c r="B437" s="39" t="s">
        <v>172</v>
      </c>
      <c r="C437" s="39" t="s">
        <v>170</v>
      </c>
      <c r="D437" s="39" t="s">
        <v>169</v>
      </c>
      <c r="E437" s="39" t="s">
        <v>171</v>
      </c>
      <c r="F437" s="39" t="s">
        <v>766</v>
      </c>
    </row>
    <row r="438" customFormat="false" ht="15" hidden="false" customHeight="true" outlineLevel="0" collapsed="false">
      <c r="A438" s="41" t="s">
        <v>172</v>
      </c>
      <c r="B438" s="45" t="n">
        <f aca="false">INDEX('Transition Stepwise'!$J$2:$J$1137,MATCH(55&amp;"|"&amp;$A438&amp;"|"&amp;B$437,'Transition Stepwise'!$E$2:$E$1137,0))</f>
        <v>0.4</v>
      </c>
      <c r="C438" s="45" t="n">
        <f aca="false">INDEX('Transition Stepwise'!$J$2:$J$1137,MATCH(55&amp;"|"&amp;$A438&amp;"|"&amp;C$437,'Transition Stepwise'!$E$2:$E$1137,0))</f>
        <v>0.2</v>
      </c>
      <c r="D438" s="45" t="n">
        <f aca="false">INDEX('Transition Stepwise'!$J$2:$J$1137,MATCH(55&amp;"|"&amp;$A438&amp;"|"&amp;D$437,'Transition Stepwise'!$E$2:$E$1137,0))</f>
        <v>0.2</v>
      </c>
      <c r="E438" s="45" t="n">
        <f aca="false">INDEX('Transition Stepwise'!$J$2:$J$1137,MATCH(55&amp;"|"&amp;$A438&amp;"|"&amp;E$437,'Transition Stepwise'!$E$2:$E$1137,0))</f>
        <v>0.2</v>
      </c>
      <c r="F438" s="38" t="n">
        <f aca="false">ROUND(SUM(B438:E438),9)</f>
        <v>1</v>
      </c>
    </row>
    <row r="439" customFormat="false" ht="15" hidden="false" customHeight="true" outlineLevel="0" collapsed="false">
      <c r="A439" s="41" t="s">
        <v>170</v>
      </c>
      <c r="B439" s="45" t="n">
        <f aca="false">INDEX('Transition Stepwise'!$J$2:$J$1137,MATCH(55&amp;"|"&amp;$A439&amp;"|"&amp;B$437,'Transition Stepwise'!$E$2:$E$1137,0))</f>
        <v>0.2</v>
      </c>
      <c r="C439" s="45" t="n">
        <f aca="false">INDEX('Transition Stepwise'!$J$2:$J$1137,MATCH(55&amp;"|"&amp;$A439&amp;"|"&amp;C$437,'Transition Stepwise'!$E$2:$E$1137,0))</f>
        <v>0.2</v>
      </c>
      <c r="D439" s="45" t="n">
        <f aca="false">INDEX('Transition Stepwise'!$J$2:$J$1137,MATCH(55&amp;"|"&amp;$A439&amp;"|"&amp;D$437,'Transition Stepwise'!$E$2:$E$1137,0))</f>
        <v>0.4</v>
      </c>
      <c r="E439" s="45" t="n">
        <f aca="false">INDEX('Transition Stepwise'!$J$2:$J$1137,MATCH(55&amp;"|"&amp;$A439&amp;"|"&amp;E$437,'Transition Stepwise'!$E$2:$E$1137,0))</f>
        <v>0.2</v>
      </c>
      <c r="F439" s="38" t="n">
        <f aca="false">ROUND(SUM(B439:E439),9)</f>
        <v>1</v>
      </c>
    </row>
    <row r="440" customFormat="false" ht="15" hidden="false" customHeight="true" outlineLevel="0" collapsed="false">
      <c r="A440" s="41" t="s">
        <v>169</v>
      </c>
      <c r="B440" s="45" t="n">
        <f aca="false">INDEX('Transition Stepwise'!$J$2:$J$1137,MATCH(55&amp;"|"&amp;$A440&amp;"|"&amp;B$437,'Transition Stepwise'!$E$2:$E$1137,0))</f>
        <v>0.2</v>
      </c>
      <c r="C440" s="45" t="n">
        <f aca="false">INDEX('Transition Stepwise'!$J$2:$J$1137,MATCH(55&amp;"|"&amp;$A440&amp;"|"&amp;C$437,'Transition Stepwise'!$E$2:$E$1137,0))</f>
        <v>0.4</v>
      </c>
      <c r="D440" s="45" t="n">
        <f aca="false">INDEX('Transition Stepwise'!$J$2:$J$1137,MATCH(55&amp;"|"&amp;$A440&amp;"|"&amp;D$437,'Transition Stepwise'!$E$2:$E$1137,0))</f>
        <v>0.2</v>
      </c>
      <c r="E440" s="45" t="n">
        <f aca="false">INDEX('Transition Stepwise'!$J$2:$J$1137,MATCH(55&amp;"|"&amp;$A440&amp;"|"&amp;E$437,'Transition Stepwise'!$E$2:$E$1137,0))</f>
        <v>0.2</v>
      </c>
      <c r="F440" s="38" t="n">
        <f aca="false">ROUND(SUM(B440:E440),9)</f>
        <v>1</v>
      </c>
    </row>
    <row r="441" customFormat="false" ht="15" hidden="false" customHeight="true" outlineLevel="0" collapsed="false">
      <c r="A441" s="41" t="s">
        <v>171</v>
      </c>
      <c r="B441" s="45" t="n">
        <f aca="false">INDEX('Transition Stepwise'!$J$2:$J$1137,MATCH(55&amp;"|"&amp;$A441&amp;"|"&amp;B$437,'Transition Stepwise'!$E$2:$E$1137,0))</f>
        <v>0.01</v>
      </c>
      <c r="C441" s="45" t="n">
        <f aca="false">INDEX('Transition Stepwise'!$J$2:$J$1137,MATCH(55&amp;"|"&amp;$A441&amp;"|"&amp;C$437,'Transition Stepwise'!$E$2:$E$1137,0))</f>
        <v>0.975</v>
      </c>
      <c r="D441" s="45" t="n">
        <f aca="false">INDEX('Transition Stepwise'!$J$2:$J$1137,MATCH(55&amp;"|"&amp;$A441&amp;"|"&amp;D$437,'Transition Stepwise'!$E$2:$E$1137,0))</f>
        <v>0.005</v>
      </c>
      <c r="E441" s="45" t="n">
        <f aca="false">INDEX('Transition Stepwise'!$J$2:$J$1137,MATCH(55&amp;"|"&amp;$A441&amp;"|"&amp;E$437,'Transition Stepwise'!$E$2:$E$1137,0))</f>
        <v>0.01</v>
      </c>
      <c r="F441" s="38" t="n">
        <f aca="false">ROUND(SUM(B441:E441),9)</f>
        <v>1</v>
      </c>
    </row>
    <row r="442" customFormat="false" ht="15" hidden="false" customHeight="true" outlineLevel="0" collapsed="false">
      <c r="A442" s="38"/>
      <c r="B442" s="38"/>
      <c r="C442" s="38"/>
      <c r="D442" s="38"/>
      <c r="E442" s="38"/>
      <c r="F442" s="38"/>
    </row>
    <row r="443" customFormat="false" ht="15" hidden="false" customHeight="true" outlineLevel="0" collapsed="false">
      <c r="A443" s="38"/>
      <c r="B443" s="38"/>
      <c r="C443" s="38"/>
      <c r="D443" s="38"/>
      <c r="E443" s="38"/>
      <c r="F443" s="38"/>
    </row>
    <row r="444" customFormat="false" ht="15" hidden="false" customHeight="true" outlineLevel="0" collapsed="false">
      <c r="A444" s="41" t="s">
        <v>749</v>
      </c>
      <c r="B444" s="38"/>
      <c r="C444" s="38"/>
      <c r="D444" s="38"/>
      <c r="E444" s="38"/>
      <c r="F444" s="38"/>
    </row>
    <row r="445" customFormat="false" ht="15" hidden="false" customHeight="true" outlineLevel="0" collapsed="false">
      <c r="A445" s="39" t="s">
        <v>693</v>
      </c>
      <c r="B445" s="39" t="s">
        <v>172</v>
      </c>
      <c r="C445" s="39" t="s">
        <v>170</v>
      </c>
      <c r="D445" s="39" t="s">
        <v>169</v>
      </c>
      <c r="E445" s="39" t="s">
        <v>171</v>
      </c>
      <c r="F445" s="39" t="s">
        <v>766</v>
      </c>
    </row>
    <row r="446" customFormat="false" ht="15" hidden="false" customHeight="true" outlineLevel="0" collapsed="false">
      <c r="A446" s="41" t="s">
        <v>172</v>
      </c>
      <c r="B446" s="45" t="n">
        <f aca="false">INDEX('Transition Stepwise'!$J$2:$J$1137,MATCH(56&amp;"|"&amp;$A446&amp;"|"&amp;B$445,'Transition Stepwise'!$E$2:$E$1137,0))</f>
        <v>0.166666666666667</v>
      </c>
      <c r="C446" s="45" t="n">
        <f aca="false">INDEX('Transition Stepwise'!$J$2:$J$1137,MATCH(56&amp;"|"&amp;$A446&amp;"|"&amp;C$445,'Transition Stepwise'!$E$2:$E$1137,0))</f>
        <v>0.166666666666667</v>
      </c>
      <c r="D446" s="45" t="n">
        <f aca="false">INDEX('Transition Stepwise'!$J$2:$J$1137,MATCH(56&amp;"|"&amp;$A446&amp;"|"&amp;D$445,'Transition Stepwise'!$E$2:$E$1137,0))</f>
        <v>0.333333333333333</v>
      </c>
      <c r="E446" s="45" t="n">
        <f aca="false">INDEX('Transition Stepwise'!$J$2:$J$1137,MATCH(56&amp;"|"&amp;$A446&amp;"|"&amp;E$445,'Transition Stepwise'!$E$2:$E$1137,0))</f>
        <v>0.333333333333333</v>
      </c>
      <c r="F446" s="38" t="n">
        <f aca="false">ROUND(SUM(B446:E446),9)</f>
        <v>1</v>
      </c>
    </row>
    <row r="447" customFormat="false" ht="15" hidden="false" customHeight="true" outlineLevel="0" collapsed="false">
      <c r="A447" s="41" t="s">
        <v>170</v>
      </c>
      <c r="B447" s="45" t="n">
        <f aca="false">INDEX('Transition Stepwise'!$J$2:$J$1137,MATCH(56&amp;"|"&amp;$A447&amp;"|"&amp;B$445,'Transition Stepwise'!$E$2:$E$1137,0))</f>
        <v>0.381909547738693</v>
      </c>
      <c r="C447" s="45" t="n">
        <f aca="false">INDEX('Transition Stepwise'!$J$2:$J$1137,MATCH(56&amp;"|"&amp;$A447&amp;"|"&amp;C$445,'Transition Stepwise'!$E$2:$E$1137,0))</f>
        <v>0.0050251256281407</v>
      </c>
      <c r="D447" s="45" t="n">
        <f aca="false">INDEX('Transition Stepwise'!$J$2:$J$1137,MATCH(56&amp;"|"&amp;$A447&amp;"|"&amp;D$445,'Transition Stepwise'!$E$2:$E$1137,0))</f>
        <v>0.608040201005025</v>
      </c>
      <c r="E447" s="45" t="n">
        <f aca="false">INDEX('Transition Stepwise'!$J$2:$J$1137,MATCH(56&amp;"|"&amp;$A447&amp;"|"&amp;E$445,'Transition Stepwise'!$E$2:$E$1137,0))</f>
        <v>0.0050251256281407</v>
      </c>
      <c r="F447" s="38" t="n">
        <f aca="false">ROUND(SUM(B447:E447),9)</f>
        <v>1</v>
      </c>
    </row>
    <row r="448" customFormat="false" ht="15" hidden="false" customHeight="true" outlineLevel="0" collapsed="false">
      <c r="A448" s="41" t="s">
        <v>169</v>
      </c>
      <c r="B448" s="45" t="n">
        <f aca="false">INDEX('Transition Stepwise'!$J$2:$J$1137,MATCH(56&amp;"|"&amp;$A448&amp;"|"&amp;B$445,'Transition Stepwise'!$E$2:$E$1137,0))</f>
        <v>0.4</v>
      </c>
      <c r="C448" s="45" t="n">
        <f aca="false">INDEX('Transition Stepwise'!$J$2:$J$1137,MATCH(56&amp;"|"&amp;$A448&amp;"|"&amp;C$445,'Transition Stepwise'!$E$2:$E$1137,0))</f>
        <v>0.2</v>
      </c>
      <c r="D448" s="45" t="n">
        <f aca="false">INDEX('Transition Stepwise'!$J$2:$J$1137,MATCH(56&amp;"|"&amp;$A448&amp;"|"&amp;D$445,'Transition Stepwise'!$E$2:$E$1137,0))</f>
        <v>0.2</v>
      </c>
      <c r="E448" s="45" t="n">
        <f aca="false">INDEX('Transition Stepwise'!$J$2:$J$1137,MATCH(56&amp;"|"&amp;$A448&amp;"|"&amp;E$445,'Transition Stepwise'!$E$2:$E$1137,0))</f>
        <v>0.2</v>
      </c>
      <c r="F448" s="38" t="n">
        <f aca="false">ROUND(SUM(B448:E448),9)</f>
        <v>1</v>
      </c>
    </row>
    <row r="449" customFormat="false" ht="15" hidden="false" customHeight="true" outlineLevel="0" collapsed="false">
      <c r="A449" s="41" t="s">
        <v>171</v>
      </c>
      <c r="B449" s="45" t="n">
        <f aca="false">INDEX('Transition Stepwise'!$J$2:$J$1137,MATCH(56&amp;"|"&amp;$A449&amp;"|"&amp;B$445,'Transition Stepwise'!$E$2:$E$1137,0))</f>
        <v>0.25</v>
      </c>
      <c r="C449" s="45" t="n">
        <f aca="false">INDEX('Transition Stepwise'!$J$2:$J$1137,MATCH(56&amp;"|"&amp;$A449&amp;"|"&amp;C$445,'Transition Stepwise'!$E$2:$E$1137,0))</f>
        <v>0.25</v>
      </c>
      <c r="D449" s="45" t="n">
        <f aca="false">INDEX('Transition Stepwise'!$J$2:$J$1137,MATCH(56&amp;"|"&amp;$A449&amp;"|"&amp;D$445,'Transition Stepwise'!$E$2:$E$1137,0))</f>
        <v>0.25</v>
      </c>
      <c r="E449" s="45" t="n">
        <f aca="false">INDEX('Transition Stepwise'!$J$2:$J$1137,MATCH(56&amp;"|"&amp;$A449&amp;"|"&amp;E$445,'Transition Stepwise'!$E$2:$E$1137,0))</f>
        <v>0.25</v>
      </c>
      <c r="F449" s="38" t="n">
        <f aca="false">ROUND(SUM(B449:E449),9)</f>
        <v>1</v>
      </c>
    </row>
    <row r="450" customFormat="false" ht="15" hidden="false" customHeight="true" outlineLevel="0" collapsed="false">
      <c r="A450" s="38"/>
      <c r="B450" s="38"/>
      <c r="C450" s="38"/>
      <c r="D450" s="38"/>
      <c r="E450" s="38"/>
      <c r="F450" s="38"/>
    </row>
    <row r="451" customFormat="false" ht="15" hidden="false" customHeight="true" outlineLevel="0" collapsed="false">
      <c r="A451" s="38"/>
      <c r="B451" s="38"/>
      <c r="C451" s="38"/>
      <c r="D451" s="38"/>
      <c r="E451" s="38"/>
      <c r="F451" s="38"/>
    </row>
    <row r="452" customFormat="false" ht="15" hidden="false" customHeight="true" outlineLevel="0" collapsed="false">
      <c r="A452" s="41" t="s">
        <v>750</v>
      </c>
      <c r="B452" s="38"/>
      <c r="C452" s="38"/>
      <c r="D452" s="38"/>
      <c r="E452" s="38"/>
      <c r="F452" s="38"/>
    </row>
    <row r="453" customFormat="false" ht="15" hidden="false" customHeight="true" outlineLevel="0" collapsed="false">
      <c r="A453" s="39" t="s">
        <v>693</v>
      </c>
      <c r="B453" s="39" t="s">
        <v>172</v>
      </c>
      <c r="C453" s="39" t="s">
        <v>170</v>
      </c>
      <c r="D453" s="39" t="s">
        <v>169</v>
      </c>
      <c r="E453" s="39" t="s">
        <v>171</v>
      </c>
      <c r="F453" s="39" t="s">
        <v>766</v>
      </c>
    </row>
    <row r="454" customFormat="false" ht="15" hidden="false" customHeight="true" outlineLevel="0" collapsed="false">
      <c r="A454" s="41" t="s">
        <v>172</v>
      </c>
      <c r="B454" s="45" t="n">
        <f aca="false">INDEX('Transition Stepwise'!$J$2:$J$1137,MATCH(57&amp;"|"&amp;$A454&amp;"|"&amp;B$453,'Transition Stepwise'!$E$2:$E$1137,0))</f>
        <v>0.95</v>
      </c>
      <c r="C454" s="45" t="n">
        <f aca="false">INDEX('Transition Stepwise'!$J$2:$J$1137,MATCH(57&amp;"|"&amp;$A454&amp;"|"&amp;C$453,'Transition Stepwise'!$E$2:$E$1137,0))</f>
        <v>0.0125</v>
      </c>
      <c r="D454" s="45" t="n">
        <f aca="false">INDEX('Transition Stepwise'!$J$2:$J$1137,MATCH(57&amp;"|"&amp;$A454&amp;"|"&amp;D$453,'Transition Stepwise'!$E$2:$E$1137,0))</f>
        <v>0.0125</v>
      </c>
      <c r="E454" s="45" t="n">
        <f aca="false">INDEX('Transition Stepwise'!$J$2:$J$1137,MATCH(57&amp;"|"&amp;$A454&amp;"|"&amp;E$453,'Transition Stepwise'!$E$2:$E$1137,0))</f>
        <v>0.025</v>
      </c>
      <c r="F454" s="38" t="n">
        <f aca="false">ROUND(SUM(B454:E454),9)</f>
        <v>1</v>
      </c>
    </row>
    <row r="455" customFormat="false" ht="15" hidden="false" customHeight="true" outlineLevel="0" collapsed="false">
      <c r="A455" s="41" t="s">
        <v>170</v>
      </c>
      <c r="B455" s="45" t="n">
        <f aca="false">INDEX('Transition Stepwise'!$J$2:$J$1137,MATCH(57&amp;"|"&amp;$A455&amp;"|"&amp;B$453,'Transition Stepwise'!$E$2:$E$1137,0))</f>
        <v>0.25</v>
      </c>
      <c r="C455" s="45" t="n">
        <f aca="false">INDEX('Transition Stepwise'!$J$2:$J$1137,MATCH(57&amp;"|"&amp;$A455&amp;"|"&amp;C$453,'Transition Stepwise'!$E$2:$E$1137,0))</f>
        <v>0.25</v>
      </c>
      <c r="D455" s="45" t="n">
        <f aca="false">INDEX('Transition Stepwise'!$J$2:$J$1137,MATCH(57&amp;"|"&amp;$A455&amp;"|"&amp;D$453,'Transition Stepwise'!$E$2:$E$1137,0))</f>
        <v>0.25</v>
      </c>
      <c r="E455" s="45" t="n">
        <f aca="false">INDEX('Transition Stepwise'!$J$2:$J$1137,MATCH(57&amp;"|"&amp;$A455&amp;"|"&amp;E$453,'Transition Stepwise'!$E$2:$E$1137,0))</f>
        <v>0.25</v>
      </c>
      <c r="F455" s="38" t="n">
        <f aca="false">ROUND(SUM(B455:E455),9)</f>
        <v>1</v>
      </c>
    </row>
    <row r="456" customFormat="false" ht="15" hidden="false" customHeight="true" outlineLevel="0" collapsed="false">
      <c r="A456" s="41" t="s">
        <v>169</v>
      </c>
      <c r="B456" s="45" t="n">
        <f aca="false">INDEX('Transition Stepwise'!$J$2:$J$1137,MATCH(57&amp;"|"&amp;$A456&amp;"|"&amp;B$453,'Transition Stepwise'!$E$2:$E$1137,0))</f>
        <v>0.976</v>
      </c>
      <c r="C456" s="45" t="n">
        <f aca="false">INDEX('Transition Stepwise'!$J$2:$J$1137,MATCH(57&amp;"|"&amp;$A456&amp;"|"&amp;C$453,'Transition Stepwise'!$E$2:$E$1137,0))</f>
        <v>0.008</v>
      </c>
      <c r="D456" s="45" t="n">
        <f aca="false">INDEX('Transition Stepwise'!$J$2:$J$1137,MATCH(57&amp;"|"&amp;$A456&amp;"|"&amp;D$453,'Transition Stepwise'!$E$2:$E$1137,0))</f>
        <v>0.008</v>
      </c>
      <c r="E456" s="45" t="n">
        <f aca="false">INDEX('Transition Stepwise'!$J$2:$J$1137,MATCH(57&amp;"|"&amp;$A456&amp;"|"&amp;E$453,'Transition Stepwise'!$E$2:$E$1137,0))</f>
        <v>0.008</v>
      </c>
      <c r="F456" s="38" t="n">
        <f aca="false">ROUND(SUM(B456:E456),9)</f>
        <v>1</v>
      </c>
    </row>
    <row r="457" customFormat="false" ht="15" hidden="false" customHeight="true" outlineLevel="0" collapsed="false">
      <c r="A457" s="41" t="s">
        <v>171</v>
      </c>
      <c r="B457" s="45" t="n">
        <f aca="false">INDEX('Transition Stepwise'!$J$2:$J$1137,MATCH(57&amp;"|"&amp;$A457&amp;"|"&amp;B$453,'Transition Stepwise'!$E$2:$E$1137,0))</f>
        <v>0.2</v>
      </c>
      <c r="C457" s="45" t="n">
        <f aca="false">INDEX('Transition Stepwise'!$J$2:$J$1137,MATCH(57&amp;"|"&amp;$A457&amp;"|"&amp;C$453,'Transition Stepwise'!$E$2:$E$1137,0))</f>
        <v>0.4</v>
      </c>
      <c r="D457" s="45" t="n">
        <f aca="false">INDEX('Transition Stepwise'!$J$2:$J$1137,MATCH(57&amp;"|"&amp;$A457&amp;"|"&amp;D$453,'Transition Stepwise'!$E$2:$E$1137,0))</f>
        <v>0.2</v>
      </c>
      <c r="E457" s="45" t="n">
        <f aca="false">INDEX('Transition Stepwise'!$J$2:$J$1137,MATCH(57&amp;"|"&amp;$A457&amp;"|"&amp;E$453,'Transition Stepwise'!$E$2:$E$1137,0))</f>
        <v>0.2</v>
      </c>
      <c r="F457" s="38" t="n">
        <f aca="false">ROUND(SUM(B457:E457),9)</f>
        <v>1</v>
      </c>
    </row>
    <row r="458" customFormat="false" ht="15" hidden="false" customHeight="true" outlineLevel="0" collapsed="false">
      <c r="A458" s="38"/>
      <c r="B458" s="38"/>
      <c r="C458" s="38"/>
      <c r="D458" s="38"/>
      <c r="E458" s="38"/>
      <c r="F458" s="38"/>
    </row>
    <row r="459" customFormat="false" ht="15" hidden="false" customHeight="true" outlineLevel="0" collapsed="false">
      <c r="A459" s="38"/>
      <c r="B459" s="38"/>
      <c r="C459" s="38"/>
      <c r="D459" s="38"/>
      <c r="E459" s="38"/>
      <c r="F459" s="38"/>
    </row>
    <row r="460" customFormat="false" ht="15" hidden="false" customHeight="true" outlineLevel="0" collapsed="false">
      <c r="A460" s="41" t="s">
        <v>751</v>
      </c>
      <c r="B460" s="38"/>
      <c r="C460" s="38"/>
      <c r="D460" s="38"/>
      <c r="E460" s="38"/>
      <c r="F460" s="38"/>
    </row>
    <row r="461" customFormat="false" ht="15" hidden="false" customHeight="true" outlineLevel="0" collapsed="false">
      <c r="A461" s="39" t="s">
        <v>693</v>
      </c>
      <c r="B461" s="39" t="s">
        <v>172</v>
      </c>
      <c r="C461" s="39" t="s">
        <v>170</v>
      </c>
      <c r="D461" s="39" t="s">
        <v>169</v>
      </c>
      <c r="E461" s="39" t="s">
        <v>171</v>
      </c>
      <c r="F461" s="39" t="s">
        <v>766</v>
      </c>
    </row>
    <row r="462" customFormat="false" ht="15" hidden="false" customHeight="true" outlineLevel="0" collapsed="false">
      <c r="A462" s="41" t="s">
        <v>172</v>
      </c>
      <c r="B462" s="45" t="n">
        <f aca="false">INDEX('Transition Stepwise'!$J$2:$J$1137,MATCH(58&amp;"|"&amp;$A462&amp;"|"&amp;B$461,'Transition Stepwise'!$E$2:$E$1137,0))</f>
        <v>0.45771144278607</v>
      </c>
      <c r="C462" s="45" t="n">
        <f aca="false">INDEX('Transition Stepwise'!$J$2:$J$1137,MATCH(58&amp;"|"&amp;$A462&amp;"|"&amp;C$461,'Transition Stepwise'!$E$2:$E$1137,0))</f>
        <v>0.054726368159204</v>
      </c>
      <c r="D462" s="45" t="n">
        <f aca="false">INDEX('Transition Stepwise'!$J$2:$J$1137,MATCH(58&amp;"|"&amp;$A462&amp;"|"&amp;D$461,'Transition Stepwise'!$E$2:$E$1137,0))</f>
        <v>0.233830845771144</v>
      </c>
      <c r="E462" s="45" t="n">
        <f aca="false">INDEX('Transition Stepwise'!$J$2:$J$1137,MATCH(58&amp;"|"&amp;$A462&amp;"|"&amp;E$461,'Transition Stepwise'!$E$2:$E$1137,0))</f>
        <v>0.253731343283582</v>
      </c>
      <c r="F462" s="38" t="n">
        <f aca="false">ROUND(SUM(B462:E462),9)</f>
        <v>1</v>
      </c>
    </row>
    <row r="463" customFormat="false" ht="15" hidden="false" customHeight="true" outlineLevel="0" collapsed="false">
      <c r="A463" s="41" t="s">
        <v>170</v>
      </c>
      <c r="B463" s="45" t="n">
        <f aca="false">INDEX('Transition Stepwise'!$J$2:$J$1137,MATCH(58&amp;"|"&amp;$A463&amp;"|"&amp;B$461,'Transition Stepwise'!$E$2:$E$1137,0))</f>
        <v>0.2</v>
      </c>
      <c r="C463" s="45" t="n">
        <f aca="false">INDEX('Transition Stepwise'!$J$2:$J$1137,MATCH(58&amp;"|"&amp;$A463&amp;"|"&amp;C$461,'Transition Stepwise'!$E$2:$E$1137,0))</f>
        <v>0.4</v>
      </c>
      <c r="D463" s="45" t="n">
        <f aca="false">INDEX('Transition Stepwise'!$J$2:$J$1137,MATCH(58&amp;"|"&amp;$A463&amp;"|"&amp;D$461,'Transition Stepwise'!$E$2:$E$1137,0))</f>
        <v>0.2</v>
      </c>
      <c r="E463" s="45" t="n">
        <f aca="false">INDEX('Transition Stepwise'!$J$2:$J$1137,MATCH(58&amp;"|"&amp;$A463&amp;"|"&amp;E$461,'Transition Stepwise'!$E$2:$E$1137,0))</f>
        <v>0.2</v>
      </c>
      <c r="F463" s="38" t="n">
        <f aca="false">ROUND(SUM(B463:E463),9)</f>
        <v>1</v>
      </c>
    </row>
    <row r="464" customFormat="false" ht="15" hidden="false" customHeight="true" outlineLevel="0" collapsed="false">
      <c r="A464" s="41" t="s">
        <v>169</v>
      </c>
      <c r="B464" s="45" t="n">
        <f aca="false">INDEX('Transition Stepwise'!$J$2:$J$1137,MATCH(58&amp;"|"&amp;$A464&amp;"|"&amp;B$461,'Transition Stepwise'!$E$2:$E$1137,0))</f>
        <v>0.25</v>
      </c>
      <c r="C464" s="45" t="n">
        <f aca="false">INDEX('Transition Stepwise'!$J$2:$J$1137,MATCH(58&amp;"|"&amp;$A464&amp;"|"&amp;C$461,'Transition Stepwise'!$E$2:$E$1137,0))</f>
        <v>0.25</v>
      </c>
      <c r="D464" s="45" t="n">
        <f aca="false">INDEX('Transition Stepwise'!$J$2:$J$1137,MATCH(58&amp;"|"&amp;$A464&amp;"|"&amp;D$461,'Transition Stepwise'!$E$2:$E$1137,0))</f>
        <v>0.25</v>
      </c>
      <c r="E464" s="45" t="n">
        <f aca="false">INDEX('Transition Stepwise'!$J$2:$J$1137,MATCH(58&amp;"|"&amp;$A464&amp;"|"&amp;E$461,'Transition Stepwise'!$E$2:$E$1137,0))</f>
        <v>0.25</v>
      </c>
      <c r="F464" s="38" t="n">
        <f aca="false">ROUND(SUM(B464:E464),9)</f>
        <v>1</v>
      </c>
    </row>
    <row r="465" customFormat="false" ht="15" hidden="false" customHeight="true" outlineLevel="0" collapsed="false">
      <c r="A465" s="41" t="s">
        <v>171</v>
      </c>
      <c r="B465" s="45" t="n">
        <f aca="false">INDEX('Transition Stepwise'!$J$2:$J$1137,MATCH(58&amp;"|"&amp;$A465&amp;"|"&amp;B$461,'Transition Stepwise'!$E$2:$E$1137,0))</f>
        <v>0.2</v>
      </c>
      <c r="C465" s="45" t="n">
        <f aca="false">INDEX('Transition Stepwise'!$J$2:$J$1137,MATCH(58&amp;"|"&amp;$A465&amp;"|"&amp;C$461,'Transition Stepwise'!$E$2:$E$1137,0))</f>
        <v>0.4</v>
      </c>
      <c r="D465" s="45" t="n">
        <f aca="false">INDEX('Transition Stepwise'!$J$2:$J$1137,MATCH(58&amp;"|"&amp;$A465&amp;"|"&amp;D$461,'Transition Stepwise'!$E$2:$E$1137,0))</f>
        <v>0.2</v>
      </c>
      <c r="E465" s="45" t="n">
        <f aca="false">INDEX('Transition Stepwise'!$J$2:$J$1137,MATCH(58&amp;"|"&amp;$A465&amp;"|"&amp;E$461,'Transition Stepwise'!$E$2:$E$1137,0))</f>
        <v>0.2</v>
      </c>
      <c r="F465" s="38" t="n">
        <f aca="false">ROUND(SUM(B465:E465),9)</f>
        <v>1</v>
      </c>
    </row>
    <row r="466" customFormat="false" ht="15" hidden="false" customHeight="true" outlineLevel="0" collapsed="false">
      <c r="A466" s="38"/>
      <c r="B466" s="38"/>
      <c r="C466" s="38"/>
      <c r="D466" s="38"/>
      <c r="E466" s="38"/>
      <c r="F466" s="38"/>
    </row>
    <row r="467" customFormat="false" ht="15" hidden="false" customHeight="true" outlineLevel="0" collapsed="false">
      <c r="A467" s="38"/>
      <c r="B467" s="38"/>
      <c r="C467" s="38"/>
      <c r="D467" s="38"/>
      <c r="E467" s="38"/>
      <c r="F467" s="38"/>
    </row>
    <row r="468" customFormat="false" ht="15" hidden="false" customHeight="true" outlineLevel="0" collapsed="false">
      <c r="A468" s="41" t="s">
        <v>752</v>
      </c>
      <c r="B468" s="38"/>
      <c r="C468" s="38"/>
      <c r="D468" s="38"/>
      <c r="E468" s="38"/>
      <c r="F468" s="38"/>
    </row>
    <row r="469" customFormat="false" ht="15" hidden="false" customHeight="true" outlineLevel="0" collapsed="false">
      <c r="A469" s="39" t="s">
        <v>693</v>
      </c>
      <c r="B469" s="39" t="s">
        <v>172</v>
      </c>
      <c r="C469" s="39" t="s">
        <v>170</v>
      </c>
      <c r="D469" s="39" t="s">
        <v>169</v>
      </c>
      <c r="E469" s="39" t="s">
        <v>171</v>
      </c>
      <c r="F469" s="39" t="s">
        <v>766</v>
      </c>
    </row>
    <row r="470" customFormat="false" ht="15" hidden="false" customHeight="true" outlineLevel="0" collapsed="false">
      <c r="A470" s="41" t="s">
        <v>172</v>
      </c>
      <c r="B470" s="45" t="n">
        <f aca="false">INDEX('Transition Stepwise'!$J$2:$J$1137,MATCH(59&amp;"|"&amp;$A470&amp;"|"&amp;B$469,'Transition Stepwise'!$E$2:$E$1137,0))</f>
        <v>0.0210526315789474</v>
      </c>
      <c r="C470" s="45" t="n">
        <f aca="false">INDEX('Transition Stepwise'!$J$2:$J$1137,MATCH(59&amp;"|"&amp;$A470&amp;"|"&amp;C$469,'Transition Stepwise'!$E$2:$E$1137,0))</f>
        <v>0.105263157894737</v>
      </c>
      <c r="D470" s="45" t="n">
        <f aca="false">INDEX('Transition Stepwise'!$J$2:$J$1137,MATCH(59&amp;"|"&amp;$A470&amp;"|"&amp;D$469,'Transition Stepwise'!$E$2:$E$1137,0))</f>
        <v>0.0210526315789474</v>
      </c>
      <c r="E470" s="45" t="n">
        <f aca="false">INDEX('Transition Stepwise'!$J$2:$J$1137,MATCH(59&amp;"|"&amp;$A470&amp;"|"&amp;E$469,'Transition Stepwise'!$E$2:$E$1137,0))</f>
        <v>0.852631578947368</v>
      </c>
      <c r="F470" s="38" t="n">
        <f aca="false">ROUND(SUM(B470:E470),9)</f>
        <v>1</v>
      </c>
    </row>
    <row r="471" customFormat="false" ht="15" hidden="false" customHeight="true" outlineLevel="0" collapsed="false">
      <c r="A471" s="41" t="s">
        <v>170</v>
      </c>
      <c r="B471" s="45" t="n">
        <f aca="false">INDEX('Transition Stepwise'!$J$2:$J$1137,MATCH(59&amp;"|"&amp;$A471&amp;"|"&amp;B$469,'Transition Stepwise'!$E$2:$E$1137,0))</f>
        <v>0.0625</v>
      </c>
      <c r="C471" s="45" t="n">
        <f aca="false">INDEX('Transition Stepwise'!$J$2:$J$1137,MATCH(59&amp;"|"&amp;$A471&amp;"|"&amp;C$469,'Transition Stepwise'!$E$2:$E$1137,0))</f>
        <v>0.25</v>
      </c>
      <c r="D471" s="45" t="n">
        <f aca="false">INDEX('Transition Stepwise'!$J$2:$J$1137,MATCH(59&amp;"|"&amp;$A471&amp;"|"&amp;D$469,'Transition Stepwise'!$E$2:$E$1137,0))</f>
        <v>0.125</v>
      </c>
      <c r="E471" s="45" t="n">
        <f aca="false">INDEX('Transition Stepwise'!$J$2:$J$1137,MATCH(59&amp;"|"&amp;$A471&amp;"|"&amp;E$469,'Transition Stepwise'!$E$2:$E$1137,0))</f>
        <v>0.5625</v>
      </c>
      <c r="F471" s="38" t="n">
        <f aca="false">ROUND(SUM(B471:E471),9)</f>
        <v>1</v>
      </c>
    </row>
    <row r="472" customFormat="false" ht="15" hidden="false" customHeight="true" outlineLevel="0" collapsed="false">
      <c r="A472" s="41" t="s">
        <v>169</v>
      </c>
      <c r="B472" s="45" t="n">
        <f aca="false">INDEX('Transition Stepwise'!$J$2:$J$1137,MATCH(59&amp;"|"&amp;$A472&amp;"|"&amp;B$469,'Transition Stepwise'!$E$2:$E$1137,0))</f>
        <v>0.02</v>
      </c>
      <c r="C472" s="45" t="n">
        <f aca="false">INDEX('Transition Stepwise'!$J$2:$J$1137,MATCH(59&amp;"|"&amp;$A472&amp;"|"&amp;C$469,'Transition Stepwise'!$E$2:$E$1137,0))</f>
        <v>0.14</v>
      </c>
      <c r="D472" s="45" t="n">
        <f aca="false">INDEX('Transition Stepwise'!$J$2:$J$1137,MATCH(59&amp;"|"&amp;$A472&amp;"|"&amp;D$469,'Transition Stepwise'!$E$2:$E$1137,0))</f>
        <v>0.02</v>
      </c>
      <c r="E472" s="45" t="n">
        <f aca="false">INDEX('Transition Stepwise'!$J$2:$J$1137,MATCH(59&amp;"|"&amp;$A472&amp;"|"&amp;E$469,'Transition Stepwise'!$E$2:$E$1137,0))</f>
        <v>0.82</v>
      </c>
      <c r="F472" s="38" t="n">
        <f aca="false">ROUND(SUM(B472:E472),9)</f>
        <v>1</v>
      </c>
    </row>
    <row r="473" customFormat="false" ht="15" hidden="false" customHeight="true" outlineLevel="0" collapsed="false">
      <c r="A473" s="41" t="s">
        <v>171</v>
      </c>
      <c r="B473" s="45" t="n">
        <f aca="false">INDEX('Transition Stepwise'!$J$2:$J$1137,MATCH(59&amp;"|"&amp;$A473&amp;"|"&amp;B$469,'Transition Stepwise'!$E$2:$E$1137,0))</f>
        <v>0.0185185185185185</v>
      </c>
      <c r="C473" s="45" t="n">
        <f aca="false">INDEX('Transition Stepwise'!$J$2:$J$1137,MATCH(59&amp;"|"&amp;$A473&amp;"|"&amp;C$469,'Transition Stepwise'!$E$2:$E$1137,0))</f>
        <v>0.425925925925926</v>
      </c>
      <c r="D473" s="45" t="n">
        <f aca="false">INDEX('Transition Stepwise'!$J$2:$J$1137,MATCH(59&amp;"|"&amp;$A473&amp;"|"&amp;D$469,'Transition Stepwise'!$E$2:$E$1137,0))</f>
        <v>0.0185185185185185</v>
      </c>
      <c r="E473" s="45" t="n">
        <f aca="false">INDEX('Transition Stepwise'!$J$2:$J$1137,MATCH(59&amp;"|"&amp;$A473&amp;"|"&amp;E$469,'Transition Stepwise'!$E$2:$E$1137,0))</f>
        <v>0.537037037037037</v>
      </c>
      <c r="F473" s="38" t="n">
        <f aca="false">ROUND(SUM(B473:E473),9)</f>
        <v>1</v>
      </c>
    </row>
    <row r="474" customFormat="false" ht="15" hidden="false" customHeight="true" outlineLevel="0" collapsed="false">
      <c r="A474" s="38"/>
      <c r="B474" s="38"/>
      <c r="C474" s="38"/>
      <c r="D474" s="38"/>
      <c r="E474" s="38"/>
      <c r="F474" s="38"/>
    </row>
    <row r="475" customFormat="false" ht="15" hidden="false" customHeight="true" outlineLevel="0" collapsed="false">
      <c r="A475" s="38"/>
      <c r="B475" s="38"/>
      <c r="C475" s="38"/>
      <c r="D475" s="38"/>
      <c r="E475" s="38"/>
      <c r="F475" s="38"/>
    </row>
    <row r="476" customFormat="false" ht="15" hidden="false" customHeight="true" outlineLevel="0" collapsed="false">
      <c r="A476" s="41" t="s">
        <v>753</v>
      </c>
      <c r="B476" s="38"/>
      <c r="C476" s="38"/>
      <c r="D476" s="38"/>
      <c r="E476" s="38"/>
      <c r="F476" s="38"/>
    </row>
    <row r="477" customFormat="false" ht="15" hidden="false" customHeight="true" outlineLevel="0" collapsed="false">
      <c r="A477" s="39" t="s">
        <v>693</v>
      </c>
      <c r="B477" s="39" t="s">
        <v>172</v>
      </c>
      <c r="C477" s="39" t="s">
        <v>170</v>
      </c>
      <c r="D477" s="39" t="s">
        <v>169</v>
      </c>
      <c r="E477" s="39" t="s">
        <v>171</v>
      </c>
      <c r="F477" s="39" t="s">
        <v>766</v>
      </c>
    </row>
    <row r="478" customFormat="false" ht="15" hidden="false" customHeight="true" outlineLevel="0" collapsed="false">
      <c r="A478" s="41" t="s">
        <v>172</v>
      </c>
      <c r="B478" s="45" t="n">
        <f aca="false">INDEX('Transition Stepwise'!$J$2:$J$1137,MATCH(60&amp;"|"&amp;$A478&amp;"|"&amp;B$477,'Transition Stepwise'!$E$2:$E$1137,0))</f>
        <v>0.2</v>
      </c>
      <c r="C478" s="45" t="n">
        <f aca="false">INDEX('Transition Stepwise'!$J$2:$J$1137,MATCH(60&amp;"|"&amp;$A478&amp;"|"&amp;C$477,'Transition Stepwise'!$E$2:$E$1137,0))</f>
        <v>0.4</v>
      </c>
      <c r="D478" s="45" t="n">
        <f aca="false">INDEX('Transition Stepwise'!$J$2:$J$1137,MATCH(60&amp;"|"&amp;$A478&amp;"|"&amp;D$477,'Transition Stepwise'!$E$2:$E$1137,0))</f>
        <v>0.2</v>
      </c>
      <c r="E478" s="45" t="n">
        <f aca="false">INDEX('Transition Stepwise'!$J$2:$J$1137,MATCH(60&amp;"|"&amp;$A478&amp;"|"&amp;E$477,'Transition Stepwise'!$E$2:$E$1137,0))</f>
        <v>0.2</v>
      </c>
      <c r="F478" s="38" t="n">
        <f aca="false">ROUND(SUM(B478:E478),9)</f>
        <v>1</v>
      </c>
    </row>
    <row r="479" customFormat="false" ht="15" hidden="false" customHeight="true" outlineLevel="0" collapsed="false">
      <c r="A479" s="41" t="s">
        <v>170</v>
      </c>
      <c r="B479" s="45" t="n">
        <f aca="false">INDEX('Transition Stepwise'!$J$2:$J$1137,MATCH(60&amp;"|"&amp;$A479&amp;"|"&amp;B$477,'Transition Stepwise'!$E$2:$E$1137,0))</f>
        <v>0.0227272727272727</v>
      </c>
      <c r="C479" s="45" t="n">
        <f aca="false">INDEX('Transition Stepwise'!$J$2:$J$1137,MATCH(60&amp;"|"&amp;$A479&amp;"|"&amp;C$477,'Transition Stepwise'!$E$2:$E$1137,0))</f>
        <v>0.931818181818182</v>
      </c>
      <c r="D479" s="45" t="n">
        <f aca="false">INDEX('Transition Stepwise'!$J$2:$J$1137,MATCH(60&amp;"|"&amp;$A479&amp;"|"&amp;D$477,'Transition Stepwise'!$E$2:$E$1137,0))</f>
        <v>0.0227272727272727</v>
      </c>
      <c r="E479" s="45" t="n">
        <f aca="false">INDEX('Transition Stepwise'!$J$2:$J$1137,MATCH(60&amp;"|"&amp;$A479&amp;"|"&amp;E$477,'Transition Stepwise'!$E$2:$E$1137,0))</f>
        <v>0.0227272727272727</v>
      </c>
      <c r="F479" s="38" t="n">
        <f aca="false">ROUND(SUM(B479:E479),9)</f>
        <v>1</v>
      </c>
    </row>
    <row r="480" customFormat="false" ht="15" hidden="false" customHeight="true" outlineLevel="0" collapsed="false">
      <c r="A480" s="41" t="s">
        <v>169</v>
      </c>
      <c r="B480" s="45" t="n">
        <f aca="false">INDEX('Transition Stepwise'!$J$2:$J$1137,MATCH(60&amp;"|"&amp;$A480&amp;"|"&amp;B$477,'Transition Stepwise'!$E$2:$E$1137,0))</f>
        <v>0.166666666666667</v>
      </c>
      <c r="C480" s="45" t="n">
        <f aca="false">INDEX('Transition Stepwise'!$J$2:$J$1137,MATCH(60&amp;"|"&amp;$A480&amp;"|"&amp;C$477,'Transition Stepwise'!$E$2:$E$1137,0))</f>
        <v>0.333333333333333</v>
      </c>
      <c r="D480" s="45" t="n">
        <f aca="false">INDEX('Transition Stepwise'!$J$2:$J$1137,MATCH(60&amp;"|"&amp;$A480&amp;"|"&amp;D$477,'Transition Stepwise'!$E$2:$E$1137,0))</f>
        <v>0.333333333333333</v>
      </c>
      <c r="E480" s="45" t="n">
        <f aca="false">INDEX('Transition Stepwise'!$J$2:$J$1137,MATCH(60&amp;"|"&amp;$A480&amp;"|"&amp;E$477,'Transition Stepwise'!$E$2:$E$1137,0))</f>
        <v>0.166666666666667</v>
      </c>
      <c r="F480" s="38" t="n">
        <f aca="false">ROUND(SUM(B480:E480),9)</f>
        <v>1</v>
      </c>
    </row>
    <row r="481" customFormat="false" ht="15" hidden="false" customHeight="true" outlineLevel="0" collapsed="false">
      <c r="A481" s="41" t="s">
        <v>171</v>
      </c>
      <c r="B481" s="45" t="n">
        <f aca="false">INDEX('Transition Stepwise'!$J$2:$J$1137,MATCH(60&amp;"|"&amp;$A481&amp;"|"&amp;B$477,'Transition Stepwise'!$E$2:$E$1137,0))</f>
        <v>0.00625</v>
      </c>
      <c r="C481" s="45" t="n">
        <f aca="false">INDEX('Transition Stepwise'!$J$2:$J$1137,MATCH(60&amp;"|"&amp;$A481&amp;"|"&amp;C$477,'Transition Stepwise'!$E$2:$E$1137,0))</f>
        <v>0.975</v>
      </c>
      <c r="D481" s="45" t="n">
        <f aca="false">INDEX('Transition Stepwise'!$J$2:$J$1137,MATCH(60&amp;"|"&amp;$A481&amp;"|"&amp;D$477,'Transition Stepwise'!$E$2:$E$1137,0))</f>
        <v>0.00625</v>
      </c>
      <c r="E481" s="45" t="n">
        <f aca="false">INDEX('Transition Stepwise'!$J$2:$J$1137,MATCH(60&amp;"|"&amp;$A481&amp;"|"&amp;E$477,'Transition Stepwise'!$E$2:$E$1137,0))</f>
        <v>0.0125</v>
      </c>
      <c r="F481" s="38" t="n">
        <f aca="false">ROUND(SUM(B481:E481),9)</f>
        <v>1</v>
      </c>
    </row>
    <row r="482" customFormat="false" ht="15" hidden="false" customHeight="true" outlineLevel="0" collapsed="false">
      <c r="A482" s="38"/>
      <c r="B482" s="38"/>
      <c r="C482" s="38"/>
      <c r="D482" s="38"/>
      <c r="E482" s="38"/>
      <c r="F482" s="38"/>
    </row>
    <row r="483" customFormat="false" ht="15" hidden="false" customHeight="true" outlineLevel="0" collapsed="false">
      <c r="A483" s="38"/>
      <c r="B483" s="38"/>
      <c r="C483" s="38"/>
      <c r="D483" s="38"/>
      <c r="E483" s="38"/>
      <c r="F483" s="38"/>
    </row>
    <row r="484" customFormat="false" ht="15" hidden="false" customHeight="true" outlineLevel="0" collapsed="false">
      <c r="A484" s="41" t="s">
        <v>754</v>
      </c>
      <c r="B484" s="38"/>
      <c r="C484" s="38"/>
      <c r="D484" s="38"/>
      <c r="E484" s="38"/>
      <c r="F484" s="38"/>
    </row>
    <row r="485" customFormat="false" ht="15" hidden="false" customHeight="true" outlineLevel="0" collapsed="false">
      <c r="A485" s="39" t="s">
        <v>693</v>
      </c>
      <c r="B485" s="39" t="s">
        <v>172</v>
      </c>
      <c r="C485" s="39" t="s">
        <v>170</v>
      </c>
      <c r="D485" s="39" t="s">
        <v>169</v>
      </c>
      <c r="E485" s="39" t="s">
        <v>171</v>
      </c>
      <c r="F485" s="39" t="s">
        <v>766</v>
      </c>
    </row>
    <row r="486" customFormat="false" ht="15" hidden="false" customHeight="true" outlineLevel="0" collapsed="false">
      <c r="A486" s="41" t="s">
        <v>172</v>
      </c>
      <c r="B486" s="45" t="n">
        <f aca="false">INDEX('Transition Stepwise'!$J$2:$J$1137,MATCH(61&amp;"|"&amp;$A486&amp;"|"&amp;B$485,'Transition Stepwise'!$E$2:$E$1137,0))</f>
        <v>0.25</v>
      </c>
      <c r="C486" s="45" t="n">
        <f aca="false">INDEX('Transition Stepwise'!$J$2:$J$1137,MATCH(61&amp;"|"&amp;$A486&amp;"|"&amp;C$485,'Transition Stepwise'!$E$2:$E$1137,0))</f>
        <v>0.25</v>
      </c>
      <c r="D486" s="45" t="n">
        <f aca="false">INDEX('Transition Stepwise'!$J$2:$J$1137,MATCH(61&amp;"|"&amp;$A486&amp;"|"&amp;D$485,'Transition Stepwise'!$E$2:$E$1137,0))</f>
        <v>0.25</v>
      </c>
      <c r="E486" s="45" t="n">
        <f aca="false">INDEX('Transition Stepwise'!$J$2:$J$1137,MATCH(61&amp;"|"&amp;$A486&amp;"|"&amp;E$485,'Transition Stepwise'!$E$2:$E$1137,0))</f>
        <v>0.25</v>
      </c>
      <c r="F486" s="38" t="n">
        <f aca="false">ROUND(SUM(B486:E486),9)</f>
        <v>1</v>
      </c>
    </row>
    <row r="487" customFormat="false" ht="15" hidden="false" customHeight="true" outlineLevel="0" collapsed="false">
      <c r="A487" s="41" t="s">
        <v>170</v>
      </c>
      <c r="B487" s="45" t="n">
        <f aca="false">INDEX('Transition Stepwise'!$J$2:$J$1137,MATCH(61&amp;"|"&amp;$A487&amp;"|"&amp;B$485,'Transition Stepwise'!$E$2:$E$1137,0))</f>
        <v>0.0199004975124378</v>
      </c>
      <c r="C487" s="45" t="n">
        <f aca="false">INDEX('Transition Stepwise'!$J$2:$J$1137,MATCH(61&amp;"|"&amp;$A487&amp;"|"&amp;C$485,'Transition Stepwise'!$E$2:$E$1137,0))</f>
        <v>0.835820895522388</v>
      </c>
      <c r="D487" s="45" t="n">
        <f aca="false">INDEX('Transition Stepwise'!$J$2:$J$1137,MATCH(61&amp;"|"&amp;$A487&amp;"|"&amp;D$485,'Transition Stepwise'!$E$2:$E$1137,0))</f>
        <v>0.0149253731343284</v>
      </c>
      <c r="E487" s="45" t="n">
        <f aca="false">INDEX('Transition Stepwise'!$J$2:$J$1137,MATCH(61&amp;"|"&amp;$A487&amp;"|"&amp;E$485,'Transition Stepwise'!$E$2:$E$1137,0))</f>
        <v>0.129353233830846</v>
      </c>
      <c r="F487" s="38" t="n">
        <f aca="false">ROUND(SUM(B487:E487),9)</f>
        <v>1</v>
      </c>
    </row>
    <row r="488" customFormat="false" ht="15" hidden="false" customHeight="true" outlineLevel="0" collapsed="false">
      <c r="A488" s="41" t="s">
        <v>169</v>
      </c>
      <c r="B488" s="45" t="n">
        <f aca="false">INDEX('Transition Stepwise'!$J$2:$J$1137,MATCH(61&amp;"|"&amp;$A488&amp;"|"&amp;B$485,'Transition Stepwise'!$E$2:$E$1137,0))</f>
        <v>0.2</v>
      </c>
      <c r="C488" s="45" t="n">
        <f aca="false">INDEX('Transition Stepwise'!$J$2:$J$1137,MATCH(61&amp;"|"&amp;$A488&amp;"|"&amp;C$485,'Transition Stepwise'!$E$2:$E$1137,0))</f>
        <v>0.2</v>
      </c>
      <c r="D488" s="45" t="n">
        <f aca="false">INDEX('Transition Stepwise'!$J$2:$J$1137,MATCH(61&amp;"|"&amp;$A488&amp;"|"&amp;D$485,'Transition Stepwise'!$E$2:$E$1137,0))</f>
        <v>0.2</v>
      </c>
      <c r="E488" s="45" t="n">
        <f aca="false">INDEX('Transition Stepwise'!$J$2:$J$1137,MATCH(61&amp;"|"&amp;$A488&amp;"|"&amp;E$485,'Transition Stepwise'!$E$2:$E$1137,0))</f>
        <v>0.4</v>
      </c>
      <c r="F488" s="38" t="n">
        <f aca="false">ROUND(SUM(B488:E488),9)</f>
        <v>1</v>
      </c>
    </row>
    <row r="489" customFormat="false" ht="15" hidden="false" customHeight="true" outlineLevel="0" collapsed="false">
      <c r="A489" s="41" t="s">
        <v>171</v>
      </c>
      <c r="B489" s="45" t="n">
        <f aca="false">INDEX('Transition Stepwise'!$J$2:$J$1137,MATCH(61&amp;"|"&amp;$A489&amp;"|"&amp;B$485,'Transition Stepwise'!$E$2:$E$1137,0))</f>
        <v>0.2</v>
      </c>
      <c r="C489" s="45" t="n">
        <f aca="false">INDEX('Transition Stepwise'!$J$2:$J$1137,MATCH(61&amp;"|"&amp;$A489&amp;"|"&amp;C$485,'Transition Stepwise'!$E$2:$E$1137,0))</f>
        <v>0.4</v>
      </c>
      <c r="D489" s="45" t="n">
        <f aca="false">INDEX('Transition Stepwise'!$J$2:$J$1137,MATCH(61&amp;"|"&amp;$A489&amp;"|"&amp;D$485,'Transition Stepwise'!$E$2:$E$1137,0))</f>
        <v>0.2</v>
      </c>
      <c r="E489" s="45" t="n">
        <f aca="false">INDEX('Transition Stepwise'!$J$2:$J$1137,MATCH(61&amp;"|"&amp;$A489&amp;"|"&amp;E$485,'Transition Stepwise'!$E$2:$E$1137,0))</f>
        <v>0.2</v>
      </c>
      <c r="F489" s="38" t="n">
        <f aca="false">ROUND(SUM(B489:E489),9)</f>
        <v>1</v>
      </c>
    </row>
    <row r="490" customFormat="false" ht="15" hidden="false" customHeight="true" outlineLevel="0" collapsed="false">
      <c r="A490" s="38"/>
      <c r="B490" s="38"/>
      <c r="C490" s="38"/>
      <c r="D490" s="38"/>
      <c r="E490" s="38"/>
      <c r="F490" s="38"/>
    </row>
    <row r="491" customFormat="false" ht="15" hidden="false" customHeight="true" outlineLevel="0" collapsed="false">
      <c r="A491" s="38"/>
      <c r="B491" s="38"/>
      <c r="C491" s="38"/>
      <c r="D491" s="38"/>
      <c r="E491" s="38"/>
      <c r="F491" s="38"/>
    </row>
    <row r="492" customFormat="false" ht="15" hidden="false" customHeight="true" outlineLevel="0" collapsed="false">
      <c r="A492" s="41" t="s">
        <v>755</v>
      </c>
      <c r="B492" s="38"/>
      <c r="C492" s="38"/>
      <c r="D492" s="38"/>
      <c r="E492" s="38"/>
      <c r="F492" s="38"/>
    </row>
    <row r="493" customFormat="false" ht="15" hidden="false" customHeight="true" outlineLevel="0" collapsed="false">
      <c r="A493" s="39" t="s">
        <v>693</v>
      </c>
      <c r="B493" s="39" t="s">
        <v>172</v>
      </c>
      <c r="C493" s="39" t="s">
        <v>170</v>
      </c>
      <c r="D493" s="39" t="s">
        <v>169</v>
      </c>
      <c r="E493" s="39" t="s">
        <v>171</v>
      </c>
      <c r="F493" s="39" t="s">
        <v>766</v>
      </c>
    </row>
    <row r="494" customFormat="false" ht="15" hidden="false" customHeight="true" outlineLevel="0" collapsed="false">
      <c r="A494" s="41" t="s">
        <v>172</v>
      </c>
      <c r="B494" s="45" t="n">
        <f aca="false">INDEX('Transition Stepwise'!$J$2:$J$1137,MATCH(62&amp;"|"&amp;$A494&amp;"|"&amp;B$493,'Transition Stepwise'!$E$2:$E$1137,0))</f>
        <v>0.142857142857143</v>
      </c>
      <c r="C494" s="45" t="n">
        <f aca="false">INDEX('Transition Stepwise'!$J$2:$J$1137,MATCH(62&amp;"|"&amp;$A494&amp;"|"&amp;C$493,'Transition Stepwise'!$E$2:$E$1137,0))</f>
        <v>0.571428571428571</v>
      </c>
      <c r="D494" s="45" t="n">
        <f aca="false">INDEX('Transition Stepwise'!$J$2:$J$1137,MATCH(62&amp;"|"&amp;$A494&amp;"|"&amp;D$493,'Transition Stepwise'!$E$2:$E$1137,0))</f>
        <v>0.142857142857143</v>
      </c>
      <c r="E494" s="45" t="n">
        <f aca="false">INDEX('Transition Stepwise'!$J$2:$J$1137,MATCH(62&amp;"|"&amp;$A494&amp;"|"&amp;E$493,'Transition Stepwise'!$E$2:$E$1137,0))</f>
        <v>0.142857142857143</v>
      </c>
      <c r="F494" s="38" t="n">
        <f aca="false">ROUND(SUM(B494:E494),9)</f>
        <v>1</v>
      </c>
    </row>
    <row r="495" customFormat="false" ht="15" hidden="false" customHeight="true" outlineLevel="0" collapsed="false">
      <c r="A495" s="41" t="s">
        <v>170</v>
      </c>
      <c r="B495" s="45" t="n">
        <f aca="false">INDEX('Transition Stepwise'!$J$2:$J$1137,MATCH(62&amp;"|"&amp;$A495&amp;"|"&amp;B$493,'Transition Stepwise'!$E$2:$E$1137,0))</f>
        <v>0.122093023255814</v>
      </c>
      <c r="C495" s="45" t="n">
        <f aca="false">INDEX('Transition Stepwise'!$J$2:$J$1137,MATCH(62&amp;"|"&amp;$A495&amp;"|"&amp;C$493,'Transition Stepwise'!$E$2:$E$1137,0))</f>
        <v>0.453488372093023</v>
      </c>
      <c r="D495" s="45" t="n">
        <f aca="false">INDEX('Transition Stepwise'!$J$2:$J$1137,MATCH(62&amp;"|"&amp;$A495&amp;"|"&amp;D$493,'Transition Stepwise'!$E$2:$E$1137,0))</f>
        <v>0.244186046511628</v>
      </c>
      <c r="E495" s="45" t="n">
        <f aca="false">INDEX('Transition Stepwise'!$J$2:$J$1137,MATCH(62&amp;"|"&amp;$A495&amp;"|"&amp;E$493,'Transition Stepwise'!$E$2:$E$1137,0))</f>
        <v>0.180232558139535</v>
      </c>
      <c r="F495" s="38" t="n">
        <f aca="false">ROUND(SUM(B495:E495),9)</f>
        <v>1</v>
      </c>
    </row>
    <row r="496" customFormat="false" ht="15" hidden="false" customHeight="true" outlineLevel="0" collapsed="false">
      <c r="A496" s="41" t="s">
        <v>169</v>
      </c>
      <c r="B496" s="45" t="n">
        <f aca="false">INDEX('Transition Stepwise'!$J$2:$J$1137,MATCH(62&amp;"|"&amp;$A496&amp;"|"&amp;B$493,'Transition Stepwise'!$E$2:$E$1137,0))</f>
        <v>0.166666666666667</v>
      </c>
      <c r="C496" s="45" t="n">
        <f aca="false">INDEX('Transition Stepwise'!$J$2:$J$1137,MATCH(62&amp;"|"&amp;$A496&amp;"|"&amp;C$493,'Transition Stepwise'!$E$2:$E$1137,0))</f>
        <v>0.5</v>
      </c>
      <c r="D496" s="45" t="n">
        <f aca="false">INDEX('Transition Stepwise'!$J$2:$J$1137,MATCH(62&amp;"|"&amp;$A496&amp;"|"&amp;D$493,'Transition Stepwise'!$E$2:$E$1137,0))</f>
        <v>0.166666666666667</v>
      </c>
      <c r="E496" s="45" t="n">
        <f aca="false">INDEX('Transition Stepwise'!$J$2:$J$1137,MATCH(62&amp;"|"&amp;$A496&amp;"|"&amp;E$493,'Transition Stepwise'!$E$2:$E$1137,0))</f>
        <v>0.166666666666667</v>
      </c>
      <c r="F496" s="38" t="n">
        <f aca="false">ROUND(SUM(B496:E496),9)</f>
        <v>1</v>
      </c>
    </row>
    <row r="497" customFormat="false" ht="15" hidden="false" customHeight="true" outlineLevel="0" collapsed="false">
      <c r="A497" s="41" t="s">
        <v>171</v>
      </c>
      <c r="B497" s="45" t="n">
        <f aca="false">INDEX('Transition Stepwise'!$J$2:$J$1137,MATCH(62&amp;"|"&amp;$A497&amp;"|"&amp;B$493,'Transition Stepwise'!$E$2:$E$1137,0))</f>
        <v>0.1</v>
      </c>
      <c r="C497" s="45" t="n">
        <f aca="false">INDEX('Transition Stepwise'!$J$2:$J$1137,MATCH(62&amp;"|"&amp;$A497&amp;"|"&amp;C$493,'Transition Stepwise'!$E$2:$E$1137,0))</f>
        <v>0.533333333333333</v>
      </c>
      <c r="D497" s="45" t="n">
        <f aca="false">INDEX('Transition Stepwise'!$J$2:$J$1137,MATCH(62&amp;"|"&amp;$A497&amp;"|"&amp;D$493,'Transition Stepwise'!$E$2:$E$1137,0))</f>
        <v>0.266666666666667</v>
      </c>
      <c r="E497" s="45" t="n">
        <f aca="false">INDEX('Transition Stepwise'!$J$2:$J$1137,MATCH(62&amp;"|"&amp;$A497&amp;"|"&amp;E$493,'Transition Stepwise'!$E$2:$E$1137,0))</f>
        <v>0.1</v>
      </c>
      <c r="F497" s="38" t="n">
        <f aca="false">ROUND(SUM(B497:E497),9)</f>
        <v>1</v>
      </c>
    </row>
    <row r="498" customFormat="false" ht="15" hidden="false" customHeight="true" outlineLevel="0" collapsed="false">
      <c r="A498" s="38"/>
      <c r="B498" s="38"/>
      <c r="C498" s="38"/>
      <c r="D498" s="38"/>
      <c r="E498" s="38"/>
      <c r="F498" s="38"/>
    </row>
    <row r="499" customFormat="false" ht="15" hidden="false" customHeight="true" outlineLevel="0" collapsed="false">
      <c r="A499" s="38"/>
      <c r="B499" s="38"/>
      <c r="C499" s="38"/>
      <c r="D499" s="38"/>
      <c r="E499" s="38"/>
      <c r="F499" s="38"/>
    </row>
    <row r="500" customFormat="false" ht="15" hidden="false" customHeight="true" outlineLevel="0" collapsed="false">
      <c r="A500" s="41" t="s">
        <v>756</v>
      </c>
      <c r="B500" s="38"/>
      <c r="C500" s="38"/>
      <c r="D500" s="38"/>
      <c r="E500" s="38"/>
      <c r="F500" s="38"/>
    </row>
    <row r="501" customFormat="false" ht="15" hidden="false" customHeight="true" outlineLevel="0" collapsed="false">
      <c r="A501" s="39" t="s">
        <v>693</v>
      </c>
      <c r="B501" s="39" t="s">
        <v>172</v>
      </c>
      <c r="C501" s="39" t="s">
        <v>170</v>
      </c>
      <c r="D501" s="39" t="s">
        <v>169</v>
      </c>
      <c r="E501" s="39" t="s">
        <v>171</v>
      </c>
      <c r="F501" s="39" t="s">
        <v>766</v>
      </c>
    </row>
    <row r="502" customFormat="false" ht="15" hidden="false" customHeight="true" outlineLevel="0" collapsed="false">
      <c r="A502" s="41" t="s">
        <v>172</v>
      </c>
      <c r="B502" s="45" t="n">
        <f aca="false">INDEX('Transition Stepwise'!$J$2:$J$1137,MATCH(63&amp;"|"&amp;$A502&amp;"|"&amp;B$501,'Transition Stepwise'!$E$2:$E$1137,0))</f>
        <v>0.192307692307692</v>
      </c>
      <c r="C502" s="45" t="n">
        <f aca="false">INDEX('Transition Stepwise'!$J$2:$J$1137,MATCH(63&amp;"|"&amp;$A502&amp;"|"&amp;C$501,'Transition Stepwise'!$E$2:$E$1137,0))</f>
        <v>0.307692307692308</v>
      </c>
      <c r="D502" s="45" t="n">
        <f aca="false">INDEX('Transition Stepwise'!$J$2:$J$1137,MATCH(63&amp;"|"&amp;$A502&amp;"|"&amp;D$501,'Transition Stepwise'!$E$2:$E$1137,0))</f>
        <v>0.384615384615385</v>
      </c>
      <c r="E502" s="45" t="n">
        <f aca="false">INDEX('Transition Stepwise'!$J$2:$J$1137,MATCH(63&amp;"|"&amp;$A502&amp;"|"&amp;E$501,'Transition Stepwise'!$E$2:$E$1137,0))</f>
        <v>0.115384615384615</v>
      </c>
      <c r="F502" s="38" t="n">
        <f aca="false">ROUND(SUM(B502:E502),9)</f>
        <v>1</v>
      </c>
    </row>
    <row r="503" customFormat="false" ht="15" hidden="false" customHeight="true" outlineLevel="0" collapsed="false">
      <c r="A503" s="41" t="s">
        <v>170</v>
      </c>
      <c r="B503" s="45" t="n">
        <f aca="false">INDEX('Transition Stepwise'!$J$2:$J$1137,MATCH(63&amp;"|"&amp;$A503&amp;"|"&amp;B$501,'Transition Stepwise'!$E$2:$E$1137,0))</f>
        <v>0.188118811881188</v>
      </c>
      <c r="C503" s="45" t="n">
        <f aca="false">INDEX('Transition Stepwise'!$J$2:$J$1137,MATCH(63&amp;"|"&amp;$A503&amp;"|"&amp;C$501,'Transition Stepwise'!$E$2:$E$1137,0))</f>
        <v>0.188118811881188</v>
      </c>
      <c r="D503" s="45" t="n">
        <f aca="false">INDEX('Transition Stepwise'!$J$2:$J$1137,MATCH(63&amp;"|"&amp;$A503&amp;"|"&amp;D$501,'Transition Stepwise'!$E$2:$E$1137,0))</f>
        <v>0.396039603960396</v>
      </c>
      <c r="E503" s="45" t="n">
        <f aca="false">INDEX('Transition Stepwise'!$J$2:$J$1137,MATCH(63&amp;"|"&amp;$A503&amp;"|"&amp;E$501,'Transition Stepwise'!$E$2:$E$1137,0))</f>
        <v>0.227722772277228</v>
      </c>
      <c r="F503" s="38" t="n">
        <f aca="false">ROUND(SUM(B503:E503),9)</f>
        <v>1</v>
      </c>
    </row>
    <row r="504" customFormat="false" ht="15" hidden="false" customHeight="true" outlineLevel="0" collapsed="false">
      <c r="A504" s="41" t="s">
        <v>169</v>
      </c>
      <c r="B504" s="45" t="n">
        <f aca="false">INDEX('Transition Stepwise'!$J$2:$J$1137,MATCH(63&amp;"|"&amp;$A504&amp;"|"&amp;B$501,'Transition Stepwise'!$E$2:$E$1137,0))</f>
        <v>0.115384615384615</v>
      </c>
      <c r="C504" s="45" t="n">
        <f aca="false">INDEX('Transition Stepwise'!$J$2:$J$1137,MATCH(63&amp;"|"&amp;$A504&amp;"|"&amp;C$501,'Transition Stepwise'!$E$2:$E$1137,0))</f>
        <v>0.25</v>
      </c>
      <c r="D504" s="45" t="n">
        <f aca="false">INDEX('Transition Stepwise'!$J$2:$J$1137,MATCH(63&amp;"|"&amp;$A504&amp;"|"&amp;D$501,'Transition Stepwise'!$E$2:$E$1137,0))</f>
        <v>0.519230769230769</v>
      </c>
      <c r="E504" s="45" t="n">
        <f aca="false">INDEX('Transition Stepwise'!$J$2:$J$1137,MATCH(63&amp;"|"&amp;$A504&amp;"|"&amp;E$501,'Transition Stepwise'!$E$2:$E$1137,0))</f>
        <v>0.115384615384615</v>
      </c>
      <c r="F504" s="38" t="n">
        <f aca="false">ROUND(SUM(B504:E504),9)</f>
        <v>1</v>
      </c>
    </row>
    <row r="505" customFormat="false" ht="15" hidden="false" customHeight="true" outlineLevel="0" collapsed="false">
      <c r="A505" s="41" t="s">
        <v>171</v>
      </c>
      <c r="B505" s="45" t="n">
        <f aca="false">INDEX('Transition Stepwise'!$J$2:$J$1137,MATCH(63&amp;"|"&amp;$A505&amp;"|"&amp;B$501,'Transition Stepwise'!$E$2:$E$1137,0))</f>
        <v>0.166666666666667</v>
      </c>
      <c r="C505" s="45" t="n">
        <f aca="false">INDEX('Transition Stepwise'!$J$2:$J$1137,MATCH(63&amp;"|"&amp;$A505&amp;"|"&amp;C$501,'Transition Stepwise'!$E$2:$E$1137,0))</f>
        <v>0.166666666666667</v>
      </c>
      <c r="D505" s="45" t="n">
        <f aca="false">INDEX('Transition Stepwise'!$J$2:$J$1137,MATCH(63&amp;"|"&amp;$A505&amp;"|"&amp;D$501,'Transition Stepwise'!$E$2:$E$1137,0))</f>
        <v>0.527777777777778</v>
      </c>
      <c r="E505" s="45" t="n">
        <f aca="false">INDEX('Transition Stepwise'!$J$2:$J$1137,MATCH(63&amp;"|"&amp;$A505&amp;"|"&amp;E$501,'Transition Stepwise'!$E$2:$E$1137,0))</f>
        <v>0.138888888888889</v>
      </c>
      <c r="F505" s="38" t="n">
        <f aca="false">ROUND(SUM(B505:E505),9)</f>
        <v>1</v>
      </c>
    </row>
    <row r="506" customFormat="false" ht="15" hidden="false" customHeight="true" outlineLevel="0" collapsed="false">
      <c r="A506" s="38"/>
      <c r="B506" s="38"/>
      <c r="C506" s="38"/>
      <c r="D506" s="38"/>
      <c r="E506" s="38"/>
      <c r="F506" s="38"/>
    </row>
    <row r="507" customFormat="false" ht="15" hidden="false" customHeight="true" outlineLevel="0" collapsed="false">
      <c r="A507" s="38"/>
      <c r="B507" s="38"/>
      <c r="C507" s="38"/>
      <c r="D507" s="38"/>
      <c r="E507" s="38"/>
      <c r="F507" s="38"/>
    </row>
    <row r="508" customFormat="false" ht="15" hidden="false" customHeight="true" outlineLevel="0" collapsed="false">
      <c r="A508" s="41" t="s">
        <v>757</v>
      </c>
      <c r="B508" s="38"/>
      <c r="C508" s="38"/>
      <c r="D508" s="38"/>
      <c r="E508" s="38"/>
      <c r="F508" s="38"/>
    </row>
    <row r="509" customFormat="false" ht="15" hidden="false" customHeight="true" outlineLevel="0" collapsed="false">
      <c r="A509" s="39" t="s">
        <v>693</v>
      </c>
      <c r="B509" s="39" t="s">
        <v>172</v>
      </c>
      <c r="C509" s="39" t="s">
        <v>170</v>
      </c>
      <c r="D509" s="39" t="s">
        <v>169</v>
      </c>
      <c r="E509" s="39" t="s">
        <v>171</v>
      </c>
      <c r="F509" s="39" t="s">
        <v>766</v>
      </c>
    </row>
    <row r="510" customFormat="false" ht="15" hidden="false" customHeight="true" outlineLevel="0" collapsed="false">
      <c r="A510" s="41" t="s">
        <v>172</v>
      </c>
      <c r="B510" s="45" t="n">
        <f aca="false">INDEX('Transition Stepwise'!$J$2:$J$1137,MATCH(64&amp;"|"&amp;$A510&amp;"|"&amp;B$509,'Transition Stepwise'!$E$2:$E$1137,0))</f>
        <v>0.0571428571428571</v>
      </c>
      <c r="C510" s="45" t="n">
        <f aca="false">INDEX('Transition Stepwise'!$J$2:$J$1137,MATCH(64&amp;"|"&amp;$A510&amp;"|"&amp;C$509,'Transition Stepwise'!$E$2:$E$1137,0))</f>
        <v>0.428571428571429</v>
      </c>
      <c r="D510" s="45" t="n">
        <f aca="false">INDEX('Transition Stepwise'!$J$2:$J$1137,MATCH(64&amp;"|"&amp;$A510&amp;"|"&amp;D$509,'Transition Stepwise'!$E$2:$E$1137,0))</f>
        <v>0.171428571428571</v>
      </c>
      <c r="E510" s="45" t="n">
        <f aca="false">INDEX('Transition Stepwise'!$J$2:$J$1137,MATCH(64&amp;"|"&amp;$A510&amp;"|"&amp;E$509,'Transition Stepwise'!$E$2:$E$1137,0))</f>
        <v>0.342857142857143</v>
      </c>
      <c r="F510" s="38" t="n">
        <f aca="false">ROUND(SUM(B510:E510),9)</f>
        <v>1</v>
      </c>
    </row>
    <row r="511" customFormat="false" ht="15" hidden="false" customHeight="true" outlineLevel="0" collapsed="false">
      <c r="A511" s="41" t="s">
        <v>170</v>
      </c>
      <c r="B511" s="45" t="n">
        <f aca="false">INDEX('Transition Stepwise'!$J$2:$J$1137,MATCH(64&amp;"|"&amp;$A511&amp;"|"&amp;B$509,'Transition Stepwise'!$E$2:$E$1137,0))</f>
        <v>0.108695652173913</v>
      </c>
      <c r="C511" s="45" t="n">
        <f aca="false">INDEX('Transition Stepwise'!$J$2:$J$1137,MATCH(64&amp;"|"&amp;$A511&amp;"|"&amp;C$509,'Transition Stepwise'!$E$2:$E$1137,0))</f>
        <v>0.239130434782609</v>
      </c>
      <c r="D511" s="45" t="n">
        <f aca="false">INDEX('Transition Stepwise'!$J$2:$J$1137,MATCH(64&amp;"|"&amp;$A511&amp;"|"&amp;D$509,'Transition Stepwise'!$E$2:$E$1137,0))</f>
        <v>0.260869565217391</v>
      </c>
      <c r="E511" s="45" t="n">
        <f aca="false">INDEX('Transition Stepwise'!$J$2:$J$1137,MATCH(64&amp;"|"&amp;$A511&amp;"|"&amp;E$509,'Transition Stepwise'!$E$2:$E$1137,0))</f>
        <v>0.391304347826087</v>
      </c>
      <c r="F511" s="38" t="n">
        <f aca="false">ROUND(SUM(B511:E511),9)</f>
        <v>1</v>
      </c>
    </row>
    <row r="512" customFormat="false" ht="15" hidden="false" customHeight="true" outlineLevel="0" collapsed="false">
      <c r="A512" s="41" t="s">
        <v>169</v>
      </c>
      <c r="B512" s="45" t="n">
        <f aca="false">INDEX('Transition Stepwise'!$J$2:$J$1137,MATCH(64&amp;"|"&amp;$A512&amp;"|"&amp;B$509,'Transition Stepwise'!$E$2:$E$1137,0))</f>
        <v>0.03125</v>
      </c>
      <c r="C512" s="45" t="n">
        <f aca="false">INDEX('Transition Stepwise'!$J$2:$J$1137,MATCH(64&amp;"|"&amp;$A512&amp;"|"&amp;C$509,'Transition Stepwise'!$E$2:$E$1137,0))</f>
        <v>0.239583333333333</v>
      </c>
      <c r="D512" s="45" t="n">
        <f aca="false">INDEX('Transition Stepwise'!$J$2:$J$1137,MATCH(64&amp;"|"&amp;$A512&amp;"|"&amp;D$509,'Transition Stepwise'!$E$2:$E$1137,0))</f>
        <v>0.395833333333333</v>
      </c>
      <c r="E512" s="45" t="n">
        <f aca="false">INDEX('Transition Stepwise'!$J$2:$J$1137,MATCH(64&amp;"|"&amp;$A512&amp;"|"&amp;E$509,'Transition Stepwise'!$E$2:$E$1137,0))</f>
        <v>0.333333333333333</v>
      </c>
      <c r="F512" s="38" t="n">
        <f aca="false">ROUND(SUM(B512:E512),9)</f>
        <v>1</v>
      </c>
    </row>
    <row r="513" customFormat="false" ht="15" hidden="false" customHeight="true" outlineLevel="0" collapsed="false">
      <c r="A513" s="41" t="s">
        <v>171</v>
      </c>
      <c r="B513" s="45" t="n">
        <f aca="false">INDEX('Transition Stepwise'!$J$2:$J$1137,MATCH(64&amp;"|"&amp;$A513&amp;"|"&amp;B$509,'Transition Stepwise'!$E$2:$E$1137,0))</f>
        <v>0.0810810810810811</v>
      </c>
      <c r="C513" s="45" t="n">
        <f aca="false">INDEX('Transition Stepwise'!$J$2:$J$1137,MATCH(64&amp;"|"&amp;$A513&amp;"|"&amp;C$509,'Transition Stepwise'!$E$2:$E$1137,0))</f>
        <v>0.486486486486487</v>
      </c>
      <c r="D513" s="45" t="n">
        <f aca="false">INDEX('Transition Stepwise'!$J$2:$J$1137,MATCH(64&amp;"|"&amp;$A513&amp;"|"&amp;D$509,'Transition Stepwise'!$E$2:$E$1137,0))</f>
        <v>0.135135135135135</v>
      </c>
      <c r="E513" s="45" t="n">
        <f aca="false">INDEX('Transition Stepwise'!$J$2:$J$1137,MATCH(64&amp;"|"&amp;$A513&amp;"|"&amp;E$509,'Transition Stepwise'!$E$2:$E$1137,0))</f>
        <v>0.297297297297297</v>
      </c>
      <c r="F513" s="38" t="n">
        <f aca="false">ROUND(SUM(B513:E513),9)</f>
        <v>1</v>
      </c>
    </row>
    <row r="514" customFormat="false" ht="15" hidden="false" customHeight="true" outlineLevel="0" collapsed="false">
      <c r="A514" s="38"/>
      <c r="B514" s="38"/>
      <c r="C514" s="38"/>
      <c r="D514" s="38"/>
      <c r="E514" s="38"/>
      <c r="F514" s="38"/>
    </row>
    <row r="515" customFormat="false" ht="15" hidden="false" customHeight="true" outlineLevel="0" collapsed="false">
      <c r="A515" s="38"/>
      <c r="B515" s="38"/>
      <c r="C515" s="38"/>
      <c r="D515" s="38"/>
      <c r="E515" s="38"/>
      <c r="F515" s="38"/>
    </row>
    <row r="516" customFormat="false" ht="15" hidden="false" customHeight="true" outlineLevel="0" collapsed="false">
      <c r="A516" s="41" t="s">
        <v>758</v>
      </c>
      <c r="B516" s="38"/>
      <c r="C516" s="38"/>
      <c r="D516" s="38"/>
      <c r="E516" s="38"/>
      <c r="F516" s="38"/>
    </row>
    <row r="517" customFormat="false" ht="15" hidden="false" customHeight="true" outlineLevel="0" collapsed="false">
      <c r="A517" s="39" t="s">
        <v>693</v>
      </c>
      <c r="B517" s="39" t="s">
        <v>172</v>
      </c>
      <c r="C517" s="39" t="s">
        <v>170</v>
      </c>
      <c r="D517" s="39" t="s">
        <v>169</v>
      </c>
      <c r="E517" s="39" t="s">
        <v>171</v>
      </c>
      <c r="F517" s="39" t="s">
        <v>766</v>
      </c>
    </row>
    <row r="518" customFormat="false" ht="15" hidden="false" customHeight="true" outlineLevel="0" collapsed="false">
      <c r="A518" s="41" t="s">
        <v>172</v>
      </c>
      <c r="B518" s="45" t="n">
        <f aca="false">INDEX('Transition Stepwise'!$J$2:$J$1137,MATCH(65&amp;"|"&amp;$A518&amp;"|"&amp;B$517,'Transition Stepwise'!$E$2:$E$1137,0))</f>
        <v>0.153846153846154</v>
      </c>
      <c r="C518" s="45" t="n">
        <f aca="false">INDEX('Transition Stepwise'!$J$2:$J$1137,MATCH(65&amp;"|"&amp;$A518&amp;"|"&amp;C$517,'Transition Stepwise'!$E$2:$E$1137,0))</f>
        <v>0.230769230769231</v>
      </c>
      <c r="D518" s="45" t="n">
        <f aca="false">INDEX('Transition Stepwise'!$J$2:$J$1137,MATCH(65&amp;"|"&amp;$A518&amp;"|"&amp;D$517,'Transition Stepwise'!$E$2:$E$1137,0))</f>
        <v>0.0769230769230769</v>
      </c>
      <c r="E518" s="45" t="n">
        <f aca="false">INDEX('Transition Stepwise'!$J$2:$J$1137,MATCH(65&amp;"|"&amp;$A518&amp;"|"&amp;E$517,'Transition Stepwise'!$E$2:$E$1137,0))</f>
        <v>0.538461538461538</v>
      </c>
      <c r="F518" s="38" t="n">
        <f aca="false">ROUND(SUM(B518:E518),9)</f>
        <v>1</v>
      </c>
    </row>
    <row r="519" customFormat="false" ht="15" hidden="false" customHeight="true" outlineLevel="0" collapsed="false">
      <c r="A519" s="41" t="s">
        <v>170</v>
      </c>
      <c r="B519" s="45" t="n">
        <f aca="false">INDEX('Transition Stepwise'!$J$2:$J$1137,MATCH(65&amp;"|"&amp;$A519&amp;"|"&amp;B$517,'Transition Stepwise'!$E$2:$E$1137,0))</f>
        <v>0.17910447761194</v>
      </c>
      <c r="C519" s="45" t="n">
        <f aca="false">INDEX('Transition Stepwise'!$J$2:$J$1137,MATCH(65&amp;"|"&amp;$A519&amp;"|"&amp;C$517,'Transition Stepwise'!$E$2:$E$1137,0))</f>
        <v>0.567164179104478</v>
      </c>
      <c r="D519" s="45" t="n">
        <f aca="false">INDEX('Transition Stepwise'!$J$2:$J$1137,MATCH(65&amp;"|"&amp;$A519&amp;"|"&amp;D$517,'Transition Stepwise'!$E$2:$E$1137,0))</f>
        <v>0.0298507462686567</v>
      </c>
      <c r="E519" s="45" t="n">
        <f aca="false">INDEX('Transition Stepwise'!$J$2:$J$1137,MATCH(65&amp;"|"&amp;$A519&amp;"|"&amp;E$517,'Transition Stepwise'!$E$2:$E$1137,0))</f>
        <v>0.223880597014925</v>
      </c>
      <c r="F519" s="38" t="n">
        <f aca="false">ROUND(SUM(B519:E519),9)</f>
        <v>1</v>
      </c>
    </row>
    <row r="520" customFormat="false" ht="15" hidden="false" customHeight="true" outlineLevel="0" collapsed="false">
      <c r="A520" s="41" t="s">
        <v>169</v>
      </c>
      <c r="B520" s="45" t="n">
        <f aca="false">INDEX('Transition Stepwise'!$J$2:$J$1137,MATCH(65&amp;"|"&amp;$A520&amp;"|"&amp;B$517,'Transition Stepwise'!$E$2:$E$1137,0))</f>
        <v>0.163934426229508</v>
      </c>
      <c r="C520" s="45" t="n">
        <f aca="false">INDEX('Transition Stepwise'!$J$2:$J$1137,MATCH(65&amp;"|"&amp;$A520&amp;"|"&amp;C$517,'Transition Stepwise'!$E$2:$E$1137,0))</f>
        <v>0.508196721311475</v>
      </c>
      <c r="D520" s="45" t="n">
        <f aca="false">INDEX('Transition Stepwise'!$J$2:$J$1137,MATCH(65&amp;"|"&amp;$A520&amp;"|"&amp;D$517,'Transition Stepwise'!$E$2:$E$1137,0))</f>
        <v>0.0327868852459016</v>
      </c>
      <c r="E520" s="45" t="n">
        <f aca="false">INDEX('Transition Stepwise'!$J$2:$J$1137,MATCH(65&amp;"|"&amp;$A520&amp;"|"&amp;E$517,'Transition Stepwise'!$E$2:$E$1137,0))</f>
        <v>0.295081967213115</v>
      </c>
      <c r="F520" s="38" t="n">
        <f aca="false">ROUND(SUM(B520:E520),9)</f>
        <v>1</v>
      </c>
    </row>
    <row r="521" customFormat="false" ht="15" hidden="false" customHeight="true" outlineLevel="0" collapsed="false">
      <c r="A521" s="41" t="s">
        <v>171</v>
      </c>
      <c r="B521" s="45" t="n">
        <f aca="false">INDEX('Transition Stepwise'!$J$2:$J$1137,MATCH(65&amp;"|"&amp;$A521&amp;"|"&amp;B$517,'Transition Stepwise'!$E$2:$E$1137,0))</f>
        <v>0.315068493150685</v>
      </c>
      <c r="C521" s="45" t="n">
        <f aca="false">INDEX('Transition Stepwise'!$J$2:$J$1137,MATCH(65&amp;"|"&amp;$A521&amp;"|"&amp;C$517,'Transition Stepwise'!$E$2:$E$1137,0))</f>
        <v>0.493150684931507</v>
      </c>
      <c r="D521" s="45" t="n">
        <f aca="false">INDEX('Transition Stepwise'!$J$2:$J$1137,MATCH(65&amp;"|"&amp;$A521&amp;"|"&amp;D$517,'Transition Stepwise'!$E$2:$E$1137,0))</f>
        <v>0.0136986301369863</v>
      </c>
      <c r="E521" s="45" t="n">
        <f aca="false">INDEX('Transition Stepwise'!$J$2:$J$1137,MATCH(65&amp;"|"&amp;$A521&amp;"|"&amp;E$517,'Transition Stepwise'!$E$2:$E$1137,0))</f>
        <v>0.178082191780822</v>
      </c>
      <c r="F521" s="38" t="n">
        <f aca="false">ROUND(SUM(B521:E521),9)</f>
        <v>1</v>
      </c>
    </row>
    <row r="522" customFormat="false" ht="15" hidden="false" customHeight="true" outlineLevel="0" collapsed="false">
      <c r="A522" s="38"/>
      <c r="B522" s="38"/>
      <c r="C522" s="38"/>
      <c r="D522" s="38"/>
      <c r="E522" s="38"/>
      <c r="F522" s="38"/>
    </row>
    <row r="523" customFormat="false" ht="15" hidden="false" customHeight="true" outlineLevel="0" collapsed="false">
      <c r="A523" s="38"/>
      <c r="B523" s="38"/>
      <c r="C523" s="38"/>
      <c r="D523" s="38"/>
      <c r="E523" s="38"/>
      <c r="F523" s="38"/>
    </row>
    <row r="524" customFormat="false" ht="15" hidden="false" customHeight="true" outlineLevel="0" collapsed="false">
      <c r="A524" s="41" t="s">
        <v>759</v>
      </c>
      <c r="B524" s="38"/>
      <c r="C524" s="38"/>
      <c r="D524" s="38"/>
      <c r="E524" s="38"/>
      <c r="F524" s="38"/>
    </row>
    <row r="525" customFormat="false" ht="15" hidden="false" customHeight="true" outlineLevel="0" collapsed="false">
      <c r="A525" s="39" t="s">
        <v>693</v>
      </c>
      <c r="B525" s="39" t="s">
        <v>172</v>
      </c>
      <c r="C525" s="39" t="s">
        <v>170</v>
      </c>
      <c r="D525" s="39" t="s">
        <v>169</v>
      </c>
      <c r="E525" s="39" t="s">
        <v>171</v>
      </c>
      <c r="F525" s="39" t="s">
        <v>766</v>
      </c>
    </row>
    <row r="526" customFormat="false" ht="15" hidden="false" customHeight="true" outlineLevel="0" collapsed="false">
      <c r="A526" s="41" t="s">
        <v>172</v>
      </c>
      <c r="B526" s="45" t="n">
        <f aca="false">INDEX('Transition Stepwise'!$J$2:$J$1137,MATCH(66&amp;"|"&amp;$A526&amp;"|"&amp;B$525,'Transition Stepwise'!$E$2:$E$1137,0))</f>
        <v>0.106382978723404</v>
      </c>
      <c r="C526" s="45" t="n">
        <f aca="false">INDEX('Transition Stepwise'!$J$2:$J$1137,MATCH(66&amp;"|"&amp;$A526&amp;"|"&amp;C$525,'Transition Stepwise'!$E$2:$E$1137,0))</f>
        <v>0.297872340425532</v>
      </c>
      <c r="D526" s="45" t="n">
        <f aca="false">INDEX('Transition Stepwise'!$J$2:$J$1137,MATCH(66&amp;"|"&amp;$A526&amp;"|"&amp;D$525,'Transition Stepwise'!$E$2:$E$1137,0))</f>
        <v>0.340425531914894</v>
      </c>
      <c r="E526" s="45" t="n">
        <f aca="false">INDEX('Transition Stepwise'!$J$2:$J$1137,MATCH(66&amp;"|"&amp;$A526&amp;"|"&amp;E$525,'Transition Stepwise'!$E$2:$E$1137,0))</f>
        <v>0.25531914893617</v>
      </c>
      <c r="F526" s="38" t="n">
        <f aca="false">ROUND(SUM(B526:E526),9)</f>
        <v>1</v>
      </c>
    </row>
    <row r="527" customFormat="false" ht="15" hidden="false" customHeight="true" outlineLevel="0" collapsed="false">
      <c r="A527" s="41" t="s">
        <v>170</v>
      </c>
      <c r="B527" s="45" t="n">
        <f aca="false">INDEX('Transition Stepwise'!$J$2:$J$1137,MATCH(66&amp;"|"&amp;$A527&amp;"|"&amp;B$525,'Transition Stepwise'!$E$2:$E$1137,0))</f>
        <v>0.18348623853211</v>
      </c>
      <c r="C527" s="45" t="n">
        <f aca="false">INDEX('Transition Stepwise'!$J$2:$J$1137,MATCH(66&amp;"|"&amp;$A527&amp;"|"&amp;C$525,'Transition Stepwise'!$E$2:$E$1137,0))</f>
        <v>0.211009174311927</v>
      </c>
      <c r="D527" s="45" t="n">
        <f aca="false">INDEX('Transition Stepwise'!$J$2:$J$1137,MATCH(66&amp;"|"&amp;$A527&amp;"|"&amp;D$525,'Transition Stepwise'!$E$2:$E$1137,0))</f>
        <v>0.44954128440367</v>
      </c>
      <c r="E527" s="45" t="n">
        <f aca="false">INDEX('Transition Stepwise'!$J$2:$J$1137,MATCH(66&amp;"|"&amp;$A527&amp;"|"&amp;E$525,'Transition Stepwise'!$E$2:$E$1137,0))</f>
        <v>0.155963302752294</v>
      </c>
      <c r="F527" s="38" t="n">
        <f aca="false">ROUND(SUM(B527:E527),9)</f>
        <v>1</v>
      </c>
    </row>
    <row r="528" customFormat="false" ht="15" hidden="false" customHeight="true" outlineLevel="0" collapsed="false">
      <c r="A528" s="41" t="s">
        <v>169</v>
      </c>
      <c r="B528" s="45" t="n">
        <f aca="false">INDEX('Transition Stepwise'!$J$2:$J$1137,MATCH(66&amp;"|"&amp;$A528&amp;"|"&amp;B$525,'Transition Stepwise'!$E$2:$E$1137,0))</f>
        <v>0.166666666666667</v>
      </c>
      <c r="C528" s="45" t="n">
        <f aca="false">INDEX('Transition Stepwise'!$J$2:$J$1137,MATCH(66&amp;"|"&amp;$A528&amp;"|"&amp;C$525,'Transition Stepwise'!$E$2:$E$1137,0))</f>
        <v>0.166666666666667</v>
      </c>
      <c r="D528" s="45" t="n">
        <f aca="false">INDEX('Transition Stepwise'!$J$2:$J$1137,MATCH(66&amp;"|"&amp;$A528&amp;"|"&amp;D$525,'Transition Stepwise'!$E$2:$E$1137,0))</f>
        <v>0.5</v>
      </c>
      <c r="E528" s="45" t="n">
        <f aca="false">INDEX('Transition Stepwise'!$J$2:$J$1137,MATCH(66&amp;"|"&amp;$A528&amp;"|"&amp;E$525,'Transition Stepwise'!$E$2:$E$1137,0))</f>
        <v>0.166666666666667</v>
      </c>
      <c r="F528" s="38" t="n">
        <f aca="false">ROUND(SUM(B528:E528),9)</f>
        <v>1</v>
      </c>
    </row>
    <row r="529" customFormat="false" ht="15" hidden="false" customHeight="true" outlineLevel="0" collapsed="false">
      <c r="A529" s="41" t="s">
        <v>171</v>
      </c>
      <c r="B529" s="45" t="n">
        <f aca="false">INDEX('Transition Stepwise'!$J$2:$J$1137,MATCH(66&amp;"|"&amp;$A529&amp;"|"&amp;B$525,'Transition Stepwise'!$E$2:$E$1137,0))</f>
        <v>0.358490566037736</v>
      </c>
      <c r="C529" s="45" t="n">
        <f aca="false">INDEX('Transition Stepwise'!$J$2:$J$1137,MATCH(66&amp;"|"&amp;$A529&amp;"|"&amp;C$525,'Transition Stepwise'!$E$2:$E$1137,0))</f>
        <v>0.207547169811321</v>
      </c>
      <c r="D529" s="45" t="n">
        <f aca="false">INDEX('Transition Stepwise'!$J$2:$J$1137,MATCH(66&amp;"|"&amp;$A529&amp;"|"&amp;D$525,'Transition Stepwise'!$E$2:$E$1137,0))</f>
        <v>0.207547169811321</v>
      </c>
      <c r="E529" s="45" t="n">
        <f aca="false">INDEX('Transition Stepwise'!$J$2:$J$1137,MATCH(66&amp;"|"&amp;$A529&amp;"|"&amp;E$525,'Transition Stepwise'!$E$2:$E$1137,0))</f>
        <v>0.226415094339623</v>
      </c>
      <c r="F529" s="38" t="n">
        <f aca="false">ROUND(SUM(B529:E529),9)</f>
        <v>1</v>
      </c>
    </row>
    <row r="530" customFormat="false" ht="15" hidden="false" customHeight="true" outlineLevel="0" collapsed="false">
      <c r="A530" s="38"/>
      <c r="B530" s="38"/>
      <c r="C530" s="38"/>
      <c r="D530" s="38"/>
      <c r="E530" s="38"/>
      <c r="F530" s="38"/>
    </row>
    <row r="531" customFormat="false" ht="15" hidden="false" customHeight="true" outlineLevel="0" collapsed="false">
      <c r="A531" s="38"/>
      <c r="B531" s="38"/>
      <c r="C531" s="38"/>
      <c r="D531" s="38"/>
      <c r="E531" s="38"/>
      <c r="F531" s="38"/>
    </row>
    <row r="532" customFormat="false" ht="15" hidden="false" customHeight="true" outlineLevel="0" collapsed="false">
      <c r="A532" s="41" t="s">
        <v>760</v>
      </c>
      <c r="B532" s="38"/>
      <c r="C532" s="38"/>
      <c r="D532" s="38"/>
      <c r="E532" s="38"/>
      <c r="F532" s="38"/>
    </row>
    <row r="533" customFormat="false" ht="15" hidden="false" customHeight="true" outlineLevel="0" collapsed="false">
      <c r="A533" s="39" t="s">
        <v>693</v>
      </c>
      <c r="B533" s="39" t="s">
        <v>172</v>
      </c>
      <c r="C533" s="39" t="s">
        <v>170</v>
      </c>
      <c r="D533" s="39" t="s">
        <v>169</v>
      </c>
      <c r="E533" s="39" t="s">
        <v>171</v>
      </c>
      <c r="F533" s="39" t="s">
        <v>766</v>
      </c>
    </row>
    <row r="534" customFormat="false" ht="15" hidden="false" customHeight="true" outlineLevel="0" collapsed="false">
      <c r="A534" s="41" t="s">
        <v>172</v>
      </c>
      <c r="B534" s="45" t="n">
        <f aca="false">INDEX('Transition Stepwise'!$J$2:$J$1137,MATCH(67&amp;"|"&amp;$A534&amp;"|"&amp;B$533,'Transition Stepwise'!$E$2:$E$1137,0))</f>
        <v>0.0888888888888889</v>
      </c>
      <c r="C534" s="45" t="n">
        <f aca="false">INDEX('Transition Stepwise'!$J$2:$J$1137,MATCH(67&amp;"|"&amp;$A534&amp;"|"&amp;C$533,'Transition Stepwise'!$E$2:$E$1137,0))</f>
        <v>0.355555555555556</v>
      </c>
      <c r="D534" s="45" t="n">
        <f aca="false">INDEX('Transition Stepwise'!$J$2:$J$1137,MATCH(67&amp;"|"&amp;$A534&amp;"|"&amp;D$533,'Transition Stepwise'!$E$2:$E$1137,0))</f>
        <v>0.311111111111111</v>
      </c>
      <c r="E534" s="45" t="n">
        <f aca="false">INDEX('Transition Stepwise'!$J$2:$J$1137,MATCH(67&amp;"|"&amp;$A534&amp;"|"&amp;E$533,'Transition Stepwise'!$E$2:$E$1137,0))</f>
        <v>0.244444444444444</v>
      </c>
      <c r="F534" s="38" t="n">
        <f aca="false">ROUND(SUM(B534:E534),9)</f>
        <v>1</v>
      </c>
    </row>
    <row r="535" customFormat="false" ht="15" hidden="false" customHeight="true" outlineLevel="0" collapsed="false">
      <c r="A535" s="41" t="s">
        <v>170</v>
      </c>
      <c r="B535" s="45" t="n">
        <f aca="false">INDEX('Transition Stepwise'!$J$2:$J$1137,MATCH(67&amp;"|"&amp;$A535&amp;"|"&amp;B$533,'Transition Stepwise'!$E$2:$E$1137,0))</f>
        <v>0.163265306122449</v>
      </c>
      <c r="C535" s="45" t="n">
        <f aca="false">INDEX('Transition Stepwise'!$J$2:$J$1137,MATCH(67&amp;"|"&amp;$A535&amp;"|"&amp;C$533,'Transition Stepwise'!$E$2:$E$1137,0))</f>
        <v>0.326530612244898</v>
      </c>
      <c r="D535" s="45" t="n">
        <f aca="false">INDEX('Transition Stepwise'!$J$2:$J$1137,MATCH(67&amp;"|"&amp;$A535&amp;"|"&amp;D$533,'Transition Stepwise'!$E$2:$E$1137,0))</f>
        <v>0.36734693877551</v>
      </c>
      <c r="E535" s="45" t="n">
        <f aca="false">INDEX('Transition Stepwise'!$J$2:$J$1137,MATCH(67&amp;"|"&amp;$A535&amp;"|"&amp;E$533,'Transition Stepwise'!$E$2:$E$1137,0))</f>
        <v>0.142857142857143</v>
      </c>
      <c r="F535" s="38" t="n">
        <f aca="false">ROUND(SUM(B535:E535),9)</f>
        <v>1</v>
      </c>
    </row>
    <row r="536" customFormat="false" ht="15" hidden="false" customHeight="true" outlineLevel="0" collapsed="false">
      <c r="A536" s="41" t="s">
        <v>169</v>
      </c>
      <c r="B536" s="45" t="n">
        <f aca="false">INDEX('Transition Stepwise'!$J$2:$J$1137,MATCH(67&amp;"|"&amp;$A536&amp;"|"&amp;B$533,'Transition Stepwise'!$E$2:$E$1137,0))</f>
        <v>0.0759493670886076</v>
      </c>
      <c r="C536" s="45" t="n">
        <f aca="false">INDEX('Transition Stepwise'!$J$2:$J$1137,MATCH(67&amp;"|"&amp;$A536&amp;"|"&amp;C$533,'Transition Stepwise'!$E$2:$E$1137,0))</f>
        <v>0.189873417721519</v>
      </c>
      <c r="D536" s="45" t="n">
        <f aca="false">INDEX('Transition Stepwise'!$J$2:$J$1137,MATCH(67&amp;"|"&amp;$A536&amp;"|"&amp;D$533,'Transition Stepwise'!$E$2:$E$1137,0))</f>
        <v>0.594936708860759</v>
      </c>
      <c r="E536" s="45" t="n">
        <f aca="false">INDEX('Transition Stepwise'!$J$2:$J$1137,MATCH(67&amp;"|"&amp;$A536&amp;"|"&amp;E$533,'Transition Stepwise'!$E$2:$E$1137,0))</f>
        <v>0.139240506329114</v>
      </c>
      <c r="F536" s="38" t="n">
        <f aca="false">ROUND(SUM(B536:E536),9)</f>
        <v>1</v>
      </c>
    </row>
    <row r="537" customFormat="false" ht="15" hidden="false" customHeight="true" outlineLevel="0" collapsed="false">
      <c r="A537" s="41" t="s">
        <v>171</v>
      </c>
      <c r="B537" s="45" t="n">
        <f aca="false">INDEX('Transition Stepwise'!$J$2:$J$1137,MATCH(67&amp;"|"&amp;$A537&amp;"|"&amp;B$533,'Transition Stepwise'!$E$2:$E$1137,0))</f>
        <v>0.0238095238095238</v>
      </c>
      <c r="C537" s="45" t="n">
        <f aca="false">INDEX('Transition Stepwise'!$J$2:$J$1137,MATCH(67&amp;"|"&amp;$A537&amp;"|"&amp;C$533,'Transition Stepwise'!$E$2:$E$1137,0))</f>
        <v>0.452380952380952</v>
      </c>
      <c r="D537" s="45" t="n">
        <f aca="false">INDEX('Transition Stepwise'!$J$2:$J$1137,MATCH(67&amp;"|"&amp;$A537&amp;"|"&amp;D$533,'Transition Stepwise'!$E$2:$E$1137,0))</f>
        <v>0.285714285714286</v>
      </c>
      <c r="E537" s="45" t="n">
        <f aca="false">INDEX('Transition Stepwise'!$J$2:$J$1137,MATCH(67&amp;"|"&amp;$A537&amp;"|"&amp;E$533,'Transition Stepwise'!$E$2:$E$1137,0))</f>
        <v>0.238095238095238</v>
      </c>
      <c r="F537" s="38" t="n">
        <f aca="false">ROUND(SUM(B537:E537),9)</f>
        <v>1</v>
      </c>
    </row>
    <row r="538" customFormat="false" ht="15" hidden="false" customHeight="true" outlineLevel="0" collapsed="false">
      <c r="A538" s="38"/>
      <c r="B538" s="38"/>
      <c r="C538" s="38"/>
      <c r="D538" s="38"/>
      <c r="E538" s="38"/>
      <c r="F538" s="38"/>
    </row>
    <row r="539" customFormat="false" ht="15" hidden="false" customHeight="true" outlineLevel="0" collapsed="false">
      <c r="A539" s="38"/>
      <c r="B539" s="38"/>
      <c r="C539" s="38"/>
      <c r="D539" s="38"/>
      <c r="E539" s="38"/>
      <c r="F539" s="38"/>
    </row>
    <row r="540" customFormat="false" ht="15" hidden="false" customHeight="true" outlineLevel="0" collapsed="false">
      <c r="A540" s="41" t="s">
        <v>761</v>
      </c>
      <c r="B540" s="38"/>
      <c r="C540" s="38"/>
      <c r="D540" s="38"/>
      <c r="E540" s="38"/>
      <c r="F540" s="38"/>
    </row>
    <row r="541" customFormat="false" ht="15" hidden="false" customHeight="true" outlineLevel="0" collapsed="false">
      <c r="A541" s="39" t="s">
        <v>693</v>
      </c>
      <c r="B541" s="39" t="s">
        <v>172</v>
      </c>
      <c r="C541" s="39" t="s">
        <v>170</v>
      </c>
      <c r="D541" s="39" t="s">
        <v>169</v>
      </c>
      <c r="E541" s="39" t="s">
        <v>171</v>
      </c>
      <c r="F541" s="39" t="s">
        <v>766</v>
      </c>
    </row>
    <row r="542" customFormat="false" ht="15" hidden="false" customHeight="true" outlineLevel="0" collapsed="false">
      <c r="A542" s="41" t="s">
        <v>172</v>
      </c>
      <c r="B542" s="45" t="n">
        <f aca="false">INDEX('Transition Stepwise'!$J$2:$J$1137,MATCH(68&amp;"|"&amp;$A542&amp;"|"&amp;B$541,'Transition Stepwise'!$E$2:$E$1137,0))</f>
        <v>0.263157894736842</v>
      </c>
      <c r="C542" s="45" t="n">
        <f aca="false">INDEX('Transition Stepwise'!$J$2:$J$1137,MATCH(68&amp;"|"&amp;$A542&amp;"|"&amp;C$541,'Transition Stepwise'!$E$2:$E$1137,0))</f>
        <v>0.263157894736842</v>
      </c>
      <c r="D542" s="45" t="n">
        <f aca="false">INDEX('Transition Stepwise'!$J$2:$J$1137,MATCH(68&amp;"|"&amp;$A542&amp;"|"&amp;D$541,'Transition Stepwise'!$E$2:$E$1137,0))</f>
        <v>0.368421052631579</v>
      </c>
      <c r="E542" s="45" t="n">
        <f aca="false">INDEX('Transition Stepwise'!$J$2:$J$1137,MATCH(68&amp;"|"&amp;$A542&amp;"|"&amp;E$541,'Transition Stepwise'!$E$2:$E$1137,0))</f>
        <v>0.105263157894737</v>
      </c>
      <c r="F542" s="38" t="n">
        <f aca="false">ROUND(SUM(B542:E542),9)</f>
        <v>1</v>
      </c>
    </row>
    <row r="543" customFormat="false" ht="15" hidden="false" customHeight="true" outlineLevel="0" collapsed="false">
      <c r="A543" s="41" t="s">
        <v>170</v>
      </c>
      <c r="B543" s="45" t="n">
        <f aca="false">INDEX('Transition Stepwise'!$J$2:$J$1137,MATCH(68&amp;"|"&amp;$A543&amp;"|"&amp;B$541,'Transition Stepwise'!$E$2:$E$1137,0))</f>
        <v>0.0757575757575758</v>
      </c>
      <c r="C543" s="45" t="n">
        <f aca="false">INDEX('Transition Stepwise'!$J$2:$J$1137,MATCH(68&amp;"|"&amp;$A543&amp;"|"&amp;C$541,'Transition Stepwise'!$E$2:$E$1137,0))</f>
        <v>0.651515151515152</v>
      </c>
      <c r="D543" s="45" t="n">
        <f aca="false">INDEX('Transition Stepwise'!$J$2:$J$1137,MATCH(68&amp;"|"&amp;$A543&amp;"|"&amp;D$541,'Transition Stepwise'!$E$2:$E$1137,0))</f>
        <v>0.151515151515152</v>
      </c>
      <c r="E543" s="45" t="n">
        <f aca="false">INDEX('Transition Stepwise'!$J$2:$J$1137,MATCH(68&amp;"|"&amp;$A543&amp;"|"&amp;E$541,'Transition Stepwise'!$E$2:$E$1137,0))</f>
        <v>0.121212121212121</v>
      </c>
      <c r="F543" s="38" t="n">
        <f aca="false">ROUND(SUM(B543:E543),9)</f>
        <v>1</v>
      </c>
    </row>
    <row r="544" customFormat="false" ht="15" hidden="false" customHeight="true" outlineLevel="0" collapsed="false">
      <c r="A544" s="41" t="s">
        <v>169</v>
      </c>
      <c r="B544" s="45" t="n">
        <f aca="false">INDEX('Transition Stepwise'!$J$2:$J$1137,MATCH(68&amp;"|"&amp;$A544&amp;"|"&amp;B$541,'Transition Stepwise'!$E$2:$E$1137,0))</f>
        <v>0.153846153846154</v>
      </c>
      <c r="C544" s="45" t="n">
        <f aca="false">INDEX('Transition Stepwise'!$J$2:$J$1137,MATCH(68&amp;"|"&amp;$A544&amp;"|"&amp;C$541,'Transition Stepwise'!$E$2:$E$1137,0))</f>
        <v>0.252747252747253</v>
      </c>
      <c r="D544" s="45" t="n">
        <f aca="false">INDEX('Transition Stepwise'!$J$2:$J$1137,MATCH(68&amp;"|"&amp;$A544&amp;"|"&amp;D$541,'Transition Stepwise'!$E$2:$E$1137,0))</f>
        <v>0.54945054945055</v>
      </c>
      <c r="E544" s="45" t="n">
        <f aca="false">INDEX('Transition Stepwise'!$J$2:$J$1137,MATCH(68&amp;"|"&amp;$A544&amp;"|"&amp;E$541,'Transition Stepwise'!$E$2:$E$1137,0))</f>
        <v>0.043956043956044</v>
      </c>
      <c r="F544" s="38" t="n">
        <f aca="false">ROUND(SUM(B544:E544),9)</f>
        <v>1</v>
      </c>
    </row>
    <row r="545" customFormat="false" ht="15" hidden="false" customHeight="true" outlineLevel="0" collapsed="false">
      <c r="A545" s="41" t="s">
        <v>171</v>
      </c>
      <c r="B545" s="45" t="n">
        <f aca="false">INDEX('Transition Stepwise'!$J$2:$J$1137,MATCH(68&amp;"|"&amp;$A545&amp;"|"&amp;B$541,'Transition Stepwise'!$E$2:$E$1137,0))</f>
        <v>0.128205128205128</v>
      </c>
      <c r="C545" s="45" t="n">
        <f aca="false">INDEX('Transition Stepwise'!$J$2:$J$1137,MATCH(68&amp;"|"&amp;$A545&amp;"|"&amp;C$541,'Transition Stepwise'!$E$2:$E$1137,0))</f>
        <v>0.538461538461538</v>
      </c>
      <c r="D545" s="45" t="n">
        <f aca="false">INDEX('Transition Stepwise'!$J$2:$J$1137,MATCH(68&amp;"|"&amp;$A545&amp;"|"&amp;D$541,'Transition Stepwise'!$E$2:$E$1137,0))</f>
        <v>0.17948717948718</v>
      </c>
      <c r="E545" s="45" t="n">
        <f aca="false">INDEX('Transition Stepwise'!$J$2:$J$1137,MATCH(68&amp;"|"&amp;$A545&amp;"|"&amp;E$541,'Transition Stepwise'!$E$2:$E$1137,0))</f>
        <v>0.153846153846154</v>
      </c>
      <c r="F545" s="38" t="n">
        <f aca="false">ROUND(SUM(B545:E545),9)</f>
        <v>1</v>
      </c>
    </row>
    <row r="546" customFormat="false" ht="15" hidden="false" customHeight="true" outlineLevel="0" collapsed="false">
      <c r="A546" s="38"/>
      <c r="B546" s="38"/>
      <c r="C546" s="38"/>
      <c r="D546" s="38"/>
      <c r="E546" s="38"/>
      <c r="F546" s="38"/>
    </row>
    <row r="547" customFormat="false" ht="15" hidden="false" customHeight="true" outlineLevel="0" collapsed="false">
      <c r="A547" s="38"/>
      <c r="B547" s="38"/>
      <c r="C547" s="38"/>
      <c r="D547" s="38"/>
      <c r="E547" s="38"/>
      <c r="F547" s="38"/>
    </row>
    <row r="548" customFormat="false" ht="15" hidden="false" customHeight="true" outlineLevel="0" collapsed="false">
      <c r="A548" s="41" t="s">
        <v>762</v>
      </c>
      <c r="B548" s="38"/>
      <c r="C548" s="38"/>
      <c r="D548" s="38"/>
      <c r="E548" s="38"/>
      <c r="F548" s="38"/>
    </row>
    <row r="549" customFormat="false" ht="15" hidden="false" customHeight="true" outlineLevel="0" collapsed="false">
      <c r="A549" s="39" t="s">
        <v>693</v>
      </c>
      <c r="B549" s="39" t="s">
        <v>172</v>
      </c>
      <c r="C549" s="39" t="s">
        <v>170</v>
      </c>
      <c r="D549" s="39" t="s">
        <v>169</v>
      </c>
      <c r="E549" s="39" t="s">
        <v>171</v>
      </c>
      <c r="F549" s="39" t="s">
        <v>766</v>
      </c>
    </row>
    <row r="550" customFormat="false" ht="15" hidden="false" customHeight="true" outlineLevel="0" collapsed="false">
      <c r="A550" s="41" t="s">
        <v>172</v>
      </c>
      <c r="B550" s="45" t="n">
        <f aca="false">INDEX('Transition Stepwise'!$J$2:$J$1137,MATCH(69&amp;"|"&amp;$A550&amp;"|"&amp;B$549,'Transition Stepwise'!$E$2:$E$1137,0))</f>
        <v>0.206896551724138</v>
      </c>
      <c r="C550" s="45" t="n">
        <f aca="false">INDEX('Transition Stepwise'!$J$2:$J$1137,MATCH(69&amp;"|"&amp;$A550&amp;"|"&amp;C$549,'Transition Stepwise'!$E$2:$E$1137,0))</f>
        <v>0.379310344827586</v>
      </c>
      <c r="D550" s="45" t="n">
        <f aca="false">INDEX('Transition Stepwise'!$J$2:$J$1137,MATCH(69&amp;"|"&amp;$A550&amp;"|"&amp;D$549,'Transition Stepwise'!$E$2:$E$1137,0))</f>
        <v>0.379310344827586</v>
      </c>
      <c r="E550" s="45" t="n">
        <f aca="false">INDEX('Transition Stepwise'!$J$2:$J$1137,MATCH(69&amp;"|"&amp;$A550&amp;"|"&amp;E$549,'Transition Stepwise'!$E$2:$E$1137,0))</f>
        <v>0.0344827586206897</v>
      </c>
      <c r="F550" s="38" t="n">
        <f aca="false">ROUND(SUM(B550:E550),9)</f>
        <v>1</v>
      </c>
    </row>
    <row r="551" customFormat="false" ht="15" hidden="false" customHeight="true" outlineLevel="0" collapsed="false">
      <c r="A551" s="41" t="s">
        <v>170</v>
      </c>
      <c r="B551" s="45" t="n">
        <f aca="false">INDEX('Transition Stepwise'!$J$2:$J$1137,MATCH(69&amp;"|"&amp;$A551&amp;"|"&amp;B$549,'Transition Stepwise'!$E$2:$E$1137,0))</f>
        <v>0.108695652173913</v>
      </c>
      <c r="C551" s="45" t="n">
        <f aca="false">INDEX('Transition Stepwise'!$J$2:$J$1137,MATCH(69&amp;"|"&amp;$A551&amp;"|"&amp;C$549,'Transition Stepwise'!$E$2:$E$1137,0))</f>
        <v>0.347826086956522</v>
      </c>
      <c r="D551" s="45" t="n">
        <f aca="false">INDEX('Transition Stepwise'!$J$2:$J$1137,MATCH(69&amp;"|"&amp;$A551&amp;"|"&amp;D$549,'Transition Stepwise'!$E$2:$E$1137,0))</f>
        <v>0.33695652173913</v>
      </c>
      <c r="E551" s="45" t="n">
        <f aca="false">INDEX('Transition Stepwise'!$J$2:$J$1137,MATCH(69&amp;"|"&amp;$A551&amp;"|"&amp;E$549,'Transition Stepwise'!$E$2:$E$1137,0))</f>
        <v>0.206521739130435</v>
      </c>
      <c r="F551" s="38" t="n">
        <f aca="false">ROUND(SUM(B551:E551),9)</f>
        <v>1</v>
      </c>
    </row>
    <row r="552" customFormat="false" ht="15" hidden="false" customHeight="true" outlineLevel="0" collapsed="false">
      <c r="A552" s="41" t="s">
        <v>169</v>
      </c>
      <c r="B552" s="45" t="n">
        <f aca="false">INDEX('Transition Stepwise'!$J$2:$J$1137,MATCH(69&amp;"|"&amp;$A552&amp;"|"&amp;B$549,'Transition Stepwise'!$E$2:$E$1137,0))</f>
        <v>0.135135135135135</v>
      </c>
      <c r="C552" s="45" t="n">
        <f aca="false">INDEX('Transition Stepwise'!$J$2:$J$1137,MATCH(69&amp;"|"&amp;$A552&amp;"|"&amp;C$549,'Transition Stepwise'!$E$2:$E$1137,0))</f>
        <v>0.310810810810811</v>
      </c>
      <c r="D552" s="45" t="n">
        <f aca="false">INDEX('Transition Stepwise'!$J$2:$J$1137,MATCH(69&amp;"|"&amp;$A552&amp;"|"&amp;D$549,'Transition Stepwise'!$E$2:$E$1137,0))</f>
        <v>0.405405405405405</v>
      </c>
      <c r="E552" s="45" t="n">
        <f aca="false">INDEX('Transition Stepwise'!$J$2:$J$1137,MATCH(69&amp;"|"&amp;$A552&amp;"|"&amp;E$549,'Transition Stepwise'!$E$2:$E$1137,0))</f>
        <v>0.148648648648649</v>
      </c>
      <c r="F552" s="38" t="n">
        <f aca="false">ROUND(SUM(B552:E552),9)</f>
        <v>1</v>
      </c>
    </row>
    <row r="553" customFormat="false" ht="15" hidden="false" customHeight="true" outlineLevel="0" collapsed="false">
      <c r="A553" s="41" t="s">
        <v>171</v>
      </c>
      <c r="B553" s="45" t="n">
        <f aca="false">INDEX('Transition Stepwise'!$J$2:$J$1137,MATCH(69&amp;"|"&amp;$A553&amp;"|"&amp;B$549,'Transition Stepwise'!$E$2:$E$1137,0))</f>
        <v>0.05</v>
      </c>
      <c r="C553" s="45" t="n">
        <f aca="false">INDEX('Transition Stepwise'!$J$2:$J$1137,MATCH(69&amp;"|"&amp;$A553&amp;"|"&amp;C$549,'Transition Stepwise'!$E$2:$E$1137,0))</f>
        <v>0.45</v>
      </c>
      <c r="D553" s="45" t="n">
        <f aca="false">INDEX('Transition Stepwise'!$J$2:$J$1137,MATCH(69&amp;"|"&amp;$A553&amp;"|"&amp;D$549,'Transition Stepwise'!$E$2:$E$1137,0))</f>
        <v>0.35</v>
      </c>
      <c r="E553" s="45" t="n">
        <f aca="false">INDEX('Transition Stepwise'!$J$2:$J$1137,MATCH(69&amp;"|"&amp;$A553&amp;"|"&amp;E$549,'Transition Stepwise'!$E$2:$E$1137,0))</f>
        <v>0.15</v>
      </c>
      <c r="F553" s="38" t="n">
        <f aca="false">ROUND(SUM(B553:E553),9)</f>
        <v>1</v>
      </c>
    </row>
    <row r="554" customFormat="false" ht="15" hidden="false" customHeight="true" outlineLevel="0" collapsed="false">
      <c r="A554" s="38"/>
      <c r="B554" s="38"/>
      <c r="C554" s="38"/>
      <c r="D554" s="38"/>
      <c r="E554" s="38"/>
      <c r="F554" s="38"/>
    </row>
    <row r="555" customFormat="false" ht="15" hidden="false" customHeight="true" outlineLevel="0" collapsed="false">
      <c r="A555" s="38"/>
      <c r="B555" s="38"/>
      <c r="C555" s="38"/>
      <c r="D555" s="38"/>
      <c r="E555" s="38"/>
      <c r="F555" s="38"/>
    </row>
    <row r="556" customFormat="false" ht="15" hidden="false" customHeight="true" outlineLevel="0" collapsed="false">
      <c r="A556" s="41" t="s">
        <v>763</v>
      </c>
      <c r="B556" s="38"/>
      <c r="C556" s="38"/>
      <c r="D556" s="38"/>
      <c r="E556" s="38"/>
      <c r="F556" s="38"/>
    </row>
    <row r="557" customFormat="false" ht="15" hidden="false" customHeight="true" outlineLevel="0" collapsed="false">
      <c r="A557" s="39" t="s">
        <v>693</v>
      </c>
      <c r="B557" s="39" t="s">
        <v>172</v>
      </c>
      <c r="C557" s="39" t="s">
        <v>170</v>
      </c>
      <c r="D557" s="39" t="s">
        <v>169</v>
      </c>
      <c r="E557" s="39" t="s">
        <v>171</v>
      </c>
      <c r="F557" s="39" t="s">
        <v>766</v>
      </c>
    </row>
    <row r="558" customFormat="false" ht="15" hidden="false" customHeight="true" outlineLevel="0" collapsed="false">
      <c r="A558" s="41" t="s">
        <v>172</v>
      </c>
      <c r="B558" s="45" t="n">
        <f aca="false">INDEX('Transition Stepwise'!$J$2:$J$1137,MATCH(70&amp;"|"&amp;$A558&amp;"|"&amp;B$557,'Transition Stepwise'!$E$2:$E$1137,0))</f>
        <v>0.0740740740740741</v>
      </c>
      <c r="C558" s="45" t="n">
        <f aca="false">INDEX('Transition Stepwise'!$J$2:$J$1137,MATCH(70&amp;"|"&amp;$A558&amp;"|"&amp;C$557,'Transition Stepwise'!$E$2:$E$1137,0))</f>
        <v>0.259259259259259</v>
      </c>
      <c r="D558" s="45" t="n">
        <f aca="false">INDEX('Transition Stepwise'!$J$2:$J$1137,MATCH(70&amp;"|"&amp;$A558&amp;"|"&amp;D$557,'Transition Stepwise'!$E$2:$E$1137,0))</f>
        <v>0.555555555555556</v>
      </c>
      <c r="E558" s="45" t="n">
        <f aca="false">INDEX('Transition Stepwise'!$J$2:$J$1137,MATCH(70&amp;"|"&amp;$A558&amp;"|"&amp;E$557,'Transition Stepwise'!$E$2:$E$1137,0))</f>
        <v>0.111111111111111</v>
      </c>
      <c r="F558" s="38" t="n">
        <f aca="false">ROUND(SUM(B558:E558),9)</f>
        <v>1</v>
      </c>
    </row>
    <row r="559" customFormat="false" ht="15" hidden="false" customHeight="true" outlineLevel="0" collapsed="false">
      <c r="A559" s="41" t="s">
        <v>170</v>
      </c>
      <c r="B559" s="45" t="n">
        <f aca="false">INDEX('Transition Stepwise'!$J$2:$J$1137,MATCH(70&amp;"|"&amp;$A559&amp;"|"&amp;B$557,'Transition Stepwise'!$E$2:$E$1137,0))</f>
        <v>0.0266666666666667</v>
      </c>
      <c r="C559" s="45" t="n">
        <f aca="false">INDEX('Transition Stepwise'!$J$2:$J$1137,MATCH(70&amp;"|"&amp;$A559&amp;"|"&amp;C$557,'Transition Stepwise'!$E$2:$E$1137,0))</f>
        <v>0.64</v>
      </c>
      <c r="D559" s="45" t="n">
        <f aca="false">INDEX('Transition Stepwise'!$J$2:$J$1137,MATCH(70&amp;"|"&amp;$A559&amp;"|"&amp;D$557,'Transition Stepwise'!$E$2:$E$1137,0))</f>
        <v>0.306666666666667</v>
      </c>
      <c r="E559" s="45" t="n">
        <f aca="false">INDEX('Transition Stepwise'!$J$2:$J$1137,MATCH(70&amp;"|"&amp;$A559&amp;"|"&amp;E$557,'Transition Stepwise'!$E$2:$E$1137,0))</f>
        <v>0.0266666666666667</v>
      </c>
      <c r="F559" s="38" t="n">
        <f aca="false">ROUND(SUM(B559:E559),9)</f>
        <v>1</v>
      </c>
    </row>
    <row r="560" customFormat="false" ht="15" hidden="false" customHeight="true" outlineLevel="0" collapsed="false">
      <c r="A560" s="41" t="s">
        <v>169</v>
      </c>
      <c r="B560" s="45" t="n">
        <f aca="false">INDEX('Transition Stepwise'!$J$2:$J$1137,MATCH(70&amp;"|"&amp;$A560&amp;"|"&amp;B$557,'Transition Stepwise'!$E$2:$E$1137,0))</f>
        <v>0.0506329113924051</v>
      </c>
      <c r="C560" s="45" t="n">
        <f aca="false">INDEX('Transition Stepwise'!$J$2:$J$1137,MATCH(70&amp;"|"&amp;$A560&amp;"|"&amp;C$557,'Transition Stepwise'!$E$2:$E$1137,0))</f>
        <v>0.291139240506329</v>
      </c>
      <c r="D560" s="45" t="n">
        <f aca="false">INDEX('Transition Stepwise'!$J$2:$J$1137,MATCH(70&amp;"|"&amp;$A560&amp;"|"&amp;D$557,'Transition Stepwise'!$E$2:$E$1137,0))</f>
        <v>0.569620253164557</v>
      </c>
      <c r="E560" s="45" t="n">
        <f aca="false">INDEX('Transition Stepwise'!$J$2:$J$1137,MATCH(70&amp;"|"&amp;$A560&amp;"|"&amp;E$557,'Transition Stepwise'!$E$2:$E$1137,0))</f>
        <v>0.0886075949367089</v>
      </c>
      <c r="F560" s="38" t="n">
        <f aca="false">ROUND(SUM(B560:E560),9)</f>
        <v>1</v>
      </c>
    </row>
    <row r="561" customFormat="false" ht="15" hidden="false" customHeight="true" outlineLevel="0" collapsed="false">
      <c r="A561" s="41" t="s">
        <v>171</v>
      </c>
      <c r="B561" s="45" t="n">
        <f aca="false">INDEX('Transition Stepwise'!$J$2:$J$1137,MATCH(70&amp;"|"&amp;$A561&amp;"|"&amp;B$557,'Transition Stepwise'!$E$2:$E$1137,0))</f>
        <v>0.0294117647058824</v>
      </c>
      <c r="C561" s="45" t="n">
        <f aca="false">INDEX('Transition Stepwise'!$J$2:$J$1137,MATCH(70&amp;"|"&amp;$A561&amp;"|"&amp;C$557,'Transition Stepwise'!$E$2:$E$1137,0))</f>
        <v>0.852941176470588</v>
      </c>
      <c r="D561" s="45" t="n">
        <f aca="false">INDEX('Transition Stepwise'!$J$2:$J$1137,MATCH(70&amp;"|"&amp;$A561&amp;"|"&amp;D$557,'Transition Stepwise'!$E$2:$E$1137,0))</f>
        <v>0.0882352941176471</v>
      </c>
      <c r="E561" s="45" t="n">
        <f aca="false">INDEX('Transition Stepwise'!$J$2:$J$1137,MATCH(70&amp;"|"&amp;$A561&amp;"|"&amp;E$557,'Transition Stepwise'!$E$2:$E$1137,0))</f>
        <v>0.0294117647058824</v>
      </c>
      <c r="F561" s="38" t="n">
        <f aca="false">ROUND(SUM(B561:E561),9)</f>
        <v>1</v>
      </c>
    </row>
    <row r="562" customFormat="false" ht="15" hidden="false" customHeight="true" outlineLevel="0" collapsed="false">
      <c r="A562" s="38"/>
      <c r="B562" s="38"/>
      <c r="C562" s="38"/>
      <c r="D562" s="38"/>
      <c r="E562" s="38"/>
      <c r="F562" s="38"/>
    </row>
    <row r="563" customFormat="false" ht="15" hidden="false" customHeight="true" outlineLevel="0" collapsed="false">
      <c r="A563" s="38"/>
      <c r="B563" s="38"/>
      <c r="C563" s="38"/>
      <c r="D563" s="38"/>
      <c r="E563" s="38"/>
      <c r="F563" s="38"/>
    </row>
    <row r="564" customFormat="false" ht="15" hidden="false" customHeight="true" outlineLevel="0" collapsed="false">
      <c r="A564" s="41" t="s">
        <v>764</v>
      </c>
      <c r="B564" s="38"/>
      <c r="C564" s="38"/>
      <c r="D564" s="38"/>
      <c r="E564" s="38"/>
      <c r="F564" s="38"/>
    </row>
    <row r="565" customFormat="false" ht="15" hidden="false" customHeight="true" outlineLevel="0" collapsed="false">
      <c r="A565" s="39" t="s">
        <v>693</v>
      </c>
      <c r="B565" s="39" t="s">
        <v>172</v>
      </c>
      <c r="C565" s="39" t="s">
        <v>170</v>
      </c>
      <c r="D565" s="39" t="s">
        <v>169</v>
      </c>
      <c r="E565" s="39" t="s">
        <v>171</v>
      </c>
      <c r="F565" s="39" t="s">
        <v>766</v>
      </c>
    </row>
    <row r="566" customFormat="false" ht="15" hidden="false" customHeight="true" outlineLevel="0" collapsed="false">
      <c r="A566" s="41" t="s">
        <v>172</v>
      </c>
      <c r="B566" s="45" t="n">
        <f aca="false">INDEX('Transition Stepwise'!$J$2:$J$1137,MATCH(71&amp;"|"&amp;$A566&amp;"|"&amp;B$565,'Transition Stepwise'!$E$2:$E$1137,0))</f>
        <v>0.111111111111111</v>
      </c>
      <c r="C566" s="45" t="n">
        <f aca="false">INDEX('Transition Stepwise'!$J$2:$J$1137,MATCH(71&amp;"|"&amp;$A566&amp;"|"&amp;C$565,'Transition Stepwise'!$E$2:$E$1137,0))</f>
        <v>0.555555555555556</v>
      </c>
      <c r="D566" s="45" t="n">
        <f aca="false">INDEX('Transition Stepwise'!$J$2:$J$1137,MATCH(71&amp;"|"&amp;$A566&amp;"|"&amp;D$565,'Transition Stepwise'!$E$2:$E$1137,0))</f>
        <v>0.222222222222222</v>
      </c>
      <c r="E566" s="45" t="n">
        <f aca="false">INDEX('Transition Stepwise'!$J$2:$J$1137,MATCH(71&amp;"|"&amp;$A566&amp;"|"&amp;E$565,'Transition Stepwise'!$E$2:$E$1137,0))</f>
        <v>0.111111111111111</v>
      </c>
      <c r="F566" s="38" t="n">
        <f aca="false">ROUND(SUM(B566:E566),9)</f>
        <v>1</v>
      </c>
    </row>
    <row r="567" customFormat="false" ht="15" hidden="false" customHeight="true" outlineLevel="0" collapsed="false">
      <c r="A567" s="41" t="s">
        <v>170</v>
      </c>
      <c r="B567" s="45" t="n">
        <f aca="false">INDEX('Transition Stepwise'!$J$2:$J$1137,MATCH(71&amp;"|"&amp;$A567&amp;"|"&amp;B$565,'Transition Stepwise'!$E$2:$E$1137,0))</f>
        <v>0.0747663551401869</v>
      </c>
      <c r="C567" s="45" t="n">
        <f aca="false">INDEX('Transition Stepwise'!$J$2:$J$1137,MATCH(71&amp;"|"&amp;$A567&amp;"|"&amp;C$565,'Transition Stepwise'!$E$2:$E$1137,0))</f>
        <v>0.626168224299065</v>
      </c>
      <c r="D567" s="45" t="n">
        <f aca="false">INDEX('Transition Stepwise'!$J$2:$J$1137,MATCH(71&amp;"|"&amp;$A567&amp;"|"&amp;D$565,'Transition Stepwise'!$E$2:$E$1137,0))</f>
        <v>0.121495327102804</v>
      </c>
      <c r="E567" s="45" t="n">
        <f aca="false">INDEX('Transition Stepwise'!$J$2:$J$1137,MATCH(71&amp;"|"&amp;$A567&amp;"|"&amp;E$565,'Transition Stepwise'!$E$2:$E$1137,0))</f>
        <v>0.177570093457944</v>
      </c>
      <c r="F567" s="38" t="n">
        <f aca="false">ROUND(SUM(B567:E567),9)</f>
        <v>1</v>
      </c>
    </row>
    <row r="568" customFormat="false" ht="15" hidden="false" customHeight="true" outlineLevel="0" collapsed="false">
      <c r="A568" s="41" t="s">
        <v>169</v>
      </c>
      <c r="B568" s="45" t="n">
        <f aca="false">INDEX('Transition Stepwise'!$J$2:$J$1137,MATCH(71&amp;"|"&amp;$A568&amp;"|"&amp;B$565,'Transition Stepwise'!$E$2:$E$1137,0))</f>
        <v>0.116279069767442</v>
      </c>
      <c r="C568" s="45" t="n">
        <f aca="false">INDEX('Transition Stepwise'!$J$2:$J$1137,MATCH(71&amp;"|"&amp;$A568&amp;"|"&amp;C$565,'Transition Stepwise'!$E$2:$E$1137,0))</f>
        <v>0.779069767441861</v>
      </c>
      <c r="D568" s="45" t="n">
        <f aca="false">INDEX('Transition Stepwise'!$J$2:$J$1137,MATCH(71&amp;"|"&amp;$A568&amp;"|"&amp;D$565,'Transition Stepwise'!$E$2:$E$1137,0))</f>
        <v>0.0581395348837209</v>
      </c>
      <c r="E568" s="45" t="n">
        <f aca="false">INDEX('Transition Stepwise'!$J$2:$J$1137,MATCH(71&amp;"|"&amp;$A568&amp;"|"&amp;E$565,'Transition Stepwise'!$E$2:$E$1137,0))</f>
        <v>0.0465116279069767</v>
      </c>
      <c r="F568" s="38" t="n">
        <f aca="false">ROUND(SUM(B568:E568),9)</f>
        <v>1</v>
      </c>
    </row>
    <row r="569" customFormat="false" ht="15" hidden="false" customHeight="true" outlineLevel="0" collapsed="false">
      <c r="A569" s="41" t="s">
        <v>171</v>
      </c>
      <c r="B569" s="45" t="n">
        <f aca="false">INDEX('Transition Stepwise'!$J$2:$J$1137,MATCH(71&amp;"|"&amp;$A569&amp;"|"&amp;B$565,'Transition Stepwise'!$E$2:$E$1137,0))</f>
        <v>0.0769230769230769</v>
      </c>
      <c r="C569" s="45" t="n">
        <f aca="false">INDEX('Transition Stepwise'!$J$2:$J$1137,MATCH(71&amp;"|"&amp;$A569&amp;"|"&amp;C$565,'Transition Stepwise'!$E$2:$E$1137,0))</f>
        <v>0.769230769230769</v>
      </c>
      <c r="D569" s="45" t="n">
        <f aca="false">INDEX('Transition Stepwise'!$J$2:$J$1137,MATCH(71&amp;"|"&amp;$A569&amp;"|"&amp;D$565,'Transition Stepwise'!$E$2:$E$1137,0))</f>
        <v>0.0769230769230769</v>
      </c>
      <c r="E569" s="45" t="n">
        <f aca="false">INDEX('Transition Stepwise'!$J$2:$J$1137,MATCH(71&amp;"|"&amp;$A569&amp;"|"&amp;E$565,'Transition Stepwise'!$E$2:$E$1137,0))</f>
        <v>0.0769230769230769</v>
      </c>
      <c r="F569" s="38" t="n">
        <f aca="false">ROUND(SUM(B569:E569),9)</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A2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8"/>
    <col collapsed="false" customWidth="true" hidden="false" outlineLevel="0" max="4" min="4" style="0" width="12"/>
    <col collapsed="false" customWidth="true" hidden="false" outlineLevel="0" max="6" min="5" style="0" width="16"/>
    <col collapsed="false" customWidth="true" hidden="false" outlineLevel="0" max="7" min="7" style="0" width="8"/>
  </cols>
  <sheetData>
    <row r="1" customFormat="false" ht="15" hidden="false" customHeight="true" outlineLevel="0" collapsed="false">
      <c r="A1" s="37" t="s">
        <v>767</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row>
    <row r="2" customFormat="false" ht="15" hidden="false" customHeight="true" outlineLevel="0" collapsed="false">
      <c r="A2" s="38" t="s">
        <v>768</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row>
    <row r="3" customFormat="false" ht="15" hidden="false" customHeight="true" outlineLevel="0" collapsed="false">
      <c r="A3" s="38"/>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row>
    <row r="4" customFormat="false" ht="15" hidden="false" customHeight="true" outlineLevel="0" collapsed="false">
      <c r="A4" s="39" t="s">
        <v>769</v>
      </c>
      <c r="B4" s="39" t="s">
        <v>770</v>
      </c>
      <c r="C4" s="39" t="s">
        <v>3</v>
      </c>
      <c r="D4" s="39" t="s">
        <v>164</v>
      </c>
      <c r="E4" s="39" t="s">
        <v>771</v>
      </c>
      <c r="F4" s="39" t="s">
        <v>772</v>
      </c>
      <c r="G4" s="39" t="s">
        <v>773</v>
      </c>
      <c r="H4" s="39" t="s">
        <v>774</v>
      </c>
      <c r="I4" s="39" t="s">
        <v>775</v>
      </c>
      <c r="J4" s="39" t="s">
        <v>776</v>
      </c>
      <c r="K4" s="39" t="s">
        <v>777</v>
      </c>
      <c r="L4" s="39" t="s">
        <v>778</v>
      </c>
      <c r="M4" s="39" t="s">
        <v>779</v>
      </c>
      <c r="N4" s="39" t="s">
        <v>780</v>
      </c>
      <c r="O4" s="39" t="s">
        <v>781</v>
      </c>
      <c r="P4" s="39" t="s">
        <v>782</v>
      </c>
      <c r="Q4" s="39" t="s">
        <v>783</v>
      </c>
      <c r="R4" s="39" t="s">
        <v>784</v>
      </c>
      <c r="S4" s="39" t="s">
        <v>785</v>
      </c>
      <c r="T4" s="39" t="s">
        <v>786</v>
      </c>
      <c r="U4" s="39" t="s">
        <v>787</v>
      </c>
      <c r="V4" s="39" t="s">
        <v>788</v>
      </c>
      <c r="W4" s="39" t="s">
        <v>789</v>
      </c>
      <c r="X4" s="39" t="s">
        <v>790</v>
      </c>
      <c r="Y4" s="39" t="s">
        <v>791</v>
      </c>
      <c r="Z4" s="39" t="s">
        <v>792</v>
      </c>
      <c r="AA4" s="39" t="s">
        <v>793</v>
      </c>
      <c r="AB4" s="39" t="s">
        <v>794</v>
      </c>
      <c r="AC4" s="39" t="s">
        <v>795</v>
      </c>
      <c r="AD4" s="39" t="s">
        <v>796</v>
      </c>
      <c r="AE4" s="39" t="s">
        <v>797</v>
      </c>
      <c r="AF4" s="39" t="s">
        <v>798</v>
      </c>
      <c r="AG4" s="39" t="s">
        <v>799</v>
      </c>
      <c r="AH4" s="39" t="s">
        <v>800</v>
      </c>
      <c r="AI4" s="39" t="s">
        <v>801</v>
      </c>
      <c r="AJ4" s="39" t="s">
        <v>802</v>
      </c>
      <c r="AK4" s="39" t="s">
        <v>803</v>
      </c>
      <c r="AL4" s="39" t="s">
        <v>804</v>
      </c>
      <c r="AM4" s="39" t="s">
        <v>805</v>
      </c>
      <c r="AN4" s="39" t="s">
        <v>806</v>
      </c>
      <c r="AO4" s="39" t="s">
        <v>807</v>
      </c>
      <c r="AP4" s="39" t="s">
        <v>808</v>
      </c>
      <c r="AQ4" s="39" t="s">
        <v>809</v>
      </c>
      <c r="AR4" s="39" t="s">
        <v>810</v>
      </c>
      <c r="AS4" s="39" t="s">
        <v>811</v>
      </c>
      <c r="AT4" s="39" t="s">
        <v>812</v>
      </c>
      <c r="AU4" s="39" t="s">
        <v>813</v>
      </c>
      <c r="AV4" s="39" t="s">
        <v>814</v>
      </c>
      <c r="AW4" s="39" t="s">
        <v>815</v>
      </c>
      <c r="AX4" s="39" t="s">
        <v>816</v>
      </c>
      <c r="AY4" s="39" t="s">
        <v>817</v>
      </c>
      <c r="AZ4" s="39" t="s">
        <v>818</v>
      </c>
      <c r="BA4" s="39" t="s">
        <v>819</v>
      </c>
      <c r="BB4" s="39" t="s">
        <v>820</v>
      </c>
      <c r="BC4" s="39" t="s">
        <v>821</v>
      </c>
      <c r="BD4" s="39" t="s">
        <v>822</v>
      </c>
      <c r="BE4" s="39" t="s">
        <v>823</v>
      </c>
      <c r="BF4" s="39" t="s">
        <v>824</v>
      </c>
      <c r="BG4" s="39" t="s">
        <v>825</v>
      </c>
      <c r="BH4" s="39" t="s">
        <v>826</v>
      </c>
      <c r="BI4" s="39" t="s">
        <v>827</v>
      </c>
      <c r="BJ4" s="39" t="s">
        <v>828</v>
      </c>
      <c r="BK4" s="39" t="s">
        <v>829</v>
      </c>
      <c r="BL4" s="39" t="s">
        <v>830</v>
      </c>
      <c r="BM4" s="39" t="s">
        <v>831</v>
      </c>
      <c r="BN4" s="39" t="s">
        <v>832</v>
      </c>
      <c r="BO4" s="39" t="s">
        <v>833</v>
      </c>
      <c r="BP4" s="39" t="s">
        <v>834</v>
      </c>
      <c r="BQ4" s="39" t="s">
        <v>835</v>
      </c>
      <c r="BR4" s="39" t="s">
        <v>836</v>
      </c>
      <c r="BS4" s="39" t="s">
        <v>837</v>
      </c>
      <c r="BT4" s="39" t="s">
        <v>838</v>
      </c>
      <c r="BU4" s="39" t="s">
        <v>839</v>
      </c>
      <c r="BV4" s="39" t="s">
        <v>840</v>
      </c>
      <c r="BW4" s="39" t="s">
        <v>841</v>
      </c>
      <c r="BX4" s="39" t="s">
        <v>842</v>
      </c>
      <c r="BY4" s="39" t="s">
        <v>843</v>
      </c>
      <c r="BZ4" s="39" t="s">
        <v>844</v>
      </c>
      <c r="CA4" s="39" t="s">
        <v>845</v>
      </c>
    </row>
    <row r="5" customFormat="false" ht="15" hidden="false" customHeight="true" outlineLevel="0" collapsed="false">
      <c r="A5" s="38" t="s">
        <v>40</v>
      </c>
      <c r="B5" s="38" t="s">
        <v>846</v>
      </c>
      <c r="C5" s="38" t="s">
        <v>24</v>
      </c>
      <c r="D5" s="38" t="s">
        <v>37</v>
      </c>
      <c r="E5" s="38" t="n">
        <v>70</v>
      </c>
      <c r="F5" s="38" t="n">
        <v>70</v>
      </c>
      <c r="G5" s="38" t="n">
        <v>2</v>
      </c>
      <c r="H5" s="38" t="s">
        <v>169</v>
      </c>
      <c r="I5" s="38" t="s">
        <v>171</v>
      </c>
      <c r="J5" s="38" t="s">
        <v>171</v>
      </c>
      <c r="K5" s="38" t="s">
        <v>172</v>
      </c>
      <c r="L5" s="38" t="s">
        <v>169</v>
      </c>
      <c r="M5" s="38" t="s">
        <v>172</v>
      </c>
      <c r="N5" s="38" t="s">
        <v>169</v>
      </c>
      <c r="O5" s="38" t="s">
        <v>171</v>
      </c>
      <c r="P5" s="38" t="s">
        <v>170</v>
      </c>
      <c r="Q5" s="38" t="s">
        <v>172</v>
      </c>
      <c r="R5" s="38" t="s">
        <v>172</v>
      </c>
      <c r="S5" s="38" t="s">
        <v>169</v>
      </c>
      <c r="T5" s="38" t="s">
        <v>172</v>
      </c>
      <c r="U5" s="38" t="s">
        <v>172</v>
      </c>
      <c r="V5" s="38" t="s">
        <v>172</v>
      </c>
      <c r="W5" s="40" t="s">
        <v>176</v>
      </c>
      <c r="X5" s="38" t="s">
        <v>170</v>
      </c>
      <c r="Y5" s="38" t="s">
        <v>169</v>
      </c>
      <c r="Z5" s="38" t="s">
        <v>169</v>
      </c>
      <c r="AA5" s="38" t="s">
        <v>172</v>
      </c>
      <c r="AB5" s="38" t="s">
        <v>171</v>
      </c>
      <c r="AC5" s="38" t="s">
        <v>171</v>
      </c>
      <c r="AD5" s="38" t="s">
        <v>170</v>
      </c>
      <c r="AE5" s="38" t="s">
        <v>172</v>
      </c>
      <c r="AF5" s="38" t="s">
        <v>171</v>
      </c>
      <c r="AG5" s="38" t="s">
        <v>170</v>
      </c>
      <c r="AH5" s="38" t="s">
        <v>171</v>
      </c>
      <c r="AI5" s="38" t="s">
        <v>169</v>
      </c>
      <c r="AJ5" s="38" t="s">
        <v>171</v>
      </c>
      <c r="AK5" s="38" t="s">
        <v>172</v>
      </c>
      <c r="AL5" s="38" t="s">
        <v>172</v>
      </c>
      <c r="AM5" s="38" t="s">
        <v>171</v>
      </c>
      <c r="AN5" s="38" t="s">
        <v>171</v>
      </c>
      <c r="AO5" s="38" t="s">
        <v>171</v>
      </c>
      <c r="AP5" s="38" t="s">
        <v>171</v>
      </c>
      <c r="AQ5" s="38" t="s">
        <v>172</v>
      </c>
      <c r="AR5" s="38" t="s">
        <v>172</v>
      </c>
      <c r="AS5" s="38" t="s">
        <v>172</v>
      </c>
      <c r="AT5" s="38" t="s">
        <v>171</v>
      </c>
      <c r="AU5" s="38" t="s">
        <v>171</v>
      </c>
      <c r="AV5" s="38" t="s">
        <v>172</v>
      </c>
      <c r="AW5" s="38" t="s">
        <v>170</v>
      </c>
      <c r="AX5" s="38" t="s">
        <v>172</v>
      </c>
      <c r="AY5" s="38" t="s">
        <v>169</v>
      </c>
      <c r="AZ5" s="38" t="s">
        <v>171</v>
      </c>
      <c r="BA5" s="40" t="s">
        <v>176</v>
      </c>
      <c r="BB5" s="38" t="s">
        <v>171</v>
      </c>
      <c r="BC5" s="38" t="s">
        <v>171</v>
      </c>
      <c r="BD5" s="38" t="s">
        <v>171</v>
      </c>
      <c r="BE5" s="38" t="s">
        <v>172</v>
      </c>
      <c r="BF5" s="38" t="s">
        <v>169</v>
      </c>
      <c r="BG5" s="38" t="s">
        <v>169</v>
      </c>
      <c r="BH5" s="38" t="s">
        <v>169</v>
      </c>
      <c r="BI5" s="38" t="s">
        <v>172</v>
      </c>
      <c r="BJ5" s="38" t="s">
        <v>171</v>
      </c>
      <c r="BK5" s="38" t="s">
        <v>170</v>
      </c>
      <c r="BL5" s="38" t="s">
        <v>170</v>
      </c>
      <c r="BM5" s="38" t="s">
        <v>171</v>
      </c>
      <c r="BN5" s="38" t="s">
        <v>171</v>
      </c>
      <c r="BO5" s="38" t="s">
        <v>169</v>
      </c>
      <c r="BP5" s="38" t="s">
        <v>170</v>
      </c>
      <c r="BQ5" s="38" t="s">
        <v>171</v>
      </c>
      <c r="BR5" s="38" t="s">
        <v>171</v>
      </c>
      <c r="BS5" s="38" t="s">
        <v>171</v>
      </c>
      <c r="BT5" s="38" t="s">
        <v>172</v>
      </c>
      <c r="BU5" s="38" t="s">
        <v>170</v>
      </c>
      <c r="BV5" s="38" t="s">
        <v>171</v>
      </c>
      <c r="BW5" s="38" t="s">
        <v>171</v>
      </c>
      <c r="BX5" s="38" t="s">
        <v>171</v>
      </c>
      <c r="BY5" s="38" t="s">
        <v>171</v>
      </c>
      <c r="BZ5" s="38" t="s">
        <v>172</v>
      </c>
      <c r="CA5" s="38" t="s">
        <v>171</v>
      </c>
    </row>
    <row r="6" customFormat="false" ht="15" hidden="false" customHeight="true" outlineLevel="0" collapsed="false">
      <c r="A6" s="38" t="s">
        <v>36</v>
      </c>
      <c r="B6" s="38" t="s">
        <v>846</v>
      </c>
      <c r="C6" s="38" t="s">
        <v>24</v>
      </c>
      <c r="D6" s="38" t="s">
        <v>37</v>
      </c>
      <c r="E6" s="38" t="n">
        <v>70</v>
      </c>
      <c r="F6" s="38" t="n">
        <v>70</v>
      </c>
      <c r="G6" s="38" t="n">
        <v>2</v>
      </c>
      <c r="H6" s="38" t="s">
        <v>169</v>
      </c>
      <c r="I6" s="38" t="s">
        <v>169</v>
      </c>
      <c r="J6" s="38" t="s">
        <v>169</v>
      </c>
      <c r="K6" s="38" t="s">
        <v>172</v>
      </c>
      <c r="L6" s="38" t="s">
        <v>169</v>
      </c>
      <c r="M6" s="38" t="s">
        <v>169</v>
      </c>
      <c r="N6" s="38" t="s">
        <v>171</v>
      </c>
      <c r="O6" s="38" t="s">
        <v>171</v>
      </c>
      <c r="P6" s="38" t="s">
        <v>171</v>
      </c>
      <c r="Q6" s="38" t="s">
        <v>169</v>
      </c>
      <c r="R6" s="38" t="s">
        <v>172</v>
      </c>
      <c r="S6" s="38" t="s">
        <v>171</v>
      </c>
      <c r="T6" s="38" t="s">
        <v>170</v>
      </c>
      <c r="U6" s="38" t="s">
        <v>169</v>
      </c>
      <c r="V6" s="38" t="s">
        <v>169</v>
      </c>
      <c r="W6" s="38" t="s">
        <v>172</v>
      </c>
      <c r="X6" s="38" t="s">
        <v>170</v>
      </c>
      <c r="Y6" s="38" t="s">
        <v>169</v>
      </c>
      <c r="Z6" s="38" t="s">
        <v>169</v>
      </c>
      <c r="AA6" s="38" t="s">
        <v>169</v>
      </c>
      <c r="AB6" s="38" t="s">
        <v>169</v>
      </c>
      <c r="AC6" s="38" t="s">
        <v>169</v>
      </c>
      <c r="AD6" s="38" t="s">
        <v>172</v>
      </c>
      <c r="AE6" s="38" t="s">
        <v>172</v>
      </c>
      <c r="AF6" s="38" t="s">
        <v>171</v>
      </c>
      <c r="AG6" s="38" t="s">
        <v>171</v>
      </c>
      <c r="AH6" s="38" t="s">
        <v>171</v>
      </c>
      <c r="AI6" s="38" t="s">
        <v>171</v>
      </c>
      <c r="AJ6" s="38" t="s">
        <v>171</v>
      </c>
      <c r="AK6" s="38" t="s">
        <v>171</v>
      </c>
      <c r="AL6" s="38" t="s">
        <v>169</v>
      </c>
      <c r="AM6" s="38" t="s">
        <v>169</v>
      </c>
      <c r="AN6" s="38" t="s">
        <v>171</v>
      </c>
      <c r="AO6" s="38" t="s">
        <v>171</v>
      </c>
      <c r="AP6" s="38" t="s">
        <v>171</v>
      </c>
      <c r="AQ6" s="38" t="s">
        <v>172</v>
      </c>
      <c r="AR6" s="38" t="s">
        <v>169</v>
      </c>
      <c r="AS6" s="38" t="s">
        <v>171</v>
      </c>
      <c r="AT6" s="38" t="s">
        <v>170</v>
      </c>
      <c r="AU6" s="38" t="s">
        <v>172</v>
      </c>
      <c r="AV6" s="38" t="s">
        <v>169</v>
      </c>
      <c r="AW6" s="38" t="s">
        <v>169</v>
      </c>
      <c r="AX6" s="38" t="s">
        <v>172</v>
      </c>
      <c r="AY6" s="38" t="s">
        <v>172</v>
      </c>
      <c r="AZ6" s="38" t="s">
        <v>171</v>
      </c>
      <c r="BA6" s="40" t="s">
        <v>176</v>
      </c>
      <c r="BB6" s="40" t="s">
        <v>176</v>
      </c>
      <c r="BC6" s="38" t="s">
        <v>171</v>
      </c>
      <c r="BD6" s="38" t="s">
        <v>171</v>
      </c>
      <c r="BE6" s="38" t="s">
        <v>170</v>
      </c>
      <c r="BF6" s="38" t="s">
        <v>171</v>
      </c>
      <c r="BG6" s="38" t="s">
        <v>169</v>
      </c>
      <c r="BH6" s="38" t="s">
        <v>169</v>
      </c>
      <c r="BI6" s="38" t="s">
        <v>171</v>
      </c>
      <c r="BJ6" s="38" t="s">
        <v>171</v>
      </c>
      <c r="BK6" s="38" t="s">
        <v>170</v>
      </c>
      <c r="BL6" s="38" t="s">
        <v>171</v>
      </c>
      <c r="BM6" s="38" t="s">
        <v>171</v>
      </c>
      <c r="BN6" s="38" t="s">
        <v>169</v>
      </c>
      <c r="BO6" s="38" t="s">
        <v>171</v>
      </c>
      <c r="BP6" s="38" t="s">
        <v>170</v>
      </c>
      <c r="BQ6" s="38" t="s">
        <v>171</v>
      </c>
      <c r="BR6" s="38" t="s">
        <v>169</v>
      </c>
      <c r="BS6" s="38" t="s">
        <v>169</v>
      </c>
      <c r="BT6" s="38" t="s">
        <v>172</v>
      </c>
      <c r="BU6" s="38" t="s">
        <v>169</v>
      </c>
      <c r="BV6" s="38" t="s">
        <v>171</v>
      </c>
      <c r="BW6" s="38" t="s">
        <v>171</v>
      </c>
      <c r="BX6" s="38" t="s">
        <v>171</v>
      </c>
      <c r="BY6" s="38" t="s">
        <v>170</v>
      </c>
      <c r="BZ6" s="38" t="s">
        <v>171</v>
      </c>
      <c r="CA6" s="38" t="s">
        <v>171</v>
      </c>
    </row>
    <row r="7" customFormat="false" ht="15" hidden="false" customHeight="true" outlineLevel="0" collapsed="false">
      <c r="A7" s="38" t="s">
        <v>41</v>
      </c>
      <c r="B7" s="38" t="s">
        <v>846</v>
      </c>
      <c r="C7" s="38" t="s">
        <v>24</v>
      </c>
      <c r="D7" s="38" t="s">
        <v>37</v>
      </c>
      <c r="E7" s="38" t="n">
        <v>80</v>
      </c>
      <c r="F7" s="38" t="n">
        <v>71</v>
      </c>
      <c r="G7" s="38" t="n">
        <v>1</v>
      </c>
      <c r="H7" s="38" t="s">
        <v>170</v>
      </c>
      <c r="I7" s="38" t="s">
        <v>171</v>
      </c>
      <c r="J7" s="38" t="s">
        <v>171</v>
      </c>
      <c r="K7" s="38" t="s">
        <v>171</v>
      </c>
      <c r="L7" s="38" t="s">
        <v>170</v>
      </c>
      <c r="M7" s="38" t="s">
        <v>171</v>
      </c>
      <c r="N7" s="38" t="s">
        <v>171</v>
      </c>
      <c r="O7" s="38" t="s">
        <v>171</v>
      </c>
      <c r="P7" s="38" t="s">
        <v>172</v>
      </c>
      <c r="Q7" s="38" t="s">
        <v>172</v>
      </c>
      <c r="R7" s="38" t="s">
        <v>172</v>
      </c>
      <c r="S7" s="38" t="s">
        <v>171</v>
      </c>
      <c r="T7" s="38" t="s">
        <v>172</v>
      </c>
      <c r="U7" s="38" t="s">
        <v>172</v>
      </c>
      <c r="V7" s="38" t="s">
        <v>172</v>
      </c>
      <c r="W7" s="40" t="s">
        <v>176</v>
      </c>
      <c r="X7" s="38" t="s">
        <v>172</v>
      </c>
      <c r="Y7" s="38" t="s">
        <v>169</v>
      </c>
      <c r="Z7" s="38" t="s">
        <v>169</v>
      </c>
      <c r="AA7" s="38" t="s">
        <v>172</v>
      </c>
      <c r="AB7" s="38" t="s">
        <v>170</v>
      </c>
      <c r="AC7" s="38" t="s">
        <v>171</v>
      </c>
      <c r="AD7" s="38" t="s">
        <v>172</v>
      </c>
      <c r="AE7" s="38" t="s">
        <v>171</v>
      </c>
      <c r="AF7" s="38" t="s">
        <v>171</v>
      </c>
      <c r="AG7" s="38" t="s">
        <v>170</v>
      </c>
      <c r="AH7" s="38" t="s">
        <v>171</v>
      </c>
      <c r="AI7" s="38" t="s">
        <v>170</v>
      </c>
      <c r="AJ7" s="38" t="s">
        <v>172</v>
      </c>
      <c r="AK7" s="38" t="s">
        <v>172</v>
      </c>
      <c r="AL7" s="38" t="s">
        <v>172</v>
      </c>
      <c r="AM7" s="38" t="s">
        <v>172</v>
      </c>
      <c r="AN7" s="38" t="s">
        <v>170</v>
      </c>
      <c r="AO7" s="38" t="s">
        <v>171</v>
      </c>
      <c r="AP7" s="38" t="s">
        <v>171</v>
      </c>
      <c r="AQ7" s="38" t="s">
        <v>172</v>
      </c>
      <c r="AR7" s="38" t="s">
        <v>171</v>
      </c>
      <c r="AS7" s="38" t="s">
        <v>171</v>
      </c>
      <c r="AT7" s="38" t="s">
        <v>171</v>
      </c>
      <c r="AU7" s="38" t="s">
        <v>171</v>
      </c>
      <c r="AV7" s="38" t="s">
        <v>171</v>
      </c>
      <c r="AW7" s="38" t="s">
        <v>170</v>
      </c>
      <c r="AX7" s="38" t="s">
        <v>172</v>
      </c>
      <c r="AY7" s="38" t="s">
        <v>172</v>
      </c>
      <c r="AZ7" s="38" t="s">
        <v>171</v>
      </c>
      <c r="BA7" s="38" t="s">
        <v>172</v>
      </c>
      <c r="BB7" s="38" t="s">
        <v>171</v>
      </c>
      <c r="BC7" s="38" t="s">
        <v>171</v>
      </c>
      <c r="BD7" s="38" t="s">
        <v>169</v>
      </c>
      <c r="BE7" s="38" t="s">
        <v>170</v>
      </c>
      <c r="BF7" s="38" t="s">
        <v>170</v>
      </c>
      <c r="BG7" s="38" t="s">
        <v>171</v>
      </c>
      <c r="BH7" s="38" t="s">
        <v>169</v>
      </c>
      <c r="BI7" s="38" t="s">
        <v>172</v>
      </c>
      <c r="BJ7" s="38" t="s">
        <v>171</v>
      </c>
      <c r="BK7" s="38" t="s">
        <v>170</v>
      </c>
      <c r="BL7" s="38" t="s">
        <v>170</v>
      </c>
      <c r="BM7" s="38" t="s">
        <v>171</v>
      </c>
      <c r="BN7" s="38" t="s">
        <v>170</v>
      </c>
      <c r="BO7" s="38" t="s">
        <v>171</v>
      </c>
      <c r="BP7" s="38" t="s">
        <v>170</v>
      </c>
      <c r="BQ7" s="38" t="s">
        <v>172</v>
      </c>
      <c r="BR7" s="38" t="s">
        <v>169</v>
      </c>
      <c r="BS7" s="38" t="s">
        <v>169</v>
      </c>
      <c r="BT7" s="38" t="s">
        <v>171</v>
      </c>
      <c r="BU7" s="38" t="s">
        <v>169</v>
      </c>
      <c r="BV7" s="38" t="s">
        <v>172</v>
      </c>
      <c r="BW7" s="38" t="s">
        <v>169</v>
      </c>
      <c r="BX7" s="38" t="s">
        <v>169</v>
      </c>
      <c r="BY7" s="38" t="s">
        <v>169</v>
      </c>
      <c r="BZ7" s="38" t="s">
        <v>172</v>
      </c>
      <c r="CA7" s="38" t="s">
        <v>169</v>
      </c>
    </row>
    <row r="8" customFormat="false" ht="15" hidden="false" customHeight="true" outlineLevel="0" collapsed="false">
      <c r="A8" s="38" t="s">
        <v>23</v>
      </c>
      <c r="B8" s="38" t="s">
        <v>846</v>
      </c>
      <c r="C8" s="38" t="s">
        <v>24</v>
      </c>
      <c r="D8" s="38" t="s">
        <v>25</v>
      </c>
      <c r="E8" s="38" t="n">
        <v>86</v>
      </c>
      <c r="F8" s="38" t="n">
        <v>72</v>
      </c>
      <c r="G8" s="38" t="n">
        <v>0</v>
      </c>
      <c r="H8" s="38" t="s">
        <v>171</v>
      </c>
      <c r="I8" s="38" t="s">
        <v>170</v>
      </c>
      <c r="J8" s="38" t="s">
        <v>172</v>
      </c>
      <c r="K8" s="38" t="s">
        <v>172</v>
      </c>
      <c r="L8" s="38" t="s">
        <v>170</v>
      </c>
      <c r="M8" s="38" t="s">
        <v>172</v>
      </c>
      <c r="N8" s="38" t="s">
        <v>171</v>
      </c>
      <c r="O8" s="38" t="s">
        <v>171</v>
      </c>
      <c r="P8" s="38" t="s">
        <v>172</v>
      </c>
      <c r="Q8" s="38" t="s">
        <v>169</v>
      </c>
      <c r="R8" s="38" t="s">
        <v>169</v>
      </c>
      <c r="S8" s="38" t="s">
        <v>172</v>
      </c>
      <c r="T8" s="38" t="s">
        <v>171</v>
      </c>
      <c r="U8" s="38" t="s">
        <v>172</v>
      </c>
      <c r="V8" s="38" t="s">
        <v>169</v>
      </c>
      <c r="W8" s="38" t="s">
        <v>172</v>
      </c>
      <c r="X8" s="38" t="s">
        <v>171</v>
      </c>
      <c r="Y8" s="38" t="s">
        <v>169</v>
      </c>
      <c r="Z8" s="38" t="s">
        <v>169</v>
      </c>
      <c r="AA8" s="38" t="s">
        <v>170</v>
      </c>
      <c r="AB8" s="38" t="s">
        <v>171</v>
      </c>
      <c r="AC8" s="38" t="s">
        <v>171</v>
      </c>
      <c r="AD8" s="38" t="s">
        <v>171</v>
      </c>
      <c r="AE8" s="38" t="s">
        <v>170</v>
      </c>
      <c r="AF8" s="38" t="s">
        <v>170</v>
      </c>
      <c r="AG8" s="38" t="s">
        <v>171</v>
      </c>
      <c r="AH8" s="38" t="s">
        <v>171</v>
      </c>
      <c r="AI8" s="38" t="s">
        <v>171</v>
      </c>
      <c r="AJ8" s="38" t="s">
        <v>170</v>
      </c>
      <c r="AK8" s="38" t="s">
        <v>171</v>
      </c>
      <c r="AL8" s="38" t="s">
        <v>171</v>
      </c>
      <c r="AM8" s="38" t="s">
        <v>171</v>
      </c>
      <c r="AN8" s="38" t="s">
        <v>171</v>
      </c>
      <c r="AO8" s="38" t="s">
        <v>170</v>
      </c>
      <c r="AP8" s="38" t="s">
        <v>171</v>
      </c>
      <c r="AQ8" s="38" t="s">
        <v>172</v>
      </c>
      <c r="AR8" s="38" t="s">
        <v>170</v>
      </c>
      <c r="AS8" s="38" t="s">
        <v>169</v>
      </c>
      <c r="AT8" s="38" t="s">
        <v>169</v>
      </c>
      <c r="AU8" s="38" t="s">
        <v>172</v>
      </c>
      <c r="AV8" s="38" t="s">
        <v>170</v>
      </c>
      <c r="AW8" s="38" t="s">
        <v>172</v>
      </c>
      <c r="AX8" s="38" t="s">
        <v>172</v>
      </c>
      <c r="AY8" s="38" t="s">
        <v>171</v>
      </c>
      <c r="AZ8" s="38" t="s">
        <v>169</v>
      </c>
      <c r="BA8" s="38" t="s">
        <v>171</v>
      </c>
      <c r="BB8" s="38" t="s">
        <v>171</v>
      </c>
      <c r="BC8" s="38" t="s">
        <v>171</v>
      </c>
      <c r="BD8" s="38" t="s">
        <v>170</v>
      </c>
      <c r="BE8" s="38" t="s">
        <v>169</v>
      </c>
      <c r="BF8" s="38" t="s">
        <v>169</v>
      </c>
      <c r="BG8" s="38" t="s">
        <v>171</v>
      </c>
      <c r="BH8" s="38" t="s">
        <v>169</v>
      </c>
      <c r="BI8" s="38" t="s">
        <v>171</v>
      </c>
      <c r="BJ8" s="38" t="s">
        <v>171</v>
      </c>
      <c r="BK8" s="38" t="s">
        <v>170</v>
      </c>
      <c r="BL8" s="38" t="s">
        <v>169</v>
      </c>
      <c r="BM8" s="38" t="s">
        <v>172</v>
      </c>
      <c r="BN8" s="38" t="s">
        <v>171</v>
      </c>
      <c r="BO8" s="38" t="s">
        <v>170</v>
      </c>
      <c r="BP8" s="38" t="s">
        <v>170</v>
      </c>
      <c r="BQ8" s="38" t="s">
        <v>172</v>
      </c>
      <c r="BR8" s="38" t="s">
        <v>170</v>
      </c>
      <c r="BS8" s="38" t="s">
        <v>170</v>
      </c>
      <c r="BT8" s="38" t="s">
        <v>169</v>
      </c>
      <c r="BU8" s="38" t="s">
        <v>169</v>
      </c>
      <c r="BV8" s="38" t="s">
        <v>171</v>
      </c>
      <c r="BW8" s="38" t="s">
        <v>169</v>
      </c>
      <c r="BX8" s="38" t="s">
        <v>171</v>
      </c>
      <c r="BY8" s="38" t="s">
        <v>171</v>
      </c>
      <c r="BZ8" s="38" t="s">
        <v>169</v>
      </c>
      <c r="CA8" s="38" t="s">
        <v>169</v>
      </c>
    </row>
    <row r="9" customFormat="false" ht="15" hidden="false" customHeight="true" outlineLevel="0" collapsed="false">
      <c r="A9" s="38" t="s">
        <v>27</v>
      </c>
      <c r="B9" s="38" t="s">
        <v>846</v>
      </c>
      <c r="C9" s="38" t="s">
        <v>24</v>
      </c>
      <c r="D9" s="38" t="s">
        <v>25</v>
      </c>
      <c r="E9" s="38" t="n">
        <v>88</v>
      </c>
      <c r="F9" s="38" t="n">
        <v>72</v>
      </c>
      <c r="G9" s="38" t="n">
        <v>0</v>
      </c>
      <c r="H9" s="38" t="s">
        <v>171</v>
      </c>
      <c r="I9" s="38" t="s">
        <v>170</v>
      </c>
      <c r="J9" s="38" t="s">
        <v>172</v>
      </c>
      <c r="K9" s="38" t="s">
        <v>172</v>
      </c>
      <c r="L9" s="38" t="s">
        <v>170</v>
      </c>
      <c r="M9" s="38" t="s">
        <v>172</v>
      </c>
      <c r="N9" s="38" t="s">
        <v>171</v>
      </c>
      <c r="O9" s="38" t="s">
        <v>171</v>
      </c>
      <c r="P9" s="38" t="s">
        <v>172</v>
      </c>
      <c r="Q9" s="38" t="s">
        <v>169</v>
      </c>
      <c r="R9" s="38" t="s">
        <v>169</v>
      </c>
      <c r="S9" s="38" t="s">
        <v>172</v>
      </c>
      <c r="T9" s="38" t="s">
        <v>171</v>
      </c>
      <c r="U9" s="38" t="s">
        <v>172</v>
      </c>
      <c r="V9" s="38" t="s">
        <v>169</v>
      </c>
      <c r="W9" s="38" t="s">
        <v>172</v>
      </c>
      <c r="X9" s="38" t="s">
        <v>171</v>
      </c>
      <c r="Y9" s="38" t="s">
        <v>169</v>
      </c>
      <c r="Z9" s="38" t="s">
        <v>169</v>
      </c>
      <c r="AA9" s="38" t="s">
        <v>170</v>
      </c>
      <c r="AB9" s="38" t="s">
        <v>171</v>
      </c>
      <c r="AC9" s="38" t="s">
        <v>171</v>
      </c>
      <c r="AD9" s="38" t="s">
        <v>171</v>
      </c>
      <c r="AE9" s="38" t="s">
        <v>170</v>
      </c>
      <c r="AF9" s="38" t="s">
        <v>170</v>
      </c>
      <c r="AG9" s="38" t="s">
        <v>171</v>
      </c>
      <c r="AH9" s="38" t="s">
        <v>171</v>
      </c>
      <c r="AI9" s="38" t="s">
        <v>171</v>
      </c>
      <c r="AJ9" s="38" t="s">
        <v>170</v>
      </c>
      <c r="AK9" s="38" t="s">
        <v>171</v>
      </c>
      <c r="AL9" s="38" t="s">
        <v>171</v>
      </c>
      <c r="AM9" s="38" t="s">
        <v>171</v>
      </c>
      <c r="AN9" s="38" t="s">
        <v>171</v>
      </c>
      <c r="AO9" s="38" t="s">
        <v>170</v>
      </c>
      <c r="AP9" s="38" t="s">
        <v>171</v>
      </c>
      <c r="AQ9" s="38" t="s">
        <v>172</v>
      </c>
      <c r="AR9" s="38" t="s">
        <v>170</v>
      </c>
      <c r="AS9" s="38" t="s">
        <v>172</v>
      </c>
      <c r="AT9" s="38" t="s">
        <v>169</v>
      </c>
      <c r="AU9" s="38" t="s">
        <v>169</v>
      </c>
      <c r="AV9" s="38" t="s">
        <v>172</v>
      </c>
      <c r="AW9" s="38" t="s">
        <v>172</v>
      </c>
      <c r="AX9" s="38" t="s">
        <v>169</v>
      </c>
      <c r="AY9" s="38" t="s">
        <v>169</v>
      </c>
      <c r="AZ9" s="38" t="s">
        <v>170</v>
      </c>
      <c r="BA9" s="38" t="s">
        <v>171</v>
      </c>
      <c r="BB9" s="38" t="s">
        <v>169</v>
      </c>
      <c r="BC9" s="38" t="s">
        <v>171</v>
      </c>
      <c r="BD9" s="38" t="s">
        <v>170</v>
      </c>
      <c r="BE9" s="38" t="s">
        <v>172</v>
      </c>
      <c r="BF9" s="38" t="s">
        <v>169</v>
      </c>
      <c r="BG9" s="38" t="s">
        <v>169</v>
      </c>
      <c r="BH9" s="38" t="s">
        <v>169</v>
      </c>
      <c r="BI9" s="38" t="s">
        <v>172</v>
      </c>
      <c r="BJ9" s="38" t="s">
        <v>170</v>
      </c>
      <c r="BK9" s="38" t="s">
        <v>170</v>
      </c>
      <c r="BL9" s="38" t="s">
        <v>171</v>
      </c>
      <c r="BM9" s="38" t="s">
        <v>170</v>
      </c>
      <c r="BN9" s="38" t="s">
        <v>171</v>
      </c>
      <c r="BO9" s="38" t="s">
        <v>169</v>
      </c>
      <c r="BP9" s="38" t="s">
        <v>170</v>
      </c>
      <c r="BQ9" s="38" t="s">
        <v>170</v>
      </c>
      <c r="BR9" s="38" t="s">
        <v>171</v>
      </c>
      <c r="BS9" s="38" t="s">
        <v>171</v>
      </c>
      <c r="BT9" s="38" t="s">
        <v>169</v>
      </c>
      <c r="BU9" s="38" t="s">
        <v>172</v>
      </c>
      <c r="BV9" s="38" t="s">
        <v>171</v>
      </c>
      <c r="BW9" s="38" t="s">
        <v>169</v>
      </c>
      <c r="BX9" s="38" t="s">
        <v>171</v>
      </c>
      <c r="BY9" s="38" t="s">
        <v>171</v>
      </c>
      <c r="BZ9" s="38" t="s">
        <v>169</v>
      </c>
      <c r="CA9" s="38" t="s">
        <v>169</v>
      </c>
    </row>
    <row r="10" customFormat="false" ht="15" hidden="false" customHeight="true" outlineLevel="0" collapsed="false">
      <c r="A10" s="38" t="s">
        <v>31</v>
      </c>
      <c r="B10" s="38" t="s">
        <v>846</v>
      </c>
      <c r="C10" s="38" t="s">
        <v>24</v>
      </c>
      <c r="D10" s="38" t="s">
        <v>25</v>
      </c>
      <c r="E10" s="38" t="n">
        <v>92</v>
      </c>
      <c r="F10" s="38" t="n">
        <v>71</v>
      </c>
      <c r="G10" s="38" t="n">
        <v>1</v>
      </c>
      <c r="H10" s="38" t="s">
        <v>170</v>
      </c>
      <c r="I10" s="38" t="s">
        <v>171</v>
      </c>
      <c r="J10" s="38" t="s">
        <v>169</v>
      </c>
      <c r="K10" s="38" t="s">
        <v>172</v>
      </c>
      <c r="L10" s="38" t="s">
        <v>169</v>
      </c>
      <c r="M10" s="38" t="s">
        <v>169</v>
      </c>
      <c r="N10" s="38" t="s">
        <v>169</v>
      </c>
      <c r="O10" s="38" t="s">
        <v>171</v>
      </c>
      <c r="P10" s="38" t="s">
        <v>171</v>
      </c>
      <c r="Q10" s="38" t="s">
        <v>169</v>
      </c>
      <c r="R10" s="38" t="s">
        <v>170</v>
      </c>
      <c r="S10" s="38" t="s">
        <v>170</v>
      </c>
      <c r="T10" s="38" t="s">
        <v>172</v>
      </c>
      <c r="U10" s="38" t="s">
        <v>169</v>
      </c>
      <c r="V10" s="38" t="s">
        <v>172</v>
      </c>
      <c r="W10" s="40" t="s">
        <v>176</v>
      </c>
      <c r="X10" s="38" t="s">
        <v>169</v>
      </c>
      <c r="Y10" s="38" t="s">
        <v>169</v>
      </c>
      <c r="Z10" s="38" t="s">
        <v>169</v>
      </c>
      <c r="AA10" s="38" t="s">
        <v>172</v>
      </c>
      <c r="AB10" s="38" t="s">
        <v>171</v>
      </c>
      <c r="AC10" s="38" t="s">
        <v>171</v>
      </c>
      <c r="AD10" s="38" t="s">
        <v>169</v>
      </c>
      <c r="AE10" s="38" t="s">
        <v>172</v>
      </c>
      <c r="AF10" s="38" t="s">
        <v>171</v>
      </c>
      <c r="AG10" s="38" t="s">
        <v>172</v>
      </c>
      <c r="AH10" s="38" t="s">
        <v>170</v>
      </c>
      <c r="AI10" s="38" t="s">
        <v>170</v>
      </c>
      <c r="AJ10" s="38" t="s">
        <v>169</v>
      </c>
      <c r="AK10" s="38" t="s">
        <v>170</v>
      </c>
      <c r="AL10" s="38" t="s">
        <v>171</v>
      </c>
      <c r="AM10" s="38" t="s">
        <v>171</v>
      </c>
      <c r="AN10" s="38" t="s">
        <v>170</v>
      </c>
      <c r="AO10" s="38" t="s">
        <v>170</v>
      </c>
      <c r="AP10" s="38" t="s">
        <v>171</v>
      </c>
      <c r="AQ10" s="38" t="s">
        <v>172</v>
      </c>
      <c r="AR10" s="38" t="s">
        <v>169</v>
      </c>
      <c r="AS10" s="38" t="s">
        <v>169</v>
      </c>
      <c r="AT10" s="38" t="s">
        <v>169</v>
      </c>
      <c r="AU10" s="38" t="s">
        <v>169</v>
      </c>
      <c r="AV10" s="38" t="s">
        <v>171</v>
      </c>
      <c r="AW10" s="38" t="s">
        <v>169</v>
      </c>
      <c r="AX10" s="38" t="s">
        <v>169</v>
      </c>
      <c r="AY10" s="38" t="s">
        <v>170</v>
      </c>
      <c r="AZ10" s="38" t="s">
        <v>170</v>
      </c>
      <c r="BA10" s="38" t="s">
        <v>169</v>
      </c>
      <c r="BB10" s="38" t="s">
        <v>169</v>
      </c>
      <c r="BC10" s="38" t="s">
        <v>171</v>
      </c>
      <c r="BD10" s="38" t="s">
        <v>172</v>
      </c>
      <c r="BE10" s="38" t="s">
        <v>172</v>
      </c>
      <c r="BF10" s="38" t="s">
        <v>169</v>
      </c>
      <c r="BG10" s="38" t="s">
        <v>169</v>
      </c>
      <c r="BH10" s="38" t="s">
        <v>169</v>
      </c>
      <c r="BI10" s="38" t="s">
        <v>171</v>
      </c>
      <c r="BJ10" s="38" t="s">
        <v>171</v>
      </c>
      <c r="BK10" s="38" t="s">
        <v>170</v>
      </c>
      <c r="BL10" s="38" t="s">
        <v>170</v>
      </c>
      <c r="BM10" s="38" t="s">
        <v>172</v>
      </c>
      <c r="BN10" s="38" t="s">
        <v>170</v>
      </c>
      <c r="BO10" s="38" t="s">
        <v>171</v>
      </c>
      <c r="BP10" s="38" t="s">
        <v>170</v>
      </c>
      <c r="BQ10" s="38" t="s">
        <v>171</v>
      </c>
      <c r="BR10" s="38" t="s">
        <v>171</v>
      </c>
      <c r="BS10" s="38" t="s">
        <v>171</v>
      </c>
      <c r="BT10" s="38" t="s">
        <v>171</v>
      </c>
      <c r="BU10" s="38" t="s">
        <v>172</v>
      </c>
      <c r="BV10" s="38" t="s">
        <v>170</v>
      </c>
      <c r="BW10" s="38" t="s">
        <v>171</v>
      </c>
      <c r="BX10" s="38" t="s">
        <v>171</v>
      </c>
      <c r="BY10" s="38" t="s">
        <v>170</v>
      </c>
      <c r="BZ10" s="38" t="s">
        <v>172</v>
      </c>
      <c r="CA10" s="38" t="s">
        <v>169</v>
      </c>
    </row>
    <row r="11" customFormat="false" ht="15" hidden="false" customHeight="true" outlineLevel="0" collapsed="false">
      <c r="A11" s="38" t="s">
        <v>42</v>
      </c>
      <c r="B11" s="38" t="s">
        <v>846</v>
      </c>
      <c r="C11" s="38" t="s">
        <v>24</v>
      </c>
      <c r="D11" s="38" t="s">
        <v>25</v>
      </c>
      <c r="E11" s="38" t="n">
        <v>93</v>
      </c>
      <c r="F11" s="38" t="n">
        <v>72</v>
      </c>
      <c r="G11" s="38" t="n">
        <v>0</v>
      </c>
      <c r="H11" s="38" t="s">
        <v>171</v>
      </c>
      <c r="I11" s="38" t="s">
        <v>169</v>
      </c>
      <c r="J11" s="38" t="s">
        <v>169</v>
      </c>
      <c r="K11" s="38" t="s">
        <v>171</v>
      </c>
      <c r="L11" s="38" t="s">
        <v>170</v>
      </c>
      <c r="M11" s="38" t="s">
        <v>170</v>
      </c>
      <c r="N11" s="38" t="s">
        <v>172</v>
      </c>
      <c r="O11" s="38" t="s">
        <v>171</v>
      </c>
      <c r="P11" s="38" t="s">
        <v>171</v>
      </c>
      <c r="Q11" s="38" t="s">
        <v>171</v>
      </c>
      <c r="R11" s="38" t="s">
        <v>171</v>
      </c>
      <c r="S11" s="38" t="s">
        <v>171</v>
      </c>
      <c r="T11" s="38" t="s">
        <v>170</v>
      </c>
      <c r="U11" s="38" t="s">
        <v>169</v>
      </c>
      <c r="V11" s="38" t="s">
        <v>169</v>
      </c>
      <c r="W11" s="38" t="s">
        <v>170</v>
      </c>
      <c r="X11" s="38" t="s">
        <v>170</v>
      </c>
      <c r="Y11" s="38" t="s">
        <v>169</v>
      </c>
      <c r="Z11" s="38" t="s">
        <v>169</v>
      </c>
      <c r="AA11" s="38" t="s">
        <v>170</v>
      </c>
      <c r="AB11" s="38" t="s">
        <v>169</v>
      </c>
      <c r="AC11" s="38" t="s">
        <v>169</v>
      </c>
      <c r="AD11" s="38" t="s">
        <v>169</v>
      </c>
      <c r="AE11" s="38" t="s">
        <v>172</v>
      </c>
      <c r="AF11" s="38" t="s">
        <v>169</v>
      </c>
      <c r="AG11" s="38" t="s">
        <v>169</v>
      </c>
      <c r="AH11" s="38" t="s">
        <v>172</v>
      </c>
      <c r="AI11" s="38" t="s">
        <v>169</v>
      </c>
      <c r="AJ11" s="38" t="s">
        <v>172</v>
      </c>
      <c r="AK11" s="38" t="s">
        <v>172</v>
      </c>
      <c r="AL11" s="38" t="s">
        <v>172</v>
      </c>
      <c r="AM11" s="38" t="s">
        <v>172</v>
      </c>
      <c r="AN11" s="38" t="s">
        <v>171</v>
      </c>
      <c r="AO11" s="38" t="s">
        <v>170</v>
      </c>
      <c r="AP11" s="38" t="s">
        <v>171</v>
      </c>
      <c r="AQ11" s="38" t="s">
        <v>172</v>
      </c>
      <c r="AR11" s="38" t="s">
        <v>169</v>
      </c>
      <c r="AS11" s="38" t="s">
        <v>169</v>
      </c>
      <c r="AT11" s="38" t="s">
        <v>171</v>
      </c>
      <c r="AU11" s="38" t="s">
        <v>171</v>
      </c>
      <c r="AV11" s="38" t="s">
        <v>171</v>
      </c>
      <c r="AW11" s="38" t="s">
        <v>170</v>
      </c>
      <c r="AX11" s="38" t="s">
        <v>171</v>
      </c>
      <c r="AY11" s="38" t="s">
        <v>170</v>
      </c>
      <c r="AZ11" s="38" t="s">
        <v>169</v>
      </c>
      <c r="BA11" s="38" t="s">
        <v>172</v>
      </c>
      <c r="BB11" s="38" t="s">
        <v>169</v>
      </c>
      <c r="BC11" s="38" t="s">
        <v>171</v>
      </c>
      <c r="BD11" s="38" t="s">
        <v>170</v>
      </c>
      <c r="BE11" s="38" t="s">
        <v>171</v>
      </c>
      <c r="BF11" s="38" t="s">
        <v>171</v>
      </c>
      <c r="BG11" s="38" t="s">
        <v>171</v>
      </c>
      <c r="BH11" s="38" t="s">
        <v>169</v>
      </c>
      <c r="BI11" s="38" t="s">
        <v>172</v>
      </c>
      <c r="BJ11" s="38" t="s">
        <v>170</v>
      </c>
      <c r="BK11" s="38" t="s">
        <v>170</v>
      </c>
      <c r="BL11" s="38" t="s">
        <v>171</v>
      </c>
      <c r="BM11" s="38" t="s">
        <v>171</v>
      </c>
      <c r="BN11" s="38" t="s">
        <v>171</v>
      </c>
      <c r="BO11" s="38" t="s">
        <v>171</v>
      </c>
      <c r="BP11" s="38" t="s">
        <v>170</v>
      </c>
      <c r="BQ11" s="38" t="s">
        <v>172</v>
      </c>
      <c r="BR11" s="38" t="s">
        <v>169</v>
      </c>
      <c r="BS11" s="38" t="s">
        <v>169</v>
      </c>
      <c r="BT11" s="38" t="s">
        <v>172</v>
      </c>
      <c r="BU11" s="38" t="s">
        <v>171</v>
      </c>
      <c r="BV11" s="38" t="s">
        <v>169</v>
      </c>
      <c r="BW11" s="38" t="s">
        <v>170</v>
      </c>
      <c r="BX11" s="38" t="s">
        <v>172</v>
      </c>
      <c r="BY11" s="38" t="s">
        <v>170</v>
      </c>
      <c r="BZ11" s="38" t="s">
        <v>171</v>
      </c>
      <c r="CA11" s="38" t="s">
        <v>172</v>
      </c>
    </row>
    <row r="12" customFormat="false" ht="15" hidden="false" customHeight="true" outlineLevel="0" collapsed="false">
      <c r="A12" s="38" t="s">
        <v>34</v>
      </c>
      <c r="B12" s="38" t="s">
        <v>846</v>
      </c>
      <c r="C12" s="38" t="s">
        <v>17</v>
      </c>
      <c r="D12" s="38" t="s">
        <v>18</v>
      </c>
      <c r="E12" s="38" t="n">
        <v>70</v>
      </c>
      <c r="F12" s="38" t="n">
        <v>70</v>
      </c>
      <c r="G12" s="38" t="n">
        <v>2</v>
      </c>
      <c r="H12" s="38" t="s">
        <v>169</v>
      </c>
      <c r="I12" s="38" t="s">
        <v>171</v>
      </c>
      <c r="J12" s="38" t="s">
        <v>170</v>
      </c>
      <c r="K12" s="38" t="s">
        <v>172</v>
      </c>
      <c r="L12" s="38" t="s">
        <v>169</v>
      </c>
      <c r="M12" s="38" t="s">
        <v>169</v>
      </c>
      <c r="N12" s="38" t="s">
        <v>169</v>
      </c>
      <c r="O12" s="38" t="s">
        <v>171</v>
      </c>
      <c r="P12" s="38" t="s">
        <v>170</v>
      </c>
      <c r="Q12" s="38" t="s">
        <v>172</v>
      </c>
      <c r="R12" s="38" t="s">
        <v>172</v>
      </c>
      <c r="S12" s="38" t="s">
        <v>169</v>
      </c>
      <c r="T12" s="38" t="s">
        <v>172</v>
      </c>
      <c r="U12" s="38" t="s">
        <v>172</v>
      </c>
      <c r="V12" s="38" t="s">
        <v>172</v>
      </c>
      <c r="W12" s="40" t="s">
        <v>176</v>
      </c>
      <c r="X12" s="38" t="s">
        <v>171</v>
      </c>
      <c r="Y12" s="38" t="s">
        <v>169</v>
      </c>
      <c r="Z12" s="38" t="s">
        <v>169</v>
      </c>
      <c r="AA12" s="38" t="s">
        <v>172</v>
      </c>
      <c r="AB12" s="38" t="s">
        <v>171</v>
      </c>
      <c r="AC12" s="38" t="s">
        <v>171</v>
      </c>
      <c r="AD12" s="38" t="s">
        <v>170</v>
      </c>
      <c r="AE12" s="38" t="s">
        <v>172</v>
      </c>
      <c r="AF12" s="38" t="s">
        <v>171</v>
      </c>
      <c r="AG12" s="38" t="s">
        <v>171</v>
      </c>
      <c r="AH12" s="38" t="s">
        <v>171</v>
      </c>
      <c r="AI12" s="38" t="s">
        <v>169</v>
      </c>
      <c r="AJ12" s="38" t="s">
        <v>171</v>
      </c>
      <c r="AK12" s="38" t="s">
        <v>172</v>
      </c>
      <c r="AL12" s="38" t="s">
        <v>169</v>
      </c>
      <c r="AM12" s="38" t="s">
        <v>171</v>
      </c>
      <c r="AN12" s="38" t="s">
        <v>171</v>
      </c>
      <c r="AO12" s="38" t="s">
        <v>171</v>
      </c>
      <c r="AP12" s="38" t="s">
        <v>170</v>
      </c>
      <c r="AQ12" s="38" t="s">
        <v>172</v>
      </c>
      <c r="AR12" s="38" t="s">
        <v>172</v>
      </c>
      <c r="AS12" s="38" t="s">
        <v>172</v>
      </c>
      <c r="AT12" s="38" t="s">
        <v>171</v>
      </c>
      <c r="AU12" s="38" t="s">
        <v>171</v>
      </c>
      <c r="AV12" s="38" t="s">
        <v>172</v>
      </c>
      <c r="AW12" s="38" t="s">
        <v>170</v>
      </c>
      <c r="AX12" s="38" t="s">
        <v>172</v>
      </c>
      <c r="AY12" s="38" t="s">
        <v>169</v>
      </c>
      <c r="AZ12" s="38" t="s">
        <v>171</v>
      </c>
      <c r="BA12" s="40" t="s">
        <v>176</v>
      </c>
      <c r="BB12" s="38" t="s">
        <v>171</v>
      </c>
      <c r="BC12" s="38" t="s">
        <v>171</v>
      </c>
      <c r="BD12" s="38" t="s">
        <v>171</v>
      </c>
      <c r="BE12" s="38" t="s">
        <v>172</v>
      </c>
      <c r="BF12" s="38" t="s">
        <v>169</v>
      </c>
      <c r="BG12" s="38" t="s">
        <v>169</v>
      </c>
      <c r="BH12" s="38" t="s">
        <v>169</v>
      </c>
      <c r="BI12" s="38" t="s">
        <v>172</v>
      </c>
      <c r="BJ12" s="38" t="s">
        <v>171</v>
      </c>
      <c r="BK12" s="38" t="s">
        <v>170</v>
      </c>
      <c r="BL12" s="38" t="s">
        <v>170</v>
      </c>
      <c r="BM12" s="38" t="s">
        <v>171</v>
      </c>
      <c r="BN12" s="38" t="s">
        <v>171</v>
      </c>
      <c r="BO12" s="38" t="s">
        <v>169</v>
      </c>
      <c r="BP12" s="38" t="s">
        <v>170</v>
      </c>
      <c r="BQ12" s="38" t="s">
        <v>171</v>
      </c>
      <c r="BR12" s="38" t="s">
        <v>171</v>
      </c>
      <c r="BS12" s="38" t="s">
        <v>171</v>
      </c>
      <c r="BT12" s="38" t="s">
        <v>172</v>
      </c>
      <c r="BU12" s="38" t="s">
        <v>170</v>
      </c>
      <c r="BV12" s="38" t="s">
        <v>171</v>
      </c>
      <c r="BW12" s="38" t="s">
        <v>171</v>
      </c>
      <c r="BX12" s="38" t="s">
        <v>171</v>
      </c>
      <c r="BY12" s="38" t="s">
        <v>171</v>
      </c>
      <c r="BZ12" s="38" t="s">
        <v>172</v>
      </c>
      <c r="CA12" s="38" t="s">
        <v>171</v>
      </c>
    </row>
    <row r="13" customFormat="false" ht="15" hidden="false" customHeight="true" outlineLevel="0" collapsed="false">
      <c r="A13" s="38" t="s">
        <v>16</v>
      </c>
      <c r="B13" s="38" t="s">
        <v>846</v>
      </c>
      <c r="C13" s="38" t="s">
        <v>17</v>
      </c>
      <c r="D13" s="38" t="s">
        <v>18</v>
      </c>
      <c r="E13" s="38" t="n">
        <v>71</v>
      </c>
      <c r="F13" s="38" t="n">
        <v>71</v>
      </c>
      <c r="G13" s="38" t="n">
        <v>1</v>
      </c>
      <c r="H13" s="38" t="s">
        <v>169</v>
      </c>
      <c r="I13" s="38" t="s">
        <v>170</v>
      </c>
      <c r="J13" s="38" t="s">
        <v>170</v>
      </c>
      <c r="K13" s="38" t="s">
        <v>170</v>
      </c>
      <c r="L13" s="38" t="s">
        <v>169</v>
      </c>
      <c r="M13" s="38" t="s">
        <v>169</v>
      </c>
      <c r="N13" s="38" t="s">
        <v>172</v>
      </c>
      <c r="O13" s="38" t="s">
        <v>171</v>
      </c>
      <c r="P13" s="38" t="s">
        <v>172</v>
      </c>
      <c r="Q13" s="38" t="s">
        <v>169</v>
      </c>
      <c r="R13" s="38" t="s">
        <v>170</v>
      </c>
      <c r="S13" s="38" t="s">
        <v>170</v>
      </c>
      <c r="T13" s="38" t="s">
        <v>171</v>
      </c>
      <c r="U13" s="38" t="s">
        <v>172</v>
      </c>
      <c r="V13" s="38" t="s">
        <v>169</v>
      </c>
      <c r="W13" s="38" t="s">
        <v>172</v>
      </c>
      <c r="X13" s="38" t="s">
        <v>171</v>
      </c>
      <c r="Y13" s="38" t="s">
        <v>169</v>
      </c>
      <c r="Z13" s="38" t="s">
        <v>169</v>
      </c>
      <c r="AA13" s="38" t="s">
        <v>171</v>
      </c>
      <c r="AB13" s="38" t="s">
        <v>171</v>
      </c>
      <c r="AC13" s="38" t="s">
        <v>169</v>
      </c>
      <c r="AD13" s="38" t="s">
        <v>169</v>
      </c>
      <c r="AE13" s="38" t="s">
        <v>169</v>
      </c>
      <c r="AF13" s="38" t="s">
        <v>169</v>
      </c>
      <c r="AG13" s="38" t="s">
        <v>170</v>
      </c>
      <c r="AH13" s="38" t="s">
        <v>169</v>
      </c>
      <c r="AI13" s="38" t="s">
        <v>170</v>
      </c>
      <c r="AJ13" s="38" t="s">
        <v>170</v>
      </c>
      <c r="AK13" s="38" t="s">
        <v>172</v>
      </c>
      <c r="AL13" s="38" t="s">
        <v>169</v>
      </c>
      <c r="AM13" s="38" t="s">
        <v>172</v>
      </c>
      <c r="AN13" s="38" t="s">
        <v>170</v>
      </c>
      <c r="AO13" s="38" t="s">
        <v>171</v>
      </c>
      <c r="AP13" s="38" t="s">
        <v>170</v>
      </c>
      <c r="AQ13" s="38" t="s">
        <v>172</v>
      </c>
      <c r="AR13" s="38" t="s">
        <v>171</v>
      </c>
      <c r="AS13" s="38" t="s">
        <v>171</v>
      </c>
      <c r="AT13" s="38" t="s">
        <v>170</v>
      </c>
      <c r="AU13" s="38" t="s">
        <v>171</v>
      </c>
      <c r="AV13" s="38" t="s">
        <v>169</v>
      </c>
      <c r="AW13" s="38" t="s">
        <v>169</v>
      </c>
      <c r="AX13" s="38" t="s">
        <v>172</v>
      </c>
      <c r="AY13" s="38" t="s">
        <v>169</v>
      </c>
      <c r="AZ13" s="38" t="s">
        <v>169</v>
      </c>
      <c r="BA13" s="40" t="s">
        <v>176</v>
      </c>
      <c r="BB13" s="38" t="s">
        <v>171</v>
      </c>
      <c r="BC13" s="38" t="s">
        <v>170</v>
      </c>
      <c r="BD13" s="38" t="s">
        <v>169</v>
      </c>
      <c r="BE13" s="38" t="s">
        <v>170</v>
      </c>
      <c r="BF13" s="38" t="s">
        <v>169</v>
      </c>
      <c r="BG13" s="38" t="s">
        <v>171</v>
      </c>
      <c r="BH13" s="38" t="s">
        <v>169</v>
      </c>
      <c r="BI13" s="38" t="s">
        <v>171</v>
      </c>
      <c r="BJ13" s="38" t="s">
        <v>171</v>
      </c>
      <c r="BK13" s="38" t="s">
        <v>170</v>
      </c>
      <c r="BL13" s="38" t="s">
        <v>169</v>
      </c>
      <c r="BM13" s="38" t="s">
        <v>172</v>
      </c>
      <c r="BN13" s="38" t="s">
        <v>169</v>
      </c>
      <c r="BO13" s="38" t="s">
        <v>171</v>
      </c>
      <c r="BP13" s="38" t="s">
        <v>170</v>
      </c>
      <c r="BQ13" s="38" t="s">
        <v>172</v>
      </c>
      <c r="BR13" s="38" t="s">
        <v>170</v>
      </c>
      <c r="BS13" s="38" t="s">
        <v>169</v>
      </c>
      <c r="BT13" s="38" t="s">
        <v>170</v>
      </c>
      <c r="BU13" s="38" t="s">
        <v>171</v>
      </c>
      <c r="BV13" s="38" t="s">
        <v>170</v>
      </c>
      <c r="BW13" s="38" t="s">
        <v>170</v>
      </c>
      <c r="BX13" s="38" t="s">
        <v>169</v>
      </c>
      <c r="BY13" s="38" t="s">
        <v>169</v>
      </c>
      <c r="BZ13" s="38" t="s">
        <v>169</v>
      </c>
      <c r="CA13" s="38" t="s">
        <v>170</v>
      </c>
    </row>
    <row r="14" customFormat="false" ht="15" hidden="false" customHeight="true" outlineLevel="0" collapsed="false">
      <c r="A14" s="48" t="s">
        <v>847</v>
      </c>
      <c r="B14" s="48" t="s">
        <v>848</v>
      </c>
      <c r="C14" s="48" t="s">
        <v>24</v>
      </c>
      <c r="D14" s="48" t="s">
        <v>37</v>
      </c>
      <c r="E14" s="48" t="n">
        <v>78</v>
      </c>
      <c r="F14" s="48" t="n">
        <v>71</v>
      </c>
      <c r="G14" s="48" t="n">
        <v>1</v>
      </c>
      <c r="H14" s="38" t="s">
        <v>171</v>
      </c>
      <c r="I14" s="38" t="s">
        <v>172</v>
      </c>
      <c r="J14" s="38" t="s">
        <v>172</v>
      </c>
      <c r="K14" s="38" t="s">
        <v>171</v>
      </c>
      <c r="L14" s="38" t="s">
        <v>172</v>
      </c>
      <c r="M14" s="38" t="s">
        <v>172</v>
      </c>
      <c r="N14" s="38" t="s">
        <v>170</v>
      </c>
      <c r="O14" s="38" t="s">
        <v>171</v>
      </c>
      <c r="P14" s="38" t="s">
        <v>169</v>
      </c>
      <c r="Q14" s="38" t="s">
        <v>169</v>
      </c>
      <c r="R14" s="38" t="s">
        <v>169</v>
      </c>
      <c r="S14" s="38" t="s">
        <v>169</v>
      </c>
      <c r="T14" s="38" t="s">
        <v>170</v>
      </c>
      <c r="U14" s="38" t="s">
        <v>169</v>
      </c>
      <c r="V14" s="38" t="s">
        <v>172</v>
      </c>
      <c r="W14" s="40" t="s">
        <v>176</v>
      </c>
      <c r="X14" s="38" t="s">
        <v>172</v>
      </c>
      <c r="Y14" s="38" t="s">
        <v>169</v>
      </c>
      <c r="Z14" s="38" t="s">
        <v>169</v>
      </c>
      <c r="AA14" s="38" t="s">
        <v>171</v>
      </c>
      <c r="AB14" s="38" t="s">
        <v>170</v>
      </c>
      <c r="AC14" s="38" t="s">
        <v>169</v>
      </c>
      <c r="AD14" s="38" t="s">
        <v>170</v>
      </c>
      <c r="AE14" s="38" t="s">
        <v>170</v>
      </c>
      <c r="AF14" s="38" t="s">
        <v>171</v>
      </c>
      <c r="AG14" s="38" t="s">
        <v>169</v>
      </c>
      <c r="AH14" s="38" t="s">
        <v>170</v>
      </c>
      <c r="AI14" s="38" t="s">
        <v>171</v>
      </c>
      <c r="AJ14" s="38" t="s">
        <v>172</v>
      </c>
      <c r="AK14" s="38" t="s">
        <v>169</v>
      </c>
      <c r="AL14" s="38" t="s">
        <v>169</v>
      </c>
      <c r="AM14" s="38" t="s">
        <v>172</v>
      </c>
      <c r="AN14" s="38" t="s">
        <v>170</v>
      </c>
      <c r="AO14" s="38" t="s">
        <v>171</v>
      </c>
      <c r="AP14" s="38" t="s">
        <v>171</v>
      </c>
      <c r="AQ14" s="38" t="s">
        <v>172</v>
      </c>
      <c r="AR14" s="38" t="s">
        <v>172</v>
      </c>
      <c r="AS14" s="38" t="s">
        <v>171</v>
      </c>
      <c r="AT14" s="38" t="s">
        <v>171</v>
      </c>
      <c r="AU14" s="38" t="s">
        <v>171</v>
      </c>
      <c r="AV14" s="38" t="s">
        <v>171</v>
      </c>
      <c r="AW14" s="38" t="s">
        <v>169</v>
      </c>
      <c r="AX14" s="38" t="s">
        <v>169</v>
      </c>
      <c r="AY14" s="38" t="s">
        <v>171</v>
      </c>
      <c r="AZ14" s="38" t="s">
        <v>169</v>
      </c>
      <c r="BA14" s="38" t="s">
        <v>170</v>
      </c>
      <c r="BB14" s="38" t="s">
        <v>172</v>
      </c>
      <c r="BC14" s="38" t="s">
        <v>171</v>
      </c>
      <c r="BD14" s="38" t="s">
        <v>169</v>
      </c>
      <c r="BE14" s="38" t="s">
        <v>172</v>
      </c>
      <c r="BF14" s="38" t="s">
        <v>170</v>
      </c>
      <c r="BG14" s="38" t="s">
        <v>169</v>
      </c>
      <c r="BH14" s="38" t="s">
        <v>169</v>
      </c>
      <c r="BI14" s="38" t="s">
        <v>171</v>
      </c>
      <c r="BJ14" s="38" t="s">
        <v>170</v>
      </c>
      <c r="BK14" s="38" t="s">
        <v>170</v>
      </c>
      <c r="BL14" s="38" t="s">
        <v>171</v>
      </c>
      <c r="BM14" s="38" t="s">
        <v>172</v>
      </c>
      <c r="BN14" s="38" t="s">
        <v>171</v>
      </c>
      <c r="BO14" s="38" t="s">
        <v>169</v>
      </c>
      <c r="BP14" s="38" t="s">
        <v>170</v>
      </c>
      <c r="BQ14" s="38" t="s">
        <v>172</v>
      </c>
      <c r="BR14" s="38" t="s">
        <v>169</v>
      </c>
      <c r="BS14" s="38" t="s">
        <v>171</v>
      </c>
      <c r="BT14" s="38" t="s">
        <v>171</v>
      </c>
      <c r="BU14" s="38" t="s">
        <v>172</v>
      </c>
      <c r="BV14" s="38" t="s">
        <v>171</v>
      </c>
      <c r="BW14" s="38" t="s">
        <v>171</v>
      </c>
      <c r="BX14" s="38" t="s">
        <v>172</v>
      </c>
      <c r="BY14" s="38" t="s">
        <v>171</v>
      </c>
      <c r="BZ14" s="38" t="s">
        <v>171</v>
      </c>
      <c r="CA14" s="38" t="s">
        <v>169</v>
      </c>
    </row>
    <row r="15" customFormat="false" ht="15" hidden="false" customHeight="true" outlineLevel="0" collapsed="false">
      <c r="A15" s="48" t="s">
        <v>849</v>
      </c>
      <c r="B15" s="48" t="s">
        <v>848</v>
      </c>
      <c r="C15" s="48" t="s">
        <v>24</v>
      </c>
      <c r="D15" s="48" t="s">
        <v>37</v>
      </c>
      <c r="E15" s="48" t="n">
        <v>95</v>
      </c>
      <c r="F15" s="48" t="n">
        <v>72</v>
      </c>
      <c r="G15" s="48" t="n">
        <v>0</v>
      </c>
      <c r="H15" s="38" t="s">
        <v>172</v>
      </c>
      <c r="I15" s="38" t="s">
        <v>171</v>
      </c>
      <c r="J15" s="38" t="s">
        <v>171</v>
      </c>
      <c r="K15" s="38" t="s">
        <v>170</v>
      </c>
      <c r="L15" s="38" t="s">
        <v>171</v>
      </c>
      <c r="M15" s="38" t="s">
        <v>171</v>
      </c>
      <c r="N15" s="38" t="s">
        <v>172</v>
      </c>
      <c r="O15" s="38" t="s">
        <v>171</v>
      </c>
      <c r="P15" s="38" t="s">
        <v>172</v>
      </c>
      <c r="Q15" s="38" t="s">
        <v>171</v>
      </c>
      <c r="R15" s="38" t="s">
        <v>172</v>
      </c>
      <c r="S15" s="38" t="s">
        <v>169</v>
      </c>
      <c r="T15" s="38" t="s">
        <v>171</v>
      </c>
      <c r="U15" s="38" t="s">
        <v>171</v>
      </c>
      <c r="V15" s="38" t="s">
        <v>169</v>
      </c>
      <c r="W15" s="38" t="s">
        <v>171</v>
      </c>
      <c r="X15" s="38" t="s">
        <v>172</v>
      </c>
      <c r="Y15" s="38" t="s">
        <v>169</v>
      </c>
      <c r="Z15" s="38" t="s">
        <v>169</v>
      </c>
      <c r="AA15" s="38" t="s">
        <v>171</v>
      </c>
      <c r="AB15" s="38" t="s">
        <v>172</v>
      </c>
      <c r="AC15" s="38" t="s">
        <v>172</v>
      </c>
      <c r="AD15" s="38" t="s">
        <v>171</v>
      </c>
      <c r="AE15" s="38" t="s">
        <v>171</v>
      </c>
      <c r="AF15" s="38" t="s">
        <v>172</v>
      </c>
      <c r="AG15" s="38" t="s">
        <v>171</v>
      </c>
      <c r="AH15" s="38" t="s">
        <v>169</v>
      </c>
      <c r="AI15" s="38" t="s">
        <v>172</v>
      </c>
      <c r="AJ15" s="38" t="s">
        <v>171</v>
      </c>
      <c r="AK15" s="38" t="s">
        <v>171</v>
      </c>
      <c r="AL15" s="38" t="s">
        <v>171</v>
      </c>
      <c r="AM15" s="38" t="s">
        <v>171</v>
      </c>
      <c r="AN15" s="38" t="s">
        <v>171</v>
      </c>
      <c r="AO15" s="38" t="s">
        <v>171</v>
      </c>
      <c r="AP15" s="38" t="s">
        <v>171</v>
      </c>
      <c r="AQ15" s="38" t="s">
        <v>172</v>
      </c>
      <c r="AR15" s="38" t="s">
        <v>170</v>
      </c>
      <c r="AS15" s="38" t="s">
        <v>172</v>
      </c>
      <c r="AT15" s="38" t="s">
        <v>172</v>
      </c>
      <c r="AU15" s="38" t="s">
        <v>172</v>
      </c>
      <c r="AV15" s="38" t="s">
        <v>170</v>
      </c>
      <c r="AW15" s="38" t="s">
        <v>171</v>
      </c>
      <c r="AX15" s="38" t="s">
        <v>170</v>
      </c>
      <c r="AY15" s="38" t="s">
        <v>172</v>
      </c>
      <c r="AZ15" s="38" t="s">
        <v>169</v>
      </c>
      <c r="BA15" s="38" t="s">
        <v>169</v>
      </c>
      <c r="BB15" s="38" t="s">
        <v>172</v>
      </c>
      <c r="BC15" s="38" t="s">
        <v>170</v>
      </c>
      <c r="BD15" s="38" t="s">
        <v>171</v>
      </c>
      <c r="BE15" s="38" t="s">
        <v>170</v>
      </c>
      <c r="BF15" s="38" t="s">
        <v>172</v>
      </c>
      <c r="BG15" s="38" t="s">
        <v>169</v>
      </c>
      <c r="BH15" s="38" t="s">
        <v>169</v>
      </c>
      <c r="BI15" s="38" t="s">
        <v>172</v>
      </c>
      <c r="BJ15" s="38" t="s">
        <v>171</v>
      </c>
      <c r="BK15" s="38" t="s">
        <v>170</v>
      </c>
      <c r="BL15" s="38" t="s">
        <v>172</v>
      </c>
      <c r="BM15" s="38" t="s">
        <v>171</v>
      </c>
      <c r="BN15" s="38" t="s">
        <v>172</v>
      </c>
      <c r="BO15" s="38" t="s">
        <v>171</v>
      </c>
      <c r="BP15" s="38" t="s">
        <v>170</v>
      </c>
      <c r="BQ15" s="38" t="s">
        <v>171</v>
      </c>
      <c r="BR15" s="38" t="s">
        <v>171</v>
      </c>
      <c r="BS15" s="38" t="s">
        <v>169</v>
      </c>
      <c r="BT15" s="38" t="s">
        <v>172</v>
      </c>
      <c r="BU15" s="38" t="s">
        <v>171</v>
      </c>
      <c r="BV15" s="38" t="s">
        <v>169</v>
      </c>
      <c r="BW15" s="38" t="s">
        <v>172</v>
      </c>
      <c r="BX15" s="38" t="s">
        <v>169</v>
      </c>
      <c r="BY15" s="38" t="s">
        <v>169</v>
      </c>
      <c r="BZ15" s="38" t="s">
        <v>172</v>
      </c>
      <c r="CA15" s="38" t="s">
        <v>171</v>
      </c>
    </row>
    <row r="16" customFormat="false" ht="15" hidden="false" customHeight="true" outlineLevel="0" collapsed="false">
      <c r="A16" s="48" t="s">
        <v>850</v>
      </c>
      <c r="B16" s="48" t="s">
        <v>848</v>
      </c>
      <c r="C16" s="48" t="s">
        <v>24</v>
      </c>
      <c r="D16" s="48" t="s">
        <v>37</v>
      </c>
      <c r="E16" s="48" t="n">
        <v>86</v>
      </c>
      <c r="F16" s="48" t="n">
        <v>71</v>
      </c>
      <c r="G16" s="48" t="n">
        <v>1</v>
      </c>
      <c r="H16" s="38" t="s">
        <v>169</v>
      </c>
      <c r="I16" s="38" t="s">
        <v>172</v>
      </c>
      <c r="J16" s="38" t="s">
        <v>169</v>
      </c>
      <c r="K16" s="38" t="s">
        <v>171</v>
      </c>
      <c r="L16" s="38" t="s">
        <v>171</v>
      </c>
      <c r="M16" s="38" t="s">
        <v>169</v>
      </c>
      <c r="N16" s="38" t="s">
        <v>172</v>
      </c>
      <c r="O16" s="38" t="s">
        <v>171</v>
      </c>
      <c r="P16" s="38" t="s">
        <v>169</v>
      </c>
      <c r="Q16" s="38" t="s">
        <v>171</v>
      </c>
      <c r="R16" s="38" t="s">
        <v>172</v>
      </c>
      <c r="S16" s="38" t="s">
        <v>171</v>
      </c>
      <c r="T16" s="38" t="s">
        <v>169</v>
      </c>
      <c r="U16" s="38" t="s">
        <v>172</v>
      </c>
      <c r="V16" s="38" t="s">
        <v>172</v>
      </c>
      <c r="W16" s="40" t="s">
        <v>176</v>
      </c>
      <c r="X16" s="38" t="s">
        <v>172</v>
      </c>
      <c r="Y16" s="38" t="s">
        <v>169</v>
      </c>
      <c r="Z16" s="38" t="s">
        <v>169</v>
      </c>
      <c r="AA16" s="38" t="s">
        <v>172</v>
      </c>
      <c r="AB16" s="38" t="s">
        <v>172</v>
      </c>
      <c r="AC16" s="38" t="s">
        <v>171</v>
      </c>
      <c r="AD16" s="38" t="s">
        <v>172</v>
      </c>
      <c r="AE16" s="38" t="s">
        <v>171</v>
      </c>
      <c r="AF16" s="38" t="s">
        <v>172</v>
      </c>
      <c r="AG16" s="38" t="s">
        <v>171</v>
      </c>
      <c r="AH16" s="38" t="s">
        <v>169</v>
      </c>
      <c r="AI16" s="38" t="s">
        <v>171</v>
      </c>
      <c r="AJ16" s="38" t="s">
        <v>169</v>
      </c>
      <c r="AK16" s="38" t="s">
        <v>169</v>
      </c>
      <c r="AL16" s="38" t="s">
        <v>172</v>
      </c>
      <c r="AM16" s="38" t="s">
        <v>170</v>
      </c>
      <c r="AN16" s="38" t="s">
        <v>171</v>
      </c>
      <c r="AO16" s="38" t="s">
        <v>171</v>
      </c>
      <c r="AP16" s="38" t="s">
        <v>171</v>
      </c>
      <c r="AQ16" s="38" t="s">
        <v>172</v>
      </c>
      <c r="AR16" s="38" t="s">
        <v>170</v>
      </c>
      <c r="AS16" s="38" t="s">
        <v>169</v>
      </c>
      <c r="AT16" s="38" t="s">
        <v>171</v>
      </c>
      <c r="AU16" s="38" t="s">
        <v>171</v>
      </c>
      <c r="AV16" s="38" t="s">
        <v>171</v>
      </c>
      <c r="AW16" s="38" t="s">
        <v>172</v>
      </c>
      <c r="AX16" s="38" t="s">
        <v>170</v>
      </c>
      <c r="AY16" s="38" t="s">
        <v>171</v>
      </c>
      <c r="AZ16" s="38" t="s">
        <v>170</v>
      </c>
      <c r="BA16" s="38" t="s">
        <v>171</v>
      </c>
      <c r="BB16" s="38" t="s">
        <v>171</v>
      </c>
      <c r="BC16" s="38" t="s">
        <v>171</v>
      </c>
      <c r="BD16" s="38" t="s">
        <v>171</v>
      </c>
      <c r="BE16" s="38" t="s">
        <v>171</v>
      </c>
      <c r="BF16" s="38" t="s">
        <v>171</v>
      </c>
      <c r="BG16" s="38" t="s">
        <v>171</v>
      </c>
      <c r="BH16" s="38" t="s">
        <v>169</v>
      </c>
      <c r="BI16" s="38" t="s">
        <v>171</v>
      </c>
      <c r="BJ16" s="38" t="s">
        <v>171</v>
      </c>
      <c r="BK16" s="38" t="s">
        <v>170</v>
      </c>
      <c r="BL16" s="38" t="s">
        <v>171</v>
      </c>
      <c r="BM16" s="38" t="s">
        <v>172</v>
      </c>
      <c r="BN16" s="38" t="s">
        <v>171</v>
      </c>
      <c r="BO16" s="38" t="s">
        <v>170</v>
      </c>
      <c r="BP16" s="38" t="s">
        <v>170</v>
      </c>
      <c r="BQ16" s="38" t="s">
        <v>172</v>
      </c>
      <c r="BR16" s="38" t="s">
        <v>169</v>
      </c>
      <c r="BS16" s="38" t="s">
        <v>169</v>
      </c>
      <c r="BT16" s="38" t="s">
        <v>172</v>
      </c>
      <c r="BU16" s="38" t="s">
        <v>171</v>
      </c>
      <c r="BV16" s="38" t="s">
        <v>170</v>
      </c>
      <c r="BW16" s="38" t="s">
        <v>171</v>
      </c>
      <c r="BX16" s="38" t="s">
        <v>172</v>
      </c>
      <c r="BY16" s="38" t="s">
        <v>170</v>
      </c>
      <c r="BZ16" s="38" t="s">
        <v>171</v>
      </c>
      <c r="CA16" s="38" t="s">
        <v>171</v>
      </c>
    </row>
    <row r="17" customFormat="false" ht="15" hidden="false" customHeight="true" outlineLevel="0" collapsed="false">
      <c r="A17" s="48" t="s">
        <v>851</v>
      </c>
      <c r="B17" s="48" t="s">
        <v>848</v>
      </c>
      <c r="C17" s="48" t="s">
        <v>24</v>
      </c>
      <c r="D17" s="48" t="s">
        <v>25</v>
      </c>
      <c r="E17" s="48" t="n">
        <v>85</v>
      </c>
      <c r="F17" s="48" t="n">
        <v>71</v>
      </c>
      <c r="G17" s="48" t="n">
        <v>1</v>
      </c>
      <c r="H17" s="38" t="s">
        <v>171</v>
      </c>
      <c r="I17" s="38" t="s">
        <v>171</v>
      </c>
      <c r="J17" s="38" t="s">
        <v>171</v>
      </c>
      <c r="K17" s="38" t="s">
        <v>172</v>
      </c>
      <c r="L17" s="38" t="s">
        <v>169</v>
      </c>
      <c r="M17" s="38" t="s">
        <v>172</v>
      </c>
      <c r="N17" s="38" t="s">
        <v>171</v>
      </c>
      <c r="O17" s="38" t="s">
        <v>171</v>
      </c>
      <c r="P17" s="38" t="s">
        <v>172</v>
      </c>
      <c r="Q17" s="38" t="s">
        <v>171</v>
      </c>
      <c r="R17" s="38" t="s">
        <v>169</v>
      </c>
      <c r="S17" s="38" t="s">
        <v>171</v>
      </c>
      <c r="T17" s="38" t="s">
        <v>169</v>
      </c>
      <c r="U17" s="38" t="s">
        <v>169</v>
      </c>
      <c r="V17" s="38" t="s">
        <v>171</v>
      </c>
      <c r="W17" s="40" t="s">
        <v>176</v>
      </c>
      <c r="X17" s="38" t="s">
        <v>172</v>
      </c>
      <c r="Y17" s="38" t="s">
        <v>169</v>
      </c>
      <c r="Z17" s="38" t="s">
        <v>169</v>
      </c>
      <c r="AA17" s="38" t="s">
        <v>171</v>
      </c>
      <c r="AB17" s="38" t="s">
        <v>171</v>
      </c>
      <c r="AC17" s="38" t="s">
        <v>169</v>
      </c>
      <c r="AD17" s="38" t="s">
        <v>169</v>
      </c>
      <c r="AE17" s="38" t="s">
        <v>171</v>
      </c>
      <c r="AF17" s="38" t="s">
        <v>169</v>
      </c>
      <c r="AG17" s="38" t="s">
        <v>171</v>
      </c>
      <c r="AH17" s="38" t="s">
        <v>171</v>
      </c>
      <c r="AI17" s="38" t="s">
        <v>169</v>
      </c>
      <c r="AJ17" s="38" t="s">
        <v>171</v>
      </c>
      <c r="AK17" s="38" t="s">
        <v>171</v>
      </c>
      <c r="AL17" s="38" t="s">
        <v>171</v>
      </c>
      <c r="AM17" s="38" t="s">
        <v>171</v>
      </c>
      <c r="AN17" s="38" t="s">
        <v>171</v>
      </c>
      <c r="AO17" s="38" t="s">
        <v>170</v>
      </c>
      <c r="AP17" s="38" t="s">
        <v>171</v>
      </c>
      <c r="AQ17" s="38" t="s">
        <v>172</v>
      </c>
      <c r="AR17" s="38" t="s">
        <v>172</v>
      </c>
      <c r="AS17" s="38" t="s">
        <v>169</v>
      </c>
      <c r="AT17" s="38" t="s">
        <v>169</v>
      </c>
      <c r="AU17" s="38" t="s">
        <v>171</v>
      </c>
      <c r="AV17" s="38" t="s">
        <v>172</v>
      </c>
      <c r="AW17" s="38" t="s">
        <v>170</v>
      </c>
      <c r="AX17" s="38" t="s">
        <v>172</v>
      </c>
      <c r="AY17" s="38" t="s">
        <v>172</v>
      </c>
      <c r="AZ17" s="38" t="s">
        <v>170</v>
      </c>
      <c r="BA17" s="38" t="s">
        <v>171</v>
      </c>
      <c r="BB17" s="38" t="s">
        <v>172</v>
      </c>
      <c r="BC17" s="38" t="s">
        <v>172</v>
      </c>
      <c r="BD17" s="38" t="s">
        <v>171</v>
      </c>
      <c r="BE17" s="38" t="s">
        <v>169</v>
      </c>
      <c r="BF17" s="38" t="s">
        <v>172</v>
      </c>
      <c r="BG17" s="38" t="s">
        <v>172</v>
      </c>
      <c r="BH17" s="38" t="s">
        <v>169</v>
      </c>
      <c r="BI17" s="38" t="s">
        <v>171</v>
      </c>
      <c r="BJ17" s="38" t="s">
        <v>171</v>
      </c>
      <c r="BK17" s="38" t="s">
        <v>170</v>
      </c>
      <c r="BL17" s="38" t="s">
        <v>170</v>
      </c>
      <c r="BM17" s="38" t="s">
        <v>170</v>
      </c>
      <c r="BN17" s="38" t="s">
        <v>171</v>
      </c>
      <c r="BO17" s="38" t="s">
        <v>171</v>
      </c>
      <c r="BP17" s="38" t="s">
        <v>170</v>
      </c>
      <c r="BQ17" s="38" t="s">
        <v>171</v>
      </c>
      <c r="BR17" s="38" t="s">
        <v>171</v>
      </c>
      <c r="BS17" s="38" t="s">
        <v>170</v>
      </c>
      <c r="BT17" s="38" t="s">
        <v>172</v>
      </c>
      <c r="BU17" s="38" t="s">
        <v>172</v>
      </c>
      <c r="BV17" s="38" t="s">
        <v>171</v>
      </c>
      <c r="BW17" s="38" t="s">
        <v>170</v>
      </c>
      <c r="BX17" s="38" t="s">
        <v>171</v>
      </c>
      <c r="BY17" s="38" t="s">
        <v>169</v>
      </c>
      <c r="BZ17" s="38" t="s">
        <v>172</v>
      </c>
      <c r="CA17" s="38" t="s">
        <v>172</v>
      </c>
    </row>
    <row r="18" customFormat="false" ht="15" hidden="false" customHeight="true" outlineLevel="0" collapsed="false">
      <c r="A18" s="48" t="s">
        <v>852</v>
      </c>
      <c r="B18" s="48" t="s">
        <v>848</v>
      </c>
      <c r="C18" s="48" t="s">
        <v>24</v>
      </c>
      <c r="D18" s="48" t="s">
        <v>25</v>
      </c>
      <c r="E18" s="48" t="n">
        <v>86</v>
      </c>
      <c r="F18" s="48" t="n">
        <v>72</v>
      </c>
      <c r="G18" s="48" t="n">
        <v>0</v>
      </c>
      <c r="H18" s="38" t="s">
        <v>171</v>
      </c>
      <c r="I18" s="38" t="s">
        <v>171</v>
      </c>
      <c r="J18" s="38" t="s">
        <v>170</v>
      </c>
      <c r="K18" s="38" t="s">
        <v>171</v>
      </c>
      <c r="L18" s="38" t="s">
        <v>171</v>
      </c>
      <c r="M18" s="38" t="s">
        <v>172</v>
      </c>
      <c r="N18" s="38" t="s">
        <v>171</v>
      </c>
      <c r="O18" s="38" t="s">
        <v>171</v>
      </c>
      <c r="P18" s="38" t="s">
        <v>170</v>
      </c>
      <c r="Q18" s="38" t="s">
        <v>171</v>
      </c>
      <c r="R18" s="38" t="s">
        <v>171</v>
      </c>
      <c r="S18" s="38" t="s">
        <v>169</v>
      </c>
      <c r="T18" s="38" t="s">
        <v>172</v>
      </c>
      <c r="U18" s="38" t="s">
        <v>172</v>
      </c>
      <c r="V18" s="38" t="s">
        <v>172</v>
      </c>
      <c r="W18" s="38" t="s">
        <v>172</v>
      </c>
      <c r="X18" s="38" t="s">
        <v>172</v>
      </c>
      <c r="Y18" s="38" t="s">
        <v>169</v>
      </c>
      <c r="Z18" s="38" t="s">
        <v>169</v>
      </c>
      <c r="AA18" s="38" t="s">
        <v>171</v>
      </c>
      <c r="AB18" s="38" t="s">
        <v>169</v>
      </c>
      <c r="AC18" s="38" t="s">
        <v>171</v>
      </c>
      <c r="AD18" s="38" t="s">
        <v>170</v>
      </c>
      <c r="AE18" s="38" t="s">
        <v>172</v>
      </c>
      <c r="AF18" s="38" t="s">
        <v>169</v>
      </c>
      <c r="AG18" s="38" t="s">
        <v>170</v>
      </c>
      <c r="AH18" s="38" t="s">
        <v>172</v>
      </c>
      <c r="AI18" s="38" t="s">
        <v>171</v>
      </c>
      <c r="AJ18" s="38" t="s">
        <v>172</v>
      </c>
      <c r="AK18" s="38" t="s">
        <v>171</v>
      </c>
      <c r="AL18" s="38" t="s">
        <v>171</v>
      </c>
      <c r="AM18" s="38" t="s">
        <v>169</v>
      </c>
      <c r="AN18" s="38" t="s">
        <v>171</v>
      </c>
      <c r="AO18" s="38" t="s">
        <v>171</v>
      </c>
      <c r="AP18" s="38" t="s">
        <v>171</v>
      </c>
      <c r="AQ18" s="38" t="s">
        <v>172</v>
      </c>
      <c r="AR18" s="38" t="s">
        <v>172</v>
      </c>
      <c r="AS18" s="38" t="s">
        <v>170</v>
      </c>
      <c r="AT18" s="38" t="s">
        <v>172</v>
      </c>
      <c r="AU18" s="38" t="s">
        <v>169</v>
      </c>
      <c r="AV18" s="38" t="s">
        <v>171</v>
      </c>
      <c r="AW18" s="38" t="s">
        <v>169</v>
      </c>
      <c r="AX18" s="38" t="s">
        <v>171</v>
      </c>
      <c r="AY18" s="38" t="s">
        <v>172</v>
      </c>
      <c r="AZ18" s="38" t="s">
        <v>169</v>
      </c>
      <c r="BA18" s="38" t="s">
        <v>172</v>
      </c>
      <c r="BB18" s="38" t="s">
        <v>172</v>
      </c>
      <c r="BC18" s="38" t="s">
        <v>171</v>
      </c>
      <c r="BD18" s="38" t="s">
        <v>172</v>
      </c>
      <c r="BE18" s="38" t="s">
        <v>172</v>
      </c>
      <c r="BF18" s="38" t="s">
        <v>171</v>
      </c>
      <c r="BG18" s="38" t="s">
        <v>171</v>
      </c>
      <c r="BH18" s="38" t="s">
        <v>169</v>
      </c>
      <c r="BI18" s="38" t="s">
        <v>171</v>
      </c>
      <c r="BJ18" s="38" t="s">
        <v>171</v>
      </c>
      <c r="BK18" s="38" t="s">
        <v>170</v>
      </c>
      <c r="BL18" s="38" t="s">
        <v>169</v>
      </c>
      <c r="BM18" s="38" t="s">
        <v>169</v>
      </c>
      <c r="BN18" s="38" t="s">
        <v>172</v>
      </c>
      <c r="BO18" s="38" t="s">
        <v>172</v>
      </c>
      <c r="BP18" s="38" t="s">
        <v>170</v>
      </c>
      <c r="BQ18" s="38" t="s">
        <v>172</v>
      </c>
      <c r="BR18" s="38" t="s">
        <v>169</v>
      </c>
      <c r="BS18" s="38" t="s">
        <v>171</v>
      </c>
      <c r="BT18" s="38" t="s">
        <v>171</v>
      </c>
      <c r="BU18" s="38" t="s">
        <v>172</v>
      </c>
      <c r="BV18" s="38" t="s">
        <v>171</v>
      </c>
      <c r="BW18" s="38" t="s">
        <v>169</v>
      </c>
      <c r="BX18" s="38" t="s">
        <v>172</v>
      </c>
      <c r="BY18" s="38" t="s">
        <v>169</v>
      </c>
      <c r="BZ18" s="38" t="s">
        <v>171</v>
      </c>
      <c r="CA18" s="38" t="s">
        <v>172</v>
      </c>
    </row>
    <row r="19" customFormat="false" ht="15" hidden="false" customHeight="true" outlineLevel="0" collapsed="false">
      <c r="A19" s="48" t="s">
        <v>853</v>
      </c>
      <c r="B19" s="48" t="s">
        <v>848</v>
      </c>
      <c r="C19" s="48" t="s">
        <v>24</v>
      </c>
      <c r="D19" s="48" t="s">
        <v>25</v>
      </c>
      <c r="E19" s="48" t="n">
        <v>92</v>
      </c>
      <c r="F19" s="48" t="n">
        <v>72</v>
      </c>
      <c r="G19" s="48" t="n">
        <v>0</v>
      </c>
      <c r="H19" s="38" t="s">
        <v>170</v>
      </c>
      <c r="I19" s="38" t="s">
        <v>171</v>
      </c>
      <c r="J19" s="38" t="s">
        <v>172</v>
      </c>
      <c r="K19" s="38" t="s">
        <v>169</v>
      </c>
      <c r="L19" s="38" t="s">
        <v>171</v>
      </c>
      <c r="M19" s="38" t="s">
        <v>170</v>
      </c>
      <c r="N19" s="38" t="s">
        <v>172</v>
      </c>
      <c r="O19" s="38" t="s">
        <v>171</v>
      </c>
      <c r="P19" s="38" t="s">
        <v>169</v>
      </c>
      <c r="Q19" s="38" t="s">
        <v>172</v>
      </c>
      <c r="R19" s="38" t="s">
        <v>171</v>
      </c>
      <c r="S19" s="38" t="s">
        <v>170</v>
      </c>
      <c r="T19" s="38" t="s">
        <v>171</v>
      </c>
      <c r="U19" s="38" t="s">
        <v>169</v>
      </c>
      <c r="V19" s="38" t="s">
        <v>171</v>
      </c>
      <c r="W19" s="38" t="s">
        <v>172</v>
      </c>
      <c r="X19" s="38" t="s">
        <v>172</v>
      </c>
      <c r="Y19" s="38" t="s">
        <v>169</v>
      </c>
      <c r="Z19" s="38" t="s">
        <v>169</v>
      </c>
      <c r="AA19" s="38" t="s">
        <v>170</v>
      </c>
      <c r="AB19" s="38" t="s">
        <v>172</v>
      </c>
      <c r="AC19" s="38" t="s">
        <v>172</v>
      </c>
      <c r="AD19" s="38" t="s">
        <v>169</v>
      </c>
      <c r="AE19" s="38" t="s">
        <v>172</v>
      </c>
      <c r="AF19" s="38" t="s">
        <v>171</v>
      </c>
      <c r="AG19" s="38" t="s">
        <v>172</v>
      </c>
      <c r="AH19" s="38" t="s">
        <v>171</v>
      </c>
      <c r="AI19" s="38" t="s">
        <v>171</v>
      </c>
      <c r="AJ19" s="38" t="s">
        <v>171</v>
      </c>
      <c r="AK19" s="38" t="s">
        <v>172</v>
      </c>
      <c r="AL19" s="38" t="s">
        <v>171</v>
      </c>
      <c r="AM19" s="38" t="s">
        <v>172</v>
      </c>
      <c r="AN19" s="38" t="s">
        <v>170</v>
      </c>
      <c r="AO19" s="38" t="s">
        <v>170</v>
      </c>
      <c r="AP19" s="38" t="s">
        <v>171</v>
      </c>
      <c r="AQ19" s="38" t="s">
        <v>172</v>
      </c>
      <c r="AR19" s="38" t="s">
        <v>169</v>
      </c>
      <c r="AS19" s="38" t="s">
        <v>171</v>
      </c>
      <c r="AT19" s="38" t="s">
        <v>169</v>
      </c>
      <c r="AU19" s="38" t="s">
        <v>171</v>
      </c>
      <c r="AV19" s="38" t="s">
        <v>172</v>
      </c>
      <c r="AW19" s="38" t="s">
        <v>171</v>
      </c>
      <c r="AX19" s="38" t="s">
        <v>172</v>
      </c>
      <c r="AY19" s="38" t="s">
        <v>169</v>
      </c>
      <c r="AZ19" s="38" t="s">
        <v>172</v>
      </c>
      <c r="BA19" s="38" t="s">
        <v>172</v>
      </c>
      <c r="BB19" s="38" t="s">
        <v>169</v>
      </c>
      <c r="BC19" s="38" t="s">
        <v>172</v>
      </c>
      <c r="BD19" s="38" t="s">
        <v>172</v>
      </c>
      <c r="BE19" s="38" t="s">
        <v>169</v>
      </c>
      <c r="BF19" s="38" t="s">
        <v>172</v>
      </c>
      <c r="BG19" s="38" t="s">
        <v>172</v>
      </c>
      <c r="BH19" s="38" t="s">
        <v>169</v>
      </c>
      <c r="BI19" s="38" t="s">
        <v>171</v>
      </c>
      <c r="BJ19" s="38" t="s">
        <v>170</v>
      </c>
      <c r="BK19" s="38" t="s">
        <v>170</v>
      </c>
      <c r="BL19" s="38" t="s">
        <v>171</v>
      </c>
      <c r="BM19" s="38" t="s">
        <v>172</v>
      </c>
      <c r="BN19" s="38" t="s">
        <v>169</v>
      </c>
      <c r="BO19" s="38" t="s">
        <v>171</v>
      </c>
      <c r="BP19" s="38" t="s">
        <v>170</v>
      </c>
      <c r="BQ19" s="38" t="s">
        <v>171</v>
      </c>
      <c r="BR19" s="38" t="s">
        <v>171</v>
      </c>
      <c r="BS19" s="38" t="s">
        <v>171</v>
      </c>
      <c r="BT19" s="38" t="s">
        <v>171</v>
      </c>
      <c r="BU19" s="38" t="s">
        <v>171</v>
      </c>
      <c r="BV19" s="38" t="s">
        <v>170</v>
      </c>
      <c r="BW19" s="38" t="s">
        <v>172</v>
      </c>
      <c r="BX19" s="38" t="s">
        <v>171</v>
      </c>
      <c r="BY19" s="38" t="s">
        <v>171</v>
      </c>
      <c r="BZ19" s="38" t="s">
        <v>172</v>
      </c>
      <c r="CA19" s="38" t="s">
        <v>169</v>
      </c>
    </row>
    <row r="20" customFormat="false" ht="15" hidden="false" customHeight="true" outlineLevel="0" collapsed="false">
      <c r="A20" s="48" t="s">
        <v>854</v>
      </c>
      <c r="B20" s="48" t="s">
        <v>848</v>
      </c>
      <c r="C20" s="48" t="s">
        <v>24</v>
      </c>
      <c r="D20" s="48" t="s">
        <v>37</v>
      </c>
      <c r="E20" s="48" t="n">
        <v>77</v>
      </c>
      <c r="F20" s="48" t="n">
        <v>72</v>
      </c>
      <c r="G20" s="48" t="n">
        <v>0</v>
      </c>
      <c r="H20" s="38" t="s">
        <v>171</v>
      </c>
      <c r="I20" s="38" t="s">
        <v>171</v>
      </c>
      <c r="J20" s="38" t="s">
        <v>171</v>
      </c>
      <c r="K20" s="38" t="s">
        <v>172</v>
      </c>
      <c r="L20" s="38" t="s">
        <v>172</v>
      </c>
      <c r="M20" s="38" t="s">
        <v>171</v>
      </c>
      <c r="N20" s="38" t="s">
        <v>169</v>
      </c>
      <c r="O20" s="38" t="s">
        <v>171</v>
      </c>
      <c r="P20" s="38" t="s">
        <v>172</v>
      </c>
      <c r="Q20" s="38" t="s">
        <v>169</v>
      </c>
      <c r="R20" s="38" t="s">
        <v>171</v>
      </c>
      <c r="S20" s="38" t="s">
        <v>171</v>
      </c>
      <c r="T20" s="38" t="s">
        <v>171</v>
      </c>
      <c r="U20" s="38" t="s">
        <v>172</v>
      </c>
      <c r="V20" s="38" t="s">
        <v>171</v>
      </c>
      <c r="W20" s="38" t="s">
        <v>172</v>
      </c>
      <c r="X20" s="38" t="s">
        <v>172</v>
      </c>
      <c r="Y20" s="38" t="s">
        <v>169</v>
      </c>
      <c r="Z20" s="38" t="s">
        <v>169</v>
      </c>
      <c r="AA20" s="38" t="s">
        <v>169</v>
      </c>
      <c r="AB20" s="38" t="s">
        <v>171</v>
      </c>
      <c r="AC20" s="38" t="s">
        <v>169</v>
      </c>
      <c r="AD20" s="38" t="s">
        <v>172</v>
      </c>
      <c r="AE20" s="38" t="s">
        <v>172</v>
      </c>
      <c r="AF20" s="38" t="s">
        <v>171</v>
      </c>
      <c r="AG20" s="38" t="s">
        <v>169</v>
      </c>
      <c r="AH20" s="38" t="s">
        <v>171</v>
      </c>
      <c r="AI20" s="38" t="s">
        <v>171</v>
      </c>
      <c r="AJ20" s="38" t="s">
        <v>171</v>
      </c>
      <c r="AK20" s="38" t="s">
        <v>171</v>
      </c>
      <c r="AL20" s="38" t="s">
        <v>172</v>
      </c>
      <c r="AM20" s="38" t="s">
        <v>171</v>
      </c>
      <c r="AN20" s="38" t="s">
        <v>171</v>
      </c>
      <c r="AO20" s="38" t="s">
        <v>171</v>
      </c>
      <c r="AP20" s="38" t="s">
        <v>171</v>
      </c>
      <c r="AQ20" s="38" t="s">
        <v>172</v>
      </c>
      <c r="AR20" s="38" t="s">
        <v>169</v>
      </c>
      <c r="AS20" s="38" t="s">
        <v>172</v>
      </c>
      <c r="AT20" s="38" t="s">
        <v>171</v>
      </c>
      <c r="AU20" s="38" t="s">
        <v>172</v>
      </c>
      <c r="AV20" s="38" t="s">
        <v>172</v>
      </c>
      <c r="AW20" s="38" t="s">
        <v>172</v>
      </c>
      <c r="AX20" s="38" t="s">
        <v>170</v>
      </c>
      <c r="AY20" s="38" t="s">
        <v>171</v>
      </c>
      <c r="AZ20" s="38" t="s">
        <v>170</v>
      </c>
      <c r="BA20" s="38" t="s">
        <v>172</v>
      </c>
      <c r="BB20" s="38" t="s">
        <v>170</v>
      </c>
      <c r="BC20" s="38" t="s">
        <v>169</v>
      </c>
      <c r="BD20" s="38" t="s">
        <v>170</v>
      </c>
      <c r="BE20" s="38" t="s">
        <v>172</v>
      </c>
      <c r="BF20" s="38" t="s">
        <v>171</v>
      </c>
      <c r="BG20" s="38" t="s">
        <v>171</v>
      </c>
      <c r="BH20" s="38" t="s">
        <v>169</v>
      </c>
      <c r="BI20" s="38" t="s">
        <v>171</v>
      </c>
      <c r="BJ20" s="38" t="s">
        <v>171</v>
      </c>
      <c r="BK20" s="38" t="s">
        <v>170</v>
      </c>
      <c r="BL20" s="38" t="s">
        <v>171</v>
      </c>
      <c r="BM20" s="38" t="s">
        <v>172</v>
      </c>
      <c r="BN20" s="38" t="s">
        <v>172</v>
      </c>
      <c r="BO20" s="38" t="s">
        <v>169</v>
      </c>
      <c r="BP20" s="38" t="s">
        <v>170</v>
      </c>
      <c r="BQ20" s="38" t="s">
        <v>169</v>
      </c>
      <c r="BR20" s="38" t="s">
        <v>172</v>
      </c>
      <c r="BS20" s="38" t="s">
        <v>170</v>
      </c>
      <c r="BT20" s="38" t="s">
        <v>169</v>
      </c>
      <c r="BU20" s="38" t="s">
        <v>170</v>
      </c>
      <c r="BV20" s="38" t="s">
        <v>172</v>
      </c>
      <c r="BW20" s="38" t="s">
        <v>171</v>
      </c>
      <c r="BX20" s="38" t="s">
        <v>171</v>
      </c>
      <c r="BY20" s="38" t="s">
        <v>172</v>
      </c>
      <c r="BZ20" s="38" t="s">
        <v>169</v>
      </c>
      <c r="CA20" s="38" t="s">
        <v>172</v>
      </c>
    </row>
    <row r="21" customFormat="false" ht="15" hidden="false" customHeight="true" outlineLevel="0" collapsed="false">
      <c r="A21" s="48" t="s">
        <v>855</v>
      </c>
      <c r="B21" s="48" t="s">
        <v>848</v>
      </c>
      <c r="C21" s="48" t="s">
        <v>24</v>
      </c>
      <c r="D21" s="48" t="s">
        <v>37</v>
      </c>
      <c r="E21" s="48" t="n">
        <v>71</v>
      </c>
      <c r="F21" s="48" t="n">
        <v>71</v>
      </c>
      <c r="G21" s="48" t="n">
        <v>1</v>
      </c>
      <c r="H21" s="38" t="s">
        <v>172</v>
      </c>
      <c r="I21" s="38" t="s">
        <v>171</v>
      </c>
      <c r="J21" s="38" t="s">
        <v>172</v>
      </c>
      <c r="K21" s="38" t="s">
        <v>171</v>
      </c>
      <c r="L21" s="38" t="s">
        <v>172</v>
      </c>
      <c r="M21" s="38" t="s">
        <v>172</v>
      </c>
      <c r="N21" s="38" t="s">
        <v>172</v>
      </c>
      <c r="O21" s="38" t="s">
        <v>171</v>
      </c>
      <c r="P21" s="38" t="s">
        <v>172</v>
      </c>
      <c r="Q21" s="38" t="s">
        <v>172</v>
      </c>
      <c r="R21" s="38" t="s">
        <v>172</v>
      </c>
      <c r="S21" s="38" t="s">
        <v>171</v>
      </c>
      <c r="T21" s="38" t="s">
        <v>171</v>
      </c>
      <c r="U21" s="38" t="s">
        <v>172</v>
      </c>
      <c r="V21" s="38" t="s">
        <v>170</v>
      </c>
      <c r="W21" s="38" t="s">
        <v>171</v>
      </c>
      <c r="X21" s="38" t="s">
        <v>170</v>
      </c>
      <c r="Y21" s="38" t="s">
        <v>169</v>
      </c>
      <c r="Z21" s="38" t="s">
        <v>169</v>
      </c>
      <c r="AA21" s="38" t="s">
        <v>172</v>
      </c>
      <c r="AB21" s="38" t="s">
        <v>172</v>
      </c>
      <c r="AC21" s="38" t="s">
        <v>169</v>
      </c>
      <c r="AD21" s="38" t="s">
        <v>169</v>
      </c>
      <c r="AE21" s="38" t="s">
        <v>169</v>
      </c>
      <c r="AF21" s="38" t="s">
        <v>171</v>
      </c>
      <c r="AG21" s="38" t="s">
        <v>171</v>
      </c>
      <c r="AH21" s="38" t="s">
        <v>172</v>
      </c>
      <c r="AI21" s="38" t="s">
        <v>171</v>
      </c>
      <c r="AJ21" s="38" t="s">
        <v>172</v>
      </c>
      <c r="AK21" s="38" t="s">
        <v>171</v>
      </c>
      <c r="AL21" s="38" t="s">
        <v>171</v>
      </c>
      <c r="AM21" s="38" t="s">
        <v>172</v>
      </c>
      <c r="AN21" s="38" t="s">
        <v>171</v>
      </c>
      <c r="AO21" s="38" t="s">
        <v>171</v>
      </c>
      <c r="AP21" s="38" t="s">
        <v>171</v>
      </c>
      <c r="AQ21" s="38" t="s">
        <v>172</v>
      </c>
      <c r="AR21" s="38" t="s">
        <v>172</v>
      </c>
      <c r="AS21" s="38" t="s">
        <v>171</v>
      </c>
      <c r="AT21" s="38" t="s">
        <v>172</v>
      </c>
      <c r="AU21" s="38" t="s">
        <v>172</v>
      </c>
      <c r="AV21" s="38" t="s">
        <v>171</v>
      </c>
      <c r="AW21" s="38" t="s">
        <v>169</v>
      </c>
      <c r="AX21" s="38" t="s">
        <v>171</v>
      </c>
      <c r="AY21" s="38" t="s">
        <v>172</v>
      </c>
      <c r="AZ21" s="38" t="s">
        <v>171</v>
      </c>
      <c r="BA21" s="40" t="s">
        <v>176</v>
      </c>
      <c r="BB21" s="38" t="s">
        <v>169</v>
      </c>
      <c r="BC21" s="38" t="s">
        <v>169</v>
      </c>
      <c r="BD21" s="38" t="s">
        <v>172</v>
      </c>
      <c r="BE21" s="38" t="s">
        <v>172</v>
      </c>
      <c r="BF21" s="38" t="s">
        <v>172</v>
      </c>
      <c r="BG21" s="38" t="s">
        <v>169</v>
      </c>
      <c r="BH21" s="38" t="s">
        <v>169</v>
      </c>
      <c r="BI21" s="38" t="s">
        <v>172</v>
      </c>
      <c r="BJ21" s="38" t="s">
        <v>171</v>
      </c>
      <c r="BK21" s="38" t="s">
        <v>170</v>
      </c>
      <c r="BL21" s="38" t="s">
        <v>169</v>
      </c>
      <c r="BM21" s="38" t="s">
        <v>171</v>
      </c>
      <c r="BN21" s="38" t="s">
        <v>170</v>
      </c>
      <c r="BO21" s="38" t="s">
        <v>171</v>
      </c>
      <c r="BP21" s="38" t="s">
        <v>170</v>
      </c>
      <c r="BQ21" s="38" t="s">
        <v>171</v>
      </c>
      <c r="BR21" s="38" t="s">
        <v>171</v>
      </c>
      <c r="BS21" s="38" t="s">
        <v>171</v>
      </c>
      <c r="BT21" s="38" t="s">
        <v>171</v>
      </c>
      <c r="BU21" s="38" t="s">
        <v>171</v>
      </c>
      <c r="BV21" s="38" t="s">
        <v>171</v>
      </c>
      <c r="BW21" s="38" t="s">
        <v>172</v>
      </c>
      <c r="BX21" s="38" t="s">
        <v>172</v>
      </c>
      <c r="BY21" s="38" t="s">
        <v>171</v>
      </c>
      <c r="BZ21" s="38" t="s">
        <v>172</v>
      </c>
      <c r="CA21" s="38" t="s">
        <v>171</v>
      </c>
    </row>
    <row r="22" customFormat="false" ht="15" hidden="false" customHeight="true" outlineLevel="0" collapsed="false">
      <c r="A22" s="48" t="s">
        <v>856</v>
      </c>
      <c r="B22" s="48" t="s">
        <v>848</v>
      </c>
      <c r="C22" s="48" t="s">
        <v>24</v>
      </c>
      <c r="D22" s="48" t="s">
        <v>25</v>
      </c>
      <c r="E22" s="48" t="n">
        <v>85</v>
      </c>
      <c r="F22" s="48" t="n">
        <v>72</v>
      </c>
      <c r="G22" s="48" t="n">
        <v>0</v>
      </c>
      <c r="H22" s="38" t="s">
        <v>170</v>
      </c>
      <c r="I22" s="38" t="s">
        <v>170</v>
      </c>
      <c r="J22" s="38" t="s">
        <v>171</v>
      </c>
      <c r="K22" s="38" t="s">
        <v>171</v>
      </c>
      <c r="L22" s="38" t="s">
        <v>171</v>
      </c>
      <c r="M22" s="38" t="s">
        <v>172</v>
      </c>
      <c r="N22" s="38" t="s">
        <v>171</v>
      </c>
      <c r="O22" s="38" t="s">
        <v>171</v>
      </c>
      <c r="P22" s="38" t="s">
        <v>172</v>
      </c>
      <c r="Q22" s="38" t="s">
        <v>172</v>
      </c>
      <c r="R22" s="38" t="s">
        <v>172</v>
      </c>
      <c r="S22" s="38" t="s">
        <v>169</v>
      </c>
      <c r="T22" s="38" t="s">
        <v>169</v>
      </c>
      <c r="U22" s="38" t="s">
        <v>171</v>
      </c>
      <c r="V22" s="38" t="s">
        <v>171</v>
      </c>
      <c r="W22" s="38" t="s">
        <v>171</v>
      </c>
      <c r="X22" s="38" t="s">
        <v>170</v>
      </c>
      <c r="Y22" s="38" t="s">
        <v>169</v>
      </c>
      <c r="Z22" s="38" t="s">
        <v>169</v>
      </c>
      <c r="AA22" s="38" t="s">
        <v>172</v>
      </c>
      <c r="AB22" s="38" t="s">
        <v>172</v>
      </c>
      <c r="AC22" s="38" t="s">
        <v>171</v>
      </c>
      <c r="AD22" s="38" t="s">
        <v>171</v>
      </c>
      <c r="AE22" s="38" t="s">
        <v>171</v>
      </c>
      <c r="AF22" s="38" t="s">
        <v>170</v>
      </c>
      <c r="AG22" s="38" t="s">
        <v>171</v>
      </c>
      <c r="AH22" s="38" t="s">
        <v>171</v>
      </c>
      <c r="AI22" s="38" t="s">
        <v>172</v>
      </c>
      <c r="AJ22" s="38" t="s">
        <v>172</v>
      </c>
      <c r="AK22" s="38" t="s">
        <v>171</v>
      </c>
      <c r="AL22" s="38" t="s">
        <v>172</v>
      </c>
      <c r="AM22" s="38" t="s">
        <v>171</v>
      </c>
      <c r="AN22" s="38" t="s">
        <v>171</v>
      </c>
      <c r="AO22" s="38" t="s">
        <v>170</v>
      </c>
      <c r="AP22" s="38" t="s">
        <v>171</v>
      </c>
      <c r="AQ22" s="38" t="s">
        <v>172</v>
      </c>
      <c r="AR22" s="38" t="s">
        <v>172</v>
      </c>
      <c r="AS22" s="38" t="s">
        <v>172</v>
      </c>
      <c r="AT22" s="38" t="s">
        <v>172</v>
      </c>
      <c r="AU22" s="38" t="s">
        <v>172</v>
      </c>
      <c r="AV22" s="38" t="s">
        <v>171</v>
      </c>
      <c r="AW22" s="38" t="s">
        <v>171</v>
      </c>
      <c r="AX22" s="38" t="s">
        <v>172</v>
      </c>
      <c r="AY22" s="38" t="s">
        <v>172</v>
      </c>
      <c r="AZ22" s="38" t="s">
        <v>169</v>
      </c>
      <c r="BA22" s="38" t="s">
        <v>171</v>
      </c>
      <c r="BB22" s="38" t="s">
        <v>171</v>
      </c>
      <c r="BC22" s="38" t="s">
        <v>169</v>
      </c>
      <c r="BD22" s="38" t="s">
        <v>171</v>
      </c>
      <c r="BE22" s="38" t="s">
        <v>171</v>
      </c>
      <c r="BF22" s="38" t="s">
        <v>171</v>
      </c>
      <c r="BG22" s="38" t="s">
        <v>170</v>
      </c>
      <c r="BH22" s="38" t="s">
        <v>169</v>
      </c>
      <c r="BI22" s="38" t="s">
        <v>172</v>
      </c>
      <c r="BJ22" s="38" t="s">
        <v>171</v>
      </c>
      <c r="BK22" s="38" t="s">
        <v>170</v>
      </c>
      <c r="BL22" s="38" t="s">
        <v>169</v>
      </c>
      <c r="BM22" s="38" t="s">
        <v>171</v>
      </c>
      <c r="BN22" s="38" t="s">
        <v>171</v>
      </c>
      <c r="BO22" s="38" t="s">
        <v>171</v>
      </c>
      <c r="BP22" s="38" t="s">
        <v>170</v>
      </c>
      <c r="BQ22" s="38" t="s">
        <v>169</v>
      </c>
      <c r="BR22" s="38" t="s">
        <v>172</v>
      </c>
      <c r="BS22" s="38" t="s">
        <v>172</v>
      </c>
      <c r="BT22" s="38" t="s">
        <v>172</v>
      </c>
      <c r="BU22" s="38" t="s">
        <v>172</v>
      </c>
      <c r="BV22" s="38" t="s">
        <v>171</v>
      </c>
      <c r="BW22" s="38" t="s">
        <v>169</v>
      </c>
      <c r="BX22" s="38" t="s">
        <v>172</v>
      </c>
      <c r="BY22" s="38" t="s">
        <v>172</v>
      </c>
      <c r="BZ22" s="38" t="s">
        <v>169</v>
      </c>
      <c r="CA22" s="38" t="s">
        <v>169</v>
      </c>
    </row>
    <row r="23" customFormat="false" ht="15" hidden="false" customHeight="true" outlineLevel="0" collapsed="false">
      <c r="A23" s="48" t="s">
        <v>857</v>
      </c>
      <c r="B23" s="48" t="s">
        <v>848</v>
      </c>
      <c r="C23" s="48" t="s">
        <v>24</v>
      </c>
      <c r="D23" s="48" t="s">
        <v>37</v>
      </c>
      <c r="E23" s="48" t="n">
        <v>73</v>
      </c>
      <c r="F23" s="48" t="n">
        <v>71</v>
      </c>
      <c r="G23" s="48" t="n">
        <v>1</v>
      </c>
      <c r="H23" s="38" t="s">
        <v>169</v>
      </c>
      <c r="I23" s="38" t="s">
        <v>172</v>
      </c>
      <c r="J23" s="38" t="s">
        <v>172</v>
      </c>
      <c r="K23" s="38" t="s">
        <v>172</v>
      </c>
      <c r="L23" s="38" t="s">
        <v>171</v>
      </c>
      <c r="M23" s="38" t="s">
        <v>171</v>
      </c>
      <c r="N23" s="38" t="s">
        <v>171</v>
      </c>
      <c r="O23" s="38" t="s">
        <v>171</v>
      </c>
      <c r="P23" s="38" t="s">
        <v>171</v>
      </c>
      <c r="Q23" s="38" t="s">
        <v>172</v>
      </c>
      <c r="R23" s="38" t="s">
        <v>171</v>
      </c>
      <c r="S23" s="38" t="s">
        <v>171</v>
      </c>
      <c r="T23" s="38" t="s">
        <v>171</v>
      </c>
      <c r="U23" s="38" t="s">
        <v>172</v>
      </c>
      <c r="V23" s="38" t="s">
        <v>171</v>
      </c>
      <c r="W23" s="38" t="s">
        <v>171</v>
      </c>
      <c r="X23" s="38" t="s">
        <v>169</v>
      </c>
      <c r="Y23" s="38" t="s">
        <v>169</v>
      </c>
      <c r="Z23" s="38" t="s">
        <v>169</v>
      </c>
      <c r="AA23" s="38" t="s">
        <v>172</v>
      </c>
      <c r="AB23" s="38" t="s">
        <v>170</v>
      </c>
      <c r="AC23" s="38" t="s">
        <v>172</v>
      </c>
      <c r="AD23" s="38" t="s">
        <v>172</v>
      </c>
      <c r="AE23" s="38" t="s">
        <v>172</v>
      </c>
      <c r="AF23" s="38" t="s">
        <v>171</v>
      </c>
      <c r="AG23" s="38" t="s">
        <v>171</v>
      </c>
      <c r="AH23" s="38" t="s">
        <v>171</v>
      </c>
      <c r="AI23" s="38" t="s">
        <v>171</v>
      </c>
      <c r="AJ23" s="38" t="s">
        <v>169</v>
      </c>
      <c r="AK23" s="38" t="s">
        <v>172</v>
      </c>
      <c r="AL23" s="38" t="s">
        <v>172</v>
      </c>
      <c r="AM23" s="38" t="s">
        <v>169</v>
      </c>
      <c r="AN23" s="38" t="s">
        <v>171</v>
      </c>
      <c r="AO23" s="38" t="s">
        <v>171</v>
      </c>
      <c r="AP23" s="38" t="s">
        <v>171</v>
      </c>
      <c r="AQ23" s="38" t="s">
        <v>172</v>
      </c>
      <c r="AR23" s="38" t="s">
        <v>172</v>
      </c>
      <c r="AS23" s="38" t="s">
        <v>170</v>
      </c>
      <c r="AT23" s="38" t="s">
        <v>170</v>
      </c>
      <c r="AU23" s="38" t="s">
        <v>171</v>
      </c>
      <c r="AV23" s="38" t="s">
        <v>171</v>
      </c>
      <c r="AW23" s="38" t="s">
        <v>172</v>
      </c>
      <c r="AX23" s="38" t="s">
        <v>172</v>
      </c>
      <c r="AY23" s="38" t="s">
        <v>172</v>
      </c>
      <c r="AZ23" s="38" t="s">
        <v>172</v>
      </c>
      <c r="BA23" s="40" t="s">
        <v>176</v>
      </c>
      <c r="BB23" s="38" t="s">
        <v>171</v>
      </c>
      <c r="BC23" s="38" t="s">
        <v>172</v>
      </c>
      <c r="BD23" s="38" t="s">
        <v>171</v>
      </c>
      <c r="BE23" s="38" t="s">
        <v>171</v>
      </c>
      <c r="BF23" s="38" t="s">
        <v>172</v>
      </c>
      <c r="BG23" s="38" t="s">
        <v>172</v>
      </c>
      <c r="BH23" s="38" t="s">
        <v>169</v>
      </c>
      <c r="BI23" s="38" t="s">
        <v>172</v>
      </c>
      <c r="BJ23" s="38" t="s">
        <v>171</v>
      </c>
      <c r="BK23" s="38" t="s">
        <v>170</v>
      </c>
      <c r="BL23" s="38" t="s">
        <v>172</v>
      </c>
      <c r="BM23" s="38" t="s">
        <v>171</v>
      </c>
      <c r="BN23" s="38" t="s">
        <v>172</v>
      </c>
      <c r="BO23" s="38" t="s">
        <v>171</v>
      </c>
      <c r="BP23" s="38" t="s">
        <v>170</v>
      </c>
      <c r="BQ23" s="38" t="s">
        <v>171</v>
      </c>
      <c r="BR23" s="38" t="s">
        <v>171</v>
      </c>
      <c r="BS23" s="38" t="s">
        <v>169</v>
      </c>
      <c r="BT23" s="38" t="s">
        <v>172</v>
      </c>
      <c r="BU23" s="38" t="s">
        <v>169</v>
      </c>
      <c r="BV23" s="38" t="s">
        <v>172</v>
      </c>
      <c r="BW23" s="38" t="s">
        <v>172</v>
      </c>
      <c r="BX23" s="38" t="s">
        <v>171</v>
      </c>
      <c r="BY23" s="38" t="s">
        <v>171</v>
      </c>
      <c r="BZ23" s="38" t="s">
        <v>171</v>
      </c>
      <c r="CA23" s="38" t="s">
        <v>169</v>
      </c>
    </row>
    <row r="24" customFormat="false" ht="15" hidden="false" customHeight="true" outlineLevel="0" collapsed="false">
      <c r="A24" s="48" t="s">
        <v>858</v>
      </c>
      <c r="B24" s="48" t="s">
        <v>848</v>
      </c>
      <c r="C24" s="48" t="s">
        <v>24</v>
      </c>
      <c r="D24" s="48" t="s">
        <v>37</v>
      </c>
      <c r="E24" s="48" t="n">
        <v>74</v>
      </c>
      <c r="F24" s="48" t="n">
        <v>72</v>
      </c>
      <c r="G24" s="48" t="n">
        <v>0</v>
      </c>
      <c r="H24" s="38" t="s">
        <v>170</v>
      </c>
      <c r="I24" s="38" t="s">
        <v>170</v>
      </c>
      <c r="J24" s="38" t="s">
        <v>172</v>
      </c>
      <c r="K24" s="38" t="s">
        <v>170</v>
      </c>
      <c r="L24" s="38" t="s">
        <v>171</v>
      </c>
      <c r="M24" s="38" t="s">
        <v>172</v>
      </c>
      <c r="N24" s="38" t="s">
        <v>170</v>
      </c>
      <c r="O24" s="38" t="s">
        <v>171</v>
      </c>
      <c r="P24" s="38" t="s">
        <v>171</v>
      </c>
      <c r="Q24" s="38" t="s">
        <v>172</v>
      </c>
      <c r="R24" s="38" t="s">
        <v>171</v>
      </c>
      <c r="S24" s="38" t="s">
        <v>169</v>
      </c>
      <c r="T24" s="38" t="s">
        <v>172</v>
      </c>
      <c r="U24" s="38" t="s">
        <v>172</v>
      </c>
      <c r="V24" s="38" t="s">
        <v>171</v>
      </c>
      <c r="W24" s="38" t="s">
        <v>170</v>
      </c>
      <c r="X24" s="38" t="s">
        <v>170</v>
      </c>
      <c r="Y24" s="38" t="s">
        <v>169</v>
      </c>
      <c r="Z24" s="38" t="s">
        <v>169</v>
      </c>
      <c r="AA24" s="38" t="s">
        <v>170</v>
      </c>
      <c r="AB24" s="38" t="s">
        <v>170</v>
      </c>
      <c r="AC24" s="38" t="s">
        <v>171</v>
      </c>
      <c r="AD24" s="38" t="s">
        <v>171</v>
      </c>
      <c r="AE24" s="38" t="s">
        <v>172</v>
      </c>
      <c r="AF24" s="38" t="s">
        <v>171</v>
      </c>
      <c r="AG24" s="38" t="s">
        <v>171</v>
      </c>
      <c r="AH24" s="38" t="s">
        <v>169</v>
      </c>
      <c r="AI24" s="38" t="s">
        <v>172</v>
      </c>
      <c r="AJ24" s="38" t="s">
        <v>171</v>
      </c>
      <c r="AK24" s="38" t="s">
        <v>171</v>
      </c>
      <c r="AL24" s="38" t="s">
        <v>172</v>
      </c>
      <c r="AM24" s="38" t="s">
        <v>169</v>
      </c>
      <c r="AN24" s="38" t="s">
        <v>171</v>
      </c>
      <c r="AO24" s="38" t="s">
        <v>171</v>
      </c>
      <c r="AP24" s="38" t="s">
        <v>171</v>
      </c>
      <c r="AQ24" s="38" t="s">
        <v>172</v>
      </c>
      <c r="AR24" s="38" t="s">
        <v>171</v>
      </c>
      <c r="AS24" s="38" t="s">
        <v>171</v>
      </c>
      <c r="AT24" s="38" t="s">
        <v>171</v>
      </c>
      <c r="AU24" s="38" t="s">
        <v>172</v>
      </c>
      <c r="AV24" s="38" t="s">
        <v>172</v>
      </c>
      <c r="AW24" s="38" t="s">
        <v>171</v>
      </c>
      <c r="AX24" s="38" t="s">
        <v>171</v>
      </c>
      <c r="AY24" s="38" t="s">
        <v>172</v>
      </c>
      <c r="AZ24" s="38" t="s">
        <v>171</v>
      </c>
      <c r="BA24" s="38" t="s">
        <v>171</v>
      </c>
      <c r="BB24" s="38" t="s">
        <v>172</v>
      </c>
      <c r="BC24" s="38" t="s">
        <v>169</v>
      </c>
      <c r="BD24" s="38" t="s">
        <v>172</v>
      </c>
      <c r="BE24" s="38" t="s">
        <v>171</v>
      </c>
      <c r="BF24" s="38" t="s">
        <v>171</v>
      </c>
      <c r="BG24" s="38" t="s">
        <v>170</v>
      </c>
      <c r="BH24" s="38" t="s">
        <v>169</v>
      </c>
      <c r="BI24" s="38" t="s">
        <v>171</v>
      </c>
      <c r="BJ24" s="38" t="s">
        <v>171</v>
      </c>
      <c r="BK24" s="38" t="s">
        <v>170</v>
      </c>
      <c r="BL24" s="38" t="s">
        <v>171</v>
      </c>
      <c r="BM24" s="38" t="s">
        <v>172</v>
      </c>
      <c r="BN24" s="38" t="s">
        <v>171</v>
      </c>
      <c r="BO24" s="38" t="s">
        <v>172</v>
      </c>
      <c r="BP24" s="38" t="s">
        <v>170</v>
      </c>
      <c r="BQ24" s="38" t="s">
        <v>171</v>
      </c>
      <c r="BR24" s="38" t="s">
        <v>172</v>
      </c>
      <c r="BS24" s="38" t="s">
        <v>169</v>
      </c>
      <c r="BT24" s="38" t="s">
        <v>171</v>
      </c>
      <c r="BU24" s="38" t="s">
        <v>169</v>
      </c>
      <c r="BV24" s="38" t="s">
        <v>171</v>
      </c>
      <c r="BW24" s="38" t="s">
        <v>172</v>
      </c>
      <c r="BX24" s="38" t="s">
        <v>169</v>
      </c>
      <c r="BY24" s="38" t="s">
        <v>171</v>
      </c>
      <c r="BZ24" s="38" t="s">
        <v>169</v>
      </c>
      <c r="CA24" s="38" t="s">
        <v>172</v>
      </c>
    </row>
    <row r="25" customFormat="false" ht="15" hidden="false" customHeight="true" outlineLevel="0" collapsed="false">
      <c r="A25" s="48" t="s">
        <v>859</v>
      </c>
      <c r="B25" s="48" t="s">
        <v>848</v>
      </c>
      <c r="C25" s="48" t="s">
        <v>24</v>
      </c>
      <c r="D25" s="48" t="s">
        <v>25</v>
      </c>
      <c r="E25" s="48" t="n">
        <v>82</v>
      </c>
      <c r="F25" s="48" t="n">
        <v>72</v>
      </c>
      <c r="G25" s="48" t="n">
        <v>0</v>
      </c>
      <c r="H25" s="38" t="s">
        <v>172</v>
      </c>
      <c r="I25" s="38" t="s">
        <v>169</v>
      </c>
      <c r="J25" s="38" t="s">
        <v>170</v>
      </c>
      <c r="K25" s="38" t="s">
        <v>172</v>
      </c>
      <c r="L25" s="38" t="s">
        <v>169</v>
      </c>
      <c r="M25" s="38" t="s">
        <v>169</v>
      </c>
      <c r="N25" s="38" t="s">
        <v>171</v>
      </c>
      <c r="O25" s="38" t="s">
        <v>171</v>
      </c>
      <c r="P25" s="38" t="s">
        <v>172</v>
      </c>
      <c r="Q25" s="38" t="s">
        <v>169</v>
      </c>
      <c r="R25" s="38" t="s">
        <v>169</v>
      </c>
      <c r="S25" s="38" t="s">
        <v>171</v>
      </c>
      <c r="T25" s="38" t="s">
        <v>171</v>
      </c>
      <c r="U25" s="38" t="s">
        <v>169</v>
      </c>
      <c r="V25" s="38" t="s">
        <v>170</v>
      </c>
      <c r="W25" s="38" t="s">
        <v>171</v>
      </c>
      <c r="X25" s="38" t="s">
        <v>172</v>
      </c>
      <c r="Y25" s="38" t="s">
        <v>169</v>
      </c>
      <c r="Z25" s="38" t="s">
        <v>169</v>
      </c>
      <c r="AA25" s="38" t="s">
        <v>172</v>
      </c>
      <c r="AB25" s="38" t="s">
        <v>172</v>
      </c>
      <c r="AC25" s="38" t="s">
        <v>172</v>
      </c>
      <c r="AD25" s="38" t="s">
        <v>172</v>
      </c>
      <c r="AE25" s="38" t="s">
        <v>171</v>
      </c>
      <c r="AF25" s="38" t="s">
        <v>171</v>
      </c>
      <c r="AG25" s="38" t="s">
        <v>171</v>
      </c>
      <c r="AH25" s="38" t="s">
        <v>171</v>
      </c>
      <c r="AI25" s="38" t="s">
        <v>172</v>
      </c>
      <c r="AJ25" s="38" t="s">
        <v>172</v>
      </c>
      <c r="AK25" s="38" t="s">
        <v>171</v>
      </c>
      <c r="AL25" s="38" t="s">
        <v>170</v>
      </c>
      <c r="AM25" s="38" t="s">
        <v>171</v>
      </c>
      <c r="AN25" s="38" t="s">
        <v>170</v>
      </c>
      <c r="AO25" s="38" t="s">
        <v>170</v>
      </c>
      <c r="AP25" s="38" t="s">
        <v>171</v>
      </c>
      <c r="AQ25" s="38" t="s">
        <v>172</v>
      </c>
      <c r="AR25" s="38" t="s">
        <v>172</v>
      </c>
      <c r="AS25" s="38" t="s">
        <v>169</v>
      </c>
      <c r="AT25" s="38" t="s">
        <v>169</v>
      </c>
      <c r="AU25" s="38" t="s">
        <v>169</v>
      </c>
      <c r="AV25" s="38" t="s">
        <v>171</v>
      </c>
      <c r="AW25" s="38" t="s">
        <v>171</v>
      </c>
      <c r="AX25" s="38" t="s">
        <v>172</v>
      </c>
      <c r="AY25" s="38" t="s">
        <v>172</v>
      </c>
      <c r="AZ25" s="38" t="s">
        <v>169</v>
      </c>
      <c r="BA25" s="38" t="s">
        <v>170</v>
      </c>
      <c r="BB25" s="38" t="s">
        <v>172</v>
      </c>
      <c r="BC25" s="38" t="s">
        <v>171</v>
      </c>
      <c r="BD25" s="38" t="s">
        <v>170</v>
      </c>
      <c r="BE25" s="38" t="s">
        <v>171</v>
      </c>
      <c r="BF25" s="38" t="s">
        <v>171</v>
      </c>
      <c r="BG25" s="38" t="s">
        <v>171</v>
      </c>
      <c r="BH25" s="38" t="s">
        <v>169</v>
      </c>
      <c r="BI25" s="38" t="s">
        <v>171</v>
      </c>
      <c r="BJ25" s="38" t="s">
        <v>170</v>
      </c>
      <c r="BK25" s="38" t="s">
        <v>170</v>
      </c>
      <c r="BL25" s="38" t="s">
        <v>169</v>
      </c>
      <c r="BM25" s="38" t="s">
        <v>172</v>
      </c>
      <c r="BN25" s="38" t="s">
        <v>171</v>
      </c>
      <c r="BO25" s="38" t="s">
        <v>170</v>
      </c>
      <c r="BP25" s="38" t="s">
        <v>170</v>
      </c>
      <c r="BQ25" s="38" t="s">
        <v>170</v>
      </c>
      <c r="BR25" s="38" t="s">
        <v>172</v>
      </c>
      <c r="BS25" s="38" t="s">
        <v>169</v>
      </c>
      <c r="BT25" s="38" t="s">
        <v>169</v>
      </c>
      <c r="BU25" s="38" t="s">
        <v>171</v>
      </c>
      <c r="BV25" s="38" t="s">
        <v>171</v>
      </c>
      <c r="BW25" s="38" t="s">
        <v>171</v>
      </c>
      <c r="BX25" s="38" t="s">
        <v>171</v>
      </c>
      <c r="BY25" s="38" t="s">
        <v>169</v>
      </c>
      <c r="BZ25" s="38" t="s">
        <v>171</v>
      </c>
      <c r="CA25" s="38" t="s">
        <v>171</v>
      </c>
    </row>
    <row r="26" customFormat="false" ht="15" hidden="false" customHeight="true" outlineLevel="0" collapsed="false">
      <c r="A26" s="48" t="s">
        <v>860</v>
      </c>
      <c r="B26" s="48" t="s">
        <v>848</v>
      </c>
      <c r="C26" s="48" t="s">
        <v>24</v>
      </c>
      <c r="D26" s="48" t="s">
        <v>25</v>
      </c>
      <c r="E26" s="48" t="n">
        <v>75</v>
      </c>
      <c r="F26" s="48" t="n">
        <v>72</v>
      </c>
      <c r="G26" s="48" t="n">
        <v>0</v>
      </c>
      <c r="H26" s="38" t="s">
        <v>172</v>
      </c>
      <c r="I26" s="38" t="s">
        <v>172</v>
      </c>
      <c r="J26" s="38" t="s">
        <v>171</v>
      </c>
      <c r="K26" s="38" t="s">
        <v>171</v>
      </c>
      <c r="L26" s="38" t="s">
        <v>170</v>
      </c>
      <c r="M26" s="38" t="s">
        <v>172</v>
      </c>
      <c r="N26" s="38" t="s">
        <v>171</v>
      </c>
      <c r="O26" s="38" t="s">
        <v>171</v>
      </c>
      <c r="P26" s="38" t="s">
        <v>171</v>
      </c>
      <c r="Q26" s="38" t="s">
        <v>172</v>
      </c>
      <c r="R26" s="38" t="s">
        <v>172</v>
      </c>
      <c r="S26" s="38" t="s">
        <v>171</v>
      </c>
      <c r="T26" s="38" t="s">
        <v>172</v>
      </c>
      <c r="U26" s="38" t="s">
        <v>172</v>
      </c>
      <c r="V26" s="38" t="s">
        <v>171</v>
      </c>
      <c r="W26" s="38" t="s">
        <v>172</v>
      </c>
      <c r="X26" s="38" t="s">
        <v>172</v>
      </c>
      <c r="Y26" s="38" t="s">
        <v>169</v>
      </c>
      <c r="Z26" s="38" t="s">
        <v>169</v>
      </c>
      <c r="AA26" s="38" t="s">
        <v>172</v>
      </c>
      <c r="AB26" s="38" t="s">
        <v>171</v>
      </c>
      <c r="AC26" s="38" t="s">
        <v>171</v>
      </c>
      <c r="AD26" s="38" t="s">
        <v>172</v>
      </c>
      <c r="AE26" s="38" t="s">
        <v>171</v>
      </c>
      <c r="AF26" s="38" t="s">
        <v>171</v>
      </c>
      <c r="AG26" s="38" t="s">
        <v>171</v>
      </c>
      <c r="AH26" s="38" t="s">
        <v>169</v>
      </c>
      <c r="AI26" s="38" t="s">
        <v>169</v>
      </c>
      <c r="AJ26" s="38" t="s">
        <v>172</v>
      </c>
      <c r="AK26" s="38" t="s">
        <v>169</v>
      </c>
      <c r="AL26" s="38" t="s">
        <v>171</v>
      </c>
      <c r="AM26" s="38" t="s">
        <v>172</v>
      </c>
      <c r="AN26" s="38" t="s">
        <v>171</v>
      </c>
      <c r="AO26" s="38" t="s">
        <v>170</v>
      </c>
      <c r="AP26" s="38" t="s">
        <v>171</v>
      </c>
      <c r="AQ26" s="38" t="s">
        <v>172</v>
      </c>
      <c r="AR26" s="38" t="s">
        <v>170</v>
      </c>
      <c r="AS26" s="38" t="s">
        <v>171</v>
      </c>
      <c r="AT26" s="38" t="s">
        <v>169</v>
      </c>
      <c r="AU26" s="38" t="s">
        <v>170</v>
      </c>
      <c r="AV26" s="38" t="s">
        <v>171</v>
      </c>
      <c r="AW26" s="38" t="s">
        <v>171</v>
      </c>
      <c r="AX26" s="38" t="s">
        <v>171</v>
      </c>
      <c r="AY26" s="38" t="s">
        <v>169</v>
      </c>
      <c r="AZ26" s="38" t="s">
        <v>171</v>
      </c>
      <c r="BA26" s="38" t="s">
        <v>172</v>
      </c>
      <c r="BB26" s="38" t="s">
        <v>171</v>
      </c>
      <c r="BC26" s="38" t="s">
        <v>172</v>
      </c>
      <c r="BD26" s="38" t="s">
        <v>169</v>
      </c>
      <c r="BE26" s="38" t="s">
        <v>169</v>
      </c>
      <c r="BF26" s="38" t="s">
        <v>170</v>
      </c>
      <c r="BG26" s="38" t="s">
        <v>172</v>
      </c>
      <c r="BH26" s="38" t="s">
        <v>169</v>
      </c>
      <c r="BI26" s="38" t="s">
        <v>172</v>
      </c>
      <c r="BJ26" s="38" t="s">
        <v>171</v>
      </c>
      <c r="BK26" s="38" t="s">
        <v>170</v>
      </c>
      <c r="BL26" s="38" t="s">
        <v>171</v>
      </c>
      <c r="BM26" s="38" t="s">
        <v>170</v>
      </c>
      <c r="BN26" s="38" t="s">
        <v>171</v>
      </c>
      <c r="BO26" s="38" t="s">
        <v>172</v>
      </c>
      <c r="BP26" s="38" t="s">
        <v>170</v>
      </c>
      <c r="BQ26" s="38" t="s">
        <v>171</v>
      </c>
      <c r="BR26" s="38" t="s">
        <v>171</v>
      </c>
      <c r="BS26" s="38" t="s">
        <v>171</v>
      </c>
      <c r="BT26" s="38" t="s">
        <v>170</v>
      </c>
      <c r="BU26" s="38" t="s">
        <v>172</v>
      </c>
      <c r="BV26" s="38" t="s">
        <v>171</v>
      </c>
      <c r="BW26" s="38" t="s">
        <v>169</v>
      </c>
      <c r="BX26" s="38" t="s">
        <v>169</v>
      </c>
      <c r="BY26" s="38" t="s">
        <v>172</v>
      </c>
      <c r="BZ26" s="38" t="s">
        <v>171</v>
      </c>
      <c r="CA26" s="38"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85"/>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8"/>
    <col collapsed="false" customWidth="true" hidden="false" outlineLevel="0" max="4" min="4" style="0" width="18"/>
    <col collapsed="false" customWidth="true" hidden="false" outlineLevel="0" max="5" min="5" style="0" width="12"/>
    <col collapsed="false" customWidth="true" hidden="false" outlineLevel="0" max="6" min="6" style="0" width="20"/>
    <col collapsed="false" customWidth="true" hidden="false" outlineLevel="0" max="7" min="7" style="0" width="14"/>
    <col collapsed="false" customWidth="true" hidden="false" outlineLevel="0" max="8" min="8" style="0" width="12"/>
  </cols>
  <sheetData>
    <row r="1" customFormat="false" ht="15" hidden="false" customHeight="true" outlineLevel="0" collapsed="false">
      <c r="A1" s="39" t="s">
        <v>769</v>
      </c>
      <c r="B1" s="39" t="s">
        <v>471</v>
      </c>
      <c r="C1" s="39" t="s">
        <v>480</v>
      </c>
      <c r="D1" s="39" t="s">
        <v>861</v>
      </c>
      <c r="E1" s="39" t="s">
        <v>593</v>
      </c>
      <c r="F1" s="39" t="s">
        <v>862</v>
      </c>
      <c r="G1" s="39" t="s">
        <v>863</v>
      </c>
      <c r="H1" s="39" t="s">
        <v>864</v>
      </c>
    </row>
    <row r="2" customFormat="false" ht="15" hidden="false" customHeight="true" outlineLevel="0" collapsed="false">
      <c r="A2" s="38" t="s">
        <v>40</v>
      </c>
      <c r="B2" s="38" t="n">
        <v>1</v>
      </c>
      <c r="C2" s="38" t="s">
        <v>169</v>
      </c>
      <c r="D2" s="38" t="s">
        <v>865</v>
      </c>
      <c r="E2" s="38" t="str">
        <f aca="false">B2&amp;"|"&amp;C2</f>
        <v>1|G</v>
      </c>
      <c r="F2" s="45" t="n">
        <f aca="false">INDEX('Emission Stepwise'!$H$2:$H$289,MATCH(E2,'Emission Stepwise'!$C$2:$C$289,0))</f>
        <v>0.753694581280788</v>
      </c>
      <c r="G2" s="45" t="n">
        <f aca="false">INDEX(Background!$C$4:$C$7,MATCH(C2,Background!$A$4:$A$7,0))</f>
        <v>0.325128349391659</v>
      </c>
      <c r="H2" s="49" t="n">
        <f aca="false">LN(F2/G2)</f>
        <v>0.840767195758797</v>
      </c>
    </row>
    <row r="3" customFormat="false" ht="15" hidden="false" customHeight="true" outlineLevel="0" collapsed="false">
      <c r="A3" s="38" t="s">
        <v>40</v>
      </c>
      <c r="B3" s="38" t="n">
        <v>2</v>
      </c>
      <c r="C3" s="38" t="s">
        <v>171</v>
      </c>
      <c r="D3" s="38" t="s">
        <v>865</v>
      </c>
      <c r="E3" s="38" t="str">
        <f aca="false">B3&amp;"|"&amp;C3</f>
        <v>2|U</v>
      </c>
      <c r="F3" s="45" t="n">
        <f aca="false">INDEX('Emission Stepwise'!$H$2:$H$289,MATCH(E3,'Emission Stepwise'!$C$2:$C$289,0))</f>
        <v>0.0344827586206897</v>
      </c>
      <c r="G3" s="45" t="n">
        <f aca="false">INDEX(Background!$C$4:$C$7,MATCH(C3,Background!$A$4:$A$7,0))</f>
        <v>0.212884169069555</v>
      </c>
      <c r="H3" s="49" t="n">
        <f aca="false">LN(F3/G3)</f>
        <v>-1.82028876161182</v>
      </c>
    </row>
    <row r="4" customFormat="false" ht="15" hidden="false" customHeight="true" outlineLevel="0" collapsed="false">
      <c r="A4" s="38" t="s">
        <v>40</v>
      </c>
      <c r="B4" s="38" t="n">
        <v>3</v>
      </c>
      <c r="C4" s="38" t="s">
        <v>171</v>
      </c>
      <c r="D4" s="38" t="s">
        <v>865</v>
      </c>
      <c r="E4" s="38" t="str">
        <f aca="false">B4&amp;"|"&amp;C4</f>
        <v>3|U</v>
      </c>
      <c r="F4" s="45" t="n">
        <f aca="false">INDEX('Emission Stepwise'!$H$2:$H$289,MATCH(E4,'Emission Stepwise'!$C$2:$C$289,0))</f>
        <v>0.118226600985222</v>
      </c>
      <c r="G4" s="45" t="n">
        <f aca="false">INDEX(Background!$C$4:$C$7,MATCH(C4,Background!$A$4:$A$7,0))</f>
        <v>0.212884169069555</v>
      </c>
      <c r="H4" s="49" t="n">
        <f aca="false">LN(F4/G4)</f>
        <v>-0.588145080319186</v>
      </c>
    </row>
    <row r="5" customFormat="false" ht="15" hidden="false" customHeight="true" outlineLevel="0" collapsed="false">
      <c r="A5" s="38" t="s">
        <v>40</v>
      </c>
      <c r="B5" s="38" t="n">
        <v>4</v>
      </c>
      <c r="C5" s="38" t="s">
        <v>172</v>
      </c>
      <c r="D5" s="38" t="s">
        <v>865</v>
      </c>
      <c r="E5" s="38" t="str">
        <f aca="false">B5&amp;"|"&amp;C5</f>
        <v>4|A</v>
      </c>
      <c r="F5" s="45" t="n">
        <f aca="false">INDEX('Emission Stepwise'!$H$2:$H$289,MATCH(E5,'Emission Stepwise'!$C$2:$C$289,0))</f>
        <v>0.0788177339901478</v>
      </c>
      <c r="G5" s="45" t="n">
        <f aca="false">INDEX(Background!$C$4:$C$7,MATCH(C5,Background!$A$4:$A$7,0))</f>
        <v>0.185174766157958</v>
      </c>
      <c r="H5" s="49" t="n">
        <f aca="false">LN(F5/G5)</f>
        <v>-0.854162038901941</v>
      </c>
    </row>
    <row r="6" customFormat="false" ht="15" hidden="false" customHeight="true" outlineLevel="0" collapsed="false">
      <c r="A6" s="38" t="s">
        <v>40</v>
      </c>
      <c r="B6" s="38" t="n">
        <v>5</v>
      </c>
      <c r="C6" s="38" t="s">
        <v>169</v>
      </c>
      <c r="D6" s="38" t="s">
        <v>865</v>
      </c>
      <c r="E6" s="38" t="str">
        <f aca="false">B6&amp;"|"&amp;C6</f>
        <v>5|G</v>
      </c>
      <c r="F6" s="45" t="n">
        <f aca="false">INDEX('Emission Stepwise'!$H$2:$H$289,MATCH(E6,'Emission Stepwise'!$C$2:$C$289,0))</f>
        <v>0.344827586206897</v>
      </c>
      <c r="G6" s="45" t="n">
        <f aca="false">INDEX(Background!$C$4:$C$7,MATCH(C6,Background!$A$4:$A$7,0))</f>
        <v>0.325128349391659</v>
      </c>
      <c r="H6" s="49" t="n">
        <f aca="false">LN(F6/G6)</f>
        <v>0.0588245164157209</v>
      </c>
    </row>
    <row r="7" customFormat="false" ht="15" hidden="false" customHeight="true" outlineLevel="0" collapsed="false">
      <c r="A7" s="38" t="s">
        <v>40</v>
      </c>
      <c r="B7" s="38" t="n">
        <v>6</v>
      </c>
      <c r="C7" s="38" t="s">
        <v>172</v>
      </c>
      <c r="D7" s="38" t="s">
        <v>865</v>
      </c>
      <c r="E7" s="38" t="str">
        <f aca="false">B7&amp;"|"&amp;C7</f>
        <v>6|A</v>
      </c>
      <c r="F7" s="45" t="n">
        <f aca="false">INDEX('Emission Stepwise'!$H$2:$H$289,MATCH(E7,'Emission Stepwise'!$C$2:$C$289,0))</f>
        <v>0.172413793103448</v>
      </c>
      <c r="G7" s="45" t="n">
        <f aca="false">INDEX(Background!$C$4:$C$7,MATCH(C7,Background!$A$4:$A$7,0))</f>
        <v>0.185174766157958</v>
      </c>
      <c r="H7" s="49" t="n">
        <f aca="false">LN(F7/G7)</f>
        <v>-0.0714026996523086</v>
      </c>
    </row>
    <row r="8" customFormat="false" ht="15" hidden="false" customHeight="true" outlineLevel="0" collapsed="false">
      <c r="A8" s="38" t="s">
        <v>40</v>
      </c>
      <c r="B8" s="38" t="n">
        <v>7</v>
      </c>
      <c r="C8" s="38" t="s">
        <v>169</v>
      </c>
      <c r="D8" s="38" t="s">
        <v>865</v>
      </c>
      <c r="E8" s="38" t="str">
        <f aca="false">B8&amp;"|"&amp;C8</f>
        <v>7|G</v>
      </c>
      <c r="F8" s="45" t="n">
        <f aca="false">INDEX('Emission Stepwise'!$H$2:$H$289,MATCH(E8,'Emission Stepwise'!$C$2:$C$289,0))</f>
        <v>0.522167487684729</v>
      </c>
      <c r="G8" s="45" t="n">
        <f aca="false">INDEX(Background!$C$4:$C$7,MATCH(C8,Background!$A$4:$A$7,0))</f>
        <v>0.325128349391659</v>
      </c>
      <c r="H8" s="49" t="n">
        <f aca="false">LN(F8/G8)</f>
        <v>0.473768368478429</v>
      </c>
    </row>
    <row r="9" customFormat="false" ht="15" hidden="false" customHeight="true" outlineLevel="0" collapsed="false">
      <c r="A9" s="38" t="s">
        <v>40</v>
      </c>
      <c r="B9" s="38" t="n">
        <v>8</v>
      </c>
      <c r="C9" s="38" t="s">
        <v>171</v>
      </c>
      <c r="D9" s="38" t="s">
        <v>866</v>
      </c>
      <c r="E9" s="38" t="str">
        <f aca="false">B9&amp;"|"&amp;C9</f>
        <v>8|U</v>
      </c>
      <c r="F9" s="45" t="n">
        <f aca="false">INDEX('Emission Stepwise'!$H$2:$H$289,MATCH(E9,'Emission Stepwise'!$C$2:$C$289,0))</f>
        <v>0.975369458128079</v>
      </c>
      <c r="G9" s="45" t="n">
        <f aca="false">INDEX(Background!$C$4:$C$7,MATCH(C9,Background!$A$4:$A$7,0))</f>
        <v>0.212884169069555</v>
      </c>
      <c r="H9" s="49" t="n">
        <f aca="false">LN(F9/G9)</f>
        <v>1.5220681200274</v>
      </c>
    </row>
    <row r="10" customFormat="false" ht="15" hidden="false" customHeight="true" outlineLevel="0" collapsed="false">
      <c r="A10" s="38" t="s">
        <v>40</v>
      </c>
      <c r="B10" s="38" t="n">
        <v>9</v>
      </c>
      <c r="C10" s="38" t="s">
        <v>170</v>
      </c>
      <c r="D10" s="38" t="s">
        <v>867</v>
      </c>
      <c r="E10" s="38" t="str">
        <f aca="false">B10&amp;"|"&amp;C10</f>
        <v>9|C</v>
      </c>
      <c r="F10" s="45" t="n">
        <f aca="false">INDEX('Emission Stepwise'!$H$2:$H$289,MATCH(E10,'Emission Stepwise'!$C$2:$C$289,0))</f>
        <v>0.0396039603960396</v>
      </c>
      <c r="G10" s="45" t="n">
        <f aca="false">INDEX(Background!$C$4:$C$7,MATCH(C10,Background!$A$4:$A$7,0))</f>
        <v>0.276812715380828</v>
      </c>
      <c r="H10" s="49" t="n">
        <f aca="false">LN(F10/G10)</f>
        <v>-1.94441203649714</v>
      </c>
    </row>
    <row r="11" customFormat="false" ht="15" hidden="false" customHeight="true" outlineLevel="0" collapsed="false">
      <c r="A11" s="38" t="s">
        <v>40</v>
      </c>
      <c r="B11" s="38" t="n">
        <v>10</v>
      </c>
      <c r="C11" s="38" t="s">
        <v>172</v>
      </c>
      <c r="D11" s="38" t="s">
        <v>867</v>
      </c>
      <c r="E11" s="38" t="str">
        <f aca="false">B11&amp;"|"&amp;C11</f>
        <v>10|A</v>
      </c>
      <c r="F11" s="45" t="n">
        <f aca="false">INDEX('Emission Stepwise'!$H$2:$H$289,MATCH(E11,'Emission Stepwise'!$C$2:$C$289,0))</f>
        <v>0.00492610837438424</v>
      </c>
      <c r="G11" s="45" t="n">
        <f aca="false">INDEX(Background!$C$4:$C$7,MATCH(C11,Background!$A$4:$A$7,0))</f>
        <v>0.185174766157958</v>
      </c>
      <c r="H11" s="49" t="n">
        <f aca="false">LN(F11/G11)</f>
        <v>-3.62675076114172</v>
      </c>
    </row>
    <row r="12" customFormat="false" ht="15" hidden="false" customHeight="true" outlineLevel="0" collapsed="false">
      <c r="A12" s="38" t="s">
        <v>40</v>
      </c>
      <c r="B12" s="38" t="n">
        <v>11</v>
      </c>
      <c r="C12" s="38" t="s">
        <v>172</v>
      </c>
      <c r="D12" s="38" t="s">
        <v>867</v>
      </c>
      <c r="E12" s="38" t="str">
        <f aca="false">B12&amp;"|"&amp;C12</f>
        <v>11|A</v>
      </c>
      <c r="F12" s="45" t="n">
        <f aca="false">INDEX('Emission Stepwise'!$H$2:$H$289,MATCH(E12,'Emission Stepwise'!$C$2:$C$289,0))</f>
        <v>0.0394088669950739</v>
      </c>
      <c r="G12" s="45" t="n">
        <f aca="false">INDEX(Background!$C$4:$C$7,MATCH(C12,Background!$A$4:$A$7,0))</f>
        <v>0.185174766157958</v>
      </c>
      <c r="H12" s="49" t="n">
        <f aca="false">LN(F12/G12)</f>
        <v>-1.54730921946189</v>
      </c>
    </row>
    <row r="13" customFormat="false" ht="15" hidden="false" customHeight="true" outlineLevel="0" collapsed="false">
      <c r="A13" s="38" t="s">
        <v>40</v>
      </c>
      <c r="B13" s="38" t="n">
        <v>12</v>
      </c>
      <c r="C13" s="38" t="s">
        <v>169</v>
      </c>
      <c r="D13" s="38" t="s">
        <v>867</v>
      </c>
      <c r="E13" s="38" t="str">
        <f aca="false">B13&amp;"|"&amp;C13</f>
        <v>12|G</v>
      </c>
      <c r="F13" s="45" t="n">
        <f aca="false">INDEX('Emission Stepwise'!$H$2:$H$289,MATCH(E13,'Emission Stepwise'!$C$2:$C$289,0))</f>
        <v>0.192118226600985</v>
      </c>
      <c r="G13" s="45" t="n">
        <f aca="false">INDEX(Background!$C$4:$C$7,MATCH(C13,Background!$A$4:$A$7,0))</f>
        <v>0.325128349391659</v>
      </c>
      <c r="H13" s="49" t="n">
        <f aca="false">LN(F13/G13)</f>
        <v>-0.526109079503992</v>
      </c>
    </row>
    <row r="14" customFormat="false" ht="15" hidden="false" customHeight="true" outlineLevel="0" collapsed="false">
      <c r="A14" s="38" t="s">
        <v>40</v>
      </c>
      <c r="B14" s="38" t="n">
        <v>13</v>
      </c>
      <c r="C14" s="38" t="s">
        <v>172</v>
      </c>
      <c r="D14" s="38" t="s">
        <v>867</v>
      </c>
      <c r="E14" s="38" t="str">
        <f aca="false">B14&amp;"|"&amp;C14</f>
        <v>13|A</v>
      </c>
      <c r="F14" s="45" t="n">
        <f aca="false">INDEX('Emission Stepwise'!$H$2:$H$289,MATCH(E14,'Emission Stepwise'!$C$2:$C$289,0))</f>
        <v>0.0689655172413793</v>
      </c>
      <c r="G14" s="45" t="n">
        <f aca="false">INDEX(Background!$C$4:$C$7,MATCH(C14,Background!$A$4:$A$7,0))</f>
        <v>0.185174766157958</v>
      </c>
      <c r="H14" s="49" t="n">
        <f aca="false">LN(F14/G14)</f>
        <v>-0.987693431526464</v>
      </c>
    </row>
    <row r="15" customFormat="false" ht="15" hidden="false" customHeight="true" outlineLevel="0" collapsed="false">
      <c r="A15" s="38" t="s">
        <v>40</v>
      </c>
      <c r="B15" s="38" t="n">
        <v>14</v>
      </c>
      <c r="C15" s="38" t="s">
        <v>172</v>
      </c>
      <c r="D15" s="38" t="s">
        <v>867</v>
      </c>
      <c r="E15" s="38" t="str">
        <f aca="false">B15&amp;"|"&amp;C15</f>
        <v>14|A</v>
      </c>
      <c r="F15" s="45" t="n">
        <f aca="false">INDEX('Emission Stepwise'!$H$2:$H$289,MATCH(E15,'Emission Stepwise'!$C$2:$C$289,0))</f>
        <v>0.975369458128079</v>
      </c>
      <c r="G15" s="45" t="n">
        <f aca="false">INDEX(Background!$C$4:$C$7,MATCH(C15,Background!$A$4:$A$7,0))</f>
        <v>0.185174766157958</v>
      </c>
      <c r="H15" s="49" t="n">
        <f aca="false">LN(F15/G15)</f>
        <v>1.66151626955281</v>
      </c>
    </row>
    <row r="16" customFormat="false" ht="15" hidden="false" customHeight="true" outlineLevel="0" collapsed="false">
      <c r="A16" s="38" t="s">
        <v>40</v>
      </c>
      <c r="B16" s="38" t="n">
        <v>15</v>
      </c>
      <c r="C16" s="38" t="s">
        <v>172</v>
      </c>
      <c r="D16" s="38" t="s">
        <v>867</v>
      </c>
      <c r="E16" s="38" t="str">
        <f aca="false">B16&amp;"|"&amp;C16</f>
        <v>15|A</v>
      </c>
      <c r="F16" s="45" t="n">
        <f aca="false">INDEX('Emission Stepwise'!$H$2:$H$289,MATCH(E16,'Emission Stepwise'!$C$2:$C$289,0))</f>
        <v>0.168316831683168</v>
      </c>
      <c r="G16" s="45" t="n">
        <f aca="false">INDEX(Background!$C$4:$C$7,MATCH(C16,Background!$A$4:$A$7,0))</f>
        <v>0.185174766157958</v>
      </c>
      <c r="H16" s="49" t="n">
        <f aca="false">LN(F16/G16)</f>
        <v>-0.0954519548849783</v>
      </c>
    </row>
    <row r="17" customFormat="false" ht="15" hidden="false" customHeight="true" outlineLevel="0" collapsed="false">
      <c r="A17" s="38" t="s">
        <v>40</v>
      </c>
      <c r="B17" s="38" t="n">
        <v>16</v>
      </c>
      <c r="C17" s="38" t="s">
        <v>176</v>
      </c>
      <c r="D17" s="38" t="s">
        <v>867</v>
      </c>
      <c r="E17" s="38"/>
      <c r="F17" s="38"/>
      <c r="G17" s="38"/>
      <c r="H17" s="38"/>
    </row>
    <row r="18" customFormat="false" ht="15" hidden="false" customHeight="true" outlineLevel="0" collapsed="false">
      <c r="A18" s="38" t="s">
        <v>40</v>
      </c>
      <c r="B18" s="38" t="n">
        <v>17</v>
      </c>
      <c r="C18" s="38" t="s">
        <v>170</v>
      </c>
      <c r="D18" s="38" t="s">
        <v>867</v>
      </c>
      <c r="E18" s="38" t="str">
        <f aca="false">B18&amp;"|"&amp;C18</f>
        <v>17|C</v>
      </c>
      <c r="F18" s="45" t="n">
        <f aca="false">INDEX('Emission Stepwise'!$H$2:$H$289,MATCH(E18,'Emission Stepwise'!$C$2:$C$289,0))</f>
        <v>0.32</v>
      </c>
      <c r="G18" s="45" t="n">
        <f aca="false">INDEX(Background!$C$4:$C$7,MATCH(C18,Background!$A$4:$A$7,0))</f>
        <v>0.276812715380828</v>
      </c>
      <c r="H18" s="49" t="n">
        <f aca="false">LN(F18/G18)</f>
        <v>0.144979836035866</v>
      </c>
    </row>
    <row r="19" customFormat="false" ht="15" hidden="false" customHeight="true" outlineLevel="0" collapsed="false">
      <c r="A19" s="38" t="s">
        <v>40</v>
      </c>
      <c r="B19" s="38" t="n">
        <v>18</v>
      </c>
      <c r="C19" s="38" t="s">
        <v>169</v>
      </c>
      <c r="D19" s="38" t="s">
        <v>867</v>
      </c>
      <c r="E19" s="38" t="str">
        <f aca="false">B19&amp;"|"&amp;C19</f>
        <v>18|G</v>
      </c>
      <c r="F19" s="45" t="n">
        <f aca="false">INDEX('Emission Stepwise'!$H$2:$H$289,MATCH(E19,'Emission Stepwise'!$C$2:$C$289,0))</f>
        <v>0.980295566502463</v>
      </c>
      <c r="G19" s="45" t="n">
        <f aca="false">INDEX(Background!$C$4:$C$7,MATCH(C19,Background!$A$4:$A$7,0))</f>
        <v>0.325128349391659</v>
      </c>
      <c r="H19" s="49" t="n">
        <f aca="false">LN(F19/G19)</f>
        <v>1.10363409909085</v>
      </c>
    </row>
    <row r="20" customFormat="false" ht="15" hidden="false" customHeight="true" outlineLevel="0" collapsed="false">
      <c r="A20" s="38" t="s">
        <v>40</v>
      </c>
      <c r="B20" s="38" t="n">
        <v>19</v>
      </c>
      <c r="C20" s="38" t="s">
        <v>169</v>
      </c>
      <c r="D20" s="38" t="s">
        <v>867</v>
      </c>
      <c r="E20" s="38" t="str">
        <f aca="false">B20&amp;"|"&amp;C20</f>
        <v>19|G</v>
      </c>
      <c r="F20" s="45" t="n">
        <f aca="false">INDEX('Emission Stepwise'!$H$2:$H$289,MATCH(E20,'Emission Stepwise'!$C$2:$C$289,0))</f>
        <v>0.970443349753695</v>
      </c>
      <c r="G20" s="45" t="n">
        <f aca="false">INDEX(Background!$C$4:$C$7,MATCH(C20,Background!$A$4:$A$7,0))</f>
        <v>0.325128349391659</v>
      </c>
      <c r="H20" s="49" t="n">
        <f aca="false">LN(F20/G20)</f>
        <v>1.09353300310435</v>
      </c>
    </row>
    <row r="21" customFormat="false" ht="15" hidden="false" customHeight="true" outlineLevel="0" collapsed="false">
      <c r="A21" s="38" t="s">
        <v>40</v>
      </c>
      <c r="B21" s="38" t="n">
        <v>20</v>
      </c>
      <c r="C21" s="38" t="s">
        <v>172</v>
      </c>
      <c r="D21" s="38" t="s">
        <v>867</v>
      </c>
      <c r="E21" s="38" t="str">
        <f aca="false">B21&amp;"|"&amp;C21</f>
        <v>20|A</v>
      </c>
      <c r="F21" s="45" t="n">
        <f aca="false">INDEX('Emission Stepwise'!$H$2:$H$289,MATCH(E21,'Emission Stepwise'!$C$2:$C$289,0))</f>
        <v>0.0891089108910891</v>
      </c>
      <c r="G21" s="45" t="n">
        <f aca="false">INDEX(Background!$C$4:$C$7,MATCH(C21,Background!$A$4:$A$7,0))</f>
        <v>0.185174766157958</v>
      </c>
      <c r="H21" s="49" t="n">
        <f aca="false">LN(F21/G21)</f>
        <v>-0.731440721604975</v>
      </c>
    </row>
    <row r="22" customFormat="false" ht="15" hidden="false" customHeight="true" outlineLevel="0" collapsed="false">
      <c r="A22" s="38" t="s">
        <v>40</v>
      </c>
      <c r="B22" s="38" t="n">
        <v>21</v>
      </c>
      <c r="C22" s="38" t="s">
        <v>171</v>
      </c>
      <c r="D22" s="38" t="s">
        <v>867</v>
      </c>
      <c r="E22" s="38" t="str">
        <f aca="false">B22&amp;"|"&amp;C22</f>
        <v>21|U</v>
      </c>
      <c r="F22" s="45" t="n">
        <f aca="false">INDEX('Emission Stepwise'!$H$2:$H$289,MATCH(E22,'Emission Stepwise'!$C$2:$C$289,0))</f>
        <v>0.0541871921182266</v>
      </c>
      <c r="G22" s="45" t="n">
        <f aca="false">INDEX(Background!$C$4:$C$7,MATCH(C22,Background!$A$4:$A$7,0))</f>
        <v>0.212884169069555</v>
      </c>
      <c r="H22" s="49" t="n">
        <f aca="false">LN(F22/G22)</f>
        <v>-1.36830363786876</v>
      </c>
    </row>
    <row r="23" customFormat="false" ht="15" hidden="false" customHeight="true" outlineLevel="0" collapsed="false">
      <c r="A23" s="38" t="s">
        <v>40</v>
      </c>
      <c r="B23" s="38" t="n">
        <v>22</v>
      </c>
      <c r="C23" s="38" t="s">
        <v>171</v>
      </c>
      <c r="D23" s="38" t="s">
        <v>867</v>
      </c>
      <c r="E23" s="38" t="str">
        <f aca="false">B23&amp;"|"&amp;C23</f>
        <v>22|U</v>
      </c>
      <c r="F23" s="45" t="n">
        <f aca="false">INDEX('Emission Stepwise'!$H$2:$H$289,MATCH(E23,'Emission Stepwise'!$C$2:$C$289,0))</f>
        <v>0.0738916256157636</v>
      </c>
      <c r="G23" s="45" t="n">
        <f aca="false">INDEX(Background!$C$4:$C$7,MATCH(C23,Background!$A$4:$A$7,0))</f>
        <v>0.212884169069555</v>
      </c>
      <c r="H23" s="49" t="n">
        <f aca="false">LN(F23/G23)</f>
        <v>-1.05814870956492</v>
      </c>
    </row>
    <row r="24" customFormat="false" ht="15" hidden="false" customHeight="true" outlineLevel="0" collapsed="false">
      <c r="A24" s="38" t="s">
        <v>40</v>
      </c>
      <c r="B24" s="38" t="n">
        <v>23</v>
      </c>
      <c r="C24" s="38" t="s">
        <v>170</v>
      </c>
      <c r="D24" s="38" t="s">
        <v>867</v>
      </c>
      <c r="E24" s="38" t="str">
        <f aca="false">B24&amp;"|"&amp;C24</f>
        <v>23|C</v>
      </c>
      <c r="F24" s="45" t="n">
        <f aca="false">INDEX('Emission Stepwise'!$H$2:$H$289,MATCH(E24,'Emission Stepwise'!$C$2:$C$289,0))</f>
        <v>0.192118226600985</v>
      </c>
      <c r="G24" s="45" t="n">
        <f aca="false">INDEX(Background!$C$4:$C$7,MATCH(C24,Background!$A$4:$A$7,0))</f>
        <v>0.276812715380828</v>
      </c>
      <c r="H24" s="49" t="n">
        <f aca="false">LN(F24/G24)</f>
        <v>-0.365230213687911</v>
      </c>
    </row>
    <row r="25" customFormat="false" ht="15" hidden="false" customHeight="true" outlineLevel="0" collapsed="false">
      <c r="A25" s="38" t="s">
        <v>40</v>
      </c>
      <c r="B25" s="38" t="n">
        <v>24</v>
      </c>
      <c r="C25" s="38" t="s">
        <v>172</v>
      </c>
      <c r="D25" s="38" t="s">
        <v>867</v>
      </c>
      <c r="E25" s="38" t="str">
        <f aca="false">B25&amp;"|"&amp;C25</f>
        <v>24|A</v>
      </c>
      <c r="F25" s="45" t="n">
        <f aca="false">INDEX('Emission Stepwise'!$H$2:$H$289,MATCH(E25,'Emission Stepwise'!$C$2:$C$289,0))</f>
        <v>0.187192118226601</v>
      </c>
      <c r="G25" s="45" t="n">
        <f aca="false">INDEX(Background!$C$4:$C$7,MATCH(C25,Background!$A$4:$A$7,0))</f>
        <v>0.185174766157958</v>
      </c>
      <c r="H25" s="49" t="n">
        <f aca="false">LN(F25/G25)</f>
        <v>0.0108353985846635</v>
      </c>
    </row>
    <row r="26" customFormat="false" ht="15" hidden="false" customHeight="true" outlineLevel="0" collapsed="false">
      <c r="A26" s="38" t="s">
        <v>40</v>
      </c>
      <c r="B26" s="38" t="n">
        <v>25</v>
      </c>
      <c r="C26" s="38" t="s">
        <v>171</v>
      </c>
      <c r="D26" s="38" t="s">
        <v>867</v>
      </c>
      <c r="E26" s="38" t="str">
        <f aca="false">B26&amp;"|"&amp;C26</f>
        <v>25|U</v>
      </c>
      <c r="F26" s="45" t="n">
        <f aca="false">INDEX('Emission Stepwise'!$H$2:$H$289,MATCH(E26,'Emission Stepwise'!$C$2:$C$289,0))</f>
        <v>0.0738916256157636</v>
      </c>
      <c r="G26" s="45" t="n">
        <f aca="false">INDEX(Background!$C$4:$C$7,MATCH(C26,Background!$A$4:$A$7,0))</f>
        <v>0.212884169069555</v>
      </c>
      <c r="H26" s="49" t="n">
        <f aca="false">LN(F26/G26)</f>
        <v>-1.05814870956492</v>
      </c>
    </row>
    <row r="27" customFormat="false" ht="15" hidden="false" customHeight="true" outlineLevel="0" collapsed="false">
      <c r="A27" s="38" t="s">
        <v>40</v>
      </c>
      <c r="B27" s="38" t="n">
        <v>26</v>
      </c>
      <c r="C27" s="38" t="s">
        <v>170</v>
      </c>
      <c r="D27" s="38" t="s">
        <v>868</v>
      </c>
      <c r="E27" s="38" t="str">
        <f aca="false">B27&amp;"|"&amp;C27</f>
        <v>26|C</v>
      </c>
      <c r="F27" s="45" t="n">
        <f aca="false">INDEX('Emission Stepwise'!$H$2:$H$289,MATCH(E27,'Emission Stepwise'!$C$2:$C$289,0))</f>
        <v>0.0295566502463054</v>
      </c>
      <c r="G27" s="45" t="n">
        <f aca="false">INDEX(Background!$C$4:$C$7,MATCH(C27,Background!$A$4:$A$7,0))</f>
        <v>0.276812715380828</v>
      </c>
      <c r="H27" s="49" t="n">
        <f aca="false">LN(F27/G27)</f>
        <v>-2.2370323905895</v>
      </c>
    </row>
    <row r="28" customFormat="false" ht="15" hidden="false" customHeight="true" outlineLevel="0" collapsed="false">
      <c r="A28" s="38" t="s">
        <v>40</v>
      </c>
      <c r="B28" s="38" t="n">
        <v>27</v>
      </c>
      <c r="C28" s="38" t="s">
        <v>171</v>
      </c>
      <c r="D28" s="38" t="s">
        <v>868</v>
      </c>
      <c r="E28" s="38" t="str">
        <f aca="false">B28&amp;"|"&amp;C28</f>
        <v>27|U</v>
      </c>
      <c r="F28" s="45" t="n">
        <f aca="false">INDEX('Emission Stepwise'!$H$2:$H$289,MATCH(E28,'Emission Stepwise'!$C$2:$C$289,0))</f>
        <v>0.25615763546798</v>
      </c>
      <c r="G28" s="45" t="n">
        <f aca="false">INDEX(Background!$C$4:$C$7,MATCH(C28,Background!$A$4:$A$7,0))</f>
        <v>0.212884169069555</v>
      </c>
      <c r="H28" s="49" t="n">
        <f aca="false">LN(F28/G28)</f>
        <v>0.185044807914296</v>
      </c>
    </row>
    <row r="29" customFormat="false" ht="15" hidden="false" customHeight="true" outlineLevel="0" collapsed="false">
      <c r="A29" s="38" t="s">
        <v>40</v>
      </c>
      <c r="B29" s="38" t="n">
        <v>28</v>
      </c>
      <c r="C29" s="38" t="s">
        <v>169</v>
      </c>
      <c r="D29" s="38" t="s">
        <v>868</v>
      </c>
      <c r="E29" s="38" t="str">
        <f aca="false">B29&amp;"|"&amp;C29</f>
        <v>28|G</v>
      </c>
      <c r="F29" s="45" t="n">
        <f aca="false">INDEX('Emission Stepwise'!$H$2:$H$289,MATCH(E29,'Emission Stepwise'!$C$2:$C$289,0))</f>
        <v>0.113300492610837</v>
      </c>
      <c r="G29" s="45" t="n">
        <f aca="false">INDEX(Background!$C$4:$C$7,MATCH(C29,Background!$A$4:$A$7,0))</f>
        <v>0.325128349391659</v>
      </c>
      <c r="H29" s="49" t="n">
        <f aca="false">LN(F29/G29)</f>
        <v>-1.05417650970449</v>
      </c>
    </row>
    <row r="30" customFormat="false" ht="15" hidden="false" customHeight="true" outlineLevel="0" collapsed="false">
      <c r="A30" s="38" t="s">
        <v>40</v>
      </c>
      <c r="B30" s="38" t="n">
        <v>29</v>
      </c>
      <c r="C30" s="38" t="s">
        <v>171</v>
      </c>
      <c r="D30" s="38" t="s">
        <v>868</v>
      </c>
      <c r="E30" s="38" t="str">
        <f aca="false">B30&amp;"|"&amp;C30</f>
        <v>29|U</v>
      </c>
      <c r="F30" s="45" t="n">
        <f aca="false">INDEX('Emission Stepwise'!$H$2:$H$289,MATCH(E30,'Emission Stepwise'!$C$2:$C$289,0))</f>
        <v>0.275862068965517</v>
      </c>
      <c r="G30" s="45" t="n">
        <f aca="false">INDEX(Background!$C$4:$C$7,MATCH(C30,Background!$A$4:$A$7,0))</f>
        <v>0.212884169069555</v>
      </c>
      <c r="H30" s="49" t="n">
        <f aca="false">LN(F30/G30)</f>
        <v>0.259152780068018</v>
      </c>
    </row>
    <row r="31" customFormat="false" ht="15" hidden="false" customHeight="true" outlineLevel="0" collapsed="false">
      <c r="A31" s="38" t="s">
        <v>40</v>
      </c>
      <c r="B31" s="38" t="n">
        <v>30</v>
      </c>
      <c r="C31" s="38" t="s">
        <v>172</v>
      </c>
      <c r="D31" s="38" t="s">
        <v>868</v>
      </c>
      <c r="E31" s="38" t="str">
        <f aca="false">B31&amp;"|"&amp;C31</f>
        <v>30|A</v>
      </c>
      <c r="F31" s="45" t="n">
        <f aca="false">INDEX('Emission Stepwise'!$H$2:$H$289,MATCH(E31,'Emission Stepwise'!$C$2:$C$289,0))</f>
        <v>0.00492610837438424</v>
      </c>
      <c r="G31" s="45" t="n">
        <f aca="false">INDEX(Background!$C$4:$C$7,MATCH(C31,Background!$A$4:$A$7,0))</f>
        <v>0.185174766157958</v>
      </c>
      <c r="H31" s="49" t="n">
        <f aca="false">LN(F31/G31)</f>
        <v>-3.62675076114172</v>
      </c>
    </row>
    <row r="32" customFormat="false" ht="15" hidden="false" customHeight="true" outlineLevel="0" collapsed="false">
      <c r="A32" s="38" t="s">
        <v>40</v>
      </c>
      <c r="B32" s="38" t="n">
        <v>31</v>
      </c>
      <c r="C32" s="38" t="s">
        <v>172</v>
      </c>
      <c r="D32" s="38" t="s">
        <v>868</v>
      </c>
      <c r="E32" s="38" t="str">
        <f aca="false">B32&amp;"|"&amp;C32</f>
        <v>31|A</v>
      </c>
      <c r="F32" s="45" t="n">
        <f aca="false">INDEX('Emission Stepwise'!$H$2:$H$289,MATCH(E32,'Emission Stepwise'!$C$2:$C$289,0))</f>
        <v>0.270935960591133</v>
      </c>
      <c r="G32" s="45" t="n">
        <f aca="false">INDEX(Background!$C$4:$C$7,MATCH(C32,Background!$A$4:$A$7,0))</f>
        <v>0.185174766157958</v>
      </c>
      <c r="H32" s="49" t="n">
        <f aca="false">LN(F32/G32)</f>
        <v>0.380582424090749</v>
      </c>
    </row>
    <row r="33" customFormat="false" ht="15" hidden="false" customHeight="true" outlineLevel="0" collapsed="false">
      <c r="A33" s="38" t="s">
        <v>40</v>
      </c>
      <c r="B33" s="38" t="n">
        <v>32</v>
      </c>
      <c r="C33" s="38" t="s">
        <v>171</v>
      </c>
      <c r="D33" s="38" t="s">
        <v>868</v>
      </c>
      <c r="E33" s="38" t="str">
        <f aca="false">B33&amp;"|"&amp;C33</f>
        <v>32|U</v>
      </c>
      <c r="F33" s="45" t="n">
        <f aca="false">INDEX('Emission Stepwise'!$H$2:$H$289,MATCH(E33,'Emission Stepwise'!$C$2:$C$289,0))</f>
        <v>0.295566502463054</v>
      </c>
      <c r="G33" s="45" t="n">
        <f aca="false">INDEX(Background!$C$4:$C$7,MATCH(C33,Background!$A$4:$A$7,0))</f>
        <v>0.212884169069555</v>
      </c>
      <c r="H33" s="49" t="n">
        <f aca="false">LN(F33/G33)</f>
        <v>0.328145651554969</v>
      </c>
    </row>
    <row r="34" customFormat="false" ht="15" hidden="false" customHeight="true" outlineLevel="0" collapsed="false">
      <c r="A34" s="38" t="s">
        <v>40</v>
      </c>
      <c r="B34" s="38" t="n">
        <v>33</v>
      </c>
      <c r="C34" s="38" t="s">
        <v>171</v>
      </c>
      <c r="D34" s="38" t="s">
        <v>868</v>
      </c>
      <c r="E34" s="38" t="str">
        <f aca="false">B34&amp;"|"&amp;C34</f>
        <v>33|U</v>
      </c>
      <c r="F34" s="45" t="n">
        <f aca="false">INDEX('Emission Stepwise'!$H$2:$H$289,MATCH(E34,'Emission Stepwise'!$C$2:$C$289,0))</f>
        <v>0.975369458128079</v>
      </c>
      <c r="G34" s="45" t="n">
        <f aca="false">INDEX(Background!$C$4:$C$7,MATCH(C34,Background!$A$4:$A$7,0))</f>
        <v>0.212884169069555</v>
      </c>
      <c r="H34" s="49" t="n">
        <f aca="false">LN(F34/G34)</f>
        <v>1.5220681200274</v>
      </c>
    </row>
    <row r="35" customFormat="false" ht="15" hidden="false" customHeight="true" outlineLevel="0" collapsed="false">
      <c r="A35" s="38" t="s">
        <v>40</v>
      </c>
      <c r="B35" s="38" t="n">
        <v>34</v>
      </c>
      <c r="C35" s="38" t="s">
        <v>171</v>
      </c>
      <c r="D35" s="38" t="s">
        <v>868</v>
      </c>
      <c r="E35" s="38" t="str">
        <f aca="false">B35&amp;"|"&amp;C35</f>
        <v>34|U</v>
      </c>
      <c r="F35" s="45" t="n">
        <f aca="false">INDEX('Emission Stepwise'!$H$2:$H$289,MATCH(E35,'Emission Stepwise'!$C$2:$C$289,0))</f>
        <v>0.29064039408867</v>
      </c>
      <c r="G35" s="45" t="n">
        <f aca="false">INDEX(Background!$C$4:$C$7,MATCH(C35,Background!$A$4:$A$7,0))</f>
        <v>0.212884169069555</v>
      </c>
      <c r="H35" s="49" t="n">
        <f aca="false">LN(F35/G35)</f>
        <v>0.311338533238588</v>
      </c>
    </row>
    <row r="36" customFormat="false" ht="15" hidden="false" customHeight="true" outlineLevel="0" collapsed="false">
      <c r="A36" s="38" t="s">
        <v>40</v>
      </c>
      <c r="B36" s="38" t="n">
        <v>35</v>
      </c>
      <c r="C36" s="38" t="s">
        <v>171</v>
      </c>
      <c r="D36" s="38" t="s">
        <v>868</v>
      </c>
      <c r="E36" s="38" t="str">
        <f aca="false">B36&amp;"|"&amp;C36</f>
        <v>35|U</v>
      </c>
      <c r="F36" s="45" t="n">
        <f aca="false">INDEX('Emission Stepwise'!$H$2:$H$289,MATCH(E36,'Emission Stepwise'!$C$2:$C$289,0))</f>
        <v>0.206896551724138</v>
      </c>
      <c r="G36" s="45" t="n">
        <f aca="false">INDEX(Background!$C$4:$C$7,MATCH(C36,Background!$A$4:$A$7,0))</f>
        <v>0.212884169069555</v>
      </c>
      <c r="H36" s="49" t="n">
        <f aca="false">LN(F36/G36)</f>
        <v>-0.0285292923837632</v>
      </c>
    </row>
    <row r="37" customFormat="false" ht="15" hidden="false" customHeight="true" outlineLevel="0" collapsed="false">
      <c r="A37" s="38" t="s">
        <v>40</v>
      </c>
      <c r="B37" s="38" t="n">
        <v>36</v>
      </c>
      <c r="C37" s="38" t="s">
        <v>172</v>
      </c>
      <c r="D37" s="38" t="s">
        <v>868</v>
      </c>
      <c r="E37" s="38" t="str">
        <f aca="false">B37&amp;"|"&amp;C37</f>
        <v>36|A</v>
      </c>
      <c r="F37" s="45" t="n">
        <f aca="false">INDEX('Emission Stepwise'!$H$2:$H$289,MATCH(E37,'Emission Stepwise'!$C$2:$C$289,0))</f>
        <v>0.216748768472906</v>
      </c>
      <c r="G37" s="45" t="n">
        <f aca="false">INDEX(Background!$C$4:$C$7,MATCH(C37,Background!$A$4:$A$7,0))</f>
        <v>0.185174766157958</v>
      </c>
      <c r="H37" s="49" t="n">
        <f aca="false">LN(F37/G37)</f>
        <v>0.157438872776539</v>
      </c>
    </row>
    <row r="38" customFormat="false" ht="15" hidden="false" customHeight="true" outlineLevel="0" collapsed="false">
      <c r="A38" s="38" t="s">
        <v>40</v>
      </c>
      <c r="B38" s="38" t="n">
        <v>37</v>
      </c>
      <c r="C38" s="38" t="s">
        <v>172</v>
      </c>
      <c r="D38" s="38" t="s">
        <v>868</v>
      </c>
      <c r="E38" s="38" t="str">
        <f aca="false">B38&amp;"|"&amp;C38</f>
        <v>37|A</v>
      </c>
      <c r="F38" s="45" t="n">
        <f aca="false">INDEX('Emission Stepwise'!$H$2:$H$289,MATCH(E38,'Emission Stepwise'!$C$2:$C$289,0))</f>
        <v>0.74384236453202</v>
      </c>
      <c r="G38" s="45" t="n">
        <f aca="false">INDEX(Background!$C$4:$C$7,MATCH(C38,Background!$A$4:$A$7,0))</f>
        <v>0.185174766157958</v>
      </c>
      <c r="H38" s="49" t="n">
        <f aca="false">LN(F38/G38)</f>
        <v>1.3905290756732</v>
      </c>
    </row>
    <row r="39" customFormat="false" ht="15" hidden="false" customHeight="true" outlineLevel="0" collapsed="false">
      <c r="A39" s="38" t="s">
        <v>40</v>
      </c>
      <c r="B39" s="38" t="n">
        <v>38</v>
      </c>
      <c r="C39" s="38" t="s">
        <v>172</v>
      </c>
      <c r="D39" s="38" t="s">
        <v>868</v>
      </c>
      <c r="E39" s="38" t="str">
        <f aca="false">B39&amp;"|"&amp;C39</f>
        <v>38|A</v>
      </c>
      <c r="F39" s="45" t="n">
        <f aca="false">INDEX('Emission Stepwise'!$H$2:$H$289,MATCH(E39,'Emission Stepwise'!$C$2:$C$289,0))</f>
        <v>0.724137931034483</v>
      </c>
      <c r="G39" s="45" t="n">
        <f aca="false">INDEX(Background!$C$4:$C$7,MATCH(C39,Background!$A$4:$A$7,0))</f>
        <v>0.185174766157958</v>
      </c>
      <c r="H39" s="49" t="n">
        <f aca="false">LN(F39/G39)</f>
        <v>1.36368182563701</v>
      </c>
    </row>
    <row r="40" customFormat="false" ht="15" hidden="false" customHeight="true" outlineLevel="0" collapsed="false">
      <c r="A40" s="38" t="s">
        <v>40</v>
      </c>
      <c r="B40" s="38" t="n">
        <v>39</v>
      </c>
      <c r="C40" s="38" t="s">
        <v>171</v>
      </c>
      <c r="D40" s="38" t="s">
        <v>868</v>
      </c>
      <c r="E40" s="38" t="str">
        <f aca="false">B40&amp;"|"&amp;C40</f>
        <v>39|U</v>
      </c>
      <c r="F40" s="45" t="n">
        <f aca="false">INDEX('Emission Stepwise'!$H$2:$H$289,MATCH(E40,'Emission Stepwise'!$C$2:$C$289,0))</f>
        <v>0.295566502463054</v>
      </c>
      <c r="G40" s="45" t="n">
        <f aca="false">INDEX(Background!$C$4:$C$7,MATCH(C40,Background!$A$4:$A$7,0))</f>
        <v>0.212884169069555</v>
      </c>
      <c r="H40" s="49" t="n">
        <f aca="false">LN(F40/G40)</f>
        <v>0.328145651554969</v>
      </c>
    </row>
    <row r="41" customFormat="false" ht="15" hidden="false" customHeight="true" outlineLevel="0" collapsed="false">
      <c r="A41" s="38" t="s">
        <v>40</v>
      </c>
      <c r="B41" s="38" t="n">
        <v>40</v>
      </c>
      <c r="C41" s="38" t="s">
        <v>171</v>
      </c>
      <c r="D41" s="38" t="s">
        <v>868</v>
      </c>
      <c r="E41" s="38" t="str">
        <f aca="false">B41&amp;"|"&amp;C41</f>
        <v>40|U</v>
      </c>
      <c r="F41" s="45" t="n">
        <f aca="false">INDEX('Emission Stepwise'!$H$2:$H$289,MATCH(E41,'Emission Stepwise'!$C$2:$C$289,0))</f>
        <v>0.0443349753694581</v>
      </c>
      <c r="G41" s="45" t="n">
        <f aca="false">INDEX(Background!$C$4:$C$7,MATCH(C41,Background!$A$4:$A$7,0))</f>
        <v>0.212884169069555</v>
      </c>
      <c r="H41" s="49" t="n">
        <f aca="false">LN(F41/G41)</f>
        <v>-1.56897433333091</v>
      </c>
    </row>
    <row r="42" customFormat="false" ht="15" hidden="false" customHeight="true" outlineLevel="0" collapsed="false">
      <c r="A42" s="38" t="s">
        <v>40</v>
      </c>
      <c r="B42" s="38" t="n">
        <v>41</v>
      </c>
      <c r="C42" s="38" t="s">
        <v>172</v>
      </c>
      <c r="D42" s="38" t="s">
        <v>868</v>
      </c>
      <c r="E42" s="38" t="str">
        <f aca="false">B42&amp;"|"&amp;C42</f>
        <v>41|A</v>
      </c>
      <c r="F42" s="45" t="n">
        <f aca="false">INDEX('Emission Stepwise'!$H$2:$H$289,MATCH(E42,'Emission Stepwise'!$C$2:$C$289,0))</f>
        <v>0.270935960591133</v>
      </c>
      <c r="G42" s="45" t="n">
        <f aca="false">INDEX(Background!$C$4:$C$7,MATCH(C42,Background!$A$4:$A$7,0))</f>
        <v>0.185174766157958</v>
      </c>
      <c r="H42" s="49" t="n">
        <f aca="false">LN(F42/G42)</f>
        <v>0.380582424090749</v>
      </c>
    </row>
    <row r="43" customFormat="false" ht="15" hidden="false" customHeight="true" outlineLevel="0" collapsed="false">
      <c r="A43" s="38" t="s">
        <v>40</v>
      </c>
      <c r="B43" s="38" t="n">
        <v>42</v>
      </c>
      <c r="C43" s="38" t="s">
        <v>170</v>
      </c>
      <c r="D43" s="38" t="s">
        <v>868</v>
      </c>
      <c r="E43" s="38" t="str">
        <f aca="false">B43&amp;"|"&amp;C43</f>
        <v>42|C</v>
      </c>
      <c r="F43" s="45" t="n">
        <f aca="false">INDEX('Emission Stepwise'!$H$2:$H$289,MATCH(E43,'Emission Stepwise'!$C$2:$C$289,0))</f>
        <v>0.103448275862069</v>
      </c>
      <c r="G43" s="45" t="n">
        <f aca="false">INDEX(Background!$C$4:$C$7,MATCH(C43,Background!$A$4:$A$7,0))</f>
        <v>0.276812715380828</v>
      </c>
      <c r="H43" s="49" t="n">
        <f aca="false">LN(F43/G43)</f>
        <v>-0.984269422094134</v>
      </c>
    </row>
    <row r="44" customFormat="false" ht="15" hidden="false" customHeight="true" outlineLevel="0" collapsed="false">
      <c r="A44" s="38" t="s">
        <v>40</v>
      </c>
      <c r="B44" s="38" t="n">
        <v>43</v>
      </c>
      <c r="C44" s="38" t="s">
        <v>172</v>
      </c>
      <c r="D44" s="38" t="s">
        <v>868</v>
      </c>
      <c r="E44" s="38" t="str">
        <f aca="false">B44&amp;"|"&amp;C44</f>
        <v>43|A</v>
      </c>
      <c r="F44" s="45" t="n">
        <f aca="false">INDEX('Emission Stepwise'!$H$2:$H$289,MATCH(E44,'Emission Stepwise'!$C$2:$C$289,0))</f>
        <v>0.226600985221675</v>
      </c>
      <c r="G44" s="45" t="n">
        <f aca="false">INDEX(Background!$C$4:$C$7,MATCH(C44,Background!$A$4:$A$7,0))</f>
        <v>0.185174766157958</v>
      </c>
      <c r="H44" s="49" t="n">
        <f aca="false">LN(F44/G44)</f>
        <v>0.201890635347373</v>
      </c>
    </row>
    <row r="45" customFormat="false" ht="15" hidden="false" customHeight="true" outlineLevel="0" collapsed="false">
      <c r="A45" s="38" t="s">
        <v>40</v>
      </c>
      <c r="B45" s="38" t="n">
        <v>44</v>
      </c>
      <c r="C45" s="38" t="s">
        <v>169</v>
      </c>
      <c r="D45" s="38" t="s">
        <v>868</v>
      </c>
      <c r="E45" s="38" t="str">
        <f aca="false">B45&amp;"|"&amp;C45</f>
        <v>44|G</v>
      </c>
      <c r="F45" s="45" t="n">
        <f aca="false">INDEX('Emission Stepwise'!$H$2:$H$289,MATCH(E45,'Emission Stepwise'!$C$2:$C$289,0))</f>
        <v>0.231527093596059</v>
      </c>
      <c r="G45" s="45" t="n">
        <f aca="false">INDEX(Background!$C$4:$C$7,MATCH(C45,Background!$A$4:$A$7,0))</f>
        <v>0.325128349391659</v>
      </c>
      <c r="H45" s="49" t="n">
        <f aca="false">LN(F45/G45)</f>
        <v>-0.33952312392358</v>
      </c>
    </row>
    <row r="46" customFormat="false" ht="15" hidden="false" customHeight="true" outlineLevel="0" collapsed="false">
      <c r="A46" s="38" t="s">
        <v>40</v>
      </c>
      <c r="B46" s="38" t="n">
        <v>45</v>
      </c>
      <c r="C46" s="38" t="s">
        <v>171</v>
      </c>
      <c r="D46" s="38" t="s">
        <v>869</v>
      </c>
      <c r="E46" s="38" t="str">
        <f aca="false">B46&amp;"|"&amp;C46</f>
        <v>45|U</v>
      </c>
      <c r="F46" s="45" t="n">
        <f aca="false">INDEX('Emission Stepwise'!$H$2:$H$289,MATCH(E46,'Emission Stepwise'!$C$2:$C$289,0))</f>
        <v>0.144278606965174</v>
      </c>
      <c r="G46" s="45" t="n">
        <f aca="false">INDEX(Background!$C$4:$C$7,MATCH(C46,Background!$A$4:$A$7,0))</f>
        <v>0.212884169069555</v>
      </c>
      <c r="H46" s="49" t="n">
        <f aca="false">LN(F46/G46)</f>
        <v>-0.389002009697946</v>
      </c>
    </row>
    <row r="47" customFormat="false" ht="15" hidden="false" customHeight="true" outlineLevel="0" collapsed="false">
      <c r="A47" s="38" t="s">
        <v>40</v>
      </c>
      <c r="B47" s="38" t="n">
        <v>46</v>
      </c>
      <c r="C47" s="38" t="s">
        <v>176</v>
      </c>
      <c r="D47" s="38" t="s">
        <v>869</v>
      </c>
      <c r="E47" s="38"/>
      <c r="F47" s="38"/>
      <c r="G47" s="38"/>
      <c r="H47" s="38"/>
    </row>
    <row r="48" customFormat="false" ht="15" hidden="false" customHeight="true" outlineLevel="0" collapsed="false">
      <c r="A48" s="38" t="s">
        <v>40</v>
      </c>
      <c r="B48" s="38" t="n">
        <v>47</v>
      </c>
      <c r="C48" s="38" t="s">
        <v>171</v>
      </c>
      <c r="D48" s="38" t="s">
        <v>869</v>
      </c>
      <c r="E48" s="38" t="str">
        <f aca="false">B48&amp;"|"&amp;C48</f>
        <v>47|U</v>
      </c>
      <c r="F48" s="45" t="n">
        <f aca="false">INDEX('Emission Stepwise'!$H$2:$H$289,MATCH(E48,'Emission Stepwise'!$C$2:$C$289,0))</f>
        <v>0.665024630541872</v>
      </c>
      <c r="G48" s="45" t="n">
        <f aca="false">INDEX(Background!$C$4:$C$7,MATCH(C48,Background!$A$4:$A$7,0))</f>
        <v>0.212884169069555</v>
      </c>
      <c r="H48" s="49" t="n">
        <f aca="false">LN(F48/G48)</f>
        <v>1.1390758677713</v>
      </c>
    </row>
    <row r="49" customFormat="false" ht="15" hidden="false" customHeight="true" outlineLevel="0" collapsed="false">
      <c r="A49" s="38" t="s">
        <v>40</v>
      </c>
      <c r="B49" s="38" t="n">
        <v>48</v>
      </c>
      <c r="C49" s="38" t="s">
        <v>171</v>
      </c>
      <c r="D49" s="38" t="s">
        <v>869</v>
      </c>
      <c r="E49" s="38" t="str">
        <f aca="false">B49&amp;"|"&amp;C49</f>
        <v>48|U</v>
      </c>
      <c r="F49" s="45" t="n">
        <f aca="false">INDEX('Emission Stepwise'!$H$2:$H$289,MATCH(E49,'Emission Stepwise'!$C$2:$C$289,0))</f>
        <v>0.147783251231527</v>
      </c>
      <c r="G49" s="45" t="n">
        <f aca="false">INDEX(Background!$C$4:$C$7,MATCH(C49,Background!$A$4:$A$7,0))</f>
        <v>0.212884169069555</v>
      </c>
      <c r="H49" s="49" t="n">
        <f aca="false">LN(F49/G49)</f>
        <v>-0.365001529004976</v>
      </c>
    </row>
    <row r="50" customFormat="false" ht="15" hidden="false" customHeight="true" outlineLevel="0" collapsed="false">
      <c r="A50" s="38" t="s">
        <v>40</v>
      </c>
      <c r="B50" s="38" t="n">
        <v>49</v>
      </c>
      <c r="C50" s="38" t="s">
        <v>171</v>
      </c>
      <c r="D50" s="38" t="s">
        <v>870</v>
      </c>
      <c r="E50" s="38" t="str">
        <f aca="false">B50&amp;"|"&amp;C50</f>
        <v>49|U</v>
      </c>
      <c r="F50" s="45" t="n">
        <f aca="false">INDEX('Emission Stepwise'!$H$2:$H$289,MATCH(E50,'Emission Stepwise'!$C$2:$C$289,0))</f>
        <v>0.0591133004926108</v>
      </c>
      <c r="G50" s="45" t="n">
        <f aca="false">INDEX(Background!$C$4:$C$7,MATCH(C50,Background!$A$4:$A$7,0))</f>
        <v>0.212884169069555</v>
      </c>
      <c r="H50" s="49" t="n">
        <f aca="false">LN(F50/G50)</f>
        <v>-1.28129226087913</v>
      </c>
    </row>
    <row r="51" customFormat="false" ht="15" hidden="false" customHeight="true" outlineLevel="0" collapsed="false">
      <c r="A51" s="38" t="s">
        <v>40</v>
      </c>
      <c r="B51" s="38" t="n">
        <v>50</v>
      </c>
      <c r="C51" s="38" t="s">
        <v>172</v>
      </c>
      <c r="D51" s="38" t="s">
        <v>870</v>
      </c>
      <c r="E51" s="38" t="str">
        <f aca="false">B51&amp;"|"&amp;C51</f>
        <v>50|A</v>
      </c>
      <c r="F51" s="45" t="n">
        <f aca="false">INDEX('Emission Stepwise'!$H$2:$H$289,MATCH(E51,'Emission Stepwise'!$C$2:$C$289,0))</f>
        <v>0.118226600985222</v>
      </c>
      <c r="G51" s="45" t="n">
        <f aca="false">INDEX(Background!$C$4:$C$7,MATCH(C51,Background!$A$4:$A$7,0))</f>
        <v>0.185174766157958</v>
      </c>
      <c r="H51" s="49" t="n">
        <f aca="false">LN(F51/G51)</f>
        <v>-0.448696930793777</v>
      </c>
    </row>
    <row r="52" customFormat="false" ht="15" hidden="false" customHeight="true" outlineLevel="0" collapsed="false">
      <c r="A52" s="38" t="s">
        <v>40</v>
      </c>
      <c r="B52" s="38" t="n">
        <v>51</v>
      </c>
      <c r="C52" s="38" t="s">
        <v>169</v>
      </c>
      <c r="D52" s="38" t="s">
        <v>870</v>
      </c>
      <c r="E52" s="38" t="str">
        <f aca="false">B52&amp;"|"&amp;C52</f>
        <v>51|G</v>
      </c>
      <c r="F52" s="45" t="n">
        <f aca="false">INDEX('Emission Stepwise'!$H$2:$H$289,MATCH(E52,'Emission Stepwise'!$C$2:$C$289,0))</f>
        <v>0.495049504950495</v>
      </c>
      <c r="G52" s="45" t="n">
        <f aca="false">INDEX(Background!$C$4:$C$7,MATCH(C52,Background!$A$4:$A$7,0))</f>
        <v>0.325128349391659</v>
      </c>
      <c r="H52" s="49" t="n">
        <f aca="false">LN(F52/G52)</f>
        <v>0.420437741995036</v>
      </c>
    </row>
    <row r="53" customFormat="false" ht="15" hidden="false" customHeight="true" outlineLevel="0" collapsed="false">
      <c r="A53" s="38" t="s">
        <v>40</v>
      </c>
      <c r="B53" s="38" t="n">
        <v>52</v>
      </c>
      <c r="C53" s="38" t="s">
        <v>169</v>
      </c>
      <c r="D53" s="38" t="s">
        <v>870</v>
      </c>
      <c r="E53" s="38" t="str">
        <f aca="false">B53&amp;"|"&amp;C53</f>
        <v>52|G</v>
      </c>
      <c r="F53" s="45" t="n">
        <f aca="false">INDEX('Emission Stepwise'!$H$2:$H$289,MATCH(E53,'Emission Stepwise'!$C$2:$C$289,0))</f>
        <v>0.827586206896552</v>
      </c>
      <c r="G53" s="45" t="n">
        <f aca="false">INDEX(Background!$C$4:$C$7,MATCH(C53,Background!$A$4:$A$7,0))</f>
        <v>0.325128349391659</v>
      </c>
      <c r="H53" s="49" t="n">
        <f aca="false">LN(F53/G53)</f>
        <v>0.934293253769621</v>
      </c>
    </row>
    <row r="54" customFormat="false" ht="15" hidden="false" customHeight="true" outlineLevel="0" collapsed="false">
      <c r="A54" s="38" t="s">
        <v>40</v>
      </c>
      <c r="B54" s="38" t="n">
        <v>53</v>
      </c>
      <c r="C54" s="38" t="s">
        <v>169</v>
      </c>
      <c r="D54" s="38" t="s">
        <v>870</v>
      </c>
      <c r="E54" s="38" t="str">
        <f aca="false">B54&amp;"|"&amp;C54</f>
        <v>53|G</v>
      </c>
      <c r="F54" s="45" t="n">
        <f aca="false">INDEX('Emission Stepwise'!$H$2:$H$289,MATCH(E54,'Emission Stepwise'!$C$2:$C$289,0))</f>
        <v>0.96551724137931</v>
      </c>
      <c r="G54" s="45" t="n">
        <f aca="false">INDEX(Background!$C$4:$C$7,MATCH(C54,Background!$A$4:$A$7,0))</f>
        <v>0.325128349391659</v>
      </c>
      <c r="H54" s="49" t="n">
        <f aca="false">LN(F54/G54)</f>
        <v>1.08844393359688</v>
      </c>
    </row>
    <row r="55" customFormat="false" ht="15" hidden="false" customHeight="true" outlineLevel="0" collapsed="false">
      <c r="A55" s="38" t="s">
        <v>40</v>
      </c>
      <c r="B55" s="38" t="n">
        <v>54</v>
      </c>
      <c r="C55" s="38" t="s">
        <v>172</v>
      </c>
      <c r="D55" s="38" t="s">
        <v>870</v>
      </c>
      <c r="E55" s="38" t="str">
        <f aca="false">B55&amp;"|"&amp;C55</f>
        <v>54|A</v>
      </c>
      <c r="F55" s="45" t="n">
        <f aca="false">INDEX('Emission Stepwise'!$H$2:$H$289,MATCH(E55,'Emission Stepwise'!$C$2:$C$289,0))</f>
        <v>0.0147783251231527</v>
      </c>
      <c r="G55" s="45" t="n">
        <f aca="false">INDEX(Background!$C$4:$C$7,MATCH(C55,Background!$A$4:$A$7,0))</f>
        <v>0.185174766157958</v>
      </c>
      <c r="H55" s="49" t="n">
        <f aca="false">LN(F55/G55)</f>
        <v>-2.52813847247361</v>
      </c>
    </row>
    <row r="56" customFormat="false" ht="15" hidden="false" customHeight="true" outlineLevel="0" collapsed="false">
      <c r="A56" s="38" t="s">
        <v>40</v>
      </c>
      <c r="B56" s="38" t="n">
        <v>55</v>
      </c>
      <c r="C56" s="38" t="s">
        <v>171</v>
      </c>
      <c r="D56" s="38" t="s">
        <v>870</v>
      </c>
      <c r="E56" s="38" t="str">
        <f aca="false">B56&amp;"|"&amp;C56</f>
        <v>55|U</v>
      </c>
      <c r="F56" s="45" t="n">
        <f aca="false">INDEX('Emission Stepwise'!$H$2:$H$289,MATCH(E56,'Emission Stepwise'!$C$2:$C$289,0))</f>
        <v>0.970443349753695</v>
      </c>
      <c r="G56" s="45" t="n">
        <f aca="false">INDEX(Background!$C$4:$C$7,MATCH(C56,Background!$A$4:$A$7,0))</f>
        <v>0.212884169069555</v>
      </c>
      <c r="H56" s="49" t="n">
        <f aca="false">LN(F56/G56)</f>
        <v>1.51700481807086</v>
      </c>
    </row>
    <row r="57" customFormat="false" ht="15" hidden="false" customHeight="true" outlineLevel="0" collapsed="false">
      <c r="A57" s="38" t="s">
        <v>40</v>
      </c>
      <c r="B57" s="38" t="n">
        <v>56</v>
      </c>
      <c r="C57" s="38" t="s">
        <v>170</v>
      </c>
      <c r="D57" s="38" t="s">
        <v>870</v>
      </c>
      <c r="E57" s="38" t="str">
        <f aca="false">B57&amp;"|"&amp;C57</f>
        <v>56|C</v>
      </c>
      <c r="F57" s="45" t="n">
        <f aca="false">INDEX('Emission Stepwise'!$H$2:$H$289,MATCH(E57,'Emission Stepwise'!$C$2:$C$289,0))</f>
        <v>0.96551724137931</v>
      </c>
      <c r="G57" s="45" t="n">
        <f aca="false">INDEX(Background!$C$4:$C$7,MATCH(C57,Background!$A$4:$A$7,0))</f>
        <v>0.276812715380828</v>
      </c>
      <c r="H57" s="49" t="n">
        <f aca="false">LN(F57/G57)</f>
        <v>1.24932279941296</v>
      </c>
    </row>
    <row r="58" customFormat="false" ht="15" hidden="false" customHeight="true" outlineLevel="0" collapsed="false">
      <c r="A58" s="38" t="s">
        <v>40</v>
      </c>
      <c r="B58" s="38" t="n">
        <v>57</v>
      </c>
      <c r="C58" s="38" t="s">
        <v>170</v>
      </c>
      <c r="D58" s="38" t="s">
        <v>870</v>
      </c>
      <c r="E58" s="38" t="str">
        <f aca="false">B58&amp;"|"&amp;C58</f>
        <v>57|C</v>
      </c>
      <c r="F58" s="45" t="n">
        <f aca="false">INDEX('Emission Stepwise'!$H$2:$H$289,MATCH(E58,'Emission Stepwise'!$C$2:$C$289,0))</f>
        <v>0.00495049504950495</v>
      </c>
      <c r="G58" s="45" t="n">
        <f aca="false">INDEX(Background!$C$4:$C$7,MATCH(C58,Background!$A$4:$A$7,0))</f>
        <v>0.276812715380828</v>
      </c>
      <c r="H58" s="49" t="n">
        <f aca="false">LN(F58/G58)</f>
        <v>-4.02385357817698</v>
      </c>
    </row>
    <row r="59" customFormat="false" ht="15" hidden="false" customHeight="true" outlineLevel="0" collapsed="false">
      <c r="A59" s="38" t="s">
        <v>40</v>
      </c>
      <c r="B59" s="38" t="n">
        <v>58</v>
      </c>
      <c r="C59" s="38" t="s">
        <v>171</v>
      </c>
      <c r="D59" s="38" t="s">
        <v>870</v>
      </c>
      <c r="E59" s="38" t="str">
        <f aca="false">B59&amp;"|"&amp;C59</f>
        <v>58|U</v>
      </c>
      <c r="F59" s="45" t="n">
        <f aca="false">INDEX('Emission Stepwise'!$H$2:$H$289,MATCH(E59,'Emission Stepwise'!$C$2:$C$289,0))</f>
        <v>0.00985221674876847</v>
      </c>
      <c r="G59" s="45" t="n">
        <f aca="false">INDEX(Background!$C$4:$C$7,MATCH(C59,Background!$A$4:$A$7,0))</f>
        <v>0.212884169069555</v>
      </c>
      <c r="H59" s="49" t="n">
        <f aca="false">LN(F59/G59)</f>
        <v>-3.07305173010719</v>
      </c>
    </row>
    <row r="60" customFormat="false" ht="15" hidden="false" customHeight="true" outlineLevel="0" collapsed="false">
      <c r="A60" s="38" t="s">
        <v>40</v>
      </c>
      <c r="B60" s="38" t="n">
        <v>59</v>
      </c>
      <c r="C60" s="38" t="s">
        <v>171</v>
      </c>
      <c r="D60" s="38" t="s">
        <v>870</v>
      </c>
      <c r="E60" s="38" t="str">
        <f aca="false">B60&amp;"|"&amp;C60</f>
        <v>59|U</v>
      </c>
      <c r="F60" s="45" t="n">
        <f aca="false">INDEX('Emission Stepwise'!$H$2:$H$289,MATCH(E60,'Emission Stepwise'!$C$2:$C$289,0))</f>
        <v>0.251231527093596</v>
      </c>
      <c r="G60" s="45" t="n">
        <f aca="false">INDEX(Background!$C$4:$C$7,MATCH(C60,Background!$A$4:$A$7,0))</f>
        <v>0.212884169069555</v>
      </c>
      <c r="H60" s="49" t="n">
        <f aca="false">LN(F60/G60)</f>
        <v>0.165626722057194</v>
      </c>
    </row>
    <row r="61" customFormat="false" ht="15" hidden="false" customHeight="true" outlineLevel="0" collapsed="false">
      <c r="A61" s="38" t="s">
        <v>40</v>
      </c>
      <c r="B61" s="38" t="n">
        <v>60</v>
      </c>
      <c r="C61" s="38" t="s">
        <v>169</v>
      </c>
      <c r="D61" s="38" t="s">
        <v>870</v>
      </c>
      <c r="E61" s="38" t="str">
        <f aca="false">B61&amp;"|"&amp;C61</f>
        <v>60|G</v>
      </c>
      <c r="F61" s="45" t="n">
        <f aca="false">INDEX('Emission Stepwise'!$H$2:$H$289,MATCH(E61,'Emission Stepwise'!$C$2:$C$289,0))</f>
        <v>0.0147783251231527</v>
      </c>
      <c r="G61" s="45" t="n">
        <f aca="false">INDEX(Background!$C$4:$C$7,MATCH(C61,Background!$A$4:$A$7,0))</f>
        <v>0.325128349391659</v>
      </c>
      <c r="H61" s="49" t="n">
        <f aca="false">LN(F61/G61)</f>
        <v>-3.09105843696553</v>
      </c>
    </row>
    <row r="62" customFormat="false" ht="15" hidden="false" customHeight="true" outlineLevel="0" collapsed="false">
      <c r="A62" s="38" t="s">
        <v>40</v>
      </c>
      <c r="B62" s="38" t="n">
        <v>61</v>
      </c>
      <c r="C62" s="38" t="s">
        <v>170</v>
      </c>
      <c r="D62" s="38" t="s">
        <v>870</v>
      </c>
      <c r="E62" s="38" t="str">
        <f aca="false">B62&amp;"|"&amp;C62</f>
        <v>61|C</v>
      </c>
      <c r="F62" s="45" t="n">
        <f aca="false">INDEX('Emission Stepwise'!$H$2:$H$289,MATCH(E62,'Emission Stepwise'!$C$2:$C$289,0))</f>
        <v>0.975369458128079</v>
      </c>
      <c r="G62" s="45" t="n">
        <f aca="false">INDEX(Background!$C$4:$C$7,MATCH(C62,Background!$A$4:$A$7,0))</f>
        <v>0.276812715380828</v>
      </c>
      <c r="H62" s="49" t="n">
        <f aca="false">LN(F62/G62)</f>
        <v>1.25947517087698</v>
      </c>
    </row>
    <row r="63" customFormat="false" ht="15" hidden="false" customHeight="true" outlineLevel="0" collapsed="false">
      <c r="A63" s="38" t="s">
        <v>40</v>
      </c>
      <c r="B63" s="38" t="n">
        <v>62</v>
      </c>
      <c r="C63" s="38" t="s">
        <v>171</v>
      </c>
      <c r="D63" s="38" t="s">
        <v>870</v>
      </c>
      <c r="E63" s="38" t="str">
        <f aca="false">B63&amp;"|"&amp;C63</f>
        <v>62|U</v>
      </c>
      <c r="F63" s="45" t="n">
        <f aca="false">INDEX('Emission Stepwise'!$H$2:$H$289,MATCH(E63,'Emission Stepwise'!$C$2:$C$289,0))</f>
        <v>0.133004926108374</v>
      </c>
      <c r="G63" s="45" t="n">
        <f aca="false">INDEX(Background!$C$4:$C$7,MATCH(C63,Background!$A$4:$A$7,0))</f>
        <v>0.212884169069555</v>
      </c>
      <c r="H63" s="49" t="n">
        <f aca="false">LN(F63/G63)</f>
        <v>-0.470362044662802</v>
      </c>
    </row>
    <row r="64" customFormat="false" ht="15" hidden="false" customHeight="true" outlineLevel="0" collapsed="false">
      <c r="A64" s="38" t="s">
        <v>40</v>
      </c>
      <c r="B64" s="38" t="n">
        <v>63</v>
      </c>
      <c r="C64" s="38" t="s">
        <v>171</v>
      </c>
      <c r="D64" s="38" t="s">
        <v>870</v>
      </c>
      <c r="E64" s="38" t="str">
        <f aca="false">B64&amp;"|"&amp;C64</f>
        <v>63|U</v>
      </c>
      <c r="F64" s="45" t="n">
        <f aca="false">INDEX('Emission Stepwise'!$H$2:$H$289,MATCH(E64,'Emission Stepwise'!$C$2:$C$289,0))</f>
        <v>0.16256157635468</v>
      </c>
      <c r="G64" s="45" t="n">
        <f aca="false">INDEX(Background!$C$4:$C$7,MATCH(C64,Background!$A$4:$A$7,0))</f>
        <v>0.212884169069555</v>
      </c>
      <c r="H64" s="49" t="n">
        <f aca="false">LN(F64/G64)</f>
        <v>-0.269691349200651</v>
      </c>
    </row>
    <row r="65" customFormat="false" ht="15" hidden="false" customHeight="true" outlineLevel="0" collapsed="false">
      <c r="A65" s="38" t="s">
        <v>40</v>
      </c>
      <c r="B65" s="38" t="n">
        <v>64</v>
      </c>
      <c r="C65" s="38" t="s">
        <v>171</v>
      </c>
      <c r="D65" s="38" t="s">
        <v>870</v>
      </c>
      <c r="E65" s="38" t="str">
        <f aca="false">B65&amp;"|"&amp;C65</f>
        <v>64|U</v>
      </c>
      <c r="F65" s="45" t="n">
        <f aca="false">INDEX('Emission Stepwise'!$H$2:$H$289,MATCH(E65,'Emission Stepwise'!$C$2:$C$289,0))</f>
        <v>0.167487684729064</v>
      </c>
      <c r="G65" s="45" t="n">
        <f aca="false">INDEX(Background!$C$4:$C$7,MATCH(C65,Background!$A$4:$A$7,0))</f>
        <v>0.212884169069555</v>
      </c>
      <c r="H65" s="49" t="n">
        <f aca="false">LN(F65/G65)</f>
        <v>-0.23983838605097</v>
      </c>
    </row>
    <row r="66" customFormat="false" ht="15" hidden="false" customHeight="true" outlineLevel="0" collapsed="false">
      <c r="A66" s="38" t="s">
        <v>40</v>
      </c>
      <c r="B66" s="38" t="n">
        <v>65</v>
      </c>
      <c r="C66" s="38" t="s">
        <v>172</v>
      </c>
      <c r="D66" s="38" t="s">
        <v>870</v>
      </c>
      <c r="E66" s="38" t="str">
        <f aca="false">B66&amp;"|"&amp;C66</f>
        <v>65|A</v>
      </c>
      <c r="F66" s="45" t="n">
        <f aca="false">INDEX('Emission Stepwise'!$H$2:$H$289,MATCH(E66,'Emission Stepwise'!$C$2:$C$289,0))</f>
        <v>0.0495049504950495</v>
      </c>
      <c r="G66" s="45" t="n">
        <f aca="false">INDEX(Background!$C$4:$C$7,MATCH(C66,Background!$A$4:$A$7,0))</f>
        <v>0.185174766157958</v>
      </c>
      <c r="H66" s="49" t="n">
        <f aca="false">LN(F66/G66)</f>
        <v>-1.31922738650709</v>
      </c>
    </row>
    <row r="67" customFormat="false" ht="15" hidden="false" customHeight="true" outlineLevel="0" collapsed="false">
      <c r="A67" s="38" t="s">
        <v>40</v>
      </c>
      <c r="B67" s="38" t="n">
        <v>66</v>
      </c>
      <c r="C67" s="38" t="s">
        <v>170</v>
      </c>
      <c r="D67" s="38" t="s">
        <v>871</v>
      </c>
      <c r="E67" s="38" t="str">
        <f aca="false">B67&amp;"|"&amp;C67</f>
        <v>66|C</v>
      </c>
      <c r="F67" s="45" t="n">
        <f aca="false">INDEX('Emission Stepwise'!$H$2:$H$289,MATCH(E67,'Emission Stepwise'!$C$2:$C$289,0))</f>
        <v>0.522167487684729</v>
      </c>
      <c r="G67" s="45" t="n">
        <f aca="false">INDEX(Background!$C$4:$C$7,MATCH(C67,Background!$A$4:$A$7,0))</f>
        <v>0.276812715380828</v>
      </c>
      <c r="H67" s="49" t="n">
        <f aca="false">LN(F67/G67)</f>
        <v>0.63464723429451</v>
      </c>
    </row>
    <row r="68" customFormat="false" ht="15" hidden="false" customHeight="true" outlineLevel="0" collapsed="false">
      <c r="A68" s="38" t="s">
        <v>40</v>
      </c>
      <c r="B68" s="38" t="n">
        <v>67</v>
      </c>
      <c r="C68" s="38" t="s">
        <v>171</v>
      </c>
      <c r="D68" s="38" t="s">
        <v>871</v>
      </c>
      <c r="E68" s="38" t="str">
        <f aca="false">B68&amp;"|"&amp;C68</f>
        <v>67|U</v>
      </c>
      <c r="F68" s="45" t="n">
        <f aca="false">INDEX('Emission Stepwise'!$H$2:$H$289,MATCH(E68,'Emission Stepwise'!$C$2:$C$289,0))</f>
        <v>0.192118226600985</v>
      </c>
      <c r="G68" s="45" t="n">
        <f aca="false">INDEX(Background!$C$4:$C$7,MATCH(C68,Background!$A$4:$A$7,0))</f>
        <v>0.212884169069555</v>
      </c>
      <c r="H68" s="49" t="n">
        <f aca="false">LN(F68/G68)</f>
        <v>-0.102637264537485</v>
      </c>
    </row>
    <row r="69" customFormat="false" ht="15" hidden="false" customHeight="true" outlineLevel="0" collapsed="false">
      <c r="A69" s="38" t="s">
        <v>40</v>
      </c>
      <c r="B69" s="38" t="n">
        <v>68</v>
      </c>
      <c r="C69" s="38" t="s">
        <v>171</v>
      </c>
      <c r="D69" s="38" t="s">
        <v>871</v>
      </c>
      <c r="E69" s="38" t="str">
        <f aca="false">B69&amp;"|"&amp;C69</f>
        <v>68|U</v>
      </c>
      <c r="F69" s="45" t="n">
        <f aca="false">INDEX('Emission Stepwise'!$H$2:$H$289,MATCH(E69,'Emission Stepwise'!$C$2:$C$289,0))</f>
        <v>0.177339901477833</v>
      </c>
      <c r="G69" s="45" t="n">
        <f aca="false">INDEX(Background!$C$4:$C$7,MATCH(C69,Background!$A$4:$A$7,0))</f>
        <v>0.212884169069555</v>
      </c>
      <c r="H69" s="49" t="n">
        <f aca="false">LN(F69/G69)</f>
        <v>-0.182679972211022</v>
      </c>
    </row>
    <row r="70" customFormat="false" ht="15" hidden="false" customHeight="true" outlineLevel="0" collapsed="false">
      <c r="A70" s="38" t="s">
        <v>40</v>
      </c>
      <c r="B70" s="38" t="n">
        <v>69</v>
      </c>
      <c r="C70" s="38" t="s">
        <v>171</v>
      </c>
      <c r="D70" s="38" t="s">
        <v>871</v>
      </c>
      <c r="E70" s="38" t="str">
        <f aca="false">B70&amp;"|"&amp;C70</f>
        <v>69|U</v>
      </c>
      <c r="F70" s="45" t="n">
        <f aca="false">INDEX('Emission Stepwise'!$H$2:$H$289,MATCH(E70,'Emission Stepwise'!$C$2:$C$289,0))</f>
        <v>0.083743842364532</v>
      </c>
      <c r="G70" s="45" t="n">
        <f aca="false">INDEX(Background!$C$4:$C$7,MATCH(C70,Background!$A$4:$A$7,0))</f>
        <v>0.212884169069555</v>
      </c>
      <c r="H70" s="49" t="n">
        <f aca="false">LN(F70/G70)</f>
        <v>-0.932985566610916</v>
      </c>
    </row>
    <row r="71" customFormat="false" ht="15" hidden="false" customHeight="true" outlineLevel="0" collapsed="false">
      <c r="A71" s="38" t="s">
        <v>40</v>
      </c>
      <c r="B71" s="38" t="n">
        <v>70</v>
      </c>
      <c r="C71" s="38" t="s">
        <v>171</v>
      </c>
      <c r="D71" s="38" t="s">
        <v>871</v>
      </c>
      <c r="E71" s="38" t="str">
        <f aca="false">B71&amp;"|"&amp;C71</f>
        <v>70|U</v>
      </c>
      <c r="F71" s="45" t="n">
        <f aca="false">INDEX('Emission Stepwise'!$H$2:$H$289,MATCH(E71,'Emission Stepwise'!$C$2:$C$289,0))</f>
        <v>0.152709359605911</v>
      </c>
      <c r="G71" s="45" t="n">
        <f aca="false">INDEX(Background!$C$4:$C$7,MATCH(C71,Background!$A$4:$A$7,0))</f>
        <v>0.212884169069555</v>
      </c>
      <c r="H71" s="49" t="n">
        <f aca="false">LN(F71/G71)</f>
        <v>-0.332211706181985</v>
      </c>
    </row>
    <row r="72" customFormat="false" ht="15" hidden="false" customHeight="true" outlineLevel="0" collapsed="false">
      <c r="A72" s="38" t="s">
        <v>40</v>
      </c>
      <c r="B72" s="38" t="n">
        <v>71</v>
      </c>
      <c r="C72" s="38" t="s">
        <v>172</v>
      </c>
      <c r="D72" s="38" t="s">
        <v>871</v>
      </c>
      <c r="E72" s="38" t="str">
        <f aca="false">B72&amp;"|"&amp;C72</f>
        <v>71|A</v>
      </c>
      <c r="F72" s="45" t="n">
        <f aca="false">INDEX('Emission Stepwise'!$H$2:$H$289,MATCH(E72,'Emission Stepwise'!$C$2:$C$289,0))</f>
        <v>0.0295566502463054</v>
      </c>
      <c r="G72" s="45" t="n">
        <f aca="false">INDEX(Background!$C$4:$C$7,MATCH(C72,Background!$A$4:$A$7,0))</f>
        <v>0.185174766157958</v>
      </c>
      <c r="H72" s="49" t="n">
        <f aca="false">LN(F72/G72)</f>
        <v>-1.83499129191367</v>
      </c>
    </row>
    <row r="73" customFormat="false" ht="15" hidden="false" customHeight="true" outlineLevel="0" collapsed="false">
      <c r="A73" s="38" t="s">
        <v>40</v>
      </c>
      <c r="B73" s="38" t="n">
        <v>72</v>
      </c>
      <c r="C73" s="38" t="s">
        <v>171</v>
      </c>
      <c r="D73" s="38" t="s">
        <v>871</v>
      </c>
      <c r="E73" s="38" t="str">
        <f aca="false">B73&amp;"|"&amp;C73</f>
        <v>72|U</v>
      </c>
      <c r="F73" s="45" t="n">
        <f aca="false">INDEX('Emission Stepwise'!$H$2:$H$289,MATCH(E73,'Emission Stepwise'!$C$2:$C$289,0))</f>
        <v>0.108374384236453</v>
      </c>
      <c r="G73" s="45" t="n">
        <f aca="false">INDEX(Background!$C$4:$C$7,MATCH(C73,Background!$A$4:$A$7,0))</f>
        <v>0.212884169069555</v>
      </c>
      <c r="H73" s="49" t="n">
        <f aca="false">LN(F73/G73)</f>
        <v>-0.675156457308816</v>
      </c>
    </row>
    <row r="74" customFormat="false" ht="15" hidden="false" customHeight="true" outlineLevel="0" collapsed="false">
      <c r="A74" s="38" t="s">
        <v>36</v>
      </c>
      <c r="B74" s="38" t="n">
        <v>1</v>
      </c>
      <c r="C74" s="38" t="s">
        <v>169</v>
      </c>
      <c r="D74" s="38" t="s">
        <v>865</v>
      </c>
      <c r="E74" s="38" t="str">
        <f aca="false">B74&amp;"|"&amp;C74</f>
        <v>1|G</v>
      </c>
      <c r="F74" s="45" t="n">
        <f aca="false">INDEX('Emission Stepwise'!$H$2:$H$289,MATCH(E74,'Emission Stepwise'!$C$2:$C$289,0))</f>
        <v>0.753694581280788</v>
      </c>
      <c r="G74" s="45" t="n">
        <f aca="false">INDEX(Background!$C$4:$C$7,MATCH(C74,Background!$A$4:$A$7,0))</f>
        <v>0.325128349391659</v>
      </c>
      <c r="H74" s="49" t="n">
        <f aca="false">LN(F74/G74)</f>
        <v>0.840767195758797</v>
      </c>
    </row>
    <row r="75" customFormat="false" ht="15" hidden="false" customHeight="true" outlineLevel="0" collapsed="false">
      <c r="A75" s="38" t="s">
        <v>36</v>
      </c>
      <c r="B75" s="38" t="n">
        <v>2</v>
      </c>
      <c r="C75" s="38" t="s">
        <v>169</v>
      </c>
      <c r="D75" s="38" t="s">
        <v>865</v>
      </c>
      <c r="E75" s="38" t="str">
        <f aca="false">B75&amp;"|"&amp;C75</f>
        <v>2|G</v>
      </c>
      <c r="F75" s="45" t="n">
        <f aca="false">INDEX('Emission Stepwise'!$H$2:$H$289,MATCH(E75,'Emission Stepwise'!$C$2:$C$289,0))</f>
        <v>0.522167487684729</v>
      </c>
      <c r="G75" s="45" t="n">
        <f aca="false">INDEX(Background!$C$4:$C$7,MATCH(C75,Background!$A$4:$A$7,0))</f>
        <v>0.325128349391659</v>
      </c>
      <c r="H75" s="49" t="n">
        <f aca="false">LN(F75/G75)</f>
        <v>0.473768368478429</v>
      </c>
    </row>
    <row r="76" customFormat="false" ht="15" hidden="false" customHeight="true" outlineLevel="0" collapsed="false">
      <c r="A76" s="38" t="s">
        <v>36</v>
      </c>
      <c r="B76" s="38" t="n">
        <v>3</v>
      </c>
      <c r="C76" s="38" t="s">
        <v>169</v>
      </c>
      <c r="D76" s="38" t="s">
        <v>865</v>
      </c>
      <c r="E76" s="38" t="str">
        <f aca="false">B76&amp;"|"&amp;C76</f>
        <v>3|G</v>
      </c>
      <c r="F76" s="45" t="n">
        <f aca="false">INDEX('Emission Stepwise'!$H$2:$H$289,MATCH(E76,'Emission Stepwise'!$C$2:$C$289,0))</f>
        <v>0.423645320197044</v>
      </c>
      <c r="G76" s="45" t="n">
        <f aca="false">INDEX(Background!$C$4:$C$7,MATCH(C76,Background!$A$4:$A$7,0))</f>
        <v>0.325128349391659</v>
      </c>
      <c r="H76" s="49" t="n">
        <f aca="false">LN(F76/G76)</f>
        <v>0.264676570619869</v>
      </c>
    </row>
    <row r="77" customFormat="false" ht="15" hidden="false" customHeight="true" outlineLevel="0" collapsed="false">
      <c r="A77" s="38" t="s">
        <v>36</v>
      </c>
      <c r="B77" s="38" t="n">
        <v>4</v>
      </c>
      <c r="C77" s="38" t="s">
        <v>172</v>
      </c>
      <c r="D77" s="38" t="s">
        <v>865</v>
      </c>
      <c r="E77" s="38" t="str">
        <f aca="false">B77&amp;"|"&amp;C77</f>
        <v>4|A</v>
      </c>
      <c r="F77" s="45" t="n">
        <f aca="false">INDEX('Emission Stepwise'!$H$2:$H$289,MATCH(E77,'Emission Stepwise'!$C$2:$C$289,0))</f>
        <v>0.0788177339901478</v>
      </c>
      <c r="G77" s="45" t="n">
        <f aca="false">INDEX(Background!$C$4:$C$7,MATCH(C77,Background!$A$4:$A$7,0))</f>
        <v>0.185174766157958</v>
      </c>
      <c r="H77" s="49" t="n">
        <f aca="false">LN(F77/G77)</f>
        <v>-0.854162038901941</v>
      </c>
    </row>
    <row r="78" customFormat="false" ht="15" hidden="false" customHeight="true" outlineLevel="0" collapsed="false">
      <c r="A78" s="38" t="s">
        <v>36</v>
      </c>
      <c r="B78" s="38" t="n">
        <v>5</v>
      </c>
      <c r="C78" s="38" t="s">
        <v>169</v>
      </c>
      <c r="D78" s="38" t="s">
        <v>865</v>
      </c>
      <c r="E78" s="38" t="str">
        <f aca="false">B78&amp;"|"&amp;C78</f>
        <v>5|G</v>
      </c>
      <c r="F78" s="45" t="n">
        <f aca="false">INDEX('Emission Stepwise'!$H$2:$H$289,MATCH(E78,'Emission Stepwise'!$C$2:$C$289,0))</f>
        <v>0.344827586206897</v>
      </c>
      <c r="G78" s="45" t="n">
        <f aca="false">INDEX(Background!$C$4:$C$7,MATCH(C78,Background!$A$4:$A$7,0))</f>
        <v>0.325128349391659</v>
      </c>
      <c r="H78" s="49" t="n">
        <f aca="false">LN(F78/G78)</f>
        <v>0.0588245164157209</v>
      </c>
    </row>
    <row r="79" customFormat="false" ht="15" hidden="false" customHeight="true" outlineLevel="0" collapsed="false">
      <c r="A79" s="38" t="s">
        <v>36</v>
      </c>
      <c r="B79" s="38" t="n">
        <v>6</v>
      </c>
      <c r="C79" s="38" t="s">
        <v>169</v>
      </c>
      <c r="D79" s="38" t="s">
        <v>865</v>
      </c>
      <c r="E79" s="38" t="str">
        <f aca="false">B79&amp;"|"&amp;C79</f>
        <v>6|G</v>
      </c>
      <c r="F79" s="45" t="n">
        <f aca="false">INDEX('Emission Stepwise'!$H$2:$H$289,MATCH(E79,'Emission Stepwise'!$C$2:$C$289,0))</f>
        <v>0.241379310344828</v>
      </c>
      <c r="G79" s="45" t="n">
        <f aca="false">INDEX(Background!$C$4:$C$7,MATCH(C79,Background!$A$4:$A$7,0))</f>
        <v>0.325128349391659</v>
      </c>
      <c r="H79" s="49" t="n">
        <f aca="false">LN(F79/G79)</f>
        <v>-0.297850427523012</v>
      </c>
    </row>
    <row r="80" customFormat="false" ht="15" hidden="false" customHeight="true" outlineLevel="0" collapsed="false">
      <c r="A80" s="38" t="s">
        <v>36</v>
      </c>
      <c r="B80" s="38" t="n">
        <v>7</v>
      </c>
      <c r="C80" s="38" t="s">
        <v>171</v>
      </c>
      <c r="D80" s="38" t="s">
        <v>865</v>
      </c>
      <c r="E80" s="38" t="str">
        <f aca="false">B80&amp;"|"&amp;C80</f>
        <v>7|U</v>
      </c>
      <c r="F80" s="45" t="n">
        <f aca="false">INDEX('Emission Stepwise'!$H$2:$H$289,MATCH(E80,'Emission Stepwise'!$C$2:$C$289,0))</f>
        <v>0.221674876847291</v>
      </c>
      <c r="G80" s="45" t="n">
        <f aca="false">INDEX(Background!$C$4:$C$7,MATCH(C80,Background!$A$4:$A$7,0))</f>
        <v>0.212884169069555</v>
      </c>
      <c r="H80" s="49" t="n">
        <f aca="false">LN(F80/G80)</f>
        <v>0.0404635791031882</v>
      </c>
    </row>
    <row r="81" customFormat="false" ht="15" hidden="false" customHeight="true" outlineLevel="0" collapsed="false">
      <c r="A81" s="38" t="s">
        <v>36</v>
      </c>
      <c r="B81" s="38" t="n">
        <v>8</v>
      </c>
      <c r="C81" s="38" t="s">
        <v>171</v>
      </c>
      <c r="D81" s="38" t="s">
        <v>866</v>
      </c>
      <c r="E81" s="38" t="str">
        <f aca="false">B81&amp;"|"&amp;C81</f>
        <v>8|U</v>
      </c>
      <c r="F81" s="45" t="n">
        <f aca="false">INDEX('Emission Stepwise'!$H$2:$H$289,MATCH(E81,'Emission Stepwise'!$C$2:$C$289,0))</f>
        <v>0.975369458128079</v>
      </c>
      <c r="G81" s="45" t="n">
        <f aca="false">INDEX(Background!$C$4:$C$7,MATCH(C81,Background!$A$4:$A$7,0))</f>
        <v>0.212884169069555</v>
      </c>
      <c r="H81" s="49" t="n">
        <f aca="false">LN(F81/G81)</f>
        <v>1.5220681200274</v>
      </c>
    </row>
    <row r="82" customFormat="false" ht="15" hidden="false" customHeight="true" outlineLevel="0" collapsed="false">
      <c r="A82" s="38" t="s">
        <v>36</v>
      </c>
      <c r="B82" s="38" t="n">
        <v>9</v>
      </c>
      <c r="C82" s="38" t="s">
        <v>171</v>
      </c>
      <c r="D82" s="38" t="s">
        <v>867</v>
      </c>
      <c r="E82" s="38" t="str">
        <f aca="false">B82&amp;"|"&amp;C82</f>
        <v>9|U</v>
      </c>
      <c r="F82" s="45" t="n">
        <f aca="false">INDEX('Emission Stepwise'!$H$2:$H$289,MATCH(E82,'Emission Stepwise'!$C$2:$C$289,0))</f>
        <v>0.00495049504950495</v>
      </c>
      <c r="G82" s="45" t="n">
        <f aca="false">INDEX(Background!$C$4:$C$7,MATCH(C82,Background!$A$4:$A$7,0))</f>
        <v>0.212884169069555</v>
      </c>
      <c r="H82" s="49" t="n">
        <f aca="false">LN(F82/G82)</f>
        <v>-3.76126062902655</v>
      </c>
    </row>
    <row r="83" customFormat="false" ht="15" hidden="false" customHeight="true" outlineLevel="0" collapsed="false">
      <c r="A83" s="38" t="s">
        <v>36</v>
      </c>
      <c r="B83" s="38" t="n">
        <v>10</v>
      </c>
      <c r="C83" s="38" t="s">
        <v>169</v>
      </c>
      <c r="D83" s="38" t="s">
        <v>867</v>
      </c>
      <c r="E83" s="38" t="str">
        <f aca="false">B83&amp;"|"&amp;C83</f>
        <v>10|G</v>
      </c>
      <c r="F83" s="45" t="n">
        <f aca="false">INDEX('Emission Stepwise'!$H$2:$H$289,MATCH(E83,'Emission Stepwise'!$C$2:$C$289,0))</f>
        <v>0.945812807881773</v>
      </c>
      <c r="G83" s="45" t="n">
        <f aca="false">INDEX(Background!$C$4:$C$7,MATCH(C83,Background!$A$4:$A$7,0))</f>
        <v>0.325128349391659</v>
      </c>
      <c r="H83" s="49" t="n">
        <f aca="false">LN(F83/G83)</f>
        <v>1.06782464639414</v>
      </c>
    </row>
    <row r="84" customFormat="false" ht="15" hidden="false" customHeight="true" outlineLevel="0" collapsed="false">
      <c r="A84" s="38" t="s">
        <v>36</v>
      </c>
      <c r="B84" s="38" t="n">
        <v>11</v>
      </c>
      <c r="C84" s="38" t="s">
        <v>172</v>
      </c>
      <c r="D84" s="38" t="s">
        <v>867</v>
      </c>
      <c r="E84" s="38" t="str">
        <f aca="false">B84&amp;"|"&amp;C84</f>
        <v>11|A</v>
      </c>
      <c r="F84" s="45" t="n">
        <f aca="false">INDEX('Emission Stepwise'!$H$2:$H$289,MATCH(E84,'Emission Stepwise'!$C$2:$C$289,0))</f>
        <v>0.0394088669950739</v>
      </c>
      <c r="G84" s="45" t="n">
        <f aca="false">INDEX(Background!$C$4:$C$7,MATCH(C84,Background!$A$4:$A$7,0))</f>
        <v>0.185174766157958</v>
      </c>
      <c r="H84" s="49" t="n">
        <f aca="false">LN(F84/G84)</f>
        <v>-1.54730921946189</v>
      </c>
    </row>
    <row r="85" customFormat="false" ht="15" hidden="false" customHeight="true" outlineLevel="0" collapsed="false">
      <c r="A85" s="38" t="s">
        <v>36</v>
      </c>
      <c r="B85" s="38" t="n">
        <v>12</v>
      </c>
      <c r="C85" s="38" t="s">
        <v>171</v>
      </c>
      <c r="D85" s="38" t="s">
        <v>867</v>
      </c>
      <c r="E85" s="38" t="str">
        <f aca="false">B85&amp;"|"&amp;C85</f>
        <v>12|U</v>
      </c>
      <c r="F85" s="45" t="n">
        <f aca="false">INDEX('Emission Stepwise'!$H$2:$H$289,MATCH(E85,'Emission Stepwise'!$C$2:$C$289,0))</f>
        <v>0.591133004926108</v>
      </c>
      <c r="G85" s="45" t="n">
        <f aca="false">INDEX(Background!$C$4:$C$7,MATCH(C85,Background!$A$4:$A$7,0))</f>
        <v>0.212884169069555</v>
      </c>
      <c r="H85" s="49" t="n">
        <f aca="false">LN(F85/G85)</f>
        <v>1.02129283211491</v>
      </c>
    </row>
    <row r="86" customFormat="false" ht="15" hidden="false" customHeight="true" outlineLevel="0" collapsed="false">
      <c r="A86" s="38" t="s">
        <v>36</v>
      </c>
      <c r="B86" s="38" t="n">
        <v>13</v>
      </c>
      <c r="C86" s="38" t="s">
        <v>170</v>
      </c>
      <c r="D86" s="38" t="s">
        <v>867</v>
      </c>
      <c r="E86" s="38" t="str">
        <f aca="false">B86&amp;"|"&amp;C86</f>
        <v>13|C</v>
      </c>
      <c r="F86" s="45" t="n">
        <f aca="false">INDEX('Emission Stepwise'!$H$2:$H$289,MATCH(E86,'Emission Stepwise'!$C$2:$C$289,0))</f>
        <v>0.640394088669951</v>
      </c>
      <c r="G86" s="45" t="n">
        <f aca="false">INDEX(Background!$C$4:$C$7,MATCH(C86,Background!$A$4:$A$7,0))</f>
        <v>0.276812715380828</v>
      </c>
      <c r="H86" s="49" t="n">
        <f aca="false">LN(F86/G86)</f>
        <v>0.838742590638026</v>
      </c>
    </row>
    <row r="87" customFormat="false" ht="15" hidden="false" customHeight="true" outlineLevel="0" collapsed="false">
      <c r="A87" s="38" t="s">
        <v>36</v>
      </c>
      <c r="B87" s="38" t="n">
        <v>14</v>
      </c>
      <c r="C87" s="38" t="s">
        <v>169</v>
      </c>
      <c r="D87" s="38" t="s">
        <v>867</v>
      </c>
      <c r="E87" s="38" t="str">
        <f aca="false">B87&amp;"|"&amp;C87</f>
        <v>14|G</v>
      </c>
      <c r="F87" s="45" t="n">
        <f aca="false">INDEX('Emission Stepwise'!$H$2:$H$289,MATCH(E87,'Emission Stepwise'!$C$2:$C$289,0))</f>
        <v>0.00985221674876847</v>
      </c>
      <c r="G87" s="45" t="n">
        <f aca="false">INDEX(Background!$C$4:$C$7,MATCH(C87,Background!$A$4:$A$7,0))</f>
        <v>0.325128349391659</v>
      </c>
      <c r="H87" s="49" t="n">
        <f aca="false">LN(F87/G87)</f>
        <v>-3.49652354507369</v>
      </c>
    </row>
    <row r="88" customFormat="false" ht="15" hidden="false" customHeight="true" outlineLevel="0" collapsed="false">
      <c r="A88" s="38" t="s">
        <v>36</v>
      </c>
      <c r="B88" s="38" t="n">
        <v>15</v>
      </c>
      <c r="C88" s="38" t="s">
        <v>169</v>
      </c>
      <c r="D88" s="38" t="s">
        <v>867</v>
      </c>
      <c r="E88" s="38" t="str">
        <f aca="false">B88&amp;"|"&amp;C88</f>
        <v>15|G</v>
      </c>
      <c r="F88" s="45" t="n">
        <f aca="false">INDEX('Emission Stepwise'!$H$2:$H$289,MATCH(E88,'Emission Stepwise'!$C$2:$C$289,0))</f>
        <v>0.801980198019802</v>
      </c>
      <c r="G88" s="45" t="n">
        <f aca="false">INDEX(Background!$C$4:$C$7,MATCH(C88,Background!$A$4:$A$7,0))</f>
        <v>0.325128349391659</v>
      </c>
      <c r="H88" s="49" t="n">
        <f aca="false">LN(F88/G88)</f>
        <v>0.902863891239328</v>
      </c>
    </row>
    <row r="89" customFormat="false" ht="15" hidden="false" customHeight="true" outlineLevel="0" collapsed="false">
      <c r="A89" s="38" t="s">
        <v>36</v>
      </c>
      <c r="B89" s="38" t="n">
        <v>16</v>
      </c>
      <c r="C89" s="38" t="s">
        <v>172</v>
      </c>
      <c r="D89" s="38" t="s">
        <v>867</v>
      </c>
      <c r="E89" s="38" t="str">
        <f aca="false">B89&amp;"|"&amp;C89</f>
        <v>16|A</v>
      </c>
      <c r="F89" s="45" t="n">
        <f aca="false">INDEX('Emission Stepwise'!$H$2:$H$289,MATCH(E89,'Emission Stepwise'!$C$2:$C$289,0))</f>
        <v>0.0294117647058824</v>
      </c>
      <c r="G89" s="45" t="n">
        <f aca="false">INDEX(Background!$C$4:$C$7,MATCH(C89,Background!$A$4:$A$7,0))</f>
        <v>0.185174766157958</v>
      </c>
      <c r="H89" s="49" t="n">
        <f aca="false">LN(F89/G89)</f>
        <v>-1.8399053067161</v>
      </c>
    </row>
    <row r="90" customFormat="false" ht="15" hidden="false" customHeight="true" outlineLevel="0" collapsed="false">
      <c r="A90" s="38" t="s">
        <v>36</v>
      </c>
      <c r="B90" s="38" t="n">
        <v>17</v>
      </c>
      <c r="C90" s="38" t="s">
        <v>170</v>
      </c>
      <c r="D90" s="38" t="s">
        <v>867</v>
      </c>
      <c r="E90" s="38" t="str">
        <f aca="false">B90&amp;"|"&amp;C90</f>
        <v>17|C</v>
      </c>
      <c r="F90" s="45" t="n">
        <f aca="false">INDEX('Emission Stepwise'!$H$2:$H$289,MATCH(E90,'Emission Stepwise'!$C$2:$C$289,0))</f>
        <v>0.32</v>
      </c>
      <c r="G90" s="45" t="n">
        <f aca="false">INDEX(Background!$C$4:$C$7,MATCH(C90,Background!$A$4:$A$7,0))</f>
        <v>0.276812715380828</v>
      </c>
      <c r="H90" s="49" t="n">
        <f aca="false">LN(F90/G90)</f>
        <v>0.144979836035866</v>
      </c>
    </row>
    <row r="91" customFormat="false" ht="15" hidden="false" customHeight="true" outlineLevel="0" collapsed="false">
      <c r="A91" s="38" t="s">
        <v>36</v>
      </c>
      <c r="B91" s="38" t="n">
        <v>18</v>
      </c>
      <c r="C91" s="38" t="s">
        <v>169</v>
      </c>
      <c r="D91" s="38" t="s">
        <v>867</v>
      </c>
      <c r="E91" s="38" t="str">
        <f aca="false">B91&amp;"|"&amp;C91</f>
        <v>18|G</v>
      </c>
      <c r="F91" s="45" t="n">
        <f aca="false">INDEX('Emission Stepwise'!$H$2:$H$289,MATCH(E91,'Emission Stepwise'!$C$2:$C$289,0))</f>
        <v>0.980295566502463</v>
      </c>
      <c r="G91" s="45" t="n">
        <f aca="false">INDEX(Background!$C$4:$C$7,MATCH(C91,Background!$A$4:$A$7,0))</f>
        <v>0.325128349391659</v>
      </c>
      <c r="H91" s="49" t="n">
        <f aca="false">LN(F91/G91)</f>
        <v>1.10363409909085</v>
      </c>
    </row>
    <row r="92" customFormat="false" ht="15" hidden="false" customHeight="true" outlineLevel="0" collapsed="false">
      <c r="A92" s="38" t="s">
        <v>36</v>
      </c>
      <c r="B92" s="38" t="n">
        <v>19</v>
      </c>
      <c r="C92" s="38" t="s">
        <v>169</v>
      </c>
      <c r="D92" s="38" t="s">
        <v>867</v>
      </c>
      <c r="E92" s="38" t="str">
        <f aca="false">B92&amp;"|"&amp;C92</f>
        <v>19|G</v>
      </c>
      <c r="F92" s="45" t="n">
        <f aca="false">INDEX('Emission Stepwise'!$H$2:$H$289,MATCH(E92,'Emission Stepwise'!$C$2:$C$289,0))</f>
        <v>0.970443349753695</v>
      </c>
      <c r="G92" s="45" t="n">
        <f aca="false">INDEX(Background!$C$4:$C$7,MATCH(C92,Background!$A$4:$A$7,0))</f>
        <v>0.325128349391659</v>
      </c>
      <c r="H92" s="49" t="n">
        <f aca="false">LN(F92/G92)</f>
        <v>1.09353300310435</v>
      </c>
    </row>
    <row r="93" customFormat="false" ht="15" hidden="false" customHeight="true" outlineLevel="0" collapsed="false">
      <c r="A93" s="38" t="s">
        <v>36</v>
      </c>
      <c r="B93" s="38" t="n">
        <v>20</v>
      </c>
      <c r="C93" s="38" t="s">
        <v>169</v>
      </c>
      <c r="D93" s="38" t="s">
        <v>867</v>
      </c>
      <c r="E93" s="38" t="str">
        <f aca="false">B93&amp;"|"&amp;C93</f>
        <v>20|G</v>
      </c>
      <c r="F93" s="45" t="n">
        <f aca="false">INDEX('Emission Stepwise'!$H$2:$H$289,MATCH(E93,'Emission Stepwise'!$C$2:$C$289,0))</f>
        <v>0.0940594059405941</v>
      </c>
      <c r="G93" s="45" t="n">
        <f aca="false">INDEX(Background!$C$4:$C$7,MATCH(C93,Background!$A$4:$A$7,0))</f>
        <v>0.325128349391659</v>
      </c>
      <c r="H93" s="49" t="n">
        <f aca="false">LN(F93/G93)</f>
        <v>-1.24029346482662</v>
      </c>
    </row>
    <row r="94" customFormat="false" ht="15" hidden="false" customHeight="true" outlineLevel="0" collapsed="false">
      <c r="A94" s="38" t="s">
        <v>36</v>
      </c>
      <c r="B94" s="38" t="n">
        <v>21</v>
      </c>
      <c r="C94" s="38" t="s">
        <v>169</v>
      </c>
      <c r="D94" s="38" t="s">
        <v>867</v>
      </c>
      <c r="E94" s="38" t="str">
        <f aca="false">B94&amp;"|"&amp;C94</f>
        <v>21|G</v>
      </c>
      <c r="F94" s="45" t="n">
        <f aca="false">INDEX('Emission Stepwise'!$H$2:$H$289,MATCH(E94,'Emission Stepwise'!$C$2:$C$289,0))</f>
        <v>0.0394088669950739</v>
      </c>
      <c r="G94" s="45" t="n">
        <f aca="false">INDEX(Background!$C$4:$C$7,MATCH(C94,Background!$A$4:$A$7,0))</f>
        <v>0.325128349391659</v>
      </c>
      <c r="H94" s="49" t="n">
        <f aca="false">LN(F94/G94)</f>
        <v>-2.1102291839538</v>
      </c>
    </row>
    <row r="95" customFormat="false" ht="15" hidden="false" customHeight="true" outlineLevel="0" collapsed="false">
      <c r="A95" s="38" t="s">
        <v>36</v>
      </c>
      <c r="B95" s="38" t="n">
        <v>22</v>
      </c>
      <c r="C95" s="38" t="s">
        <v>169</v>
      </c>
      <c r="D95" s="38" t="s">
        <v>867</v>
      </c>
      <c r="E95" s="38" t="str">
        <f aca="false">B95&amp;"|"&amp;C95</f>
        <v>22|G</v>
      </c>
      <c r="F95" s="45" t="n">
        <f aca="false">INDEX('Emission Stepwise'!$H$2:$H$289,MATCH(E95,'Emission Stepwise'!$C$2:$C$289,0))</f>
        <v>0.714285714285714</v>
      </c>
      <c r="G95" s="45" t="n">
        <f aca="false">INDEX(Background!$C$4:$C$7,MATCH(C95,Background!$A$4:$A$7,0))</f>
        <v>0.325128349391659</v>
      </c>
      <c r="H95" s="49" t="n">
        <f aca="false">LN(F95/G95)</f>
        <v>0.787063016786936</v>
      </c>
    </row>
    <row r="96" customFormat="false" ht="15" hidden="false" customHeight="true" outlineLevel="0" collapsed="false">
      <c r="A96" s="38" t="s">
        <v>36</v>
      </c>
      <c r="B96" s="38" t="n">
        <v>23</v>
      </c>
      <c r="C96" s="38" t="s">
        <v>172</v>
      </c>
      <c r="D96" s="38" t="s">
        <v>867</v>
      </c>
      <c r="E96" s="38" t="str">
        <f aca="false">B96&amp;"|"&amp;C96</f>
        <v>23|A</v>
      </c>
      <c r="F96" s="45" t="n">
        <f aca="false">INDEX('Emission Stepwise'!$H$2:$H$289,MATCH(E96,'Emission Stepwise'!$C$2:$C$289,0))</f>
        <v>0.596059113300493</v>
      </c>
      <c r="G96" s="45" t="n">
        <f aca="false">INDEX(Background!$C$4:$C$7,MATCH(C96,Background!$A$4:$A$7,0))</f>
        <v>0.185174766157958</v>
      </c>
      <c r="H96" s="49" t="n">
        <f aca="false">LN(F96/G96)</f>
        <v>1.16903978445502</v>
      </c>
    </row>
    <row r="97" customFormat="false" ht="15" hidden="false" customHeight="true" outlineLevel="0" collapsed="false">
      <c r="A97" s="38" t="s">
        <v>36</v>
      </c>
      <c r="B97" s="38" t="n">
        <v>24</v>
      </c>
      <c r="C97" s="38" t="s">
        <v>172</v>
      </c>
      <c r="D97" s="38" t="s">
        <v>867</v>
      </c>
      <c r="E97" s="38" t="str">
        <f aca="false">B97&amp;"|"&amp;C97</f>
        <v>24|A</v>
      </c>
      <c r="F97" s="45" t="n">
        <f aca="false">INDEX('Emission Stepwise'!$H$2:$H$289,MATCH(E97,'Emission Stepwise'!$C$2:$C$289,0))</f>
        <v>0.187192118226601</v>
      </c>
      <c r="G97" s="45" t="n">
        <f aca="false">INDEX(Background!$C$4:$C$7,MATCH(C97,Background!$A$4:$A$7,0))</f>
        <v>0.185174766157958</v>
      </c>
      <c r="H97" s="49" t="n">
        <f aca="false">LN(F97/G97)</f>
        <v>0.0108353985846635</v>
      </c>
    </row>
    <row r="98" customFormat="false" ht="15" hidden="false" customHeight="true" outlineLevel="0" collapsed="false">
      <c r="A98" s="38" t="s">
        <v>36</v>
      </c>
      <c r="B98" s="38" t="n">
        <v>25</v>
      </c>
      <c r="C98" s="38" t="s">
        <v>171</v>
      </c>
      <c r="D98" s="38" t="s">
        <v>867</v>
      </c>
      <c r="E98" s="38" t="str">
        <f aca="false">B98&amp;"|"&amp;C98</f>
        <v>25|U</v>
      </c>
      <c r="F98" s="45" t="n">
        <f aca="false">INDEX('Emission Stepwise'!$H$2:$H$289,MATCH(E98,'Emission Stepwise'!$C$2:$C$289,0))</f>
        <v>0.0738916256157636</v>
      </c>
      <c r="G98" s="45" t="n">
        <f aca="false">INDEX(Background!$C$4:$C$7,MATCH(C98,Background!$A$4:$A$7,0))</f>
        <v>0.212884169069555</v>
      </c>
      <c r="H98" s="49" t="n">
        <f aca="false">LN(F98/G98)</f>
        <v>-1.05814870956492</v>
      </c>
    </row>
    <row r="99" customFormat="false" ht="15" hidden="false" customHeight="true" outlineLevel="0" collapsed="false">
      <c r="A99" s="38" t="s">
        <v>36</v>
      </c>
      <c r="B99" s="38" t="n">
        <v>26</v>
      </c>
      <c r="C99" s="38" t="s">
        <v>171</v>
      </c>
      <c r="D99" s="38" t="s">
        <v>868</v>
      </c>
      <c r="E99" s="38" t="str">
        <f aca="false">B99&amp;"|"&amp;C99</f>
        <v>26|U</v>
      </c>
      <c r="F99" s="45" t="n">
        <f aca="false">INDEX('Emission Stepwise'!$H$2:$H$289,MATCH(E99,'Emission Stepwise'!$C$2:$C$289,0))</f>
        <v>0.0591133004926108</v>
      </c>
      <c r="G99" s="45" t="n">
        <f aca="false">INDEX(Background!$C$4:$C$7,MATCH(C99,Background!$A$4:$A$7,0))</f>
        <v>0.212884169069555</v>
      </c>
      <c r="H99" s="49" t="n">
        <f aca="false">LN(F99/G99)</f>
        <v>-1.28129226087913</v>
      </c>
    </row>
    <row r="100" customFormat="false" ht="15" hidden="false" customHeight="true" outlineLevel="0" collapsed="false">
      <c r="A100" s="38" t="s">
        <v>36</v>
      </c>
      <c r="B100" s="38" t="n">
        <v>27</v>
      </c>
      <c r="C100" s="38" t="s">
        <v>171</v>
      </c>
      <c r="D100" s="38" t="s">
        <v>868</v>
      </c>
      <c r="E100" s="38" t="str">
        <f aca="false">B100&amp;"|"&amp;C100</f>
        <v>27|U</v>
      </c>
      <c r="F100" s="45" t="n">
        <f aca="false">INDEX('Emission Stepwise'!$H$2:$H$289,MATCH(E100,'Emission Stepwise'!$C$2:$C$289,0))</f>
        <v>0.25615763546798</v>
      </c>
      <c r="G100" s="45" t="n">
        <f aca="false">INDEX(Background!$C$4:$C$7,MATCH(C100,Background!$A$4:$A$7,0))</f>
        <v>0.212884169069555</v>
      </c>
      <c r="H100" s="49" t="n">
        <f aca="false">LN(F100/G100)</f>
        <v>0.185044807914296</v>
      </c>
    </row>
    <row r="101" customFormat="false" ht="15" hidden="false" customHeight="true" outlineLevel="0" collapsed="false">
      <c r="A101" s="38" t="s">
        <v>36</v>
      </c>
      <c r="B101" s="38" t="n">
        <v>28</v>
      </c>
      <c r="C101" s="38" t="s">
        <v>171</v>
      </c>
      <c r="D101" s="38" t="s">
        <v>868</v>
      </c>
      <c r="E101" s="38" t="str">
        <f aca="false">B101&amp;"|"&amp;C101</f>
        <v>28|U</v>
      </c>
      <c r="F101" s="45" t="n">
        <f aca="false">INDEX('Emission Stepwise'!$H$2:$H$289,MATCH(E101,'Emission Stepwise'!$C$2:$C$289,0))</f>
        <v>0.251231527093596</v>
      </c>
      <c r="G101" s="45" t="n">
        <f aca="false">INDEX(Background!$C$4:$C$7,MATCH(C101,Background!$A$4:$A$7,0))</f>
        <v>0.212884169069555</v>
      </c>
      <c r="H101" s="49" t="n">
        <f aca="false">LN(F101/G101)</f>
        <v>0.165626722057194</v>
      </c>
    </row>
    <row r="102" customFormat="false" ht="15" hidden="false" customHeight="true" outlineLevel="0" collapsed="false">
      <c r="A102" s="38" t="s">
        <v>36</v>
      </c>
      <c r="B102" s="38" t="n">
        <v>29</v>
      </c>
      <c r="C102" s="38" t="s">
        <v>171</v>
      </c>
      <c r="D102" s="38" t="s">
        <v>868</v>
      </c>
      <c r="E102" s="38" t="str">
        <f aca="false">B102&amp;"|"&amp;C102</f>
        <v>29|U</v>
      </c>
      <c r="F102" s="45" t="n">
        <f aca="false">INDEX('Emission Stepwise'!$H$2:$H$289,MATCH(E102,'Emission Stepwise'!$C$2:$C$289,0))</f>
        <v>0.275862068965517</v>
      </c>
      <c r="G102" s="45" t="n">
        <f aca="false">INDEX(Background!$C$4:$C$7,MATCH(C102,Background!$A$4:$A$7,0))</f>
        <v>0.212884169069555</v>
      </c>
      <c r="H102" s="49" t="n">
        <f aca="false">LN(F102/G102)</f>
        <v>0.259152780068018</v>
      </c>
    </row>
    <row r="103" customFormat="false" ht="15" hidden="false" customHeight="true" outlineLevel="0" collapsed="false">
      <c r="A103" s="38" t="s">
        <v>36</v>
      </c>
      <c r="B103" s="38" t="n">
        <v>30</v>
      </c>
      <c r="C103" s="38" t="s">
        <v>171</v>
      </c>
      <c r="D103" s="38" t="s">
        <v>868</v>
      </c>
      <c r="E103" s="38" t="str">
        <f aca="false">B103&amp;"|"&amp;C103</f>
        <v>30|U</v>
      </c>
      <c r="F103" s="45" t="n">
        <f aca="false">INDEX('Emission Stepwise'!$H$2:$H$289,MATCH(E103,'Emission Stepwise'!$C$2:$C$289,0))</f>
        <v>0.0394088669950739</v>
      </c>
      <c r="G103" s="45" t="n">
        <f aca="false">INDEX(Background!$C$4:$C$7,MATCH(C103,Background!$A$4:$A$7,0))</f>
        <v>0.212884169069555</v>
      </c>
      <c r="H103" s="49" t="n">
        <f aca="false">LN(F103/G103)</f>
        <v>-1.6867573689873</v>
      </c>
    </row>
    <row r="104" customFormat="false" ht="15" hidden="false" customHeight="true" outlineLevel="0" collapsed="false">
      <c r="A104" s="38" t="s">
        <v>36</v>
      </c>
      <c r="B104" s="38" t="n">
        <v>31</v>
      </c>
      <c r="C104" s="38" t="s">
        <v>169</v>
      </c>
      <c r="D104" s="38" t="s">
        <v>868</v>
      </c>
      <c r="E104" s="38" t="str">
        <f aca="false">B104&amp;"|"&amp;C104</f>
        <v>31|G</v>
      </c>
      <c r="F104" s="45" t="n">
        <f aca="false">INDEX('Emission Stepwise'!$H$2:$H$289,MATCH(E104,'Emission Stepwise'!$C$2:$C$289,0))</f>
        <v>0.270935960591133</v>
      </c>
      <c r="G104" s="45" t="n">
        <f aca="false">INDEX(Background!$C$4:$C$7,MATCH(C104,Background!$A$4:$A$7,0))</f>
        <v>0.325128349391659</v>
      </c>
      <c r="H104" s="49" t="n">
        <f aca="false">LN(F104/G104)</f>
        <v>-0.182337540401167</v>
      </c>
    </row>
    <row r="105" customFormat="false" ht="15" hidden="false" customHeight="true" outlineLevel="0" collapsed="false">
      <c r="A105" s="38" t="s">
        <v>36</v>
      </c>
      <c r="B105" s="38" t="n">
        <v>32</v>
      </c>
      <c r="C105" s="38" t="s">
        <v>169</v>
      </c>
      <c r="D105" s="38" t="s">
        <v>868</v>
      </c>
      <c r="E105" s="38" t="str">
        <f aca="false">B105&amp;"|"&amp;C105</f>
        <v>32|G</v>
      </c>
      <c r="F105" s="45" t="n">
        <f aca="false">INDEX('Emission Stepwise'!$H$2:$H$289,MATCH(E105,'Emission Stepwise'!$C$2:$C$289,0))</f>
        <v>0.00492610837438424</v>
      </c>
      <c r="G105" s="45" t="n">
        <f aca="false">INDEX(Background!$C$4:$C$7,MATCH(C105,Background!$A$4:$A$7,0))</f>
        <v>0.325128349391659</v>
      </c>
      <c r="H105" s="49" t="n">
        <f aca="false">LN(F105/G105)</f>
        <v>-4.18967072563364</v>
      </c>
    </row>
    <row r="106" customFormat="false" ht="15" hidden="false" customHeight="true" outlineLevel="0" collapsed="false">
      <c r="A106" s="38" t="s">
        <v>36</v>
      </c>
      <c r="B106" s="38" t="n">
        <v>33</v>
      </c>
      <c r="C106" s="38" t="s">
        <v>171</v>
      </c>
      <c r="D106" s="38" t="s">
        <v>868</v>
      </c>
      <c r="E106" s="38" t="str">
        <f aca="false">B106&amp;"|"&amp;C106</f>
        <v>33|U</v>
      </c>
      <c r="F106" s="45" t="n">
        <f aca="false">INDEX('Emission Stepwise'!$H$2:$H$289,MATCH(E106,'Emission Stepwise'!$C$2:$C$289,0))</f>
        <v>0.975369458128079</v>
      </c>
      <c r="G106" s="45" t="n">
        <f aca="false">INDEX(Background!$C$4:$C$7,MATCH(C106,Background!$A$4:$A$7,0))</f>
        <v>0.212884169069555</v>
      </c>
      <c r="H106" s="49" t="n">
        <f aca="false">LN(F106/G106)</f>
        <v>1.5220681200274</v>
      </c>
    </row>
    <row r="107" customFormat="false" ht="15" hidden="false" customHeight="true" outlineLevel="0" collapsed="false">
      <c r="A107" s="38" t="s">
        <v>36</v>
      </c>
      <c r="B107" s="38" t="n">
        <v>34</v>
      </c>
      <c r="C107" s="38" t="s">
        <v>171</v>
      </c>
      <c r="D107" s="38" t="s">
        <v>868</v>
      </c>
      <c r="E107" s="38" t="str">
        <f aca="false">B107&amp;"|"&amp;C107</f>
        <v>34|U</v>
      </c>
      <c r="F107" s="45" t="n">
        <f aca="false">INDEX('Emission Stepwise'!$H$2:$H$289,MATCH(E107,'Emission Stepwise'!$C$2:$C$289,0))</f>
        <v>0.29064039408867</v>
      </c>
      <c r="G107" s="45" t="n">
        <f aca="false">INDEX(Background!$C$4:$C$7,MATCH(C107,Background!$A$4:$A$7,0))</f>
        <v>0.212884169069555</v>
      </c>
      <c r="H107" s="49" t="n">
        <f aca="false">LN(F107/G107)</f>
        <v>0.311338533238588</v>
      </c>
    </row>
    <row r="108" customFormat="false" ht="15" hidden="false" customHeight="true" outlineLevel="0" collapsed="false">
      <c r="A108" s="38" t="s">
        <v>36</v>
      </c>
      <c r="B108" s="38" t="n">
        <v>35</v>
      </c>
      <c r="C108" s="38" t="s">
        <v>171</v>
      </c>
      <c r="D108" s="38" t="s">
        <v>868</v>
      </c>
      <c r="E108" s="38" t="str">
        <f aca="false">B108&amp;"|"&amp;C108</f>
        <v>35|U</v>
      </c>
      <c r="F108" s="45" t="n">
        <f aca="false">INDEX('Emission Stepwise'!$H$2:$H$289,MATCH(E108,'Emission Stepwise'!$C$2:$C$289,0))</f>
        <v>0.206896551724138</v>
      </c>
      <c r="G108" s="45" t="n">
        <f aca="false">INDEX(Background!$C$4:$C$7,MATCH(C108,Background!$A$4:$A$7,0))</f>
        <v>0.212884169069555</v>
      </c>
      <c r="H108" s="49" t="n">
        <f aca="false">LN(F108/G108)</f>
        <v>-0.0285292923837632</v>
      </c>
    </row>
    <row r="109" customFormat="false" ht="15" hidden="false" customHeight="true" outlineLevel="0" collapsed="false">
      <c r="A109" s="38" t="s">
        <v>36</v>
      </c>
      <c r="B109" s="38" t="n">
        <v>36</v>
      </c>
      <c r="C109" s="38" t="s">
        <v>172</v>
      </c>
      <c r="D109" s="38" t="s">
        <v>868</v>
      </c>
      <c r="E109" s="38" t="str">
        <f aca="false">B109&amp;"|"&amp;C109</f>
        <v>36|A</v>
      </c>
      <c r="F109" s="45" t="n">
        <f aca="false">INDEX('Emission Stepwise'!$H$2:$H$289,MATCH(E109,'Emission Stepwise'!$C$2:$C$289,0))</f>
        <v>0.216748768472906</v>
      </c>
      <c r="G109" s="45" t="n">
        <f aca="false">INDEX(Background!$C$4:$C$7,MATCH(C109,Background!$A$4:$A$7,0))</f>
        <v>0.185174766157958</v>
      </c>
      <c r="H109" s="49" t="n">
        <f aca="false">LN(F109/G109)</f>
        <v>0.157438872776539</v>
      </c>
    </row>
    <row r="110" customFormat="false" ht="15" hidden="false" customHeight="true" outlineLevel="0" collapsed="false">
      <c r="A110" s="38" t="s">
        <v>36</v>
      </c>
      <c r="B110" s="38" t="n">
        <v>37</v>
      </c>
      <c r="C110" s="38" t="s">
        <v>169</v>
      </c>
      <c r="D110" s="38" t="s">
        <v>868</v>
      </c>
      <c r="E110" s="38" t="str">
        <f aca="false">B110&amp;"|"&amp;C110</f>
        <v>37|G</v>
      </c>
      <c r="F110" s="45" t="n">
        <f aca="false">INDEX('Emission Stepwise'!$H$2:$H$289,MATCH(E110,'Emission Stepwise'!$C$2:$C$289,0))</f>
        <v>0.241379310344828</v>
      </c>
      <c r="G110" s="45" t="n">
        <f aca="false">INDEX(Background!$C$4:$C$7,MATCH(C110,Background!$A$4:$A$7,0))</f>
        <v>0.325128349391659</v>
      </c>
      <c r="H110" s="49" t="n">
        <f aca="false">LN(F110/G110)</f>
        <v>-0.297850427523012</v>
      </c>
    </row>
    <row r="111" customFormat="false" ht="15" hidden="false" customHeight="true" outlineLevel="0" collapsed="false">
      <c r="A111" s="38" t="s">
        <v>36</v>
      </c>
      <c r="B111" s="38" t="n">
        <v>38</v>
      </c>
      <c r="C111" s="38" t="s">
        <v>171</v>
      </c>
      <c r="D111" s="38" t="s">
        <v>868</v>
      </c>
      <c r="E111" s="38" t="str">
        <f aca="false">B111&amp;"|"&amp;C111</f>
        <v>38|U</v>
      </c>
      <c r="F111" s="45" t="n">
        <f aca="false">INDEX('Emission Stepwise'!$H$2:$H$289,MATCH(E111,'Emission Stepwise'!$C$2:$C$289,0))</f>
        <v>0.118226600985222</v>
      </c>
      <c r="G111" s="45" t="n">
        <f aca="false">INDEX(Background!$C$4:$C$7,MATCH(C111,Background!$A$4:$A$7,0))</f>
        <v>0.212884169069555</v>
      </c>
      <c r="H111" s="49" t="n">
        <f aca="false">LN(F111/G111)</f>
        <v>-0.588145080319186</v>
      </c>
    </row>
    <row r="112" customFormat="false" ht="15" hidden="false" customHeight="true" outlineLevel="0" collapsed="false">
      <c r="A112" s="38" t="s">
        <v>36</v>
      </c>
      <c r="B112" s="38" t="n">
        <v>39</v>
      </c>
      <c r="C112" s="38" t="s">
        <v>170</v>
      </c>
      <c r="D112" s="38" t="s">
        <v>868</v>
      </c>
      <c r="E112" s="38" t="str">
        <f aca="false">B112&amp;"|"&amp;C112</f>
        <v>39|C</v>
      </c>
      <c r="F112" s="45" t="n">
        <f aca="false">INDEX('Emission Stepwise'!$H$2:$H$289,MATCH(E112,'Emission Stepwise'!$C$2:$C$289,0))</f>
        <v>0.251231527093596</v>
      </c>
      <c r="G112" s="45" t="n">
        <f aca="false">INDEX(Background!$C$4:$C$7,MATCH(C112,Background!$A$4:$A$7,0))</f>
        <v>0.276812715380828</v>
      </c>
      <c r="H112" s="49" t="n">
        <f aca="false">LN(F112/G112)</f>
        <v>-0.0969662270932311</v>
      </c>
    </row>
    <row r="113" customFormat="false" ht="15" hidden="false" customHeight="true" outlineLevel="0" collapsed="false">
      <c r="A113" s="38" t="s">
        <v>36</v>
      </c>
      <c r="B113" s="38" t="n">
        <v>40</v>
      </c>
      <c r="C113" s="38" t="s">
        <v>172</v>
      </c>
      <c r="D113" s="38" t="s">
        <v>868</v>
      </c>
      <c r="E113" s="38" t="str">
        <f aca="false">B113&amp;"|"&amp;C113</f>
        <v>40|A</v>
      </c>
      <c r="F113" s="45" t="n">
        <f aca="false">INDEX('Emission Stepwise'!$H$2:$H$289,MATCH(E113,'Emission Stepwise'!$C$2:$C$289,0))</f>
        <v>0.00985221674876847</v>
      </c>
      <c r="G113" s="45" t="n">
        <f aca="false">INDEX(Background!$C$4:$C$7,MATCH(C113,Background!$A$4:$A$7,0))</f>
        <v>0.185174766157958</v>
      </c>
      <c r="H113" s="49" t="n">
        <f aca="false">LN(F113/G113)</f>
        <v>-2.93360358058178</v>
      </c>
    </row>
    <row r="114" customFormat="false" ht="15" hidden="false" customHeight="true" outlineLevel="0" collapsed="false">
      <c r="A114" s="38" t="s">
        <v>36</v>
      </c>
      <c r="B114" s="38" t="n">
        <v>41</v>
      </c>
      <c r="C114" s="38" t="s">
        <v>169</v>
      </c>
      <c r="D114" s="38" t="s">
        <v>868</v>
      </c>
      <c r="E114" s="38" t="str">
        <f aca="false">B114&amp;"|"&amp;C114</f>
        <v>41|G</v>
      </c>
      <c r="F114" s="45" t="n">
        <f aca="false">INDEX('Emission Stepwise'!$H$2:$H$289,MATCH(E114,'Emission Stepwise'!$C$2:$C$289,0))</f>
        <v>0.177339901477833</v>
      </c>
      <c r="G114" s="45" t="n">
        <f aca="false">INDEX(Background!$C$4:$C$7,MATCH(C114,Background!$A$4:$A$7,0))</f>
        <v>0.325128349391659</v>
      </c>
      <c r="H114" s="49" t="n">
        <f aca="false">LN(F114/G114)</f>
        <v>-0.606151787177528</v>
      </c>
    </row>
    <row r="115" customFormat="false" ht="15" hidden="false" customHeight="true" outlineLevel="0" collapsed="false">
      <c r="A115" s="38" t="s">
        <v>36</v>
      </c>
      <c r="B115" s="38" t="n">
        <v>42</v>
      </c>
      <c r="C115" s="38" t="s">
        <v>169</v>
      </c>
      <c r="D115" s="38" t="s">
        <v>868</v>
      </c>
      <c r="E115" s="38" t="str">
        <f aca="false">B115&amp;"|"&amp;C115</f>
        <v>42|G</v>
      </c>
      <c r="F115" s="45" t="n">
        <f aca="false">INDEX('Emission Stepwise'!$H$2:$H$289,MATCH(E115,'Emission Stepwise'!$C$2:$C$289,0))</f>
        <v>0.522167487684729</v>
      </c>
      <c r="G115" s="45" t="n">
        <f aca="false">INDEX(Background!$C$4:$C$7,MATCH(C115,Background!$A$4:$A$7,0))</f>
        <v>0.325128349391659</v>
      </c>
      <c r="H115" s="49" t="n">
        <f aca="false">LN(F115/G115)</f>
        <v>0.473768368478429</v>
      </c>
    </row>
    <row r="116" customFormat="false" ht="15" hidden="false" customHeight="true" outlineLevel="0" collapsed="false">
      <c r="A116" s="38" t="s">
        <v>36</v>
      </c>
      <c r="B116" s="38" t="n">
        <v>43</v>
      </c>
      <c r="C116" s="38" t="s">
        <v>172</v>
      </c>
      <c r="D116" s="38" t="s">
        <v>868</v>
      </c>
      <c r="E116" s="38" t="str">
        <f aca="false">B116&amp;"|"&amp;C116</f>
        <v>43|A</v>
      </c>
      <c r="F116" s="45" t="n">
        <f aca="false">INDEX('Emission Stepwise'!$H$2:$H$289,MATCH(E116,'Emission Stepwise'!$C$2:$C$289,0))</f>
        <v>0.226600985221675</v>
      </c>
      <c r="G116" s="45" t="n">
        <f aca="false">INDEX(Background!$C$4:$C$7,MATCH(C116,Background!$A$4:$A$7,0))</f>
        <v>0.185174766157958</v>
      </c>
      <c r="H116" s="49" t="n">
        <f aca="false">LN(F116/G116)</f>
        <v>0.201890635347373</v>
      </c>
    </row>
    <row r="117" customFormat="false" ht="15" hidden="false" customHeight="true" outlineLevel="0" collapsed="false">
      <c r="A117" s="38" t="s">
        <v>36</v>
      </c>
      <c r="B117" s="38" t="n">
        <v>44</v>
      </c>
      <c r="C117" s="38" t="s">
        <v>172</v>
      </c>
      <c r="D117" s="38" t="s">
        <v>868</v>
      </c>
      <c r="E117" s="38" t="str">
        <f aca="false">B117&amp;"|"&amp;C117</f>
        <v>44|A</v>
      </c>
      <c r="F117" s="45" t="n">
        <f aca="false">INDEX('Emission Stepwise'!$H$2:$H$289,MATCH(E117,'Emission Stepwise'!$C$2:$C$289,0))</f>
        <v>0.492610837438424</v>
      </c>
      <c r="G117" s="45" t="n">
        <f aca="false">INDEX(Background!$C$4:$C$7,MATCH(C117,Background!$A$4:$A$7,0))</f>
        <v>0.185174766157958</v>
      </c>
      <c r="H117" s="49" t="n">
        <f aca="false">LN(F117/G117)</f>
        <v>0.978419424846369</v>
      </c>
    </row>
    <row r="118" customFormat="false" ht="15" hidden="false" customHeight="true" outlineLevel="0" collapsed="false">
      <c r="A118" s="38" t="s">
        <v>36</v>
      </c>
      <c r="B118" s="38" t="n">
        <v>45</v>
      </c>
      <c r="C118" s="38" t="s">
        <v>171</v>
      </c>
      <c r="D118" s="38" t="s">
        <v>869</v>
      </c>
      <c r="E118" s="38" t="str">
        <f aca="false">B118&amp;"|"&amp;C118</f>
        <v>45|U</v>
      </c>
      <c r="F118" s="45" t="n">
        <f aca="false">INDEX('Emission Stepwise'!$H$2:$H$289,MATCH(E118,'Emission Stepwise'!$C$2:$C$289,0))</f>
        <v>0.144278606965174</v>
      </c>
      <c r="G118" s="45" t="n">
        <f aca="false">INDEX(Background!$C$4:$C$7,MATCH(C118,Background!$A$4:$A$7,0))</f>
        <v>0.212884169069555</v>
      </c>
      <c r="H118" s="49" t="n">
        <f aca="false">LN(F118/G118)</f>
        <v>-0.389002009697946</v>
      </c>
    </row>
    <row r="119" customFormat="false" ht="15" hidden="false" customHeight="true" outlineLevel="0" collapsed="false">
      <c r="A119" s="38" t="s">
        <v>36</v>
      </c>
      <c r="B119" s="38" t="n">
        <v>46</v>
      </c>
      <c r="C119" s="38" t="s">
        <v>176</v>
      </c>
      <c r="D119" s="38" t="s">
        <v>869</v>
      </c>
      <c r="E119" s="38"/>
      <c r="F119" s="38"/>
      <c r="G119" s="38"/>
      <c r="H119" s="38"/>
    </row>
    <row r="120" customFormat="false" ht="15" hidden="false" customHeight="true" outlineLevel="0" collapsed="false">
      <c r="A120" s="38" t="s">
        <v>36</v>
      </c>
      <c r="B120" s="38" t="n">
        <v>47</v>
      </c>
      <c r="C120" s="38" t="s">
        <v>176</v>
      </c>
      <c r="D120" s="38" t="s">
        <v>869</v>
      </c>
      <c r="E120" s="38"/>
      <c r="F120" s="38"/>
      <c r="G120" s="38"/>
      <c r="H120" s="38"/>
    </row>
    <row r="121" customFormat="false" ht="15" hidden="false" customHeight="true" outlineLevel="0" collapsed="false">
      <c r="A121" s="38" t="s">
        <v>36</v>
      </c>
      <c r="B121" s="38" t="n">
        <v>48</v>
      </c>
      <c r="C121" s="38" t="s">
        <v>171</v>
      </c>
      <c r="D121" s="38" t="s">
        <v>869</v>
      </c>
      <c r="E121" s="38" t="str">
        <f aca="false">B121&amp;"|"&amp;C121</f>
        <v>48|U</v>
      </c>
      <c r="F121" s="45" t="n">
        <f aca="false">INDEX('Emission Stepwise'!$H$2:$H$289,MATCH(E121,'Emission Stepwise'!$C$2:$C$289,0))</f>
        <v>0.147783251231527</v>
      </c>
      <c r="G121" s="45" t="n">
        <f aca="false">INDEX(Background!$C$4:$C$7,MATCH(C121,Background!$A$4:$A$7,0))</f>
        <v>0.212884169069555</v>
      </c>
      <c r="H121" s="49" t="n">
        <f aca="false">LN(F121/G121)</f>
        <v>-0.365001529004976</v>
      </c>
    </row>
    <row r="122" customFormat="false" ht="15" hidden="false" customHeight="true" outlineLevel="0" collapsed="false">
      <c r="A122" s="38" t="s">
        <v>36</v>
      </c>
      <c r="B122" s="38" t="n">
        <v>49</v>
      </c>
      <c r="C122" s="38" t="s">
        <v>171</v>
      </c>
      <c r="D122" s="38" t="s">
        <v>870</v>
      </c>
      <c r="E122" s="38" t="str">
        <f aca="false">B122&amp;"|"&amp;C122</f>
        <v>49|U</v>
      </c>
      <c r="F122" s="45" t="n">
        <f aca="false">INDEX('Emission Stepwise'!$H$2:$H$289,MATCH(E122,'Emission Stepwise'!$C$2:$C$289,0))</f>
        <v>0.0591133004926108</v>
      </c>
      <c r="G122" s="45" t="n">
        <f aca="false">INDEX(Background!$C$4:$C$7,MATCH(C122,Background!$A$4:$A$7,0))</f>
        <v>0.212884169069555</v>
      </c>
      <c r="H122" s="49" t="n">
        <f aca="false">LN(F122/G122)</f>
        <v>-1.28129226087913</v>
      </c>
    </row>
    <row r="123" customFormat="false" ht="15" hidden="false" customHeight="true" outlineLevel="0" collapsed="false">
      <c r="A123" s="38" t="s">
        <v>36</v>
      </c>
      <c r="B123" s="38" t="n">
        <v>50</v>
      </c>
      <c r="C123" s="38" t="s">
        <v>170</v>
      </c>
      <c r="D123" s="38" t="s">
        <v>870</v>
      </c>
      <c r="E123" s="38" t="str">
        <f aca="false">B123&amp;"|"&amp;C123</f>
        <v>50|C</v>
      </c>
      <c r="F123" s="45" t="n">
        <f aca="false">INDEX('Emission Stepwise'!$H$2:$H$289,MATCH(E123,'Emission Stepwise'!$C$2:$C$289,0))</f>
        <v>0.433497536945813</v>
      </c>
      <c r="G123" s="45" t="n">
        <f aca="false">INDEX(Background!$C$4:$C$7,MATCH(C123,Background!$A$4:$A$7,0))</f>
        <v>0.276812715380828</v>
      </c>
      <c r="H123" s="49" t="n">
        <f aca="false">LN(F123/G123)</f>
        <v>0.44854495466065</v>
      </c>
    </row>
    <row r="124" customFormat="false" ht="15" hidden="false" customHeight="true" outlineLevel="0" collapsed="false">
      <c r="A124" s="38" t="s">
        <v>36</v>
      </c>
      <c r="B124" s="38" t="n">
        <v>51</v>
      </c>
      <c r="C124" s="38" t="s">
        <v>171</v>
      </c>
      <c r="D124" s="38" t="s">
        <v>870</v>
      </c>
      <c r="E124" s="38" t="str">
        <f aca="false">B124&amp;"|"&amp;C124</f>
        <v>51|U</v>
      </c>
      <c r="F124" s="45" t="n">
        <f aca="false">INDEX('Emission Stepwise'!$H$2:$H$289,MATCH(E124,'Emission Stepwise'!$C$2:$C$289,0))</f>
        <v>0.153465346534653</v>
      </c>
      <c r="G124" s="45" t="n">
        <f aca="false">INDEX(Background!$C$4:$C$7,MATCH(C124,Background!$A$4:$A$7,0))</f>
        <v>0.212884169069555</v>
      </c>
      <c r="H124" s="49" t="n">
        <f aca="false">LN(F124/G124)</f>
        <v>-0.327273424541403</v>
      </c>
    </row>
    <row r="125" customFormat="false" ht="15" hidden="false" customHeight="true" outlineLevel="0" collapsed="false">
      <c r="A125" s="38" t="s">
        <v>36</v>
      </c>
      <c r="B125" s="38" t="n">
        <v>52</v>
      </c>
      <c r="C125" s="38" t="s">
        <v>169</v>
      </c>
      <c r="D125" s="38" t="s">
        <v>870</v>
      </c>
      <c r="E125" s="38" t="str">
        <f aca="false">B125&amp;"|"&amp;C125</f>
        <v>52|G</v>
      </c>
      <c r="F125" s="45" t="n">
        <f aca="false">INDEX('Emission Stepwise'!$H$2:$H$289,MATCH(E125,'Emission Stepwise'!$C$2:$C$289,0))</f>
        <v>0.827586206896552</v>
      </c>
      <c r="G125" s="45" t="n">
        <f aca="false">INDEX(Background!$C$4:$C$7,MATCH(C125,Background!$A$4:$A$7,0))</f>
        <v>0.325128349391659</v>
      </c>
      <c r="H125" s="49" t="n">
        <f aca="false">LN(F125/G125)</f>
        <v>0.934293253769621</v>
      </c>
    </row>
    <row r="126" customFormat="false" ht="15" hidden="false" customHeight="true" outlineLevel="0" collapsed="false">
      <c r="A126" s="38" t="s">
        <v>36</v>
      </c>
      <c r="B126" s="38" t="n">
        <v>53</v>
      </c>
      <c r="C126" s="38" t="s">
        <v>169</v>
      </c>
      <c r="D126" s="38" t="s">
        <v>870</v>
      </c>
      <c r="E126" s="38" t="str">
        <f aca="false">B126&amp;"|"&amp;C126</f>
        <v>53|G</v>
      </c>
      <c r="F126" s="45" t="n">
        <f aca="false">INDEX('Emission Stepwise'!$H$2:$H$289,MATCH(E126,'Emission Stepwise'!$C$2:$C$289,0))</f>
        <v>0.96551724137931</v>
      </c>
      <c r="G126" s="45" t="n">
        <f aca="false">INDEX(Background!$C$4:$C$7,MATCH(C126,Background!$A$4:$A$7,0))</f>
        <v>0.325128349391659</v>
      </c>
      <c r="H126" s="49" t="n">
        <f aca="false">LN(F126/G126)</f>
        <v>1.08844393359688</v>
      </c>
    </row>
    <row r="127" customFormat="false" ht="15" hidden="false" customHeight="true" outlineLevel="0" collapsed="false">
      <c r="A127" s="38" t="s">
        <v>36</v>
      </c>
      <c r="B127" s="38" t="n">
        <v>54</v>
      </c>
      <c r="C127" s="38" t="s">
        <v>171</v>
      </c>
      <c r="D127" s="38" t="s">
        <v>870</v>
      </c>
      <c r="E127" s="38" t="str">
        <f aca="false">B127&amp;"|"&amp;C127</f>
        <v>54|U</v>
      </c>
      <c r="F127" s="45" t="n">
        <f aca="false">INDEX('Emission Stepwise'!$H$2:$H$289,MATCH(E127,'Emission Stepwise'!$C$2:$C$289,0))</f>
        <v>0.975369458128079</v>
      </c>
      <c r="G127" s="45" t="n">
        <f aca="false">INDEX(Background!$C$4:$C$7,MATCH(C127,Background!$A$4:$A$7,0))</f>
        <v>0.212884169069555</v>
      </c>
      <c r="H127" s="49" t="n">
        <f aca="false">LN(F127/G127)</f>
        <v>1.5220681200274</v>
      </c>
    </row>
    <row r="128" customFormat="false" ht="15" hidden="false" customHeight="true" outlineLevel="0" collapsed="false">
      <c r="A128" s="38" t="s">
        <v>36</v>
      </c>
      <c r="B128" s="38" t="n">
        <v>55</v>
      </c>
      <c r="C128" s="38" t="s">
        <v>171</v>
      </c>
      <c r="D128" s="38" t="s">
        <v>870</v>
      </c>
      <c r="E128" s="38" t="str">
        <f aca="false">B128&amp;"|"&amp;C128</f>
        <v>55|U</v>
      </c>
      <c r="F128" s="45" t="n">
        <f aca="false">INDEX('Emission Stepwise'!$H$2:$H$289,MATCH(E128,'Emission Stepwise'!$C$2:$C$289,0))</f>
        <v>0.970443349753695</v>
      </c>
      <c r="G128" s="45" t="n">
        <f aca="false">INDEX(Background!$C$4:$C$7,MATCH(C128,Background!$A$4:$A$7,0))</f>
        <v>0.212884169069555</v>
      </c>
      <c r="H128" s="49" t="n">
        <f aca="false">LN(F128/G128)</f>
        <v>1.51700481807086</v>
      </c>
    </row>
    <row r="129" customFormat="false" ht="15" hidden="false" customHeight="true" outlineLevel="0" collapsed="false">
      <c r="A129" s="38" t="s">
        <v>36</v>
      </c>
      <c r="B129" s="38" t="n">
        <v>56</v>
      </c>
      <c r="C129" s="38" t="s">
        <v>170</v>
      </c>
      <c r="D129" s="38" t="s">
        <v>870</v>
      </c>
      <c r="E129" s="38" t="str">
        <f aca="false">B129&amp;"|"&amp;C129</f>
        <v>56|C</v>
      </c>
      <c r="F129" s="45" t="n">
        <f aca="false">INDEX('Emission Stepwise'!$H$2:$H$289,MATCH(E129,'Emission Stepwise'!$C$2:$C$289,0))</f>
        <v>0.96551724137931</v>
      </c>
      <c r="G129" s="45" t="n">
        <f aca="false">INDEX(Background!$C$4:$C$7,MATCH(C129,Background!$A$4:$A$7,0))</f>
        <v>0.276812715380828</v>
      </c>
      <c r="H129" s="49" t="n">
        <f aca="false">LN(F129/G129)</f>
        <v>1.24932279941296</v>
      </c>
    </row>
    <row r="130" customFormat="false" ht="15" hidden="false" customHeight="true" outlineLevel="0" collapsed="false">
      <c r="A130" s="38" t="s">
        <v>36</v>
      </c>
      <c r="B130" s="38" t="n">
        <v>57</v>
      </c>
      <c r="C130" s="38" t="s">
        <v>171</v>
      </c>
      <c r="D130" s="38" t="s">
        <v>870</v>
      </c>
      <c r="E130" s="38" t="str">
        <f aca="false">B130&amp;"|"&amp;C130</f>
        <v>57|U</v>
      </c>
      <c r="F130" s="45" t="n">
        <f aca="false">INDEX('Emission Stepwise'!$H$2:$H$289,MATCH(E130,'Emission Stepwise'!$C$2:$C$289,0))</f>
        <v>0.0099009900990099</v>
      </c>
      <c r="G130" s="45" t="n">
        <f aca="false">INDEX(Background!$C$4:$C$7,MATCH(C130,Background!$A$4:$A$7,0))</f>
        <v>0.212884169069555</v>
      </c>
      <c r="H130" s="49" t="n">
        <f aca="false">LN(F130/G130)</f>
        <v>-3.0681134484666</v>
      </c>
    </row>
    <row r="131" customFormat="false" ht="15" hidden="false" customHeight="true" outlineLevel="0" collapsed="false">
      <c r="A131" s="38" t="s">
        <v>36</v>
      </c>
      <c r="B131" s="38" t="n">
        <v>58</v>
      </c>
      <c r="C131" s="38" t="s">
        <v>171</v>
      </c>
      <c r="D131" s="38" t="s">
        <v>870</v>
      </c>
      <c r="E131" s="38" t="str">
        <f aca="false">B131&amp;"|"&amp;C131</f>
        <v>58|U</v>
      </c>
      <c r="F131" s="45" t="n">
        <f aca="false">INDEX('Emission Stepwise'!$H$2:$H$289,MATCH(E131,'Emission Stepwise'!$C$2:$C$289,0))</f>
        <v>0.00985221674876847</v>
      </c>
      <c r="G131" s="45" t="n">
        <f aca="false">INDEX(Background!$C$4:$C$7,MATCH(C131,Background!$A$4:$A$7,0))</f>
        <v>0.212884169069555</v>
      </c>
      <c r="H131" s="49" t="n">
        <f aca="false">LN(F131/G131)</f>
        <v>-3.07305173010719</v>
      </c>
    </row>
    <row r="132" customFormat="false" ht="15" hidden="false" customHeight="true" outlineLevel="0" collapsed="false">
      <c r="A132" s="38" t="s">
        <v>36</v>
      </c>
      <c r="B132" s="38" t="n">
        <v>59</v>
      </c>
      <c r="C132" s="38" t="s">
        <v>169</v>
      </c>
      <c r="D132" s="38" t="s">
        <v>870</v>
      </c>
      <c r="E132" s="38" t="str">
        <f aca="false">B132&amp;"|"&amp;C132</f>
        <v>59|G</v>
      </c>
      <c r="F132" s="45" t="n">
        <f aca="false">INDEX('Emission Stepwise'!$H$2:$H$289,MATCH(E132,'Emission Stepwise'!$C$2:$C$289,0))</f>
        <v>0.231527093596059</v>
      </c>
      <c r="G132" s="45" t="n">
        <f aca="false">INDEX(Background!$C$4:$C$7,MATCH(C132,Background!$A$4:$A$7,0))</f>
        <v>0.325128349391659</v>
      </c>
      <c r="H132" s="49" t="n">
        <f aca="false">LN(F132/G132)</f>
        <v>-0.33952312392358</v>
      </c>
    </row>
    <row r="133" customFormat="false" ht="15" hidden="false" customHeight="true" outlineLevel="0" collapsed="false">
      <c r="A133" s="38" t="s">
        <v>36</v>
      </c>
      <c r="B133" s="38" t="n">
        <v>60</v>
      </c>
      <c r="C133" s="38" t="s">
        <v>171</v>
      </c>
      <c r="D133" s="38" t="s">
        <v>870</v>
      </c>
      <c r="E133" s="38" t="str">
        <f aca="false">B133&amp;"|"&amp;C133</f>
        <v>60|U</v>
      </c>
      <c r="F133" s="45" t="n">
        <f aca="false">INDEX('Emission Stepwise'!$H$2:$H$289,MATCH(E133,'Emission Stepwise'!$C$2:$C$289,0))</f>
        <v>0.773399014778325</v>
      </c>
      <c r="G133" s="45" t="n">
        <f aca="false">INDEX(Background!$C$4:$C$7,MATCH(C133,Background!$A$4:$A$7,0))</f>
        <v>0.212884169069555</v>
      </c>
      <c r="H133" s="49" t="n">
        <f aca="false">LN(F133/G133)</f>
        <v>1.29004689468118</v>
      </c>
    </row>
    <row r="134" customFormat="false" ht="15" hidden="false" customHeight="true" outlineLevel="0" collapsed="false">
      <c r="A134" s="38" t="s">
        <v>36</v>
      </c>
      <c r="B134" s="38" t="n">
        <v>61</v>
      </c>
      <c r="C134" s="38" t="s">
        <v>170</v>
      </c>
      <c r="D134" s="38" t="s">
        <v>870</v>
      </c>
      <c r="E134" s="38" t="str">
        <f aca="false">B134&amp;"|"&amp;C134</f>
        <v>61|C</v>
      </c>
      <c r="F134" s="45" t="n">
        <f aca="false">INDEX('Emission Stepwise'!$H$2:$H$289,MATCH(E134,'Emission Stepwise'!$C$2:$C$289,0))</f>
        <v>0.975369458128079</v>
      </c>
      <c r="G134" s="45" t="n">
        <f aca="false">INDEX(Background!$C$4:$C$7,MATCH(C134,Background!$A$4:$A$7,0))</f>
        <v>0.276812715380828</v>
      </c>
      <c r="H134" s="49" t="n">
        <f aca="false">LN(F134/G134)</f>
        <v>1.25947517087698</v>
      </c>
    </row>
    <row r="135" customFormat="false" ht="15" hidden="false" customHeight="true" outlineLevel="0" collapsed="false">
      <c r="A135" s="38" t="s">
        <v>36</v>
      </c>
      <c r="B135" s="38" t="n">
        <v>62</v>
      </c>
      <c r="C135" s="38" t="s">
        <v>171</v>
      </c>
      <c r="D135" s="38" t="s">
        <v>870</v>
      </c>
      <c r="E135" s="38" t="str">
        <f aca="false">B135&amp;"|"&amp;C135</f>
        <v>62|U</v>
      </c>
      <c r="F135" s="45" t="n">
        <f aca="false">INDEX('Emission Stepwise'!$H$2:$H$289,MATCH(E135,'Emission Stepwise'!$C$2:$C$289,0))</f>
        <v>0.133004926108374</v>
      </c>
      <c r="G135" s="45" t="n">
        <f aca="false">INDEX(Background!$C$4:$C$7,MATCH(C135,Background!$A$4:$A$7,0))</f>
        <v>0.212884169069555</v>
      </c>
      <c r="H135" s="49" t="n">
        <f aca="false">LN(F135/G135)</f>
        <v>-0.470362044662802</v>
      </c>
    </row>
    <row r="136" customFormat="false" ht="15" hidden="false" customHeight="true" outlineLevel="0" collapsed="false">
      <c r="A136" s="38" t="s">
        <v>36</v>
      </c>
      <c r="B136" s="38" t="n">
        <v>63</v>
      </c>
      <c r="C136" s="38" t="s">
        <v>169</v>
      </c>
      <c r="D136" s="38" t="s">
        <v>870</v>
      </c>
      <c r="E136" s="38" t="str">
        <f aca="false">B136&amp;"|"&amp;C136</f>
        <v>63|G</v>
      </c>
      <c r="F136" s="45" t="n">
        <f aca="false">INDEX('Emission Stepwise'!$H$2:$H$289,MATCH(E136,'Emission Stepwise'!$C$2:$C$289,0))</f>
        <v>0.241379310344828</v>
      </c>
      <c r="G136" s="45" t="n">
        <f aca="false">INDEX(Background!$C$4:$C$7,MATCH(C136,Background!$A$4:$A$7,0))</f>
        <v>0.325128349391659</v>
      </c>
      <c r="H136" s="49" t="n">
        <f aca="false">LN(F136/G136)</f>
        <v>-0.297850427523012</v>
      </c>
    </row>
    <row r="137" customFormat="false" ht="15" hidden="false" customHeight="true" outlineLevel="0" collapsed="false">
      <c r="A137" s="38" t="s">
        <v>36</v>
      </c>
      <c r="B137" s="38" t="n">
        <v>64</v>
      </c>
      <c r="C137" s="38" t="s">
        <v>169</v>
      </c>
      <c r="D137" s="38" t="s">
        <v>870</v>
      </c>
      <c r="E137" s="38" t="str">
        <f aca="false">B137&amp;"|"&amp;C137</f>
        <v>64|G</v>
      </c>
      <c r="F137" s="45" t="n">
        <f aca="false">INDEX('Emission Stepwise'!$H$2:$H$289,MATCH(E137,'Emission Stepwise'!$C$2:$C$289,0))</f>
        <v>0.458128078817734</v>
      </c>
      <c r="G137" s="45" t="n">
        <f aca="false">INDEX(Background!$C$4:$C$7,MATCH(C137,Background!$A$4:$A$7,0))</f>
        <v>0.325128349391659</v>
      </c>
      <c r="H137" s="49" t="n">
        <f aca="false">LN(F137/G137)</f>
        <v>0.342928767519618</v>
      </c>
    </row>
    <row r="138" customFormat="false" ht="15" hidden="false" customHeight="true" outlineLevel="0" collapsed="false">
      <c r="A138" s="38" t="s">
        <v>36</v>
      </c>
      <c r="B138" s="38" t="n">
        <v>65</v>
      </c>
      <c r="C138" s="38" t="s">
        <v>172</v>
      </c>
      <c r="D138" s="38" t="s">
        <v>870</v>
      </c>
      <c r="E138" s="38" t="str">
        <f aca="false">B138&amp;"|"&amp;C138</f>
        <v>65|A</v>
      </c>
      <c r="F138" s="45" t="n">
        <f aca="false">INDEX('Emission Stepwise'!$H$2:$H$289,MATCH(E138,'Emission Stepwise'!$C$2:$C$289,0))</f>
        <v>0.0495049504950495</v>
      </c>
      <c r="G138" s="45" t="n">
        <f aca="false">INDEX(Background!$C$4:$C$7,MATCH(C138,Background!$A$4:$A$7,0))</f>
        <v>0.185174766157958</v>
      </c>
      <c r="H138" s="49" t="n">
        <f aca="false">LN(F138/G138)</f>
        <v>-1.31922738650709</v>
      </c>
    </row>
    <row r="139" customFormat="false" ht="15" hidden="false" customHeight="true" outlineLevel="0" collapsed="false">
      <c r="A139" s="38" t="s">
        <v>36</v>
      </c>
      <c r="B139" s="38" t="n">
        <v>66</v>
      </c>
      <c r="C139" s="38" t="s">
        <v>169</v>
      </c>
      <c r="D139" s="38" t="s">
        <v>871</v>
      </c>
      <c r="E139" s="38" t="str">
        <f aca="false">B139&amp;"|"&amp;C139</f>
        <v>66|G</v>
      </c>
      <c r="F139" s="45" t="n">
        <f aca="false">INDEX('Emission Stepwise'!$H$2:$H$289,MATCH(E139,'Emission Stepwise'!$C$2:$C$289,0))</f>
        <v>0.0147783251231527</v>
      </c>
      <c r="G139" s="45" t="n">
        <f aca="false">INDEX(Background!$C$4:$C$7,MATCH(C139,Background!$A$4:$A$7,0))</f>
        <v>0.325128349391659</v>
      </c>
      <c r="H139" s="49" t="n">
        <f aca="false">LN(F139/G139)</f>
        <v>-3.09105843696553</v>
      </c>
    </row>
    <row r="140" customFormat="false" ht="15" hidden="false" customHeight="true" outlineLevel="0" collapsed="false">
      <c r="A140" s="38" t="s">
        <v>36</v>
      </c>
      <c r="B140" s="38" t="n">
        <v>67</v>
      </c>
      <c r="C140" s="38" t="s">
        <v>171</v>
      </c>
      <c r="D140" s="38" t="s">
        <v>871</v>
      </c>
      <c r="E140" s="38" t="str">
        <f aca="false">B140&amp;"|"&amp;C140</f>
        <v>67|U</v>
      </c>
      <c r="F140" s="45" t="n">
        <f aca="false">INDEX('Emission Stepwise'!$H$2:$H$289,MATCH(E140,'Emission Stepwise'!$C$2:$C$289,0))</f>
        <v>0.192118226600985</v>
      </c>
      <c r="G140" s="45" t="n">
        <f aca="false">INDEX(Background!$C$4:$C$7,MATCH(C140,Background!$A$4:$A$7,0))</f>
        <v>0.212884169069555</v>
      </c>
      <c r="H140" s="49" t="n">
        <f aca="false">LN(F140/G140)</f>
        <v>-0.102637264537485</v>
      </c>
    </row>
    <row r="141" customFormat="false" ht="15" hidden="false" customHeight="true" outlineLevel="0" collapsed="false">
      <c r="A141" s="38" t="s">
        <v>36</v>
      </c>
      <c r="B141" s="38" t="n">
        <v>68</v>
      </c>
      <c r="C141" s="38" t="s">
        <v>171</v>
      </c>
      <c r="D141" s="38" t="s">
        <v>871</v>
      </c>
      <c r="E141" s="38" t="str">
        <f aca="false">B141&amp;"|"&amp;C141</f>
        <v>68|U</v>
      </c>
      <c r="F141" s="45" t="n">
        <f aca="false">INDEX('Emission Stepwise'!$H$2:$H$289,MATCH(E141,'Emission Stepwise'!$C$2:$C$289,0))</f>
        <v>0.177339901477833</v>
      </c>
      <c r="G141" s="45" t="n">
        <f aca="false">INDEX(Background!$C$4:$C$7,MATCH(C141,Background!$A$4:$A$7,0))</f>
        <v>0.212884169069555</v>
      </c>
      <c r="H141" s="49" t="n">
        <f aca="false">LN(F141/G141)</f>
        <v>-0.182679972211022</v>
      </c>
    </row>
    <row r="142" customFormat="false" ht="15" hidden="false" customHeight="true" outlineLevel="0" collapsed="false">
      <c r="A142" s="38" t="s">
        <v>36</v>
      </c>
      <c r="B142" s="38" t="n">
        <v>69</v>
      </c>
      <c r="C142" s="38" t="s">
        <v>171</v>
      </c>
      <c r="D142" s="38" t="s">
        <v>871</v>
      </c>
      <c r="E142" s="38" t="str">
        <f aca="false">B142&amp;"|"&amp;C142</f>
        <v>69|U</v>
      </c>
      <c r="F142" s="45" t="n">
        <f aca="false">INDEX('Emission Stepwise'!$H$2:$H$289,MATCH(E142,'Emission Stepwise'!$C$2:$C$289,0))</f>
        <v>0.083743842364532</v>
      </c>
      <c r="G142" s="45" t="n">
        <f aca="false">INDEX(Background!$C$4:$C$7,MATCH(C142,Background!$A$4:$A$7,0))</f>
        <v>0.212884169069555</v>
      </c>
      <c r="H142" s="49" t="n">
        <f aca="false">LN(F142/G142)</f>
        <v>-0.932985566610916</v>
      </c>
    </row>
    <row r="143" customFormat="false" ht="15" hidden="false" customHeight="true" outlineLevel="0" collapsed="false">
      <c r="A143" s="38" t="s">
        <v>36</v>
      </c>
      <c r="B143" s="38" t="n">
        <v>70</v>
      </c>
      <c r="C143" s="38" t="s">
        <v>170</v>
      </c>
      <c r="D143" s="38" t="s">
        <v>871</v>
      </c>
      <c r="E143" s="38" t="str">
        <f aca="false">B143&amp;"|"&amp;C143</f>
        <v>70|C</v>
      </c>
      <c r="F143" s="45" t="n">
        <f aca="false">INDEX('Emission Stepwise'!$H$2:$H$289,MATCH(E143,'Emission Stepwise'!$C$2:$C$289,0))</f>
        <v>0.354679802955665</v>
      </c>
      <c r="G143" s="45" t="n">
        <f aca="false">INDEX(Background!$C$4:$C$7,MATCH(C143,Background!$A$4:$A$7,0))</f>
        <v>0.276812715380828</v>
      </c>
      <c r="H143" s="49" t="n">
        <f aca="false">LN(F143/G143)</f>
        <v>0.247874259198498</v>
      </c>
    </row>
    <row r="144" customFormat="false" ht="15" hidden="false" customHeight="true" outlineLevel="0" collapsed="false">
      <c r="A144" s="38" t="s">
        <v>36</v>
      </c>
      <c r="B144" s="38" t="n">
        <v>71</v>
      </c>
      <c r="C144" s="38" t="s">
        <v>171</v>
      </c>
      <c r="D144" s="38" t="s">
        <v>871</v>
      </c>
      <c r="E144" s="38" t="str">
        <f aca="false">B144&amp;"|"&amp;C144</f>
        <v>71|U</v>
      </c>
      <c r="F144" s="45" t="n">
        <f aca="false">INDEX('Emission Stepwise'!$H$2:$H$289,MATCH(E144,'Emission Stepwise'!$C$2:$C$289,0))</f>
        <v>0.0492610837438424</v>
      </c>
      <c r="G144" s="45" t="n">
        <f aca="false">INDEX(Background!$C$4:$C$7,MATCH(C144,Background!$A$4:$A$7,0))</f>
        <v>0.212884169069555</v>
      </c>
      <c r="H144" s="49" t="n">
        <f aca="false">LN(F144/G144)</f>
        <v>-1.46361381767309</v>
      </c>
    </row>
    <row r="145" customFormat="false" ht="15" hidden="false" customHeight="true" outlineLevel="0" collapsed="false">
      <c r="A145" s="38" t="s">
        <v>36</v>
      </c>
      <c r="B145" s="38" t="n">
        <v>72</v>
      </c>
      <c r="C145" s="38" t="s">
        <v>171</v>
      </c>
      <c r="D145" s="38" t="s">
        <v>871</v>
      </c>
      <c r="E145" s="38" t="str">
        <f aca="false">B145&amp;"|"&amp;C145</f>
        <v>72|U</v>
      </c>
      <c r="F145" s="45" t="n">
        <f aca="false">INDEX('Emission Stepwise'!$H$2:$H$289,MATCH(E145,'Emission Stepwise'!$C$2:$C$289,0))</f>
        <v>0.108374384236453</v>
      </c>
      <c r="G145" s="45" t="n">
        <f aca="false">INDEX(Background!$C$4:$C$7,MATCH(C145,Background!$A$4:$A$7,0))</f>
        <v>0.212884169069555</v>
      </c>
      <c r="H145" s="49" t="n">
        <f aca="false">LN(F145/G145)</f>
        <v>-0.675156457308816</v>
      </c>
    </row>
    <row r="146" customFormat="false" ht="15" hidden="false" customHeight="true" outlineLevel="0" collapsed="false">
      <c r="A146" s="38" t="s">
        <v>41</v>
      </c>
      <c r="B146" s="38" t="n">
        <v>1</v>
      </c>
      <c r="C146" s="38" t="s">
        <v>170</v>
      </c>
      <c r="D146" s="38" t="s">
        <v>865</v>
      </c>
      <c r="E146" s="38" t="str">
        <f aca="false">B146&amp;"|"&amp;C146</f>
        <v>1|C</v>
      </c>
      <c r="F146" s="45" t="n">
        <f aca="false">INDEX('Emission Stepwise'!$H$2:$H$289,MATCH(E146,'Emission Stepwise'!$C$2:$C$289,0))</f>
        <v>0.108374384236453</v>
      </c>
      <c r="G146" s="45" t="n">
        <f aca="false">INDEX(Background!$C$4:$C$7,MATCH(C146,Background!$A$4:$A$7,0))</f>
        <v>0.276812715380828</v>
      </c>
      <c r="H146" s="49" t="n">
        <f aca="false">LN(F146/G146)</f>
        <v>-0.937749406459241</v>
      </c>
    </row>
    <row r="147" customFormat="false" ht="15" hidden="false" customHeight="true" outlineLevel="0" collapsed="false">
      <c r="A147" s="38" t="s">
        <v>41</v>
      </c>
      <c r="B147" s="38" t="n">
        <v>2</v>
      </c>
      <c r="C147" s="38" t="s">
        <v>171</v>
      </c>
      <c r="D147" s="38" t="s">
        <v>865</v>
      </c>
      <c r="E147" s="38" t="str">
        <f aca="false">B147&amp;"|"&amp;C147</f>
        <v>2|U</v>
      </c>
      <c r="F147" s="45" t="n">
        <f aca="false">INDEX('Emission Stepwise'!$H$2:$H$289,MATCH(E147,'Emission Stepwise'!$C$2:$C$289,0))</f>
        <v>0.0344827586206897</v>
      </c>
      <c r="G147" s="45" t="n">
        <f aca="false">INDEX(Background!$C$4:$C$7,MATCH(C147,Background!$A$4:$A$7,0))</f>
        <v>0.212884169069555</v>
      </c>
      <c r="H147" s="49" t="n">
        <f aca="false">LN(F147/G147)</f>
        <v>-1.82028876161182</v>
      </c>
    </row>
    <row r="148" customFormat="false" ht="15" hidden="false" customHeight="true" outlineLevel="0" collapsed="false">
      <c r="A148" s="38" t="s">
        <v>41</v>
      </c>
      <c r="B148" s="38" t="n">
        <v>3</v>
      </c>
      <c r="C148" s="38" t="s">
        <v>171</v>
      </c>
      <c r="D148" s="38" t="s">
        <v>865</v>
      </c>
      <c r="E148" s="38" t="str">
        <f aca="false">B148&amp;"|"&amp;C148</f>
        <v>3|U</v>
      </c>
      <c r="F148" s="45" t="n">
        <f aca="false">INDEX('Emission Stepwise'!$H$2:$H$289,MATCH(E148,'Emission Stepwise'!$C$2:$C$289,0))</f>
        <v>0.118226600985222</v>
      </c>
      <c r="G148" s="45" t="n">
        <f aca="false">INDEX(Background!$C$4:$C$7,MATCH(C148,Background!$A$4:$A$7,0))</f>
        <v>0.212884169069555</v>
      </c>
      <c r="H148" s="49" t="n">
        <f aca="false">LN(F148/G148)</f>
        <v>-0.588145080319186</v>
      </c>
    </row>
    <row r="149" customFormat="false" ht="15" hidden="false" customHeight="true" outlineLevel="0" collapsed="false">
      <c r="A149" s="38" t="s">
        <v>41</v>
      </c>
      <c r="B149" s="38" t="n">
        <v>4</v>
      </c>
      <c r="C149" s="38" t="s">
        <v>171</v>
      </c>
      <c r="D149" s="38" t="s">
        <v>865</v>
      </c>
      <c r="E149" s="38" t="str">
        <f aca="false">B149&amp;"|"&amp;C149</f>
        <v>4|U</v>
      </c>
      <c r="F149" s="45" t="n">
        <f aca="false">INDEX('Emission Stepwise'!$H$2:$H$289,MATCH(E149,'Emission Stepwise'!$C$2:$C$289,0))</f>
        <v>0.172413793103448</v>
      </c>
      <c r="G149" s="45" t="n">
        <f aca="false">INDEX(Background!$C$4:$C$7,MATCH(C149,Background!$A$4:$A$7,0))</f>
        <v>0.212884169069555</v>
      </c>
      <c r="H149" s="49" t="n">
        <f aca="false">LN(F149/G149)</f>
        <v>-0.210850849177718</v>
      </c>
    </row>
    <row r="150" customFormat="false" ht="15" hidden="false" customHeight="true" outlineLevel="0" collapsed="false">
      <c r="A150" s="38" t="s">
        <v>41</v>
      </c>
      <c r="B150" s="38" t="n">
        <v>5</v>
      </c>
      <c r="C150" s="38" t="s">
        <v>170</v>
      </c>
      <c r="D150" s="38" t="s">
        <v>865</v>
      </c>
      <c r="E150" s="38" t="str">
        <f aca="false">B150&amp;"|"&amp;C150</f>
        <v>5|C</v>
      </c>
      <c r="F150" s="45" t="n">
        <f aca="false">INDEX('Emission Stepwise'!$H$2:$H$289,MATCH(E150,'Emission Stepwise'!$C$2:$C$289,0))</f>
        <v>0.394088669950739</v>
      </c>
      <c r="G150" s="45" t="n">
        <f aca="false">INDEX(Background!$C$4:$C$7,MATCH(C150,Background!$A$4:$A$7,0))</f>
        <v>0.276812715380828</v>
      </c>
      <c r="H150" s="49" t="n">
        <f aca="false">LN(F150/G150)</f>
        <v>0.353234774856325</v>
      </c>
    </row>
    <row r="151" customFormat="false" ht="15" hidden="false" customHeight="true" outlineLevel="0" collapsed="false">
      <c r="A151" s="38" t="s">
        <v>41</v>
      </c>
      <c r="B151" s="38" t="n">
        <v>6</v>
      </c>
      <c r="C151" s="38" t="s">
        <v>171</v>
      </c>
      <c r="D151" s="38" t="s">
        <v>865</v>
      </c>
      <c r="E151" s="38" t="str">
        <f aca="false">B151&amp;"|"&amp;C151</f>
        <v>6|U</v>
      </c>
      <c r="F151" s="45" t="n">
        <f aca="false">INDEX('Emission Stepwise'!$H$2:$H$289,MATCH(E151,'Emission Stepwise'!$C$2:$C$289,0))</f>
        <v>0.261083743842365</v>
      </c>
      <c r="G151" s="45" t="n">
        <f aca="false">INDEX(Background!$C$4:$C$7,MATCH(C151,Background!$A$4:$A$7,0))</f>
        <v>0.212884169069555</v>
      </c>
      <c r="H151" s="49" t="n">
        <f aca="false">LN(F151/G151)</f>
        <v>0.20409300288499</v>
      </c>
    </row>
    <row r="152" customFormat="false" ht="15" hidden="false" customHeight="true" outlineLevel="0" collapsed="false">
      <c r="A152" s="38" t="s">
        <v>41</v>
      </c>
      <c r="B152" s="38" t="n">
        <v>7</v>
      </c>
      <c r="C152" s="38" t="s">
        <v>171</v>
      </c>
      <c r="D152" s="38" t="s">
        <v>865</v>
      </c>
      <c r="E152" s="38" t="str">
        <f aca="false">B152&amp;"|"&amp;C152</f>
        <v>7|U</v>
      </c>
      <c r="F152" s="45" t="n">
        <f aca="false">INDEX('Emission Stepwise'!$H$2:$H$289,MATCH(E152,'Emission Stepwise'!$C$2:$C$289,0))</f>
        <v>0.221674876847291</v>
      </c>
      <c r="G152" s="45" t="n">
        <f aca="false">INDEX(Background!$C$4:$C$7,MATCH(C152,Background!$A$4:$A$7,0))</f>
        <v>0.212884169069555</v>
      </c>
      <c r="H152" s="49" t="n">
        <f aca="false">LN(F152/G152)</f>
        <v>0.0404635791031882</v>
      </c>
    </row>
    <row r="153" customFormat="false" ht="15" hidden="false" customHeight="true" outlineLevel="0" collapsed="false">
      <c r="A153" s="38" t="s">
        <v>41</v>
      </c>
      <c r="B153" s="38" t="n">
        <v>8</v>
      </c>
      <c r="C153" s="38" t="s">
        <v>171</v>
      </c>
      <c r="D153" s="38" t="s">
        <v>866</v>
      </c>
      <c r="E153" s="38" t="str">
        <f aca="false">B153&amp;"|"&amp;C153</f>
        <v>8|U</v>
      </c>
      <c r="F153" s="45" t="n">
        <f aca="false">INDEX('Emission Stepwise'!$H$2:$H$289,MATCH(E153,'Emission Stepwise'!$C$2:$C$289,0))</f>
        <v>0.975369458128079</v>
      </c>
      <c r="G153" s="45" t="n">
        <f aca="false">INDEX(Background!$C$4:$C$7,MATCH(C153,Background!$A$4:$A$7,0))</f>
        <v>0.212884169069555</v>
      </c>
      <c r="H153" s="49" t="n">
        <f aca="false">LN(F153/G153)</f>
        <v>1.5220681200274</v>
      </c>
    </row>
    <row r="154" customFormat="false" ht="15" hidden="false" customHeight="true" outlineLevel="0" collapsed="false">
      <c r="A154" s="38" t="s">
        <v>41</v>
      </c>
      <c r="B154" s="38" t="n">
        <v>9</v>
      </c>
      <c r="C154" s="38" t="s">
        <v>172</v>
      </c>
      <c r="D154" s="38" t="s">
        <v>867</v>
      </c>
      <c r="E154" s="38" t="str">
        <f aca="false">B154&amp;"|"&amp;C154</f>
        <v>9|A</v>
      </c>
      <c r="F154" s="45" t="n">
        <f aca="false">INDEX('Emission Stepwise'!$H$2:$H$289,MATCH(E154,'Emission Stepwise'!$C$2:$C$289,0))</f>
        <v>0.648514851485149</v>
      </c>
      <c r="G154" s="45" t="n">
        <f aca="false">INDEX(Background!$C$4:$C$7,MATCH(C154,Background!$A$4:$A$7,0))</f>
        <v>0.185174766157958</v>
      </c>
      <c r="H154" s="49" t="n">
        <f aca="false">LN(F154/G154)</f>
        <v>1.25338484370001</v>
      </c>
    </row>
    <row r="155" customFormat="false" ht="15" hidden="false" customHeight="true" outlineLevel="0" collapsed="false">
      <c r="A155" s="38" t="s">
        <v>41</v>
      </c>
      <c r="B155" s="38" t="n">
        <v>10</v>
      </c>
      <c r="C155" s="38" t="s">
        <v>172</v>
      </c>
      <c r="D155" s="38" t="s">
        <v>867</v>
      </c>
      <c r="E155" s="38" t="str">
        <f aca="false">B155&amp;"|"&amp;C155</f>
        <v>10|A</v>
      </c>
      <c r="F155" s="45" t="n">
        <f aca="false">INDEX('Emission Stepwise'!$H$2:$H$289,MATCH(E155,'Emission Stepwise'!$C$2:$C$289,0))</f>
        <v>0.00492610837438424</v>
      </c>
      <c r="G155" s="45" t="n">
        <f aca="false">INDEX(Background!$C$4:$C$7,MATCH(C155,Background!$A$4:$A$7,0))</f>
        <v>0.185174766157958</v>
      </c>
      <c r="H155" s="49" t="n">
        <f aca="false">LN(F155/G155)</f>
        <v>-3.62675076114172</v>
      </c>
    </row>
    <row r="156" customFormat="false" ht="15" hidden="false" customHeight="true" outlineLevel="0" collapsed="false">
      <c r="A156" s="38" t="s">
        <v>41</v>
      </c>
      <c r="B156" s="38" t="n">
        <v>11</v>
      </c>
      <c r="C156" s="38" t="s">
        <v>172</v>
      </c>
      <c r="D156" s="38" t="s">
        <v>867</v>
      </c>
      <c r="E156" s="38" t="str">
        <f aca="false">B156&amp;"|"&amp;C156</f>
        <v>11|A</v>
      </c>
      <c r="F156" s="45" t="n">
        <f aca="false">INDEX('Emission Stepwise'!$H$2:$H$289,MATCH(E156,'Emission Stepwise'!$C$2:$C$289,0))</f>
        <v>0.0394088669950739</v>
      </c>
      <c r="G156" s="45" t="n">
        <f aca="false">INDEX(Background!$C$4:$C$7,MATCH(C156,Background!$A$4:$A$7,0))</f>
        <v>0.185174766157958</v>
      </c>
      <c r="H156" s="49" t="n">
        <f aca="false">LN(F156/G156)</f>
        <v>-1.54730921946189</v>
      </c>
    </row>
    <row r="157" customFormat="false" ht="15" hidden="false" customHeight="true" outlineLevel="0" collapsed="false">
      <c r="A157" s="38" t="s">
        <v>41</v>
      </c>
      <c r="B157" s="38" t="n">
        <v>12</v>
      </c>
      <c r="C157" s="38" t="s">
        <v>171</v>
      </c>
      <c r="D157" s="38" t="s">
        <v>867</v>
      </c>
      <c r="E157" s="38" t="str">
        <f aca="false">B157&amp;"|"&amp;C157</f>
        <v>12|U</v>
      </c>
      <c r="F157" s="45" t="n">
        <f aca="false">INDEX('Emission Stepwise'!$H$2:$H$289,MATCH(E157,'Emission Stepwise'!$C$2:$C$289,0))</f>
        <v>0.591133004926108</v>
      </c>
      <c r="G157" s="45" t="n">
        <f aca="false">INDEX(Background!$C$4:$C$7,MATCH(C157,Background!$A$4:$A$7,0))</f>
        <v>0.212884169069555</v>
      </c>
      <c r="H157" s="49" t="n">
        <f aca="false">LN(F157/G157)</f>
        <v>1.02129283211491</v>
      </c>
    </row>
    <row r="158" customFormat="false" ht="15" hidden="false" customHeight="true" outlineLevel="0" collapsed="false">
      <c r="A158" s="38" t="s">
        <v>41</v>
      </c>
      <c r="B158" s="38" t="n">
        <v>13</v>
      </c>
      <c r="C158" s="38" t="s">
        <v>172</v>
      </c>
      <c r="D158" s="38" t="s">
        <v>867</v>
      </c>
      <c r="E158" s="38" t="str">
        <f aca="false">B158&amp;"|"&amp;C158</f>
        <v>13|A</v>
      </c>
      <c r="F158" s="45" t="n">
        <f aca="false">INDEX('Emission Stepwise'!$H$2:$H$289,MATCH(E158,'Emission Stepwise'!$C$2:$C$289,0))</f>
        <v>0.0689655172413793</v>
      </c>
      <c r="G158" s="45" t="n">
        <f aca="false">INDEX(Background!$C$4:$C$7,MATCH(C158,Background!$A$4:$A$7,0))</f>
        <v>0.185174766157958</v>
      </c>
      <c r="H158" s="49" t="n">
        <f aca="false">LN(F158/G158)</f>
        <v>-0.987693431526464</v>
      </c>
    </row>
    <row r="159" customFormat="false" ht="15" hidden="false" customHeight="true" outlineLevel="0" collapsed="false">
      <c r="A159" s="38" t="s">
        <v>41</v>
      </c>
      <c r="B159" s="38" t="n">
        <v>14</v>
      </c>
      <c r="C159" s="38" t="s">
        <v>172</v>
      </c>
      <c r="D159" s="38" t="s">
        <v>867</v>
      </c>
      <c r="E159" s="38" t="str">
        <f aca="false">B159&amp;"|"&amp;C159</f>
        <v>14|A</v>
      </c>
      <c r="F159" s="45" t="n">
        <f aca="false">INDEX('Emission Stepwise'!$H$2:$H$289,MATCH(E159,'Emission Stepwise'!$C$2:$C$289,0))</f>
        <v>0.975369458128079</v>
      </c>
      <c r="G159" s="45" t="n">
        <f aca="false">INDEX(Background!$C$4:$C$7,MATCH(C159,Background!$A$4:$A$7,0))</f>
        <v>0.185174766157958</v>
      </c>
      <c r="H159" s="49" t="n">
        <f aca="false">LN(F159/G159)</f>
        <v>1.66151626955281</v>
      </c>
    </row>
    <row r="160" customFormat="false" ht="15" hidden="false" customHeight="true" outlineLevel="0" collapsed="false">
      <c r="A160" s="38" t="s">
        <v>41</v>
      </c>
      <c r="B160" s="38" t="n">
        <v>15</v>
      </c>
      <c r="C160" s="38" t="s">
        <v>172</v>
      </c>
      <c r="D160" s="38" t="s">
        <v>867</v>
      </c>
      <c r="E160" s="38" t="str">
        <f aca="false">B160&amp;"|"&amp;C160</f>
        <v>15|A</v>
      </c>
      <c r="F160" s="45" t="n">
        <f aca="false">INDEX('Emission Stepwise'!$H$2:$H$289,MATCH(E160,'Emission Stepwise'!$C$2:$C$289,0))</f>
        <v>0.168316831683168</v>
      </c>
      <c r="G160" s="45" t="n">
        <f aca="false">INDEX(Background!$C$4:$C$7,MATCH(C160,Background!$A$4:$A$7,0))</f>
        <v>0.185174766157958</v>
      </c>
      <c r="H160" s="49" t="n">
        <f aca="false">LN(F160/G160)</f>
        <v>-0.0954519548849783</v>
      </c>
    </row>
    <row r="161" customFormat="false" ht="15" hidden="false" customHeight="true" outlineLevel="0" collapsed="false">
      <c r="A161" s="38" t="s">
        <v>41</v>
      </c>
      <c r="B161" s="38" t="n">
        <v>16</v>
      </c>
      <c r="C161" s="38" t="s">
        <v>176</v>
      </c>
      <c r="D161" s="38" t="s">
        <v>867</v>
      </c>
      <c r="E161" s="38"/>
      <c r="F161" s="38"/>
      <c r="G161" s="38"/>
      <c r="H161" s="38"/>
    </row>
    <row r="162" customFormat="false" ht="15" hidden="false" customHeight="true" outlineLevel="0" collapsed="false">
      <c r="A162" s="38" t="s">
        <v>41</v>
      </c>
      <c r="B162" s="38" t="n">
        <v>17</v>
      </c>
      <c r="C162" s="38" t="s">
        <v>172</v>
      </c>
      <c r="D162" s="38" t="s">
        <v>867</v>
      </c>
      <c r="E162" s="38" t="str">
        <f aca="false">B162&amp;"|"&amp;C162</f>
        <v>17|A</v>
      </c>
      <c r="F162" s="45" t="n">
        <f aca="false">INDEX('Emission Stepwise'!$H$2:$H$289,MATCH(E162,'Emission Stepwise'!$C$2:$C$289,0))</f>
        <v>0.065</v>
      </c>
      <c r="G162" s="45" t="n">
        <f aca="false">INDEX(Background!$C$4:$C$7,MATCH(C162,Background!$A$4:$A$7,0))</f>
        <v>0.185174766157958</v>
      </c>
      <c r="H162" s="49" t="n">
        <f aca="false">LN(F162/G162)</f>
        <v>-1.04691279118643</v>
      </c>
    </row>
    <row r="163" customFormat="false" ht="15" hidden="false" customHeight="true" outlineLevel="0" collapsed="false">
      <c r="A163" s="38" t="s">
        <v>41</v>
      </c>
      <c r="B163" s="38" t="n">
        <v>18</v>
      </c>
      <c r="C163" s="38" t="s">
        <v>169</v>
      </c>
      <c r="D163" s="38" t="s">
        <v>867</v>
      </c>
      <c r="E163" s="38" t="str">
        <f aca="false">B163&amp;"|"&amp;C163</f>
        <v>18|G</v>
      </c>
      <c r="F163" s="45" t="n">
        <f aca="false">INDEX('Emission Stepwise'!$H$2:$H$289,MATCH(E163,'Emission Stepwise'!$C$2:$C$289,0))</f>
        <v>0.980295566502463</v>
      </c>
      <c r="G163" s="45" t="n">
        <f aca="false">INDEX(Background!$C$4:$C$7,MATCH(C163,Background!$A$4:$A$7,0))</f>
        <v>0.325128349391659</v>
      </c>
      <c r="H163" s="49" t="n">
        <f aca="false">LN(F163/G163)</f>
        <v>1.10363409909085</v>
      </c>
    </row>
    <row r="164" customFormat="false" ht="15" hidden="false" customHeight="true" outlineLevel="0" collapsed="false">
      <c r="A164" s="38" t="s">
        <v>41</v>
      </c>
      <c r="B164" s="38" t="n">
        <v>19</v>
      </c>
      <c r="C164" s="38" t="s">
        <v>169</v>
      </c>
      <c r="D164" s="38" t="s">
        <v>867</v>
      </c>
      <c r="E164" s="38" t="str">
        <f aca="false">B164&amp;"|"&amp;C164</f>
        <v>19|G</v>
      </c>
      <c r="F164" s="45" t="n">
        <f aca="false">INDEX('Emission Stepwise'!$H$2:$H$289,MATCH(E164,'Emission Stepwise'!$C$2:$C$289,0))</f>
        <v>0.970443349753695</v>
      </c>
      <c r="G164" s="45" t="n">
        <f aca="false">INDEX(Background!$C$4:$C$7,MATCH(C164,Background!$A$4:$A$7,0))</f>
        <v>0.325128349391659</v>
      </c>
      <c r="H164" s="49" t="n">
        <f aca="false">LN(F164/G164)</f>
        <v>1.09353300310435</v>
      </c>
    </row>
    <row r="165" customFormat="false" ht="15" hidden="false" customHeight="true" outlineLevel="0" collapsed="false">
      <c r="A165" s="38" t="s">
        <v>41</v>
      </c>
      <c r="B165" s="38" t="n">
        <v>20</v>
      </c>
      <c r="C165" s="38" t="s">
        <v>172</v>
      </c>
      <c r="D165" s="38" t="s">
        <v>867</v>
      </c>
      <c r="E165" s="38" t="str">
        <f aca="false">B165&amp;"|"&amp;C165</f>
        <v>20|A</v>
      </c>
      <c r="F165" s="45" t="n">
        <f aca="false">INDEX('Emission Stepwise'!$H$2:$H$289,MATCH(E165,'Emission Stepwise'!$C$2:$C$289,0))</f>
        <v>0.0891089108910891</v>
      </c>
      <c r="G165" s="45" t="n">
        <f aca="false">INDEX(Background!$C$4:$C$7,MATCH(C165,Background!$A$4:$A$7,0))</f>
        <v>0.185174766157958</v>
      </c>
      <c r="H165" s="49" t="n">
        <f aca="false">LN(F165/G165)</f>
        <v>-0.731440721604975</v>
      </c>
    </row>
    <row r="166" customFormat="false" ht="15" hidden="false" customHeight="true" outlineLevel="0" collapsed="false">
      <c r="A166" s="38" t="s">
        <v>41</v>
      </c>
      <c r="B166" s="38" t="n">
        <v>21</v>
      </c>
      <c r="C166" s="38" t="s">
        <v>170</v>
      </c>
      <c r="D166" s="38" t="s">
        <v>867</v>
      </c>
      <c r="E166" s="38" t="str">
        <f aca="false">B166&amp;"|"&amp;C166</f>
        <v>21|C</v>
      </c>
      <c r="F166" s="45" t="n">
        <f aca="false">INDEX('Emission Stepwise'!$H$2:$H$289,MATCH(E166,'Emission Stepwise'!$C$2:$C$289,0))</f>
        <v>0.0246305418719212</v>
      </c>
      <c r="G166" s="45" t="n">
        <f aca="false">INDEX(Background!$C$4:$C$7,MATCH(C166,Background!$A$4:$A$7,0))</f>
        <v>0.276812715380828</v>
      </c>
      <c r="H166" s="49" t="n">
        <f aca="false">LN(F166/G166)</f>
        <v>-2.41935394738346</v>
      </c>
    </row>
    <row r="167" customFormat="false" ht="15" hidden="false" customHeight="true" outlineLevel="0" collapsed="false">
      <c r="A167" s="38" t="s">
        <v>41</v>
      </c>
      <c r="B167" s="38" t="n">
        <v>22</v>
      </c>
      <c r="C167" s="38" t="s">
        <v>171</v>
      </c>
      <c r="D167" s="38" t="s">
        <v>867</v>
      </c>
      <c r="E167" s="38" t="str">
        <f aca="false">B167&amp;"|"&amp;C167</f>
        <v>22|U</v>
      </c>
      <c r="F167" s="45" t="n">
        <f aca="false">INDEX('Emission Stepwise'!$H$2:$H$289,MATCH(E167,'Emission Stepwise'!$C$2:$C$289,0))</f>
        <v>0.0738916256157636</v>
      </c>
      <c r="G167" s="45" t="n">
        <f aca="false">INDEX(Background!$C$4:$C$7,MATCH(C167,Background!$A$4:$A$7,0))</f>
        <v>0.212884169069555</v>
      </c>
      <c r="H167" s="49" t="n">
        <f aca="false">LN(F167/G167)</f>
        <v>-1.05814870956492</v>
      </c>
    </row>
    <row r="168" customFormat="false" ht="15" hidden="false" customHeight="true" outlineLevel="0" collapsed="false">
      <c r="A168" s="38" t="s">
        <v>41</v>
      </c>
      <c r="B168" s="38" t="n">
        <v>23</v>
      </c>
      <c r="C168" s="38" t="s">
        <v>172</v>
      </c>
      <c r="D168" s="38" t="s">
        <v>867</v>
      </c>
      <c r="E168" s="38" t="str">
        <f aca="false">B168&amp;"|"&amp;C168</f>
        <v>23|A</v>
      </c>
      <c r="F168" s="45" t="n">
        <f aca="false">INDEX('Emission Stepwise'!$H$2:$H$289,MATCH(E168,'Emission Stepwise'!$C$2:$C$289,0))</f>
        <v>0.596059113300493</v>
      </c>
      <c r="G168" s="45" t="n">
        <f aca="false">INDEX(Background!$C$4:$C$7,MATCH(C168,Background!$A$4:$A$7,0))</f>
        <v>0.185174766157958</v>
      </c>
      <c r="H168" s="49" t="n">
        <f aca="false">LN(F168/G168)</f>
        <v>1.16903978445502</v>
      </c>
    </row>
    <row r="169" customFormat="false" ht="15" hidden="false" customHeight="true" outlineLevel="0" collapsed="false">
      <c r="A169" s="38" t="s">
        <v>41</v>
      </c>
      <c r="B169" s="38" t="n">
        <v>24</v>
      </c>
      <c r="C169" s="38" t="s">
        <v>171</v>
      </c>
      <c r="D169" s="38" t="s">
        <v>867</v>
      </c>
      <c r="E169" s="38" t="str">
        <f aca="false">B169&amp;"|"&amp;C169</f>
        <v>24|U</v>
      </c>
      <c r="F169" s="45" t="n">
        <f aca="false">INDEX('Emission Stepwise'!$H$2:$H$289,MATCH(E169,'Emission Stepwise'!$C$2:$C$289,0))</f>
        <v>0.0394088669950739</v>
      </c>
      <c r="G169" s="45" t="n">
        <f aca="false">INDEX(Background!$C$4:$C$7,MATCH(C169,Background!$A$4:$A$7,0))</f>
        <v>0.212884169069555</v>
      </c>
      <c r="H169" s="49" t="n">
        <f aca="false">LN(F169/G169)</f>
        <v>-1.6867573689873</v>
      </c>
    </row>
    <row r="170" customFormat="false" ht="15" hidden="false" customHeight="true" outlineLevel="0" collapsed="false">
      <c r="A170" s="38" t="s">
        <v>41</v>
      </c>
      <c r="B170" s="38" t="n">
        <v>25</v>
      </c>
      <c r="C170" s="38" t="s">
        <v>171</v>
      </c>
      <c r="D170" s="38" t="s">
        <v>867</v>
      </c>
      <c r="E170" s="38" t="str">
        <f aca="false">B170&amp;"|"&amp;C170</f>
        <v>25|U</v>
      </c>
      <c r="F170" s="45" t="n">
        <f aca="false">INDEX('Emission Stepwise'!$H$2:$H$289,MATCH(E170,'Emission Stepwise'!$C$2:$C$289,0))</f>
        <v>0.0738916256157636</v>
      </c>
      <c r="G170" s="45" t="n">
        <f aca="false">INDEX(Background!$C$4:$C$7,MATCH(C170,Background!$A$4:$A$7,0))</f>
        <v>0.212884169069555</v>
      </c>
      <c r="H170" s="49" t="n">
        <f aca="false">LN(F170/G170)</f>
        <v>-1.05814870956492</v>
      </c>
    </row>
    <row r="171" customFormat="false" ht="15" hidden="false" customHeight="true" outlineLevel="0" collapsed="false">
      <c r="A171" s="38" t="s">
        <v>41</v>
      </c>
      <c r="B171" s="38" t="n">
        <v>26</v>
      </c>
      <c r="C171" s="38" t="s">
        <v>170</v>
      </c>
      <c r="D171" s="38" t="s">
        <v>868</v>
      </c>
      <c r="E171" s="38" t="str">
        <f aca="false">B171&amp;"|"&amp;C171</f>
        <v>26|C</v>
      </c>
      <c r="F171" s="45" t="n">
        <f aca="false">INDEX('Emission Stepwise'!$H$2:$H$289,MATCH(E171,'Emission Stepwise'!$C$2:$C$289,0))</f>
        <v>0.0295566502463054</v>
      </c>
      <c r="G171" s="45" t="n">
        <f aca="false">INDEX(Background!$C$4:$C$7,MATCH(C171,Background!$A$4:$A$7,0))</f>
        <v>0.276812715380828</v>
      </c>
      <c r="H171" s="49" t="n">
        <f aca="false">LN(F171/G171)</f>
        <v>-2.2370323905895</v>
      </c>
    </row>
    <row r="172" customFormat="false" ht="15" hidden="false" customHeight="true" outlineLevel="0" collapsed="false">
      <c r="A172" s="38" t="s">
        <v>41</v>
      </c>
      <c r="B172" s="38" t="n">
        <v>27</v>
      </c>
      <c r="C172" s="38" t="s">
        <v>171</v>
      </c>
      <c r="D172" s="38" t="s">
        <v>868</v>
      </c>
      <c r="E172" s="38" t="str">
        <f aca="false">B172&amp;"|"&amp;C172</f>
        <v>27|U</v>
      </c>
      <c r="F172" s="45" t="n">
        <f aca="false">INDEX('Emission Stepwise'!$H$2:$H$289,MATCH(E172,'Emission Stepwise'!$C$2:$C$289,0))</f>
        <v>0.25615763546798</v>
      </c>
      <c r="G172" s="45" t="n">
        <f aca="false">INDEX(Background!$C$4:$C$7,MATCH(C172,Background!$A$4:$A$7,0))</f>
        <v>0.212884169069555</v>
      </c>
      <c r="H172" s="49" t="n">
        <f aca="false">LN(F172/G172)</f>
        <v>0.185044807914296</v>
      </c>
    </row>
    <row r="173" customFormat="false" ht="15" hidden="false" customHeight="true" outlineLevel="0" collapsed="false">
      <c r="A173" s="38" t="s">
        <v>41</v>
      </c>
      <c r="B173" s="38" t="n">
        <v>28</v>
      </c>
      <c r="C173" s="38" t="s">
        <v>170</v>
      </c>
      <c r="D173" s="38" t="s">
        <v>868</v>
      </c>
      <c r="E173" s="38" t="str">
        <f aca="false">B173&amp;"|"&amp;C173</f>
        <v>28|C</v>
      </c>
      <c r="F173" s="45" t="n">
        <f aca="false">INDEX('Emission Stepwise'!$H$2:$H$289,MATCH(E173,'Emission Stepwise'!$C$2:$C$289,0))</f>
        <v>0.512315270935961</v>
      </c>
      <c r="G173" s="45" t="n">
        <f aca="false">INDEX(Background!$C$4:$C$7,MATCH(C173,Background!$A$4:$A$7,0))</f>
        <v>0.276812715380828</v>
      </c>
      <c r="H173" s="49" t="n">
        <f aca="false">LN(F173/G173)</f>
        <v>0.615599039323816</v>
      </c>
    </row>
    <row r="174" customFormat="false" ht="15" hidden="false" customHeight="true" outlineLevel="0" collapsed="false">
      <c r="A174" s="38" t="s">
        <v>41</v>
      </c>
      <c r="B174" s="38" t="n">
        <v>29</v>
      </c>
      <c r="C174" s="38" t="s">
        <v>172</v>
      </c>
      <c r="D174" s="38" t="s">
        <v>868</v>
      </c>
      <c r="E174" s="38" t="str">
        <f aca="false">B174&amp;"|"&amp;C174</f>
        <v>29|A</v>
      </c>
      <c r="F174" s="45" t="n">
        <f aca="false">INDEX('Emission Stepwise'!$H$2:$H$289,MATCH(E174,'Emission Stepwise'!$C$2:$C$289,0))</f>
        <v>0.16256157635468</v>
      </c>
      <c r="G174" s="45" t="n">
        <f aca="false">INDEX(Background!$C$4:$C$7,MATCH(C174,Background!$A$4:$A$7,0))</f>
        <v>0.185174766157958</v>
      </c>
      <c r="H174" s="49" t="n">
        <f aca="false">LN(F174/G174)</f>
        <v>-0.130243199675242</v>
      </c>
    </row>
    <row r="175" customFormat="false" ht="15" hidden="false" customHeight="true" outlineLevel="0" collapsed="false">
      <c r="A175" s="38" t="s">
        <v>41</v>
      </c>
      <c r="B175" s="38" t="n">
        <v>30</v>
      </c>
      <c r="C175" s="38" t="s">
        <v>172</v>
      </c>
      <c r="D175" s="38" t="s">
        <v>868</v>
      </c>
      <c r="E175" s="38" t="str">
        <f aca="false">B175&amp;"|"&amp;C175</f>
        <v>30|A</v>
      </c>
      <c r="F175" s="45" t="n">
        <f aca="false">INDEX('Emission Stepwise'!$H$2:$H$289,MATCH(E175,'Emission Stepwise'!$C$2:$C$289,0))</f>
        <v>0.00492610837438424</v>
      </c>
      <c r="G175" s="45" t="n">
        <f aca="false">INDEX(Background!$C$4:$C$7,MATCH(C175,Background!$A$4:$A$7,0))</f>
        <v>0.185174766157958</v>
      </c>
      <c r="H175" s="49" t="n">
        <f aca="false">LN(F175/G175)</f>
        <v>-3.62675076114172</v>
      </c>
    </row>
    <row r="176" customFormat="false" ht="15" hidden="false" customHeight="true" outlineLevel="0" collapsed="false">
      <c r="A176" s="38" t="s">
        <v>41</v>
      </c>
      <c r="B176" s="38" t="n">
        <v>31</v>
      </c>
      <c r="C176" s="38" t="s">
        <v>172</v>
      </c>
      <c r="D176" s="38" t="s">
        <v>868</v>
      </c>
      <c r="E176" s="38" t="str">
        <f aca="false">B176&amp;"|"&amp;C176</f>
        <v>31|A</v>
      </c>
      <c r="F176" s="45" t="n">
        <f aca="false">INDEX('Emission Stepwise'!$H$2:$H$289,MATCH(E176,'Emission Stepwise'!$C$2:$C$289,0))</f>
        <v>0.270935960591133</v>
      </c>
      <c r="G176" s="45" t="n">
        <f aca="false">INDEX(Background!$C$4:$C$7,MATCH(C176,Background!$A$4:$A$7,0))</f>
        <v>0.185174766157958</v>
      </c>
      <c r="H176" s="49" t="n">
        <f aca="false">LN(F176/G176)</f>
        <v>0.380582424090749</v>
      </c>
    </row>
    <row r="177" customFormat="false" ht="15" hidden="false" customHeight="true" outlineLevel="0" collapsed="false">
      <c r="A177" s="38" t="s">
        <v>41</v>
      </c>
      <c r="B177" s="38" t="n">
        <v>32</v>
      </c>
      <c r="C177" s="38" t="s">
        <v>172</v>
      </c>
      <c r="D177" s="38" t="s">
        <v>868</v>
      </c>
      <c r="E177" s="38" t="str">
        <f aca="false">B177&amp;"|"&amp;C177</f>
        <v>32|A</v>
      </c>
      <c r="F177" s="45" t="n">
        <f aca="false">INDEX('Emission Stepwise'!$H$2:$H$289,MATCH(E177,'Emission Stepwise'!$C$2:$C$289,0))</f>
        <v>0.0344827586206897</v>
      </c>
      <c r="G177" s="45" t="n">
        <f aca="false">INDEX(Background!$C$4:$C$7,MATCH(C177,Background!$A$4:$A$7,0))</f>
        <v>0.185174766157958</v>
      </c>
      <c r="H177" s="49" t="n">
        <f aca="false">LN(F177/G177)</f>
        <v>-1.68084061208641</v>
      </c>
    </row>
    <row r="178" customFormat="false" ht="15" hidden="false" customHeight="true" outlineLevel="0" collapsed="false">
      <c r="A178" s="38" t="s">
        <v>41</v>
      </c>
      <c r="B178" s="38" t="n">
        <v>33</v>
      </c>
      <c r="C178" s="38" t="s">
        <v>170</v>
      </c>
      <c r="D178" s="38" t="s">
        <v>868</v>
      </c>
      <c r="E178" s="38" t="str">
        <f aca="false">B178&amp;"|"&amp;C178</f>
        <v>33|C</v>
      </c>
      <c r="F178" s="45" t="n">
        <f aca="false">INDEX('Emission Stepwise'!$H$2:$H$289,MATCH(E178,'Emission Stepwise'!$C$2:$C$289,0))</f>
        <v>0.00985221674876847</v>
      </c>
      <c r="G178" s="45" t="n">
        <f aca="false">INDEX(Background!$C$4:$C$7,MATCH(C178,Background!$A$4:$A$7,0))</f>
        <v>0.276812715380828</v>
      </c>
      <c r="H178" s="49" t="n">
        <f aca="false">LN(F178/G178)</f>
        <v>-3.33564467925761</v>
      </c>
    </row>
    <row r="179" customFormat="false" ht="15" hidden="false" customHeight="true" outlineLevel="0" collapsed="false">
      <c r="A179" s="38" t="s">
        <v>41</v>
      </c>
      <c r="B179" s="38" t="n">
        <v>34</v>
      </c>
      <c r="C179" s="38" t="s">
        <v>171</v>
      </c>
      <c r="D179" s="38" t="s">
        <v>868</v>
      </c>
      <c r="E179" s="38" t="str">
        <f aca="false">B179&amp;"|"&amp;C179</f>
        <v>34|U</v>
      </c>
      <c r="F179" s="45" t="n">
        <f aca="false">INDEX('Emission Stepwise'!$H$2:$H$289,MATCH(E179,'Emission Stepwise'!$C$2:$C$289,0))</f>
        <v>0.29064039408867</v>
      </c>
      <c r="G179" s="45" t="n">
        <f aca="false">INDEX(Background!$C$4:$C$7,MATCH(C179,Background!$A$4:$A$7,0))</f>
        <v>0.212884169069555</v>
      </c>
      <c r="H179" s="49" t="n">
        <f aca="false">LN(F179/G179)</f>
        <v>0.311338533238588</v>
      </c>
    </row>
    <row r="180" customFormat="false" ht="15" hidden="false" customHeight="true" outlineLevel="0" collapsed="false">
      <c r="A180" s="38" t="s">
        <v>41</v>
      </c>
      <c r="B180" s="38" t="n">
        <v>35</v>
      </c>
      <c r="C180" s="38" t="s">
        <v>171</v>
      </c>
      <c r="D180" s="38" t="s">
        <v>868</v>
      </c>
      <c r="E180" s="38" t="str">
        <f aca="false">B180&amp;"|"&amp;C180</f>
        <v>35|U</v>
      </c>
      <c r="F180" s="45" t="n">
        <f aca="false">INDEX('Emission Stepwise'!$H$2:$H$289,MATCH(E180,'Emission Stepwise'!$C$2:$C$289,0))</f>
        <v>0.206896551724138</v>
      </c>
      <c r="G180" s="45" t="n">
        <f aca="false">INDEX(Background!$C$4:$C$7,MATCH(C180,Background!$A$4:$A$7,0))</f>
        <v>0.212884169069555</v>
      </c>
      <c r="H180" s="49" t="n">
        <f aca="false">LN(F180/G180)</f>
        <v>-0.0285292923837632</v>
      </c>
    </row>
    <row r="181" customFormat="false" ht="15" hidden="false" customHeight="true" outlineLevel="0" collapsed="false">
      <c r="A181" s="38" t="s">
        <v>41</v>
      </c>
      <c r="B181" s="38" t="n">
        <v>36</v>
      </c>
      <c r="C181" s="38" t="s">
        <v>172</v>
      </c>
      <c r="D181" s="38" t="s">
        <v>868</v>
      </c>
      <c r="E181" s="38" t="str">
        <f aca="false">B181&amp;"|"&amp;C181</f>
        <v>36|A</v>
      </c>
      <c r="F181" s="45" t="n">
        <f aca="false">INDEX('Emission Stepwise'!$H$2:$H$289,MATCH(E181,'Emission Stepwise'!$C$2:$C$289,0))</f>
        <v>0.216748768472906</v>
      </c>
      <c r="G181" s="45" t="n">
        <f aca="false">INDEX(Background!$C$4:$C$7,MATCH(C181,Background!$A$4:$A$7,0))</f>
        <v>0.185174766157958</v>
      </c>
      <c r="H181" s="49" t="n">
        <f aca="false">LN(F181/G181)</f>
        <v>0.157438872776539</v>
      </c>
    </row>
    <row r="182" customFormat="false" ht="15" hidden="false" customHeight="true" outlineLevel="0" collapsed="false">
      <c r="A182" s="38" t="s">
        <v>41</v>
      </c>
      <c r="B182" s="38" t="n">
        <v>37</v>
      </c>
      <c r="C182" s="38" t="s">
        <v>171</v>
      </c>
      <c r="D182" s="38" t="s">
        <v>868</v>
      </c>
      <c r="E182" s="38" t="str">
        <f aca="false">B182&amp;"|"&amp;C182</f>
        <v>37|U</v>
      </c>
      <c r="F182" s="45" t="n">
        <f aca="false">INDEX('Emission Stepwise'!$H$2:$H$289,MATCH(E182,'Emission Stepwise'!$C$2:$C$289,0))</f>
        <v>0.00492610837438424</v>
      </c>
      <c r="G182" s="45" t="n">
        <f aca="false">INDEX(Background!$C$4:$C$7,MATCH(C182,Background!$A$4:$A$7,0))</f>
        <v>0.212884169069555</v>
      </c>
      <c r="H182" s="49" t="n">
        <f aca="false">LN(F182/G182)</f>
        <v>-3.76619891066713</v>
      </c>
    </row>
    <row r="183" customFormat="false" ht="15" hidden="false" customHeight="true" outlineLevel="0" collapsed="false">
      <c r="A183" s="38" t="s">
        <v>41</v>
      </c>
      <c r="B183" s="38" t="n">
        <v>38</v>
      </c>
      <c r="C183" s="38" t="s">
        <v>171</v>
      </c>
      <c r="D183" s="38" t="s">
        <v>868</v>
      </c>
      <c r="E183" s="38" t="str">
        <f aca="false">B183&amp;"|"&amp;C183</f>
        <v>38|U</v>
      </c>
      <c r="F183" s="45" t="n">
        <f aca="false">INDEX('Emission Stepwise'!$H$2:$H$289,MATCH(E183,'Emission Stepwise'!$C$2:$C$289,0))</f>
        <v>0.118226600985222</v>
      </c>
      <c r="G183" s="45" t="n">
        <f aca="false">INDEX(Background!$C$4:$C$7,MATCH(C183,Background!$A$4:$A$7,0))</f>
        <v>0.212884169069555</v>
      </c>
      <c r="H183" s="49" t="n">
        <f aca="false">LN(F183/G183)</f>
        <v>-0.588145080319186</v>
      </c>
    </row>
    <row r="184" customFormat="false" ht="15" hidden="false" customHeight="true" outlineLevel="0" collapsed="false">
      <c r="A184" s="38" t="s">
        <v>41</v>
      </c>
      <c r="B184" s="38" t="n">
        <v>39</v>
      </c>
      <c r="C184" s="38" t="s">
        <v>171</v>
      </c>
      <c r="D184" s="38" t="s">
        <v>868</v>
      </c>
      <c r="E184" s="38" t="str">
        <f aca="false">B184&amp;"|"&amp;C184</f>
        <v>39|U</v>
      </c>
      <c r="F184" s="45" t="n">
        <f aca="false">INDEX('Emission Stepwise'!$H$2:$H$289,MATCH(E184,'Emission Stepwise'!$C$2:$C$289,0))</f>
        <v>0.295566502463054</v>
      </c>
      <c r="G184" s="45" t="n">
        <f aca="false">INDEX(Background!$C$4:$C$7,MATCH(C184,Background!$A$4:$A$7,0))</f>
        <v>0.212884169069555</v>
      </c>
      <c r="H184" s="49" t="n">
        <f aca="false">LN(F184/G184)</f>
        <v>0.328145651554969</v>
      </c>
    </row>
    <row r="185" customFormat="false" ht="15" hidden="false" customHeight="true" outlineLevel="0" collapsed="false">
      <c r="A185" s="38" t="s">
        <v>41</v>
      </c>
      <c r="B185" s="38" t="n">
        <v>40</v>
      </c>
      <c r="C185" s="38" t="s">
        <v>171</v>
      </c>
      <c r="D185" s="38" t="s">
        <v>868</v>
      </c>
      <c r="E185" s="38" t="str">
        <f aca="false">B185&amp;"|"&amp;C185</f>
        <v>40|U</v>
      </c>
      <c r="F185" s="45" t="n">
        <f aca="false">INDEX('Emission Stepwise'!$H$2:$H$289,MATCH(E185,'Emission Stepwise'!$C$2:$C$289,0))</f>
        <v>0.0443349753694581</v>
      </c>
      <c r="G185" s="45" t="n">
        <f aca="false">INDEX(Background!$C$4:$C$7,MATCH(C185,Background!$A$4:$A$7,0))</f>
        <v>0.212884169069555</v>
      </c>
      <c r="H185" s="49" t="n">
        <f aca="false">LN(F185/G185)</f>
        <v>-1.56897433333091</v>
      </c>
    </row>
    <row r="186" customFormat="false" ht="15" hidden="false" customHeight="true" outlineLevel="0" collapsed="false">
      <c r="A186" s="38" t="s">
        <v>41</v>
      </c>
      <c r="B186" s="38" t="n">
        <v>41</v>
      </c>
      <c r="C186" s="38" t="s">
        <v>171</v>
      </c>
      <c r="D186" s="38" t="s">
        <v>868</v>
      </c>
      <c r="E186" s="38" t="str">
        <f aca="false">B186&amp;"|"&amp;C186</f>
        <v>41|U</v>
      </c>
      <c r="F186" s="45" t="n">
        <f aca="false">INDEX('Emission Stepwise'!$H$2:$H$289,MATCH(E186,'Emission Stepwise'!$C$2:$C$289,0))</f>
        <v>0.167487684729064</v>
      </c>
      <c r="G186" s="45" t="n">
        <f aca="false">INDEX(Background!$C$4:$C$7,MATCH(C186,Background!$A$4:$A$7,0))</f>
        <v>0.212884169069555</v>
      </c>
      <c r="H186" s="49" t="n">
        <f aca="false">LN(F186/G186)</f>
        <v>-0.23983838605097</v>
      </c>
    </row>
    <row r="187" customFormat="false" ht="15" hidden="false" customHeight="true" outlineLevel="0" collapsed="false">
      <c r="A187" s="38" t="s">
        <v>41</v>
      </c>
      <c r="B187" s="38" t="n">
        <v>42</v>
      </c>
      <c r="C187" s="38" t="s">
        <v>170</v>
      </c>
      <c r="D187" s="38" t="s">
        <v>868</v>
      </c>
      <c r="E187" s="38" t="str">
        <f aca="false">B187&amp;"|"&amp;C187</f>
        <v>42|C</v>
      </c>
      <c r="F187" s="45" t="n">
        <f aca="false">INDEX('Emission Stepwise'!$H$2:$H$289,MATCH(E187,'Emission Stepwise'!$C$2:$C$289,0))</f>
        <v>0.103448275862069</v>
      </c>
      <c r="G187" s="45" t="n">
        <f aca="false">INDEX(Background!$C$4:$C$7,MATCH(C187,Background!$A$4:$A$7,0))</f>
        <v>0.276812715380828</v>
      </c>
      <c r="H187" s="49" t="n">
        <f aca="false">LN(F187/G187)</f>
        <v>-0.984269422094134</v>
      </c>
    </row>
    <row r="188" customFormat="false" ht="15" hidden="false" customHeight="true" outlineLevel="0" collapsed="false">
      <c r="A188" s="38" t="s">
        <v>41</v>
      </c>
      <c r="B188" s="38" t="n">
        <v>43</v>
      </c>
      <c r="C188" s="38" t="s">
        <v>172</v>
      </c>
      <c r="D188" s="38" t="s">
        <v>868</v>
      </c>
      <c r="E188" s="38" t="str">
        <f aca="false">B188&amp;"|"&amp;C188</f>
        <v>43|A</v>
      </c>
      <c r="F188" s="45" t="n">
        <f aca="false">INDEX('Emission Stepwise'!$H$2:$H$289,MATCH(E188,'Emission Stepwise'!$C$2:$C$289,0))</f>
        <v>0.226600985221675</v>
      </c>
      <c r="G188" s="45" t="n">
        <f aca="false">INDEX(Background!$C$4:$C$7,MATCH(C188,Background!$A$4:$A$7,0))</f>
        <v>0.185174766157958</v>
      </c>
      <c r="H188" s="49" t="n">
        <f aca="false">LN(F188/G188)</f>
        <v>0.201890635347373</v>
      </c>
    </row>
    <row r="189" customFormat="false" ht="15" hidden="false" customHeight="true" outlineLevel="0" collapsed="false">
      <c r="A189" s="38" t="s">
        <v>41</v>
      </c>
      <c r="B189" s="38" t="n">
        <v>44</v>
      </c>
      <c r="C189" s="38" t="s">
        <v>172</v>
      </c>
      <c r="D189" s="38" t="s">
        <v>868</v>
      </c>
      <c r="E189" s="38" t="str">
        <f aca="false">B189&amp;"|"&amp;C189</f>
        <v>44|A</v>
      </c>
      <c r="F189" s="45" t="n">
        <f aca="false">INDEX('Emission Stepwise'!$H$2:$H$289,MATCH(E189,'Emission Stepwise'!$C$2:$C$289,0))</f>
        <v>0.492610837438424</v>
      </c>
      <c r="G189" s="45" t="n">
        <f aca="false">INDEX(Background!$C$4:$C$7,MATCH(C189,Background!$A$4:$A$7,0))</f>
        <v>0.185174766157958</v>
      </c>
      <c r="H189" s="49" t="n">
        <f aca="false">LN(F189/G189)</f>
        <v>0.978419424846369</v>
      </c>
    </row>
    <row r="190" customFormat="false" ht="15" hidden="false" customHeight="true" outlineLevel="0" collapsed="false">
      <c r="A190" s="38" t="s">
        <v>41</v>
      </c>
      <c r="B190" s="38" t="n">
        <v>45</v>
      </c>
      <c r="C190" s="38" t="s">
        <v>171</v>
      </c>
      <c r="D190" s="38" t="s">
        <v>869</v>
      </c>
      <c r="E190" s="38" t="str">
        <f aca="false">B190&amp;"|"&amp;C190</f>
        <v>45|U</v>
      </c>
      <c r="F190" s="45" t="n">
        <f aca="false">INDEX('Emission Stepwise'!$H$2:$H$289,MATCH(E190,'Emission Stepwise'!$C$2:$C$289,0))</f>
        <v>0.144278606965174</v>
      </c>
      <c r="G190" s="45" t="n">
        <f aca="false">INDEX(Background!$C$4:$C$7,MATCH(C190,Background!$A$4:$A$7,0))</f>
        <v>0.212884169069555</v>
      </c>
      <c r="H190" s="49" t="n">
        <f aca="false">LN(F190/G190)</f>
        <v>-0.389002009697946</v>
      </c>
    </row>
    <row r="191" customFormat="false" ht="15" hidden="false" customHeight="true" outlineLevel="0" collapsed="false">
      <c r="A191" s="38" t="s">
        <v>41</v>
      </c>
      <c r="B191" s="38" t="n">
        <v>46</v>
      </c>
      <c r="C191" s="38" t="s">
        <v>172</v>
      </c>
      <c r="D191" s="38" t="s">
        <v>869</v>
      </c>
      <c r="E191" s="38" t="str">
        <f aca="false">B191&amp;"|"&amp;C191</f>
        <v>46|A</v>
      </c>
      <c r="F191" s="45" t="n">
        <f aca="false">INDEX('Emission Stepwise'!$H$2:$H$289,MATCH(E191,'Emission Stepwise'!$C$2:$C$289,0))</f>
        <v>0.0988372093023256</v>
      </c>
      <c r="G191" s="45" t="n">
        <f aca="false">INDEX(Background!$C$4:$C$7,MATCH(C191,Background!$A$4:$A$7,0))</f>
        <v>0.185174766157958</v>
      </c>
      <c r="H191" s="49" t="n">
        <f aca="false">LN(F191/G191)</f>
        <v>-0.627825914857172</v>
      </c>
    </row>
    <row r="192" customFormat="false" ht="15" hidden="false" customHeight="true" outlineLevel="0" collapsed="false">
      <c r="A192" s="38" t="s">
        <v>41</v>
      </c>
      <c r="B192" s="38" t="n">
        <v>47</v>
      </c>
      <c r="C192" s="38" t="s">
        <v>171</v>
      </c>
      <c r="D192" s="38" t="s">
        <v>869</v>
      </c>
      <c r="E192" s="38" t="str">
        <f aca="false">B192&amp;"|"&amp;C192</f>
        <v>47|U</v>
      </c>
      <c r="F192" s="45" t="n">
        <f aca="false">INDEX('Emission Stepwise'!$H$2:$H$289,MATCH(E192,'Emission Stepwise'!$C$2:$C$289,0))</f>
        <v>0.665024630541872</v>
      </c>
      <c r="G192" s="45" t="n">
        <f aca="false">INDEX(Background!$C$4:$C$7,MATCH(C192,Background!$A$4:$A$7,0))</f>
        <v>0.212884169069555</v>
      </c>
      <c r="H192" s="49" t="n">
        <f aca="false">LN(F192/G192)</f>
        <v>1.1390758677713</v>
      </c>
    </row>
    <row r="193" customFormat="false" ht="15" hidden="false" customHeight="true" outlineLevel="0" collapsed="false">
      <c r="A193" s="38" t="s">
        <v>41</v>
      </c>
      <c r="B193" s="38" t="n">
        <v>48</v>
      </c>
      <c r="C193" s="38" t="s">
        <v>171</v>
      </c>
      <c r="D193" s="38" t="s">
        <v>869</v>
      </c>
      <c r="E193" s="38" t="str">
        <f aca="false">B193&amp;"|"&amp;C193</f>
        <v>48|U</v>
      </c>
      <c r="F193" s="45" t="n">
        <f aca="false">INDEX('Emission Stepwise'!$H$2:$H$289,MATCH(E193,'Emission Stepwise'!$C$2:$C$289,0))</f>
        <v>0.147783251231527</v>
      </c>
      <c r="G193" s="45" t="n">
        <f aca="false">INDEX(Background!$C$4:$C$7,MATCH(C193,Background!$A$4:$A$7,0))</f>
        <v>0.212884169069555</v>
      </c>
      <c r="H193" s="49" t="n">
        <f aca="false">LN(F193/G193)</f>
        <v>-0.365001529004976</v>
      </c>
    </row>
    <row r="194" customFormat="false" ht="15" hidden="false" customHeight="true" outlineLevel="0" collapsed="false">
      <c r="A194" s="38" t="s">
        <v>41</v>
      </c>
      <c r="B194" s="38" t="n">
        <v>49</v>
      </c>
      <c r="C194" s="38" t="s">
        <v>169</v>
      </c>
      <c r="D194" s="38" t="s">
        <v>870</v>
      </c>
      <c r="E194" s="38" t="str">
        <f aca="false">B194&amp;"|"&amp;C194</f>
        <v>49|G</v>
      </c>
      <c r="F194" s="45" t="n">
        <f aca="false">INDEX('Emission Stepwise'!$H$2:$H$289,MATCH(E194,'Emission Stepwise'!$C$2:$C$289,0))</f>
        <v>0.497536945812808</v>
      </c>
      <c r="G194" s="45" t="n">
        <f aca="false">INDEX(Background!$C$4:$C$7,MATCH(C194,Background!$A$4:$A$7,0))</f>
        <v>0.325128349391659</v>
      </c>
      <c r="H194" s="49" t="n">
        <f aca="false">LN(F194/G194)</f>
        <v>0.425449791207621</v>
      </c>
    </row>
    <row r="195" customFormat="false" ht="15" hidden="false" customHeight="true" outlineLevel="0" collapsed="false">
      <c r="A195" s="38" t="s">
        <v>41</v>
      </c>
      <c r="B195" s="38" t="n">
        <v>50</v>
      </c>
      <c r="C195" s="38" t="s">
        <v>170</v>
      </c>
      <c r="D195" s="38" t="s">
        <v>870</v>
      </c>
      <c r="E195" s="38" t="str">
        <f aca="false">B195&amp;"|"&amp;C195</f>
        <v>50|C</v>
      </c>
      <c r="F195" s="45" t="n">
        <f aca="false">INDEX('Emission Stepwise'!$H$2:$H$289,MATCH(E195,'Emission Stepwise'!$C$2:$C$289,0))</f>
        <v>0.433497536945813</v>
      </c>
      <c r="G195" s="45" t="n">
        <f aca="false">INDEX(Background!$C$4:$C$7,MATCH(C195,Background!$A$4:$A$7,0))</f>
        <v>0.276812715380828</v>
      </c>
      <c r="H195" s="49" t="n">
        <f aca="false">LN(F195/G195)</f>
        <v>0.44854495466065</v>
      </c>
    </row>
    <row r="196" customFormat="false" ht="15" hidden="false" customHeight="true" outlineLevel="0" collapsed="false">
      <c r="A196" s="38" t="s">
        <v>41</v>
      </c>
      <c r="B196" s="38" t="n">
        <v>51</v>
      </c>
      <c r="C196" s="38" t="s">
        <v>170</v>
      </c>
      <c r="D196" s="38" t="s">
        <v>870</v>
      </c>
      <c r="E196" s="38" t="str">
        <f aca="false">B196&amp;"|"&amp;C196</f>
        <v>51|C</v>
      </c>
      <c r="F196" s="45" t="n">
        <f aca="false">INDEX('Emission Stepwise'!$H$2:$H$289,MATCH(E196,'Emission Stepwise'!$C$2:$C$289,0))</f>
        <v>0.207920792079208</v>
      </c>
      <c r="G196" s="45" t="n">
        <f aca="false">INDEX(Background!$C$4:$C$7,MATCH(C196,Background!$A$4:$A$7,0))</f>
        <v>0.276812715380828</v>
      </c>
      <c r="H196" s="49" t="n">
        <f aca="false">LN(F196/G196)</f>
        <v>-0.286183959893606</v>
      </c>
    </row>
    <row r="197" customFormat="false" ht="15" hidden="false" customHeight="true" outlineLevel="0" collapsed="false">
      <c r="A197" s="38" t="s">
        <v>41</v>
      </c>
      <c r="B197" s="38" t="n">
        <v>52</v>
      </c>
      <c r="C197" s="38" t="s">
        <v>171</v>
      </c>
      <c r="D197" s="38" t="s">
        <v>870</v>
      </c>
      <c r="E197" s="38" t="str">
        <f aca="false">B197&amp;"|"&amp;C197</f>
        <v>52|U</v>
      </c>
      <c r="F197" s="45" t="n">
        <f aca="false">INDEX('Emission Stepwise'!$H$2:$H$289,MATCH(E197,'Emission Stepwise'!$C$2:$C$289,0))</f>
        <v>0.0246305418719212</v>
      </c>
      <c r="G197" s="45" t="n">
        <f aca="false">INDEX(Background!$C$4:$C$7,MATCH(C197,Background!$A$4:$A$7,0))</f>
        <v>0.212884169069555</v>
      </c>
      <c r="H197" s="49" t="n">
        <f aca="false">LN(F197/G197)</f>
        <v>-2.15676099823303</v>
      </c>
    </row>
    <row r="198" customFormat="false" ht="15" hidden="false" customHeight="true" outlineLevel="0" collapsed="false">
      <c r="A198" s="38" t="s">
        <v>41</v>
      </c>
      <c r="B198" s="38" t="n">
        <v>53</v>
      </c>
      <c r="C198" s="38" t="s">
        <v>169</v>
      </c>
      <c r="D198" s="38" t="s">
        <v>870</v>
      </c>
      <c r="E198" s="38" t="str">
        <f aca="false">B198&amp;"|"&amp;C198</f>
        <v>53|G</v>
      </c>
      <c r="F198" s="45" t="n">
        <f aca="false">INDEX('Emission Stepwise'!$H$2:$H$289,MATCH(E198,'Emission Stepwise'!$C$2:$C$289,0))</f>
        <v>0.96551724137931</v>
      </c>
      <c r="G198" s="45" t="n">
        <f aca="false">INDEX(Background!$C$4:$C$7,MATCH(C198,Background!$A$4:$A$7,0))</f>
        <v>0.325128349391659</v>
      </c>
      <c r="H198" s="49" t="n">
        <f aca="false">LN(F198/G198)</f>
        <v>1.08844393359688</v>
      </c>
    </row>
    <row r="199" customFormat="false" ht="15" hidden="false" customHeight="true" outlineLevel="0" collapsed="false">
      <c r="A199" s="38" t="s">
        <v>41</v>
      </c>
      <c r="B199" s="38" t="n">
        <v>54</v>
      </c>
      <c r="C199" s="38" t="s">
        <v>172</v>
      </c>
      <c r="D199" s="38" t="s">
        <v>870</v>
      </c>
      <c r="E199" s="38" t="str">
        <f aca="false">B199&amp;"|"&amp;C199</f>
        <v>54|A</v>
      </c>
      <c r="F199" s="45" t="n">
        <f aca="false">INDEX('Emission Stepwise'!$H$2:$H$289,MATCH(E199,'Emission Stepwise'!$C$2:$C$289,0))</f>
        <v>0.0147783251231527</v>
      </c>
      <c r="G199" s="45" t="n">
        <f aca="false">INDEX(Background!$C$4:$C$7,MATCH(C199,Background!$A$4:$A$7,0))</f>
        <v>0.185174766157958</v>
      </c>
      <c r="H199" s="49" t="n">
        <f aca="false">LN(F199/G199)</f>
        <v>-2.52813847247361</v>
      </c>
    </row>
    <row r="200" customFormat="false" ht="15" hidden="false" customHeight="true" outlineLevel="0" collapsed="false">
      <c r="A200" s="38" t="s">
        <v>41</v>
      </c>
      <c r="B200" s="38" t="n">
        <v>55</v>
      </c>
      <c r="C200" s="38" t="s">
        <v>171</v>
      </c>
      <c r="D200" s="38" t="s">
        <v>870</v>
      </c>
      <c r="E200" s="38" t="str">
        <f aca="false">B200&amp;"|"&amp;C200</f>
        <v>55|U</v>
      </c>
      <c r="F200" s="45" t="n">
        <f aca="false">INDEX('Emission Stepwise'!$H$2:$H$289,MATCH(E200,'Emission Stepwise'!$C$2:$C$289,0))</f>
        <v>0.970443349753695</v>
      </c>
      <c r="G200" s="45" t="n">
        <f aca="false">INDEX(Background!$C$4:$C$7,MATCH(C200,Background!$A$4:$A$7,0))</f>
        <v>0.212884169069555</v>
      </c>
      <c r="H200" s="49" t="n">
        <f aca="false">LN(F200/G200)</f>
        <v>1.51700481807086</v>
      </c>
    </row>
    <row r="201" customFormat="false" ht="15" hidden="false" customHeight="true" outlineLevel="0" collapsed="false">
      <c r="A201" s="38" t="s">
        <v>41</v>
      </c>
      <c r="B201" s="38" t="n">
        <v>56</v>
      </c>
      <c r="C201" s="38" t="s">
        <v>170</v>
      </c>
      <c r="D201" s="38" t="s">
        <v>870</v>
      </c>
      <c r="E201" s="38" t="str">
        <f aca="false">B201&amp;"|"&amp;C201</f>
        <v>56|C</v>
      </c>
      <c r="F201" s="45" t="n">
        <f aca="false">INDEX('Emission Stepwise'!$H$2:$H$289,MATCH(E201,'Emission Stepwise'!$C$2:$C$289,0))</f>
        <v>0.96551724137931</v>
      </c>
      <c r="G201" s="45" t="n">
        <f aca="false">INDEX(Background!$C$4:$C$7,MATCH(C201,Background!$A$4:$A$7,0))</f>
        <v>0.276812715380828</v>
      </c>
      <c r="H201" s="49" t="n">
        <f aca="false">LN(F201/G201)</f>
        <v>1.24932279941296</v>
      </c>
    </row>
    <row r="202" customFormat="false" ht="15" hidden="false" customHeight="true" outlineLevel="0" collapsed="false">
      <c r="A202" s="38" t="s">
        <v>41</v>
      </c>
      <c r="B202" s="38" t="n">
        <v>57</v>
      </c>
      <c r="C202" s="38" t="s">
        <v>170</v>
      </c>
      <c r="D202" s="38" t="s">
        <v>870</v>
      </c>
      <c r="E202" s="38" t="str">
        <f aca="false">B202&amp;"|"&amp;C202</f>
        <v>57|C</v>
      </c>
      <c r="F202" s="45" t="n">
        <f aca="false">INDEX('Emission Stepwise'!$H$2:$H$289,MATCH(E202,'Emission Stepwise'!$C$2:$C$289,0))</f>
        <v>0.00495049504950495</v>
      </c>
      <c r="G202" s="45" t="n">
        <f aca="false">INDEX(Background!$C$4:$C$7,MATCH(C202,Background!$A$4:$A$7,0))</f>
        <v>0.276812715380828</v>
      </c>
      <c r="H202" s="49" t="n">
        <f aca="false">LN(F202/G202)</f>
        <v>-4.02385357817698</v>
      </c>
    </row>
    <row r="203" customFormat="false" ht="15" hidden="false" customHeight="true" outlineLevel="0" collapsed="false">
      <c r="A203" s="38" t="s">
        <v>41</v>
      </c>
      <c r="B203" s="38" t="n">
        <v>58</v>
      </c>
      <c r="C203" s="38" t="s">
        <v>171</v>
      </c>
      <c r="D203" s="38" t="s">
        <v>870</v>
      </c>
      <c r="E203" s="38" t="str">
        <f aca="false">B203&amp;"|"&amp;C203</f>
        <v>58|U</v>
      </c>
      <c r="F203" s="45" t="n">
        <f aca="false">INDEX('Emission Stepwise'!$H$2:$H$289,MATCH(E203,'Emission Stepwise'!$C$2:$C$289,0))</f>
        <v>0.00985221674876847</v>
      </c>
      <c r="G203" s="45" t="n">
        <f aca="false">INDEX(Background!$C$4:$C$7,MATCH(C203,Background!$A$4:$A$7,0))</f>
        <v>0.212884169069555</v>
      </c>
      <c r="H203" s="49" t="n">
        <f aca="false">LN(F203/G203)</f>
        <v>-3.07305173010719</v>
      </c>
    </row>
    <row r="204" customFormat="false" ht="15" hidden="false" customHeight="true" outlineLevel="0" collapsed="false">
      <c r="A204" s="38" t="s">
        <v>41</v>
      </c>
      <c r="B204" s="38" t="n">
        <v>59</v>
      </c>
      <c r="C204" s="38" t="s">
        <v>170</v>
      </c>
      <c r="D204" s="38" t="s">
        <v>870</v>
      </c>
      <c r="E204" s="38" t="str">
        <f aca="false">B204&amp;"|"&amp;C204</f>
        <v>59|C</v>
      </c>
      <c r="F204" s="45" t="n">
        <f aca="false">INDEX('Emission Stepwise'!$H$2:$H$289,MATCH(E204,'Emission Stepwise'!$C$2:$C$289,0))</f>
        <v>0.0640394088669951</v>
      </c>
      <c r="G204" s="45" t="n">
        <f aca="false">INDEX(Background!$C$4:$C$7,MATCH(C204,Background!$A$4:$A$7,0))</f>
        <v>0.276812715380828</v>
      </c>
      <c r="H204" s="49" t="n">
        <f aca="false">LN(F204/G204)</f>
        <v>-1.46384250235602</v>
      </c>
    </row>
    <row r="205" customFormat="false" ht="15" hidden="false" customHeight="true" outlineLevel="0" collapsed="false">
      <c r="A205" s="38" t="s">
        <v>41</v>
      </c>
      <c r="B205" s="38" t="n">
        <v>60</v>
      </c>
      <c r="C205" s="38" t="s">
        <v>171</v>
      </c>
      <c r="D205" s="38" t="s">
        <v>870</v>
      </c>
      <c r="E205" s="38" t="str">
        <f aca="false">B205&amp;"|"&amp;C205</f>
        <v>60|U</v>
      </c>
      <c r="F205" s="45" t="n">
        <f aca="false">INDEX('Emission Stepwise'!$H$2:$H$289,MATCH(E205,'Emission Stepwise'!$C$2:$C$289,0))</f>
        <v>0.773399014778325</v>
      </c>
      <c r="G205" s="45" t="n">
        <f aca="false">INDEX(Background!$C$4:$C$7,MATCH(C205,Background!$A$4:$A$7,0))</f>
        <v>0.212884169069555</v>
      </c>
      <c r="H205" s="49" t="n">
        <f aca="false">LN(F205/G205)</f>
        <v>1.29004689468118</v>
      </c>
    </row>
    <row r="206" customFormat="false" ht="15" hidden="false" customHeight="true" outlineLevel="0" collapsed="false">
      <c r="A206" s="38" t="s">
        <v>41</v>
      </c>
      <c r="B206" s="38" t="n">
        <v>61</v>
      </c>
      <c r="C206" s="38" t="s">
        <v>170</v>
      </c>
      <c r="D206" s="38" t="s">
        <v>870</v>
      </c>
      <c r="E206" s="38" t="str">
        <f aca="false">B206&amp;"|"&amp;C206</f>
        <v>61|C</v>
      </c>
      <c r="F206" s="45" t="n">
        <f aca="false">INDEX('Emission Stepwise'!$H$2:$H$289,MATCH(E206,'Emission Stepwise'!$C$2:$C$289,0))</f>
        <v>0.975369458128079</v>
      </c>
      <c r="G206" s="45" t="n">
        <f aca="false">INDEX(Background!$C$4:$C$7,MATCH(C206,Background!$A$4:$A$7,0))</f>
        <v>0.276812715380828</v>
      </c>
      <c r="H206" s="49" t="n">
        <f aca="false">LN(F206/G206)</f>
        <v>1.25947517087698</v>
      </c>
    </row>
    <row r="207" customFormat="false" ht="15" hidden="false" customHeight="true" outlineLevel="0" collapsed="false">
      <c r="A207" s="38" t="s">
        <v>41</v>
      </c>
      <c r="B207" s="38" t="n">
        <v>62</v>
      </c>
      <c r="C207" s="38" t="s">
        <v>172</v>
      </c>
      <c r="D207" s="38" t="s">
        <v>870</v>
      </c>
      <c r="E207" s="38" t="str">
        <f aca="false">B207&amp;"|"&amp;C207</f>
        <v>62|A</v>
      </c>
      <c r="F207" s="45" t="n">
        <f aca="false">INDEX('Emission Stepwise'!$H$2:$H$289,MATCH(E207,'Emission Stepwise'!$C$2:$C$289,0))</f>
        <v>0.0197044334975369</v>
      </c>
      <c r="G207" s="45" t="n">
        <f aca="false">INDEX(Background!$C$4:$C$7,MATCH(C207,Background!$A$4:$A$7,0))</f>
        <v>0.185174766157958</v>
      </c>
      <c r="H207" s="49" t="n">
        <f aca="false">LN(F207/G207)</f>
        <v>-2.24045640002183</v>
      </c>
    </row>
    <row r="208" customFormat="false" ht="15" hidden="false" customHeight="true" outlineLevel="0" collapsed="false">
      <c r="A208" s="38" t="s">
        <v>41</v>
      </c>
      <c r="B208" s="38" t="n">
        <v>63</v>
      </c>
      <c r="C208" s="38" t="s">
        <v>169</v>
      </c>
      <c r="D208" s="38" t="s">
        <v>870</v>
      </c>
      <c r="E208" s="38" t="str">
        <f aca="false">B208&amp;"|"&amp;C208</f>
        <v>63|G</v>
      </c>
      <c r="F208" s="45" t="n">
        <f aca="false">INDEX('Emission Stepwise'!$H$2:$H$289,MATCH(E208,'Emission Stepwise'!$C$2:$C$289,0))</f>
        <v>0.241379310344828</v>
      </c>
      <c r="G208" s="45" t="n">
        <f aca="false">INDEX(Background!$C$4:$C$7,MATCH(C208,Background!$A$4:$A$7,0))</f>
        <v>0.325128349391659</v>
      </c>
      <c r="H208" s="49" t="n">
        <f aca="false">LN(F208/G208)</f>
        <v>-0.297850427523012</v>
      </c>
    </row>
    <row r="209" customFormat="false" ht="15" hidden="false" customHeight="true" outlineLevel="0" collapsed="false">
      <c r="A209" s="38" t="s">
        <v>41</v>
      </c>
      <c r="B209" s="38" t="n">
        <v>64</v>
      </c>
      <c r="C209" s="38" t="s">
        <v>169</v>
      </c>
      <c r="D209" s="38" t="s">
        <v>870</v>
      </c>
      <c r="E209" s="38" t="str">
        <f aca="false">B209&amp;"|"&amp;C209</f>
        <v>64|G</v>
      </c>
      <c r="F209" s="45" t="n">
        <f aca="false">INDEX('Emission Stepwise'!$H$2:$H$289,MATCH(E209,'Emission Stepwise'!$C$2:$C$289,0))</f>
        <v>0.458128078817734</v>
      </c>
      <c r="G209" s="45" t="n">
        <f aca="false">INDEX(Background!$C$4:$C$7,MATCH(C209,Background!$A$4:$A$7,0))</f>
        <v>0.325128349391659</v>
      </c>
      <c r="H209" s="49" t="n">
        <f aca="false">LN(F209/G209)</f>
        <v>0.342928767519618</v>
      </c>
    </row>
    <row r="210" customFormat="false" ht="15" hidden="false" customHeight="true" outlineLevel="0" collapsed="false">
      <c r="A210" s="38" t="s">
        <v>41</v>
      </c>
      <c r="B210" s="38" t="n">
        <v>65</v>
      </c>
      <c r="C210" s="38" t="s">
        <v>171</v>
      </c>
      <c r="D210" s="38" t="s">
        <v>870</v>
      </c>
      <c r="E210" s="38" t="str">
        <f aca="false">B210&amp;"|"&amp;C210</f>
        <v>65|U</v>
      </c>
      <c r="F210" s="45" t="n">
        <f aca="false">INDEX('Emission Stepwise'!$H$2:$H$289,MATCH(E210,'Emission Stepwise'!$C$2:$C$289,0))</f>
        <v>0.346534653465347</v>
      </c>
      <c r="G210" s="45" t="n">
        <f aca="false">INDEX(Background!$C$4:$C$7,MATCH(C210,Background!$A$4:$A$7,0))</f>
        <v>0.212884169069555</v>
      </c>
      <c r="H210" s="49" t="n">
        <f aca="false">LN(F210/G210)</f>
        <v>0.48723461302281</v>
      </c>
    </row>
    <row r="211" customFormat="false" ht="15" hidden="false" customHeight="true" outlineLevel="0" collapsed="false">
      <c r="A211" s="38" t="s">
        <v>41</v>
      </c>
      <c r="B211" s="38" t="n">
        <v>66</v>
      </c>
      <c r="C211" s="38" t="s">
        <v>169</v>
      </c>
      <c r="D211" s="38" t="s">
        <v>871</v>
      </c>
      <c r="E211" s="38" t="str">
        <f aca="false">B211&amp;"|"&amp;C211</f>
        <v>66|G</v>
      </c>
      <c r="F211" s="45" t="n">
        <f aca="false">INDEX('Emission Stepwise'!$H$2:$H$289,MATCH(E211,'Emission Stepwise'!$C$2:$C$289,0))</f>
        <v>0.0147783251231527</v>
      </c>
      <c r="G211" s="45" t="n">
        <f aca="false">INDEX(Background!$C$4:$C$7,MATCH(C211,Background!$A$4:$A$7,0))</f>
        <v>0.325128349391659</v>
      </c>
      <c r="H211" s="49" t="n">
        <f aca="false">LN(F211/G211)</f>
        <v>-3.09105843696553</v>
      </c>
    </row>
    <row r="212" customFormat="false" ht="15" hidden="false" customHeight="true" outlineLevel="0" collapsed="false">
      <c r="A212" s="38" t="s">
        <v>41</v>
      </c>
      <c r="B212" s="38" t="n">
        <v>67</v>
      </c>
      <c r="C212" s="38" t="s">
        <v>172</v>
      </c>
      <c r="D212" s="38" t="s">
        <v>871</v>
      </c>
      <c r="E212" s="38" t="str">
        <f aca="false">B212&amp;"|"&amp;C212</f>
        <v>67|A</v>
      </c>
      <c r="F212" s="45" t="n">
        <f aca="false">INDEX('Emission Stepwise'!$H$2:$H$289,MATCH(E212,'Emission Stepwise'!$C$2:$C$289,0))</f>
        <v>0.206896551724138</v>
      </c>
      <c r="G212" s="45" t="n">
        <f aca="false">INDEX(Background!$C$4:$C$7,MATCH(C212,Background!$A$4:$A$7,0))</f>
        <v>0.185174766157958</v>
      </c>
      <c r="H212" s="49" t="n">
        <f aca="false">LN(F212/G212)</f>
        <v>0.110918857141646</v>
      </c>
    </row>
    <row r="213" customFormat="false" ht="15" hidden="false" customHeight="true" outlineLevel="0" collapsed="false">
      <c r="A213" s="38" t="s">
        <v>41</v>
      </c>
      <c r="B213" s="38" t="n">
        <v>68</v>
      </c>
      <c r="C213" s="38" t="s">
        <v>169</v>
      </c>
      <c r="D213" s="38" t="s">
        <v>871</v>
      </c>
      <c r="E213" s="38" t="str">
        <f aca="false">B213&amp;"|"&amp;C213</f>
        <v>68|G</v>
      </c>
      <c r="F213" s="45" t="n">
        <f aca="false">INDEX('Emission Stepwise'!$H$2:$H$289,MATCH(E213,'Emission Stepwise'!$C$2:$C$289,0))</f>
        <v>0.433497536945813</v>
      </c>
      <c r="G213" s="45" t="n">
        <f aca="false">INDEX(Background!$C$4:$C$7,MATCH(C213,Background!$A$4:$A$7,0))</f>
        <v>0.325128349391659</v>
      </c>
      <c r="H213" s="49" t="n">
        <f aca="false">LN(F213/G213)</f>
        <v>0.287666088844568</v>
      </c>
    </row>
    <row r="214" customFormat="false" ht="15" hidden="false" customHeight="true" outlineLevel="0" collapsed="false">
      <c r="A214" s="38" t="s">
        <v>41</v>
      </c>
      <c r="B214" s="38" t="n">
        <v>69</v>
      </c>
      <c r="C214" s="38" t="s">
        <v>169</v>
      </c>
      <c r="D214" s="38" t="s">
        <v>871</v>
      </c>
      <c r="E214" s="38" t="str">
        <f aca="false">B214&amp;"|"&amp;C214</f>
        <v>69|G</v>
      </c>
      <c r="F214" s="45" t="n">
        <f aca="false">INDEX('Emission Stepwise'!$H$2:$H$289,MATCH(E214,'Emission Stepwise'!$C$2:$C$289,0))</f>
        <v>0.349753694581281</v>
      </c>
      <c r="G214" s="45" t="n">
        <f aca="false">INDEX(Background!$C$4:$C$7,MATCH(C214,Background!$A$4:$A$7,0))</f>
        <v>0.325128349391659</v>
      </c>
      <c r="H214" s="49" t="n">
        <f aca="false">LN(F214/G214)</f>
        <v>0.0730091514076772</v>
      </c>
    </row>
    <row r="215" customFormat="false" ht="15" hidden="false" customHeight="true" outlineLevel="0" collapsed="false">
      <c r="A215" s="38" t="s">
        <v>41</v>
      </c>
      <c r="B215" s="38" t="n">
        <v>70</v>
      </c>
      <c r="C215" s="38" t="s">
        <v>169</v>
      </c>
      <c r="D215" s="38" t="s">
        <v>871</v>
      </c>
      <c r="E215" s="38" t="str">
        <f aca="false">B215&amp;"|"&amp;C215</f>
        <v>70|G</v>
      </c>
      <c r="F215" s="45" t="n">
        <f aca="false">INDEX('Emission Stepwise'!$H$2:$H$289,MATCH(E215,'Emission Stepwise'!$C$2:$C$289,0))</f>
        <v>0.374384236453202</v>
      </c>
      <c r="G215" s="45" t="n">
        <f aca="false">INDEX(Background!$C$4:$C$7,MATCH(C215,Background!$A$4:$A$7,0))</f>
        <v>0.325128349391659</v>
      </c>
      <c r="H215" s="49" t="n">
        <f aca="false">LN(F215/G215)</f>
        <v>0.141062614652693</v>
      </c>
    </row>
    <row r="216" customFormat="false" ht="15" hidden="false" customHeight="true" outlineLevel="0" collapsed="false">
      <c r="A216" s="38" t="s">
        <v>41</v>
      </c>
      <c r="B216" s="38" t="n">
        <v>71</v>
      </c>
      <c r="C216" s="38" t="s">
        <v>172</v>
      </c>
      <c r="D216" s="38" t="s">
        <v>871</v>
      </c>
      <c r="E216" s="38" t="str">
        <f aca="false">B216&amp;"|"&amp;C216</f>
        <v>71|A</v>
      </c>
      <c r="F216" s="45" t="n">
        <f aca="false">INDEX('Emission Stepwise'!$H$2:$H$289,MATCH(E216,'Emission Stepwise'!$C$2:$C$289,0))</f>
        <v>0.0295566502463054</v>
      </c>
      <c r="G216" s="45" t="n">
        <f aca="false">INDEX(Background!$C$4:$C$7,MATCH(C216,Background!$A$4:$A$7,0))</f>
        <v>0.185174766157958</v>
      </c>
      <c r="H216" s="49" t="n">
        <f aca="false">LN(F216/G216)</f>
        <v>-1.83499129191367</v>
      </c>
    </row>
    <row r="217" customFormat="false" ht="15" hidden="false" customHeight="true" outlineLevel="0" collapsed="false">
      <c r="A217" s="38" t="s">
        <v>41</v>
      </c>
      <c r="B217" s="38" t="n">
        <v>72</v>
      </c>
      <c r="C217" s="38" t="s">
        <v>169</v>
      </c>
      <c r="D217" s="38" t="s">
        <v>871</v>
      </c>
      <c r="E217" s="38" t="str">
        <f aca="false">B217&amp;"|"&amp;C217</f>
        <v>72|G</v>
      </c>
      <c r="F217" s="45" t="n">
        <f aca="false">INDEX('Emission Stepwise'!$H$2:$H$289,MATCH(E217,'Emission Stepwise'!$C$2:$C$289,0))</f>
        <v>0.0886699507389163</v>
      </c>
      <c r="G217" s="45" t="n">
        <f aca="false">INDEX(Background!$C$4:$C$7,MATCH(C217,Background!$A$4:$A$7,0))</f>
        <v>0.325128349391659</v>
      </c>
      <c r="H217" s="49" t="n">
        <f aca="false">LN(F217/G217)</f>
        <v>-1.29929896773747</v>
      </c>
    </row>
    <row r="218" customFormat="false" ht="15" hidden="false" customHeight="true" outlineLevel="0" collapsed="false">
      <c r="A218" s="38" t="s">
        <v>23</v>
      </c>
      <c r="B218" s="38" t="n">
        <v>1</v>
      </c>
      <c r="C218" s="38" t="s">
        <v>171</v>
      </c>
      <c r="D218" s="38" t="s">
        <v>865</v>
      </c>
      <c r="E218" s="38" t="str">
        <f aca="false">B218&amp;"|"&amp;C218</f>
        <v>1|U</v>
      </c>
      <c r="F218" s="45" t="n">
        <f aca="false">INDEX('Emission Stepwise'!$H$2:$H$289,MATCH(E218,'Emission Stepwise'!$C$2:$C$289,0))</f>
        <v>0.0689655172413793</v>
      </c>
      <c r="G218" s="45" t="n">
        <f aca="false">INDEX(Background!$C$4:$C$7,MATCH(C218,Background!$A$4:$A$7,0))</f>
        <v>0.212884169069555</v>
      </c>
      <c r="H218" s="49" t="n">
        <f aca="false">LN(F218/G218)</f>
        <v>-1.12714158105187</v>
      </c>
    </row>
    <row r="219" customFormat="false" ht="15" hidden="false" customHeight="true" outlineLevel="0" collapsed="false">
      <c r="A219" s="38" t="s">
        <v>23</v>
      </c>
      <c r="B219" s="38" t="n">
        <v>2</v>
      </c>
      <c r="C219" s="38" t="s">
        <v>170</v>
      </c>
      <c r="D219" s="38" t="s">
        <v>865</v>
      </c>
      <c r="E219" s="38" t="str">
        <f aca="false">B219&amp;"|"&amp;C219</f>
        <v>2|C</v>
      </c>
      <c r="F219" s="45" t="n">
        <f aca="false">INDEX('Emission Stepwise'!$H$2:$H$289,MATCH(E219,'Emission Stepwise'!$C$2:$C$289,0))</f>
        <v>0.408866995073892</v>
      </c>
      <c r="G219" s="45" t="n">
        <f aca="false">INDEX(Background!$C$4:$C$7,MATCH(C219,Background!$A$4:$A$7,0))</f>
        <v>0.276812715380828</v>
      </c>
      <c r="H219" s="49" t="n">
        <f aca="false">LN(F219/G219)</f>
        <v>0.390048747979041</v>
      </c>
    </row>
    <row r="220" customFormat="false" ht="15" hidden="false" customHeight="true" outlineLevel="0" collapsed="false">
      <c r="A220" s="38" t="s">
        <v>23</v>
      </c>
      <c r="B220" s="38" t="n">
        <v>3</v>
      </c>
      <c r="C220" s="38" t="s">
        <v>172</v>
      </c>
      <c r="D220" s="38" t="s">
        <v>865</v>
      </c>
      <c r="E220" s="38" t="str">
        <f aca="false">B220&amp;"|"&amp;C220</f>
        <v>3|A</v>
      </c>
      <c r="F220" s="45" t="n">
        <f aca="false">INDEX('Emission Stepwise'!$H$2:$H$289,MATCH(E220,'Emission Stepwise'!$C$2:$C$289,0))</f>
        <v>0.0738916256157636</v>
      </c>
      <c r="G220" s="45" t="n">
        <f aca="false">INDEX(Background!$C$4:$C$7,MATCH(C220,Background!$A$4:$A$7,0))</f>
        <v>0.185174766157958</v>
      </c>
      <c r="H220" s="49" t="n">
        <f aca="false">LN(F220/G220)</f>
        <v>-0.918700560039512</v>
      </c>
    </row>
    <row r="221" customFormat="false" ht="15" hidden="false" customHeight="true" outlineLevel="0" collapsed="false">
      <c r="A221" s="38" t="s">
        <v>23</v>
      </c>
      <c r="B221" s="38" t="n">
        <v>4</v>
      </c>
      <c r="C221" s="38" t="s">
        <v>172</v>
      </c>
      <c r="D221" s="38" t="s">
        <v>865</v>
      </c>
      <c r="E221" s="38" t="str">
        <f aca="false">B221&amp;"|"&amp;C221</f>
        <v>4|A</v>
      </c>
      <c r="F221" s="45" t="n">
        <f aca="false">INDEX('Emission Stepwise'!$H$2:$H$289,MATCH(E221,'Emission Stepwise'!$C$2:$C$289,0))</f>
        <v>0.0788177339901478</v>
      </c>
      <c r="G221" s="45" t="n">
        <f aca="false">INDEX(Background!$C$4:$C$7,MATCH(C221,Background!$A$4:$A$7,0))</f>
        <v>0.185174766157958</v>
      </c>
      <c r="H221" s="49" t="n">
        <f aca="false">LN(F221/G221)</f>
        <v>-0.854162038901941</v>
      </c>
    </row>
    <row r="222" customFormat="false" ht="15" hidden="false" customHeight="true" outlineLevel="0" collapsed="false">
      <c r="A222" s="38" t="s">
        <v>23</v>
      </c>
      <c r="B222" s="38" t="n">
        <v>5</v>
      </c>
      <c r="C222" s="38" t="s">
        <v>170</v>
      </c>
      <c r="D222" s="38" t="s">
        <v>865</v>
      </c>
      <c r="E222" s="38" t="str">
        <f aca="false">B222&amp;"|"&amp;C222</f>
        <v>5|C</v>
      </c>
      <c r="F222" s="45" t="n">
        <f aca="false">INDEX('Emission Stepwise'!$H$2:$H$289,MATCH(E222,'Emission Stepwise'!$C$2:$C$289,0))</f>
        <v>0.394088669950739</v>
      </c>
      <c r="G222" s="45" t="n">
        <f aca="false">INDEX(Background!$C$4:$C$7,MATCH(C222,Background!$A$4:$A$7,0))</f>
        <v>0.276812715380828</v>
      </c>
      <c r="H222" s="49" t="n">
        <f aca="false">LN(F222/G222)</f>
        <v>0.353234774856325</v>
      </c>
    </row>
    <row r="223" customFormat="false" ht="15" hidden="false" customHeight="true" outlineLevel="0" collapsed="false">
      <c r="A223" s="38" t="s">
        <v>23</v>
      </c>
      <c r="B223" s="38" t="n">
        <v>6</v>
      </c>
      <c r="C223" s="38" t="s">
        <v>172</v>
      </c>
      <c r="D223" s="38" t="s">
        <v>865</v>
      </c>
      <c r="E223" s="38" t="str">
        <f aca="false">B223&amp;"|"&amp;C223</f>
        <v>6|A</v>
      </c>
      <c r="F223" s="45" t="n">
        <f aca="false">INDEX('Emission Stepwise'!$H$2:$H$289,MATCH(E223,'Emission Stepwise'!$C$2:$C$289,0))</f>
        <v>0.172413793103448</v>
      </c>
      <c r="G223" s="45" t="n">
        <f aca="false">INDEX(Background!$C$4:$C$7,MATCH(C223,Background!$A$4:$A$7,0))</f>
        <v>0.185174766157958</v>
      </c>
      <c r="H223" s="49" t="n">
        <f aca="false">LN(F223/G223)</f>
        <v>-0.0714026996523086</v>
      </c>
    </row>
    <row r="224" customFormat="false" ht="15" hidden="false" customHeight="true" outlineLevel="0" collapsed="false">
      <c r="A224" s="38" t="s">
        <v>23</v>
      </c>
      <c r="B224" s="38" t="n">
        <v>7</v>
      </c>
      <c r="C224" s="38" t="s">
        <v>171</v>
      </c>
      <c r="D224" s="38" t="s">
        <v>865</v>
      </c>
      <c r="E224" s="38" t="str">
        <f aca="false">B224&amp;"|"&amp;C224</f>
        <v>7|U</v>
      </c>
      <c r="F224" s="45" t="n">
        <f aca="false">INDEX('Emission Stepwise'!$H$2:$H$289,MATCH(E224,'Emission Stepwise'!$C$2:$C$289,0))</f>
        <v>0.221674876847291</v>
      </c>
      <c r="G224" s="45" t="n">
        <f aca="false">INDEX(Background!$C$4:$C$7,MATCH(C224,Background!$A$4:$A$7,0))</f>
        <v>0.212884169069555</v>
      </c>
      <c r="H224" s="49" t="n">
        <f aca="false">LN(F224/G224)</f>
        <v>0.0404635791031882</v>
      </c>
    </row>
    <row r="225" customFormat="false" ht="15" hidden="false" customHeight="true" outlineLevel="0" collapsed="false">
      <c r="A225" s="38" t="s">
        <v>23</v>
      </c>
      <c r="B225" s="38" t="n">
        <v>8</v>
      </c>
      <c r="C225" s="38" t="s">
        <v>171</v>
      </c>
      <c r="D225" s="38" t="s">
        <v>866</v>
      </c>
      <c r="E225" s="38" t="str">
        <f aca="false">B225&amp;"|"&amp;C225</f>
        <v>8|U</v>
      </c>
      <c r="F225" s="45" t="n">
        <f aca="false">INDEX('Emission Stepwise'!$H$2:$H$289,MATCH(E225,'Emission Stepwise'!$C$2:$C$289,0))</f>
        <v>0.975369458128079</v>
      </c>
      <c r="G225" s="45" t="n">
        <f aca="false">INDEX(Background!$C$4:$C$7,MATCH(C225,Background!$A$4:$A$7,0))</f>
        <v>0.212884169069555</v>
      </c>
      <c r="H225" s="49" t="n">
        <f aca="false">LN(F225/G225)</f>
        <v>1.5220681200274</v>
      </c>
    </row>
    <row r="226" customFormat="false" ht="15" hidden="false" customHeight="true" outlineLevel="0" collapsed="false">
      <c r="A226" s="38" t="s">
        <v>23</v>
      </c>
      <c r="B226" s="38" t="n">
        <v>9</v>
      </c>
      <c r="C226" s="38" t="s">
        <v>172</v>
      </c>
      <c r="D226" s="38" t="s">
        <v>867</v>
      </c>
      <c r="E226" s="38" t="str">
        <f aca="false">B226&amp;"|"&amp;C226</f>
        <v>9|A</v>
      </c>
      <c r="F226" s="45" t="n">
        <f aca="false">INDEX('Emission Stepwise'!$H$2:$H$289,MATCH(E226,'Emission Stepwise'!$C$2:$C$289,0))</f>
        <v>0.648514851485149</v>
      </c>
      <c r="G226" s="45" t="n">
        <f aca="false">INDEX(Background!$C$4:$C$7,MATCH(C226,Background!$A$4:$A$7,0))</f>
        <v>0.185174766157958</v>
      </c>
      <c r="H226" s="49" t="n">
        <f aca="false">LN(F226/G226)</f>
        <v>1.25338484370001</v>
      </c>
    </row>
    <row r="227" customFormat="false" ht="15" hidden="false" customHeight="true" outlineLevel="0" collapsed="false">
      <c r="A227" s="38" t="s">
        <v>23</v>
      </c>
      <c r="B227" s="38" t="n">
        <v>10</v>
      </c>
      <c r="C227" s="38" t="s">
        <v>169</v>
      </c>
      <c r="D227" s="38" t="s">
        <v>867</v>
      </c>
      <c r="E227" s="38" t="str">
        <f aca="false">B227&amp;"|"&amp;C227</f>
        <v>10|G</v>
      </c>
      <c r="F227" s="45" t="n">
        <f aca="false">INDEX('Emission Stepwise'!$H$2:$H$289,MATCH(E227,'Emission Stepwise'!$C$2:$C$289,0))</f>
        <v>0.945812807881773</v>
      </c>
      <c r="G227" s="45" t="n">
        <f aca="false">INDEX(Background!$C$4:$C$7,MATCH(C227,Background!$A$4:$A$7,0))</f>
        <v>0.325128349391659</v>
      </c>
      <c r="H227" s="49" t="n">
        <f aca="false">LN(F227/G227)</f>
        <v>1.06782464639414</v>
      </c>
    </row>
    <row r="228" customFormat="false" ht="15" hidden="false" customHeight="true" outlineLevel="0" collapsed="false">
      <c r="A228" s="38" t="s">
        <v>23</v>
      </c>
      <c r="B228" s="38" t="n">
        <v>11</v>
      </c>
      <c r="C228" s="38" t="s">
        <v>169</v>
      </c>
      <c r="D228" s="38" t="s">
        <v>867</v>
      </c>
      <c r="E228" s="38" t="str">
        <f aca="false">B228&amp;"|"&amp;C228</f>
        <v>11|G</v>
      </c>
      <c r="F228" s="45" t="n">
        <f aca="false">INDEX('Emission Stepwise'!$H$2:$H$289,MATCH(E228,'Emission Stepwise'!$C$2:$C$289,0))</f>
        <v>0.0344827586206897</v>
      </c>
      <c r="G228" s="45" t="n">
        <f aca="false">INDEX(Background!$C$4:$C$7,MATCH(C228,Background!$A$4:$A$7,0))</f>
        <v>0.325128349391659</v>
      </c>
      <c r="H228" s="49" t="n">
        <f aca="false">LN(F228/G228)</f>
        <v>-2.24376057657833</v>
      </c>
    </row>
    <row r="229" customFormat="false" ht="15" hidden="false" customHeight="true" outlineLevel="0" collapsed="false">
      <c r="A229" s="38" t="s">
        <v>23</v>
      </c>
      <c r="B229" s="38" t="n">
        <v>12</v>
      </c>
      <c r="C229" s="38" t="s">
        <v>172</v>
      </c>
      <c r="D229" s="38" t="s">
        <v>867</v>
      </c>
      <c r="E229" s="38" t="str">
        <f aca="false">B229&amp;"|"&amp;C229</f>
        <v>12|A</v>
      </c>
      <c r="F229" s="45" t="n">
        <f aca="false">INDEX('Emission Stepwise'!$H$2:$H$289,MATCH(E229,'Emission Stepwise'!$C$2:$C$289,0))</f>
        <v>0.0689655172413793</v>
      </c>
      <c r="G229" s="45" t="n">
        <f aca="false">INDEX(Background!$C$4:$C$7,MATCH(C229,Background!$A$4:$A$7,0))</f>
        <v>0.185174766157958</v>
      </c>
      <c r="H229" s="49" t="n">
        <f aca="false">LN(F229/G229)</f>
        <v>-0.987693431526464</v>
      </c>
    </row>
    <row r="230" customFormat="false" ht="15" hidden="false" customHeight="true" outlineLevel="0" collapsed="false">
      <c r="A230" s="38" t="s">
        <v>23</v>
      </c>
      <c r="B230" s="38" t="n">
        <v>13</v>
      </c>
      <c r="C230" s="38" t="s">
        <v>171</v>
      </c>
      <c r="D230" s="38" t="s">
        <v>867</v>
      </c>
      <c r="E230" s="38" t="str">
        <f aca="false">B230&amp;"|"&amp;C230</f>
        <v>13|U</v>
      </c>
      <c r="F230" s="45" t="n">
        <f aca="false">INDEX('Emission Stepwise'!$H$2:$H$289,MATCH(E230,'Emission Stepwise'!$C$2:$C$289,0))</f>
        <v>0.192118226600985</v>
      </c>
      <c r="G230" s="45" t="n">
        <f aca="false">INDEX(Background!$C$4:$C$7,MATCH(C230,Background!$A$4:$A$7,0))</f>
        <v>0.212884169069555</v>
      </c>
      <c r="H230" s="49" t="n">
        <f aca="false">LN(F230/G230)</f>
        <v>-0.102637264537485</v>
      </c>
    </row>
    <row r="231" customFormat="false" ht="15" hidden="false" customHeight="true" outlineLevel="0" collapsed="false">
      <c r="A231" s="38" t="s">
        <v>23</v>
      </c>
      <c r="B231" s="38" t="n">
        <v>14</v>
      </c>
      <c r="C231" s="38" t="s">
        <v>172</v>
      </c>
      <c r="D231" s="38" t="s">
        <v>867</v>
      </c>
      <c r="E231" s="38" t="str">
        <f aca="false">B231&amp;"|"&amp;C231</f>
        <v>14|A</v>
      </c>
      <c r="F231" s="45" t="n">
        <f aca="false">INDEX('Emission Stepwise'!$H$2:$H$289,MATCH(E231,'Emission Stepwise'!$C$2:$C$289,0))</f>
        <v>0.975369458128079</v>
      </c>
      <c r="G231" s="45" t="n">
        <f aca="false">INDEX(Background!$C$4:$C$7,MATCH(C231,Background!$A$4:$A$7,0))</f>
        <v>0.185174766157958</v>
      </c>
      <c r="H231" s="49" t="n">
        <f aca="false">LN(F231/G231)</f>
        <v>1.66151626955281</v>
      </c>
    </row>
    <row r="232" customFormat="false" ht="15" hidden="false" customHeight="true" outlineLevel="0" collapsed="false">
      <c r="A232" s="38" t="s">
        <v>23</v>
      </c>
      <c r="B232" s="38" t="n">
        <v>15</v>
      </c>
      <c r="C232" s="38" t="s">
        <v>169</v>
      </c>
      <c r="D232" s="38" t="s">
        <v>867</v>
      </c>
      <c r="E232" s="38" t="str">
        <f aca="false">B232&amp;"|"&amp;C232</f>
        <v>15|G</v>
      </c>
      <c r="F232" s="45" t="n">
        <f aca="false">INDEX('Emission Stepwise'!$H$2:$H$289,MATCH(E232,'Emission Stepwise'!$C$2:$C$289,0))</f>
        <v>0.801980198019802</v>
      </c>
      <c r="G232" s="45" t="n">
        <f aca="false">INDEX(Background!$C$4:$C$7,MATCH(C232,Background!$A$4:$A$7,0))</f>
        <v>0.325128349391659</v>
      </c>
      <c r="H232" s="49" t="n">
        <f aca="false">LN(F232/G232)</f>
        <v>0.902863891239328</v>
      </c>
    </row>
    <row r="233" customFormat="false" ht="15" hidden="false" customHeight="true" outlineLevel="0" collapsed="false">
      <c r="A233" s="38" t="s">
        <v>23</v>
      </c>
      <c r="B233" s="38" t="n">
        <v>16</v>
      </c>
      <c r="C233" s="38" t="s">
        <v>172</v>
      </c>
      <c r="D233" s="38" t="s">
        <v>867</v>
      </c>
      <c r="E233" s="38" t="str">
        <f aca="false">B233&amp;"|"&amp;C233</f>
        <v>16|A</v>
      </c>
      <c r="F233" s="45" t="n">
        <f aca="false">INDEX('Emission Stepwise'!$H$2:$H$289,MATCH(E233,'Emission Stepwise'!$C$2:$C$289,0))</f>
        <v>0.0294117647058824</v>
      </c>
      <c r="G233" s="45" t="n">
        <f aca="false">INDEX(Background!$C$4:$C$7,MATCH(C233,Background!$A$4:$A$7,0))</f>
        <v>0.185174766157958</v>
      </c>
      <c r="H233" s="49" t="n">
        <f aca="false">LN(F233/G233)</f>
        <v>-1.8399053067161</v>
      </c>
    </row>
    <row r="234" customFormat="false" ht="15" hidden="false" customHeight="true" outlineLevel="0" collapsed="false">
      <c r="A234" s="38" t="s">
        <v>23</v>
      </c>
      <c r="B234" s="38" t="n">
        <v>17</v>
      </c>
      <c r="C234" s="38" t="s">
        <v>171</v>
      </c>
      <c r="D234" s="38" t="s">
        <v>867</v>
      </c>
      <c r="E234" s="38" t="str">
        <f aca="false">B234&amp;"|"&amp;C234</f>
        <v>17|U</v>
      </c>
      <c r="F234" s="45" t="n">
        <f aca="false">INDEX('Emission Stepwise'!$H$2:$H$289,MATCH(E234,'Emission Stepwise'!$C$2:$C$289,0))</f>
        <v>0.57</v>
      </c>
      <c r="G234" s="45" t="n">
        <f aca="false">INDEX(Background!$C$4:$C$7,MATCH(C234,Background!$A$4:$A$7,0))</f>
        <v>0.212884169069555</v>
      </c>
      <c r="H234" s="49" t="n">
        <f aca="false">LN(F234/G234)</f>
        <v>0.984888150221115</v>
      </c>
    </row>
    <row r="235" customFormat="false" ht="15" hidden="false" customHeight="true" outlineLevel="0" collapsed="false">
      <c r="A235" s="38" t="s">
        <v>23</v>
      </c>
      <c r="B235" s="38" t="n">
        <v>18</v>
      </c>
      <c r="C235" s="38" t="s">
        <v>169</v>
      </c>
      <c r="D235" s="38" t="s">
        <v>867</v>
      </c>
      <c r="E235" s="38" t="str">
        <f aca="false">B235&amp;"|"&amp;C235</f>
        <v>18|G</v>
      </c>
      <c r="F235" s="45" t="n">
        <f aca="false">INDEX('Emission Stepwise'!$H$2:$H$289,MATCH(E235,'Emission Stepwise'!$C$2:$C$289,0))</f>
        <v>0.980295566502463</v>
      </c>
      <c r="G235" s="45" t="n">
        <f aca="false">INDEX(Background!$C$4:$C$7,MATCH(C235,Background!$A$4:$A$7,0))</f>
        <v>0.325128349391659</v>
      </c>
      <c r="H235" s="49" t="n">
        <f aca="false">LN(F235/G235)</f>
        <v>1.10363409909085</v>
      </c>
    </row>
    <row r="236" customFormat="false" ht="15" hidden="false" customHeight="true" outlineLevel="0" collapsed="false">
      <c r="A236" s="38" t="s">
        <v>23</v>
      </c>
      <c r="B236" s="38" t="n">
        <v>19</v>
      </c>
      <c r="C236" s="38" t="s">
        <v>169</v>
      </c>
      <c r="D236" s="38" t="s">
        <v>867</v>
      </c>
      <c r="E236" s="38" t="str">
        <f aca="false">B236&amp;"|"&amp;C236</f>
        <v>19|G</v>
      </c>
      <c r="F236" s="45" t="n">
        <f aca="false">INDEX('Emission Stepwise'!$H$2:$H$289,MATCH(E236,'Emission Stepwise'!$C$2:$C$289,0))</f>
        <v>0.970443349753695</v>
      </c>
      <c r="G236" s="45" t="n">
        <f aca="false">INDEX(Background!$C$4:$C$7,MATCH(C236,Background!$A$4:$A$7,0))</f>
        <v>0.325128349391659</v>
      </c>
      <c r="H236" s="49" t="n">
        <f aca="false">LN(F236/G236)</f>
        <v>1.09353300310435</v>
      </c>
    </row>
    <row r="237" customFormat="false" ht="15" hidden="false" customHeight="true" outlineLevel="0" collapsed="false">
      <c r="A237" s="38" t="s">
        <v>23</v>
      </c>
      <c r="B237" s="38" t="n">
        <v>20</v>
      </c>
      <c r="C237" s="38" t="s">
        <v>170</v>
      </c>
      <c r="D237" s="38" t="s">
        <v>867</v>
      </c>
      <c r="E237" s="38" t="str">
        <f aca="false">B237&amp;"|"&amp;C237</f>
        <v>20|C</v>
      </c>
      <c r="F237" s="45" t="n">
        <f aca="false">INDEX('Emission Stepwise'!$H$2:$H$289,MATCH(E237,'Emission Stepwise'!$C$2:$C$289,0))</f>
        <v>0.227722772277228</v>
      </c>
      <c r="G237" s="45" t="n">
        <f aca="false">INDEX(Background!$C$4:$C$7,MATCH(C237,Background!$A$4:$A$7,0))</f>
        <v>0.276812715380828</v>
      </c>
      <c r="H237" s="49" t="n">
        <f aca="false">LN(F237/G237)</f>
        <v>-0.195212181687879</v>
      </c>
    </row>
    <row r="238" customFormat="false" ht="15" hidden="false" customHeight="true" outlineLevel="0" collapsed="false">
      <c r="A238" s="38" t="s">
        <v>23</v>
      </c>
      <c r="B238" s="38" t="n">
        <v>21</v>
      </c>
      <c r="C238" s="38" t="s">
        <v>171</v>
      </c>
      <c r="D238" s="38" t="s">
        <v>867</v>
      </c>
      <c r="E238" s="38" t="str">
        <f aca="false">B238&amp;"|"&amp;C238</f>
        <v>21|U</v>
      </c>
      <c r="F238" s="45" t="n">
        <f aca="false">INDEX('Emission Stepwise'!$H$2:$H$289,MATCH(E238,'Emission Stepwise'!$C$2:$C$289,0))</f>
        <v>0.0541871921182266</v>
      </c>
      <c r="G238" s="45" t="n">
        <f aca="false">INDEX(Background!$C$4:$C$7,MATCH(C238,Background!$A$4:$A$7,0))</f>
        <v>0.212884169069555</v>
      </c>
      <c r="H238" s="49" t="n">
        <f aca="false">LN(F238/G238)</f>
        <v>-1.36830363786876</v>
      </c>
    </row>
    <row r="239" customFormat="false" ht="15" hidden="false" customHeight="true" outlineLevel="0" collapsed="false">
      <c r="A239" s="38" t="s">
        <v>23</v>
      </c>
      <c r="B239" s="38" t="n">
        <v>22</v>
      </c>
      <c r="C239" s="38" t="s">
        <v>171</v>
      </c>
      <c r="D239" s="38" t="s">
        <v>867</v>
      </c>
      <c r="E239" s="38" t="str">
        <f aca="false">B239&amp;"|"&amp;C239</f>
        <v>22|U</v>
      </c>
      <c r="F239" s="45" t="n">
        <f aca="false">INDEX('Emission Stepwise'!$H$2:$H$289,MATCH(E239,'Emission Stepwise'!$C$2:$C$289,0))</f>
        <v>0.0738916256157636</v>
      </c>
      <c r="G239" s="45" t="n">
        <f aca="false">INDEX(Background!$C$4:$C$7,MATCH(C239,Background!$A$4:$A$7,0))</f>
        <v>0.212884169069555</v>
      </c>
      <c r="H239" s="49" t="n">
        <f aca="false">LN(F239/G239)</f>
        <v>-1.05814870956492</v>
      </c>
    </row>
    <row r="240" customFormat="false" ht="15" hidden="false" customHeight="true" outlineLevel="0" collapsed="false">
      <c r="A240" s="38" t="s">
        <v>23</v>
      </c>
      <c r="B240" s="38" t="n">
        <v>23</v>
      </c>
      <c r="C240" s="38" t="s">
        <v>171</v>
      </c>
      <c r="D240" s="38" t="s">
        <v>867</v>
      </c>
      <c r="E240" s="38" t="str">
        <f aca="false">B240&amp;"|"&amp;C240</f>
        <v>23|U</v>
      </c>
      <c r="F240" s="45" t="n">
        <f aca="false">INDEX('Emission Stepwise'!$H$2:$H$289,MATCH(E240,'Emission Stepwise'!$C$2:$C$289,0))</f>
        <v>0.0640394088669951</v>
      </c>
      <c r="G240" s="45" t="n">
        <f aca="false">INDEX(Background!$C$4:$C$7,MATCH(C240,Background!$A$4:$A$7,0))</f>
        <v>0.212884169069555</v>
      </c>
      <c r="H240" s="49" t="n">
        <f aca="false">LN(F240/G240)</f>
        <v>-1.20124955320559</v>
      </c>
    </row>
    <row r="241" customFormat="false" ht="15" hidden="false" customHeight="true" outlineLevel="0" collapsed="false">
      <c r="A241" s="38" t="s">
        <v>23</v>
      </c>
      <c r="B241" s="38" t="n">
        <v>24</v>
      </c>
      <c r="C241" s="38" t="s">
        <v>170</v>
      </c>
      <c r="D241" s="38" t="s">
        <v>867</v>
      </c>
      <c r="E241" s="38" t="str">
        <f aca="false">B241&amp;"|"&amp;C241</f>
        <v>24|C</v>
      </c>
      <c r="F241" s="45" t="n">
        <f aca="false">INDEX('Emission Stepwise'!$H$2:$H$289,MATCH(E241,'Emission Stepwise'!$C$2:$C$289,0))</f>
        <v>0.0344827586206897</v>
      </c>
      <c r="G241" s="45" t="n">
        <f aca="false">INDEX(Background!$C$4:$C$7,MATCH(C241,Background!$A$4:$A$7,0))</f>
        <v>0.276812715380828</v>
      </c>
      <c r="H241" s="49" t="n">
        <f aca="false">LN(F241/G241)</f>
        <v>-2.08288171076224</v>
      </c>
    </row>
    <row r="242" customFormat="false" ht="15" hidden="false" customHeight="true" outlineLevel="0" collapsed="false">
      <c r="A242" s="38" t="s">
        <v>23</v>
      </c>
      <c r="B242" s="38" t="n">
        <v>25</v>
      </c>
      <c r="C242" s="38" t="s">
        <v>170</v>
      </c>
      <c r="D242" s="38" t="s">
        <v>867</v>
      </c>
      <c r="E242" s="38" t="str">
        <f aca="false">B242&amp;"|"&amp;C242</f>
        <v>25|C</v>
      </c>
      <c r="F242" s="45" t="n">
        <f aca="false">INDEX('Emission Stepwise'!$H$2:$H$289,MATCH(E242,'Emission Stepwise'!$C$2:$C$289,0))</f>
        <v>0.876847290640394</v>
      </c>
      <c r="G242" s="45" t="n">
        <f aca="false">INDEX(Background!$C$4:$C$7,MATCH(C242,Background!$A$4:$A$7,0))</f>
        <v>0.276812715380828</v>
      </c>
      <c r="H242" s="49" t="n">
        <f aca="false">LN(F242/G242)</f>
        <v>1.15299169047453</v>
      </c>
    </row>
    <row r="243" customFormat="false" ht="15" hidden="false" customHeight="true" outlineLevel="0" collapsed="false">
      <c r="A243" s="38" t="s">
        <v>23</v>
      </c>
      <c r="B243" s="38" t="n">
        <v>26</v>
      </c>
      <c r="C243" s="38" t="s">
        <v>171</v>
      </c>
      <c r="D243" s="38" t="s">
        <v>868</v>
      </c>
      <c r="E243" s="38" t="str">
        <f aca="false">B243&amp;"|"&amp;C243</f>
        <v>26|U</v>
      </c>
      <c r="F243" s="45" t="n">
        <f aca="false">INDEX('Emission Stepwise'!$H$2:$H$289,MATCH(E243,'Emission Stepwise'!$C$2:$C$289,0))</f>
        <v>0.0591133004926108</v>
      </c>
      <c r="G243" s="45" t="n">
        <f aca="false">INDEX(Background!$C$4:$C$7,MATCH(C243,Background!$A$4:$A$7,0))</f>
        <v>0.212884169069555</v>
      </c>
      <c r="H243" s="49" t="n">
        <f aca="false">LN(F243/G243)</f>
        <v>-1.28129226087913</v>
      </c>
    </row>
    <row r="244" customFormat="false" ht="15" hidden="false" customHeight="true" outlineLevel="0" collapsed="false">
      <c r="A244" s="38" t="s">
        <v>23</v>
      </c>
      <c r="B244" s="38" t="n">
        <v>27</v>
      </c>
      <c r="C244" s="38" t="s">
        <v>171</v>
      </c>
      <c r="D244" s="38" t="s">
        <v>868</v>
      </c>
      <c r="E244" s="38" t="str">
        <f aca="false">B244&amp;"|"&amp;C244</f>
        <v>27|U</v>
      </c>
      <c r="F244" s="45" t="n">
        <f aca="false">INDEX('Emission Stepwise'!$H$2:$H$289,MATCH(E244,'Emission Stepwise'!$C$2:$C$289,0))</f>
        <v>0.25615763546798</v>
      </c>
      <c r="G244" s="45" t="n">
        <f aca="false">INDEX(Background!$C$4:$C$7,MATCH(C244,Background!$A$4:$A$7,0))</f>
        <v>0.212884169069555</v>
      </c>
      <c r="H244" s="49" t="n">
        <f aca="false">LN(F244/G244)</f>
        <v>0.185044807914296</v>
      </c>
    </row>
    <row r="245" customFormat="false" ht="15" hidden="false" customHeight="true" outlineLevel="0" collapsed="false">
      <c r="A245" s="38" t="s">
        <v>23</v>
      </c>
      <c r="B245" s="38" t="n">
        <v>28</v>
      </c>
      <c r="C245" s="38" t="s">
        <v>171</v>
      </c>
      <c r="D245" s="38" t="s">
        <v>868</v>
      </c>
      <c r="E245" s="38" t="str">
        <f aca="false">B245&amp;"|"&amp;C245</f>
        <v>28|U</v>
      </c>
      <c r="F245" s="45" t="n">
        <f aca="false">INDEX('Emission Stepwise'!$H$2:$H$289,MATCH(E245,'Emission Stepwise'!$C$2:$C$289,0))</f>
        <v>0.251231527093596</v>
      </c>
      <c r="G245" s="45" t="n">
        <f aca="false">INDEX(Background!$C$4:$C$7,MATCH(C245,Background!$A$4:$A$7,0))</f>
        <v>0.212884169069555</v>
      </c>
      <c r="H245" s="49" t="n">
        <f aca="false">LN(F245/G245)</f>
        <v>0.165626722057194</v>
      </c>
    </row>
    <row r="246" customFormat="false" ht="15" hidden="false" customHeight="true" outlineLevel="0" collapsed="false">
      <c r="A246" s="38" t="s">
        <v>23</v>
      </c>
      <c r="B246" s="38" t="n">
        <v>29</v>
      </c>
      <c r="C246" s="38" t="s">
        <v>170</v>
      </c>
      <c r="D246" s="38" t="s">
        <v>868</v>
      </c>
      <c r="E246" s="38" t="str">
        <f aca="false">B246&amp;"|"&amp;C246</f>
        <v>29|C</v>
      </c>
      <c r="F246" s="45" t="n">
        <f aca="false">INDEX('Emission Stepwise'!$H$2:$H$289,MATCH(E246,'Emission Stepwise'!$C$2:$C$289,0))</f>
        <v>0.177339901477833</v>
      </c>
      <c r="G246" s="45" t="n">
        <f aca="false">INDEX(Background!$C$4:$C$7,MATCH(C246,Background!$A$4:$A$7,0))</f>
        <v>0.276812715380828</v>
      </c>
      <c r="H246" s="49" t="n">
        <f aca="false">LN(F246/G246)</f>
        <v>-0.445272921361447</v>
      </c>
    </row>
    <row r="247" customFormat="false" ht="15" hidden="false" customHeight="true" outlineLevel="0" collapsed="false">
      <c r="A247" s="38" t="s">
        <v>23</v>
      </c>
      <c r="B247" s="38" t="n">
        <v>30</v>
      </c>
      <c r="C247" s="38" t="s">
        <v>171</v>
      </c>
      <c r="D247" s="38" t="s">
        <v>868</v>
      </c>
      <c r="E247" s="38" t="str">
        <f aca="false">B247&amp;"|"&amp;C247</f>
        <v>30|U</v>
      </c>
      <c r="F247" s="45" t="n">
        <f aca="false">INDEX('Emission Stepwise'!$H$2:$H$289,MATCH(E247,'Emission Stepwise'!$C$2:$C$289,0))</f>
        <v>0.0394088669950739</v>
      </c>
      <c r="G247" s="45" t="n">
        <f aca="false">INDEX(Background!$C$4:$C$7,MATCH(C247,Background!$A$4:$A$7,0))</f>
        <v>0.212884169069555</v>
      </c>
      <c r="H247" s="49" t="n">
        <f aca="false">LN(F247/G247)</f>
        <v>-1.6867573689873</v>
      </c>
    </row>
    <row r="248" customFormat="false" ht="15" hidden="false" customHeight="true" outlineLevel="0" collapsed="false">
      <c r="A248" s="38" t="s">
        <v>23</v>
      </c>
      <c r="B248" s="38" t="n">
        <v>31</v>
      </c>
      <c r="C248" s="38" t="s">
        <v>171</v>
      </c>
      <c r="D248" s="38" t="s">
        <v>868</v>
      </c>
      <c r="E248" s="38" t="str">
        <f aca="false">B248&amp;"|"&amp;C248</f>
        <v>31|U</v>
      </c>
      <c r="F248" s="45" t="n">
        <f aca="false">INDEX('Emission Stepwise'!$H$2:$H$289,MATCH(E248,'Emission Stepwise'!$C$2:$C$289,0))</f>
        <v>0.0985221674876847</v>
      </c>
      <c r="G248" s="45" t="n">
        <f aca="false">INDEX(Background!$C$4:$C$7,MATCH(C248,Background!$A$4:$A$7,0))</f>
        <v>0.212884169069555</v>
      </c>
      <c r="H248" s="49" t="n">
        <f aca="false">LN(F248/G248)</f>
        <v>-0.770466637113141</v>
      </c>
    </row>
    <row r="249" customFormat="false" ht="15" hidden="false" customHeight="true" outlineLevel="0" collapsed="false">
      <c r="A249" s="38" t="s">
        <v>23</v>
      </c>
      <c r="B249" s="38" t="n">
        <v>32</v>
      </c>
      <c r="C249" s="38" t="s">
        <v>171</v>
      </c>
      <c r="D249" s="38" t="s">
        <v>868</v>
      </c>
      <c r="E249" s="38" t="str">
        <f aca="false">B249&amp;"|"&amp;C249</f>
        <v>32|U</v>
      </c>
      <c r="F249" s="45" t="n">
        <f aca="false">INDEX('Emission Stepwise'!$H$2:$H$289,MATCH(E249,'Emission Stepwise'!$C$2:$C$289,0))</f>
        <v>0.295566502463054</v>
      </c>
      <c r="G249" s="45" t="n">
        <f aca="false">INDEX(Background!$C$4:$C$7,MATCH(C249,Background!$A$4:$A$7,0))</f>
        <v>0.212884169069555</v>
      </c>
      <c r="H249" s="49" t="n">
        <f aca="false">LN(F249/G249)</f>
        <v>0.328145651554969</v>
      </c>
    </row>
    <row r="250" customFormat="false" ht="15" hidden="false" customHeight="true" outlineLevel="0" collapsed="false">
      <c r="A250" s="38" t="s">
        <v>23</v>
      </c>
      <c r="B250" s="38" t="n">
        <v>33</v>
      </c>
      <c r="C250" s="38" t="s">
        <v>171</v>
      </c>
      <c r="D250" s="38" t="s">
        <v>868</v>
      </c>
      <c r="E250" s="38" t="str">
        <f aca="false">B250&amp;"|"&amp;C250</f>
        <v>33|U</v>
      </c>
      <c r="F250" s="45" t="n">
        <f aca="false">INDEX('Emission Stepwise'!$H$2:$H$289,MATCH(E250,'Emission Stepwise'!$C$2:$C$289,0))</f>
        <v>0.975369458128079</v>
      </c>
      <c r="G250" s="45" t="n">
        <f aca="false">INDEX(Background!$C$4:$C$7,MATCH(C250,Background!$A$4:$A$7,0))</f>
        <v>0.212884169069555</v>
      </c>
      <c r="H250" s="49" t="n">
        <f aca="false">LN(F250/G250)</f>
        <v>1.5220681200274</v>
      </c>
    </row>
    <row r="251" customFormat="false" ht="15" hidden="false" customHeight="true" outlineLevel="0" collapsed="false">
      <c r="A251" s="38" t="s">
        <v>23</v>
      </c>
      <c r="B251" s="38" t="n">
        <v>34</v>
      </c>
      <c r="C251" s="38" t="s">
        <v>170</v>
      </c>
      <c r="D251" s="38" t="s">
        <v>868</v>
      </c>
      <c r="E251" s="38" t="str">
        <f aca="false">B251&amp;"|"&amp;C251</f>
        <v>34|C</v>
      </c>
      <c r="F251" s="45" t="n">
        <f aca="false">INDEX('Emission Stepwise'!$H$2:$H$289,MATCH(E251,'Emission Stepwise'!$C$2:$C$289,0))</f>
        <v>0.330049261083744</v>
      </c>
      <c r="G251" s="45" t="n">
        <f aca="false">INDEX(Background!$C$4:$C$7,MATCH(C251,Background!$A$4:$A$7,0))</f>
        <v>0.276812715380828</v>
      </c>
      <c r="H251" s="49" t="n">
        <f aca="false">LN(F251/G251)</f>
        <v>0.175900759573409</v>
      </c>
    </row>
    <row r="252" customFormat="false" ht="15" hidden="false" customHeight="true" outlineLevel="0" collapsed="false">
      <c r="A252" s="38" t="s">
        <v>23</v>
      </c>
      <c r="B252" s="38" t="n">
        <v>35</v>
      </c>
      <c r="C252" s="38" t="s">
        <v>171</v>
      </c>
      <c r="D252" s="38" t="s">
        <v>868</v>
      </c>
      <c r="E252" s="38" t="str">
        <f aca="false">B252&amp;"|"&amp;C252</f>
        <v>35|U</v>
      </c>
      <c r="F252" s="45" t="n">
        <f aca="false">INDEX('Emission Stepwise'!$H$2:$H$289,MATCH(E252,'Emission Stepwise'!$C$2:$C$289,0))</f>
        <v>0.206896551724138</v>
      </c>
      <c r="G252" s="45" t="n">
        <f aca="false">INDEX(Background!$C$4:$C$7,MATCH(C252,Background!$A$4:$A$7,0))</f>
        <v>0.212884169069555</v>
      </c>
      <c r="H252" s="49" t="n">
        <f aca="false">LN(F252/G252)</f>
        <v>-0.0285292923837632</v>
      </c>
    </row>
    <row r="253" customFormat="false" ht="15" hidden="false" customHeight="true" outlineLevel="0" collapsed="false">
      <c r="A253" s="38" t="s">
        <v>23</v>
      </c>
      <c r="B253" s="38" t="n">
        <v>36</v>
      </c>
      <c r="C253" s="38" t="s">
        <v>172</v>
      </c>
      <c r="D253" s="38" t="s">
        <v>868</v>
      </c>
      <c r="E253" s="38" t="str">
        <f aca="false">B253&amp;"|"&amp;C253</f>
        <v>36|A</v>
      </c>
      <c r="F253" s="45" t="n">
        <f aca="false">INDEX('Emission Stepwise'!$H$2:$H$289,MATCH(E253,'Emission Stepwise'!$C$2:$C$289,0))</f>
        <v>0.216748768472906</v>
      </c>
      <c r="G253" s="45" t="n">
        <f aca="false">INDEX(Background!$C$4:$C$7,MATCH(C253,Background!$A$4:$A$7,0))</f>
        <v>0.185174766157958</v>
      </c>
      <c r="H253" s="49" t="n">
        <f aca="false">LN(F253/G253)</f>
        <v>0.157438872776539</v>
      </c>
    </row>
    <row r="254" customFormat="false" ht="15" hidden="false" customHeight="true" outlineLevel="0" collapsed="false">
      <c r="A254" s="38" t="s">
        <v>23</v>
      </c>
      <c r="B254" s="38" t="n">
        <v>37</v>
      </c>
      <c r="C254" s="38" t="s">
        <v>170</v>
      </c>
      <c r="D254" s="38" t="s">
        <v>868</v>
      </c>
      <c r="E254" s="38" t="str">
        <f aca="false">B254&amp;"|"&amp;C254</f>
        <v>37|C</v>
      </c>
      <c r="F254" s="45" t="n">
        <f aca="false">INDEX('Emission Stepwise'!$H$2:$H$289,MATCH(E254,'Emission Stepwise'!$C$2:$C$289,0))</f>
        <v>0.00985221674876847</v>
      </c>
      <c r="G254" s="45" t="n">
        <f aca="false">INDEX(Background!$C$4:$C$7,MATCH(C254,Background!$A$4:$A$7,0))</f>
        <v>0.276812715380828</v>
      </c>
      <c r="H254" s="49" t="n">
        <f aca="false">LN(F254/G254)</f>
        <v>-3.33564467925761</v>
      </c>
    </row>
    <row r="255" customFormat="false" ht="15" hidden="false" customHeight="true" outlineLevel="0" collapsed="false">
      <c r="A255" s="38" t="s">
        <v>23</v>
      </c>
      <c r="B255" s="38" t="n">
        <v>38</v>
      </c>
      <c r="C255" s="38" t="s">
        <v>169</v>
      </c>
      <c r="D255" s="38" t="s">
        <v>868</v>
      </c>
      <c r="E255" s="38" t="str">
        <f aca="false">B255&amp;"|"&amp;C255</f>
        <v>38|G</v>
      </c>
      <c r="F255" s="45" t="n">
        <f aca="false">INDEX('Emission Stepwise'!$H$2:$H$289,MATCH(E255,'Emission Stepwise'!$C$2:$C$289,0))</f>
        <v>0.00985221674876847</v>
      </c>
      <c r="G255" s="45" t="n">
        <f aca="false">INDEX(Background!$C$4:$C$7,MATCH(C255,Background!$A$4:$A$7,0))</f>
        <v>0.325128349391659</v>
      </c>
      <c r="H255" s="49" t="n">
        <f aca="false">LN(F255/G255)</f>
        <v>-3.49652354507369</v>
      </c>
    </row>
    <row r="256" customFormat="false" ht="15" hidden="false" customHeight="true" outlineLevel="0" collapsed="false">
      <c r="A256" s="38" t="s">
        <v>23</v>
      </c>
      <c r="B256" s="38" t="n">
        <v>39</v>
      </c>
      <c r="C256" s="38" t="s">
        <v>169</v>
      </c>
      <c r="D256" s="38" t="s">
        <v>868</v>
      </c>
      <c r="E256" s="38" t="str">
        <f aca="false">B256&amp;"|"&amp;C256</f>
        <v>39|G</v>
      </c>
      <c r="F256" s="45" t="n">
        <f aca="false">INDEX('Emission Stepwise'!$H$2:$H$289,MATCH(E256,'Emission Stepwise'!$C$2:$C$289,0))</f>
        <v>0.359605911330049</v>
      </c>
      <c r="G256" s="45" t="n">
        <f aca="false">INDEX(Background!$C$4:$C$7,MATCH(C256,Background!$A$4:$A$7,0))</f>
        <v>0.325128349391659</v>
      </c>
      <c r="H256" s="49" t="n">
        <f aca="false">LN(F256/G256)</f>
        <v>0.100788715514753</v>
      </c>
    </row>
    <row r="257" customFormat="false" ht="15" hidden="false" customHeight="true" outlineLevel="0" collapsed="false">
      <c r="A257" s="38" t="s">
        <v>23</v>
      </c>
      <c r="B257" s="38" t="n">
        <v>40</v>
      </c>
      <c r="C257" s="38" t="s">
        <v>172</v>
      </c>
      <c r="D257" s="38" t="s">
        <v>868</v>
      </c>
      <c r="E257" s="38" t="str">
        <f aca="false">B257&amp;"|"&amp;C257</f>
        <v>40|A</v>
      </c>
      <c r="F257" s="45" t="n">
        <f aca="false">INDEX('Emission Stepwise'!$H$2:$H$289,MATCH(E257,'Emission Stepwise'!$C$2:$C$289,0))</f>
        <v>0.00985221674876847</v>
      </c>
      <c r="G257" s="45" t="n">
        <f aca="false">INDEX(Background!$C$4:$C$7,MATCH(C257,Background!$A$4:$A$7,0))</f>
        <v>0.185174766157958</v>
      </c>
      <c r="H257" s="49" t="n">
        <f aca="false">LN(F257/G257)</f>
        <v>-2.93360358058178</v>
      </c>
    </row>
    <row r="258" customFormat="false" ht="15" hidden="false" customHeight="true" outlineLevel="0" collapsed="false">
      <c r="A258" s="38" t="s">
        <v>23</v>
      </c>
      <c r="B258" s="38" t="n">
        <v>41</v>
      </c>
      <c r="C258" s="38" t="s">
        <v>170</v>
      </c>
      <c r="D258" s="38" t="s">
        <v>868</v>
      </c>
      <c r="E258" s="38" t="str">
        <f aca="false">B258&amp;"|"&amp;C258</f>
        <v>41|C</v>
      </c>
      <c r="F258" s="45" t="n">
        <f aca="false">INDEX('Emission Stepwise'!$H$2:$H$289,MATCH(E258,'Emission Stepwise'!$C$2:$C$289,0))</f>
        <v>0.38423645320197</v>
      </c>
      <c r="G258" s="45" t="n">
        <f aca="false">INDEX(Background!$C$4:$C$7,MATCH(C258,Background!$A$4:$A$7,0))</f>
        <v>0.276812715380828</v>
      </c>
      <c r="H258" s="49" t="n">
        <f aca="false">LN(F258/G258)</f>
        <v>0.327916966872035</v>
      </c>
    </row>
    <row r="259" customFormat="false" ht="15" hidden="false" customHeight="true" outlineLevel="0" collapsed="false">
      <c r="A259" s="38" t="s">
        <v>23</v>
      </c>
      <c r="B259" s="38" t="n">
        <v>42</v>
      </c>
      <c r="C259" s="38" t="s">
        <v>172</v>
      </c>
      <c r="D259" s="38" t="s">
        <v>868</v>
      </c>
      <c r="E259" s="38" t="str">
        <f aca="false">B259&amp;"|"&amp;C259</f>
        <v>42|A</v>
      </c>
      <c r="F259" s="45" t="n">
        <f aca="false">INDEX('Emission Stepwise'!$H$2:$H$289,MATCH(E259,'Emission Stepwise'!$C$2:$C$289,0))</f>
        <v>0.241379310344828</v>
      </c>
      <c r="G259" s="45" t="n">
        <f aca="false">INDEX(Background!$C$4:$C$7,MATCH(C259,Background!$A$4:$A$7,0))</f>
        <v>0.185174766157958</v>
      </c>
      <c r="H259" s="49" t="n">
        <f aca="false">LN(F259/G259)</f>
        <v>0.265069536968904</v>
      </c>
    </row>
    <row r="260" customFormat="false" ht="15" hidden="false" customHeight="true" outlineLevel="0" collapsed="false">
      <c r="A260" s="38" t="s">
        <v>23</v>
      </c>
      <c r="B260" s="38" t="n">
        <v>43</v>
      </c>
      <c r="C260" s="38" t="s">
        <v>172</v>
      </c>
      <c r="D260" s="38" t="s">
        <v>868</v>
      </c>
      <c r="E260" s="38" t="str">
        <f aca="false">B260&amp;"|"&amp;C260</f>
        <v>43|A</v>
      </c>
      <c r="F260" s="45" t="n">
        <f aca="false">INDEX('Emission Stepwise'!$H$2:$H$289,MATCH(E260,'Emission Stepwise'!$C$2:$C$289,0))</f>
        <v>0.226600985221675</v>
      </c>
      <c r="G260" s="45" t="n">
        <f aca="false">INDEX(Background!$C$4:$C$7,MATCH(C260,Background!$A$4:$A$7,0))</f>
        <v>0.185174766157958</v>
      </c>
      <c r="H260" s="49" t="n">
        <f aca="false">LN(F260/G260)</f>
        <v>0.201890635347373</v>
      </c>
    </row>
    <row r="261" customFormat="false" ht="15" hidden="false" customHeight="true" outlineLevel="0" collapsed="false">
      <c r="A261" s="38" t="s">
        <v>23</v>
      </c>
      <c r="B261" s="38" t="n">
        <v>44</v>
      </c>
      <c r="C261" s="38" t="s">
        <v>171</v>
      </c>
      <c r="D261" s="38" t="s">
        <v>868</v>
      </c>
      <c r="E261" s="38" t="str">
        <f aca="false">B261&amp;"|"&amp;C261</f>
        <v>44|U</v>
      </c>
      <c r="F261" s="45" t="n">
        <f aca="false">INDEX('Emission Stepwise'!$H$2:$H$289,MATCH(E261,'Emission Stepwise'!$C$2:$C$289,0))</f>
        <v>0.118226600985222</v>
      </c>
      <c r="G261" s="45" t="n">
        <f aca="false">INDEX(Background!$C$4:$C$7,MATCH(C261,Background!$A$4:$A$7,0))</f>
        <v>0.212884169069555</v>
      </c>
      <c r="H261" s="49" t="n">
        <f aca="false">LN(F261/G261)</f>
        <v>-0.588145080319186</v>
      </c>
    </row>
    <row r="262" customFormat="false" ht="15" hidden="false" customHeight="true" outlineLevel="0" collapsed="false">
      <c r="A262" s="38" t="s">
        <v>23</v>
      </c>
      <c r="B262" s="38" t="n">
        <v>45</v>
      </c>
      <c r="C262" s="38" t="s">
        <v>169</v>
      </c>
      <c r="D262" s="38" t="s">
        <v>869</v>
      </c>
      <c r="E262" s="38" t="str">
        <f aca="false">B262&amp;"|"&amp;C262</f>
        <v>45|G</v>
      </c>
      <c r="F262" s="45" t="n">
        <f aca="false">INDEX('Emission Stepwise'!$H$2:$H$289,MATCH(E262,'Emission Stepwise'!$C$2:$C$289,0))</f>
        <v>0.746268656716418</v>
      </c>
      <c r="G262" s="45" t="n">
        <f aca="false">INDEX(Background!$C$4:$C$7,MATCH(C262,Background!$A$4:$A$7,0))</f>
        <v>0.325128349391659</v>
      </c>
      <c r="H262" s="49" t="n">
        <f aca="false">LN(F262/G262)</f>
        <v>0.830865639445329</v>
      </c>
    </row>
    <row r="263" customFormat="false" ht="15" hidden="false" customHeight="true" outlineLevel="0" collapsed="false">
      <c r="A263" s="38" t="s">
        <v>23</v>
      </c>
      <c r="B263" s="38" t="n">
        <v>46</v>
      </c>
      <c r="C263" s="38" t="s">
        <v>171</v>
      </c>
      <c r="D263" s="38" t="s">
        <v>869</v>
      </c>
      <c r="E263" s="38" t="str">
        <f aca="false">B263&amp;"|"&amp;C263</f>
        <v>46|U</v>
      </c>
      <c r="F263" s="45" t="n">
        <f aca="false">INDEX('Emission Stepwise'!$H$2:$H$289,MATCH(E263,'Emission Stepwise'!$C$2:$C$289,0))</f>
        <v>0.0755813953488372</v>
      </c>
      <c r="G263" s="45" t="n">
        <f aca="false">INDEX(Background!$C$4:$C$7,MATCH(C263,Background!$A$4:$A$7,0))</f>
        <v>0.212884169069555</v>
      </c>
      <c r="H263" s="49" t="n">
        <f aca="false">LN(F263/G263)</f>
        <v>-1.03553805097726</v>
      </c>
    </row>
    <row r="264" customFormat="false" ht="15" hidden="false" customHeight="true" outlineLevel="0" collapsed="false">
      <c r="A264" s="38" t="s">
        <v>23</v>
      </c>
      <c r="B264" s="38" t="n">
        <v>47</v>
      </c>
      <c r="C264" s="38" t="s">
        <v>171</v>
      </c>
      <c r="D264" s="38" t="s">
        <v>869</v>
      </c>
      <c r="E264" s="38" t="str">
        <f aca="false">B264&amp;"|"&amp;C264</f>
        <v>47|U</v>
      </c>
      <c r="F264" s="45" t="n">
        <f aca="false">INDEX('Emission Stepwise'!$H$2:$H$289,MATCH(E264,'Emission Stepwise'!$C$2:$C$289,0))</f>
        <v>0.665024630541872</v>
      </c>
      <c r="G264" s="45" t="n">
        <f aca="false">INDEX(Background!$C$4:$C$7,MATCH(C264,Background!$A$4:$A$7,0))</f>
        <v>0.212884169069555</v>
      </c>
      <c r="H264" s="49" t="n">
        <f aca="false">LN(F264/G264)</f>
        <v>1.1390758677713</v>
      </c>
    </row>
    <row r="265" customFormat="false" ht="15" hidden="false" customHeight="true" outlineLevel="0" collapsed="false">
      <c r="A265" s="38" t="s">
        <v>23</v>
      </c>
      <c r="B265" s="38" t="n">
        <v>48</v>
      </c>
      <c r="C265" s="38" t="s">
        <v>171</v>
      </c>
      <c r="D265" s="38" t="s">
        <v>869</v>
      </c>
      <c r="E265" s="38" t="str">
        <f aca="false">B265&amp;"|"&amp;C265</f>
        <v>48|U</v>
      </c>
      <c r="F265" s="45" t="n">
        <f aca="false">INDEX('Emission Stepwise'!$H$2:$H$289,MATCH(E265,'Emission Stepwise'!$C$2:$C$289,0))</f>
        <v>0.147783251231527</v>
      </c>
      <c r="G265" s="45" t="n">
        <f aca="false">INDEX(Background!$C$4:$C$7,MATCH(C265,Background!$A$4:$A$7,0))</f>
        <v>0.212884169069555</v>
      </c>
      <c r="H265" s="49" t="n">
        <f aca="false">LN(F265/G265)</f>
        <v>-0.365001529004976</v>
      </c>
    </row>
    <row r="266" customFormat="false" ht="15" hidden="false" customHeight="true" outlineLevel="0" collapsed="false">
      <c r="A266" s="38" t="s">
        <v>23</v>
      </c>
      <c r="B266" s="38" t="n">
        <v>49</v>
      </c>
      <c r="C266" s="38" t="s">
        <v>170</v>
      </c>
      <c r="D266" s="38" t="s">
        <v>870</v>
      </c>
      <c r="E266" s="38" t="str">
        <f aca="false">B266&amp;"|"&amp;C266</f>
        <v>49|C</v>
      </c>
      <c r="F266" s="45" t="n">
        <f aca="false">INDEX('Emission Stepwise'!$H$2:$H$289,MATCH(E266,'Emission Stepwise'!$C$2:$C$289,0))</f>
        <v>0.285714285714286</v>
      </c>
      <c r="G266" s="45" t="n">
        <f aca="false">INDEX(Background!$C$4:$C$7,MATCH(C266,Background!$A$4:$A$7,0))</f>
        <v>0.276812715380828</v>
      </c>
      <c r="H266" s="49" t="n">
        <f aca="false">LN(F266/G266)</f>
        <v>0.0316511507288624</v>
      </c>
    </row>
    <row r="267" customFormat="false" ht="15" hidden="false" customHeight="true" outlineLevel="0" collapsed="false">
      <c r="A267" s="38" t="s">
        <v>23</v>
      </c>
      <c r="B267" s="38" t="n">
        <v>50</v>
      </c>
      <c r="C267" s="38" t="s">
        <v>169</v>
      </c>
      <c r="D267" s="38" t="s">
        <v>870</v>
      </c>
      <c r="E267" s="38" t="str">
        <f aca="false">B267&amp;"|"&amp;C267</f>
        <v>50|G</v>
      </c>
      <c r="F267" s="45" t="n">
        <f aca="false">INDEX('Emission Stepwise'!$H$2:$H$289,MATCH(E267,'Emission Stepwise'!$C$2:$C$289,0))</f>
        <v>0.270935960591133</v>
      </c>
      <c r="G267" s="45" t="n">
        <f aca="false">INDEX(Background!$C$4:$C$7,MATCH(C267,Background!$A$4:$A$7,0))</f>
        <v>0.325128349391659</v>
      </c>
      <c r="H267" s="49" t="n">
        <f aca="false">LN(F267/G267)</f>
        <v>-0.182337540401167</v>
      </c>
    </row>
    <row r="268" customFormat="false" ht="15" hidden="false" customHeight="true" outlineLevel="0" collapsed="false">
      <c r="A268" s="38" t="s">
        <v>23</v>
      </c>
      <c r="B268" s="38" t="n">
        <v>51</v>
      </c>
      <c r="C268" s="38" t="s">
        <v>169</v>
      </c>
      <c r="D268" s="38" t="s">
        <v>870</v>
      </c>
      <c r="E268" s="38" t="str">
        <f aca="false">B268&amp;"|"&amp;C268</f>
        <v>51|G</v>
      </c>
      <c r="F268" s="45" t="n">
        <f aca="false">INDEX('Emission Stepwise'!$H$2:$H$289,MATCH(E268,'Emission Stepwise'!$C$2:$C$289,0))</f>
        <v>0.495049504950495</v>
      </c>
      <c r="G268" s="45" t="n">
        <f aca="false">INDEX(Background!$C$4:$C$7,MATCH(C268,Background!$A$4:$A$7,0))</f>
        <v>0.325128349391659</v>
      </c>
      <c r="H268" s="49" t="n">
        <f aca="false">LN(F268/G268)</f>
        <v>0.420437741995036</v>
      </c>
    </row>
    <row r="269" customFormat="false" ht="15" hidden="false" customHeight="true" outlineLevel="0" collapsed="false">
      <c r="A269" s="38" t="s">
        <v>23</v>
      </c>
      <c r="B269" s="38" t="n">
        <v>52</v>
      </c>
      <c r="C269" s="38" t="s">
        <v>171</v>
      </c>
      <c r="D269" s="38" t="s">
        <v>870</v>
      </c>
      <c r="E269" s="38" t="str">
        <f aca="false">B269&amp;"|"&amp;C269</f>
        <v>52|U</v>
      </c>
      <c r="F269" s="45" t="n">
        <f aca="false">INDEX('Emission Stepwise'!$H$2:$H$289,MATCH(E269,'Emission Stepwise'!$C$2:$C$289,0))</f>
        <v>0.0246305418719212</v>
      </c>
      <c r="G269" s="45" t="n">
        <f aca="false">INDEX(Background!$C$4:$C$7,MATCH(C269,Background!$A$4:$A$7,0))</f>
        <v>0.212884169069555</v>
      </c>
      <c r="H269" s="49" t="n">
        <f aca="false">LN(F269/G269)</f>
        <v>-2.15676099823303</v>
      </c>
    </row>
    <row r="270" customFormat="false" ht="15" hidden="false" customHeight="true" outlineLevel="0" collapsed="false">
      <c r="A270" s="38" t="s">
        <v>23</v>
      </c>
      <c r="B270" s="38" t="n">
        <v>53</v>
      </c>
      <c r="C270" s="38" t="s">
        <v>169</v>
      </c>
      <c r="D270" s="38" t="s">
        <v>870</v>
      </c>
      <c r="E270" s="38" t="str">
        <f aca="false">B270&amp;"|"&amp;C270</f>
        <v>53|G</v>
      </c>
      <c r="F270" s="45" t="n">
        <f aca="false">INDEX('Emission Stepwise'!$H$2:$H$289,MATCH(E270,'Emission Stepwise'!$C$2:$C$289,0))</f>
        <v>0.96551724137931</v>
      </c>
      <c r="G270" s="45" t="n">
        <f aca="false">INDEX(Background!$C$4:$C$7,MATCH(C270,Background!$A$4:$A$7,0))</f>
        <v>0.325128349391659</v>
      </c>
      <c r="H270" s="49" t="n">
        <f aca="false">LN(F270/G270)</f>
        <v>1.08844393359688</v>
      </c>
    </row>
    <row r="271" customFormat="false" ht="15" hidden="false" customHeight="true" outlineLevel="0" collapsed="false">
      <c r="A271" s="38" t="s">
        <v>23</v>
      </c>
      <c r="B271" s="38" t="n">
        <v>54</v>
      </c>
      <c r="C271" s="38" t="s">
        <v>171</v>
      </c>
      <c r="D271" s="38" t="s">
        <v>870</v>
      </c>
      <c r="E271" s="38" t="str">
        <f aca="false">B271&amp;"|"&amp;C271</f>
        <v>54|U</v>
      </c>
      <c r="F271" s="45" t="n">
        <f aca="false">INDEX('Emission Stepwise'!$H$2:$H$289,MATCH(E271,'Emission Stepwise'!$C$2:$C$289,0))</f>
        <v>0.975369458128079</v>
      </c>
      <c r="G271" s="45" t="n">
        <f aca="false">INDEX(Background!$C$4:$C$7,MATCH(C271,Background!$A$4:$A$7,0))</f>
        <v>0.212884169069555</v>
      </c>
      <c r="H271" s="49" t="n">
        <f aca="false">LN(F271/G271)</f>
        <v>1.5220681200274</v>
      </c>
    </row>
    <row r="272" customFormat="false" ht="15" hidden="false" customHeight="true" outlineLevel="0" collapsed="false">
      <c r="A272" s="38" t="s">
        <v>23</v>
      </c>
      <c r="B272" s="38" t="n">
        <v>55</v>
      </c>
      <c r="C272" s="38" t="s">
        <v>171</v>
      </c>
      <c r="D272" s="38" t="s">
        <v>870</v>
      </c>
      <c r="E272" s="38" t="str">
        <f aca="false">B272&amp;"|"&amp;C272</f>
        <v>55|U</v>
      </c>
      <c r="F272" s="45" t="n">
        <f aca="false">INDEX('Emission Stepwise'!$H$2:$H$289,MATCH(E272,'Emission Stepwise'!$C$2:$C$289,0))</f>
        <v>0.970443349753695</v>
      </c>
      <c r="G272" s="45" t="n">
        <f aca="false">INDEX(Background!$C$4:$C$7,MATCH(C272,Background!$A$4:$A$7,0))</f>
        <v>0.212884169069555</v>
      </c>
      <c r="H272" s="49" t="n">
        <f aca="false">LN(F272/G272)</f>
        <v>1.51700481807086</v>
      </c>
    </row>
    <row r="273" customFormat="false" ht="15" hidden="false" customHeight="true" outlineLevel="0" collapsed="false">
      <c r="A273" s="38" t="s">
        <v>23</v>
      </c>
      <c r="B273" s="38" t="n">
        <v>56</v>
      </c>
      <c r="C273" s="38" t="s">
        <v>170</v>
      </c>
      <c r="D273" s="38" t="s">
        <v>870</v>
      </c>
      <c r="E273" s="38" t="str">
        <f aca="false">B273&amp;"|"&amp;C273</f>
        <v>56|C</v>
      </c>
      <c r="F273" s="45" t="n">
        <f aca="false">INDEX('Emission Stepwise'!$H$2:$H$289,MATCH(E273,'Emission Stepwise'!$C$2:$C$289,0))</f>
        <v>0.96551724137931</v>
      </c>
      <c r="G273" s="45" t="n">
        <f aca="false">INDEX(Background!$C$4:$C$7,MATCH(C273,Background!$A$4:$A$7,0))</f>
        <v>0.276812715380828</v>
      </c>
      <c r="H273" s="49" t="n">
        <f aca="false">LN(F273/G273)</f>
        <v>1.24932279941296</v>
      </c>
    </row>
    <row r="274" customFormat="false" ht="15" hidden="false" customHeight="true" outlineLevel="0" collapsed="false">
      <c r="A274" s="38" t="s">
        <v>23</v>
      </c>
      <c r="B274" s="38" t="n">
        <v>57</v>
      </c>
      <c r="C274" s="38" t="s">
        <v>169</v>
      </c>
      <c r="D274" s="38" t="s">
        <v>870</v>
      </c>
      <c r="E274" s="38" t="str">
        <f aca="false">B274&amp;"|"&amp;C274</f>
        <v>57|G</v>
      </c>
      <c r="F274" s="45" t="n">
        <f aca="false">INDEX('Emission Stepwise'!$H$2:$H$289,MATCH(E274,'Emission Stepwise'!$C$2:$C$289,0))</f>
        <v>0.603960396039604</v>
      </c>
      <c r="G274" s="45" t="n">
        <f aca="false">INDEX(Background!$C$4:$C$7,MATCH(C274,Background!$A$4:$A$7,0))</f>
        <v>0.325128349391659</v>
      </c>
      <c r="H274" s="49" t="n">
        <f aca="false">LN(F274/G274)</f>
        <v>0.619288600740201</v>
      </c>
    </row>
    <row r="275" customFormat="false" ht="15" hidden="false" customHeight="true" outlineLevel="0" collapsed="false">
      <c r="A275" s="38" t="s">
        <v>23</v>
      </c>
      <c r="B275" s="38" t="n">
        <v>58</v>
      </c>
      <c r="C275" s="38" t="s">
        <v>172</v>
      </c>
      <c r="D275" s="38" t="s">
        <v>870</v>
      </c>
      <c r="E275" s="38" t="str">
        <f aca="false">B275&amp;"|"&amp;C275</f>
        <v>58|A</v>
      </c>
      <c r="F275" s="45" t="n">
        <f aca="false">INDEX('Emission Stepwise'!$H$2:$H$289,MATCH(E275,'Emission Stepwise'!$C$2:$C$289,0))</f>
        <v>0.975369458128079</v>
      </c>
      <c r="G275" s="45" t="n">
        <f aca="false">INDEX(Background!$C$4:$C$7,MATCH(C275,Background!$A$4:$A$7,0))</f>
        <v>0.185174766157958</v>
      </c>
      <c r="H275" s="49" t="n">
        <f aca="false">LN(F275/G275)</f>
        <v>1.66151626955281</v>
      </c>
    </row>
    <row r="276" customFormat="false" ht="15" hidden="false" customHeight="true" outlineLevel="0" collapsed="false">
      <c r="A276" s="38" t="s">
        <v>23</v>
      </c>
      <c r="B276" s="38" t="n">
        <v>59</v>
      </c>
      <c r="C276" s="38" t="s">
        <v>171</v>
      </c>
      <c r="D276" s="38" t="s">
        <v>870</v>
      </c>
      <c r="E276" s="38" t="str">
        <f aca="false">B276&amp;"|"&amp;C276</f>
        <v>59|U</v>
      </c>
      <c r="F276" s="45" t="n">
        <f aca="false">INDEX('Emission Stepwise'!$H$2:$H$289,MATCH(E276,'Emission Stepwise'!$C$2:$C$289,0))</f>
        <v>0.251231527093596</v>
      </c>
      <c r="G276" s="45" t="n">
        <f aca="false">INDEX(Background!$C$4:$C$7,MATCH(C276,Background!$A$4:$A$7,0))</f>
        <v>0.212884169069555</v>
      </c>
      <c r="H276" s="49" t="n">
        <f aca="false">LN(F276/G276)</f>
        <v>0.165626722057194</v>
      </c>
    </row>
    <row r="277" customFormat="false" ht="15" hidden="false" customHeight="true" outlineLevel="0" collapsed="false">
      <c r="A277" s="38" t="s">
        <v>23</v>
      </c>
      <c r="B277" s="38" t="n">
        <v>60</v>
      </c>
      <c r="C277" s="38" t="s">
        <v>170</v>
      </c>
      <c r="D277" s="38" t="s">
        <v>870</v>
      </c>
      <c r="E277" s="38" t="str">
        <f aca="false">B277&amp;"|"&amp;C277</f>
        <v>60|C</v>
      </c>
      <c r="F277" s="45" t="n">
        <f aca="false">INDEX('Emission Stepwise'!$H$2:$H$289,MATCH(E277,'Emission Stepwise'!$C$2:$C$289,0))</f>
        <v>0.201970443349754</v>
      </c>
      <c r="G277" s="45" t="n">
        <f aca="false">INDEX(Background!$C$4:$C$7,MATCH(C277,Background!$A$4:$A$7,0))</f>
        <v>0.276812715380828</v>
      </c>
      <c r="H277" s="49" t="n">
        <f aca="false">LN(F277/G277)</f>
        <v>-0.315219793113249</v>
      </c>
    </row>
    <row r="278" customFormat="false" ht="15" hidden="false" customHeight="true" outlineLevel="0" collapsed="false">
      <c r="A278" s="38" t="s">
        <v>23</v>
      </c>
      <c r="B278" s="38" t="n">
        <v>61</v>
      </c>
      <c r="C278" s="38" t="s">
        <v>170</v>
      </c>
      <c r="D278" s="38" t="s">
        <v>870</v>
      </c>
      <c r="E278" s="38" t="str">
        <f aca="false">B278&amp;"|"&amp;C278</f>
        <v>61|C</v>
      </c>
      <c r="F278" s="45" t="n">
        <f aca="false">INDEX('Emission Stepwise'!$H$2:$H$289,MATCH(E278,'Emission Stepwise'!$C$2:$C$289,0))</f>
        <v>0.975369458128079</v>
      </c>
      <c r="G278" s="45" t="n">
        <f aca="false">INDEX(Background!$C$4:$C$7,MATCH(C278,Background!$A$4:$A$7,0))</f>
        <v>0.276812715380828</v>
      </c>
      <c r="H278" s="49" t="n">
        <f aca="false">LN(F278/G278)</f>
        <v>1.25947517087698</v>
      </c>
    </row>
    <row r="279" customFormat="false" ht="15" hidden="false" customHeight="true" outlineLevel="0" collapsed="false">
      <c r="A279" s="38" t="s">
        <v>23</v>
      </c>
      <c r="B279" s="38" t="n">
        <v>62</v>
      </c>
      <c r="C279" s="38" t="s">
        <v>172</v>
      </c>
      <c r="D279" s="38" t="s">
        <v>870</v>
      </c>
      <c r="E279" s="38" t="str">
        <f aca="false">B279&amp;"|"&amp;C279</f>
        <v>62|A</v>
      </c>
      <c r="F279" s="45" t="n">
        <f aca="false">INDEX('Emission Stepwise'!$H$2:$H$289,MATCH(E279,'Emission Stepwise'!$C$2:$C$289,0))</f>
        <v>0.0197044334975369</v>
      </c>
      <c r="G279" s="45" t="n">
        <f aca="false">INDEX(Background!$C$4:$C$7,MATCH(C279,Background!$A$4:$A$7,0))</f>
        <v>0.185174766157958</v>
      </c>
      <c r="H279" s="49" t="n">
        <f aca="false">LN(F279/G279)</f>
        <v>-2.24045640002183</v>
      </c>
    </row>
    <row r="280" customFormat="false" ht="15" hidden="false" customHeight="true" outlineLevel="0" collapsed="false">
      <c r="A280" s="38" t="s">
        <v>23</v>
      </c>
      <c r="B280" s="38" t="n">
        <v>63</v>
      </c>
      <c r="C280" s="38" t="s">
        <v>170</v>
      </c>
      <c r="D280" s="38" t="s">
        <v>870</v>
      </c>
      <c r="E280" s="38" t="str">
        <f aca="false">B280&amp;"|"&amp;C280</f>
        <v>63|C</v>
      </c>
      <c r="F280" s="45" t="n">
        <f aca="false">INDEX('Emission Stepwise'!$H$2:$H$289,MATCH(E280,'Emission Stepwise'!$C$2:$C$289,0))</f>
        <v>0.482758620689655</v>
      </c>
      <c r="G280" s="45" t="n">
        <f aca="false">INDEX(Background!$C$4:$C$7,MATCH(C280,Background!$A$4:$A$7,0))</f>
        <v>0.276812715380828</v>
      </c>
      <c r="H280" s="49" t="n">
        <f aca="false">LN(F280/G280)</f>
        <v>0.556175618853015</v>
      </c>
    </row>
    <row r="281" customFormat="false" ht="15" hidden="false" customHeight="true" outlineLevel="0" collapsed="false">
      <c r="A281" s="38" t="s">
        <v>23</v>
      </c>
      <c r="B281" s="38" t="n">
        <v>64</v>
      </c>
      <c r="C281" s="38" t="s">
        <v>170</v>
      </c>
      <c r="D281" s="38" t="s">
        <v>870</v>
      </c>
      <c r="E281" s="38" t="str">
        <f aca="false">B281&amp;"|"&amp;C281</f>
        <v>64|C</v>
      </c>
      <c r="F281" s="45" t="n">
        <f aca="false">INDEX('Emission Stepwise'!$H$2:$H$289,MATCH(E281,'Emission Stepwise'!$C$2:$C$289,0))</f>
        <v>0.211822660098522</v>
      </c>
      <c r="G281" s="45" t="n">
        <f aca="false">INDEX(Background!$C$4:$C$7,MATCH(C281,Background!$A$4:$A$7,0))</f>
        <v>0.276812715380828</v>
      </c>
      <c r="H281" s="49" t="n">
        <f aca="false">LN(F281/G281)</f>
        <v>-0.267591744123995</v>
      </c>
    </row>
    <row r="282" customFormat="false" ht="15" hidden="false" customHeight="true" outlineLevel="0" collapsed="false">
      <c r="A282" s="38" t="s">
        <v>23</v>
      </c>
      <c r="B282" s="38" t="n">
        <v>65</v>
      </c>
      <c r="C282" s="38" t="s">
        <v>169</v>
      </c>
      <c r="D282" s="38" t="s">
        <v>870</v>
      </c>
      <c r="E282" s="38" t="str">
        <f aca="false">B282&amp;"|"&amp;C282</f>
        <v>65|G</v>
      </c>
      <c r="F282" s="45" t="n">
        <f aca="false">INDEX('Emission Stepwise'!$H$2:$H$289,MATCH(E282,'Emission Stepwise'!$C$2:$C$289,0))</f>
        <v>0.287128712871287</v>
      </c>
      <c r="G282" s="45" t="n">
        <f aca="false">INDEX(Background!$C$4:$C$7,MATCH(C282,Background!$A$4:$A$7,0))</f>
        <v>0.325128349391659</v>
      </c>
      <c r="H282" s="49" t="n">
        <f aca="false">LN(F282/G282)</f>
        <v>-0.124289433446636</v>
      </c>
    </row>
    <row r="283" customFormat="false" ht="15" hidden="false" customHeight="true" outlineLevel="0" collapsed="false">
      <c r="A283" s="38" t="s">
        <v>23</v>
      </c>
      <c r="B283" s="38" t="n">
        <v>66</v>
      </c>
      <c r="C283" s="38" t="s">
        <v>169</v>
      </c>
      <c r="D283" s="38" t="s">
        <v>871</v>
      </c>
      <c r="E283" s="38" t="str">
        <f aca="false">B283&amp;"|"&amp;C283</f>
        <v>66|G</v>
      </c>
      <c r="F283" s="45" t="n">
        <f aca="false">INDEX('Emission Stepwise'!$H$2:$H$289,MATCH(E283,'Emission Stepwise'!$C$2:$C$289,0))</f>
        <v>0.0147783251231527</v>
      </c>
      <c r="G283" s="45" t="n">
        <f aca="false">INDEX(Background!$C$4:$C$7,MATCH(C283,Background!$A$4:$A$7,0))</f>
        <v>0.325128349391659</v>
      </c>
      <c r="H283" s="49" t="n">
        <f aca="false">LN(F283/G283)</f>
        <v>-3.09105843696553</v>
      </c>
    </row>
    <row r="284" customFormat="false" ht="15" hidden="false" customHeight="true" outlineLevel="0" collapsed="false">
      <c r="A284" s="38" t="s">
        <v>23</v>
      </c>
      <c r="B284" s="38" t="n">
        <v>67</v>
      </c>
      <c r="C284" s="38" t="s">
        <v>171</v>
      </c>
      <c r="D284" s="38" t="s">
        <v>871</v>
      </c>
      <c r="E284" s="38" t="str">
        <f aca="false">B284&amp;"|"&amp;C284</f>
        <v>67|U</v>
      </c>
      <c r="F284" s="45" t="n">
        <f aca="false">INDEX('Emission Stepwise'!$H$2:$H$289,MATCH(E284,'Emission Stepwise'!$C$2:$C$289,0))</f>
        <v>0.192118226600985</v>
      </c>
      <c r="G284" s="45" t="n">
        <f aca="false">INDEX(Background!$C$4:$C$7,MATCH(C284,Background!$A$4:$A$7,0))</f>
        <v>0.212884169069555</v>
      </c>
      <c r="H284" s="49" t="n">
        <f aca="false">LN(F284/G284)</f>
        <v>-0.102637264537485</v>
      </c>
    </row>
    <row r="285" customFormat="false" ht="15" hidden="false" customHeight="true" outlineLevel="0" collapsed="false">
      <c r="A285" s="38" t="s">
        <v>23</v>
      </c>
      <c r="B285" s="38" t="n">
        <v>68</v>
      </c>
      <c r="C285" s="38" t="s">
        <v>169</v>
      </c>
      <c r="D285" s="38" t="s">
        <v>871</v>
      </c>
      <c r="E285" s="38" t="str">
        <f aca="false">B285&amp;"|"&amp;C285</f>
        <v>68|G</v>
      </c>
      <c r="F285" s="45" t="n">
        <f aca="false">INDEX('Emission Stepwise'!$H$2:$H$289,MATCH(E285,'Emission Stepwise'!$C$2:$C$289,0))</f>
        <v>0.433497536945813</v>
      </c>
      <c r="G285" s="45" t="n">
        <f aca="false">INDEX(Background!$C$4:$C$7,MATCH(C285,Background!$A$4:$A$7,0))</f>
        <v>0.325128349391659</v>
      </c>
      <c r="H285" s="49" t="n">
        <f aca="false">LN(F285/G285)</f>
        <v>0.287666088844568</v>
      </c>
    </row>
    <row r="286" customFormat="false" ht="15" hidden="false" customHeight="true" outlineLevel="0" collapsed="false">
      <c r="A286" s="38" t="s">
        <v>23</v>
      </c>
      <c r="B286" s="38" t="n">
        <v>69</v>
      </c>
      <c r="C286" s="38" t="s">
        <v>171</v>
      </c>
      <c r="D286" s="38" t="s">
        <v>871</v>
      </c>
      <c r="E286" s="38" t="str">
        <f aca="false">B286&amp;"|"&amp;C286</f>
        <v>69|U</v>
      </c>
      <c r="F286" s="45" t="n">
        <f aca="false">INDEX('Emission Stepwise'!$H$2:$H$289,MATCH(E286,'Emission Stepwise'!$C$2:$C$289,0))</f>
        <v>0.083743842364532</v>
      </c>
      <c r="G286" s="45" t="n">
        <f aca="false">INDEX(Background!$C$4:$C$7,MATCH(C286,Background!$A$4:$A$7,0))</f>
        <v>0.212884169069555</v>
      </c>
      <c r="H286" s="49" t="n">
        <f aca="false">LN(F286/G286)</f>
        <v>-0.932985566610916</v>
      </c>
    </row>
    <row r="287" customFormat="false" ht="15" hidden="false" customHeight="true" outlineLevel="0" collapsed="false">
      <c r="A287" s="38" t="s">
        <v>23</v>
      </c>
      <c r="B287" s="38" t="n">
        <v>70</v>
      </c>
      <c r="C287" s="38" t="s">
        <v>171</v>
      </c>
      <c r="D287" s="38" t="s">
        <v>871</v>
      </c>
      <c r="E287" s="38" t="str">
        <f aca="false">B287&amp;"|"&amp;C287</f>
        <v>70|U</v>
      </c>
      <c r="F287" s="45" t="n">
        <f aca="false">INDEX('Emission Stepwise'!$H$2:$H$289,MATCH(E287,'Emission Stepwise'!$C$2:$C$289,0))</f>
        <v>0.152709359605911</v>
      </c>
      <c r="G287" s="45" t="n">
        <f aca="false">INDEX(Background!$C$4:$C$7,MATCH(C287,Background!$A$4:$A$7,0))</f>
        <v>0.212884169069555</v>
      </c>
      <c r="H287" s="49" t="n">
        <f aca="false">LN(F287/G287)</f>
        <v>-0.332211706181985</v>
      </c>
    </row>
    <row r="288" customFormat="false" ht="15" hidden="false" customHeight="true" outlineLevel="0" collapsed="false">
      <c r="A288" s="38" t="s">
        <v>23</v>
      </c>
      <c r="B288" s="38" t="n">
        <v>71</v>
      </c>
      <c r="C288" s="38" t="s">
        <v>169</v>
      </c>
      <c r="D288" s="38" t="s">
        <v>871</v>
      </c>
      <c r="E288" s="38" t="str">
        <f aca="false">B288&amp;"|"&amp;C288</f>
        <v>71|G</v>
      </c>
      <c r="F288" s="45" t="n">
        <f aca="false">INDEX('Emission Stepwise'!$H$2:$H$289,MATCH(E288,'Emission Stepwise'!$C$2:$C$289,0))</f>
        <v>0.408866995073892</v>
      </c>
      <c r="G288" s="45" t="n">
        <f aca="false">INDEX(Background!$C$4:$C$7,MATCH(C288,Background!$A$4:$A$7,0))</f>
        <v>0.325128349391659</v>
      </c>
      <c r="H288" s="49" t="n">
        <f aca="false">LN(F288/G288)</f>
        <v>0.22916988216296</v>
      </c>
    </row>
    <row r="289" customFormat="false" ht="15" hidden="false" customHeight="true" outlineLevel="0" collapsed="false">
      <c r="A289" s="38" t="s">
        <v>23</v>
      </c>
      <c r="B289" s="38" t="n">
        <v>72</v>
      </c>
      <c r="C289" s="38" t="s">
        <v>169</v>
      </c>
      <c r="D289" s="38" t="s">
        <v>871</v>
      </c>
      <c r="E289" s="38" t="str">
        <f aca="false">B289&amp;"|"&amp;C289</f>
        <v>72|G</v>
      </c>
      <c r="F289" s="45" t="n">
        <f aca="false">INDEX('Emission Stepwise'!$H$2:$H$289,MATCH(E289,'Emission Stepwise'!$C$2:$C$289,0))</f>
        <v>0.0886699507389163</v>
      </c>
      <c r="G289" s="45" t="n">
        <f aca="false">INDEX(Background!$C$4:$C$7,MATCH(C289,Background!$A$4:$A$7,0))</f>
        <v>0.325128349391659</v>
      </c>
      <c r="H289" s="49" t="n">
        <f aca="false">LN(F289/G289)</f>
        <v>-1.29929896773747</v>
      </c>
    </row>
    <row r="290" customFormat="false" ht="15" hidden="false" customHeight="true" outlineLevel="0" collapsed="false">
      <c r="A290" s="38" t="s">
        <v>27</v>
      </c>
      <c r="B290" s="38" t="n">
        <v>1</v>
      </c>
      <c r="C290" s="38" t="s">
        <v>171</v>
      </c>
      <c r="D290" s="38" t="s">
        <v>865</v>
      </c>
      <c r="E290" s="38" t="str">
        <f aca="false">B290&amp;"|"&amp;C290</f>
        <v>1|U</v>
      </c>
      <c r="F290" s="45" t="n">
        <f aca="false">INDEX('Emission Stepwise'!$H$2:$H$289,MATCH(E290,'Emission Stepwise'!$C$2:$C$289,0))</f>
        <v>0.0689655172413793</v>
      </c>
      <c r="G290" s="45" t="n">
        <f aca="false">INDEX(Background!$C$4:$C$7,MATCH(C290,Background!$A$4:$A$7,0))</f>
        <v>0.212884169069555</v>
      </c>
      <c r="H290" s="49" t="n">
        <f aca="false">LN(F290/G290)</f>
        <v>-1.12714158105187</v>
      </c>
    </row>
    <row r="291" customFormat="false" ht="15" hidden="false" customHeight="true" outlineLevel="0" collapsed="false">
      <c r="A291" s="38" t="s">
        <v>27</v>
      </c>
      <c r="B291" s="38" t="n">
        <v>2</v>
      </c>
      <c r="C291" s="38" t="s">
        <v>170</v>
      </c>
      <c r="D291" s="38" t="s">
        <v>865</v>
      </c>
      <c r="E291" s="38" t="str">
        <f aca="false">B291&amp;"|"&amp;C291</f>
        <v>2|C</v>
      </c>
      <c r="F291" s="45" t="n">
        <f aca="false">INDEX('Emission Stepwise'!$H$2:$H$289,MATCH(E291,'Emission Stepwise'!$C$2:$C$289,0))</f>
        <v>0.408866995073892</v>
      </c>
      <c r="G291" s="45" t="n">
        <f aca="false">INDEX(Background!$C$4:$C$7,MATCH(C291,Background!$A$4:$A$7,0))</f>
        <v>0.276812715380828</v>
      </c>
      <c r="H291" s="49" t="n">
        <f aca="false">LN(F291/G291)</f>
        <v>0.390048747979041</v>
      </c>
    </row>
    <row r="292" customFormat="false" ht="15" hidden="false" customHeight="true" outlineLevel="0" collapsed="false">
      <c r="A292" s="38" t="s">
        <v>27</v>
      </c>
      <c r="B292" s="38" t="n">
        <v>3</v>
      </c>
      <c r="C292" s="38" t="s">
        <v>172</v>
      </c>
      <c r="D292" s="38" t="s">
        <v>865</v>
      </c>
      <c r="E292" s="38" t="str">
        <f aca="false">B292&amp;"|"&amp;C292</f>
        <v>3|A</v>
      </c>
      <c r="F292" s="45" t="n">
        <f aca="false">INDEX('Emission Stepwise'!$H$2:$H$289,MATCH(E292,'Emission Stepwise'!$C$2:$C$289,0))</f>
        <v>0.0738916256157636</v>
      </c>
      <c r="G292" s="45" t="n">
        <f aca="false">INDEX(Background!$C$4:$C$7,MATCH(C292,Background!$A$4:$A$7,0))</f>
        <v>0.185174766157958</v>
      </c>
      <c r="H292" s="49" t="n">
        <f aca="false">LN(F292/G292)</f>
        <v>-0.918700560039512</v>
      </c>
    </row>
    <row r="293" customFormat="false" ht="15" hidden="false" customHeight="true" outlineLevel="0" collapsed="false">
      <c r="A293" s="38" t="s">
        <v>27</v>
      </c>
      <c r="B293" s="38" t="n">
        <v>4</v>
      </c>
      <c r="C293" s="38" t="s">
        <v>172</v>
      </c>
      <c r="D293" s="38" t="s">
        <v>865</v>
      </c>
      <c r="E293" s="38" t="str">
        <f aca="false">B293&amp;"|"&amp;C293</f>
        <v>4|A</v>
      </c>
      <c r="F293" s="45" t="n">
        <f aca="false">INDEX('Emission Stepwise'!$H$2:$H$289,MATCH(E293,'Emission Stepwise'!$C$2:$C$289,0))</f>
        <v>0.0788177339901478</v>
      </c>
      <c r="G293" s="45" t="n">
        <f aca="false">INDEX(Background!$C$4:$C$7,MATCH(C293,Background!$A$4:$A$7,0))</f>
        <v>0.185174766157958</v>
      </c>
      <c r="H293" s="49" t="n">
        <f aca="false">LN(F293/G293)</f>
        <v>-0.854162038901941</v>
      </c>
    </row>
    <row r="294" customFormat="false" ht="15" hidden="false" customHeight="true" outlineLevel="0" collapsed="false">
      <c r="A294" s="38" t="s">
        <v>27</v>
      </c>
      <c r="B294" s="38" t="n">
        <v>5</v>
      </c>
      <c r="C294" s="38" t="s">
        <v>170</v>
      </c>
      <c r="D294" s="38" t="s">
        <v>865</v>
      </c>
      <c r="E294" s="38" t="str">
        <f aca="false">B294&amp;"|"&amp;C294</f>
        <v>5|C</v>
      </c>
      <c r="F294" s="45" t="n">
        <f aca="false">INDEX('Emission Stepwise'!$H$2:$H$289,MATCH(E294,'Emission Stepwise'!$C$2:$C$289,0))</f>
        <v>0.394088669950739</v>
      </c>
      <c r="G294" s="45" t="n">
        <f aca="false">INDEX(Background!$C$4:$C$7,MATCH(C294,Background!$A$4:$A$7,0))</f>
        <v>0.276812715380828</v>
      </c>
      <c r="H294" s="49" t="n">
        <f aca="false">LN(F294/G294)</f>
        <v>0.353234774856325</v>
      </c>
    </row>
    <row r="295" customFormat="false" ht="15" hidden="false" customHeight="true" outlineLevel="0" collapsed="false">
      <c r="A295" s="38" t="s">
        <v>27</v>
      </c>
      <c r="B295" s="38" t="n">
        <v>6</v>
      </c>
      <c r="C295" s="38" t="s">
        <v>172</v>
      </c>
      <c r="D295" s="38" t="s">
        <v>865</v>
      </c>
      <c r="E295" s="38" t="str">
        <f aca="false">B295&amp;"|"&amp;C295</f>
        <v>6|A</v>
      </c>
      <c r="F295" s="45" t="n">
        <f aca="false">INDEX('Emission Stepwise'!$H$2:$H$289,MATCH(E295,'Emission Stepwise'!$C$2:$C$289,0))</f>
        <v>0.172413793103448</v>
      </c>
      <c r="G295" s="45" t="n">
        <f aca="false">INDEX(Background!$C$4:$C$7,MATCH(C295,Background!$A$4:$A$7,0))</f>
        <v>0.185174766157958</v>
      </c>
      <c r="H295" s="49" t="n">
        <f aca="false">LN(F295/G295)</f>
        <v>-0.0714026996523086</v>
      </c>
    </row>
    <row r="296" customFormat="false" ht="15" hidden="false" customHeight="true" outlineLevel="0" collapsed="false">
      <c r="A296" s="38" t="s">
        <v>27</v>
      </c>
      <c r="B296" s="38" t="n">
        <v>7</v>
      </c>
      <c r="C296" s="38" t="s">
        <v>171</v>
      </c>
      <c r="D296" s="38" t="s">
        <v>865</v>
      </c>
      <c r="E296" s="38" t="str">
        <f aca="false">B296&amp;"|"&amp;C296</f>
        <v>7|U</v>
      </c>
      <c r="F296" s="45" t="n">
        <f aca="false">INDEX('Emission Stepwise'!$H$2:$H$289,MATCH(E296,'Emission Stepwise'!$C$2:$C$289,0))</f>
        <v>0.221674876847291</v>
      </c>
      <c r="G296" s="45" t="n">
        <f aca="false">INDEX(Background!$C$4:$C$7,MATCH(C296,Background!$A$4:$A$7,0))</f>
        <v>0.212884169069555</v>
      </c>
      <c r="H296" s="49" t="n">
        <f aca="false">LN(F296/G296)</f>
        <v>0.0404635791031882</v>
      </c>
    </row>
    <row r="297" customFormat="false" ht="15" hidden="false" customHeight="true" outlineLevel="0" collapsed="false">
      <c r="A297" s="38" t="s">
        <v>27</v>
      </c>
      <c r="B297" s="38" t="n">
        <v>8</v>
      </c>
      <c r="C297" s="38" t="s">
        <v>171</v>
      </c>
      <c r="D297" s="38" t="s">
        <v>866</v>
      </c>
      <c r="E297" s="38" t="str">
        <f aca="false">B297&amp;"|"&amp;C297</f>
        <v>8|U</v>
      </c>
      <c r="F297" s="45" t="n">
        <f aca="false">INDEX('Emission Stepwise'!$H$2:$H$289,MATCH(E297,'Emission Stepwise'!$C$2:$C$289,0))</f>
        <v>0.975369458128079</v>
      </c>
      <c r="G297" s="45" t="n">
        <f aca="false">INDEX(Background!$C$4:$C$7,MATCH(C297,Background!$A$4:$A$7,0))</f>
        <v>0.212884169069555</v>
      </c>
      <c r="H297" s="49" t="n">
        <f aca="false">LN(F297/G297)</f>
        <v>1.5220681200274</v>
      </c>
    </row>
    <row r="298" customFormat="false" ht="15" hidden="false" customHeight="true" outlineLevel="0" collapsed="false">
      <c r="A298" s="38" t="s">
        <v>27</v>
      </c>
      <c r="B298" s="38" t="n">
        <v>9</v>
      </c>
      <c r="C298" s="38" t="s">
        <v>172</v>
      </c>
      <c r="D298" s="38" t="s">
        <v>867</v>
      </c>
      <c r="E298" s="38" t="str">
        <f aca="false">B298&amp;"|"&amp;C298</f>
        <v>9|A</v>
      </c>
      <c r="F298" s="45" t="n">
        <f aca="false">INDEX('Emission Stepwise'!$H$2:$H$289,MATCH(E298,'Emission Stepwise'!$C$2:$C$289,0))</f>
        <v>0.648514851485149</v>
      </c>
      <c r="G298" s="45" t="n">
        <f aca="false">INDEX(Background!$C$4:$C$7,MATCH(C298,Background!$A$4:$A$7,0))</f>
        <v>0.185174766157958</v>
      </c>
      <c r="H298" s="49" t="n">
        <f aca="false">LN(F298/G298)</f>
        <v>1.25338484370001</v>
      </c>
    </row>
    <row r="299" customFormat="false" ht="15" hidden="false" customHeight="true" outlineLevel="0" collapsed="false">
      <c r="A299" s="38" t="s">
        <v>27</v>
      </c>
      <c r="B299" s="38" t="n">
        <v>10</v>
      </c>
      <c r="C299" s="38" t="s">
        <v>169</v>
      </c>
      <c r="D299" s="38" t="s">
        <v>867</v>
      </c>
      <c r="E299" s="38" t="str">
        <f aca="false">B299&amp;"|"&amp;C299</f>
        <v>10|G</v>
      </c>
      <c r="F299" s="45" t="n">
        <f aca="false">INDEX('Emission Stepwise'!$H$2:$H$289,MATCH(E299,'Emission Stepwise'!$C$2:$C$289,0))</f>
        <v>0.945812807881773</v>
      </c>
      <c r="G299" s="45" t="n">
        <f aca="false">INDEX(Background!$C$4:$C$7,MATCH(C299,Background!$A$4:$A$7,0))</f>
        <v>0.325128349391659</v>
      </c>
      <c r="H299" s="49" t="n">
        <f aca="false">LN(F299/G299)</f>
        <v>1.06782464639414</v>
      </c>
    </row>
    <row r="300" customFormat="false" ht="15" hidden="false" customHeight="true" outlineLevel="0" collapsed="false">
      <c r="A300" s="38" t="s">
        <v>27</v>
      </c>
      <c r="B300" s="38" t="n">
        <v>11</v>
      </c>
      <c r="C300" s="38" t="s">
        <v>169</v>
      </c>
      <c r="D300" s="38" t="s">
        <v>867</v>
      </c>
      <c r="E300" s="38" t="str">
        <f aca="false">B300&amp;"|"&amp;C300</f>
        <v>11|G</v>
      </c>
      <c r="F300" s="45" t="n">
        <f aca="false">INDEX('Emission Stepwise'!$H$2:$H$289,MATCH(E300,'Emission Stepwise'!$C$2:$C$289,0))</f>
        <v>0.0344827586206897</v>
      </c>
      <c r="G300" s="45" t="n">
        <f aca="false">INDEX(Background!$C$4:$C$7,MATCH(C300,Background!$A$4:$A$7,0))</f>
        <v>0.325128349391659</v>
      </c>
      <c r="H300" s="49" t="n">
        <f aca="false">LN(F300/G300)</f>
        <v>-2.24376057657833</v>
      </c>
    </row>
    <row r="301" customFormat="false" ht="15" hidden="false" customHeight="true" outlineLevel="0" collapsed="false">
      <c r="A301" s="38" t="s">
        <v>27</v>
      </c>
      <c r="B301" s="38" t="n">
        <v>12</v>
      </c>
      <c r="C301" s="38" t="s">
        <v>172</v>
      </c>
      <c r="D301" s="38" t="s">
        <v>867</v>
      </c>
      <c r="E301" s="38" t="str">
        <f aca="false">B301&amp;"|"&amp;C301</f>
        <v>12|A</v>
      </c>
      <c r="F301" s="45" t="n">
        <f aca="false">INDEX('Emission Stepwise'!$H$2:$H$289,MATCH(E301,'Emission Stepwise'!$C$2:$C$289,0))</f>
        <v>0.0689655172413793</v>
      </c>
      <c r="G301" s="45" t="n">
        <f aca="false">INDEX(Background!$C$4:$C$7,MATCH(C301,Background!$A$4:$A$7,0))</f>
        <v>0.185174766157958</v>
      </c>
      <c r="H301" s="49" t="n">
        <f aca="false">LN(F301/G301)</f>
        <v>-0.987693431526464</v>
      </c>
    </row>
    <row r="302" customFormat="false" ht="15" hidden="false" customHeight="true" outlineLevel="0" collapsed="false">
      <c r="A302" s="38" t="s">
        <v>27</v>
      </c>
      <c r="B302" s="38" t="n">
        <v>13</v>
      </c>
      <c r="C302" s="38" t="s">
        <v>171</v>
      </c>
      <c r="D302" s="38" t="s">
        <v>867</v>
      </c>
      <c r="E302" s="38" t="str">
        <f aca="false">B302&amp;"|"&amp;C302</f>
        <v>13|U</v>
      </c>
      <c r="F302" s="45" t="n">
        <f aca="false">INDEX('Emission Stepwise'!$H$2:$H$289,MATCH(E302,'Emission Stepwise'!$C$2:$C$289,0))</f>
        <v>0.192118226600985</v>
      </c>
      <c r="G302" s="45" t="n">
        <f aca="false">INDEX(Background!$C$4:$C$7,MATCH(C302,Background!$A$4:$A$7,0))</f>
        <v>0.212884169069555</v>
      </c>
      <c r="H302" s="49" t="n">
        <f aca="false">LN(F302/G302)</f>
        <v>-0.102637264537485</v>
      </c>
    </row>
    <row r="303" customFormat="false" ht="15" hidden="false" customHeight="true" outlineLevel="0" collapsed="false">
      <c r="A303" s="38" t="s">
        <v>27</v>
      </c>
      <c r="B303" s="38" t="n">
        <v>14</v>
      </c>
      <c r="C303" s="38" t="s">
        <v>172</v>
      </c>
      <c r="D303" s="38" t="s">
        <v>867</v>
      </c>
      <c r="E303" s="38" t="str">
        <f aca="false">B303&amp;"|"&amp;C303</f>
        <v>14|A</v>
      </c>
      <c r="F303" s="45" t="n">
        <f aca="false">INDEX('Emission Stepwise'!$H$2:$H$289,MATCH(E303,'Emission Stepwise'!$C$2:$C$289,0))</f>
        <v>0.975369458128079</v>
      </c>
      <c r="G303" s="45" t="n">
        <f aca="false">INDEX(Background!$C$4:$C$7,MATCH(C303,Background!$A$4:$A$7,0))</f>
        <v>0.185174766157958</v>
      </c>
      <c r="H303" s="49" t="n">
        <f aca="false">LN(F303/G303)</f>
        <v>1.66151626955281</v>
      </c>
    </row>
    <row r="304" customFormat="false" ht="15" hidden="false" customHeight="true" outlineLevel="0" collapsed="false">
      <c r="A304" s="38" t="s">
        <v>27</v>
      </c>
      <c r="B304" s="38" t="n">
        <v>15</v>
      </c>
      <c r="C304" s="38" t="s">
        <v>169</v>
      </c>
      <c r="D304" s="38" t="s">
        <v>867</v>
      </c>
      <c r="E304" s="38" t="str">
        <f aca="false">B304&amp;"|"&amp;C304</f>
        <v>15|G</v>
      </c>
      <c r="F304" s="45" t="n">
        <f aca="false">INDEX('Emission Stepwise'!$H$2:$H$289,MATCH(E304,'Emission Stepwise'!$C$2:$C$289,0))</f>
        <v>0.801980198019802</v>
      </c>
      <c r="G304" s="45" t="n">
        <f aca="false">INDEX(Background!$C$4:$C$7,MATCH(C304,Background!$A$4:$A$7,0))</f>
        <v>0.325128349391659</v>
      </c>
      <c r="H304" s="49" t="n">
        <f aca="false">LN(F304/G304)</f>
        <v>0.902863891239328</v>
      </c>
    </row>
    <row r="305" customFormat="false" ht="15" hidden="false" customHeight="true" outlineLevel="0" collapsed="false">
      <c r="A305" s="38" t="s">
        <v>27</v>
      </c>
      <c r="B305" s="38" t="n">
        <v>16</v>
      </c>
      <c r="C305" s="38" t="s">
        <v>172</v>
      </c>
      <c r="D305" s="38" t="s">
        <v>867</v>
      </c>
      <c r="E305" s="38" t="str">
        <f aca="false">B305&amp;"|"&amp;C305</f>
        <v>16|A</v>
      </c>
      <c r="F305" s="45" t="n">
        <f aca="false">INDEX('Emission Stepwise'!$H$2:$H$289,MATCH(E305,'Emission Stepwise'!$C$2:$C$289,0))</f>
        <v>0.0294117647058824</v>
      </c>
      <c r="G305" s="45" t="n">
        <f aca="false">INDEX(Background!$C$4:$C$7,MATCH(C305,Background!$A$4:$A$7,0))</f>
        <v>0.185174766157958</v>
      </c>
      <c r="H305" s="49" t="n">
        <f aca="false">LN(F305/G305)</f>
        <v>-1.8399053067161</v>
      </c>
    </row>
    <row r="306" customFormat="false" ht="15" hidden="false" customHeight="true" outlineLevel="0" collapsed="false">
      <c r="A306" s="38" t="s">
        <v>27</v>
      </c>
      <c r="B306" s="38" t="n">
        <v>17</v>
      </c>
      <c r="C306" s="38" t="s">
        <v>171</v>
      </c>
      <c r="D306" s="38" t="s">
        <v>867</v>
      </c>
      <c r="E306" s="38" t="str">
        <f aca="false">B306&amp;"|"&amp;C306</f>
        <v>17|U</v>
      </c>
      <c r="F306" s="45" t="n">
        <f aca="false">INDEX('Emission Stepwise'!$H$2:$H$289,MATCH(E306,'Emission Stepwise'!$C$2:$C$289,0))</f>
        <v>0.57</v>
      </c>
      <c r="G306" s="45" t="n">
        <f aca="false">INDEX(Background!$C$4:$C$7,MATCH(C306,Background!$A$4:$A$7,0))</f>
        <v>0.212884169069555</v>
      </c>
      <c r="H306" s="49" t="n">
        <f aca="false">LN(F306/G306)</f>
        <v>0.984888150221115</v>
      </c>
    </row>
    <row r="307" customFormat="false" ht="15" hidden="false" customHeight="true" outlineLevel="0" collapsed="false">
      <c r="A307" s="38" t="s">
        <v>27</v>
      </c>
      <c r="B307" s="38" t="n">
        <v>18</v>
      </c>
      <c r="C307" s="38" t="s">
        <v>169</v>
      </c>
      <c r="D307" s="38" t="s">
        <v>867</v>
      </c>
      <c r="E307" s="38" t="str">
        <f aca="false">B307&amp;"|"&amp;C307</f>
        <v>18|G</v>
      </c>
      <c r="F307" s="45" t="n">
        <f aca="false">INDEX('Emission Stepwise'!$H$2:$H$289,MATCH(E307,'Emission Stepwise'!$C$2:$C$289,0))</f>
        <v>0.980295566502463</v>
      </c>
      <c r="G307" s="45" t="n">
        <f aca="false">INDEX(Background!$C$4:$C$7,MATCH(C307,Background!$A$4:$A$7,0))</f>
        <v>0.325128349391659</v>
      </c>
      <c r="H307" s="49" t="n">
        <f aca="false">LN(F307/G307)</f>
        <v>1.10363409909085</v>
      </c>
    </row>
    <row r="308" customFormat="false" ht="15" hidden="false" customHeight="true" outlineLevel="0" collapsed="false">
      <c r="A308" s="38" t="s">
        <v>27</v>
      </c>
      <c r="B308" s="38" t="n">
        <v>19</v>
      </c>
      <c r="C308" s="38" t="s">
        <v>169</v>
      </c>
      <c r="D308" s="38" t="s">
        <v>867</v>
      </c>
      <c r="E308" s="38" t="str">
        <f aca="false">B308&amp;"|"&amp;C308</f>
        <v>19|G</v>
      </c>
      <c r="F308" s="45" t="n">
        <f aca="false">INDEX('Emission Stepwise'!$H$2:$H$289,MATCH(E308,'Emission Stepwise'!$C$2:$C$289,0))</f>
        <v>0.970443349753695</v>
      </c>
      <c r="G308" s="45" t="n">
        <f aca="false">INDEX(Background!$C$4:$C$7,MATCH(C308,Background!$A$4:$A$7,0))</f>
        <v>0.325128349391659</v>
      </c>
      <c r="H308" s="49" t="n">
        <f aca="false">LN(F308/G308)</f>
        <v>1.09353300310435</v>
      </c>
    </row>
    <row r="309" customFormat="false" ht="15" hidden="false" customHeight="true" outlineLevel="0" collapsed="false">
      <c r="A309" s="38" t="s">
        <v>27</v>
      </c>
      <c r="B309" s="38" t="n">
        <v>20</v>
      </c>
      <c r="C309" s="38" t="s">
        <v>170</v>
      </c>
      <c r="D309" s="38" t="s">
        <v>867</v>
      </c>
      <c r="E309" s="38" t="str">
        <f aca="false">B309&amp;"|"&amp;C309</f>
        <v>20|C</v>
      </c>
      <c r="F309" s="45" t="n">
        <f aca="false">INDEX('Emission Stepwise'!$H$2:$H$289,MATCH(E309,'Emission Stepwise'!$C$2:$C$289,0))</f>
        <v>0.227722772277228</v>
      </c>
      <c r="G309" s="45" t="n">
        <f aca="false">INDEX(Background!$C$4:$C$7,MATCH(C309,Background!$A$4:$A$7,0))</f>
        <v>0.276812715380828</v>
      </c>
      <c r="H309" s="49" t="n">
        <f aca="false">LN(F309/G309)</f>
        <v>-0.195212181687879</v>
      </c>
    </row>
    <row r="310" customFormat="false" ht="15" hidden="false" customHeight="true" outlineLevel="0" collapsed="false">
      <c r="A310" s="38" t="s">
        <v>27</v>
      </c>
      <c r="B310" s="38" t="n">
        <v>21</v>
      </c>
      <c r="C310" s="38" t="s">
        <v>171</v>
      </c>
      <c r="D310" s="38" t="s">
        <v>867</v>
      </c>
      <c r="E310" s="38" t="str">
        <f aca="false">B310&amp;"|"&amp;C310</f>
        <v>21|U</v>
      </c>
      <c r="F310" s="45" t="n">
        <f aca="false">INDEX('Emission Stepwise'!$H$2:$H$289,MATCH(E310,'Emission Stepwise'!$C$2:$C$289,0))</f>
        <v>0.0541871921182266</v>
      </c>
      <c r="G310" s="45" t="n">
        <f aca="false">INDEX(Background!$C$4:$C$7,MATCH(C310,Background!$A$4:$A$7,0))</f>
        <v>0.212884169069555</v>
      </c>
      <c r="H310" s="49" t="n">
        <f aca="false">LN(F310/G310)</f>
        <v>-1.36830363786876</v>
      </c>
    </row>
    <row r="311" customFormat="false" ht="15" hidden="false" customHeight="true" outlineLevel="0" collapsed="false">
      <c r="A311" s="38" t="s">
        <v>27</v>
      </c>
      <c r="B311" s="38" t="n">
        <v>22</v>
      </c>
      <c r="C311" s="38" t="s">
        <v>171</v>
      </c>
      <c r="D311" s="38" t="s">
        <v>867</v>
      </c>
      <c r="E311" s="38" t="str">
        <f aca="false">B311&amp;"|"&amp;C311</f>
        <v>22|U</v>
      </c>
      <c r="F311" s="45" t="n">
        <f aca="false">INDEX('Emission Stepwise'!$H$2:$H$289,MATCH(E311,'Emission Stepwise'!$C$2:$C$289,0))</f>
        <v>0.0738916256157636</v>
      </c>
      <c r="G311" s="45" t="n">
        <f aca="false">INDEX(Background!$C$4:$C$7,MATCH(C311,Background!$A$4:$A$7,0))</f>
        <v>0.212884169069555</v>
      </c>
      <c r="H311" s="49" t="n">
        <f aca="false">LN(F311/G311)</f>
        <v>-1.05814870956492</v>
      </c>
    </row>
    <row r="312" customFormat="false" ht="15" hidden="false" customHeight="true" outlineLevel="0" collapsed="false">
      <c r="A312" s="38" t="s">
        <v>27</v>
      </c>
      <c r="B312" s="38" t="n">
        <v>23</v>
      </c>
      <c r="C312" s="38" t="s">
        <v>171</v>
      </c>
      <c r="D312" s="38" t="s">
        <v>867</v>
      </c>
      <c r="E312" s="38" t="str">
        <f aca="false">B312&amp;"|"&amp;C312</f>
        <v>23|U</v>
      </c>
      <c r="F312" s="45" t="n">
        <f aca="false">INDEX('Emission Stepwise'!$H$2:$H$289,MATCH(E312,'Emission Stepwise'!$C$2:$C$289,0))</f>
        <v>0.0640394088669951</v>
      </c>
      <c r="G312" s="45" t="n">
        <f aca="false">INDEX(Background!$C$4:$C$7,MATCH(C312,Background!$A$4:$A$7,0))</f>
        <v>0.212884169069555</v>
      </c>
      <c r="H312" s="49" t="n">
        <f aca="false">LN(F312/G312)</f>
        <v>-1.20124955320559</v>
      </c>
    </row>
    <row r="313" customFormat="false" ht="15" hidden="false" customHeight="true" outlineLevel="0" collapsed="false">
      <c r="A313" s="38" t="s">
        <v>27</v>
      </c>
      <c r="B313" s="38" t="n">
        <v>24</v>
      </c>
      <c r="C313" s="38" t="s">
        <v>170</v>
      </c>
      <c r="D313" s="38" t="s">
        <v>867</v>
      </c>
      <c r="E313" s="38" t="str">
        <f aca="false">B313&amp;"|"&amp;C313</f>
        <v>24|C</v>
      </c>
      <c r="F313" s="45" t="n">
        <f aca="false">INDEX('Emission Stepwise'!$H$2:$H$289,MATCH(E313,'Emission Stepwise'!$C$2:$C$289,0))</f>
        <v>0.0344827586206897</v>
      </c>
      <c r="G313" s="45" t="n">
        <f aca="false">INDEX(Background!$C$4:$C$7,MATCH(C313,Background!$A$4:$A$7,0))</f>
        <v>0.276812715380828</v>
      </c>
      <c r="H313" s="49" t="n">
        <f aca="false">LN(F313/G313)</f>
        <v>-2.08288171076224</v>
      </c>
    </row>
    <row r="314" customFormat="false" ht="15" hidden="false" customHeight="true" outlineLevel="0" collapsed="false">
      <c r="A314" s="38" t="s">
        <v>27</v>
      </c>
      <c r="B314" s="38" t="n">
        <v>25</v>
      </c>
      <c r="C314" s="38" t="s">
        <v>170</v>
      </c>
      <c r="D314" s="38" t="s">
        <v>867</v>
      </c>
      <c r="E314" s="38" t="str">
        <f aca="false">B314&amp;"|"&amp;C314</f>
        <v>25|C</v>
      </c>
      <c r="F314" s="45" t="n">
        <f aca="false">INDEX('Emission Stepwise'!$H$2:$H$289,MATCH(E314,'Emission Stepwise'!$C$2:$C$289,0))</f>
        <v>0.876847290640394</v>
      </c>
      <c r="G314" s="45" t="n">
        <f aca="false">INDEX(Background!$C$4:$C$7,MATCH(C314,Background!$A$4:$A$7,0))</f>
        <v>0.276812715380828</v>
      </c>
      <c r="H314" s="49" t="n">
        <f aca="false">LN(F314/G314)</f>
        <v>1.15299169047453</v>
      </c>
    </row>
    <row r="315" customFormat="false" ht="15" hidden="false" customHeight="true" outlineLevel="0" collapsed="false">
      <c r="A315" s="38" t="s">
        <v>27</v>
      </c>
      <c r="B315" s="38" t="n">
        <v>26</v>
      </c>
      <c r="C315" s="38" t="s">
        <v>171</v>
      </c>
      <c r="D315" s="38" t="s">
        <v>868</v>
      </c>
      <c r="E315" s="38" t="str">
        <f aca="false">B315&amp;"|"&amp;C315</f>
        <v>26|U</v>
      </c>
      <c r="F315" s="45" t="n">
        <f aca="false">INDEX('Emission Stepwise'!$H$2:$H$289,MATCH(E315,'Emission Stepwise'!$C$2:$C$289,0))</f>
        <v>0.0591133004926108</v>
      </c>
      <c r="G315" s="45" t="n">
        <f aca="false">INDEX(Background!$C$4:$C$7,MATCH(C315,Background!$A$4:$A$7,0))</f>
        <v>0.212884169069555</v>
      </c>
      <c r="H315" s="49" t="n">
        <f aca="false">LN(F315/G315)</f>
        <v>-1.28129226087913</v>
      </c>
    </row>
    <row r="316" customFormat="false" ht="15" hidden="false" customHeight="true" outlineLevel="0" collapsed="false">
      <c r="A316" s="38" t="s">
        <v>27</v>
      </c>
      <c r="B316" s="38" t="n">
        <v>27</v>
      </c>
      <c r="C316" s="38" t="s">
        <v>171</v>
      </c>
      <c r="D316" s="38" t="s">
        <v>868</v>
      </c>
      <c r="E316" s="38" t="str">
        <f aca="false">B316&amp;"|"&amp;C316</f>
        <v>27|U</v>
      </c>
      <c r="F316" s="45" t="n">
        <f aca="false">INDEX('Emission Stepwise'!$H$2:$H$289,MATCH(E316,'Emission Stepwise'!$C$2:$C$289,0))</f>
        <v>0.25615763546798</v>
      </c>
      <c r="G316" s="45" t="n">
        <f aca="false">INDEX(Background!$C$4:$C$7,MATCH(C316,Background!$A$4:$A$7,0))</f>
        <v>0.212884169069555</v>
      </c>
      <c r="H316" s="49" t="n">
        <f aca="false">LN(F316/G316)</f>
        <v>0.185044807914296</v>
      </c>
    </row>
    <row r="317" customFormat="false" ht="15" hidden="false" customHeight="true" outlineLevel="0" collapsed="false">
      <c r="A317" s="38" t="s">
        <v>27</v>
      </c>
      <c r="B317" s="38" t="n">
        <v>28</v>
      </c>
      <c r="C317" s="38" t="s">
        <v>171</v>
      </c>
      <c r="D317" s="38" t="s">
        <v>868</v>
      </c>
      <c r="E317" s="38" t="str">
        <f aca="false">B317&amp;"|"&amp;C317</f>
        <v>28|U</v>
      </c>
      <c r="F317" s="45" t="n">
        <f aca="false">INDEX('Emission Stepwise'!$H$2:$H$289,MATCH(E317,'Emission Stepwise'!$C$2:$C$289,0))</f>
        <v>0.251231527093596</v>
      </c>
      <c r="G317" s="45" t="n">
        <f aca="false">INDEX(Background!$C$4:$C$7,MATCH(C317,Background!$A$4:$A$7,0))</f>
        <v>0.212884169069555</v>
      </c>
      <c r="H317" s="49" t="n">
        <f aca="false">LN(F317/G317)</f>
        <v>0.165626722057194</v>
      </c>
    </row>
    <row r="318" customFormat="false" ht="15" hidden="false" customHeight="true" outlineLevel="0" collapsed="false">
      <c r="A318" s="38" t="s">
        <v>27</v>
      </c>
      <c r="B318" s="38" t="n">
        <v>29</v>
      </c>
      <c r="C318" s="38" t="s">
        <v>170</v>
      </c>
      <c r="D318" s="38" t="s">
        <v>868</v>
      </c>
      <c r="E318" s="38" t="str">
        <f aca="false">B318&amp;"|"&amp;C318</f>
        <v>29|C</v>
      </c>
      <c r="F318" s="45" t="n">
        <f aca="false">INDEX('Emission Stepwise'!$H$2:$H$289,MATCH(E318,'Emission Stepwise'!$C$2:$C$289,0))</f>
        <v>0.177339901477833</v>
      </c>
      <c r="G318" s="45" t="n">
        <f aca="false">INDEX(Background!$C$4:$C$7,MATCH(C318,Background!$A$4:$A$7,0))</f>
        <v>0.276812715380828</v>
      </c>
      <c r="H318" s="49" t="n">
        <f aca="false">LN(F318/G318)</f>
        <v>-0.445272921361447</v>
      </c>
    </row>
    <row r="319" customFormat="false" ht="15" hidden="false" customHeight="true" outlineLevel="0" collapsed="false">
      <c r="A319" s="38" t="s">
        <v>27</v>
      </c>
      <c r="B319" s="38" t="n">
        <v>30</v>
      </c>
      <c r="C319" s="38" t="s">
        <v>171</v>
      </c>
      <c r="D319" s="38" t="s">
        <v>868</v>
      </c>
      <c r="E319" s="38" t="str">
        <f aca="false">B319&amp;"|"&amp;C319</f>
        <v>30|U</v>
      </c>
      <c r="F319" s="45" t="n">
        <f aca="false">INDEX('Emission Stepwise'!$H$2:$H$289,MATCH(E319,'Emission Stepwise'!$C$2:$C$289,0))</f>
        <v>0.0394088669950739</v>
      </c>
      <c r="G319" s="45" t="n">
        <f aca="false">INDEX(Background!$C$4:$C$7,MATCH(C319,Background!$A$4:$A$7,0))</f>
        <v>0.212884169069555</v>
      </c>
      <c r="H319" s="49" t="n">
        <f aca="false">LN(F319/G319)</f>
        <v>-1.6867573689873</v>
      </c>
    </row>
    <row r="320" customFormat="false" ht="15" hidden="false" customHeight="true" outlineLevel="0" collapsed="false">
      <c r="A320" s="38" t="s">
        <v>27</v>
      </c>
      <c r="B320" s="38" t="n">
        <v>31</v>
      </c>
      <c r="C320" s="38" t="s">
        <v>171</v>
      </c>
      <c r="D320" s="38" t="s">
        <v>868</v>
      </c>
      <c r="E320" s="38" t="str">
        <f aca="false">B320&amp;"|"&amp;C320</f>
        <v>31|U</v>
      </c>
      <c r="F320" s="45" t="n">
        <f aca="false">INDEX('Emission Stepwise'!$H$2:$H$289,MATCH(E320,'Emission Stepwise'!$C$2:$C$289,0))</f>
        <v>0.0985221674876847</v>
      </c>
      <c r="G320" s="45" t="n">
        <f aca="false">INDEX(Background!$C$4:$C$7,MATCH(C320,Background!$A$4:$A$7,0))</f>
        <v>0.212884169069555</v>
      </c>
      <c r="H320" s="49" t="n">
        <f aca="false">LN(F320/G320)</f>
        <v>-0.770466637113141</v>
      </c>
    </row>
    <row r="321" customFormat="false" ht="15" hidden="false" customHeight="true" outlineLevel="0" collapsed="false">
      <c r="A321" s="38" t="s">
        <v>27</v>
      </c>
      <c r="B321" s="38" t="n">
        <v>32</v>
      </c>
      <c r="C321" s="38" t="s">
        <v>171</v>
      </c>
      <c r="D321" s="38" t="s">
        <v>868</v>
      </c>
      <c r="E321" s="38" t="str">
        <f aca="false">B321&amp;"|"&amp;C321</f>
        <v>32|U</v>
      </c>
      <c r="F321" s="45" t="n">
        <f aca="false">INDEX('Emission Stepwise'!$H$2:$H$289,MATCH(E321,'Emission Stepwise'!$C$2:$C$289,0))</f>
        <v>0.295566502463054</v>
      </c>
      <c r="G321" s="45" t="n">
        <f aca="false">INDEX(Background!$C$4:$C$7,MATCH(C321,Background!$A$4:$A$7,0))</f>
        <v>0.212884169069555</v>
      </c>
      <c r="H321" s="49" t="n">
        <f aca="false">LN(F321/G321)</f>
        <v>0.328145651554969</v>
      </c>
    </row>
    <row r="322" customFormat="false" ht="15" hidden="false" customHeight="true" outlineLevel="0" collapsed="false">
      <c r="A322" s="38" t="s">
        <v>27</v>
      </c>
      <c r="B322" s="38" t="n">
        <v>33</v>
      </c>
      <c r="C322" s="38" t="s">
        <v>171</v>
      </c>
      <c r="D322" s="38" t="s">
        <v>868</v>
      </c>
      <c r="E322" s="38" t="str">
        <f aca="false">B322&amp;"|"&amp;C322</f>
        <v>33|U</v>
      </c>
      <c r="F322" s="45" t="n">
        <f aca="false">INDEX('Emission Stepwise'!$H$2:$H$289,MATCH(E322,'Emission Stepwise'!$C$2:$C$289,0))</f>
        <v>0.975369458128079</v>
      </c>
      <c r="G322" s="45" t="n">
        <f aca="false">INDEX(Background!$C$4:$C$7,MATCH(C322,Background!$A$4:$A$7,0))</f>
        <v>0.212884169069555</v>
      </c>
      <c r="H322" s="49" t="n">
        <f aca="false">LN(F322/G322)</f>
        <v>1.5220681200274</v>
      </c>
    </row>
    <row r="323" customFormat="false" ht="15" hidden="false" customHeight="true" outlineLevel="0" collapsed="false">
      <c r="A323" s="38" t="s">
        <v>27</v>
      </c>
      <c r="B323" s="38" t="n">
        <v>34</v>
      </c>
      <c r="C323" s="38" t="s">
        <v>170</v>
      </c>
      <c r="D323" s="38" t="s">
        <v>868</v>
      </c>
      <c r="E323" s="38" t="str">
        <f aca="false">B323&amp;"|"&amp;C323</f>
        <v>34|C</v>
      </c>
      <c r="F323" s="45" t="n">
        <f aca="false">INDEX('Emission Stepwise'!$H$2:$H$289,MATCH(E323,'Emission Stepwise'!$C$2:$C$289,0))</f>
        <v>0.330049261083744</v>
      </c>
      <c r="G323" s="45" t="n">
        <f aca="false">INDEX(Background!$C$4:$C$7,MATCH(C323,Background!$A$4:$A$7,0))</f>
        <v>0.276812715380828</v>
      </c>
      <c r="H323" s="49" t="n">
        <f aca="false">LN(F323/G323)</f>
        <v>0.175900759573409</v>
      </c>
    </row>
    <row r="324" customFormat="false" ht="15" hidden="false" customHeight="true" outlineLevel="0" collapsed="false">
      <c r="A324" s="38" t="s">
        <v>27</v>
      </c>
      <c r="B324" s="38" t="n">
        <v>35</v>
      </c>
      <c r="C324" s="38" t="s">
        <v>171</v>
      </c>
      <c r="D324" s="38" t="s">
        <v>868</v>
      </c>
      <c r="E324" s="38" t="str">
        <f aca="false">B324&amp;"|"&amp;C324</f>
        <v>35|U</v>
      </c>
      <c r="F324" s="45" t="n">
        <f aca="false">INDEX('Emission Stepwise'!$H$2:$H$289,MATCH(E324,'Emission Stepwise'!$C$2:$C$289,0))</f>
        <v>0.206896551724138</v>
      </c>
      <c r="G324" s="45" t="n">
        <f aca="false">INDEX(Background!$C$4:$C$7,MATCH(C324,Background!$A$4:$A$7,0))</f>
        <v>0.212884169069555</v>
      </c>
      <c r="H324" s="49" t="n">
        <f aca="false">LN(F324/G324)</f>
        <v>-0.0285292923837632</v>
      </c>
    </row>
    <row r="325" customFormat="false" ht="15" hidden="false" customHeight="true" outlineLevel="0" collapsed="false">
      <c r="A325" s="38" t="s">
        <v>27</v>
      </c>
      <c r="B325" s="38" t="n">
        <v>36</v>
      </c>
      <c r="C325" s="38" t="s">
        <v>172</v>
      </c>
      <c r="D325" s="38" t="s">
        <v>868</v>
      </c>
      <c r="E325" s="38" t="str">
        <f aca="false">B325&amp;"|"&amp;C325</f>
        <v>36|A</v>
      </c>
      <c r="F325" s="45" t="n">
        <f aca="false">INDEX('Emission Stepwise'!$H$2:$H$289,MATCH(E325,'Emission Stepwise'!$C$2:$C$289,0))</f>
        <v>0.216748768472906</v>
      </c>
      <c r="G325" s="45" t="n">
        <f aca="false">INDEX(Background!$C$4:$C$7,MATCH(C325,Background!$A$4:$A$7,0))</f>
        <v>0.185174766157958</v>
      </c>
      <c r="H325" s="49" t="n">
        <f aca="false">LN(F325/G325)</f>
        <v>0.157438872776539</v>
      </c>
    </row>
    <row r="326" customFormat="false" ht="15" hidden="false" customHeight="true" outlineLevel="0" collapsed="false">
      <c r="A326" s="38" t="s">
        <v>27</v>
      </c>
      <c r="B326" s="38" t="n">
        <v>37</v>
      </c>
      <c r="C326" s="38" t="s">
        <v>170</v>
      </c>
      <c r="D326" s="38" t="s">
        <v>868</v>
      </c>
      <c r="E326" s="38" t="str">
        <f aca="false">B326&amp;"|"&amp;C326</f>
        <v>37|C</v>
      </c>
      <c r="F326" s="45" t="n">
        <f aca="false">INDEX('Emission Stepwise'!$H$2:$H$289,MATCH(E326,'Emission Stepwise'!$C$2:$C$289,0))</f>
        <v>0.00985221674876847</v>
      </c>
      <c r="G326" s="45" t="n">
        <f aca="false">INDEX(Background!$C$4:$C$7,MATCH(C326,Background!$A$4:$A$7,0))</f>
        <v>0.276812715380828</v>
      </c>
      <c r="H326" s="49" t="n">
        <f aca="false">LN(F326/G326)</f>
        <v>-3.33564467925761</v>
      </c>
    </row>
    <row r="327" customFormat="false" ht="15" hidden="false" customHeight="true" outlineLevel="0" collapsed="false">
      <c r="A327" s="38" t="s">
        <v>27</v>
      </c>
      <c r="B327" s="38" t="n">
        <v>38</v>
      </c>
      <c r="C327" s="38" t="s">
        <v>172</v>
      </c>
      <c r="D327" s="38" t="s">
        <v>868</v>
      </c>
      <c r="E327" s="38" t="str">
        <f aca="false">B327&amp;"|"&amp;C327</f>
        <v>38|A</v>
      </c>
      <c r="F327" s="45" t="n">
        <f aca="false">INDEX('Emission Stepwise'!$H$2:$H$289,MATCH(E327,'Emission Stepwise'!$C$2:$C$289,0))</f>
        <v>0.724137931034483</v>
      </c>
      <c r="G327" s="45" t="n">
        <f aca="false">INDEX(Background!$C$4:$C$7,MATCH(C327,Background!$A$4:$A$7,0))</f>
        <v>0.185174766157958</v>
      </c>
      <c r="H327" s="49" t="n">
        <f aca="false">LN(F327/G327)</f>
        <v>1.36368182563701</v>
      </c>
    </row>
    <row r="328" customFormat="false" ht="15" hidden="false" customHeight="true" outlineLevel="0" collapsed="false">
      <c r="A328" s="38" t="s">
        <v>27</v>
      </c>
      <c r="B328" s="38" t="n">
        <v>39</v>
      </c>
      <c r="C328" s="38" t="s">
        <v>169</v>
      </c>
      <c r="D328" s="38" t="s">
        <v>868</v>
      </c>
      <c r="E328" s="38" t="str">
        <f aca="false">B328&amp;"|"&amp;C328</f>
        <v>39|G</v>
      </c>
      <c r="F328" s="45" t="n">
        <f aca="false">INDEX('Emission Stepwise'!$H$2:$H$289,MATCH(E328,'Emission Stepwise'!$C$2:$C$289,0))</f>
        <v>0.359605911330049</v>
      </c>
      <c r="G328" s="45" t="n">
        <f aca="false">INDEX(Background!$C$4:$C$7,MATCH(C328,Background!$A$4:$A$7,0))</f>
        <v>0.325128349391659</v>
      </c>
      <c r="H328" s="49" t="n">
        <f aca="false">LN(F328/G328)</f>
        <v>0.100788715514753</v>
      </c>
    </row>
    <row r="329" customFormat="false" ht="15" hidden="false" customHeight="true" outlineLevel="0" collapsed="false">
      <c r="A329" s="38" t="s">
        <v>27</v>
      </c>
      <c r="B329" s="38" t="n">
        <v>40</v>
      </c>
      <c r="C329" s="38" t="s">
        <v>169</v>
      </c>
      <c r="D329" s="38" t="s">
        <v>868</v>
      </c>
      <c r="E329" s="38" t="str">
        <f aca="false">B329&amp;"|"&amp;C329</f>
        <v>40|G</v>
      </c>
      <c r="F329" s="45" t="n">
        <f aca="false">INDEX('Emission Stepwise'!$H$2:$H$289,MATCH(E329,'Emission Stepwise'!$C$2:$C$289,0))</f>
        <v>0.236453201970443</v>
      </c>
      <c r="G329" s="45" t="n">
        <f aca="false">INDEX(Background!$C$4:$C$7,MATCH(C329,Background!$A$4:$A$7,0))</f>
        <v>0.325128349391659</v>
      </c>
      <c r="H329" s="49" t="n">
        <f aca="false">LN(F329/G329)</f>
        <v>-0.318469714725747</v>
      </c>
    </row>
    <row r="330" customFormat="false" ht="15" hidden="false" customHeight="true" outlineLevel="0" collapsed="false">
      <c r="A330" s="38" t="s">
        <v>27</v>
      </c>
      <c r="B330" s="38" t="n">
        <v>41</v>
      </c>
      <c r="C330" s="38" t="s">
        <v>172</v>
      </c>
      <c r="D330" s="38" t="s">
        <v>868</v>
      </c>
      <c r="E330" s="38" t="str">
        <f aca="false">B330&amp;"|"&amp;C330</f>
        <v>41|A</v>
      </c>
      <c r="F330" s="45" t="n">
        <f aca="false">INDEX('Emission Stepwise'!$H$2:$H$289,MATCH(E330,'Emission Stepwise'!$C$2:$C$289,0))</f>
        <v>0.270935960591133</v>
      </c>
      <c r="G330" s="45" t="n">
        <f aca="false">INDEX(Background!$C$4:$C$7,MATCH(C330,Background!$A$4:$A$7,0))</f>
        <v>0.185174766157958</v>
      </c>
      <c r="H330" s="49" t="n">
        <f aca="false">LN(F330/G330)</f>
        <v>0.380582424090749</v>
      </c>
    </row>
    <row r="331" customFormat="false" ht="15" hidden="false" customHeight="true" outlineLevel="0" collapsed="false">
      <c r="A331" s="38" t="s">
        <v>27</v>
      </c>
      <c r="B331" s="38" t="n">
        <v>42</v>
      </c>
      <c r="C331" s="38" t="s">
        <v>172</v>
      </c>
      <c r="D331" s="38" t="s">
        <v>868</v>
      </c>
      <c r="E331" s="38" t="str">
        <f aca="false">B331&amp;"|"&amp;C331</f>
        <v>42|A</v>
      </c>
      <c r="F331" s="45" t="n">
        <f aca="false">INDEX('Emission Stepwise'!$H$2:$H$289,MATCH(E331,'Emission Stepwise'!$C$2:$C$289,0))</f>
        <v>0.241379310344828</v>
      </c>
      <c r="G331" s="45" t="n">
        <f aca="false">INDEX(Background!$C$4:$C$7,MATCH(C331,Background!$A$4:$A$7,0))</f>
        <v>0.185174766157958</v>
      </c>
      <c r="H331" s="49" t="n">
        <f aca="false">LN(F331/G331)</f>
        <v>0.265069536968904</v>
      </c>
    </row>
    <row r="332" customFormat="false" ht="15" hidden="false" customHeight="true" outlineLevel="0" collapsed="false">
      <c r="A332" s="38" t="s">
        <v>27</v>
      </c>
      <c r="B332" s="38" t="n">
        <v>43</v>
      </c>
      <c r="C332" s="38" t="s">
        <v>169</v>
      </c>
      <c r="D332" s="38" t="s">
        <v>868</v>
      </c>
      <c r="E332" s="38" t="str">
        <f aca="false">B332&amp;"|"&amp;C332</f>
        <v>43|G</v>
      </c>
      <c r="F332" s="45" t="n">
        <f aca="false">INDEX('Emission Stepwise'!$H$2:$H$289,MATCH(E332,'Emission Stepwise'!$C$2:$C$289,0))</f>
        <v>0.492610837438424</v>
      </c>
      <c r="G332" s="45" t="n">
        <f aca="false">INDEX(Background!$C$4:$C$7,MATCH(C332,Background!$A$4:$A$7,0))</f>
        <v>0.325128349391659</v>
      </c>
      <c r="H332" s="49" t="n">
        <f aca="false">LN(F332/G332)</f>
        <v>0.415499460354453</v>
      </c>
    </row>
    <row r="333" customFormat="false" ht="15" hidden="false" customHeight="true" outlineLevel="0" collapsed="false">
      <c r="A333" s="38" t="s">
        <v>27</v>
      </c>
      <c r="B333" s="38" t="n">
        <v>44</v>
      </c>
      <c r="C333" s="38" t="s">
        <v>169</v>
      </c>
      <c r="D333" s="38" t="s">
        <v>868</v>
      </c>
      <c r="E333" s="38" t="str">
        <f aca="false">B333&amp;"|"&amp;C333</f>
        <v>44|G</v>
      </c>
      <c r="F333" s="45" t="n">
        <f aca="false">INDEX('Emission Stepwise'!$H$2:$H$289,MATCH(E333,'Emission Stepwise'!$C$2:$C$289,0))</f>
        <v>0.231527093596059</v>
      </c>
      <c r="G333" s="45" t="n">
        <f aca="false">INDEX(Background!$C$4:$C$7,MATCH(C333,Background!$A$4:$A$7,0))</f>
        <v>0.325128349391659</v>
      </c>
      <c r="H333" s="49" t="n">
        <f aca="false">LN(F333/G333)</f>
        <v>-0.33952312392358</v>
      </c>
    </row>
    <row r="334" customFormat="false" ht="15" hidden="false" customHeight="true" outlineLevel="0" collapsed="false">
      <c r="A334" s="38" t="s">
        <v>27</v>
      </c>
      <c r="B334" s="38" t="n">
        <v>45</v>
      </c>
      <c r="C334" s="38" t="s">
        <v>170</v>
      </c>
      <c r="D334" s="38" t="s">
        <v>869</v>
      </c>
      <c r="E334" s="38" t="str">
        <f aca="false">B334&amp;"|"&amp;C334</f>
        <v>45|C</v>
      </c>
      <c r="F334" s="45" t="n">
        <f aca="false">INDEX('Emission Stepwise'!$H$2:$H$289,MATCH(E334,'Emission Stepwise'!$C$2:$C$289,0))</f>
        <v>0.0298507462686567</v>
      </c>
      <c r="G334" s="45" t="n">
        <f aca="false">INDEX(Background!$C$4:$C$7,MATCH(C334,Background!$A$4:$A$7,0))</f>
        <v>0.276812715380828</v>
      </c>
      <c r="H334" s="49" t="n">
        <f aca="false">LN(F334/G334)</f>
        <v>-2.22713131960679</v>
      </c>
    </row>
    <row r="335" customFormat="false" ht="15" hidden="false" customHeight="true" outlineLevel="0" collapsed="false">
      <c r="A335" s="38" t="s">
        <v>27</v>
      </c>
      <c r="B335" s="38" t="n">
        <v>46</v>
      </c>
      <c r="C335" s="38" t="s">
        <v>171</v>
      </c>
      <c r="D335" s="38" t="s">
        <v>869</v>
      </c>
      <c r="E335" s="38" t="str">
        <f aca="false">B335&amp;"|"&amp;C335</f>
        <v>46|U</v>
      </c>
      <c r="F335" s="45" t="n">
        <f aca="false">INDEX('Emission Stepwise'!$H$2:$H$289,MATCH(E335,'Emission Stepwise'!$C$2:$C$289,0))</f>
        <v>0.0755813953488372</v>
      </c>
      <c r="G335" s="45" t="n">
        <f aca="false">INDEX(Background!$C$4:$C$7,MATCH(C335,Background!$A$4:$A$7,0))</f>
        <v>0.212884169069555</v>
      </c>
      <c r="H335" s="49" t="n">
        <f aca="false">LN(F335/G335)</f>
        <v>-1.03553805097726</v>
      </c>
    </row>
    <row r="336" customFormat="false" ht="15" hidden="false" customHeight="true" outlineLevel="0" collapsed="false">
      <c r="A336" s="38" t="s">
        <v>27</v>
      </c>
      <c r="B336" s="38" t="n">
        <v>47</v>
      </c>
      <c r="C336" s="38" t="s">
        <v>169</v>
      </c>
      <c r="D336" s="38" t="s">
        <v>869</v>
      </c>
      <c r="E336" s="38" t="str">
        <f aca="false">B336&amp;"|"&amp;C336</f>
        <v>47|G</v>
      </c>
      <c r="F336" s="45" t="n">
        <f aca="false">INDEX('Emission Stepwise'!$H$2:$H$289,MATCH(E336,'Emission Stepwise'!$C$2:$C$289,0))</f>
        <v>0.083743842364532</v>
      </c>
      <c r="G336" s="45" t="n">
        <f aca="false">INDEX(Background!$C$4:$C$7,MATCH(C336,Background!$A$4:$A$7,0))</f>
        <v>0.325128349391659</v>
      </c>
      <c r="H336" s="49" t="n">
        <f aca="false">LN(F336/G336)</f>
        <v>-1.35645738157742</v>
      </c>
    </row>
    <row r="337" customFormat="false" ht="15" hidden="false" customHeight="true" outlineLevel="0" collapsed="false">
      <c r="A337" s="38" t="s">
        <v>27</v>
      </c>
      <c r="B337" s="38" t="n">
        <v>48</v>
      </c>
      <c r="C337" s="38" t="s">
        <v>171</v>
      </c>
      <c r="D337" s="38" t="s">
        <v>869</v>
      </c>
      <c r="E337" s="38" t="str">
        <f aca="false">B337&amp;"|"&amp;C337</f>
        <v>48|U</v>
      </c>
      <c r="F337" s="45" t="n">
        <f aca="false">INDEX('Emission Stepwise'!$H$2:$H$289,MATCH(E337,'Emission Stepwise'!$C$2:$C$289,0))</f>
        <v>0.147783251231527</v>
      </c>
      <c r="G337" s="45" t="n">
        <f aca="false">INDEX(Background!$C$4:$C$7,MATCH(C337,Background!$A$4:$A$7,0))</f>
        <v>0.212884169069555</v>
      </c>
      <c r="H337" s="49" t="n">
        <f aca="false">LN(F337/G337)</f>
        <v>-0.365001529004976</v>
      </c>
    </row>
    <row r="338" customFormat="false" ht="15" hidden="false" customHeight="true" outlineLevel="0" collapsed="false">
      <c r="A338" s="38" t="s">
        <v>27</v>
      </c>
      <c r="B338" s="38" t="n">
        <v>49</v>
      </c>
      <c r="C338" s="38" t="s">
        <v>170</v>
      </c>
      <c r="D338" s="38" t="s">
        <v>870</v>
      </c>
      <c r="E338" s="38" t="str">
        <f aca="false">B338&amp;"|"&amp;C338</f>
        <v>49|C</v>
      </c>
      <c r="F338" s="45" t="n">
        <f aca="false">INDEX('Emission Stepwise'!$H$2:$H$289,MATCH(E338,'Emission Stepwise'!$C$2:$C$289,0))</f>
        <v>0.285714285714286</v>
      </c>
      <c r="G338" s="45" t="n">
        <f aca="false">INDEX(Background!$C$4:$C$7,MATCH(C338,Background!$A$4:$A$7,0))</f>
        <v>0.276812715380828</v>
      </c>
      <c r="H338" s="49" t="n">
        <f aca="false">LN(F338/G338)</f>
        <v>0.0316511507288624</v>
      </c>
    </row>
    <row r="339" customFormat="false" ht="15" hidden="false" customHeight="true" outlineLevel="0" collapsed="false">
      <c r="A339" s="38" t="s">
        <v>27</v>
      </c>
      <c r="B339" s="38" t="n">
        <v>50</v>
      </c>
      <c r="C339" s="38" t="s">
        <v>172</v>
      </c>
      <c r="D339" s="38" t="s">
        <v>870</v>
      </c>
      <c r="E339" s="38" t="str">
        <f aca="false">B339&amp;"|"&amp;C339</f>
        <v>50|A</v>
      </c>
      <c r="F339" s="45" t="n">
        <f aca="false">INDEX('Emission Stepwise'!$H$2:$H$289,MATCH(E339,'Emission Stepwise'!$C$2:$C$289,0))</f>
        <v>0.118226600985222</v>
      </c>
      <c r="G339" s="45" t="n">
        <f aca="false">INDEX(Background!$C$4:$C$7,MATCH(C339,Background!$A$4:$A$7,0))</f>
        <v>0.185174766157958</v>
      </c>
      <c r="H339" s="49" t="n">
        <f aca="false">LN(F339/G339)</f>
        <v>-0.448696930793777</v>
      </c>
    </row>
    <row r="340" customFormat="false" ht="15" hidden="false" customHeight="true" outlineLevel="0" collapsed="false">
      <c r="A340" s="38" t="s">
        <v>27</v>
      </c>
      <c r="B340" s="38" t="n">
        <v>51</v>
      </c>
      <c r="C340" s="38" t="s">
        <v>169</v>
      </c>
      <c r="D340" s="38" t="s">
        <v>870</v>
      </c>
      <c r="E340" s="38" t="str">
        <f aca="false">B340&amp;"|"&amp;C340</f>
        <v>51|G</v>
      </c>
      <c r="F340" s="45" t="n">
        <f aca="false">INDEX('Emission Stepwise'!$H$2:$H$289,MATCH(E340,'Emission Stepwise'!$C$2:$C$289,0))</f>
        <v>0.495049504950495</v>
      </c>
      <c r="G340" s="45" t="n">
        <f aca="false">INDEX(Background!$C$4:$C$7,MATCH(C340,Background!$A$4:$A$7,0))</f>
        <v>0.325128349391659</v>
      </c>
      <c r="H340" s="49" t="n">
        <f aca="false">LN(F340/G340)</f>
        <v>0.420437741995036</v>
      </c>
    </row>
    <row r="341" customFormat="false" ht="15" hidden="false" customHeight="true" outlineLevel="0" collapsed="false">
      <c r="A341" s="38" t="s">
        <v>27</v>
      </c>
      <c r="B341" s="38" t="n">
        <v>52</v>
      </c>
      <c r="C341" s="38" t="s">
        <v>169</v>
      </c>
      <c r="D341" s="38" t="s">
        <v>870</v>
      </c>
      <c r="E341" s="38" t="str">
        <f aca="false">B341&amp;"|"&amp;C341</f>
        <v>52|G</v>
      </c>
      <c r="F341" s="45" t="n">
        <f aca="false">INDEX('Emission Stepwise'!$H$2:$H$289,MATCH(E341,'Emission Stepwise'!$C$2:$C$289,0))</f>
        <v>0.827586206896552</v>
      </c>
      <c r="G341" s="45" t="n">
        <f aca="false">INDEX(Background!$C$4:$C$7,MATCH(C341,Background!$A$4:$A$7,0))</f>
        <v>0.325128349391659</v>
      </c>
      <c r="H341" s="49" t="n">
        <f aca="false">LN(F341/G341)</f>
        <v>0.934293253769621</v>
      </c>
    </row>
    <row r="342" customFormat="false" ht="15" hidden="false" customHeight="true" outlineLevel="0" collapsed="false">
      <c r="A342" s="38" t="s">
        <v>27</v>
      </c>
      <c r="B342" s="38" t="n">
        <v>53</v>
      </c>
      <c r="C342" s="38" t="s">
        <v>169</v>
      </c>
      <c r="D342" s="38" t="s">
        <v>870</v>
      </c>
      <c r="E342" s="38" t="str">
        <f aca="false">B342&amp;"|"&amp;C342</f>
        <v>53|G</v>
      </c>
      <c r="F342" s="45" t="n">
        <f aca="false">INDEX('Emission Stepwise'!$H$2:$H$289,MATCH(E342,'Emission Stepwise'!$C$2:$C$289,0))</f>
        <v>0.96551724137931</v>
      </c>
      <c r="G342" s="45" t="n">
        <f aca="false">INDEX(Background!$C$4:$C$7,MATCH(C342,Background!$A$4:$A$7,0))</f>
        <v>0.325128349391659</v>
      </c>
      <c r="H342" s="49" t="n">
        <f aca="false">LN(F342/G342)</f>
        <v>1.08844393359688</v>
      </c>
    </row>
    <row r="343" customFormat="false" ht="15" hidden="false" customHeight="true" outlineLevel="0" collapsed="false">
      <c r="A343" s="38" t="s">
        <v>27</v>
      </c>
      <c r="B343" s="38" t="n">
        <v>54</v>
      </c>
      <c r="C343" s="38" t="s">
        <v>172</v>
      </c>
      <c r="D343" s="38" t="s">
        <v>870</v>
      </c>
      <c r="E343" s="38" t="str">
        <f aca="false">B343&amp;"|"&amp;C343</f>
        <v>54|A</v>
      </c>
      <c r="F343" s="45" t="n">
        <f aca="false">INDEX('Emission Stepwise'!$H$2:$H$289,MATCH(E343,'Emission Stepwise'!$C$2:$C$289,0))</f>
        <v>0.0147783251231527</v>
      </c>
      <c r="G343" s="45" t="n">
        <f aca="false">INDEX(Background!$C$4:$C$7,MATCH(C343,Background!$A$4:$A$7,0))</f>
        <v>0.185174766157958</v>
      </c>
      <c r="H343" s="49" t="n">
        <f aca="false">LN(F343/G343)</f>
        <v>-2.52813847247361</v>
      </c>
    </row>
    <row r="344" customFormat="false" ht="15" hidden="false" customHeight="true" outlineLevel="0" collapsed="false">
      <c r="A344" s="38" t="s">
        <v>27</v>
      </c>
      <c r="B344" s="38" t="n">
        <v>55</v>
      </c>
      <c r="C344" s="38" t="s">
        <v>170</v>
      </c>
      <c r="D344" s="38" t="s">
        <v>870</v>
      </c>
      <c r="E344" s="38" t="str">
        <f aca="false">B344&amp;"|"&amp;C344</f>
        <v>55|C</v>
      </c>
      <c r="F344" s="45" t="n">
        <f aca="false">INDEX('Emission Stepwise'!$H$2:$H$289,MATCH(E344,'Emission Stepwise'!$C$2:$C$289,0))</f>
        <v>0.00985221674876847</v>
      </c>
      <c r="G344" s="45" t="n">
        <f aca="false">INDEX(Background!$C$4:$C$7,MATCH(C344,Background!$A$4:$A$7,0))</f>
        <v>0.276812715380828</v>
      </c>
      <c r="H344" s="49" t="n">
        <f aca="false">LN(F344/G344)</f>
        <v>-3.33564467925761</v>
      </c>
    </row>
    <row r="345" customFormat="false" ht="15" hidden="false" customHeight="true" outlineLevel="0" collapsed="false">
      <c r="A345" s="38" t="s">
        <v>27</v>
      </c>
      <c r="B345" s="38" t="n">
        <v>56</v>
      </c>
      <c r="C345" s="38" t="s">
        <v>170</v>
      </c>
      <c r="D345" s="38" t="s">
        <v>870</v>
      </c>
      <c r="E345" s="38" t="str">
        <f aca="false">B345&amp;"|"&amp;C345</f>
        <v>56|C</v>
      </c>
      <c r="F345" s="45" t="n">
        <f aca="false">INDEX('Emission Stepwise'!$H$2:$H$289,MATCH(E345,'Emission Stepwise'!$C$2:$C$289,0))</f>
        <v>0.96551724137931</v>
      </c>
      <c r="G345" s="45" t="n">
        <f aca="false">INDEX(Background!$C$4:$C$7,MATCH(C345,Background!$A$4:$A$7,0))</f>
        <v>0.276812715380828</v>
      </c>
      <c r="H345" s="49" t="n">
        <f aca="false">LN(F345/G345)</f>
        <v>1.24932279941296</v>
      </c>
    </row>
    <row r="346" customFormat="false" ht="15" hidden="false" customHeight="true" outlineLevel="0" collapsed="false">
      <c r="A346" s="38" t="s">
        <v>27</v>
      </c>
      <c r="B346" s="38" t="n">
        <v>57</v>
      </c>
      <c r="C346" s="38" t="s">
        <v>171</v>
      </c>
      <c r="D346" s="38" t="s">
        <v>870</v>
      </c>
      <c r="E346" s="38" t="str">
        <f aca="false">B346&amp;"|"&amp;C346</f>
        <v>57|U</v>
      </c>
      <c r="F346" s="45" t="n">
        <f aca="false">INDEX('Emission Stepwise'!$H$2:$H$289,MATCH(E346,'Emission Stepwise'!$C$2:$C$289,0))</f>
        <v>0.0099009900990099</v>
      </c>
      <c r="G346" s="45" t="n">
        <f aca="false">INDEX(Background!$C$4:$C$7,MATCH(C346,Background!$A$4:$A$7,0))</f>
        <v>0.212884169069555</v>
      </c>
      <c r="H346" s="49" t="n">
        <f aca="false">LN(F346/G346)</f>
        <v>-3.0681134484666</v>
      </c>
    </row>
    <row r="347" customFormat="false" ht="15" hidden="false" customHeight="true" outlineLevel="0" collapsed="false">
      <c r="A347" s="38" t="s">
        <v>27</v>
      </c>
      <c r="B347" s="38" t="n">
        <v>58</v>
      </c>
      <c r="C347" s="38" t="s">
        <v>170</v>
      </c>
      <c r="D347" s="38" t="s">
        <v>870</v>
      </c>
      <c r="E347" s="38" t="str">
        <f aca="false">B347&amp;"|"&amp;C347</f>
        <v>58|C</v>
      </c>
      <c r="F347" s="45" t="n">
        <f aca="false">INDEX('Emission Stepwise'!$H$2:$H$289,MATCH(E347,'Emission Stepwise'!$C$2:$C$289,0))</f>
        <v>0.00985221674876847</v>
      </c>
      <c r="G347" s="45" t="n">
        <f aca="false">INDEX(Background!$C$4:$C$7,MATCH(C347,Background!$A$4:$A$7,0))</f>
        <v>0.276812715380828</v>
      </c>
      <c r="H347" s="49" t="n">
        <f aca="false">LN(F347/G347)</f>
        <v>-3.33564467925761</v>
      </c>
    </row>
    <row r="348" customFormat="false" ht="15" hidden="false" customHeight="true" outlineLevel="0" collapsed="false">
      <c r="A348" s="38" t="s">
        <v>27</v>
      </c>
      <c r="B348" s="38" t="n">
        <v>59</v>
      </c>
      <c r="C348" s="38" t="s">
        <v>171</v>
      </c>
      <c r="D348" s="38" t="s">
        <v>870</v>
      </c>
      <c r="E348" s="38" t="str">
        <f aca="false">B348&amp;"|"&amp;C348</f>
        <v>59|U</v>
      </c>
      <c r="F348" s="45" t="n">
        <f aca="false">INDEX('Emission Stepwise'!$H$2:$H$289,MATCH(E348,'Emission Stepwise'!$C$2:$C$289,0))</f>
        <v>0.251231527093596</v>
      </c>
      <c r="G348" s="45" t="n">
        <f aca="false">INDEX(Background!$C$4:$C$7,MATCH(C348,Background!$A$4:$A$7,0))</f>
        <v>0.212884169069555</v>
      </c>
      <c r="H348" s="49" t="n">
        <f aca="false">LN(F348/G348)</f>
        <v>0.165626722057194</v>
      </c>
    </row>
    <row r="349" customFormat="false" ht="15" hidden="false" customHeight="true" outlineLevel="0" collapsed="false">
      <c r="A349" s="38" t="s">
        <v>27</v>
      </c>
      <c r="B349" s="38" t="n">
        <v>60</v>
      </c>
      <c r="C349" s="38" t="s">
        <v>169</v>
      </c>
      <c r="D349" s="38" t="s">
        <v>870</v>
      </c>
      <c r="E349" s="38" t="str">
        <f aca="false">B349&amp;"|"&amp;C349</f>
        <v>60|G</v>
      </c>
      <c r="F349" s="45" t="n">
        <f aca="false">INDEX('Emission Stepwise'!$H$2:$H$289,MATCH(E349,'Emission Stepwise'!$C$2:$C$289,0))</f>
        <v>0.0147783251231527</v>
      </c>
      <c r="G349" s="45" t="n">
        <f aca="false">INDEX(Background!$C$4:$C$7,MATCH(C349,Background!$A$4:$A$7,0))</f>
        <v>0.325128349391659</v>
      </c>
      <c r="H349" s="49" t="n">
        <f aca="false">LN(F349/G349)</f>
        <v>-3.09105843696553</v>
      </c>
    </row>
    <row r="350" customFormat="false" ht="15" hidden="false" customHeight="true" outlineLevel="0" collapsed="false">
      <c r="A350" s="38" t="s">
        <v>27</v>
      </c>
      <c r="B350" s="38" t="n">
        <v>61</v>
      </c>
      <c r="C350" s="38" t="s">
        <v>170</v>
      </c>
      <c r="D350" s="38" t="s">
        <v>870</v>
      </c>
      <c r="E350" s="38" t="str">
        <f aca="false">B350&amp;"|"&amp;C350</f>
        <v>61|C</v>
      </c>
      <c r="F350" s="45" t="n">
        <f aca="false">INDEX('Emission Stepwise'!$H$2:$H$289,MATCH(E350,'Emission Stepwise'!$C$2:$C$289,0))</f>
        <v>0.975369458128079</v>
      </c>
      <c r="G350" s="45" t="n">
        <f aca="false">INDEX(Background!$C$4:$C$7,MATCH(C350,Background!$A$4:$A$7,0))</f>
        <v>0.276812715380828</v>
      </c>
      <c r="H350" s="49" t="n">
        <f aca="false">LN(F350/G350)</f>
        <v>1.25947517087698</v>
      </c>
    </row>
    <row r="351" customFormat="false" ht="15" hidden="false" customHeight="true" outlineLevel="0" collapsed="false">
      <c r="A351" s="38" t="s">
        <v>27</v>
      </c>
      <c r="B351" s="38" t="n">
        <v>62</v>
      </c>
      <c r="C351" s="38" t="s">
        <v>170</v>
      </c>
      <c r="D351" s="38" t="s">
        <v>870</v>
      </c>
      <c r="E351" s="38" t="str">
        <f aca="false">B351&amp;"|"&amp;C351</f>
        <v>62|C</v>
      </c>
      <c r="F351" s="45" t="n">
        <f aca="false">INDEX('Emission Stepwise'!$H$2:$H$289,MATCH(E351,'Emission Stepwise'!$C$2:$C$289,0))</f>
        <v>0.832512315270936</v>
      </c>
      <c r="G351" s="45" t="n">
        <f aca="false">INDEX(Background!$C$4:$C$7,MATCH(C351,Background!$A$4:$A$7,0))</f>
        <v>0.276812715380828</v>
      </c>
      <c r="H351" s="49" t="n">
        <f aca="false">LN(F351/G351)</f>
        <v>1.10110685510552</v>
      </c>
    </row>
    <row r="352" customFormat="false" ht="15" hidden="false" customHeight="true" outlineLevel="0" collapsed="false">
      <c r="A352" s="38" t="s">
        <v>27</v>
      </c>
      <c r="B352" s="38" t="n">
        <v>63</v>
      </c>
      <c r="C352" s="38" t="s">
        <v>171</v>
      </c>
      <c r="D352" s="38" t="s">
        <v>870</v>
      </c>
      <c r="E352" s="38" t="str">
        <f aca="false">B352&amp;"|"&amp;C352</f>
        <v>63|U</v>
      </c>
      <c r="F352" s="45" t="n">
        <f aca="false">INDEX('Emission Stepwise'!$H$2:$H$289,MATCH(E352,'Emission Stepwise'!$C$2:$C$289,0))</f>
        <v>0.16256157635468</v>
      </c>
      <c r="G352" s="45" t="n">
        <f aca="false">INDEX(Background!$C$4:$C$7,MATCH(C352,Background!$A$4:$A$7,0))</f>
        <v>0.212884169069555</v>
      </c>
      <c r="H352" s="49" t="n">
        <f aca="false">LN(F352/G352)</f>
        <v>-0.269691349200651</v>
      </c>
    </row>
    <row r="353" customFormat="false" ht="15" hidden="false" customHeight="true" outlineLevel="0" collapsed="false">
      <c r="A353" s="38" t="s">
        <v>27</v>
      </c>
      <c r="B353" s="38" t="n">
        <v>64</v>
      </c>
      <c r="C353" s="38" t="s">
        <v>171</v>
      </c>
      <c r="D353" s="38" t="s">
        <v>870</v>
      </c>
      <c r="E353" s="38" t="str">
        <f aca="false">B353&amp;"|"&amp;C353</f>
        <v>64|U</v>
      </c>
      <c r="F353" s="45" t="n">
        <f aca="false">INDEX('Emission Stepwise'!$H$2:$H$289,MATCH(E353,'Emission Stepwise'!$C$2:$C$289,0))</f>
        <v>0.167487684729064</v>
      </c>
      <c r="G353" s="45" t="n">
        <f aca="false">INDEX(Background!$C$4:$C$7,MATCH(C353,Background!$A$4:$A$7,0))</f>
        <v>0.212884169069555</v>
      </c>
      <c r="H353" s="49" t="n">
        <f aca="false">LN(F353/G353)</f>
        <v>-0.23983838605097</v>
      </c>
    </row>
    <row r="354" customFormat="false" ht="15" hidden="false" customHeight="true" outlineLevel="0" collapsed="false">
      <c r="A354" s="38" t="s">
        <v>27</v>
      </c>
      <c r="B354" s="38" t="n">
        <v>65</v>
      </c>
      <c r="C354" s="38" t="s">
        <v>169</v>
      </c>
      <c r="D354" s="38" t="s">
        <v>870</v>
      </c>
      <c r="E354" s="38" t="str">
        <f aca="false">B354&amp;"|"&amp;C354</f>
        <v>65|G</v>
      </c>
      <c r="F354" s="45" t="n">
        <f aca="false">INDEX('Emission Stepwise'!$H$2:$H$289,MATCH(E354,'Emission Stepwise'!$C$2:$C$289,0))</f>
        <v>0.287128712871287</v>
      </c>
      <c r="G354" s="45" t="n">
        <f aca="false">INDEX(Background!$C$4:$C$7,MATCH(C354,Background!$A$4:$A$7,0))</f>
        <v>0.325128349391659</v>
      </c>
      <c r="H354" s="49" t="n">
        <f aca="false">LN(F354/G354)</f>
        <v>-0.124289433446636</v>
      </c>
    </row>
    <row r="355" customFormat="false" ht="15" hidden="false" customHeight="true" outlineLevel="0" collapsed="false">
      <c r="A355" s="38" t="s">
        <v>27</v>
      </c>
      <c r="B355" s="38" t="n">
        <v>66</v>
      </c>
      <c r="C355" s="38" t="s">
        <v>172</v>
      </c>
      <c r="D355" s="38" t="s">
        <v>871</v>
      </c>
      <c r="E355" s="38" t="str">
        <f aca="false">B355&amp;"|"&amp;C355</f>
        <v>66|A</v>
      </c>
      <c r="F355" s="45" t="n">
        <f aca="false">INDEX('Emission Stepwise'!$H$2:$H$289,MATCH(E355,'Emission Stepwise'!$C$2:$C$289,0))</f>
        <v>0.216748768472906</v>
      </c>
      <c r="G355" s="45" t="n">
        <f aca="false">INDEX(Background!$C$4:$C$7,MATCH(C355,Background!$A$4:$A$7,0))</f>
        <v>0.185174766157958</v>
      </c>
      <c r="H355" s="49" t="n">
        <f aca="false">LN(F355/G355)</f>
        <v>0.157438872776539</v>
      </c>
    </row>
    <row r="356" customFormat="false" ht="15" hidden="false" customHeight="true" outlineLevel="0" collapsed="false">
      <c r="A356" s="38" t="s">
        <v>27</v>
      </c>
      <c r="B356" s="38" t="n">
        <v>67</v>
      </c>
      <c r="C356" s="38" t="s">
        <v>171</v>
      </c>
      <c r="D356" s="38" t="s">
        <v>871</v>
      </c>
      <c r="E356" s="38" t="str">
        <f aca="false">B356&amp;"|"&amp;C356</f>
        <v>67|U</v>
      </c>
      <c r="F356" s="45" t="n">
        <f aca="false">INDEX('Emission Stepwise'!$H$2:$H$289,MATCH(E356,'Emission Stepwise'!$C$2:$C$289,0))</f>
        <v>0.192118226600985</v>
      </c>
      <c r="G356" s="45" t="n">
        <f aca="false">INDEX(Background!$C$4:$C$7,MATCH(C356,Background!$A$4:$A$7,0))</f>
        <v>0.212884169069555</v>
      </c>
      <c r="H356" s="49" t="n">
        <f aca="false">LN(F356/G356)</f>
        <v>-0.102637264537485</v>
      </c>
    </row>
    <row r="357" customFormat="false" ht="15" hidden="false" customHeight="true" outlineLevel="0" collapsed="false">
      <c r="A357" s="38" t="s">
        <v>27</v>
      </c>
      <c r="B357" s="38" t="n">
        <v>68</v>
      </c>
      <c r="C357" s="38" t="s">
        <v>169</v>
      </c>
      <c r="D357" s="38" t="s">
        <v>871</v>
      </c>
      <c r="E357" s="38" t="str">
        <f aca="false">B357&amp;"|"&amp;C357</f>
        <v>68|G</v>
      </c>
      <c r="F357" s="45" t="n">
        <f aca="false">INDEX('Emission Stepwise'!$H$2:$H$289,MATCH(E357,'Emission Stepwise'!$C$2:$C$289,0))</f>
        <v>0.433497536945813</v>
      </c>
      <c r="G357" s="45" t="n">
        <f aca="false">INDEX(Background!$C$4:$C$7,MATCH(C357,Background!$A$4:$A$7,0))</f>
        <v>0.325128349391659</v>
      </c>
      <c r="H357" s="49" t="n">
        <f aca="false">LN(F357/G357)</f>
        <v>0.287666088844568</v>
      </c>
    </row>
    <row r="358" customFormat="false" ht="15" hidden="false" customHeight="true" outlineLevel="0" collapsed="false">
      <c r="A358" s="38" t="s">
        <v>27</v>
      </c>
      <c r="B358" s="38" t="n">
        <v>69</v>
      </c>
      <c r="C358" s="38" t="s">
        <v>171</v>
      </c>
      <c r="D358" s="38" t="s">
        <v>871</v>
      </c>
      <c r="E358" s="38" t="str">
        <f aca="false">B358&amp;"|"&amp;C358</f>
        <v>69|U</v>
      </c>
      <c r="F358" s="45" t="n">
        <f aca="false">INDEX('Emission Stepwise'!$H$2:$H$289,MATCH(E358,'Emission Stepwise'!$C$2:$C$289,0))</f>
        <v>0.083743842364532</v>
      </c>
      <c r="G358" s="45" t="n">
        <f aca="false">INDEX(Background!$C$4:$C$7,MATCH(C358,Background!$A$4:$A$7,0))</f>
        <v>0.212884169069555</v>
      </c>
      <c r="H358" s="49" t="n">
        <f aca="false">LN(F358/G358)</f>
        <v>-0.932985566610916</v>
      </c>
    </row>
    <row r="359" customFormat="false" ht="15" hidden="false" customHeight="true" outlineLevel="0" collapsed="false">
      <c r="A359" s="38" t="s">
        <v>27</v>
      </c>
      <c r="B359" s="38" t="n">
        <v>70</v>
      </c>
      <c r="C359" s="38" t="s">
        <v>171</v>
      </c>
      <c r="D359" s="38" t="s">
        <v>871</v>
      </c>
      <c r="E359" s="38" t="str">
        <f aca="false">B359&amp;"|"&amp;C359</f>
        <v>70|U</v>
      </c>
      <c r="F359" s="45" t="n">
        <f aca="false">INDEX('Emission Stepwise'!$H$2:$H$289,MATCH(E359,'Emission Stepwise'!$C$2:$C$289,0))</f>
        <v>0.152709359605911</v>
      </c>
      <c r="G359" s="45" t="n">
        <f aca="false">INDEX(Background!$C$4:$C$7,MATCH(C359,Background!$A$4:$A$7,0))</f>
        <v>0.212884169069555</v>
      </c>
      <c r="H359" s="49" t="n">
        <f aca="false">LN(F359/G359)</f>
        <v>-0.332211706181985</v>
      </c>
    </row>
    <row r="360" customFormat="false" ht="15" hidden="false" customHeight="true" outlineLevel="0" collapsed="false">
      <c r="A360" s="38" t="s">
        <v>27</v>
      </c>
      <c r="B360" s="38" t="n">
        <v>71</v>
      </c>
      <c r="C360" s="38" t="s">
        <v>169</v>
      </c>
      <c r="D360" s="38" t="s">
        <v>871</v>
      </c>
      <c r="E360" s="38" t="str">
        <f aca="false">B360&amp;"|"&amp;C360</f>
        <v>71|G</v>
      </c>
      <c r="F360" s="45" t="n">
        <f aca="false">INDEX('Emission Stepwise'!$H$2:$H$289,MATCH(E360,'Emission Stepwise'!$C$2:$C$289,0))</f>
        <v>0.408866995073892</v>
      </c>
      <c r="G360" s="45" t="n">
        <f aca="false">INDEX(Background!$C$4:$C$7,MATCH(C360,Background!$A$4:$A$7,0))</f>
        <v>0.325128349391659</v>
      </c>
      <c r="H360" s="49" t="n">
        <f aca="false">LN(F360/G360)</f>
        <v>0.22916988216296</v>
      </c>
    </row>
    <row r="361" customFormat="false" ht="15" hidden="false" customHeight="true" outlineLevel="0" collapsed="false">
      <c r="A361" s="38" t="s">
        <v>27</v>
      </c>
      <c r="B361" s="38" t="n">
        <v>72</v>
      </c>
      <c r="C361" s="38" t="s">
        <v>169</v>
      </c>
      <c r="D361" s="38" t="s">
        <v>871</v>
      </c>
      <c r="E361" s="38" t="str">
        <f aca="false">B361&amp;"|"&amp;C361</f>
        <v>72|G</v>
      </c>
      <c r="F361" s="45" t="n">
        <f aca="false">INDEX('Emission Stepwise'!$H$2:$H$289,MATCH(E361,'Emission Stepwise'!$C$2:$C$289,0))</f>
        <v>0.0886699507389163</v>
      </c>
      <c r="G361" s="45" t="n">
        <f aca="false">INDEX(Background!$C$4:$C$7,MATCH(C361,Background!$A$4:$A$7,0))</f>
        <v>0.325128349391659</v>
      </c>
      <c r="H361" s="49" t="n">
        <f aca="false">LN(F361/G361)</f>
        <v>-1.29929896773747</v>
      </c>
    </row>
    <row r="362" customFormat="false" ht="15" hidden="false" customHeight="true" outlineLevel="0" collapsed="false">
      <c r="A362" s="38" t="s">
        <v>31</v>
      </c>
      <c r="B362" s="38" t="n">
        <v>1</v>
      </c>
      <c r="C362" s="38" t="s">
        <v>170</v>
      </c>
      <c r="D362" s="38" t="s">
        <v>865</v>
      </c>
      <c r="E362" s="38" t="str">
        <f aca="false">B362&amp;"|"&amp;C362</f>
        <v>1|C</v>
      </c>
      <c r="F362" s="45" t="n">
        <f aca="false">INDEX('Emission Stepwise'!$H$2:$H$289,MATCH(E362,'Emission Stepwise'!$C$2:$C$289,0))</f>
        <v>0.108374384236453</v>
      </c>
      <c r="G362" s="45" t="n">
        <f aca="false">INDEX(Background!$C$4:$C$7,MATCH(C362,Background!$A$4:$A$7,0))</f>
        <v>0.276812715380828</v>
      </c>
      <c r="H362" s="49" t="n">
        <f aca="false">LN(F362/G362)</f>
        <v>-0.937749406459241</v>
      </c>
    </row>
    <row r="363" customFormat="false" ht="15" hidden="false" customHeight="true" outlineLevel="0" collapsed="false">
      <c r="A363" s="38" t="s">
        <v>31</v>
      </c>
      <c r="B363" s="38" t="n">
        <v>2</v>
      </c>
      <c r="C363" s="38" t="s">
        <v>171</v>
      </c>
      <c r="D363" s="38" t="s">
        <v>865</v>
      </c>
      <c r="E363" s="38" t="str">
        <f aca="false">B363&amp;"|"&amp;C363</f>
        <v>2|U</v>
      </c>
      <c r="F363" s="45" t="n">
        <f aca="false">INDEX('Emission Stepwise'!$H$2:$H$289,MATCH(E363,'Emission Stepwise'!$C$2:$C$289,0))</f>
        <v>0.0344827586206897</v>
      </c>
      <c r="G363" s="45" t="n">
        <f aca="false">INDEX(Background!$C$4:$C$7,MATCH(C363,Background!$A$4:$A$7,0))</f>
        <v>0.212884169069555</v>
      </c>
      <c r="H363" s="49" t="n">
        <f aca="false">LN(F363/G363)</f>
        <v>-1.82028876161182</v>
      </c>
    </row>
    <row r="364" customFormat="false" ht="15" hidden="false" customHeight="true" outlineLevel="0" collapsed="false">
      <c r="A364" s="38" t="s">
        <v>31</v>
      </c>
      <c r="B364" s="38" t="n">
        <v>3</v>
      </c>
      <c r="C364" s="38" t="s">
        <v>169</v>
      </c>
      <c r="D364" s="38" t="s">
        <v>865</v>
      </c>
      <c r="E364" s="38" t="str">
        <f aca="false">B364&amp;"|"&amp;C364</f>
        <v>3|G</v>
      </c>
      <c r="F364" s="45" t="n">
        <f aca="false">INDEX('Emission Stepwise'!$H$2:$H$289,MATCH(E364,'Emission Stepwise'!$C$2:$C$289,0))</f>
        <v>0.423645320197044</v>
      </c>
      <c r="G364" s="45" t="n">
        <f aca="false">INDEX(Background!$C$4:$C$7,MATCH(C364,Background!$A$4:$A$7,0))</f>
        <v>0.325128349391659</v>
      </c>
      <c r="H364" s="49" t="n">
        <f aca="false">LN(F364/G364)</f>
        <v>0.264676570619869</v>
      </c>
    </row>
    <row r="365" customFormat="false" ht="15" hidden="false" customHeight="true" outlineLevel="0" collapsed="false">
      <c r="A365" s="38" t="s">
        <v>31</v>
      </c>
      <c r="B365" s="38" t="n">
        <v>4</v>
      </c>
      <c r="C365" s="38" t="s">
        <v>172</v>
      </c>
      <c r="D365" s="38" t="s">
        <v>865</v>
      </c>
      <c r="E365" s="38" t="str">
        <f aca="false">B365&amp;"|"&amp;C365</f>
        <v>4|A</v>
      </c>
      <c r="F365" s="45" t="n">
        <f aca="false">INDEX('Emission Stepwise'!$H$2:$H$289,MATCH(E365,'Emission Stepwise'!$C$2:$C$289,0))</f>
        <v>0.0788177339901478</v>
      </c>
      <c r="G365" s="45" t="n">
        <f aca="false">INDEX(Background!$C$4:$C$7,MATCH(C365,Background!$A$4:$A$7,0))</f>
        <v>0.185174766157958</v>
      </c>
      <c r="H365" s="49" t="n">
        <f aca="false">LN(F365/G365)</f>
        <v>-0.854162038901941</v>
      </c>
    </row>
    <row r="366" customFormat="false" ht="15" hidden="false" customHeight="true" outlineLevel="0" collapsed="false">
      <c r="A366" s="38" t="s">
        <v>31</v>
      </c>
      <c r="B366" s="38" t="n">
        <v>5</v>
      </c>
      <c r="C366" s="38" t="s">
        <v>169</v>
      </c>
      <c r="D366" s="38" t="s">
        <v>865</v>
      </c>
      <c r="E366" s="38" t="str">
        <f aca="false">B366&amp;"|"&amp;C366</f>
        <v>5|G</v>
      </c>
      <c r="F366" s="45" t="n">
        <f aca="false">INDEX('Emission Stepwise'!$H$2:$H$289,MATCH(E366,'Emission Stepwise'!$C$2:$C$289,0))</f>
        <v>0.344827586206897</v>
      </c>
      <c r="G366" s="45" t="n">
        <f aca="false">INDEX(Background!$C$4:$C$7,MATCH(C366,Background!$A$4:$A$7,0))</f>
        <v>0.325128349391659</v>
      </c>
      <c r="H366" s="49" t="n">
        <f aca="false">LN(F366/G366)</f>
        <v>0.0588245164157209</v>
      </c>
    </row>
    <row r="367" customFormat="false" ht="15" hidden="false" customHeight="true" outlineLevel="0" collapsed="false">
      <c r="A367" s="38" t="s">
        <v>31</v>
      </c>
      <c r="B367" s="38" t="n">
        <v>6</v>
      </c>
      <c r="C367" s="38" t="s">
        <v>169</v>
      </c>
      <c r="D367" s="38" t="s">
        <v>865</v>
      </c>
      <c r="E367" s="38" t="str">
        <f aca="false">B367&amp;"|"&amp;C367</f>
        <v>6|G</v>
      </c>
      <c r="F367" s="45" t="n">
        <f aca="false">INDEX('Emission Stepwise'!$H$2:$H$289,MATCH(E367,'Emission Stepwise'!$C$2:$C$289,0))</f>
        <v>0.241379310344828</v>
      </c>
      <c r="G367" s="45" t="n">
        <f aca="false">INDEX(Background!$C$4:$C$7,MATCH(C367,Background!$A$4:$A$7,0))</f>
        <v>0.325128349391659</v>
      </c>
      <c r="H367" s="49" t="n">
        <f aca="false">LN(F367/G367)</f>
        <v>-0.297850427523012</v>
      </c>
    </row>
    <row r="368" customFormat="false" ht="15" hidden="false" customHeight="true" outlineLevel="0" collapsed="false">
      <c r="A368" s="38" t="s">
        <v>31</v>
      </c>
      <c r="B368" s="38" t="n">
        <v>7</v>
      </c>
      <c r="C368" s="38" t="s">
        <v>169</v>
      </c>
      <c r="D368" s="38" t="s">
        <v>865</v>
      </c>
      <c r="E368" s="38" t="str">
        <f aca="false">B368&amp;"|"&amp;C368</f>
        <v>7|G</v>
      </c>
      <c r="F368" s="45" t="n">
        <f aca="false">INDEX('Emission Stepwise'!$H$2:$H$289,MATCH(E368,'Emission Stepwise'!$C$2:$C$289,0))</f>
        <v>0.522167487684729</v>
      </c>
      <c r="G368" s="45" t="n">
        <f aca="false">INDEX(Background!$C$4:$C$7,MATCH(C368,Background!$A$4:$A$7,0))</f>
        <v>0.325128349391659</v>
      </c>
      <c r="H368" s="49" t="n">
        <f aca="false">LN(F368/G368)</f>
        <v>0.473768368478429</v>
      </c>
    </row>
    <row r="369" customFormat="false" ht="15" hidden="false" customHeight="true" outlineLevel="0" collapsed="false">
      <c r="A369" s="38" t="s">
        <v>31</v>
      </c>
      <c r="B369" s="38" t="n">
        <v>8</v>
      </c>
      <c r="C369" s="38" t="s">
        <v>171</v>
      </c>
      <c r="D369" s="38" t="s">
        <v>866</v>
      </c>
      <c r="E369" s="38" t="str">
        <f aca="false">B369&amp;"|"&amp;C369</f>
        <v>8|U</v>
      </c>
      <c r="F369" s="45" t="n">
        <f aca="false">INDEX('Emission Stepwise'!$H$2:$H$289,MATCH(E369,'Emission Stepwise'!$C$2:$C$289,0))</f>
        <v>0.975369458128079</v>
      </c>
      <c r="G369" s="45" t="n">
        <f aca="false">INDEX(Background!$C$4:$C$7,MATCH(C369,Background!$A$4:$A$7,0))</f>
        <v>0.212884169069555</v>
      </c>
      <c r="H369" s="49" t="n">
        <f aca="false">LN(F369/G369)</f>
        <v>1.5220681200274</v>
      </c>
    </row>
    <row r="370" customFormat="false" ht="15" hidden="false" customHeight="true" outlineLevel="0" collapsed="false">
      <c r="A370" s="38" t="s">
        <v>31</v>
      </c>
      <c r="B370" s="38" t="n">
        <v>9</v>
      </c>
      <c r="C370" s="38" t="s">
        <v>171</v>
      </c>
      <c r="D370" s="38" t="s">
        <v>867</v>
      </c>
      <c r="E370" s="38" t="str">
        <f aca="false">B370&amp;"|"&amp;C370</f>
        <v>9|U</v>
      </c>
      <c r="F370" s="45" t="n">
        <f aca="false">INDEX('Emission Stepwise'!$H$2:$H$289,MATCH(E370,'Emission Stepwise'!$C$2:$C$289,0))</f>
        <v>0.00495049504950495</v>
      </c>
      <c r="G370" s="45" t="n">
        <f aca="false">INDEX(Background!$C$4:$C$7,MATCH(C370,Background!$A$4:$A$7,0))</f>
        <v>0.212884169069555</v>
      </c>
      <c r="H370" s="49" t="n">
        <f aca="false">LN(F370/G370)</f>
        <v>-3.76126062902655</v>
      </c>
    </row>
    <row r="371" customFormat="false" ht="15" hidden="false" customHeight="true" outlineLevel="0" collapsed="false">
      <c r="A371" s="38" t="s">
        <v>31</v>
      </c>
      <c r="B371" s="38" t="n">
        <v>10</v>
      </c>
      <c r="C371" s="38" t="s">
        <v>169</v>
      </c>
      <c r="D371" s="38" t="s">
        <v>867</v>
      </c>
      <c r="E371" s="38" t="str">
        <f aca="false">B371&amp;"|"&amp;C371</f>
        <v>10|G</v>
      </c>
      <c r="F371" s="45" t="n">
        <f aca="false">INDEX('Emission Stepwise'!$H$2:$H$289,MATCH(E371,'Emission Stepwise'!$C$2:$C$289,0))</f>
        <v>0.945812807881773</v>
      </c>
      <c r="G371" s="45" t="n">
        <f aca="false">INDEX(Background!$C$4:$C$7,MATCH(C371,Background!$A$4:$A$7,0))</f>
        <v>0.325128349391659</v>
      </c>
      <c r="H371" s="49" t="n">
        <f aca="false">LN(F371/G371)</f>
        <v>1.06782464639414</v>
      </c>
    </row>
    <row r="372" customFormat="false" ht="15" hidden="false" customHeight="true" outlineLevel="0" collapsed="false">
      <c r="A372" s="38" t="s">
        <v>31</v>
      </c>
      <c r="B372" s="38" t="n">
        <v>11</v>
      </c>
      <c r="C372" s="38" t="s">
        <v>170</v>
      </c>
      <c r="D372" s="38" t="s">
        <v>867</v>
      </c>
      <c r="E372" s="38" t="str">
        <f aca="false">B372&amp;"|"&amp;C372</f>
        <v>11|C</v>
      </c>
      <c r="F372" s="45" t="n">
        <f aca="false">INDEX('Emission Stepwise'!$H$2:$H$289,MATCH(E372,'Emission Stepwise'!$C$2:$C$289,0))</f>
        <v>0.724137931034483</v>
      </c>
      <c r="G372" s="45" t="n">
        <f aca="false">INDEX(Background!$C$4:$C$7,MATCH(C372,Background!$A$4:$A$7,0))</f>
        <v>0.276812715380828</v>
      </c>
      <c r="H372" s="49" t="n">
        <f aca="false">LN(F372/G372)</f>
        <v>0.961640726961179</v>
      </c>
    </row>
    <row r="373" customFormat="false" ht="15" hidden="false" customHeight="true" outlineLevel="0" collapsed="false">
      <c r="A373" s="38" t="s">
        <v>31</v>
      </c>
      <c r="B373" s="38" t="n">
        <v>12</v>
      </c>
      <c r="C373" s="38" t="s">
        <v>170</v>
      </c>
      <c r="D373" s="38" t="s">
        <v>867</v>
      </c>
      <c r="E373" s="38" t="str">
        <f aca="false">B373&amp;"|"&amp;C373</f>
        <v>12|C</v>
      </c>
      <c r="F373" s="45" t="n">
        <f aca="false">INDEX('Emission Stepwise'!$H$2:$H$289,MATCH(E373,'Emission Stepwise'!$C$2:$C$289,0))</f>
        <v>0.147783251231527</v>
      </c>
      <c r="G373" s="45" t="n">
        <f aca="false">INDEX(Background!$C$4:$C$7,MATCH(C373,Background!$A$4:$A$7,0))</f>
        <v>0.276812715380828</v>
      </c>
      <c r="H373" s="49" t="n">
        <f aca="false">LN(F373/G373)</f>
        <v>-0.627594478155401</v>
      </c>
    </row>
    <row r="374" customFormat="false" ht="15" hidden="false" customHeight="true" outlineLevel="0" collapsed="false">
      <c r="A374" s="38" t="s">
        <v>31</v>
      </c>
      <c r="B374" s="38" t="n">
        <v>13</v>
      </c>
      <c r="C374" s="38" t="s">
        <v>172</v>
      </c>
      <c r="D374" s="38" t="s">
        <v>867</v>
      </c>
      <c r="E374" s="38" t="str">
        <f aca="false">B374&amp;"|"&amp;C374</f>
        <v>13|A</v>
      </c>
      <c r="F374" s="45" t="n">
        <f aca="false">INDEX('Emission Stepwise'!$H$2:$H$289,MATCH(E374,'Emission Stepwise'!$C$2:$C$289,0))</f>
        <v>0.0689655172413793</v>
      </c>
      <c r="G374" s="45" t="n">
        <f aca="false">INDEX(Background!$C$4:$C$7,MATCH(C374,Background!$A$4:$A$7,0))</f>
        <v>0.185174766157958</v>
      </c>
      <c r="H374" s="49" t="n">
        <f aca="false">LN(F374/G374)</f>
        <v>-0.987693431526464</v>
      </c>
    </row>
    <row r="375" customFormat="false" ht="15" hidden="false" customHeight="true" outlineLevel="0" collapsed="false">
      <c r="A375" s="38" t="s">
        <v>31</v>
      </c>
      <c r="B375" s="38" t="n">
        <v>14</v>
      </c>
      <c r="C375" s="38" t="s">
        <v>169</v>
      </c>
      <c r="D375" s="38" t="s">
        <v>867</v>
      </c>
      <c r="E375" s="38" t="str">
        <f aca="false">B375&amp;"|"&amp;C375</f>
        <v>14|G</v>
      </c>
      <c r="F375" s="45" t="n">
        <f aca="false">INDEX('Emission Stepwise'!$H$2:$H$289,MATCH(E375,'Emission Stepwise'!$C$2:$C$289,0))</f>
        <v>0.00985221674876847</v>
      </c>
      <c r="G375" s="45" t="n">
        <f aca="false">INDEX(Background!$C$4:$C$7,MATCH(C375,Background!$A$4:$A$7,0))</f>
        <v>0.325128349391659</v>
      </c>
      <c r="H375" s="49" t="n">
        <f aca="false">LN(F375/G375)</f>
        <v>-3.49652354507369</v>
      </c>
    </row>
    <row r="376" customFormat="false" ht="15" hidden="false" customHeight="true" outlineLevel="0" collapsed="false">
      <c r="A376" s="38" t="s">
        <v>31</v>
      </c>
      <c r="B376" s="38" t="n">
        <v>15</v>
      </c>
      <c r="C376" s="38" t="s">
        <v>172</v>
      </c>
      <c r="D376" s="38" t="s">
        <v>867</v>
      </c>
      <c r="E376" s="38" t="str">
        <f aca="false">B376&amp;"|"&amp;C376</f>
        <v>15|A</v>
      </c>
      <c r="F376" s="45" t="n">
        <f aca="false">INDEX('Emission Stepwise'!$H$2:$H$289,MATCH(E376,'Emission Stepwise'!$C$2:$C$289,0))</f>
        <v>0.168316831683168</v>
      </c>
      <c r="G376" s="45" t="n">
        <f aca="false">INDEX(Background!$C$4:$C$7,MATCH(C376,Background!$A$4:$A$7,0))</f>
        <v>0.185174766157958</v>
      </c>
      <c r="H376" s="49" t="n">
        <f aca="false">LN(F376/G376)</f>
        <v>-0.0954519548849783</v>
      </c>
    </row>
    <row r="377" customFormat="false" ht="15" hidden="false" customHeight="true" outlineLevel="0" collapsed="false">
      <c r="A377" s="38" t="s">
        <v>31</v>
      </c>
      <c r="B377" s="38" t="n">
        <v>16</v>
      </c>
      <c r="C377" s="38" t="s">
        <v>176</v>
      </c>
      <c r="D377" s="38" t="s">
        <v>867</v>
      </c>
      <c r="E377" s="38"/>
      <c r="F377" s="38"/>
      <c r="G377" s="38"/>
      <c r="H377" s="38"/>
    </row>
    <row r="378" customFormat="false" ht="15" hidden="false" customHeight="true" outlineLevel="0" collapsed="false">
      <c r="A378" s="38" t="s">
        <v>31</v>
      </c>
      <c r="B378" s="38" t="n">
        <v>17</v>
      </c>
      <c r="C378" s="38" t="s">
        <v>169</v>
      </c>
      <c r="D378" s="38" t="s">
        <v>867</v>
      </c>
      <c r="E378" s="38" t="str">
        <f aca="false">B378&amp;"|"&amp;C378</f>
        <v>17|G</v>
      </c>
      <c r="F378" s="45" t="n">
        <f aca="false">INDEX('Emission Stepwise'!$H$2:$H$289,MATCH(E378,'Emission Stepwise'!$C$2:$C$289,0))</f>
        <v>0.045</v>
      </c>
      <c r="G378" s="45" t="n">
        <f aca="false">INDEX(Background!$C$4:$C$7,MATCH(C378,Background!$A$4:$A$7,0))</f>
        <v>0.325128349391659</v>
      </c>
      <c r="H378" s="49" t="n">
        <f aca="false">LN(F378/G378)</f>
        <v>-1.97755753580367</v>
      </c>
    </row>
    <row r="379" customFormat="false" ht="15" hidden="false" customHeight="true" outlineLevel="0" collapsed="false">
      <c r="A379" s="38" t="s">
        <v>31</v>
      </c>
      <c r="B379" s="38" t="n">
        <v>18</v>
      </c>
      <c r="C379" s="38" t="s">
        <v>169</v>
      </c>
      <c r="D379" s="38" t="s">
        <v>867</v>
      </c>
      <c r="E379" s="38" t="str">
        <f aca="false">B379&amp;"|"&amp;C379</f>
        <v>18|G</v>
      </c>
      <c r="F379" s="45" t="n">
        <f aca="false">INDEX('Emission Stepwise'!$H$2:$H$289,MATCH(E379,'Emission Stepwise'!$C$2:$C$289,0))</f>
        <v>0.980295566502463</v>
      </c>
      <c r="G379" s="45" t="n">
        <f aca="false">INDEX(Background!$C$4:$C$7,MATCH(C379,Background!$A$4:$A$7,0))</f>
        <v>0.325128349391659</v>
      </c>
      <c r="H379" s="49" t="n">
        <f aca="false">LN(F379/G379)</f>
        <v>1.10363409909085</v>
      </c>
    </row>
    <row r="380" customFormat="false" ht="15" hidden="false" customHeight="true" outlineLevel="0" collapsed="false">
      <c r="A380" s="38" t="s">
        <v>31</v>
      </c>
      <c r="B380" s="38" t="n">
        <v>19</v>
      </c>
      <c r="C380" s="38" t="s">
        <v>169</v>
      </c>
      <c r="D380" s="38" t="s">
        <v>867</v>
      </c>
      <c r="E380" s="38" t="str">
        <f aca="false">B380&amp;"|"&amp;C380</f>
        <v>19|G</v>
      </c>
      <c r="F380" s="45" t="n">
        <f aca="false">INDEX('Emission Stepwise'!$H$2:$H$289,MATCH(E380,'Emission Stepwise'!$C$2:$C$289,0))</f>
        <v>0.970443349753695</v>
      </c>
      <c r="G380" s="45" t="n">
        <f aca="false">INDEX(Background!$C$4:$C$7,MATCH(C380,Background!$A$4:$A$7,0))</f>
        <v>0.325128349391659</v>
      </c>
      <c r="H380" s="49" t="n">
        <f aca="false">LN(F380/G380)</f>
        <v>1.09353300310435</v>
      </c>
    </row>
    <row r="381" customFormat="false" ht="15" hidden="false" customHeight="true" outlineLevel="0" collapsed="false">
      <c r="A381" s="38" t="s">
        <v>31</v>
      </c>
      <c r="B381" s="38" t="n">
        <v>20</v>
      </c>
      <c r="C381" s="38" t="s">
        <v>172</v>
      </c>
      <c r="D381" s="38" t="s">
        <v>867</v>
      </c>
      <c r="E381" s="38" t="str">
        <f aca="false">B381&amp;"|"&amp;C381</f>
        <v>20|A</v>
      </c>
      <c r="F381" s="45" t="n">
        <f aca="false">INDEX('Emission Stepwise'!$H$2:$H$289,MATCH(E381,'Emission Stepwise'!$C$2:$C$289,0))</f>
        <v>0.0891089108910891</v>
      </c>
      <c r="G381" s="45" t="n">
        <f aca="false">INDEX(Background!$C$4:$C$7,MATCH(C381,Background!$A$4:$A$7,0))</f>
        <v>0.185174766157958</v>
      </c>
      <c r="H381" s="49" t="n">
        <f aca="false">LN(F381/G381)</f>
        <v>-0.731440721604975</v>
      </c>
    </row>
    <row r="382" customFormat="false" ht="15" hidden="false" customHeight="true" outlineLevel="0" collapsed="false">
      <c r="A382" s="38" t="s">
        <v>31</v>
      </c>
      <c r="B382" s="38" t="n">
        <v>21</v>
      </c>
      <c r="C382" s="38" t="s">
        <v>171</v>
      </c>
      <c r="D382" s="38" t="s">
        <v>867</v>
      </c>
      <c r="E382" s="38" t="str">
        <f aca="false">B382&amp;"|"&amp;C382</f>
        <v>21|U</v>
      </c>
      <c r="F382" s="45" t="n">
        <f aca="false">INDEX('Emission Stepwise'!$H$2:$H$289,MATCH(E382,'Emission Stepwise'!$C$2:$C$289,0))</f>
        <v>0.0541871921182266</v>
      </c>
      <c r="G382" s="45" t="n">
        <f aca="false">INDEX(Background!$C$4:$C$7,MATCH(C382,Background!$A$4:$A$7,0))</f>
        <v>0.212884169069555</v>
      </c>
      <c r="H382" s="49" t="n">
        <f aca="false">LN(F382/G382)</f>
        <v>-1.36830363786876</v>
      </c>
    </row>
    <row r="383" customFormat="false" ht="15" hidden="false" customHeight="true" outlineLevel="0" collapsed="false">
      <c r="A383" s="38" t="s">
        <v>31</v>
      </c>
      <c r="B383" s="38" t="n">
        <v>22</v>
      </c>
      <c r="C383" s="38" t="s">
        <v>171</v>
      </c>
      <c r="D383" s="38" t="s">
        <v>867</v>
      </c>
      <c r="E383" s="38" t="str">
        <f aca="false">B383&amp;"|"&amp;C383</f>
        <v>22|U</v>
      </c>
      <c r="F383" s="45" t="n">
        <f aca="false">INDEX('Emission Stepwise'!$H$2:$H$289,MATCH(E383,'Emission Stepwise'!$C$2:$C$289,0))</f>
        <v>0.0738916256157636</v>
      </c>
      <c r="G383" s="45" t="n">
        <f aca="false">INDEX(Background!$C$4:$C$7,MATCH(C383,Background!$A$4:$A$7,0))</f>
        <v>0.212884169069555</v>
      </c>
      <c r="H383" s="49" t="n">
        <f aca="false">LN(F383/G383)</f>
        <v>-1.05814870956492</v>
      </c>
    </row>
    <row r="384" customFormat="false" ht="15" hidden="false" customHeight="true" outlineLevel="0" collapsed="false">
      <c r="A384" s="38" t="s">
        <v>31</v>
      </c>
      <c r="B384" s="38" t="n">
        <v>23</v>
      </c>
      <c r="C384" s="38" t="s">
        <v>169</v>
      </c>
      <c r="D384" s="38" t="s">
        <v>867</v>
      </c>
      <c r="E384" s="38" t="str">
        <f aca="false">B384&amp;"|"&amp;C384</f>
        <v>23|G</v>
      </c>
      <c r="F384" s="45" t="n">
        <f aca="false">INDEX('Emission Stepwise'!$H$2:$H$289,MATCH(E384,'Emission Stepwise'!$C$2:$C$289,0))</f>
        <v>0.147783251231527</v>
      </c>
      <c r="G384" s="45" t="n">
        <f aca="false">INDEX(Background!$C$4:$C$7,MATCH(C384,Background!$A$4:$A$7,0))</f>
        <v>0.325128349391659</v>
      </c>
      <c r="H384" s="49" t="n">
        <f aca="false">LN(F384/G384)</f>
        <v>-0.788473343971483</v>
      </c>
    </row>
    <row r="385" customFormat="false" ht="15" hidden="false" customHeight="true" outlineLevel="0" collapsed="false">
      <c r="A385" s="38" t="s">
        <v>31</v>
      </c>
      <c r="B385" s="38" t="n">
        <v>24</v>
      </c>
      <c r="C385" s="38" t="s">
        <v>172</v>
      </c>
      <c r="D385" s="38" t="s">
        <v>867</v>
      </c>
      <c r="E385" s="38" t="str">
        <f aca="false">B385&amp;"|"&amp;C385</f>
        <v>24|A</v>
      </c>
      <c r="F385" s="45" t="n">
        <f aca="false">INDEX('Emission Stepwise'!$H$2:$H$289,MATCH(E385,'Emission Stepwise'!$C$2:$C$289,0))</f>
        <v>0.187192118226601</v>
      </c>
      <c r="G385" s="45" t="n">
        <f aca="false">INDEX(Background!$C$4:$C$7,MATCH(C385,Background!$A$4:$A$7,0))</f>
        <v>0.185174766157958</v>
      </c>
      <c r="H385" s="49" t="n">
        <f aca="false">LN(F385/G385)</f>
        <v>0.0108353985846635</v>
      </c>
    </row>
    <row r="386" customFormat="false" ht="15" hidden="false" customHeight="true" outlineLevel="0" collapsed="false">
      <c r="A386" s="38" t="s">
        <v>31</v>
      </c>
      <c r="B386" s="38" t="n">
        <v>25</v>
      </c>
      <c r="C386" s="38" t="s">
        <v>171</v>
      </c>
      <c r="D386" s="38" t="s">
        <v>867</v>
      </c>
      <c r="E386" s="38" t="str">
        <f aca="false">B386&amp;"|"&amp;C386</f>
        <v>25|U</v>
      </c>
      <c r="F386" s="45" t="n">
        <f aca="false">INDEX('Emission Stepwise'!$H$2:$H$289,MATCH(E386,'Emission Stepwise'!$C$2:$C$289,0))</f>
        <v>0.0738916256157636</v>
      </c>
      <c r="G386" s="45" t="n">
        <f aca="false">INDEX(Background!$C$4:$C$7,MATCH(C386,Background!$A$4:$A$7,0))</f>
        <v>0.212884169069555</v>
      </c>
      <c r="H386" s="49" t="n">
        <f aca="false">LN(F386/G386)</f>
        <v>-1.05814870956492</v>
      </c>
    </row>
    <row r="387" customFormat="false" ht="15" hidden="false" customHeight="true" outlineLevel="0" collapsed="false">
      <c r="A387" s="38" t="s">
        <v>31</v>
      </c>
      <c r="B387" s="38" t="n">
        <v>26</v>
      </c>
      <c r="C387" s="38" t="s">
        <v>172</v>
      </c>
      <c r="D387" s="38" t="s">
        <v>868</v>
      </c>
      <c r="E387" s="38" t="str">
        <f aca="false">B387&amp;"|"&amp;C387</f>
        <v>26|A</v>
      </c>
      <c r="F387" s="45" t="n">
        <f aca="false">INDEX('Emission Stepwise'!$H$2:$H$289,MATCH(E387,'Emission Stepwise'!$C$2:$C$289,0))</f>
        <v>0.413793103448276</v>
      </c>
      <c r="G387" s="45" t="n">
        <f aca="false">INDEX(Background!$C$4:$C$7,MATCH(C387,Background!$A$4:$A$7,0))</f>
        <v>0.185174766157958</v>
      </c>
      <c r="H387" s="49" t="n">
        <f aca="false">LN(F387/G387)</f>
        <v>0.804066037701591</v>
      </c>
    </row>
    <row r="388" customFormat="false" ht="15" hidden="false" customHeight="true" outlineLevel="0" collapsed="false">
      <c r="A388" s="38" t="s">
        <v>31</v>
      </c>
      <c r="B388" s="38" t="n">
        <v>27</v>
      </c>
      <c r="C388" s="38" t="s">
        <v>170</v>
      </c>
      <c r="D388" s="38" t="s">
        <v>868</v>
      </c>
      <c r="E388" s="38" t="str">
        <f aca="false">B388&amp;"|"&amp;C388</f>
        <v>27|C</v>
      </c>
      <c r="F388" s="45" t="n">
        <f aca="false">INDEX('Emission Stepwise'!$H$2:$H$289,MATCH(E388,'Emission Stepwise'!$C$2:$C$289,0))</f>
        <v>0.463054187192118</v>
      </c>
      <c r="G388" s="45" t="n">
        <f aca="false">INDEX(Background!$C$4:$C$7,MATCH(C388,Background!$A$4:$A$7,0))</f>
        <v>0.276812715380828</v>
      </c>
      <c r="H388" s="49" t="n">
        <f aca="false">LN(F388/G388)</f>
        <v>0.514502922452447</v>
      </c>
    </row>
    <row r="389" customFormat="false" ht="15" hidden="false" customHeight="true" outlineLevel="0" collapsed="false">
      <c r="A389" s="38" t="s">
        <v>31</v>
      </c>
      <c r="B389" s="38" t="n">
        <v>28</v>
      </c>
      <c r="C389" s="38" t="s">
        <v>170</v>
      </c>
      <c r="D389" s="38" t="s">
        <v>868</v>
      </c>
      <c r="E389" s="38" t="str">
        <f aca="false">B389&amp;"|"&amp;C389</f>
        <v>28|C</v>
      </c>
      <c r="F389" s="45" t="n">
        <f aca="false">INDEX('Emission Stepwise'!$H$2:$H$289,MATCH(E389,'Emission Stepwise'!$C$2:$C$289,0))</f>
        <v>0.512315270935961</v>
      </c>
      <c r="G389" s="45" t="n">
        <f aca="false">INDEX(Background!$C$4:$C$7,MATCH(C389,Background!$A$4:$A$7,0))</f>
        <v>0.276812715380828</v>
      </c>
      <c r="H389" s="49" t="n">
        <f aca="false">LN(F389/G389)</f>
        <v>0.615599039323816</v>
      </c>
    </row>
    <row r="390" customFormat="false" ht="15" hidden="false" customHeight="true" outlineLevel="0" collapsed="false">
      <c r="A390" s="38" t="s">
        <v>31</v>
      </c>
      <c r="B390" s="38" t="n">
        <v>29</v>
      </c>
      <c r="C390" s="38" t="s">
        <v>169</v>
      </c>
      <c r="D390" s="38" t="s">
        <v>868</v>
      </c>
      <c r="E390" s="38" t="str">
        <f aca="false">B390&amp;"|"&amp;C390</f>
        <v>29|G</v>
      </c>
      <c r="F390" s="45" t="n">
        <f aca="false">INDEX('Emission Stepwise'!$H$2:$H$289,MATCH(E390,'Emission Stepwise'!$C$2:$C$289,0))</f>
        <v>0.38423645320197</v>
      </c>
      <c r="G390" s="45" t="n">
        <f aca="false">INDEX(Background!$C$4:$C$7,MATCH(C390,Background!$A$4:$A$7,0))</f>
        <v>0.325128349391659</v>
      </c>
      <c r="H390" s="49" t="n">
        <f aca="false">LN(F390/G390)</f>
        <v>0.167038101055953</v>
      </c>
    </row>
    <row r="391" customFormat="false" ht="15" hidden="false" customHeight="true" outlineLevel="0" collapsed="false">
      <c r="A391" s="38" t="s">
        <v>31</v>
      </c>
      <c r="B391" s="38" t="n">
        <v>30</v>
      </c>
      <c r="C391" s="38" t="s">
        <v>170</v>
      </c>
      <c r="D391" s="38" t="s">
        <v>868</v>
      </c>
      <c r="E391" s="38" t="str">
        <f aca="false">B391&amp;"|"&amp;C391</f>
        <v>30|C</v>
      </c>
      <c r="F391" s="45" t="n">
        <f aca="false">INDEX('Emission Stepwise'!$H$2:$H$289,MATCH(E391,'Emission Stepwise'!$C$2:$C$289,0))</f>
        <v>0.211822660098522</v>
      </c>
      <c r="G391" s="45" t="n">
        <f aca="false">INDEX(Background!$C$4:$C$7,MATCH(C391,Background!$A$4:$A$7,0))</f>
        <v>0.276812715380828</v>
      </c>
      <c r="H391" s="49" t="n">
        <f aca="false">LN(F391/G391)</f>
        <v>-0.267591744123995</v>
      </c>
    </row>
    <row r="392" customFormat="false" ht="15" hidden="false" customHeight="true" outlineLevel="0" collapsed="false">
      <c r="A392" s="38" t="s">
        <v>31</v>
      </c>
      <c r="B392" s="38" t="n">
        <v>31</v>
      </c>
      <c r="C392" s="38" t="s">
        <v>171</v>
      </c>
      <c r="D392" s="38" t="s">
        <v>868</v>
      </c>
      <c r="E392" s="38" t="str">
        <f aca="false">B392&amp;"|"&amp;C392</f>
        <v>31|U</v>
      </c>
      <c r="F392" s="45" t="n">
        <f aca="false">INDEX('Emission Stepwise'!$H$2:$H$289,MATCH(E392,'Emission Stepwise'!$C$2:$C$289,0))</f>
        <v>0.0985221674876847</v>
      </c>
      <c r="G392" s="45" t="n">
        <f aca="false">INDEX(Background!$C$4:$C$7,MATCH(C392,Background!$A$4:$A$7,0))</f>
        <v>0.212884169069555</v>
      </c>
      <c r="H392" s="49" t="n">
        <f aca="false">LN(F392/G392)</f>
        <v>-0.770466637113141</v>
      </c>
    </row>
    <row r="393" customFormat="false" ht="15" hidden="false" customHeight="true" outlineLevel="0" collapsed="false">
      <c r="A393" s="38" t="s">
        <v>31</v>
      </c>
      <c r="B393" s="38" t="n">
        <v>32</v>
      </c>
      <c r="C393" s="38" t="s">
        <v>171</v>
      </c>
      <c r="D393" s="38" t="s">
        <v>868</v>
      </c>
      <c r="E393" s="38" t="str">
        <f aca="false">B393&amp;"|"&amp;C393</f>
        <v>32|U</v>
      </c>
      <c r="F393" s="45" t="n">
        <f aca="false">INDEX('Emission Stepwise'!$H$2:$H$289,MATCH(E393,'Emission Stepwise'!$C$2:$C$289,0))</f>
        <v>0.295566502463054</v>
      </c>
      <c r="G393" s="45" t="n">
        <f aca="false">INDEX(Background!$C$4:$C$7,MATCH(C393,Background!$A$4:$A$7,0))</f>
        <v>0.212884169069555</v>
      </c>
      <c r="H393" s="49" t="n">
        <f aca="false">LN(F393/G393)</f>
        <v>0.328145651554969</v>
      </c>
    </row>
    <row r="394" customFormat="false" ht="15" hidden="false" customHeight="true" outlineLevel="0" collapsed="false">
      <c r="A394" s="38" t="s">
        <v>31</v>
      </c>
      <c r="B394" s="38" t="n">
        <v>33</v>
      </c>
      <c r="C394" s="38" t="s">
        <v>170</v>
      </c>
      <c r="D394" s="38" t="s">
        <v>868</v>
      </c>
      <c r="E394" s="38" t="str">
        <f aca="false">B394&amp;"|"&amp;C394</f>
        <v>33|C</v>
      </c>
      <c r="F394" s="45" t="n">
        <f aca="false">INDEX('Emission Stepwise'!$H$2:$H$289,MATCH(E394,'Emission Stepwise'!$C$2:$C$289,0))</f>
        <v>0.00985221674876847</v>
      </c>
      <c r="G394" s="45" t="n">
        <f aca="false">INDEX(Background!$C$4:$C$7,MATCH(C394,Background!$A$4:$A$7,0))</f>
        <v>0.276812715380828</v>
      </c>
      <c r="H394" s="49" t="n">
        <f aca="false">LN(F394/G394)</f>
        <v>-3.33564467925761</v>
      </c>
    </row>
    <row r="395" customFormat="false" ht="15" hidden="false" customHeight="true" outlineLevel="0" collapsed="false">
      <c r="A395" s="38" t="s">
        <v>31</v>
      </c>
      <c r="B395" s="38" t="n">
        <v>34</v>
      </c>
      <c r="C395" s="38" t="s">
        <v>170</v>
      </c>
      <c r="D395" s="38" t="s">
        <v>868</v>
      </c>
      <c r="E395" s="38" t="str">
        <f aca="false">B395&amp;"|"&amp;C395</f>
        <v>34|C</v>
      </c>
      <c r="F395" s="45" t="n">
        <f aca="false">INDEX('Emission Stepwise'!$H$2:$H$289,MATCH(E395,'Emission Stepwise'!$C$2:$C$289,0))</f>
        <v>0.330049261083744</v>
      </c>
      <c r="G395" s="45" t="n">
        <f aca="false">INDEX(Background!$C$4:$C$7,MATCH(C395,Background!$A$4:$A$7,0))</f>
        <v>0.276812715380828</v>
      </c>
      <c r="H395" s="49" t="n">
        <f aca="false">LN(F395/G395)</f>
        <v>0.175900759573409</v>
      </c>
    </row>
    <row r="396" customFormat="false" ht="15" hidden="false" customHeight="true" outlineLevel="0" collapsed="false">
      <c r="A396" s="38" t="s">
        <v>31</v>
      </c>
      <c r="B396" s="38" t="n">
        <v>35</v>
      </c>
      <c r="C396" s="38" t="s">
        <v>171</v>
      </c>
      <c r="D396" s="38" t="s">
        <v>868</v>
      </c>
      <c r="E396" s="38" t="str">
        <f aca="false">B396&amp;"|"&amp;C396</f>
        <v>35|U</v>
      </c>
      <c r="F396" s="45" t="n">
        <f aca="false">INDEX('Emission Stepwise'!$H$2:$H$289,MATCH(E396,'Emission Stepwise'!$C$2:$C$289,0))</f>
        <v>0.206896551724138</v>
      </c>
      <c r="G396" s="45" t="n">
        <f aca="false">INDEX(Background!$C$4:$C$7,MATCH(C396,Background!$A$4:$A$7,0))</f>
        <v>0.212884169069555</v>
      </c>
      <c r="H396" s="49" t="n">
        <f aca="false">LN(F396/G396)</f>
        <v>-0.0285292923837632</v>
      </c>
    </row>
    <row r="397" customFormat="false" ht="15" hidden="false" customHeight="true" outlineLevel="0" collapsed="false">
      <c r="A397" s="38" t="s">
        <v>31</v>
      </c>
      <c r="B397" s="38" t="n">
        <v>36</v>
      </c>
      <c r="C397" s="38" t="s">
        <v>172</v>
      </c>
      <c r="D397" s="38" t="s">
        <v>868</v>
      </c>
      <c r="E397" s="38" t="str">
        <f aca="false">B397&amp;"|"&amp;C397</f>
        <v>36|A</v>
      </c>
      <c r="F397" s="45" t="n">
        <f aca="false">INDEX('Emission Stepwise'!$H$2:$H$289,MATCH(E397,'Emission Stepwise'!$C$2:$C$289,0))</f>
        <v>0.216748768472906</v>
      </c>
      <c r="G397" s="45" t="n">
        <f aca="false">INDEX(Background!$C$4:$C$7,MATCH(C397,Background!$A$4:$A$7,0))</f>
        <v>0.185174766157958</v>
      </c>
      <c r="H397" s="49" t="n">
        <f aca="false">LN(F397/G397)</f>
        <v>0.157438872776539</v>
      </c>
    </row>
    <row r="398" customFormat="false" ht="15" hidden="false" customHeight="true" outlineLevel="0" collapsed="false">
      <c r="A398" s="38" t="s">
        <v>31</v>
      </c>
      <c r="B398" s="38" t="n">
        <v>37</v>
      </c>
      <c r="C398" s="38" t="s">
        <v>169</v>
      </c>
      <c r="D398" s="38" t="s">
        <v>868</v>
      </c>
      <c r="E398" s="38" t="str">
        <f aca="false">B398&amp;"|"&amp;C398</f>
        <v>37|G</v>
      </c>
      <c r="F398" s="45" t="n">
        <f aca="false">INDEX('Emission Stepwise'!$H$2:$H$289,MATCH(E398,'Emission Stepwise'!$C$2:$C$289,0))</f>
        <v>0.241379310344828</v>
      </c>
      <c r="G398" s="45" t="n">
        <f aca="false">INDEX(Background!$C$4:$C$7,MATCH(C398,Background!$A$4:$A$7,0))</f>
        <v>0.325128349391659</v>
      </c>
      <c r="H398" s="49" t="n">
        <f aca="false">LN(F398/G398)</f>
        <v>-0.297850427523012</v>
      </c>
    </row>
    <row r="399" customFormat="false" ht="15" hidden="false" customHeight="true" outlineLevel="0" collapsed="false">
      <c r="A399" s="38" t="s">
        <v>31</v>
      </c>
      <c r="B399" s="38" t="n">
        <v>38</v>
      </c>
      <c r="C399" s="38" t="s">
        <v>169</v>
      </c>
      <c r="D399" s="38" t="s">
        <v>868</v>
      </c>
      <c r="E399" s="38" t="str">
        <f aca="false">B399&amp;"|"&amp;C399</f>
        <v>38|G</v>
      </c>
      <c r="F399" s="45" t="n">
        <f aca="false">INDEX('Emission Stepwise'!$H$2:$H$289,MATCH(E399,'Emission Stepwise'!$C$2:$C$289,0))</f>
        <v>0.00985221674876847</v>
      </c>
      <c r="G399" s="45" t="n">
        <f aca="false">INDEX(Background!$C$4:$C$7,MATCH(C399,Background!$A$4:$A$7,0))</f>
        <v>0.325128349391659</v>
      </c>
      <c r="H399" s="49" t="n">
        <f aca="false">LN(F399/G399)</f>
        <v>-3.49652354507369</v>
      </c>
    </row>
    <row r="400" customFormat="false" ht="15" hidden="false" customHeight="true" outlineLevel="0" collapsed="false">
      <c r="A400" s="38" t="s">
        <v>31</v>
      </c>
      <c r="B400" s="38" t="n">
        <v>39</v>
      </c>
      <c r="C400" s="38" t="s">
        <v>169</v>
      </c>
      <c r="D400" s="38" t="s">
        <v>868</v>
      </c>
      <c r="E400" s="38" t="str">
        <f aca="false">B400&amp;"|"&amp;C400</f>
        <v>39|G</v>
      </c>
      <c r="F400" s="45" t="n">
        <f aca="false">INDEX('Emission Stepwise'!$H$2:$H$289,MATCH(E400,'Emission Stepwise'!$C$2:$C$289,0))</f>
        <v>0.359605911330049</v>
      </c>
      <c r="G400" s="45" t="n">
        <f aca="false">INDEX(Background!$C$4:$C$7,MATCH(C400,Background!$A$4:$A$7,0))</f>
        <v>0.325128349391659</v>
      </c>
      <c r="H400" s="49" t="n">
        <f aca="false">LN(F400/G400)</f>
        <v>0.100788715514753</v>
      </c>
    </row>
    <row r="401" customFormat="false" ht="15" hidden="false" customHeight="true" outlineLevel="0" collapsed="false">
      <c r="A401" s="38" t="s">
        <v>31</v>
      </c>
      <c r="B401" s="38" t="n">
        <v>40</v>
      </c>
      <c r="C401" s="38" t="s">
        <v>169</v>
      </c>
      <c r="D401" s="38" t="s">
        <v>868</v>
      </c>
      <c r="E401" s="38" t="str">
        <f aca="false">B401&amp;"|"&amp;C401</f>
        <v>40|G</v>
      </c>
      <c r="F401" s="45" t="n">
        <f aca="false">INDEX('Emission Stepwise'!$H$2:$H$289,MATCH(E401,'Emission Stepwise'!$C$2:$C$289,0))</f>
        <v>0.236453201970443</v>
      </c>
      <c r="G401" s="45" t="n">
        <f aca="false">INDEX(Background!$C$4:$C$7,MATCH(C401,Background!$A$4:$A$7,0))</f>
        <v>0.325128349391659</v>
      </c>
      <c r="H401" s="49" t="n">
        <f aca="false">LN(F401/G401)</f>
        <v>-0.318469714725747</v>
      </c>
    </row>
    <row r="402" customFormat="false" ht="15" hidden="false" customHeight="true" outlineLevel="0" collapsed="false">
      <c r="A402" s="38" t="s">
        <v>31</v>
      </c>
      <c r="B402" s="38" t="n">
        <v>41</v>
      </c>
      <c r="C402" s="38" t="s">
        <v>171</v>
      </c>
      <c r="D402" s="38" t="s">
        <v>868</v>
      </c>
      <c r="E402" s="38" t="str">
        <f aca="false">B402&amp;"|"&amp;C402</f>
        <v>41|U</v>
      </c>
      <c r="F402" s="45" t="n">
        <f aca="false">INDEX('Emission Stepwise'!$H$2:$H$289,MATCH(E402,'Emission Stepwise'!$C$2:$C$289,0))</f>
        <v>0.167487684729064</v>
      </c>
      <c r="G402" s="45" t="n">
        <f aca="false">INDEX(Background!$C$4:$C$7,MATCH(C402,Background!$A$4:$A$7,0))</f>
        <v>0.212884169069555</v>
      </c>
      <c r="H402" s="49" t="n">
        <f aca="false">LN(F402/G402)</f>
        <v>-0.23983838605097</v>
      </c>
    </row>
    <row r="403" customFormat="false" ht="15" hidden="false" customHeight="true" outlineLevel="0" collapsed="false">
      <c r="A403" s="38" t="s">
        <v>31</v>
      </c>
      <c r="B403" s="38" t="n">
        <v>42</v>
      </c>
      <c r="C403" s="38" t="s">
        <v>169</v>
      </c>
      <c r="D403" s="38" t="s">
        <v>868</v>
      </c>
      <c r="E403" s="38" t="str">
        <f aca="false">B403&amp;"|"&amp;C403</f>
        <v>42|G</v>
      </c>
      <c r="F403" s="45" t="n">
        <f aca="false">INDEX('Emission Stepwise'!$H$2:$H$289,MATCH(E403,'Emission Stepwise'!$C$2:$C$289,0))</f>
        <v>0.522167487684729</v>
      </c>
      <c r="G403" s="45" t="n">
        <f aca="false">INDEX(Background!$C$4:$C$7,MATCH(C403,Background!$A$4:$A$7,0))</f>
        <v>0.325128349391659</v>
      </c>
      <c r="H403" s="49" t="n">
        <f aca="false">LN(F403/G403)</f>
        <v>0.473768368478429</v>
      </c>
    </row>
    <row r="404" customFormat="false" ht="15" hidden="false" customHeight="true" outlineLevel="0" collapsed="false">
      <c r="A404" s="38" t="s">
        <v>31</v>
      </c>
      <c r="B404" s="38" t="n">
        <v>43</v>
      </c>
      <c r="C404" s="38" t="s">
        <v>169</v>
      </c>
      <c r="D404" s="38" t="s">
        <v>868</v>
      </c>
      <c r="E404" s="38" t="str">
        <f aca="false">B404&amp;"|"&amp;C404</f>
        <v>43|G</v>
      </c>
      <c r="F404" s="45" t="n">
        <f aca="false">INDEX('Emission Stepwise'!$H$2:$H$289,MATCH(E404,'Emission Stepwise'!$C$2:$C$289,0))</f>
        <v>0.492610837438424</v>
      </c>
      <c r="G404" s="45" t="n">
        <f aca="false">INDEX(Background!$C$4:$C$7,MATCH(C404,Background!$A$4:$A$7,0))</f>
        <v>0.325128349391659</v>
      </c>
      <c r="H404" s="49" t="n">
        <f aca="false">LN(F404/G404)</f>
        <v>0.415499460354453</v>
      </c>
    </row>
    <row r="405" customFormat="false" ht="15" hidden="false" customHeight="true" outlineLevel="0" collapsed="false">
      <c r="A405" s="38" t="s">
        <v>31</v>
      </c>
      <c r="B405" s="38" t="n">
        <v>44</v>
      </c>
      <c r="C405" s="38" t="s">
        <v>170</v>
      </c>
      <c r="D405" s="38" t="s">
        <v>868</v>
      </c>
      <c r="E405" s="38" t="str">
        <f aca="false">B405&amp;"|"&amp;C405</f>
        <v>44|C</v>
      </c>
      <c r="F405" s="45" t="n">
        <f aca="false">INDEX('Emission Stepwise'!$H$2:$H$289,MATCH(E405,'Emission Stepwise'!$C$2:$C$289,0))</f>
        <v>0.157635467980296</v>
      </c>
      <c r="G405" s="45" t="n">
        <f aca="false">INDEX(Background!$C$4:$C$7,MATCH(C405,Background!$A$4:$A$7,0))</f>
        <v>0.276812715380828</v>
      </c>
      <c r="H405" s="49" t="n">
        <f aca="false">LN(F405/G405)</f>
        <v>-0.56305595701783</v>
      </c>
    </row>
    <row r="406" customFormat="false" ht="15" hidden="false" customHeight="true" outlineLevel="0" collapsed="false">
      <c r="A406" s="38" t="s">
        <v>31</v>
      </c>
      <c r="B406" s="38" t="n">
        <v>45</v>
      </c>
      <c r="C406" s="38" t="s">
        <v>170</v>
      </c>
      <c r="D406" s="38" t="s">
        <v>869</v>
      </c>
      <c r="E406" s="38" t="str">
        <f aca="false">B406&amp;"|"&amp;C406</f>
        <v>45|C</v>
      </c>
      <c r="F406" s="45" t="n">
        <f aca="false">INDEX('Emission Stepwise'!$H$2:$H$289,MATCH(E406,'Emission Stepwise'!$C$2:$C$289,0))</f>
        <v>0.0298507462686567</v>
      </c>
      <c r="G406" s="45" t="n">
        <f aca="false">INDEX(Background!$C$4:$C$7,MATCH(C406,Background!$A$4:$A$7,0))</f>
        <v>0.276812715380828</v>
      </c>
      <c r="H406" s="49" t="n">
        <f aca="false">LN(F406/G406)</f>
        <v>-2.22713131960679</v>
      </c>
    </row>
    <row r="407" customFormat="false" ht="15" hidden="false" customHeight="true" outlineLevel="0" collapsed="false">
      <c r="A407" s="38" t="s">
        <v>31</v>
      </c>
      <c r="B407" s="38" t="n">
        <v>46</v>
      </c>
      <c r="C407" s="38" t="s">
        <v>169</v>
      </c>
      <c r="D407" s="38" t="s">
        <v>869</v>
      </c>
      <c r="E407" s="38" t="str">
        <f aca="false">B407&amp;"|"&amp;C407</f>
        <v>46|G</v>
      </c>
      <c r="F407" s="45" t="n">
        <f aca="false">INDEX('Emission Stepwise'!$H$2:$H$289,MATCH(E407,'Emission Stepwise'!$C$2:$C$289,0))</f>
        <v>0.796511627906977</v>
      </c>
      <c r="G407" s="45" t="n">
        <f aca="false">INDEX(Background!$C$4:$C$7,MATCH(C407,Background!$A$4:$A$7,0))</f>
        <v>0.325128349391659</v>
      </c>
      <c r="H407" s="49" t="n">
        <f aca="false">LN(F407/G407)</f>
        <v>0.896021702422821</v>
      </c>
    </row>
    <row r="408" customFormat="false" ht="15" hidden="false" customHeight="true" outlineLevel="0" collapsed="false">
      <c r="A408" s="38" t="s">
        <v>31</v>
      </c>
      <c r="B408" s="38" t="n">
        <v>47</v>
      </c>
      <c r="C408" s="38" t="s">
        <v>169</v>
      </c>
      <c r="D408" s="38" t="s">
        <v>869</v>
      </c>
      <c r="E408" s="38" t="str">
        <f aca="false">B408&amp;"|"&amp;C408</f>
        <v>47|G</v>
      </c>
      <c r="F408" s="45" t="n">
        <f aca="false">INDEX('Emission Stepwise'!$H$2:$H$289,MATCH(E408,'Emission Stepwise'!$C$2:$C$289,0))</f>
        <v>0.083743842364532</v>
      </c>
      <c r="G408" s="45" t="n">
        <f aca="false">INDEX(Background!$C$4:$C$7,MATCH(C408,Background!$A$4:$A$7,0))</f>
        <v>0.325128349391659</v>
      </c>
      <c r="H408" s="49" t="n">
        <f aca="false">LN(F408/G408)</f>
        <v>-1.35645738157742</v>
      </c>
    </row>
    <row r="409" customFormat="false" ht="15" hidden="false" customHeight="true" outlineLevel="0" collapsed="false">
      <c r="A409" s="38" t="s">
        <v>31</v>
      </c>
      <c r="B409" s="38" t="n">
        <v>48</v>
      </c>
      <c r="C409" s="38" t="s">
        <v>171</v>
      </c>
      <c r="D409" s="38" t="s">
        <v>869</v>
      </c>
      <c r="E409" s="38" t="str">
        <f aca="false">B409&amp;"|"&amp;C409</f>
        <v>48|U</v>
      </c>
      <c r="F409" s="45" t="n">
        <f aca="false">INDEX('Emission Stepwise'!$H$2:$H$289,MATCH(E409,'Emission Stepwise'!$C$2:$C$289,0))</f>
        <v>0.147783251231527</v>
      </c>
      <c r="G409" s="45" t="n">
        <f aca="false">INDEX(Background!$C$4:$C$7,MATCH(C409,Background!$A$4:$A$7,0))</f>
        <v>0.212884169069555</v>
      </c>
      <c r="H409" s="49" t="n">
        <f aca="false">LN(F409/G409)</f>
        <v>-0.365001529004976</v>
      </c>
    </row>
    <row r="410" customFormat="false" ht="15" hidden="false" customHeight="true" outlineLevel="0" collapsed="false">
      <c r="A410" s="38" t="s">
        <v>31</v>
      </c>
      <c r="B410" s="38" t="n">
        <v>49</v>
      </c>
      <c r="C410" s="38" t="s">
        <v>172</v>
      </c>
      <c r="D410" s="38" t="s">
        <v>870</v>
      </c>
      <c r="E410" s="38" t="str">
        <f aca="false">B410&amp;"|"&amp;C410</f>
        <v>49|A</v>
      </c>
      <c r="F410" s="45" t="n">
        <f aca="false">INDEX('Emission Stepwise'!$H$2:$H$289,MATCH(E410,'Emission Stepwise'!$C$2:$C$289,0))</f>
        <v>0.157635467980296</v>
      </c>
      <c r="G410" s="45" t="n">
        <f aca="false">INDEX(Background!$C$4:$C$7,MATCH(C410,Background!$A$4:$A$7,0))</f>
        <v>0.185174766157958</v>
      </c>
      <c r="H410" s="49" t="n">
        <f aca="false">LN(F410/G410)</f>
        <v>-0.161014858341996</v>
      </c>
    </row>
    <row r="411" customFormat="false" ht="15" hidden="false" customHeight="true" outlineLevel="0" collapsed="false">
      <c r="A411" s="38" t="s">
        <v>31</v>
      </c>
      <c r="B411" s="38" t="n">
        <v>50</v>
      </c>
      <c r="C411" s="38" t="s">
        <v>172</v>
      </c>
      <c r="D411" s="38" t="s">
        <v>870</v>
      </c>
      <c r="E411" s="38" t="str">
        <f aca="false">B411&amp;"|"&amp;C411</f>
        <v>50|A</v>
      </c>
      <c r="F411" s="45" t="n">
        <f aca="false">INDEX('Emission Stepwise'!$H$2:$H$289,MATCH(E411,'Emission Stepwise'!$C$2:$C$289,0))</f>
        <v>0.118226600985222</v>
      </c>
      <c r="G411" s="45" t="n">
        <f aca="false">INDEX(Background!$C$4:$C$7,MATCH(C411,Background!$A$4:$A$7,0))</f>
        <v>0.185174766157958</v>
      </c>
      <c r="H411" s="49" t="n">
        <f aca="false">LN(F411/G411)</f>
        <v>-0.448696930793777</v>
      </c>
    </row>
    <row r="412" customFormat="false" ht="15" hidden="false" customHeight="true" outlineLevel="0" collapsed="false">
      <c r="A412" s="38" t="s">
        <v>31</v>
      </c>
      <c r="B412" s="38" t="n">
        <v>51</v>
      </c>
      <c r="C412" s="38" t="s">
        <v>169</v>
      </c>
      <c r="D412" s="38" t="s">
        <v>870</v>
      </c>
      <c r="E412" s="38" t="str">
        <f aca="false">B412&amp;"|"&amp;C412</f>
        <v>51|G</v>
      </c>
      <c r="F412" s="45" t="n">
        <f aca="false">INDEX('Emission Stepwise'!$H$2:$H$289,MATCH(E412,'Emission Stepwise'!$C$2:$C$289,0))</f>
        <v>0.495049504950495</v>
      </c>
      <c r="G412" s="45" t="n">
        <f aca="false">INDEX(Background!$C$4:$C$7,MATCH(C412,Background!$A$4:$A$7,0))</f>
        <v>0.325128349391659</v>
      </c>
      <c r="H412" s="49" t="n">
        <f aca="false">LN(F412/G412)</f>
        <v>0.420437741995036</v>
      </c>
    </row>
    <row r="413" customFormat="false" ht="15" hidden="false" customHeight="true" outlineLevel="0" collapsed="false">
      <c r="A413" s="38" t="s">
        <v>31</v>
      </c>
      <c r="B413" s="38" t="n">
        <v>52</v>
      </c>
      <c r="C413" s="38" t="s">
        <v>169</v>
      </c>
      <c r="D413" s="38" t="s">
        <v>870</v>
      </c>
      <c r="E413" s="38" t="str">
        <f aca="false">B413&amp;"|"&amp;C413</f>
        <v>52|G</v>
      </c>
      <c r="F413" s="45" t="n">
        <f aca="false">INDEX('Emission Stepwise'!$H$2:$H$289,MATCH(E413,'Emission Stepwise'!$C$2:$C$289,0))</f>
        <v>0.827586206896552</v>
      </c>
      <c r="G413" s="45" t="n">
        <f aca="false">INDEX(Background!$C$4:$C$7,MATCH(C413,Background!$A$4:$A$7,0))</f>
        <v>0.325128349391659</v>
      </c>
      <c r="H413" s="49" t="n">
        <f aca="false">LN(F413/G413)</f>
        <v>0.934293253769621</v>
      </c>
    </row>
    <row r="414" customFormat="false" ht="15" hidden="false" customHeight="true" outlineLevel="0" collapsed="false">
      <c r="A414" s="38" t="s">
        <v>31</v>
      </c>
      <c r="B414" s="38" t="n">
        <v>53</v>
      </c>
      <c r="C414" s="38" t="s">
        <v>169</v>
      </c>
      <c r="D414" s="38" t="s">
        <v>870</v>
      </c>
      <c r="E414" s="38" t="str">
        <f aca="false">B414&amp;"|"&amp;C414</f>
        <v>53|G</v>
      </c>
      <c r="F414" s="45" t="n">
        <f aca="false">INDEX('Emission Stepwise'!$H$2:$H$289,MATCH(E414,'Emission Stepwise'!$C$2:$C$289,0))</f>
        <v>0.96551724137931</v>
      </c>
      <c r="G414" s="45" t="n">
        <f aca="false">INDEX(Background!$C$4:$C$7,MATCH(C414,Background!$A$4:$A$7,0))</f>
        <v>0.325128349391659</v>
      </c>
      <c r="H414" s="49" t="n">
        <f aca="false">LN(F414/G414)</f>
        <v>1.08844393359688</v>
      </c>
    </row>
    <row r="415" customFormat="false" ht="15" hidden="false" customHeight="true" outlineLevel="0" collapsed="false">
      <c r="A415" s="38" t="s">
        <v>31</v>
      </c>
      <c r="B415" s="38" t="n">
        <v>54</v>
      </c>
      <c r="C415" s="38" t="s">
        <v>171</v>
      </c>
      <c r="D415" s="38" t="s">
        <v>870</v>
      </c>
      <c r="E415" s="38" t="str">
        <f aca="false">B415&amp;"|"&amp;C415</f>
        <v>54|U</v>
      </c>
      <c r="F415" s="45" t="n">
        <f aca="false">INDEX('Emission Stepwise'!$H$2:$H$289,MATCH(E415,'Emission Stepwise'!$C$2:$C$289,0))</f>
        <v>0.975369458128079</v>
      </c>
      <c r="G415" s="45" t="n">
        <f aca="false">INDEX(Background!$C$4:$C$7,MATCH(C415,Background!$A$4:$A$7,0))</f>
        <v>0.212884169069555</v>
      </c>
      <c r="H415" s="49" t="n">
        <f aca="false">LN(F415/G415)</f>
        <v>1.5220681200274</v>
      </c>
    </row>
    <row r="416" customFormat="false" ht="15" hidden="false" customHeight="true" outlineLevel="0" collapsed="false">
      <c r="A416" s="38" t="s">
        <v>31</v>
      </c>
      <c r="B416" s="38" t="n">
        <v>55</v>
      </c>
      <c r="C416" s="38" t="s">
        <v>171</v>
      </c>
      <c r="D416" s="38" t="s">
        <v>870</v>
      </c>
      <c r="E416" s="38" t="str">
        <f aca="false">B416&amp;"|"&amp;C416</f>
        <v>55|U</v>
      </c>
      <c r="F416" s="45" t="n">
        <f aca="false">INDEX('Emission Stepwise'!$H$2:$H$289,MATCH(E416,'Emission Stepwise'!$C$2:$C$289,0))</f>
        <v>0.970443349753695</v>
      </c>
      <c r="G416" s="45" t="n">
        <f aca="false">INDEX(Background!$C$4:$C$7,MATCH(C416,Background!$A$4:$A$7,0))</f>
        <v>0.212884169069555</v>
      </c>
      <c r="H416" s="49" t="n">
        <f aca="false">LN(F416/G416)</f>
        <v>1.51700481807086</v>
      </c>
    </row>
    <row r="417" customFormat="false" ht="15" hidden="false" customHeight="true" outlineLevel="0" collapsed="false">
      <c r="A417" s="38" t="s">
        <v>31</v>
      </c>
      <c r="B417" s="38" t="n">
        <v>56</v>
      </c>
      <c r="C417" s="38" t="s">
        <v>170</v>
      </c>
      <c r="D417" s="38" t="s">
        <v>870</v>
      </c>
      <c r="E417" s="38" t="str">
        <f aca="false">B417&amp;"|"&amp;C417</f>
        <v>56|C</v>
      </c>
      <c r="F417" s="45" t="n">
        <f aca="false">INDEX('Emission Stepwise'!$H$2:$H$289,MATCH(E417,'Emission Stepwise'!$C$2:$C$289,0))</f>
        <v>0.96551724137931</v>
      </c>
      <c r="G417" s="45" t="n">
        <f aca="false">INDEX(Background!$C$4:$C$7,MATCH(C417,Background!$A$4:$A$7,0))</f>
        <v>0.276812715380828</v>
      </c>
      <c r="H417" s="49" t="n">
        <f aca="false">LN(F417/G417)</f>
        <v>1.24932279941296</v>
      </c>
    </row>
    <row r="418" customFormat="false" ht="15" hidden="false" customHeight="true" outlineLevel="0" collapsed="false">
      <c r="A418" s="38" t="s">
        <v>31</v>
      </c>
      <c r="B418" s="38" t="n">
        <v>57</v>
      </c>
      <c r="C418" s="38" t="s">
        <v>170</v>
      </c>
      <c r="D418" s="38" t="s">
        <v>870</v>
      </c>
      <c r="E418" s="38" t="str">
        <f aca="false">B418&amp;"|"&amp;C418</f>
        <v>57|C</v>
      </c>
      <c r="F418" s="45" t="n">
        <f aca="false">INDEX('Emission Stepwise'!$H$2:$H$289,MATCH(E418,'Emission Stepwise'!$C$2:$C$289,0))</f>
        <v>0.00495049504950495</v>
      </c>
      <c r="G418" s="45" t="n">
        <f aca="false">INDEX(Background!$C$4:$C$7,MATCH(C418,Background!$A$4:$A$7,0))</f>
        <v>0.276812715380828</v>
      </c>
      <c r="H418" s="49" t="n">
        <f aca="false">LN(F418/G418)</f>
        <v>-4.02385357817698</v>
      </c>
    </row>
    <row r="419" customFormat="false" ht="15" hidden="false" customHeight="true" outlineLevel="0" collapsed="false">
      <c r="A419" s="38" t="s">
        <v>31</v>
      </c>
      <c r="B419" s="38" t="n">
        <v>58</v>
      </c>
      <c r="C419" s="38" t="s">
        <v>172</v>
      </c>
      <c r="D419" s="38" t="s">
        <v>870</v>
      </c>
      <c r="E419" s="38" t="str">
        <f aca="false">B419&amp;"|"&amp;C419</f>
        <v>58|A</v>
      </c>
      <c r="F419" s="45" t="n">
        <f aca="false">INDEX('Emission Stepwise'!$H$2:$H$289,MATCH(E419,'Emission Stepwise'!$C$2:$C$289,0))</f>
        <v>0.975369458128079</v>
      </c>
      <c r="G419" s="45" t="n">
        <f aca="false">INDEX(Background!$C$4:$C$7,MATCH(C419,Background!$A$4:$A$7,0))</f>
        <v>0.185174766157958</v>
      </c>
      <c r="H419" s="49" t="n">
        <f aca="false">LN(F419/G419)</f>
        <v>1.66151626955281</v>
      </c>
    </row>
    <row r="420" customFormat="false" ht="15" hidden="false" customHeight="true" outlineLevel="0" collapsed="false">
      <c r="A420" s="38" t="s">
        <v>31</v>
      </c>
      <c r="B420" s="38" t="n">
        <v>59</v>
      </c>
      <c r="C420" s="38" t="s">
        <v>170</v>
      </c>
      <c r="D420" s="38" t="s">
        <v>870</v>
      </c>
      <c r="E420" s="38" t="str">
        <f aca="false">B420&amp;"|"&amp;C420</f>
        <v>59|C</v>
      </c>
      <c r="F420" s="45" t="n">
        <f aca="false">INDEX('Emission Stepwise'!$H$2:$H$289,MATCH(E420,'Emission Stepwise'!$C$2:$C$289,0))</f>
        <v>0.0640394088669951</v>
      </c>
      <c r="G420" s="45" t="n">
        <f aca="false">INDEX(Background!$C$4:$C$7,MATCH(C420,Background!$A$4:$A$7,0))</f>
        <v>0.276812715380828</v>
      </c>
      <c r="H420" s="49" t="n">
        <f aca="false">LN(F420/G420)</f>
        <v>-1.46384250235602</v>
      </c>
    </row>
    <row r="421" customFormat="false" ht="15" hidden="false" customHeight="true" outlineLevel="0" collapsed="false">
      <c r="A421" s="38" t="s">
        <v>31</v>
      </c>
      <c r="B421" s="38" t="n">
        <v>60</v>
      </c>
      <c r="C421" s="38" t="s">
        <v>171</v>
      </c>
      <c r="D421" s="38" t="s">
        <v>870</v>
      </c>
      <c r="E421" s="38" t="str">
        <f aca="false">B421&amp;"|"&amp;C421</f>
        <v>60|U</v>
      </c>
      <c r="F421" s="45" t="n">
        <f aca="false">INDEX('Emission Stepwise'!$H$2:$H$289,MATCH(E421,'Emission Stepwise'!$C$2:$C$289,0))</f>
        <v>0.773399014778325</v>
      </c>
      <c r="G421" s="45" t="n">
        <f aca="false">INDEX(Background!$C$4:$C$7,MATCH(C421,Background!$A$4:$A$7,0))</f>
        <v>0.212884169069555</v>
      </c>
      <c r="H421" s="49" t="n">
        <f aca="false">LN(F421/G421)</f>
        <v>1.29004689468118</v>
      </c>
    </row>
    <row r="422" customFormat="false" ht="15" hidden="false" customHeight="true" outlineLevel="0" collapsed="false">
      <c r="A422" s="38" t="s">
        <v>31</v>
      </c>
      <c r="B422" s="38" t="n">
        <v>61</v>
      </c>
      <c r="C422" s="38" t="s">
        <v>170</v>
      </c>
      <c r="D422" s="38" t="s">
        <v>870</v>
      </c>
      <c r="E422" s="38" t="str">
        <f aca="false">B422&amp;"|"&amp;C422</f>
        <v>61|C</v>
      </c>
      <c r="F422" s="45" t="n">
        <f aca="false">INDEX('Emission Stepwise'!$H$2:$H$289,MATCH(E422,'Emission Stepwise'!$C$2:$C$289,0))</f>
        <v>0.975369458128079</v>
      </c>
      <c r="G422" s="45" t="n">
        <f aca="false">INDEX(Background!$C$4:$C$7,MATCH(C422,Background!$A$4:$A$7,0))</f>
        <v>0.276812715380828</v>
      </c>
      <c r="H422" s="49" t="n">
        <f aca="false">LN(F422/G422)</f>
        <v>1.25947517087698</v>
      </c>
    </row>
    <row r="423" customFormat="false" ht="15" hidden="false" customHeight="true" outlineLevel="0" collapsed="false">
      <c r="A423" s="38" t="s">
        <v>31</v>
      </c>
      <c r="B423" s="38" t="n">
        <v>62</v>
      </c>
      <c r="C423" s="38" t="s">
        <v>171</v>
      </c>
      <c r="D423" s="38" t="s">
        <v>870</v>
      </c>
      <c r="E423" s="38" t="str">
        <f aca="false">B423&amp;"|"&amp;C423</f>
        <v>62|U</v>
      </c>
      <c r="F423" s="45" t="n">
        <f aca="false">INDEX('Emission Stepwise'!$H$2:$H$289,MATCH(E423,'Emission Stepwise'!$C$2:$C$289,0))</f>
        <v>0.133004926108374</v>
      </c>
      <c r="G423" s="45" t="n">
        <f aca="false">INDEX(Background!$C$4:$C$7,MATCH(C423,Background!$A$4:$A$7,0))</f>
        <v>0.212884169069555</v>
      </c>
      <c r="H423" s="49" t="n">
        <f aca="false">LN(F423/G423)</f>
        <v>-0.470362044662802</v>
      </c>
    </row>
    <row r="424" customFormat="false" ht="15" hidden="false" customHeight="true" outlineLevel="0" collapsed="false">
      <c r="A424" s="38" t="s">
        <v>31</v>
      </c>
      <c r="B424" s="38" t="n">
        <v>63</v>
      </c>
      <c r="C424" s="38" t="s">
        <v>171</v>
      </c>
      <c r="D424" s="38" t="s">
        <v>870</v>
      </c>
      <c r="E424" s="38" t="str">
        <f aca="false">B424&amp;"|"&amp;C424</f>
        <v>63|U</v>
      </c>
      <c r="F424" s="45" t="n">
        <f aca="false">INDEX('Emission Stepwise'!$H$2:$H$289,MATCH(E424,'Emission Stepwise'!$C$2:$C$289,0))</f>
        <v>0.16256157635468</v>
      </c>
      <c r="G424" s="45" t="n">
        <f aca="false">INDEX(Background!$C$4:$C$7,MATCH(C424,Background!$A$4:$A$7,0))</f>
        <v>0.212884169069555</v>
      </c>
      <c r="H424" s="49" t="n">
        <f aca="false">LN(F424/G424)</f>
        <v>-0.269691349200651</v>
      </c>
    </row>
    <row r="425" customFormat="false" ht="15" hidden="false" customHeight="true" outlineLevel="0" collapsed="false">
      <c r="A425" s="38" t="s">
        <v>31</v>
      </c>
      <c r="B425" s="38" t="n">
        <v>64</v>
      </c>
      <c r="C425" s="38" t="s">
        <v>171</v>
      </c>
      <c r="D425" s="38" t="s">
        <v>870</v>
      </c>
      <c r="E425" s="38" t="str">
        <f aca="false">B425&amp;"|"&amp;C425</f>
        <v>64|U</v>
      </c>
      <c r="F425" s="45" t="n">
        <f aca="false">INDEX('Emission Stepwise'!$H$2:$H$289,MATCH(E425,'Emission Stepwise'!$C$2:$C$289,0))</f>
        <v>0.167487684729064</v>
      </c>
      <c r="G425" s="45" t="n">
        <f aca="false">INDEX(Background!$C$4:$C$7,MATCH(C425,Background!$A$4:$A$7,0))</f>
        <v>0.212884169069555</v>
      </c>
      <c r="H425" s="49" t="n">
        <f aca="false">LN(F425/G425)</f>
        <v>-0.23983838605097</v>
      </c>
    </row>
    <row r="426" customFormat="false" ht="15" hidden="false" customHeight="true" outlineLevel="0" collapsed="false">
      <c r="A426" s="38" t="s">
        <v>31</v>
      </c>
      <c r="B426" s="38" t="n">
        <v>65</v>
      </c>
      <c r="C426" s="38" t="s">
        <v>171</v>
      </c>
      <c r="D426" s="38" t="s">
        <v>870</v>
      </c>
      <c r="E426" s="38" t="str">
        <f aca="false">B426&amp;"|"&amp;C426</f>
        <v>65|U</v>
      </c>
      <c r="F426" s="45" t="n">
        <f aca="false">INDEX('Emission Stepwise'!$H$2:$H$289,MATCH(E426,'Emission Stepwise'!$C$2:$C$289,0))</f>
        <v>0.346534653465347</v>
      </c>
      <c r="G426" s="45" t="n">
        <f aca="false">INDEX(Background!$C$4:$C$7,MATCH(C426,Background!$A$4:$A$7,0))</f>
        <v>0.212884169069555</v>
      </c>
      <c r="H426" s="49" t="n">
        <f aca="false">LN(F426/G426)</f>
        <v>0.48723461302281</v>
      </c>
    </row>
    <row r="427" customFormat="false" ht="15" hidden="false" customHeight="true" outlineLevel="0" collapsed="false">
      <c r="A427" s="38" t="s">
        <v>31</v>
      </c>
      <c r="B427" s="38" t="n">
        <v>66</v>
      </c>
      <c r="C427" s="38" t="s">
        <v>172</v>
      </c>
      <c r="D427" s="38" t="s">
        <v>871</v>
      </c>
      <c r="E427" s="38" t="str">
        <f aca="false">B427&amp;"|"&amp;C427</f>
        <v>66|A</v>
      </c>
      <c r="F427" s="45" t="n">
        <f aca="false">INDEX('Emission Stepwise'!$H$2:$H$289,MATCH(E427,'Emission Stepwise'!$C$2:$C$289,0))</f>
        <v>0.216748768472906</v>
      </c>
      <c r="G427" s="45" t="n">
        <f aca="false">INDEX(Background!$C$4:$C$7,MATCH(C427,Background!$A$4:$A$7,0))</f>
        <v>0.185174766157958</v>
      </c>
      <c r="H427" s="49" t="n">
        <f aca="false">LN(F427/G427)</f>
        <v>0.157438872776539</v>
      </c>
    </row>
    <row r="428" customFormat="false" ht="15" hidden="false" customHeight="true" outlineLevel="0" collapsed="false">
      <c r="A428" s="38" t="s">
        <v>31</v>
      </c>
      <c r="B428" s="38" t="n">
        <v>67</v>
      </c>
      <c r="C428" s="38" t="s">
        <v>170</v>
      </c>
      <c r="D428" s="38" t="s">
        <v>871</v>
      </c>
      <c r="E428" s="38" t="str">
        <f aca="false">B428&amp;"|"&amp;C428</f>
        <v>67|C</v>
      </c>
      <c r="F428" s="45" t="n">
        <f aca="false">INDEX('Emission Stepwise'!$H$2:$H$289,MATCH(E428,'Emission Stepwise'!$C$2:$C$289,0))</f>
        <v>0.226600985221675</v>
      </c>
      <c r="G428" s="45" t="n">
        <f aca="false">INDEX(Background!$C$4:$C$7,MATCH(C428,Background!$A$4:$A$7,0))</f>
        <v>0.276812715380828</v>
      </c>
      <c r="H428" s="49" t="n">
        <f aca="false">LN(F428/G428)</f>
        <v>-0.200150463328462</v>
      </c>
    </row>
    <row r="429" customFormat="false" ht="15" hidden="false" customHeight="true" outlineLevel="0" collapsed="false">
      <c r="A429" s="38" t="s">
        <v>31</v>
      </c>
      <c r="B429" s="38" t="n">
        <v>68</v>
      </c>
      <c r="C429" s="38" t="s">
        <v>171</v>
      </c>
      <c r="D429" s="38" t="s">
        <v>871</v>
      </c>
      <c r="E429" s="38" t="str">
        <f aca="false">B429&amp;"|"&amp;C429</f>
        <v>68|U</v>
      </c>
      <c r="F429" s="45" t="n">
        <f aca="false">INDEX('Emission Stepwise'!$H$2:$H$289,MATCH(E429,'Emission Stepwise'!$C$2:$C$289,0))</f>
        <v>0.177339901477833</v>
      </c>
      <c r="G429" s="45" t="n">
        <f aca="false">INDEX(Background!$C$4:$C$7,MATCH(C429,Background!$A$4:$A$7,0))</f>
        <v>0.212884169069555</v>
      </c>
      <c r="H429" s="49" t="n">
        <f aca="false">LN(F429/G429)</f>
        <v>-0.182679972211022</v>
      </c>
    </row>
    <row r="430" customFormat="false" ht="15" hidden="false" customHeight="true" outlineLevel="0" collapsed="false">
      <c r="A430" s="38" t="s">
        <v>31</v>
      </c>
      <c r="B430" s="38" t="n">
        <v>69</v>
      </c>
      <c r="C430" s="38" t="s">
        <v>171</v>
      </c>
      <c r="D430" s="38" t="s">
        <v>871</v>
      </c>
      <c r="E430" s="38" t="str">
        <f aca="false">B430&amp;"|"&amp;C430</f>
        <v>69|U</v>
      </c>
      <c r="F430" s="45" t="n">
        <f aca="false">INDEX('Emission Stepwise'!$H$2:$H$289,MATCH(E430,'Emission Stepwise'!$C$2:$C$289,0))</f>
        <v>0.083743842364532</v>
      </c>
      <c r="G430" s="45" t="n">
        <f aca="false">INDEX(Background!$C$4:$C$7,MATCH(C430,Background!$A$4:$A$7,0))</f>
        <v>0.212884169069555</v>
      </c>
      <c r="H430" s="49" t="n">
        <f aca="false">LN(F430/G430)</f>
        <v>-0.932985566610916</v>
      </c>
    </row>
    <row r="431" customFormat="false" ht="15" hidden="false" customHeight="true" outlineLevel="0" collapsed="false">
      <c r="A431" s="38" t="s">
        <v>31</v>
      </c>
      <c r="B431" s="38" t="n">
        <v>70</v>
      </c>
      <c r="C431" s="38" t="s">
        <v>170</v>
      </c>
      <c r="D431" s="38" t="s">
        <v>871</v>
      </c>
      <c r="E431" s="38" t="str">
        <f aca="false">B431&amp;"|"&amp;C431</f>
        <v>70|C</v>
      </c>
      <c r="F431" s="45" t="n">
        <f aca="false">INDEX('Emission Stepwise'!$H$2:$H$289,MATCH(E431,'Emission Stepwise'!$C$2:$C$289,0))</f>
        <v>0.354679802955665</v>
      </c>
      <c r="G431" s="45" t="n">
        <f aca="false">INDEX(Background!$C$4:$C$7,MATCH(C431,Background!$A$4:$A$7,0))</f>
        <v>0.276812715380828</v>
      </c>
      <c r="H431" s="49" t="n">
        <f aca="false">LN(F431/G431)</f>
        <v>0.247874259198498</v>
      </c>
    </row>
    <row r="432" customFormat="false" ht="15" hidden="false" customHeight="true" outlineLevel="0" collapsed="false">
      <c r="A432" s="38" t="s">
        <v>31</v>
      </c>
      <c r="B432" s="38" t="n">
        <v>71</v>
      </c>
      <c r="C432" s="38" t="s">
        <v>172</v>
      </c>
      <c r="D432" s="38" t="s">
        <v>871</v>
      </c>
      <c r="E432" s="38" t="str">
        <f aca="false">B432&amp;"|"&amp;C432</f>
        <v>71|A</v>
      </c>
      <c r="F432" s="45" t="n">
        <f aca="false">INDEX('Emission Stepwise'!$H$2:$H$289,MATCH(E432,'Emission Stepwise'!$C$2:$C$289,0))</f>
        <v>0.0295566502463054</v>
      </c>
      <c r="G432" s="45" t="n">
        <f aca="false">INDEX(Background!$C$4:$C$7,MATCH(C432,Background!$A$4:$A$7,0))</f>
        <v>0.185174766157958</v>
      </c>
      <c r="H432" s="49" t="n">
        <f aca="false">LN(F432/G432)</f>
        <v>-1.83499129191367</v>
      </c>
    </row>
    <row r="433" customFormat="false" ht="15" hidden="false" customHeight="true" outlineLevel="0" collapsed="false">
      <c r="A433" s="38" t="s">
        <v>31</v>
      </c>
      <c r="B433" s="38" t="n">
        <v>72</v>
      </c>
      <c r="C433" s="38" t="s">
        <v>169</v>
      </c>
      <c r="D433" s="38" t="s">
        <v>871</v>
      </c>
      <c r="E433" s="38" t="str">
        <f aca="false">B433&amp;"|"&amp;C433</f>
        <v>72|G</v>
      </c>
      <c r="F433" s="45" t="n">
        <f aca="false">INDEX('Emission Stepwise'!$H$2:$H$289,MATCH(E433,'Emission Stepwise'!$C$2:$C$289,0))</f>
        <v>0.0886699507389163</v>
      </c>
      <c r="G433" s="45" t="n">
        <f aca="false">INDEX(Background!$C$4:$C$7,MATCH(C433,Background!$A$4:$A$7,0))</f>
        <v>0.325128349391659</v>
      </c>
      <c r="H433" s="49" t="n">
        <f aca="false">LN(F433/G433)</f>
        <v>-1.29929896773747</v>
      </c>
    </row>
    <row r="434" customFormat="false" ht="15" hidden="false" customHeight="true" outlineLevel="0" collapsed="false">
      <c r="A434" s="38" t="s">
        <v>42</v>
      </c>
      <c r="B434" s="38" t="n">
        <v>1</v>
      </c>
      <c r="C434" s="38" t="s">
        <v>171</v>
      </c>
      <c r="D434" s="38" t="s">
        <v>865</v>
      </c>
      <c r="E434" s="38" t="str">
        <f aca="false">B434&amp;"|"&amp;C434</f>
        <v>1|U</v>
      </c>
      <c r="F434" s="45" t="n">
        <f aca="false">INDEX('Emission Stepwise'!$H$2:$H$289,MATCH(E434,'Emission Stepwise'!$C$2:$C$289,0))</f>
        <v>0.0689655172413793</v>
      </c>
      <c r="G434" s="45" t="n">
        <f aca="false">INDEX(Background!$C$4:$C$7,MATCH(C434,Background!$A$4:$A$7,0))</f>
        <v>0.212884169069555</v>
      </c>
      <c r="H434" s="49" t="n">
        <f aca="false">LN(F434/G434)</f>
        <v>-1.12714158105187</v>
      </c>
    </row>
    <row r="435" customFormat="false" ht="15" hidden="false" customHeight="true" outlineLevel="0" collapsed="false">
      <c r="A435" s="38" t="s">
        <v>42</v>
      </c>
      <c r="B435" s="38" t="n">
        <v>2</v>
      </c>
      <c r="C435" s="38" t="s">
        <v>169</v>
      </c>
      <c r="D435" s="38" t="s">
        <v>865</v>
      </c>
      <c r="E435" s="38" t="str">
        <f aca="false">B435&amp;"|"&amp;C435</f>
        <v>2|G</v>
      </c>
      <c r="F435" s="45" t="n">
        <f aca="false">INDEX('Emission Stepwise'!$H$2:$H$289,MATCH(E435,'Emission Stepwise'!$C$2:$C$289,0))</f>
        <v>0.522167487684729</v>
      </c>
      <c r="G435" s="45" t="n">
        <f aca="false">INDEX(Background!$C$4:$C$7,MATCH(C435,Background!$A$4:$A$7,0))</f>
        <v>0.325128349391659</v>
      </c>
      <c r="H435" s="49" t="n">
        <f aca="false">LN(F435/G435)</f>
        <v>0.473768368478429</v>
      </c>
    </row>
    <row r="436" customFormat="false" ht="15" hidden="false" customHeight="true" outlineLevel="0" collapsed="false">
      <c r="A436" s="38" t="s">
        <v>42</v>
      </c>
      <c r="B436" s="38" t="n">
        <v>3</v>
      </c>
      <c r="C436" s="38" t="s">
        <v>169</v>
      </c>
      <c r="D436" s="38" t="s">
        <v>865</v>
      </c>
      <c r="E436" s="38" t="str">
        <f aca="false">B436&amp;"|"&amp;C436</f>
        <v>3|G</v>
      </c>
      <c r="F436" s="45" t="n">
        <f aca="false">INDEX('Emission Stepwise'!$H$2:$H$289,MATCH(E436,'Emission Stepwise'!$C$2:$C$289,0))</f>
        <v>0.423645320197044</v>
      </c>
      <c r="G436" s="45" t="n">
        <f aca="false">INDEX(Background!$C$4:$C$7,MATCH(C436,Background!$A$4:$A$7,0))</f>
        <v>0.325128349391659</v>
      </c>
      <c r="H436" s="49" t="n">
        <f aca="false">LN(F436/G436)</f>
        <v>0.264676570619869</v>
      </c>
    </row>
    <row r="437" customFormat="false" ht="15" hidden="false" customHeight="true" outlineLevel="0" collapsed="false">
      <c r="A437" s="38" t="s">
        <v>42</v>
      </c>
      <c r="B437" s="38" t="n">
        <v>4</v>
      </c>
      <c r="C437" s="38" t="s">
        <v>171</v>
      </c>
      <c r="D437" s="38" t="s">
        <v>865</v>
      </c>
      <c r="E437" s="38" t="str">
        <f aca="false">B437&amp;"|"&amp;C437</f>
        <v>4|U</v>
      </c>
      <c r="F437" s="45" t="n">
        <f aca="false">INDEX('Emission Stepwise'!$H$2:$H$289,MATCH(E437,'Emission Stepwise'!$C$2:$C$289,0))</f>
        <v>0.172413793103448</v>
      </c>
      <c r="G437" s="45" t="n">
        <f aca="false">INDEX(Background!$C$4:$C$7,MATCH(C437,Background!$A$4:$A$7,0))</f>
        <v>0.212884169069555</v>
      </c>
      <c r="H437" s="49" t="n">
        <f aca="false">LN(F437/G437)</f>
        <v>-0.210850849177718</v>
      </c>
    </row>
    <row r="438" customFormat="false" ht="15" hidden="false" customHeight="true" outlineLevel="0" collapsed="false">
      <c r="A438" s="38" t="s">
        <v>42</v>
      </c>
      <c r="B438" s="38" t="n">
        <v>5</v>
      </c>
      <c r="C438" s="38" t="s">
        <v>170</v>
      </c>
      <c r="D438" s="38" t="s">
        <v>865</v>
      </c>
      <c r="E438" s="38" t="str">
        <f aca="false">B438&amp;"|"&amp;C438</f>
        <v>5|C</v>
      </c>
      <c r="F438" s="45" t="n">
        <f aca="false">INDEX('Emission Stepwise'!$H$2:$H$289,MATCH(E438,'Emission Stepwise'!$C$2:$C$289,0))</f>
        <v>0.394088669950739</v>
      </c>
      <c r="G438" s="45" t="n">
        <f aca="false">INDEX(Background!$C$4:$C$7,MATCH(C438,Background!$A$4:$A$7,0))</f>
        <v>0.276812715380828</v>
      </c>
      <c r="H438" s="49" t="n">
        <f aca="false">LN(F438/G438)</f>
        <v>0.353234774856325</v>
      </c>
    </row>
    <row r="439" customFormat="false" ht="15" hidden="false" customHeight="true" outlineLevel="0" collapsed="false">
      <c r="A439" s="38" t="s">
        <v>42</v>
      </c>
      <c r="B439" s="38" t="n">
        <v>6</v>
      </c>
      <c r="C439" s="38" t="s">
        <v>170</v>
      </c>
      <c r="D439" s="38" t="s">
        <v>865</v>
      </c>
      <c r="E439" s="38" t="str">
        <f aca="false">B439&amp;"|"&amp;C439</f>
        <v>6|C</v>
      </c>
      <c r="F439" s="45" t="n">
        <f aca="false">INDEX('Emission Stepwise'!$H$2:$H$289,MATCH(E439,'Emission Stepwise'!$C$2:$C$289,0))</f>
        <v>0.32512315270936</v>
      </c>
      <c r="G439" s="45" t="n">
        <f aca="false">INDEX(Background!$C$4:$C$7,MATCH(C439,Background!$A$4:$A$7,0))</f>
        <v>0.276812715380828</v>
      </c>
      <c r="H439" s="49" t="n">
        <f aca="false">LN(F439/G439)</f>
        <v>0.160862882208869</v>
      </c>
    </row>
    <row r="440" customFormat="false" ht="15" hidden="false" customHeight="true" outlineLevel="0" collapsed="false">
      <c r="A440" s="38" t="s">
        <v>42</v>
      </c>
      <c r="B440" s="38" t="n">
        <v>7</v>
      </c>
      <c r="C440" s="38" t="s">
        <v>172</v>
      </c>
      <c r="D440" s="38" t="s">
        <v>865</v>
      </c>
      <c r="E440" s="38" t="str">
        <f aca="false">B440&amp;"|"&amp;C440</f>
        <v>7|A</v>
      </c>
      <c r="F440" s="45" t="n">
        <f aca="false">INDEX('Emission Stepwise'!$H$2:$H$289,MATCH(E440,'Emission Stepwise'!$C$2:$C$289,0))</f>
        <v>0.236453201970443</v>
      </c>
      <c r="G440" s="45" t="n">
        <f aca="false">INDEX(Background!$C$4:$C$7,MATCH(C440,Background!$A$4:$A$7,0))</f>
        <v>0.185174766157958</v>
      </c>
      <c r="H440" s="49" t="n">
        <f aca="false">LN(F440/G440)</f>
        <v>0.244450249766169</v>
      </c>
    </row>
    <row r="441" customFormat="false" ht="15" hidden="false" customHeight="true" outlineLevel="0" collapsed="false">
      <c r="A441" s="38" t="s">
        <v>42</v>
      </c>
      <c r="B441" s="38" t="n">
        <v>8</v>
      </c>
      <c r="C441" s="38" t="s">
        <v>171</v>
      </c>
      <c r="D441" s="38" t="s">
        <v>866</v>
      </c>
      <c r="E441" s="38" t="str">
        <f aca="false">B441&amp;"|"&amp;C441</f>
        <v>8|U</v>
      </c>
      <c r="F441" s="45" t="n">
        <f aca="false">INDEX('Emission Stepwise'!$H$2:$H$289,MATCH(E441,'Emission Stepwise'!$C$2:$C$289,0))</f>
        <v>0.975369458128079</v>
      </c>
      <c r="G441" s="45" t="n">
        <f aca="false">INDEX(Background!$C$4:$C$7,MATCH(C441,Background!$A$4:$A$7,0))</f>
        <v>0.212884169069555</v>
      </c>
      <c r="H441" s="49" t="n">
        <f aca="false">LN(F441/G441)</f>
        <v>1.5220681200274</v>
      </c>
    </row>
    <row r="442" customFormat="false" ht="15" hidden="false" customHeight="true" outlineLevel="0" collapsed="false">
      <c r="A442" s="38" t="s">
        <v>42</v>
      </c>
      <c r="B442" s="38" t="n">
        <v>9</v>
      </c>
      <c r="C442" s="38" t="s">
        <v>171</v>
      </c>
      <c r="D442" s="38" t="s">
        <v>867</v>
      </c>
      <c r="E442" s="38" t="str">
        <f aca="false">B442&amp;"|"&amp;C442</f>
        <v>9|U</v>
      </c>
      <c r="F442" s="45" t="n">
        <f aca="false">INDEX('Emission Stepwise'!$H$2:$H$289,MATCH(E442,'Emission Stepwise'!$C$2:$C$289,0))</f>
        <v>0.00495049504950495</v>
      </c>
      <c r="G442" s="45" t="n">
        <f aca="false">INDEX(Background!$C$4:$C$7,MATCH(C442,Background!$A$4:$A$7,0))</f>
        <v>0.212884169069555</v>
      </c>
      <c r="H442" s="49" t="n">
        <f aca="false">LN(F442/G442)</f>
        <v>-3.76126062902655</v>
      </c>
    </row>
    <row r="443" customFormat="false" ht="15" hidden="false" customHeight="true" outlineLevel="0" collapsed="false">
      <c r="A443" s="38" t="s">
        <v>42</v>
      </c>
      <c r="B443" s="38" t="n">
        <v>10</v>
      </c>
      <c r="C443" s="38" t="s">
        <v>171</v>
      </c>
      <c r="D443" s="38" t="s">
        <v>867</v>
      </c>
      <c r="E443" s="38" t="str">
        <f aca="false">B443&amp;"|"&amp;C443</f>
        <v>10|U</v>
      </c>
      <c r="F443" s="45" t="n">
        <f aca="false">INDEX('Emission Stepwise'!$H$2:$H$289,MATCH(E443,'Emission Stepwise'!$C$2:$C$289,0))</f>
        <v>0.00492610837438424</v>
      </c>
      <c r="G443" s="45" t="n">
        <f aca="false">INDEX(Background!$C$4:$C$7,MATCH(C443,Background!$A$4:$A$7,0))</f>
        <v>0.212884169069555</v>
      </c>
      <c r="H443" s="49" t="n">
        <f aca="false">LN(F443/G443)</f>
        <v>-3.76619891066713</v>
      </c>
    </row>
    <row r="444" customFormat="false" ht="15" hidden="false" customHeight="true" outlineLevel="0" collapsed="false">
      <c r="A444" s="38" t="s">
        <v>42</v>
      </c>
      <c r="B444" s="38" t="n">
        <v>11</v>
      </c>
      <c r="C444" s="38" t="s">
        <v>171</v>
      </c>
      <c r="D444" s="38" t="s">
        <v>867</v>
      </c>
      <c r="E444" s="38" t="str">
        <f aca="false">B444&amp;"|"&amp;C444</f>
        <v>11|U</v>
      </c>
      <c r="F444" s="45" t="n">
        <f aca="false">INDEX('Emission Stepwise'!$H$2:$H$289,MATCH(E444,'Emission Stepwise'!$C$2:$C$289,0))</f>
        <v>0.201970443349754</v>
      </c>
      <c r="G444" s="45" t="n">
        <f aca="false">INDEX(Background!$C$4:$C$7,MATCH(C444,Background!$A$4:$A$7,0))</f>
        <v>0.212884169069555</v>
      </c>
      <c r="H444" s="49" t="n">
        <f aca="false">LN(F444/G444)</f>
        <v>-0.0526268439628237</v>
      </c>
    </row>
    <row r="445" customFormat="false" ht="15" hidden="false" customHeight="true" outlineLevel="0" collapsed="false">
      <c r="A445" s="38" t="s">
        <v>42</v>
      </c>
      <c r="B445" s="38" t="n">
        <v>12</v>
      </c>
      <c r="C445" s="38" t="s">
        <v>171</v>
      </c>
      <c r="D445" s="38" t="s">
        <v>867</v>
      </c>
      <c r="E445" s="38" t="str">
        <f aca="false">B445&amp;"|"&amp;C445</f>
        <v>12|U</v>
      </c>
      <c r="F445" s="45" t="n">
        <f aca="false">INDEX('Emission Stepwise'!$H$2:$H$289,MATCH(E445,'Emission Stepwise'!$C$2:$C$289,0))</f>
        <v>0.591133004926108</v>
      </c>
      <c r="G445" s="45" t="n">
        <f aca="false">INDEX(Background!$C$4:$C$7,MATCH(C445,Background!$A$4:$A$7,0))</f>
        <v>0.212884169069555</v>
      </c>
      <c r="H445" s="49" t="n">
        <f aca="false">LN(F445/G445)</f>
        <v>1.02129283211491</v>
      </c>
    </row>
    <row r="446" customFormat="false" ht="15" hidden="false" customHeight="true" outlineLevel="0" collapsed="false">
      <c r="A446" s="38" t="s">
        <v>42</v>
      </c>
      <c r="B446" s="38" t="n">
        <v>13</v>
      </c>
      <c r="C446" s="38" t="s">
        <v>170</v>
      </c>
      <c r="D446" s="38" t="s">
        <v>867</v>
      </c>
      <c r="E446" s="38" t="str">
        <f aca="false">B446&amp;"|"&amp;C446</f>
        <v>13|C</v>
      </c>
      <c r="F446" s="45" t="n">
        <f aca="false">INDEX('Emission Stepwise'!$H$2:$H$289,MATCH(E446,'Emission Stepwise'!$C$2:$C$289,0))</f>
        <v>0.640394088669951</v>
      </c>
      <c r="G446" s="45" t="n">
        <f aca="false">INDEX(Background!$C$4:$C$7,MATCH(C446,Background!$A$4:$A$7,0))</f>
        <v>0.276812715380828</v>
      </c>
      <c r="H446" s="49" t="n">
        <f aca="false">LN(F446/G446)</f>
        <v>0.838742590638026</v>
      </c>
    </row>
    <row r="447" customFormat="false" ht="15" hidden="false" customHeight="true" outlineLevel="0" collapsed="false">
      <c r="A447" s="38" t="s">
        <v>42</v>
      </c>
      <c r="B447" s="38" t="n">
        <v>14</v>
      </c>
      <c r="C447" s="38" t="s">
        <v>169</v>
      </c>
      <c r="D447" s="38" t="s">
        <v>867</v>
      </c>
      <c r="E447" s="38" t="str">
        <f aca="false">B447&amp;"|"&amp;C447</f>
        <v>14|G</v>
      </c>
      <c r="F447" s="45" t="n">
        <f aca="false">INDEX('Emission Stepwise'!$H$2:$H$289,MATCH(E447,'Emission Stepwise'!$C$2:$C$289,0))</f>
        <v>0.00985221674876847</v>
      </c>
      <c r="G447" s="45" t="n">
        <f aca="false">INDEX(Background!$C$4:$C$7,MATCH(C447,Background!$A$4:$A$7,0))</f>
        <v>0.325128349391659</v>
      </c>
      <c r="H447" s="49" t="n">
        <f aca="false">LN(F447/G447)</f>
        <v>-3.49652354507369</v>
      </c>
    </row>
    <row r="448" customFormat="false" ht="15" hidden="false" customHeight="true" outlineLevel="0" collapsed="false">
      <c r="A448" s="38" t="s">
        <v>42</v>
      </c>
      <c r="B448" s="38" t="n">
        <v>15</v>
      </c>
      <c r="C448" s="38" t="s">
        <v>169</v>
      </c>
      <c r="D448" s="38" t="s">
        <v>867</v>
      </c>
      <c r="E448" s="38" t="str">
        <f aca="false">B448&amp;"|"&amp;C448</f>
        <v>15|G</v>
      </c>
      <c r="F448" s="45" t="n">
        <f aca="false">INDEX('Emission Stepwise'!$H$2:$H$289,MATCH(E448,'Emission Stepwise'!$C$2:$C$289,0))</f>
        <v>0.801980198019802</v>
      </c>
      <c r="G448" s="45" t="n">
        <f aca="false">INDEX(Background!$C$4:$C$7,MATCH(C448,Background!$A$4:$A$7,0))</f>
        <v>0.325128349391659</v>
      </c>
      <c r="H448" s="49" t="n">
        <f aca="false">LN(F448/G448)</f>
        <v>0.902863891239328</v>
      </c>
    </row>
    <row r="449" customFormat="false" ht="15" hidden="false" customHeight="true" outlineLevel="0" collapsed="false">
      <c r="A449" s="38" t="s">
        <v>42</v>
      </c>
      <c r="B449" s="38" t="n">
        <v>16</v>
      </c>
      <c r="C449" s="38" t="s">
        <v>170</v>
      </c>
      <c r="D449" s="38" t="s">
        <v>867</v>
      </c>
      <c r="E449" s="38" t="str">
        <f aca="false">B449&amp;"|"&amp;C449</f>
        <v>16|C</v>
      </c>
      <c r="F449" s="45" t="n">
        <f aca="false">INDEX('Emission Stepwise'!$H$2:$H$289,MATCH(E449,'Emission Stepwise'!$C$2:$C$289,0))</f>
        <v>0.352941176470588</v>
      </c>
      <c r="G449" s="45" t="n">
        <f aca="false">INDEX(Background!$C$4:$C$7,MATCH(C449,Background!$A$4:$A$7,0))</f>
        <v>0.276812715380828</v>
      </c>
      <c r="H449" s="49" t="n">
        <f aca="false">LN(F449/G449)</f>
        <v>0.242960244396069</v>
      </c>
    </row>
    <row r="450" customFormat="false" ht="15" hidden="false" customHeight="true" outlineLevel="0" collapsed="false">
      <c r="A450" s="38" t="s">
        <v>42</v>
      </c>
      <c r="B450" s="38" t="n">
        <v>17</v>
      </c>
      <c r="C450" s="38" t="s">
        <v>170</v>
      </c>
      <c r="D450" s="38" t="s">
        <v>867</v>
      </c>
      <c r="E450" s="38" t="str">
        <f aca="false">B450&amp;"|"&amp;C450</f>
        <v>17|C</v>
      </c>
      <c r="F450" s="45" t="n">
        <f aca="false">INDEX('Emission Stepwise'!$H$2:$H$289,MATCH(E450,'Emission Stepwise'!$C$2:$C$289,0))</f>
        <v>0.32</v>
      </c>
      <c r="G450" s="45" t="n">
        <f aca="false">INDEX(Background!$C$4:$C$7,MATCH(C450,Background!$A$4:$A$7,0))</f>
        <v>0.276812715380828</v>
      </c>
      <c r="H450" s="49" t="n">
        <f aca="false">LN(F450/G450)</f>
        <v>0.144979836035866</v>
      </c>
    </row>
    <row r="451" customFormat="false" ht="15" hidden="false" customHeight="true" outlineLevel="0" collapsed="false">
      <c r="A451" s="38" t="s">
        <v>42</v>
      </c>
      <c r="B451" s="38" t="n">
        <v>18</v>
      </c>
      <c r="C451" s="38" t="s">
        <v>169</v>
      </c>
      <c r="D451" s="38" t="s">
        <v>867</v>
      </c>
      <c r="E451" s="38" t="str">
        <f aca="false">B451&amp;"|"&amp;C451</f>
        <v>18|G</v>
      </c>
      <c r="F451" s="45" t="n">
        <f aca="false">INDEX('Emission Stepwise'!$H$2:$H$289,MATCH(E451,'Emission Stepwise'!$C$2:$C$289,0))</f>
        <v>0.980295566502463</v>
      </c>
      <c r="G451" s="45" t="n">
        <f aca="false">INDEX(Background!$C$4:$C$7,MATCH(C451,Background!$A$4:$A$7,0))</f>
        <v>0.325128349391659</v>
      </c>
      <c r="H451" s="49" t="n">
        <f aca="false">LN(F451/G451)</f>
        <v>1.10363409909085</v>
      </c>
    </row>
    <row r="452" customFormat="false" ht="15" hidden="false" customHeight="true" outlineLevel="0" collapsed="false">
      <c r="A452" s="38" t="s">
        <v>42</v>
      </c>
      <c r="B452" s="38" t="n">
        <v>19</v>
      </c>
      <c r="C452" s="38" t="s">
        <v>169</v>
      </c>
      <c r="D452" s="38" t="s">
        <v>867</v>
      </c>
      <c r="E452" s="38" t="str">
        <f aca="false">B452&amp;"|"&amp;C452</f>
        <v>19|G</v>
      </c>
      <c r="F452" s="45" t="n">
        <f aca="false">INDEX('Emission Stepwise'!$H$2:$H$289,MATCH(E452,'Emission Stepwise'!$C$2:$C$289,0))</f>
        <v>0.970443349753695</v>
      </c>
      <c r="G452" s="45" t="n">
        <f aca="false">INDEX(Background!$C$4:$C$7,MATCH(C452,Background!$A$4:$A$7,0))</f>
        <v>0.325128349391659</v>
      </c>
      <c r="H452" s="49" t="n">
        <f aca="false">LN(F452/G452)</f>
        <v>1.09353300310435</v>
      </c>
    </row>
    <row r="453" customFormat="false" ht="15" hidden="false" customHeight="true" outlineLevel="0" collapsed="false">
      <c r="A453" s="38" t="s">
        <v>42</v>
      </c>
      <c r="B453" s="38" t="n">
        <v>20</v>
      </c>
      <c r="C453" s="38" t="s">
        <v>170</v>
      </c>
      <c r="D453" s="38" t="s">
        <v>867</v>
      </c>
      <c r="E453" s="38" t="str">
        <f aca="false">B453&amp;"|"&amp;C453</f>
        <v>20|C</v>
      </c>
      <c r="F453" s="45" t="n">
        <f aca="false">INDEX('Emission Stepwise'!$H$2:$H$289,MATCH(E453,'Emission Stepwise'!$C$2:$C$289,0))</f>
        <v>0.227722772277228</v>
      </c>
      <c r="G453" s="45" t="n">
        <f aca="false">INDEX(Background!$C$4:$C$7,MATCH(C453,Background!$A$4:$A$7,0))</f>
        <v>0.276812715380828</v>
      </c>
      <c r="H453" s="49" t="n">
        <f aca="false">LN(F453/G453)</f>
        <v>-0.195212181687879</v>
      </c>
    </row>
    <row r="454" customFormat="false" ht="15" hidden="false" customHeight="true" outlineLevel="0" collapsed="false">
      <c r="A454" s="38" t="s">
        <v>42</v>
      </c>
      <c r="B454" s="38" t="n">
        <v>21</v>
      </c>
      <c r="C454" s="38" t="s">
        <v>169</v>
      </c>
      <c r="D454" s="38" t="s">
        <v>867</v>
      </c>
      <c r="E454" s="38" t="str">
        <f aca="false">B454&amp;"|"&amp;C454</f>
        <v>21|G</v>
      </c>
      <c r="F454" s="45" t="n">
        <f aca="false">INDEX('Emission Stepwise'!$H$2:$H$289,MATCH(E454,'Emission Stepwise'!$C$2:$C$289,0))</f>
        <v>0.0394088669950739</v>
      </c>
      <c r="G454" s="45" t="n">
        <f aca="false">INDEX(Background!$C$4:$C$7,MATCH(C454,Background!$A$4:$A$7,0))</f>
        <v>0.325128349391659</v>
      </c>
      <c r="H454" s="49" t="n">
        <f aca="false">LN(F454/G454)</f>
        <v>-2.1102291839538</v>
      </c>
    </row>
    <row r="455" customFormat="false" ht="15" hidden="false" customHeight="true" outlineLevel="0" collapsed="false">
      <c r="A455" s="38" t="s">
        <v>42</v>
      </c>
      <c r="B455" s="38" t="n">
        <v>22</v>
      </c>
      <c r="C455" s="38" t="s">
        <v>169</v>
      </c>
      <c r="D455" s="38" t="s">
        <v>867</v>
      </c>
      <c r="E455" s="38" t="str">
        <f aca="false">B455&amp;"|"&amp;C455</f>
        <v>22|G</v>
      </c>
      <c r="F455" s="45" t="n">
        <f aca="false">INDEX('Emission Stepwise'!$H$2:$H$289,MATCH(E455,'Emission Stepwise'!$C$2:$C$289,0))</f>
        <v>0.714285714285714</v>
      </c>
      <c r="G455" s="45" t="n">
        <f aca="false">INDEX(Background!$C$4:$C$7,MATCH(C455,Background!$A$4:$A$7,0))</f>
        <v>0.325128349391659</v>
      </c>
      <c r="H455" s="49" t="n">
        <f aca="false">LN(F455/G455)</f>
        <v>0.787063016786936</v>
      </c>
    </row>
    <row r="456" customFormat="false" ht="15" hidden="false" customHeight="true" outlineLevel="0" collapsed="false">
      <c r="A456" s="38" t="s">
        <v>42</v>
      </c>
      <c r="B456" s="38" t="n">
        <v>23</v>
      </c>
      <c r="C456" s="38" t="s">
        <v>169</v>
      </c>
      <c r="D456" s="38" t="s">
        <v>867</v>
      </c>
      <c r="E456" s="38" t="str">
        <f aca="false">B456&amp;"|"&amp;C456</f>
        <v>23|G</v>
      </c>
      <c r="F456" s="45" t="n">
        <f aca="false">INDEX('Emission Stepwise'!$H$2:$H$289,MATCH(E456,'Emission Stepwise'!$C$2:$C$289,0))</f>
        <v>0.147783251231527</v>
      </c>
      <c r="G456" s="45" t="n">
        <f aca="false">INDEX(Background!$C$4:$C$7,MATCH(C456,Background!$A$4:$A$7,0))</f>
        <v>0.325128349391659</v>
      </c>
      <c r="H456" s="49" t="n">
        <f aca="false">LN(F456/G456)</f>
        <v>-0.788473343971483</v>
      </c>
    </row>
    <row r="457" customFormat="false" ht="15" hidden="false" customHeight="true" outlineLevel="0" collapsed="false">
      <c r="A457" s="38" t="s">
        <v>42</v>
      </c>
      <c r="B457" s="38" t="n">
        <v>24</v>
      </c>
      <c r="C457" s="38" t="s">
        <v>172</v>
      </c>
      <c r="D457" s="38" t="s">
        <v>867</v>
      </c>
      <c r="E457" s="38" t="str">
        <f aca="false">B457&amp;"|"&amp;C457</f>
        <v>24|A</v>
      </c>
      <c r="F457" s="45" t="n">
        <f aca="false">INDEX('Emission Stepwise'!$H$2:$H$289,MATCH(E457,'Emission Stepwise'!$C$2:$C$289,0))</f>
        <v>0.187192118226601</v>
      </c>
      <c r="G457" s="45" t="n">
        <f aca="false">INDEX(Background!$C$4:$C$7,MATCH(C457,Background!$A$4:$A$7,0))</f>
        <v>0.185174766157958</v>
      </c>
      <c r="H457" s="49" t="n">
        <f aca="false">LN(F457/G457)</f>
        <v>0.0108353985846635</v>
      </c>
    </row>
    <row r="458" customFormat="false" ht="15" hidden="false" customHeight="true" outlineLevel="0" collapsed="false">
      <c r="A458" s="38" t="s">
        <v>42</v>
      </c>
      <c r="B458" s="38" t="n">
        <v>25</v>
      </c>
      <c r="C458" s="38" t="s">
        <v>169</v>
      </c>
      <c r="D458" s="38" t="s">
        <v>867</v>
      </c>
      <c r="E458" s="38" t="str">
        <f aca="false">B458&amp;"|"&amp;C458</f>
        <v>25|G</v>
      </c>
      <c r="F458" s="45" t="n">
        <f aca="false">INDEX('Emission Stepwise'!$H$2:$H$289,MATCH(E458,'Emission Stepwise'!$C$2:$C$289,0))</f>
        <v>0.0394088669950739</v>
      </c>
      <c r="G458" s="45" t="n">
        <f aca="false">INDEX(Background!$C$4:$C$7,MATCH(C458,Background!$A$4:$A$7,0))</f>
        <v>0.325128349391659</v>
      </c>
      <c r="H458" s="49" t="n">
        <f aca="false">LN(F458/G458)</f>
        <v>-2.1102291839538</v>
      </c>
    </row>
    <row r="459" customFormat="false" ht="15" hidden="false" customHeight="true" outlineLevel="0" collapsed="false">
      <c r="A459" s="38" t="s">
        <v>42</v>
      </c>
      <c r="B459" s="38" t="n">
        <v>26</v>
      </c>
      <c r="C459" s="38" t="s">
        <v>169</v>
      </c>
      <c r="D459" s="38" t="s">
        <v>868</v>
      </c>
      <c r="E459" s="38" t="str">
        <f aca="false">B459&amp;"|"&amp;C459</f>
        <v>26|G</v>
      </c>
      <c r="F459" s="45" t="n">
        <f aca="false">INDEX('Emission Stepwise'!$H$2:$H$289,MATCH(E459,'Emission Stepwise'!$C$2:$C$289,0))</f>
        <v>0.497536945812808</v>
      </c>
      <c r="G459" s="45" t="n">
        <f aca="false">INDEX(Background!$C$4:$C$7,MATCH(C459,Background!$A$4:$A$7,0))</f>
        <v>0.325128349391659</v>
      </c>
      <c r="H459" s="49" t="n">
        <f aca="false">LN(F459/G459)</f>
        <v>0.425449791207621</v>
      </c>
    </row>
    <row r="460" customFormat="false" ht="15" hidden="false" customHeight="true" outlineLevel="0" collapsed="false">
      <c r="A460" s="38" t="s">
        <v>42</v>
      </c>
      <c r="B460" s="38" t="n">
        <v>27</v>
      </c>
      <c r="C460" s="38" t="s">
        <v>172</v>
      </c>
      <c r="D460" s="38" t="s">
        <v>868</v>
      </c>
      <c r="E460" s="38" t="str">
        <f aca="false">B460&amp;"|"&amp;C460</f>
        <v>27|A</v>
      </c>
      <c r="F460" s="45" t="n">
        <f aca="false">INDEX('Emission Stepwise'!$H$2:$H$289,MATCH(E460,'Emission Stepwise'!$C$2:$C$289,0))</f>
        <v>0.123152709359606</v>
      </c>
      <c r="G460" s="45" t="n">
        <f aca="false">INDEX(Background!$C$4:$C$7,MATCH(C460,Background!$A$4:$A$7,0))</f>
        <v>0.185174766157958</v>
      </c>
      <c r="H460" s="49" t="n">
        <f aca="false">LN(F460/G460)</f>
        <v>-0.407874936273521</v>
      </c>
    </row>
    <row r="461" customFormat="false" ht="15" hidden="false" customHeight="true" outlineLevel="0" collapsed="false">
      <c r="A461" s="38" t="s">
        <v>42</v>
      </c>
      <c r="B461" s="38" t="n">
        <v>28</v>
      </c>
      <c r="C461" s="38" t="s">
        <v>169</v>
      </c>
      <c r="D461" s="38" t="s">
        <v>868</v>
      </c>
      <c r="E461" s="38" t="str">
        <f aca="false">B461&amp;"|"&amp;C461</f>
        <v>28|G</v>
      </c>
      <c r="F461" s="45" t="n">
        <f aca="false">INDEX('Emission Stepwise'!$H$2:$H$289,MATCH(E461,'Emission Stepwise'!$C$2:$C$289,0))</f>
        <v>0.113300492610837</v>
      </c>
      <c r="G461" s="45" t="n">
        <f aca="false">INDEX(Background!$C$4:$C$7,MATCH(C461,Background!$A$4:$A$7,0))</f>
        <v>0.325128349391659</v>
      </c>
      <c r="H461" s="49" t="n">
        <f aca="false">LN(F461/G461)</f>
        <v>-1.05417650970449</v>
      </c>
    </row>
    <row r="462" customFormat="false" ht="15" hidden="false" customHeight="true" outlineLevel="0" collapsed="false">
      <c r="A462" s="38" t="s">
        <v>42</v>
      </c>
      <c r="B462" s="38" t="n">
        <v>29</v>
      </c>
      <c r="C462" s="38" t="s">
        <v>172</v>
      </c>
      <c r="D462" s="38" t="s">
        <v>868</v>
      </c>
      <c r="E462" s="38" t="str">
        <f aca="false">B462&amp;"|"&amp;C462</f>
        <v>29|A</v>
      </c>
      <c r="F462" s="45" t="n">
        <f aca="false">INDEX('Emission Stepwise'!$H$2:$H$289,MATCH(E462,'Emission Stepwise'!$C$2:$C$289,0))</f>
        <v>0.16256157635468</v>
      </c>
      <c r="G462" s="45" t="n">
        <f aca="false">INDEX(Background!$C$4:$C$7,MATCH(C462,Background!$A$4:$A$7,0))</f>
        <v>0.185174766157958</v>
      </c>
      <c r="H462" s="49" t="n">
        <f aca="false">LN(F462/G462)</f>
        <v>-0.130243199675242</v>
      </c>
    </row>
    <row r="463" customFormat="false" ht="15" hidden="false" customHeight="true" outlineLevel="0" collapsed="false">
      <c r="A463" s="38" t="s">
        <v>42</v>
      </c>
      <c r="B463" s="38" t="n">
        <v>30</v>
      </c>
      <c r="C463" s="38" t="s">
        <v>172</v>
      </c>
      <c r="D463" s="38" t="s">
        <v>868</v>
      </c>
      <c r="E463" s="38" t="str">
        <f aca="false">B463&amp;"|"&amp;C463</f>
        <v>30|A</v>
      </c>
      <c r="F463" s="45" t="n">
        <f aca="false">INDEX('Emission Stepwise'!$H$2:$H$289,MATCH(E463,'Emission Stepwise'!$C$2:$C$289,0))</f>
        <v>0.00492610837438424</v>
      </c>
      <c r="G463" s="45" t="n">
        <f aca="false">INDEX(Background!$C$4:$C$7,MATCH(C463,Background!$A$4:$A$7,0))</f>
        <v>0.185174766157958</v>
      </c>
      <c r="H463" s="49" t="n">
        <f aca="false">LN(F463/G463)</f>
        <v>-3.62675076114172</v>
      </c>
    </row>
    <row r="464" customFormat="false" ht="15" hidden="false" customHeight="true" outlineLevel="0" collapsed="false">
      <c r="A464" s="38" t="s">
        <v>42</v>
      </c>
      <c r="B464" s="38" t="n">
        <v>31</v>
      </c>
      <c r="C464" s="38" t="s">
        <v>172</v>
      </c>
      <c r="D464" s="38" t="s">
        <v>868</v>
      </c>
      <c r="E464" s="38" t="str">
        <f aca="false">B464&amp;"|"&amp;C464</f>
        <v>31|A</v>
      </c>
      <c r="F464" s="45" t="n">
        <f aca="false">INDEX('Emission Stepwise'!$H$2:$H$289,MATCH(E464,'Emission Stepwise'!$C$2:$C$289,0))</f>
        <v>0.270935960591133</v>
      </c>
      <c r="G464" s="45" t="n">
        <f aca="false">INDEX(Background!$C$4:$C$7,MATCH(C464,Background!$A$4:$A$7,0))</f>
        <v>0.185174766157958</v>
      </c>
      <c r="H464" s="49" t="n">
        <f aca="false">LN(F464/G464)</f>
        <v>0.380582424090749</v>
      </c>
    </row>
    <row r="465" customFormat="false" ht="15" hidden="false" customHeight="true" outlineLevel="0" collapsed="false">
      <c r="A465" s="38" t="s">
        <v>42</v>
      </c>
      <c r="B465" s="38" t="n">
        <v>32</v>
      </c>
      <c r="C465" s="38" t="s">
        <v>172</v>
      </c>
      <c r="D465" s="38" t="s">
        <v>868</v>
      </c>
      <c r="E465" s="38" t="str">
        <f aca="false">B465&amp;"|"&amp;C465</f>
        <v>32|A</v>
      </c>
      <c r="F465" s="45" t="n">
        <f aca="false">INDEX('Emission Stepwise'!$H$2:$H$289,MATCH(E465,'Emission Stepwise'!$C$2:$C$289,0))</f>
        <v>0.0344827586206897</v>
      </c>
      <c r="G465" s="45" t="n">
        <f aca="false">INDEX(Background!$C$4:$C$7,MATCH(C465,Background!$A$4:$A$7,0))</f>
        <v>0.185174766157958</v>
      </c>
      <c r="H465" s="49" t="n">
        <f aca="false">LN(F465/G465)</f>
        <v>-1.68084061208641</v>
      </c>
    </row>
    <row r="466" customFormat="false" ht="15" hidden="false" customHeight="true" outlineLevel="0" collapsed="false">
      <c r="A466" s="38" t="s">
        <v>42</v>
      </c>
      <c r="B466" s="38" t="n">
        <v>33</v>
      </c>
      <c r="C466" s="38" t="s">
        <v>171</v>
      </c>
      <c r="D466" s="38" t="s">
        <v>868</v>
      </c>
      <c r="E466" s="38" t="str">
        <f aca="false">B466&amp;"|"&amp;C466</f>
        <v>33|U</v>
      </c>
      <c r="F466" s="45" t="n">
        <f aca="false">INDEX('Emission Stepwise'!$H$2:$H$289,MATCH(E466,'Emission Stepwise'!$C$2:$C$289,0))</f>
        <v>0.975369458128079</v>
      </c>
      <c r="G466" s="45" t="n">
        <f aca="false">INDEX(Background!$C$4:$C$7,MATCH(C466,Background!$A$4:$A$7,0))</f>
        <v>0.212884169069555</v>
      </c>
      <c r="H466" s="49" t="n">
        <f aca="false">LN(F466/G466)</f>
        <v>1.5220681200274</v>
      </c>
    </row>
    <row r="467" customFormat="false" ht="15" hidden="false" customHeight="true" outlineLevel="0" collapsed="false">
      <c r="A467" s="38" t="s">
        <v>42</v>
      </c>
      <c r="B467" s="38" t="n">
        <v>34</v>
      </c>
      <c r="C467" s="38" t="s">
        <v>170</v>
      </c>
      <c r="D467" s="38" t="s">
        <v>868</v>
      </c>
      <c r="E467" s="38" t="str">
        <f aca="false">B467&amp;"|"&amp;C467</f>
        <v>34|C</v>
      </c>
      <c r="F467" s="45" t="n">
        <f aca="false">INDEX('Emission Stepwise'!$H$2:$H$289,MATCH(E467,'Emission Stepwise'!$C$2:$C$289,0))</f>
        <v>0.330049261083744</v>
      </c>
      <c r="G467" s="45" t="n">
        <f aca="false">INDEX(Background!$C$4:$C$7,MATCH(C467,Background!$A$4:$A$7,0))</f>
        <v>0.276812715380828</v>
      </c>
      <c r="H467" s="49" t="n">
        <f aca="false">LN(F467/G467)</f>
        <v>0.175900759573409</v>
      </c>
    </row>
    <row r="468" customFormat="false" ht="15" hidden="false" customHeight="true" outlineLevel="0" collapsed="false">
      <c r="A468" s="38" t="s">
        <v>42</v>
      </c>
      <c r="B468" s="38" t="n">
        <v>35</v>
      </c>
      <c r="C468" s="38" t="s">
        <v>171</v>
      </c>
      <c r="D468" s="38" t="s">
        <v>868</v>
      </c>
      <c r="E468" s="38" t="str">
        <f aca="false">B468&amp;"|"&amp;C468</f>
        <v>35|U</v>
      </c>
      <c r="F468" s="45" t="n">
        <f aca="false">INDEX('Emission Stepwise'!$H$2:$H$289,MATCH(E468,'Emission Stepwise'!$C$2:$C$289,0))</f>
        <v>0.206896551724138</v>
      </c>
      <c r="G468" s="45" t="n">
        <f aca="false">INDEX(Background!$C$4:$C$7,MATCH(C468,Background!$A$4:$A$7,0))</f>
        <v>0.212884169069555</v>
      </c>
      <c r="H468" s="49" t="n">
        <f aca="false">LN(F468/G468)</f>
        <v>-0.0285292923837632</v>
      </c>
    </row>
    <row r="469" customFormat="false" ht="15" hidden="false" customHeight="true" outlineLevel="0" collapsed="false">
      <c r="A469" s="38" t="s">
        <v>42</v>
      </c>
      <c r="B469" s="38" t="n">
        <v>36</v>
      </c>
      <c r="C469" s="38" t="s">
        <v>172</v>
      </c>
      <c r="D469" s="38" t="s">
        <v>868</v>
      </c>
      <c r="E469" s="38" t="str">
        <f aca="false">B469&amp;"|"&amp;C469</f>
        <v>36|A</v>
      </c>
      <c r="F469" s="45" t="n">
        <f aca="false">INDEX('Emission Stepwise'!$H$2:$H$289,MATCH(E469,'Emission Stepwise'!$C$2:$C$289,0))</f>
        <v>0.216748768472906</v>
      </c>
      <c r="G469" s="45" t="n">
        <f aca="false">INDEX(Background!$C$4:$C$7,MATCH(C469,Background!$A$4:$A$7,0))</f>
        <v>0.185174766157958</v>
      </c>
      <c r="H469" s="49" t="n">
        <f aca="false">LN(F469/G469)</f>
        <v>0.157438872776539</v>
      </c>
    </row>
    <row r="470" customFormat="false" ht="15" hidden="false" customHeight="true" outlineLevel="0" collapsed="false">
      <c r="A470" s="38" t="s">
        <v>42</v>
      </c>
      <c r="B470" s="38" t="n">
        <v>37</v>
      </c>
      <c r="C470" s="38" t="s">
        <v>169</v>
      </c>
      <c r="D470" s="38" t="s">
        <v>868</v>
      </c>
      <c r="E470" s="38" t="str">
        <f aca="false">B470&amp;"|"&amp;C470</f>
        <v>37|G</v>
      </c>
      <c r="F470" s="45" t="n">
        <f aca="false">INDEX('Emission Stepwise'!$H$2:$H$289,MATCH(E470,'Emission Stepwise'!$C$2:$C$289,0))</f>
        <v>0.241379310344828</v>
      </c>
      <c r="G470" s="45" t="n">
        <f aca="false">INDEX(Background!$C$4:$C$7,MATCH(C470,Background!$A$4:$A$7,0))</f>
        <v>0.325128349391659</v>
      </c>
      <c r="H470" s="49" t="n">
        <f aca="false">LN(F470/G470)</f>
        <v>-0.297850427523012</v>
      </c>
    </row>
    <row r="471" customFormat="false" ht="15" hidden="false" customHeight="true" outlineLevel="0" collapsed="false">
      <c r="A471" s="38" t="s">
        <v>42</v>
      </c>
      <c r="B471" s="38" t="n">
        <v>38</v>
      </c>
      <c r="C471" s="38" t="s">
        <v>169</v>
      </c>
      <c r="D471" s="38" t="s">
        <v>868</v>
      </c>
      <c r="E471" s="38" t="str">
        <f aca="false">B471&amp;"|"&amp;C471</f>
        <v>38|G</v>
      </c>
      <c r="F471" s="45" t="n">
        <f aca="false">INDEX('Emission Stepwise'!$H$2:$H$289,MATCH(E471,'Emission Stepwise'!$C$2:$C$289,0))</f>
        <v>0.00985221674876847</v>
      </c>
      <c r="G471" s="45" t="n">
        <f aca="false">INDEX(Background!$C$4:$C$7,MATCH(C471,Background!$A$4:$A$7,0))</f>
        <v>0.325128349391659</v>
      </c>
      <c r="H471" s="49" t="n">
        <f aca="false">LN(F471/G471)</f>
        <v>-3.49652354507369</v>
      </c>
    </row>
    <row r="472" customFormat="false" ht="15" hidden="false" customHeight="true" outlineLevel="0" collapsed="false">
      <c r="A472" s="38" t="s">
        <v>42</v>
      </c>
      <c r="B472" s="38" t="n">
        <v>39</v>
      </c>
      <c r="C472" s="38" t="s">
        <v>171</v>
      </c>
      <c r="D472" s="38" t="s">
        <v>868</v>
      </c>
      <c r="E472" s="38" t="str">
        <f aca="false">B472&amp;"|"&amp;C472</f>
        <v>39|U</v>
      </c>
      <c r="F472" s="45" t="n">
        <f aca="false">INDEX('Emission Stepwise'!$H$2:$H$289,MATCH(E472,'Emission Stepwise'!$C$2:$C$289,0))</f>
        <v>0.295566502463054</v>
      </c>
      <c r="G472" s="45" t="n">
        <f aca="false">INDEX(Background!$C$4:$C$7,MATCH(C472,Background!$A$4:$A$7,0))</f>
        <v>0.212884169069555</v>
      </c>
      <c r="H472" s="49" t="n">
        <f aca="false">LN(F472/G472)</f>
        <v>0.328145651554969</v>
      </c>
    </row>
    <row r="473" customFormat="false" ht="15" hidden="false" customHeight="true" outlineLevel="0" collapsed="false">
      <c r="A473" s="38" t="s">
        <v>42</v>
      </c>
      <c r="B473" s="38" t="n">
        <v>40</v>
      </c>
      <c r="C473" s="38" t="s">
        <v>171</v>
      </c>
      <c r="D473" s="38" t="s">
        <v>868</v>
      </c>
      <c r="E473" s="38" t="str">
        <f aca="false">B473&amp;"|"&amp;C473</f>
        <v>40|U</v>
      </c>
      <c r="F473" s="45" t="n">
        <f aca="false">INDEX('Emission Stepwise'!$H$2:$H$289,MATCH(E473,'Emission Stepwise'!$C$2:$C$289,0))</f>
        <v>0.0443349753694581</v>
      </c>
      <c r="G473" s="45" t="n">
        <f aca="false">INDEX(Background!$C$4:$C$7,MATCH(C473,Background!$A$4:$A$7,0))</f>
        <v>0.212884169069555</v>
      </c>
      <c r="H473" s="49" t="n">
        <f aca="false">LN(F473/G473)</f>
        <v>-1.56897433333091</v>
      </c>
    </row>
    <row r="474" customFormat="false" ht="15" hidden="false" customHeight="true" outlineLevel="0" collapsed="false">
      <c r="A474" s="38" t="s">
        <v>42</v>
      </c>
      <c r="B474" s="38" t="n">
        <v>41</v>
      </c>
      <c r="C474" s="38" t="s">
        <v>171</v>
      </c>
      <c r="D474" s="38" t="s">
        <v>868</v>
      </c>
      <c r="E474" s="38" t="str">
        <f aca="false">B474&amp;"|"&amp;C474</f>
        <v>41|U</v>
      </c>
      <c r="F474" s="45" t="n">
        <f aca="false">INDEX('Emission Stepwise'!$H$2:$H$289,MATCH(E474,'Emission Stepwise'!$C$2:$C$289,0))</f>
        <v>0.167487684729064</v>
      </c>
      <c r="G474" s="45" t="n">
        <f aca="false">INDEX(Background!$C$4:$C$7,MATCH(C474,Background!$A$4:$A$7,0))</f>
        <v>0.212884169069555</v>
      </c>
      <c r="H474" s="49" t="n">
        <f aca="false">LN(F474/G474)</f>
        <v>-0.23983838605097</v>
      </c>
    </row>
    <row r="475" customFormat="false" ht="15" hidden="false" customHeight="true" outlineLevel="0" collapsed="false">
      <c r="A475" s="38" t="s">
        <v>42</v>
      </c>
      <c r="B475" s="38" t="n">
        <v>42</v>
      </c>
      <c r="C475" s="38" t="s">
        <v>170</v>
      </c>
      <c r="D475" s="38" t="s">
        <v>868</v>
      </c>
      <c r="E475" s="38" t="str">
        <f aca="false">B475&amp;"|"&amp;C475</f>
        <v>42|C</v>
      </c>
      <c r="F475" s="45" t="n">
        <f aca="false">INDEX('Emission Stepwise'!$H$2:$H$289,MATCH(E475,'Emission Stepwise'!$C$2:$C$289,0))</f>
        <v>0.103448275862069</v>
      </c>
      <c r="G475" s="45" t="n">
        <f aca="false">INDEX(Background!$C$4:$C$7,MATCH(C475,Background!$A$4:$A$7,0))</f>
        <v>0.276812715380828</v>
      </c>
      <c r="H475" s="49" t="n">
        <f aca="false">LN(F475/G475)</f>
        <v>-0.984269422094134</v>
      </c>
    </row>
    <row r="476" customFormat="false" ht="15" hidden="false" customHeight="true" outlineLevel="0" collapsed="false">
      <c r="A476" s="38" t="s">
        <v>42</v>
      </c>
      <c r="B476" s="38" t="n">
        <v>43</v>
      </c>
      <c r="C476" s="38" t="s">
        <v>171</v>
      </c>
      <c r="D476" s="38" t="s">
        <v>868</v>
      </c>
      <c r="E476" s="38" t="str">
        <f aca="false">B476&amp;"|"&amp;C476</f>
        <v>43|U</v>
      </c>
      <c r="F476" s="45" t="n">
        <f aca="false">INDEX('Emission Stepwise'!$H$2:$H$289,MATCH(E476,'Emission Stepwise'!$C$2:$C$289,0))</f>
        <v>0.16256157635468</v>
      </c>
      <c r="G476" s="45" t="n">
        <f aca="false">INDEX(Background!$C$4:$C$7,MATCH(C476,Background!$A$4:$A$7,0))</f>
        <v>0.212884169069555</v>
      </c>
      <c r="H476" s="49" t="n">
        <f aca="false">LN(F476/G476)</f>
        <v>-0.269691349200651</v>
      </c>
    </row>
    <row r="477" customFormat="false" ht="15" hidden="false" customHeight="true" outlineLevel="0" collapsed="false">
      <c r="A477" s="38" t="s">
        <v>42</v>
      </c>
      <c r="B477" s="38" t="n">
        <v>44</v>
      </c>
      <c r="C477" s="38" t="s">
        <v>170</v>
      </c>
      <c r="D477" s="38" t="s">
        <v>868</v>
      </c>
      <c r="E477" s="38" t="str">
        <f aca="false">B477&amp;"|"&amp;C477</f>
        <v>44|C</v>
      </c>
      <c r="F477" s="45" t="n">
        <f aca="false">INDEX('Emission Stepwise'!$H$2:$H$289,MATCH(E477,'Emission Stepwise'!$C$2:$C$289,0))</f>
        <v>0.157635467980296</v>
      </c>
      <c r="G477" s="45" t="n">
        <f aca="false">INDEX(Background!$C$4:$C$7,MATCH(C477,Background!$A$4:$A$7,0))</f>
        <v>0.276812715380828</v>
      </c>
      <c r="H477" s="49" t="n">
        <f aca="false">LN(F477/G477)</f>
        <v>-0.56305595701783</v>
      </c>
    </row>
    <row r="478" customFormat="false" ht="15" hidden="false" customHeight="true" outlineLevel="0" collapsed="false">
      <c r="A478" s="38" t="s">
        <v>42</v>
      </c>
      <c r="B478" s="38" t="n">
        <v>45</v>
      </c>
      <c r="C478" s="38" t="s">
        <v>169</v>
      </c>
      <c r="D478" s="38" t="s">
        <v>869</v>
      </c>
      <c r="E478" s="38" t="str">
        <f aca="false">B478&amp;"|"&amp;C478</f>
        <v>45|G</v>
      </c>
      <c r="F478" s="45" t="n">
        <f aca="false">INDEX('Emission Stepwise'!$H$2:$H$289,MATCH(E478,'Emission Stepwise'!$C$2:$C$289,0))</f>
        <v>0.746268656716418</v>
      </c>
      <c r="G478" s="45" t="n">
        <f aca="false">INDEX(Background!$C$4:$C$7,MATCH(C478,Background!$A$4:$A$7,0))</f>
        <v>0.325128349391659</v>
      </c>
      <c r="H478" s="49" t="n">
        <f aca="false">LN(F478/G478)</f>
        <v>0.830865639445329</v>
      </c>
    </row>
    <row r="479" customFormat="false" ht="15" hidden="false" customHeight="true" outlineLevel="0" collapsed="false">
      <c r="A479" s="38" t="s">
        <v>42</v>
      </c>
      <c r="B479" s="38" t="n">
        <v>46</v>
      </c>
      <c r="C479" s="38" t="s">
        <v>172</v>
      </c>
      <c r="D479" s="38" t="s">
        <v>869</v>
      </c>
      <c r="E479" s="38" t="str">
        <f aca="false">B479&amp;"|"&amp;C479</f>
        <v>46|A</v>
      </c>
      <c r="F479" s="45" t="n">
        <f aca="false">INDEX('Emission Stepwise'!$H$2:$H$289,MATCH(E479,'Emission Stepwise'!$C$2:$C$289,0))</f>
        <v>0.0988372093023256</v>
      </c>
      <c r="G479" s="45" t="n">
        <f aca="false">INDEX(Background!$C$4:$C$7,MATCH(C479,Background!$A$4:$A$7,0))</f>
        <v>0.185174766157958</v>
      </c>
      <c r="H479" s="49" t="n">
        <f aca="false">LN(F479/G479)</f>
        <v>-0.627825914857172</v>
      </c>
    </row>
    <row r="480" customFormat="false" ht="15" hidden="false" customHeight="true" outlineLevel="0" collapsed="false">
      <c r="A480" s="38" t="s">
        <v>42</v>
      </c>
      <c r="B480" s="38" t="n">
        <v>47</v>
      </c>
      <c r="C480" s="38" t="s">
        <v>169</v>
      </c>
      <c r="D480" s="38" t="s">
        <v>869</v>
      </c>
      <c r="E480" s="38" t="str">
        <f aca="false">B480&amp;"|"&amp;C480</f>
        <v>47|G</v>
      </c>
      <c r="F480" s="45" t="n">
        <f aca="false">INDEX('Emission Stepwise'!$H$2:$H$289,MATCH(E480,'Emission Stepwise'!$C$2:$C$289,0))</f>
        <v>0.083743842364532</v>
      </c>
      <c r="G480" s="45" t="n">
        <f aca="false">INDEX(Background!$C$4:$C$7,MATCH(C480,Background!$A$4:$A$7,0))</f>
        <v>0.325128349391659</v>
      </c>
      <c r="H480" s="49" t="n">
        <f aca="false">LN(F480/G480)</f>
        <v>-1.35645738157742</v>
      </c>
    </row>
    <row r="481" customFormat="false" ht="15" hidden="false" customHeight="true" outlineLevel="0" collapsed="false">
      <c r="A481" s="38" t="s">
        <v>42</v>
      </c>
      <c r="B481" s="38" t="n">
        <v>48</v>
      </c>
      <c r="C481" s="38" t="s">
        <v>171</v>
      </c>
      <c r="D481" s="38" t="s">
        <v>869</v>
      </c>
      <c r="E481" s="38" t="str">
        <f aca="false">B481&amp;"|"&amp;C481</f>
        <v>48|U</v>
      </c>
      <c r="F481" s="45" t="n">
        <f aca="false">INDEX('Emission Stepwise'!$H$2:$H$289,MATCH(E481,'Emission Stepwise'!$C$2:$C$289,0))</f>
        <v>0.147783251231527</v>
      </c>
      <c r="G481" s="45" t="n">
        <f aca="false">INDEX(Background!$C$4:$C$7,MATCH(C481,Background!$A$4:$A$7,0))</f>
        <v>0.212884169069555</v>
      </c>
      <c r="H481" s="49" t="n">
        <f aca="false">LN(F481/G481)</f>
        <v>-0.365001529004976</v>
      </c>
    </row>
    <row r="482" customFormat="false" ht="15" hidden="false" customHeight="true" outlineLevel="0" collapsed="false">
      <c r="A482" s="38" t="s">
        <v>42</v>
      </c>
      <c r="B482" s="38" t="n">
        <v>49</v>
      </c>
      <c r="C482" s="38" t="s">
        <v>170</v>
      </c>
      <c r="D482" s="38" t="s">
        <v>870</v>
      </c>
      <c r="E482" s="38" t="str">
        <f aca="false">B482&amp;"|"&amp;C482</f>
        <v>49|C</v>
      </c>
      <c r="F482" s="45" t="n">
        <f aca="false">INDEX('Emission Stepwise'!$H$2:$H$289,MATCH(E482,'Emission Stepwise'!$C$2:$C$289,0))</f>
        <v>0.285714285714286</v>
      </c>
      <c r="G482" s="45" t="n">
        <f aca="false">INDEX(Background!$C$4:$C$7,MATCH(C482,Background!$A$4:$A$7,0))</f>
        <v>0.276812715380828</v>
      </c>
      <c r="H482" s="49" t="n">
        <f aca="false">LN(F482/G482)</f>
        <v>0.0316511507288624</v>
      </c>
    </row>
    <row r="483" customFormat="false" ht="15" hidden="false" customHeight="true" outlineLevel="0" collapsed="false">
      <c r="A483" s="38" t="s">
        <v>42</v>
      </c>
      <c r="B483" s="38" t="n">
        <v>50</v>
      </c>
      <c r="C483" s="38" t="s">
        <v>171</v>
      </c>
      <c r="D483" s="38" t="s">
        <v>870</v>
      </c>
      <c r="E483" s="38" t="str">
        <f aca="false">B483&amp;"|"&amp;C483</f>
        <v>50|U</v>
      </c>
      <c r="F483" s="45" t="n">
        <f aca="false">INDEX('Emission Stepwise'!$H$2:$H$289,MATCH(E483,'Emission Stepwise'!$C$2:$C$289,0))</f>
        <v>0.177339901477833</v>
      </c>
      <c r="G483" s="45" t="n">
        <f aca="false">INDEX(Background!$C$4:$C$7,MATCH(C483,Background!$A$4:$A$7,0))</f>
        <v>0.212884169069555</v>
      </c>
      <c r="H483" s="49" t="n">
        <f aca="false">LN(F483/G483)</f>
        <v>-0.182679972211022</v>
      </c>
    </row>
    <row r="484" customFormat="false" ht="15" hidden="false" customHeight="true" outlineLevel="0" collapsed="false">
      <c r="A484" s="38" t="s">
        <v>42</v>
      </c>
      <c r="B484" s="38" t="n">
        <v>51</v>
      </c>
      <c r="C484" s="38" t="s">
        <v>171</v>
      </c>
      <c r="D484" s="38" t="s">
        <v>870</v>
      </c>
      <c r="E484" s="38" t="str">
        <f aca="false">B484&amp;"|"&amp;C484</f>
        <v>51|U</v>
      </c>
      <c r="F484" s="45" t="n">
        <f aca="false">INDEX('Emission Stepwise'!$H$2:$H$289,MATCH(E484,'Emission Stepwise'!$C$2:$C$289,0))</f>
        <v>0.153465346534653</v>
      </c>
      <c r="G484" s="45" t="n">
        <f aca="false">INDEX(Background!$C$4:$C$7,MATCH(C484,Background!$A$4:$A$7,0))</f>
        <v>0.212884169069555</v>
      </c>
      <c r="H484" s="49" t="n">
        <f aca="false">LN(F484/G484)</f>
        <v>-0.327273424541403</v>
      </c>
    </row>
    <row r="485" customFormat="false" ht="15" hidden="false" customHeight="true" outlineLevel="0" collapsed="false">
      <c r="A485" s="38" t="s">
        <v>42</v>
      </c>
      <c r="B485" s="38" t="n">
        <v>52</v>
      </c>
      <c r="C485" s="38" t="s">
        <v>171</v>
      </c>
      <c r="D485" s="38" t="s">
        <v>870</v>
      </c>
      <c r="E485" s="38" t="str">
        <f aca="false">B485&amp;"|"&amp;C485</f>
        <v>52|U</v>
      </c>
      <c r="F485" s="45" t="n">
        <f aca="false">INDEX('Emission Stepwise'!$H$2:$H$289,MATCH(E485,'Emission Stepwise'!$C$2:$C$289,0))</f>
        <v>0.0246305418719212</v>
      </c>
      <c r="G485" s="45" t="n">
        <f aca="false">INDEX(Background!$C$4:$C$7,MATCH(C485,Background!$A$4:$A$7,0))</f>
        <v>0.212884169069555</v>
      </c>
      <c r="H485" s="49" t="n">
        <f aca="false">LN(F485/G485)</f>
        <v>-2.15676099823303</v>
      </c>
    </row>
    <row r="486" customFormat="false" ht="15" hidden="false" customHeight="true" outlineLevel="0" collapsed="false">
      <c r="A486" s="38" t="s">
        <v>42</v>
      </c>
      <c r="B486" s="38" t="n">
        <v>53</v>
      </c>
      <c r="C486" s="38" t="s">
        <v>169</v>
      </c>
      <c r="D486" s="38" t="s">
        <v>870</v>
      </c>
      <c r="E486" s="38" t="str">
        <f aca="false">B486&amp;"|"&amp;C486</f>
        <v>53|G</v>
      </c>
      <c r="F486" s="45" t="n">
        <f aca="false">INDEX('Emission Stepwise'!$H$2:$H$289,MATCH(E486,'Emission Stepwise'!$C$2:$C$289,0))</f>
        <v>0.96551724137931</v>
      </c>
      <c r="G486" s="45" t="n">
        <f aca="false">INDEX(Background!$C$4:$C$7,MATCH(C486,Background!$A$4:$A$7,0))</f>
        <v>0.325128349391659</v>
      </c>
      <c r="H486" s="49" t="n">
        <f aca="false">LN(F486/G486)</f>
        <v>1.08844393359688</v>
      </c>
    </row>
    <row r="487" customFormat="false" ht="15" hidden="false" customHeight="true" outlineLevel="0" collapsed="false">
      <c r="A487" s="38" t="s">
        <v>42</v>
      </c>
      <c r="B487" s="38" t="n">
        <v>54</v>
      </c>
      <c r="C487" s="38" t="s">
        <v>172</v>
      </c>
      <c r="D487" s="38" t="s">
        <v>870</v>
      </c>
      <c r="E487" s="38" t="str">
        <f aca="false">B487&amp;"|"&amp;C487</f>
        <v>54|A</v>
      </c>
      <c r="F487" s="45" t="n">
        <f aca="false">INDEX('Emission Stepwise'!$H$2:$H$289,MATCH(E487,'Emission Stepwise'!$C$2:$C$289,0))</f>
        <v>0.0147783251231527</v>
      </c>
      <c r="G487" s="45" t="n">
        <f aca="false">INDEX(Background!$C$4:$C$7,MATCH(C487,Background!$A$4:$A$7,0))</f>
        <v>0.185174766157958</v>
      </c>
      <c r="H487" s="49" t="n">
        <f aca="false">LN(F487/G487)</f>
        <v>-2.52813847247361</v>
      </c>
    </row>
    <row r="488" customFormat="false" ht="15" hidden="false" customHeight="true" outlineLevel="0" collapsed="false">
      <c r="A488" s="38" t="s">
        <v>42</v>
      </c>
      <c r="B488" s="38" t="n">
        <v>55</v>
      </c>
      <c r="C488" s="38" t="s">
        <v>170</v>
      </c>
      <c r="D488" s="38" t="s">
        <v>870</v>
      </c>
      <c r="E488" s="38" t="str">
        <f aca="false">B488&amp;"|"&amp;C488</f>
        <v>55|C</v>
      </c>
      <c r="F488" s="45" t="n">
        <f aca="false">INDEX('Emission Stepwise'!$H$2:$H$289,MATCH(E488,'Emission Stepwise'!$C$2:$C$289,0))</f>
        <v>0.00985221674876847</v>
      </c>
      <c r="G488" s="45" t="n">
        <f aca="false">INDEX(Background!$C$4:$C$7,MATCH(C488,Background!$A$4:$A$7,0))</f>
        <v>0.276812715380828</v>
      </c>
      <c r="H488" s="49" t="n">
        <f aca="false">LN(F488/G488)</f>
        <v>-3.33564467925761</v>
      </c>
    </row>
    <row r="489" customFormat="false" ht="15" hidden="false" customHeight="true" outlineLevel="0" collapsed="false">
      <c r="A489" s="38" t="s">
        <v>42</v>
      </c>
      <c r="B489" s="38" t="n">
        <v>56</v>
      </c>
      <c r="C489" s="38" t="s">
        <v>170</v>
      </c>
      <c r="D489" s="38" t="s">
        <v>870</v>
      </c>
      <c r="E489" s="38" t="str">
        <f aca="false">B489&amp;"|"&amp;C489</f>
        <v>56|C</v>
      </c>
      <c r="F489" s="45" t="n">
        <f aca="false">INDEX('Emission Stepwise'!$H$2:$H$289,MATCH(E489,'Emission Stepwise'!$C$2:$C$289,0))</f>
        <v>0.96551724137931</v>
      </c>
      <c r="G489" s="45" t="n">
        <f aca="false">INDEX(Background!$C$4:$C$7,MATCH(C489,Background!$A$4:$A$7,0))</f>
        <v>0.276812715380828</v>
      </c>
      <c r="H489" s="49" t="n">
        <f aca="false">LN(F489/G489)</f>
        <v>1.24932279941296</v>
      </c>
    </row>
    <row r="490" customFormat="false" ht="15" hidden="false" customHeight="true" outlineLevel="0" collapsed="false">
      <c r="A490" s="38" t="s">
        <v>42</v>
      </c>
      <c r="B490" s="38" t="n">
        <v>57</v>
      </c>
      <c r="C490" s="38" t="s">
        <v>171</v>
      </c>
      <c r="D490" s="38" t="s">
        <v>870</v>
      </c>
      <c r="E490" s="38" t="str">
        <f aca="false">B490&amp;"|"&amp;C490</f>
        <v>57|U</v>
      </c>
      <c r="F490" s="45" t="n">
        <f aca="false">INDEX('Emission Stepwise'!$H$2:$H$289,MATCH(E490,'Emission Stepwise'!$C$2:$C$289,0))</f>
        <v>0.0099009900990099</v>
      </c>
      <c r="G490" s="45" t="n">
        <f aca="false">INDEX(Background!$C$4:$C$7,MATCH(C490,Background!$A$4:$A$7,0))</f>
        <v>0.212884169069555</v>
      </c>
      <c r="H490" s="49" t="n">
        <f aca="false">LN(F490/G490)</f>
        <v>-3.0681134484666</v>
      </c>
    </row>
    <row r="491" customFormat="false" ht="15" hidden="false" customHeight="true" outlineLevel="0" collapsed="false">
      <c r="A491" s="38" t="s">
        <v>42</v>
      </c>
      <c r="B491" s="38" t="n">
        <v>58</v>
      </c>
      <c r="C491" s="38" t="s">
        <v>171</v>
      </c>
      <c r="D491" s="38" t="s">
        <v>870</v>
      </c>
      <c r="E491" s="38" t="str">
        <f aca="false">B491&amp;"|"&amp;C491</f>
        <v>58|U</v>
      </c>
      <c r="F491" s="45" t="n">
        <f aca="false">INDEX('Emission Stepwise'!$H$2:$H$289,MATCH(E491,'Emission Stepwise'!$C$2:$C$289,0))</f>
        <v>0.00985221674876847</v>
      </c>
      <c r="G491" s="45" t="n">
        <f aca="false">INDEX(Background!$C$4:$C$7,MATCH(C491,Background!$A$4:$A$7,0))</f>
        <v>0.212884169069555</v>
      </c>
      <c r="H491" s="49" t="n">
        <f aca="false">LN(F491/G491)</f>
        <v>-3.07305173010719</v>
      </c>
    </row>
    <row r="492" customFormat="false" ht="15" hidden="false" customHeight="true" outlineLevel="0" collapsed="false">
      <c r="A492" s="38" t="s">
        <v>42</v>
      </c>
      <c r="B492" s="38" t="n">
        <v>59</v>
      </c>
      <c r="C492" s="38" t="s">
        <v>171</v>
      </c>
      <c r="D492" s="38" t="s">
        <v>870</v>
      </c>
      <c r="E492" s="38" t="str">
        <f aca="false">B492&amp;"|"&amp;C492</f>
        <v>59|U</v>
      </c>
      <c r="F492" s="45" t="n">
        <f aca="false">INDEX('Emission Stepwise'!$H$2:$H$289,MATCH(E492,'Emission Stepwise'!$C$2:$C$289,0))</f>
        <v>0.251231527093596</v>
      </c>
      <c r="G492" s="45" t="n">
        <f aca="false">INDEX(Background!$C$4:$C$7,MATCH(C492,Background!$A$4:$A$7,0))</f>
        <v>0.212884169069555</v>
      </c>
      <c r="H492" s="49" t="n">
        <f aca="false">LN(F492/G492)</f>
        <v>0.165626722057194</v>
      </c>
    </row>
    <row r="493" customFormat="false" ht="15" hidden="false" customHeight="true" outlineLevel="0" collapsed="false">
      <c r="A493" s="38" t="s">
        <v>42</v>
      </c>
      <c r="B493" s="38" t="n">
        <v>60</v>
      </c>
      <c r="C493" s="38" t="s">
        <v>171</v>
      </c>
      <c r="D493" s="38" t="s">
        <v>870</v>
      </c>
      <c r="E493" s="38" t="str">
        <f aca="false">B493&amp;"|"&amp;C493</f>
        <v>60|U</v>
      </c>
      <c r="F493" s="45" t="n">
        <f aca="false">INDEX('Emission Stepwise'!$H$2:$H$289,MATCH(E493,'Emission Stepwise'!$C$2:$C$289,0))</f>
        <v>0.773399014778325</v>
      </c>
      <c r="G493" s="45" t="n">
        <f aca="false">INDEX(Background!$C$4:$C$7,MATCH(C493,Background!$A$4:$A$7,0))</f>
        <v>0.212884169069555</v>
      </c>
      <c r="H493" s="49" t="n">
        <f aca="false">LN(F493/G493)</f>
        <v>1.29004689468118</v>
      </c>
    </row>
    <row r="494" customFormat="false" ht="15" hidden="false" customHeight="true" outlineLevel="0" collapsed="false">
      <c r="A494" s="38" t="s">
        <v>42</v>
      </c>
      <c r="B494" s="38" t="n">
        <v>61</v>
      </c>
      <c r="C494" s="38" t="s">
        <v>170</v>
      </c>
      <c r="D494" s="38" t="s">
        <v>870</v>
      </c>
      <c r="E494" s="38" t="str">
        <f aca="false">B494&amp;"|"&amp;C494</f>
        <v>61|C</v>
      </c>
      <c r="F494" s="45" t="n">
        <f aca="false">INDEX('Emission Stepwise'!$H$2:$H$289,MATCH(E494,'Emission Stepwise'!$C$2:$C$289,0))</f>
        <v>0.975369458128079</v>
      </c>
      <c r="G494" s="45" t="n">
        <f aca="false">INDEX(Background!$C$4:$C$7,MATCH(C494,Background!$A$4:$A$7,0))</f>
        <v>0.276812715380828</v>
      </c>
      <c r="H494" s="49" t="n">
        <f aca="false">LN(F494/G494)</f>
        <v>1.25947517087698</v>
      </c>
    </row>
    <row r="495" customFormat="false" ht="15" hidden="false" customHeight="true" outlineLevel="0" collapsed="false">
      <c r="A495" s="38" t="s">
        <v>42</v>
      </c>
      <c r="B495" s="38" t="n">
        <v>62</v>
      </c>
      <c r="C495" s="38" t="s">
        <v>172</v>
      </c>
      <c r="D495" s="38" t="s">
        <v>870</v>
      </c>
      <c r="E495" s="38" t="str">
        <f aca="false">B495&amp;"|"&amp;C495</f>
        <v>62|A</v>
      </c>
      <c r="F495" s="45" t="n">
        <f aca="false">INDEX('Emission Stepwise'!$H$2:$H$289,MATCH(E495,'Emission Stepwise'!$C$2:$C$289,0))</f>
        <v>0.0197044334975369</v>
      </c>
      <c r="G495" s="45" t="n">
        <f aca="false">INDEX(Background!$C$4:$C$7,MATCH(C495,Background!$A$4:$A$7,0))</f>
        <v>0.185174766157958</v>
      </c>
      <c r="H495" s="49" t="n">
        <f aca="false">LN(F495/G495)</f>
        <v>-2.24045640002183</v>
      </c>
    </row>
    <row r="496" customFormat="false" ht="15" hidden="false" customHeight="true" outlineLevel="0" collapsed="false">
      <c r="A496" s="38" t="s">
        <v>42</v>
      </c>
      <c r="B496" s="38" t="n">
        <v>63</v>
      </c>
      <c r="C496" s="38" t="s">
        <v>169</v>
      </c>
      <c r="D496" s="38" t="s">
        <v>870</v>
      </c>
      <c r="E496" s="38" t="str">
        <f aca="false">B496&amp;"|"&amp;C496</f>
        <v>63|G</v>
      </c>
      <c r="F496" s="45" t="n">
        <f aca="false">INDEX('Emission Stepwise'!$H$2:$H$289,MATCH(E496,'Emission Stepwise'!$C$2:$C$289,0))</f>
        <v>0.241379310344828</v>
      </c>
      <c r="G496" s="45" t="n">
        <f aca="false">INDEX(Background!$C$4:$C$7,MATCH(C496,Background!$A$4:$A$7,0))</f>
        <v>0.325128349391659</v>
      </c>
      <c r="H496" s="49" t="n">
        <f aca="false">LN(F496/G496)</f>
        <v>-0.297850427523012</v>
      </c>
    </row>
    <row r="497" customFormat="false" ht="15" hidden="false" customHeight="true" outlineLevel="0" collapsed="false">
      <c r="A497" s="38" t="s">
        <v>42</v>
      </c>
      <c r="B497" s="38" t="n">
        <v>64</v>
      </c>
      <c r="C497" s="38" t="s">
        <v>169</v>
      </c>
      <c r="D497" s="38" t="s">
        <v>870</v>
      </c>
      <c r="E497" s="38" t="str">
        <f aca="false">B497&amp;"|"&amp;C497</f>
        <v>64|G</v>
      </c>
      <c r="F497" s="45" t="n">
        <f aca="false">INDEX('Emission Stepwise'!$H$2:$H$289,MATCH(E497,'Emission Stepwise'!$C$2:$C$289,0))</f>
        <v>0.458128078817734</v>
      </c>
      <c r="G497" s="45" t="n">
        <f aca="false">INDEX(Background!$C$4:$C$7,MATCH(C497,Background!$A$4:$A$7,0))</f>
        <v>0.325128349391659</v>
      </c>
      <c r="H497" s="49" t="n">
        <f aca="false">LN(F497/G497)</f>
        <v>0.342928767519618</v>
      </c>
    </row>
    <row r="498" customFormat="false" ht="15" hidden="false" customHeight="true" outlineLevel="0" collapsed="false">
      <c r="A498" s="38" t="s">
        <v>42</v>
      </c>
      <c r="B498" s="38" t="n">
        <v>65</v>
      </c>
      <c r="C498" s="38" t="s">
        <v>172</v>
      </c>
      <c r="D498" s="38" t="s">
        <v>870</v>
      </c>
      <c r="E498" s="38" t="str">
        <f aca="false">B498&amp;"|"&amp;C498</f>
        <v>65|A</v>
      </c>
      <c r="F498" s="45" t="n">
        <f aca="false">INDEX('Emission Stepwise'!$H$2:$H$289,MATCH(E498,'Emission Stepwise'!$C$2:$C$289,0))</f>
        <v>0.0495049504950495</v>
      </c>
      <c r="G498" s="45" t="n">
        <f aca="false">INDEX(Background!$C$4:$C$7,MATCH(C498,Background!$A$4:$A$7,0))</f>
        <v>0.185174766157958</v>
      </c>
      <c r="H498" s="49" t="n">
        <f aca="false">LN(F498/G498)</f>
        <v>-1.31922738650709</v>
      </c>
    </row>
    <row r="499" customFormat="false" ht="15" hidden="false" customHeight="true" outlineLevel="0" collapsed="false">
      <c r="A499" s="38" t="s">
        <v>42</v>
      </c>
      <c r="B499" s="38" t="n">
        <v>66</v>
      </c>
      <c r="C499" s="38" t="s">
        <v>171</v>
      </c>
      <c r="D499" s="38" t="s">
        <v>871</v>
      </c>
      <c r="E499" s="38" t="str">
        <f aca="false">B499&amp;"|"&amp;C499</f>
        <v>66|U</v>
      </c>
      <c r="F499" s="45" t="n">
        <f aca="false">INDEX('Emission Stepwise'!$H$2:$H$289,MATCH(E499,'Emission Stepwise'!$C$2:$C$289,0))</f>
        <v>0.246305418719212</v>
      </c>
      <c r="G499" s="45" t="n">
        <f aca="false">INDEX(Background!$C$4:$C$7,MATCH(C499,Background!$A$4:$A$7,0))</f>
        <v>0.212884169069555</v>
      </c>
      <c r="H499" s="49" t="n">
        <f aca="false">LN(F499/G499)</f>
        <v>0.145824094761015</v>
      </c>
    </row>
    <row r="500" customFormat="false" ht="15" hidden="false" customHeight="true" outlineLevel="0" collapsed="false">
      <c r="A500" s="38" t="s">
        <v>42</v>
      </c>
      <c r="B500" s="38" t="n">
        <v>67</v>
      </c>
      <c r="C500" s="38" t="s">
        <v>169</v>
      </c>
      <c r="D500" s="38" t="s">
        <v>871</v>
      </c>
      <c r="E500" s="38" t="str">
        <f aca="false">B500&amp;"|"&amp;C500</f>
        <v>67|G</v>
      </c>
      <c r="F500" s="45" t="n">
        <f aca="false">INDEX('Emission Stepwise'!$H$2:$H$289,MATCH(E500,'Emission Stepwise'!$C$2:$C$289,0))</f>
        <v>0.374384236453202</v>
      </c>
      <c r="G500" s="45" t="n">
        <f aca="false">INDEX(Background!$C$4:$C$7,MATCH(C500,Background!$A$4:$A$7,0))</f>
        <v>0.325128349391659</v>
      </c>
      <c r="H500" s="49" t="n">
        <f aca="false">LN(F500/G500)</f>
        <v>0.141062614652693</v>
      </c>
    </row>
    <row r="501" customFormat="false" ht="15" hidden="false" customHeight="true" outlineLevel="0" collapsed="false">
      <c r="A501" s="38" t="s">
        <v>42</v>
      </c>
      <c r="B501" s="38" t="n">
        <v>68</v>
      </c>
      <c r="C501" s="38" t="s">
        <v>170</v>
      </c>
      <c r="D501" s="38" t="s">
        <v>871</v>
      </c>
      <c r="E501" s="38" t="str">
        <f aca="false">B501&amp;"|"&amp;C501</f>
        <v>68|C</v>
      </c>
      <c r="F501" s="45" t="n">
        <f aca="false">INDEX('Emission Stepwise'!$H$2:$H$289,MATCH(E501,'Emission Stepwise'!$C$2:$C$289,0))</f>
        <v>0.310344827586207</v>
      </c>
      <c r="G501" s="45" t="n">
        <f aca="false">INDEX(Background!$C$4:$C$7,MATCH(C501,Background!$A$4:$A$7,0))</f>
        <v>0.276812715380828</v>
      </c>
      <c r="H501" s="49" t="n">
        <f aca="false">LN(F501/G501)</f>
        <v>0.114342866573976</v>
      </c>
    </row>
    <row r="502" customFormat="false" ht="15" hidden="false" customHeight="true" outlineLevel="0" collapsed="false">
      <c r="A502" s="38" t="s">
        <v>42</v>
      </c>
      <c r="B502" s="38" t="n">
        <v>69</v>
      </c>
      <c r="C502" s="38" t="s">
        <v>172</v>
      </c>
      <c r="D502" s="38" t="s">
        <v>871</v>
      </c>
      <c r="E502" s="38" t="str">
        <f aca="false">B502&amp;"|"&amp;C502</f>
        <v>69|A</v>
      </c>
      <c r="F502" s="45" t="n">
        <f aca="false">INDEX('Emission Stepwise'!$H$2:$H$289,MATCH(E502,'Emission Stepwise'!$C$2:$C$289,0))</f>
        <v>0.12807881773399</v>
      </c>
      <c r="G502" s="45" t="n">
        <f aca="false">INDEX(Background!$C$4:$C$7,MATCH(C502,Background!$A$4:$A$7,0))</f>
        <v>0.185174766157958</v>
      </c>
      <c r="H502" s="49" t="n">
        <f aca="false">LN(F502/G502)</f>
        <v>-0.36865422312024</v>
      </c>
    </row>
    <row r="503" customFormat="false" ht="15" hidden="false" customHeight="true" outlineLevel="0" collapsed="false">
      <c r="A503" s="38" t="s">
        <v>42</v>
      </c>
      <c r="B503" s="38" t="n">
        <v>70</v>
      </c>
      <c r="C503" s="38" t="s">
        <v>170</v>
      </c>
      <c r="D503" s="38" t="s">
        <v>871</v>
      </c>
      <c r="E503" s="38" t="str">
        <f aca="false">B503&amp;"|"&amp;C503</f>
        <v>70|C</v>
      </c>
      <c r="F503" s="45" t="n">
        <f aca="false">INDEX('Emission Stepwise'!$H$2:$H$289,MATCH(E503,'Emission Stepwise'!$C$2:$C$289,0))</f>
        <v>0.354679802955665</v>
      </c>
      <c r="G503" s="45" t="n">
        <f aca="false">INDEX(Background!$C$4:$C$7,MATCH(C503,Background!$A$4:$A$7,0))</f>
        <v>0.276812715380828</v>
      </c>
      <c r="H503" s="49" t="n">
        <f aca="false">LN(F503/G503)</f>
        <v>0.247874259198498</v>
      </c>
    </row>
    <row r="504" customFormat="false" ht="15" hidden="false" customHeight="true" outlineLevel="0" collapsed="false">
      <c r="A504" s="38" t="s">
        <v>42</v>
      </c>
      <c r="B504" s="38" t="n">
        <v>71</v>
      </c>
      <c r="C504" s="38" t="s">
        <v>171</v>
      </c>
      <c r="D504" s="38" t="s">
        <v>871</v>
      </c>
      <c r="E504" s="38" t="str">
        <f aca="false">B504&amp;"|"&amp;C504</f>
        <v>71|U</v>
      </c>
      <c r="F504" s="45" t="n">
        <f aca="false">INDEX('Emission Stepwise'!$H$2:$H$289,MATCH(E504,'Emission Stepwise'!$C$2:$C$289,0))</f>
        <v>0.0492610837438424</v>
      </c>
      <c r="G504" s="45" t="n">
        <f aca="false">INDEX(Background!$C$4:$C$7,MATCH(C504,Background!$A$4:$A$7,0))</f>
        <v>0.212884169069555</v>
      </c>
      <c r="H504" s="49" t="n">
        <f aca="false">LN(F504/G504)</f>
        <v>-1.46361381767309</v>
      </c>
    </row>
    <row r="505" customFormat="false" ht="15" hidden="false" customHeight="true" outlineLevel="0" collapsed="false">
      <c r="A505" s="38" t="s">
        <v>42</v>
      </c>
      <c r="B505" s="38" t="n">
        <v>72</v>
      </c>
      <c r="C505" s="38" t="s">
        <v>172</v>
      </c>
      <c r="D505" s="38" t="s">
        <v>871</v>
      </c>
      <c r="E505" s="38" t="str">
        <f aca="false">B505&amp;"|"&amp;C505</f>
        <v>72|A</v>
      </c>
      <c r="F505" s="45" t="n">
        <f aca="false">INDEX('Emission Stepwise'!$H$2:$H$289,MATCH(E505,'Emission Stepwise'!$C$2:$C$289,0))</f>
        <v>0.083743842364532</v>
      </c>
      <c r="G505" s="45" t="n">
        <f aca="false">INDEX(Background!$C$4:$C$7,MATCH(C505,Background!$A$4:$A$7,0))</f>
        <v>0.185174766157958</v>
      </c>
      <c r="H505" s="49" t="n">
        <f aca="false">LN(F505/G505)</f>
        <v>-0.793537417085506</v>
      </c>
    </row>
    <row r="506" customFormat="false" ht="15" hidden="false" customHeight="true" outlineLevel="0" collapsed="false">
      <c r="A506" s="38" t="s">
        <v>34</v>
      </c>
      <c r="B506" s="38" t="n">
        <v>1</v>
      </c>
      <c r="C506" s="38" t="s">
        <v>169</v>
      </c>
      <c r="D506" s="38" t="s">
        <v>865</v>
      </c>
      <c r="E506" s="38" t="str">
        <f aca="false">B506&amp;"|"&amp;C506</f>
        <v>1|G</v>
      </c>
      <c r="F506" s="45" t="n">
        <f aca="false">INDEX('Emission Stepwise'!$H$2:$H$289,MATCH(E506,'Emission Stepwise'!$C$2:$C$289,0))</f>
        <v>0.753694581280788</v>
      </c>
      <c r="G506" s="45" t="n">
        <f aca="false">INDEX(Background!$C$4:$C$7,MATCH(C506,Background!$A$4:$A$7,0))</f>
        <v>0.325128349391659</v>
      </c>
      <c r="H506" s="49" t="n">
        <f aca="false">LN(F506/G506)</f>
        <v>0.840767195758797</v>
      </c>
    </row>
    <row r="507" customFormat="false" ht="15" hidden="false" customHeight="true" outlineLevel="0" collapsed="false">
      <c r="A507" s="38" t="s">
        <v>34</v>
      </c>
      <c r="B507" s="38" t="n">
        <v>2</v>
      </c>
      <c r="C507" s="38" t="s">
        <v>171</v>
      </c>
      <c r="D507" s="38" t="s">
        <v>865</v>
      </c>
      <c r="E507" s="38" t="str">
        <f aca="false">B507&amp;"|"&amp;C507</f>
        <v>2|U</v>
      </c>
      <c r="F507" s="45" t="n">
        <f aca="false">INDEX('Emission Stepwise'!$H$2:$H$289,MATCH(E507,'Emission Stepwise'!$C$2:$C$289,0))</f>
        <v>0.0344827586206897</v>
      </c>
      <c r="G507" s="45" t="n">
        <f aca="false">INDEX(Background!$C$4:$C$7,MATCH(C507,Background!$A$4:$A$7,0))</f>
        <v>0.212884169069555</v>
      </c>
      <c r="H507" s="49" t="n">
        <f aca="false">LN(F507/G507)</f>
        <v>-1.82028876161182</v>
      </c>
    </row>
    <row r="508" customFormat="false" ht="15" hidden="false" customHeight="true" outlineLevel="0" collapsed="false">
      <c r="A508" s="38" t="s">
        <v>34</v>
      </c>
      <c r="B508" s="38" t="n">
        <v>3</v>
      </c>
      <c r="C508" s="38" t="s">
        <v>170</v>
      </c>
      <c r="D508" s="38" t="s">
        <v>865</v>
      </c>
      <c r="E508" s="38" t="str">
        <f aca="false">B508&amp;"|"&amp;C508</f>
        <v>3|C</v>
      </c>
      <c r="F508" s="45" t="n">
        <f aca="false">INDEX('Emission Stepwise'!$H$2:$H$289,MATCH(E508,'Emission Stepwise'!$C$2:$C$289,0))</f>
        <v>0.38423645320197</v>
      </c>
      <c r="G508" s="45" t="n">
        <f aca="false">INDEX(Background!$C$4:$C$7,MATCH(C508,Background!$A$4:$A$7,0))</f>
        <v>0.276812715380828</v>
      </c>
      <c r="H508" s="49" t="n">
        <f aca="false">LN(F508/G508)</f>
        <v>0.327916966872035</v>
      </c>
    </row>
    <row r="509" customFormat="false" ht="15" hidden="false" customHeight="true" outlineLevel="0" collapsed="false">
      <c r="A509" s="38" t="s">
        <v>34</v>
      </c>
      <c r="B509" s="38" t="n">
        <v>4</v>
      </c>
      <c r="C509" s="38" t="s">
        <v>172</v>
      </c>
      <c r="D509" s="38" t="s">
        <v>865</v>
      </c>
      <c r="E509" s="38" t="str">
        <f aca="false">B509&amp;"|"&amp;C509</f>
        <v>4|A</v>
      </c>
      <c r="F509" s="45" t="n">
        <f aca="false">INDEX('Emission Stepwise'!$H$2:$H$289,MATCH(E509,'Emission Stepwise'!$C$2:$C$289,0))</f>
        <v>0.0788177339901478</v>
      </c>
      <c r="G509" s="45" t="n">
        <f aca="false">INDEX(Background!$C$4:$C$7,MATCH(C509,Background!$A$4:$A$7,0))</f>
        <v>0.185174766157958</v>
      </c>
      <c r="H509" s="49" t="n">
        <f aca="false">LN(F509/G509)</f>
        <v>-0.854162038901941</v>
      </c>
    </row>
    <row r="510" customFormat="false" ht="15" hidden="false" customHeight="true" outlineLevel="0" collapsed="false">
      <c r="A510" s="38" t="s">
        <v>34</v>
      </c>
      <c r="B510" s="38" t="n">
        <v>5</v>
      </c>
      <c r="C510" s="38" t="s">
        <v>169</v>
      </c>
      <c r="D510" s="38" t="s">
        <v>865</v>
      </c>
      <c r="E510" s="38" t="str">
        <f aca="false">B510&amp;"|"&amp;C510</f>
        <v>5|G</v>
      </c>
      <c r="F510" s="45" t="n">
        <f aca="false">INDEX('Emission Stepwise'!$H$2:$H$289,MATCH(E510,'Emission Stepwise'!$C$2:$C$289,0))</f>
        <v>0.344827586206897</v>
      </c>
      <c r="G510" s="45" t="n">
        <f aca="false">INDEX(Background!$C$4:$C$7,MATCH(C510,Background!$A$4:$A$7,0))</f>
        <v>0.325128349391659</v>
      </c>
      <c r="H510" s="49" t="n">
        <f aca="false">LN(F510/G510)</f>
        <v>0.0588245164157209</v>
      </c>
    </row>
    <row r="511" customFormat="false" ht="15" hidden="false" customHeight="true" outlineLevel="0" collapsed="false">
      <c r="A511" s="38" t="s">
        <v>34</v>
      </c>
      <c r="B511" s="38" t="n">
        <v>6</v>
      </c>
      <c r="C511" s="38" t="s">
        <v>169</v>
      </c>
      <c r="D511" s="38" t="s">
        <v>865</v>
      </c>
      <c r="E511" s="38" t="str">
        <f aca="false">B511&amp;"|"&amp;C511</f>
        <v>6|G</v>
      </c>
      <c r="F511" s="45" t="n">
        <f aca="false">INDEX('Emission Stepwise'!$H$2:$H$289,MATCH(E511,'Emission Stepwise'!$C$2:$C$289,0))</f>
        <v>0.241379310344828</v>
      </c>
      <c r="G511" s="45" t="n">
        <f aca="false">INDEX(Background!$C$4:$C$7,MATCH(C511,Background!$A$4:$A$7,0))</f>
        <v>0.325128349391659</v>
      </c>
      <c r="H511" s="49" t="n">
        <f aca="false">LN(F511/G511)</f>
        <v>-0.297850427523012</v>
      </c>
    </row>
    <row r="512" customFormat="false" ht="15" hidden="false" customHeight="true" outlineLevel="0" collapsed="false">
      <c r="A512" s="38" t="s">
        <v>34</v>
      </c>
      <c r="B512" s="38" t="n">
        <v>7</v>
      </c>
      <c r="C512" s="38" t="s">
        <v>169</v>
      </c>
      <c r="D512" s="38" t="s">
        <v>865</v>
      </c>
      <c r="E512" s="38" t="str">
        <f aca="false">B512&amp;"|"&amp;C512</f>
        <v>7|G</v>
      </c>
      <c r="F512" s="45" t="n">
        <f aca="false">INDEX('Emission Stepwise'!$H$2:$H$289,MATCH(E512,'Emission Stepwise'!$C$2:$C$289,0))</f>
        <v>0.522167487684729</v>
      </c>
      <c r="G512" s="45" t="n">
        <f aca="false">INDEX(Background!$C$4:$C$7,MATCH(C512,Background!$A$4:$A$7,0))</f>
        <v>0.325128349391659</v>
      </c>
      <c r="H512" s="49" t="n">
        <f aca="false">LN(F512/G512)</f>
        <v>0.473768368478429</v>
      </c>
    </row>
    <row r="513" customFormat="false" ht="15" hidden="false" customHeight="true" outlineLevel="0" collapsed="false">
      <c r="A513" s="38" t="s">
        <v>34</v>
      </c>
      <c r="B513" s="38" t="n">
        <v>8</v>
      </c>
      <c r="C513" s="38" t="s">
        <v>171</v>
      </c>
      <c r="D513" s="38" t="s">
        <v>866</v>
      </c>
      <c r="E513" s="38" t="str">
        <f aca="false">B513&amp;"|"&amp;C513</f>
        <v>8|U</v>
      </c>
      <c r="F513" s="45" t="n">
        <f aca="false">INDEX('Emission Stepwise'!$H$2:$H$289,MATCH(E513,'Emission Stepwise'!$C$2:$C$289,0))</f>
        <v>0.975369458128079</v>
      </c>
      <c r="G513" s="45" t="n">
        <f aca="false">INDEX(Background!$C$4:$C$7,MATCH(C513,Background!$A$4:$A$7,0))</f>
        <v>0.212884169069555</v>
      </c>
      <c r="H513" s="49" t="n">
        <f aca="false">LN(F513/G513)</f>
        <v>1.5220681200274</v>
      </c>
    </row>
    <row r="514" customFormat="false" ht="15" hidden="false" customHeight="true" outlineLevel="0" collapsed="false">
      <c r="A514" s="38" t="s">
        <v>34</v>
      </c>
      <c r="B514" s="38" t="n">
        <v>9</v>
      </c>
      <c r="C514" s="38" t="s">
        <v>170</v>
      </c>
      <c r="D514" s="38" t="s">
        <v>867</v>
      </c>
      <c r="E514" s="38" t="str">
        <f aca="false">B514&amp;"|"&amp;C514</f>
        <v>9|C</v>
      </c>
      <c r="F514" s="45" t="n">
        <f aca="false">INDEX('Emission Stepwise'!$H$2:$H$289,MATCH(E514,'Emission Stepwise'!$C$2:$C$289,0))</f>
        <v>0.0396039603960396</v>
      </c>
      <c r="G514" s="45" t="n">
        <f aca="false">INDEX(Background!$C$4:$C$7,MATCH(C514,Background!$A$4:$A$7,0))</f>
        <v>0.276812715380828</v>
      </c>
      <c r="H514" s="49" t="n">
        <f aca="false">LN(F514/G514)</f>
        <v>-1.94441203649714</v>
      </c>
    </row>
    <row r="515" customFormat="false" ht="15" hidden="false" customHeight="true" outlineLevel="0" collapsed="false">
      <c r="A515" s="38" t="s">
        <v>34</v>
      </c>
      <c r="B515" s="38" t="n">
        <v>10</v>
      </c>
      <c r="C515" s="38" t="s">
        <v>172</v>
      </c>
      <c r="D515" s="38" t="s">
        <v>867</v>
      </c>
      <c r="E515" s="38" t="str">
        <f aca="false">B515&amp;"|"&amp;C515</f>
        <v>10|A</v>
      </c>
      <c r="F515" s="45" t="n">
        <f aca="false">INDEX('Emission Stepwise'!$H$2:$H$289,MATCH(E515,'Emission Stepwise'!$C$2:$C$289,0))</f>
        <v>0.00492610837438424</v>
      </c>
      <c r="G515" s="45" t="n">
        <f aca="false">INDEX(Background!$C$4:$C$7,MATCH(C515,Background!$A$4:$A$7,0))</f>
        <v>0.185174766157958</v>
      </c>
      <c r="H515" s="49" t="n">
        <f aca="false">LN(F515/G515)</f>
        <v>-3.62675076114172</v>
      </c>
    </row>
    <row r="516" customFormat="false" ht="15" hidden="false" customHeight="true" outlineLevel="0" collapsed="false">
      <c r="A516" s="38" t="s">
        <v>34</v>
      </c>
      <c r="B516" s="38" t="n">
        <v>11</v>
      </c>
      <c r="C516" s="38" t="s">
        <v>172</v>
      </c>
      <c r="D516" s="38" t="s">
        <v>867</v>
      </c>
      <c r="E516" s="38" t="str">
        <f aca="false">B516&amp;"|"&amp;C516</f>
        <v>11|A</v>
      </c>
      <c r="F516" s="45" t="n">
        <f aca="false">INDEX('Emission Stepwise'!$H$2:$H$289,MATCH(E516,'Emission Stepwise'!$C$2:$C$289,0))</f>
        <v>0.0394088669950739</v>
      </c>
      <c r="G516" s="45" t="n">
        <f aca="false">INDEX(Background!$C$4:$C$7,MATCH(C516,Background!$A$4:$A$7,0))</f>
        <v>0.185174766157958</v>
      </c>
      <c r="H516" s="49" t="n">
        <f aca="false">LN(F516/G516)</f>
        <v>-1.54730921946189</v>
      </c>
    </row>
    <row r="517" customFormat="false" ht="15" hidden="false" customHeight="true" outlineLevel="0" collapsed="false">
      <c r="A517" s="38" t="s">
        <v>34</v>
      </c>
      <c r="B517" s="38" t="n">
        <v>12</v>
      </c>
      <c r="C517" s="38" t="s">
        <v>169</v>
      </c>
      <c r="D517" s="38" t="s">
        <v>867</v>
      </c>
      <c r="E517" s="38" t="str">
        <f aca="false">B517&amp;"|"&amp;C517</f>
        <v>12|G</v>
      </c>
      <c r="F517" s="45" t="n">
        <f aca="false">INDEX('Emission Stepwise'!$H$2:$H$289,MATCH(E517,'Emission Stepwise'!$C$2:$C$289,0))</f>
        <v>0.192118226600985</v>
      </c>
      <c r="G517" s="45" t="n">
        <f aca="false">INDEX(Background!$C$4:$C$7,MATCH(C517,Background!$A$4:$A$7,0))</f>
        <v>0.325128349391659</v>
      </c>
      <c r="H517" s="49" t="n">
        <f aca="false">LN(F517/G517)</f>
        <v>-0.526109079503992</v>
      </c>
    </row>
    <row r="518" customFormat="false" ht="15" hidden="false" customHeight="true" outlineLevel="0" collapsed="false">
      <c r="A518" s="38" t="s">
        <v>34</v>
      </c>
      <c r="B518" s="38" t="n">
        <v>13</v>
      </c>
      <c r="C518" s="38" t="s">
        <v>172</v>
      </c>
      <c r="D518" s="38" t="s">
        <v>867</v>
      </c>
      <c r="E518" s="38" t="str">
        <f aca="false">B518&amp;"|"&amp;C518</f>
        <v>13|A</v>
      </c>
      <c r="F518" s="45" t="n">
        <f aca="false">INDEX('Emission Stepwise'!$H$2:$H$289,MATCH(E518,'Emission Stepwise'!$C$2:$C$289,0))</f>
        <v>0.0689655172413793</v>
      </c>
      <c r="G518" s="45" t="n">
        <f aca="false">INDEX(Background!$C$4:$C$7,MATCH(C518,Background!$A$4:$A$7,0))</f>
        <v>0.185174766157958</v>
      </c>
      <c r="H518" s="49" t="n">
        <f aca="false">LN(F518/G518)</f>
        <v>-0.987693431526464</v>
      </c>
    </row>
    <row r="519" customFormat="false" ht="15" hidden="false" customHeight="true" outlineLevel="0" collapsed="false">
      <c r="A519" s="38" t="s">
        <v>34</v>
      </c>
      <c r="B519" s="38" t="n">
        <v>14</v>
      </c>
      <c r="C519" s="38" t="s">
        <v>172</v>
      </c>
      <c r="D519" s="38" t="s">
        <v>867</v>
      </c>
      <c r="E519" s="38" t="str">
        <f aca="false">B519&amp;"|"&amp;C519</f>
        <v>14|A</v>
      </c>
      <c r="F519" s="45" t="n">
        <f aca="false">INDEX('Emission Stepwise'!$H$2:$H$289,MATCH(E519,'Emission Stepwise'!$C$2:$C$289,0))</f>
        <v>0.975369458128079</v>
      </c>
      <c r="G519" s="45" t="n">
        <f aca="false">INDEX(Background!$C$4:$C$7,MATCH(C519,Background!$A$4:$A$7,0))</f>
        <v>0.185174766157958</v>
      </c>
      <c r="H519" s="49" t="n">
        <f aca="false">LN(F519/G519)</f>
        <v>1.66151626955281</v>
      </c>
    </row>
    <row r="520" customFormat="false" ht="15" hidden="false" customHeight="true" outlineLevel="0" collapsed="false">
      <c r="A520" s="38" t="s">
        <v>34</v>
      </c>
      <c r="B520" s="38" t="n">
        <v>15</v>
      </c>
      <c r="C520" s="38" t="s">
        <v>172</v>
      </c>
      <c r="D520" s="38" t="s">
        <v>867</v>
      </c>
      <c r="E520" s="38" t="str">
        <f aca="false">B520&amp;"|"&amp;C520</f>
        <v>15|A</v>
      </c>
      <c r="F520" s="45" t="n">
        <f aca="false">INDEX('Emission Stepwise'!$H$2:$H$289,MATCH(E520,'Emission Stepwise'!$C$2:$C$289,0))</f>
        <v>0.168316831683168</v>
      </c>
      <c r="G520" s="45" t="n">
        <f aca="false">INDEX(Background!$C$4:$C$7,MATCH(C520,Background!$A$4:$A$7,0))</f>
        <v>0.185174766157958</v>
      </c>
      <c r="H520" s="49" t="n">
        <f aca="false">LN(F520/G520)</f>
        <v>-0.0954519548849783</v>
      </c>
    </row>
    <row r="521" customFormat="false" ht="15" hidden="false" customHeight="true" outlineLevel="0" collapsed="false">
      <c r="A521" s="38" t="s">
        <v>34</v>
      </c>
      <c r="B521" s="38" t="n">
        <v>16</v>
      </c>
      <c r="C521" s="38" t="s">
        <v>176</v>
      </c>
      <c r="D521" s="38" t="s">
        <v>867</v>
      </c>
      <c r="E521" s="38"/>
      <c r="F521" s="38"/>
      <c r="G521" s="38"/>
      <c r="H521" s="38"/>
    </row>
    <row r="522" customFormat="false" ht="15" hidden="false" customHeight="true" outlineLevel="0" collapsed="false">
      <c r="A522" s="38" t="s">
        <v>34</v>
      </c>
      <c r="B522" s="38" t="n">
        <v>17</v>
      </c>
      <c r="C522" s="38" t="s">
        <v>171</v>
      </c>
      <c r="D522" s="38" t="s">
        <v>867</v>
      </c>
      <c r="E522" s="38" t="str">
        <f aca="false">B522&amp;"|"&amp;C522</f>
        <v>17|U</v>
      </c>
      <c r="F522" s="45" t="n">
        <f aca="false">INDEX('Emission Stepwise'!$H$2:$H$289,MATCH(E522,'Emission Stepwise'!$C$2:$C$289,0))</f>
        <v>0.57</v>
      </c>
      <c r="G522" s="45" t="n">
        <f aca="false">INDEX(Background!$C$4:$C$7,MATCH(C522,Background!$A$4:$A$7,0))</f>
        <v>0.212884169069555</v>
      </c>
      <c r="H522" s="49" t="n">
        <f aca="false">LN(F522/G522)</f>
        <v>0.984888150221115</v>
      </c>
    </row>
    <row r="523" customFormat="false" ht="15" hidden="false" customHeight="true" outlineLevel="0" collapsed="false">
      <c r="A523" s="38" t="s">
        <v>34</v>
      </c>
      <c r="B523" s="38" t="n">
        <v>18</v>
      </c>
      <c r="C523" s="38" t="s">
        <v>169</v>
      </c>
      <c r="D523" s="38" t="s">
        <v>867</v>
      </c>
      <c r="E523" s="38" t="str">
        <f aca="false">B523&amp;"|"&amp;C523</f>
        <v>18|G</v>
      </c>
      <c r="F523" s="45" t="n">
        <f aca="false">INDEX('Emission Stepwise'!$H$2:$H$289,MATCH(E523,'Emission Stepwise'!$C$2:$C$289,0))</f>
        <v>0.980295566502463</v>
      </c>
      <c r="G523" s="45" t="n">
        <f aca="false">INDEX(Background!$C$4:$C$7,MATCH(C523,Background!$A$4:$A$7,0))</f>
        <v>0.325128349391659</v>
      </c>
      <c r="H523" s="49" t="n">
        <f aca="false">LN(F523/G523)</f>
        <v>1.10363409909085</v>
      </c>
    </row>
    <row r="524" customFormat="false" ht="15" hidden="false" customHeight="true" outlineLevel="0" collapsed="false">
      <c r="A524" s="38" t="s">
        <v>34</v>
      </c>
      <c r="B524" s="38" t="n">
        <v>19</v>
      </c>
      <c r="C524" s="38" t="s">
        <v>169</v>
      </c>
      <c r="D524" s="38" t="s">
        <v>867</v>
      </c>
      <c r="E524" s="38" t="str">
        <f aca="false">B524&amp;"|"&amp;C524</f>
        <v>19|G</v>
      </c>
      <c r="F524" s="45" t="n">
        <f aca="false">INDEX('Emission Stepwise'!$H$2:$H$289,MATCH(E524,'Emission Stepwise'!$C$2:$C$289,0))</f>
        <v>0.970443349753695</v>
      </c>
      <c r="G524" s="45" t="n">
        <f aca="false">INDEX(Background!$C$4:$C$7,MATCH(C524,Background!$A$4:$A$7,0))</f>
        <v>0.325128349391659</v>
      </c>
      <c r="H524" s="49" t="n">
        <f aca="false">LN(F524/G524)</f>
        <v>1.09353300310435</v>
      </c>
    </row>
    <row r="525" customFormat="false" ht="15" hidden="false" customHeight="true" outlineLevel="0" collapsed="false">
      <c r="A525" s="38" t="s">
        <v>34</v>
      </c>
      <c r="B525" s="38" t="n">
        <v>20</v>
      </c>
      <c r="C525" s="38" t="s">
        <v>172</v>
      </c>
      <c r="D525" s="38" t="s">
        <v>867</v>
      </c>
      <c r="E525" s="38" t="str">
        <f aca="false">B525&amp;"|"&amp;C525</f>
        <v>20|A</v>
      </c>
      <c r="F525" s="45" t="n">
        <f aca="false">INDEX('Emission Stepwise'!$H$2:$H$289,MATCH(E525,'Emission Stepwise'!$C$2:$C$289,0))</f>
        <v>0.0891089108910891</v>
      </c>
      <c r="G525" s="45" t="n">
        <f aca="false">INDEX(Background!$C$4:$C$7,MATCH(C525,Background!$A$4:$A$7,0))</f>
        <v>0.185174766157958</v>
      </c>
      <c r="H525" s="49" t="n">
        <f aca="false">LN(F525/G525)</f>
        <v>-0.731440721604975</v>
      </c>
    </row>
    <row r="526" customFormat="false" ht="15" hidden="false" customHeight="true" outlineLevel="0" collapsed="false">
      <c r="A526" s="38" t="s">
        <v>34</v>
      </c>
      <c r="B526" s="38" t="n">
        <v>21</v>
      </c>
      <c r="C526" s="38" t="s">
        <v>171</v>
      </c>
      <c r="D526" s="38" t="s">
        <v>867</v>
      </c>
      <c r="E526" s="38" t="str">
        <f aca="false">B526&amp;"|"&amp;C526</f>
        <v>21|U</v>
      </c>
      <c r="F526" s="45" t="n">
        <f aca="false">INDEX('Emission Stepwise'!$H$2:$H$289,MATCH(E526,'Emission Stepwise'!$C$2:$C$289,0))</f>
        <v>0.0541871921182266</v>
      </c>
      <c r="G526" s="45" t="n">
        <f aca="false">INDEX(Background!$C$4:$C$7,MATCH(C526,Background!$A$4:$A$7,0))</f>
        <v>0.212884169069555</v>
      </c>
      <c r="H526" s="49" t="n">
        <f aca="false">LN(F526/G526)</f>
        <v>-1.36830363786876</v>
      </c>
    </row>
    <row r="527" customFormat="false" ht="15" hidden="false" customHeight="true" outlineLevel="0" collapsed="false">
      <c r="A527" s="38" t="s">
        <v>34</v>
      </c>
      <c r="B527" s="38" t="n">
        <v>22</v>
      </c>
      <c r="C527" s="38" t="s">
        <v>171</v>
      </c>
      <c r="D527" s="38" t="s">
        <v>867</v>
      </c>
      <c r="E527" s="38" t="str">
        <f aca="false">B527&amp;"|"&amp;C527</f>
        <v>22|U</v>
      </c>
      <c r="F527" s="45" t="n">
        <f aca="false">INDEX('Emission Stepwise'!$H$2:$H$289,MATCH(E527,'Emission Stepwise'!$C$2:$C$289,0))</f>
        <v>0.0738916256157636</v>
      </c>
      <c r="G527" s="45" t="n">
        <f aca="false">INDEX(Background!$C$4:$C$7,MATCH(C527,Background!$A$4:$A$7,0))</f>
        <v>0.212884169069555</v>
      </c>
      <c r="H527" s="49" t="n">
        <f aca="false">LN(F527/G527)</f>
        <v>-1.05814870956492</v>
      </c>
    </row>
    <row r="528" customFormat="false" ht="15" hidden="false" customHeight="true" outlineLevel="0" collapsed="false">
      <c r="A528" s="38" t="s">
        <v>34</v>
      </c>
      <c r="B528" s="38" t="n">
        <v>23</v>
      </c>
      <c r="C528" s="38" t="s">
        <v>170</v>
      </c>
      <c r="D528" s="38" t="s">
        <v>867</v>
      </c>
      <c r="E528" s="38" t="str">
        <f aca="false">B528&amp;"|"&amp;C528</f>
        <v>23|C</v>
      </c>
      <c r="F528" s="45" t="n">
        <f aca="false">INDEX('Emission Stepwise'!$H$2:$H$289,MATCH(E528,'Emission Stepwise'!$C$2:$C$289,0))</f>
        <v>0.192118226600985</v>
      </c>
      <c r="G528" s="45" t="n">
        <f aca="false">INDEX(Background!$C$4:$C$7,MATCH(C528,Background!$A$4:$A$7,0))</f>
        <v>0.276812715380828</v>
      </c>
      <c r="H528" s="49" t="n">
        <f aca="false">LN(F528/G528)</f>
        <v>-0.365230213687911</v>
      </c>
    </row>
    <row r="529" customFormat="false" ht="15" hidden="false" customHeight="true" outlineLevel="0" collapsed="false">
      <c r="A529" s="38" t="s">
        <v>34</v>
      </c>
      <c r="B529" s="38" t="n">
        <v>24</v>
      </c>
      <c r="C529" s="38" t="s">
        <v>172</v>
      </c>
      <c r="D529" s="38" t="s">
        <v>867</v>
      </c>
      <c r="E529" s="38" t="str">
        <f aca="false">B529&amp;"|"&amp;C529</f>
        <v>24|A</v>
      </c>
      <c r="F529" s="45" t="n">
        <f aca="false">INDEX('Emission Stepwise'!$H$2:$H$289,MATCH(E529,'Emission Stepwise'!$C$2:$C$289,0))</f>
        <v>0.187192118226601</v>
      </c>
      <c r="G529" s="45" t="n">
        <f aca="false">INDEX(Background!$C$4:$C$7,MATCH(C529,Background!$A$4:$A$7,0))</f>
        <v>0.185174766157958</v>
      </c>
      <c r="H529" s="49" t="n">
        <f aca="false">LN(F529/G529)</f>
        <v>0.0108353985846635</v>
      </c>
    </row>
    <row r="530" customFormat="false" ht="15" hidden="false" customHeight="true" outlineLevel="0" collapsed="false">
      <c r="A530" s="38" t="s">
        <v>34</v>
      </c>
      <c r="B530" s="38" t="n">
        <v>25</v>
      </c>
      <c r="C530" s="38" t="s">
        <v>171</v>
      </c>
      <c r="D530" s="38" t="s">
        <v>867</v>
      </c>
      <c r="E530" s="38" t="str">
        <f aca="false">B530&amp;"|"&amp;C530</f>
        <v>25|U</v>
      </c>
      <c r="F530" s="45" t="n">
        <f aca="false">INDEX('Emission Stepwise'!$H$2:$H$289,MATCH(E530,'Emission Stepwise'!$C$2:$C$289,0))</f>
        <v>0.0738916256157636</v>
      </c>
      <c r="G530" s="45" t="n">
        <f aca="false">INDEX(Background!$C$4:$C$7,MATCH(C530,Background!$A$4:$A$7,0))</f>
        <v>0.212884169069555</v>
      </c>
      <c r="H530" s="49" t="n">
        <f aca="false">LN(F530/G530)</f>
        <v>-1.05814870956492</v>
      </c>
    </row>
    <row r="531" customFormat="false" ht="15" hidden="false" customHeight="true" outlineLevel="0" collapsed="false">
      <c r="A531" s="38" t="s">
        <v>34</v>
      </c>
      <c r="B531" s="38" t="n">
        <v>26</v>
      </c>
      <c r="C531" s="38" t="s">
        <v>171</v>
      </c>
      <c r="D531" s="38" t="s">
        <v>868</v>
      </c>
      <c r="E531" s="38" t="str">
        <f aca="false">B531&amp;"|"&amp;C531</f>
        <v>26|U</v>
      </c>
      <c r="F531" s="45" t="n">
        <f aca="false">INDEX('Emission Stepwise'!$H$2:$H$289,MATCH(E531,'Emission Stepwise'!$C$2:$C$289,0))</f>
        <v>0.0591133004926108</v>
      </c>
      <c r="G531" s="45" t="n">
        <f aca="false">INDEX(Background!$C$4:$C$7,MATCH(C531,Background!$A$4:$A$7,0))</f>
        <v>0.212884169069555</v>
      </c>
      <c r="H531" s="49" t="n">
        <f aca="false">LN(F531/G531)</f>
        <v>-1.28129226087913</v>
      </c>
    </row>
    <row r="532" customFormat="false" ht="15" hidden="false" customHeight="true" outlineLevel="0" collapsed="false">
      <c r="A532" s="38" t="s">
        <v>34</v>
      </c>
      <c r="B532" s="38" t="n">
        <v>27</v>
      </c>
      <c r="C532" s="38" t="s">
        <v>171</v>
      </c>
      <c r="D532" s="38" t="s">
        <v>868</v>
      </c>
      <c r="E532" s="38" t="str">
        <f aca="false">B532&amp;"|"&amp;C532</f>
        <v>27|U</v>
      </c>
      <c r="F532" s="45" t="n">
        <f aca="false">INDEX('Emission Stepwise'!$H$2:$H$289,MATCH(E532,'Emission Stepwise'!$C$2:$C$289,0))</f>
        <v>0.25615763546798</v>
      </c>
      <c r="G532" s="45" t="n">
        <f aca="false">INDEX(Background!$C$4:$C$7,MATCH(C532,Background!$A$4:$A$7,0))</f>
        <v>0.212884169069555</v>
      </c>
      <c r="H532" s="49" t="n">
        <f aca="false">LN(F532/G532)</f>
        <v>0.185044807914296</v>
      </c>
    </row>
    <row r="533" customFormat="false" ht="15" hidden="false" customHeight="true" outlineLevel="0" collapsed="false">
      <c r="A533" s="38" t="s">
        <v>34</v>
      </c>
      <c r="B533" s="38" t="n">
        <v>28</v>
      </c>
      <c r="C533" s="38" t="s">
        <v>169</v>
      </c>
      <c r="D533" s="38" t="s">
        <v>868</v>
      </c>
      <c r="E533" s="38" t="str">
        <f aca="false">B533&amp;"|"&amp;C533</f>
        <v>28|G</v>
      </c>
      <c r="F533" s="45" t="n">
        <f aca="false">INDEX('Emission Stepwise'!$H$2:$H$289,MATCH(E533,'Emission Stepwise'!$C$2:$C$289,0))</f>
        <v>0.113300492610837</v>
      </c>
      <c r="G533" s="45" t="n">
        <f aca="false">INDEX(Background!$C$4:$C$7,MATCH(C533,Background!$A$4:$A$7,0))</f>
        <v>0.325128349391659</v>
      </c>
      <c r="H533" s="49" t="n">
        <f aca="false">LN(F533/G533)</f>
        <v>-1.05417650970449</v>
      </c>
    </row>
    <row r="534" customFormat="false" ht="15" hidden="false" customHeight="true" outlineLevel="0" collapsed="false">
      <c r="A534" s="38" t="s">
        <v>34</v>
      </c>
      <c r="B534" s="38" t="n">
        <v>29</v>
      </c>
      <c r="C534" s="38" t="s">
        <v>171</v>
      </c>
      <c r="D534" s="38" t="s">
        <v>868</v>
      </c>
      <c r="E534" s="38" t="str">
        <f aca="false">B534&amp;"|"&amp;C534</f>
        <v>29|U</v>
      </c>
      <c r="F534" s="45" t="n">
        <f aca="false">INDEX('Emission Stepwise'!$H$2:$H$289,MATCH(E534,'Emission Stepwise'!$C$2:$C$289,0))</f>
        <v>0.275862068965517</v>
      </c>
      <c r="G534" s="45" t="n">
        <f aca="false">INDEX(Background!$C$4:$C$7,MATCH(C534,Background!$A$4:$A$7,0))</f>
        <v>0.212884169069555</v>
      </c>
      <c r="H534" s="49" t="n">
        <f aca="false">LN(F534/G534)</f>
        <v>0.259152780068018</v>
      </c>
    </row>
    <row r="535" customFormat="false" ht="15" hidden="false" customHeight="true" outlineLevel="0" collapsed="false">
      <c r="A535" s="38" t="s">
        <v>34</v>
      </c>
      <c r="B535" s="38" t="n">
        <v>30</v>
      </c>
      <c r="C535" s="38" t="s">
        <v>172</v>
      </c>
      <c r="D535" s="38" t="s">
        <v>868</v>
      </c>
      <c r="E535" s="38" t="str">
        <f aca="false">B535&amp;"|"&amp;C535</f>
        <v>30|A</v>
      </c>
      <c r="F535" s="45" t="n">
        <f aca="false">INDEX('Emission Stepwise'!$H$2:$H$289,MATCH(E535,'Emission Stepwise'!$C$2:$C$289,0))</f>
        <v>0.00492610837438424</v>
      </c>
      <c r="G535" s="45" t="n">
        <f aca="false">INDEX(Background!$C$4:$C$7,MATCH(C535,Background!$A$4:$A$7,0))</f>
        <v>0.185174766157958</v>
      </c>
      <c r="H535" s="49" t="n">
        <f aca="false">LN(F535/G535)</f>
        <v>-3.62675076114172</v>
      </c>
    </row>
    <row r="536" customFormat="false" ht="15" hidden="false" customHeight="true" outlineLevel="0" collapsed="false">
      <c r="A536" s="38" t="s">
        <v>34</v>
      </c>
      <c r="B536" s="38" t="n">
        <v>31</v>
      </c>
      <c r="C536" s="38" t="s">
        <v>169</v>
      </c>
      <c r="D536" s="38" t="s">
        <v>868</v>
      </c>
      <c r="E536" s="38" t="str">
        <f aca="false">B536&amp;"|"&amp;C536</f>
        <v>31|G</v>
      </c>
      <c r="F536" s="45" t="n">
        <f aca="false">INDEX('Emission Stepwise'!$H$2:$H$289,MATCH(E536,'Emission Stepwise'!$C$2:$C$289,0))</f>
        <v>0.270935960591133</v>
      </c>
      <c r="G536" s="45" t="n">
        <f aca="false">INDEX(Background!$C$4:$C$7,MATCH(C536,Background!$A$4:$A$7,0))</f>
        <v>0.325128349391659</v>
      </c>
      <c r="H536" s="49" t="n">
        <f aca="false">LN(F536/G536)</f>
        <v>-0.182337540401167</v>
      </c>
    </row>
    <row r="537" customFormat="false" ht="15" hidden="false" customHeight="true" outlineLevel="0" collapsed="false">
      <c r="A537" s="38" t="s">
        <v>34</v>
      </c>
      <c r="B537" s="38" t="n">
        <v>32</v>
      </c>
      <c r="C537" s="38" t="s">
        <v>171</v>
      </c>
      <c r="D537" s="38" t="s">
        <v>868</v>
      </c>
      <c r="E537" s="38" t="str">
        <f aca="false">B537&amp;"|"&amp;C537</f>
        <v>32|U</v>
      </c>
      <c r="F537" s="45" t="n">
        <f aca="false">INDEX('Emission Stepwise'!$H$2:$H$289,MATCH(E537,'Emission Stepwise'!$C$2:$C$289,0))</f>
        <v>0.295566502463054</v>
      </c>
      <c r="G537" s="45" t="n">
        <f aca="false">INDEX(Background!$C$4:$C$7,MATCH(C537,Background!$A$4:$A$7,0))</f>
        <v>0.212884169069555</v>
      </c>
      <c r="H537" s="49" t="n">
        <f aca="false">LN(F537/G537)</f>
        <v>0.328145651554969</v>
      </c>
    </row>
    <row r="538" customFormat="false" ht="15" hidden="false" customHeight="true" outlineLevel="0" collapsed="false">
      <c r="A538" s="38" t="s">
        <v>34</v>
      </c>
      <c r="B538" s="38" t="n">
        <v>33</v>
      </c>
      <c r="C538" s="38" t="s">
        <v>171</v>
      </c>
      <c r="D538" s="38" t="s">
        <v>868</v>
      </c>
      <c r="E538" s="38" t="str">
        <f aca="false">B538&amp;"|"&amp;C538</f>
        <v>33|U</v>
      </c>
      <c r="F538" s="45" t="n">
        <f aca="false">INDEX('Emission Stepwise'!$H$2:$H$289,MATCH(E538,'Emission Stepwise'!$C$2:$C$289,0))</f>
        <v>0.975369458128079</v>
      </c>
      <c r="G538" s="45" t="n">
        <f aca="false">INDEX(Background!$C$4:$C$7,MATCH(C538,Background!$A$4:$A$7,0))</f>
        <v>0.212884169069555</v>
      </c>
      <c r="H538" s="49" t="n">
        <f aca="false">LN(F538/G538)</f>
        <v>1.5220681200274</v>
      </c>
    </row>
    <row r="539" customFormat="false" ht="15" hidden="false" customHeight="true" outlineLevel="0" collapsed="false">
      <c r="A539" s="38" t="s">
        <v>34</v>
      </c>
      <c r="B539" s="38" t="n">
        <v>34</v>
      </c>
      <c r="C539" s="38" t="s">
        <v>171</v>
      </c>
      <c r="D539" s="38" t="s">
        <v>868</v>
      </c>
      <c r="E539" s="38" t="str">
        <f aca="false">B539&amp;"|"&amp;C539</f>
        <v>34|U</v>
      </c>
      <c r="F539" s="45" t="n">
        <f aca="false">INDEX('Emission Stepwise'!$H$2:$H$289,MATCH(E539,'Emission Stepwise'!$C$2:$C$289,0))</f>
        <v>0.29064039408867</v>
      </c>
      <c r="G539" s="45" t="n">
        <f aca="false">INDEX(Background!$C$4:$C$7,MATCH(C539,Background!$A$4:$A$7,0))</f>
        <v>0.212884169069555</v>
      </c>
      <c r="H539" s="49" t="n">
        <f aca="false">LN(F539/G539)</f>
        <v>0.311338533238588</v>
      </c>
    </row>
    <row r="540" customFormat="false" ht="15" hidden="false" customHeight="true" outlineLevel="0" collapsed="false">
      <c r="A540" s="38" t="s">
        <v>34</v>
      </c>
      <c r="B540" s="38" t="n">
        <v>35</v>
      </c>
      <c r="C540" s="38" t="s">
        <v>170</v>
      </c>
      <c r="D540" s="38" t="s">
        <v>868</v>
      </c>
      <c r="E540" s="38" t="str">
        <f aca="false">B540&amp;"|"&amp;C540</f>
        <v>35|C</v>
      </c>
      <c r="F540" s="45" t="n">
        <f aca="false">INDEX('Emission Stepwise'!$H$2:$H$289,MATCH(E540,'Emission Stepwise'!$C$2:$C$289,0))</f>
        <v>0.231527093596059</v>
      </c>
      <c r="G540" s="45" t="n">
        <f aca="false">INDEX(Background!$C$4:$C$7,MATCH(C540,Background!$A$4:$A$7,0))</f>
        <v>0.276812715380828</v>
      </c>
      <c r="H540" s="49" t="n">
        <f aca="false">LN(F540/G540)</f>
        <v>-0.178644258107498</v>
      </c>
    </row>
    <row r="541" customFormat="false" ht="15" hidden="false" customHeight="true" outlineLevel="0" collapsed="false">
      <c r="A541" s="38" t="s">
        <v>34</v>
      </c>
      <c r="B541" s="38" t="n">
        <v>36</v>
      </c>
      <c r="C541" s="38" t="s">
        <v>172</v>
      </c>
      <c r="D541" s="38" t="s">
        <v>868</v>
      </c>
      <c r="E541" s="38" t="str">
        <f aca="false">B541&amp;"|"&amp;C541</f>
        <v>36|A</v>
      </c>
      <c r="F541" s="45" t="n">
        <f aca="false">INDEX('Emission Stepwise'!$H$2:$H$289,MATCH(E541,'Emission Stepwise'!$C$2:$C$289,0))</f>
        <v>0.216748768472906</v>
      </c>
      <c r="G541" s="45" t="n">
        <f aca="false">INDEX(Background!$C$4:$C$7,MATCH(C541,Background!$A$4:$A$7,0))</f>
        <v>0.185174766157958</v>
      </c>
      <c r="H541" s="49" t="n">
        <f aca="false">LN(F541/G541)</f>
        <v>0.157438872776539</v>
      </c>
    </row>
    <row r="542" customFormat="false" ht="15" hidden="false" customHeight="true" outlineLevel="0" collapsed="false">
      <c r="A542" s="38" t="s">
        <v>34</v>
      </c>
      <c r="B542" s="38" t="n">
        <v>37</v>
      </c>
      <c r="C542" s="38" t="s">
        <v>172</v>
      </c>
      <c r="D542" s="38" t="s">
        <v>868</v>
      </c>
      <c r="E542" s="38" t="str">
        <f aca="false">B542&amp;"|"&amp;C542</f>
        <v>37|A</v>
      </c>
      <c r="F542" s="45" t="n">
        <f aca="false">INDEX('Emission Stepwise'!$H$2:$H$289,MATCH(E542,'Emission Stepwise'!$C$2:$C$289,0))</f>
        <v>0.74384236453202</v>
      </c>
      <c r="G542" s="45" t="n">
        <f aca="false">INDEX(Background!$C$4:$C$7,MATCH(C542,Background!$A$4:$A$7,0))</f>
        <v>0.185174766157958</v>
      </c>
      <c r="H542" s="49" t="n">
        <f aca="false">LN(F542/G542)</f>
        <v>1.3905290756732</v>
      </c>
    </row>
    <row r="543" customFormat="false" ht="15" hidden="false" customHeight="true" outlineLevel="0" collapsed="false">
      <c r="A543" s="38" t="s">
        <v>34</v>
      </c>
      <c r="B543" s="38" t="n">
        <v>38</v>
      </c>
      <c r="C543" s="38" t="s">
        <v>172</v>
      </c>
      <c r="D543" s="38" t="s">
        <v>868</v>
      </c>
      <c r="E543" s="38" t="str">
        <f aca="false">B543&amp;"|"&amp;C543</f>
        <v>38|A</v>
      </c>
      <c r="F543" s="45" t="n">
        <f aca="false">INDEX('Emission Stepwise'!$H$2:$H$289,MATCH(E543,'Emission Stepwise'!$C$2:$C$289,0))</f>
        <v>0.724137931034483</v>
      </c>
      <c r="G543" s="45" t="n">
        <f aca="false">INDEX(Background!$C$4:$C$7,MATCH(C543,Background!$A$4:$A$7,0))</f>
        <v>0.185174766157958</v>
      </c>
      <c r="H543" s="49" t="n">
        <f aca="false">LN(F543/G543)</f>
        <v>1.36368182563701</v>
      </c>
    </row>
    <row r="544" customFormat="false" ht="15" hidden="false" customHeight="true" outlineLevel="0" collapsed="false">
      <c r="A544" s="38" t="s">
        <v>34</v>
      </c>
      <c r="B544" s="38" t="n">
        <v>39</v>
      </c>
      <c r="C544" s="38" t="s">
        <v>171</v>
      </c>
      <c r="D544" s="38" t="s">
        <v>868</v>
      </c>
      <c r="E544" s="38" t="str">
        <f aca="false">B544&amp;"|"&amp;C544</f>
        <v>39|U</v>
      </c>
      <c r="F544" s="45" t="n">
        <f aca="false">INDEX('Emission Stepwise'!$H$2:$H$289,MATCH(E544,'Emission Stepwise'!$C$2:$C$289,0))</f>
        <v>0.295566502463054</v>
      </c>
      <c r="G544" s="45" t="n">
        <f aca="false">INDEX(Background!$C$4:$C$7,MATCH(C544,Background!$A$4:$A$7,0))</f>
        <v>0.212884169069555</v>
      </c>
      <c r="H544" s="49" t="n">
        <f aca="false">LN(F544/G544)</f>
        <v>0.328145651554969</v>
      </c>
    </row>
    <row r="545" customFormat="false" ht="15" hidden="false" customHeight="true" outlineLevel="0" collapsed="false">
      <c r="A545" s="38" t="s">
        <v>34</v>
      </c>
      <c r="B545" s="38" t="n">
        <v>40</v>
      </c>
      <c r="C545" s="38" t="s">
        <v>171</v>
      </c>
      <c r="D545" s="38" t="s">
        <v>868</v>
      </c>
      <c r="E545" s="38" t="str">
        <f aca="false">B545&amp;"|"&amp;C545</f>
        <v>40|U</v>
      </c>
      <c r="F545" s="45" t="n">
        <f aca="false">INDEX('Emission Stepwise'!$H$2:$H$289,MATCH(E545,'Emission Stepwise'!$C$2:$C$289,0))</f>
        <v>0.0443349753694581</v>
      </c>
      <c r="G545" s="45" t="n">
        <f aca="false">INDEX(Background!$C$4:$C$7,MATCH(C545,Background!$A$4:$A$7,0))</f>
        <v>0.212884169069555</v>
      </c>
      <c r="H545" s="49" t="n">
        <f aca="false">LN(F545/G545)</f>
        <v>-1.56897433333091</v>
      </c>
    </row>
    <row r="546" customFormat="false" ht="15" hidden="false" customHeight="true" outlineLevel="0" collapsed="false">
      <c r="A546" s="38" t="s">
        <v>34</v>
      </c>
      <c r="B546" s="38" t="n">
        <v>41</v>
      </c>
      <c r="C546" s="38" t="s">
        <v>172</v>
      </c>
      <c r="D546" s="38" t="s">
        <v>868</v>
      </c>
      <c r="E546" s="38" t="str">
        <f aca="false">B546&amp;"|"&amp;C546</f>
        <v>41|A</v>
      </c>
      <c r="F546" s="45" t="n">
        <f aca="false">INDEX('Emission Stepwise'!$H$2:$H$289,MATCH(E546,'Emission Stepwise'!$C$2:$C$289,0))</f>
        <v>0.270935960591133</v>
      </c>
      <c r="G546" s="45" t="n">
        <f aca="false">INDEX(Background!$C$4:$C$7,MATCH(C546,Background!$A$4:$A$7,0))</f>
        <v>0.185174766157958</v>
      </c>
      <c r="H546" s="49" t="n">
        <f aca="false">LN(F546/G546)</f>
        <v>0.380582424090749</v>
      </c>
    </row>
    <row r="547" customFormat="false" ht="15" hidden="false" customHeight="true" outlineLevel="0" collapsed="false">
      <c r="A547" s="38" t="s">
        <v>34</v>
      </c>
      <c r="B547" s="38" t="n">
        <v>42</v>
      </c>
      <c r="C547" s="38" t="s">
        <v>170</v>
      </c>
      <c r="D547" s="38" t="s">
        <v>868</v>
      </c>
      <c r="E547" s="38" t="str">
        <f aca="false">B547&amp;"|"&amp;C547</f>
        <v>42|C</v>
      </c>
      <c r="F547" s="45" t="n">
        <f aca="false">INDEX('Emission Stepwise'!$H$2:$H$289,MATCH(E547,'Emission Stepwise'!$C$2:$C$289,0))</f>
        <v>0.103448275862069</v>
      </c>
      <c r="G547" s="45" t="n">
        <f aca="false">INDEX(Background!$C$4:$C$7,MATCH(C547,Background!$A$4:$A$7,0))</f>
        <v>0.276812715380828</v>
      </c>
      <c r="H547" s="49" t="n">
        <f aca="false">LN(F547/G547)</f>
        <v>-0.984269422094134</v>
      </c>
    </row>
    <row r="548" customFormat="false" ht="15" hidden="false" customHeight="true" outlineLevel="0" collapsed="false">
      <c r="A548" s="38" t="s">
        <v>34</v>
      </c>
      <c r="B548" s="38" t="n">
        <v>43</v>
      </c>
      <c r="C548" s="38" t="s">
        <v>172</v>
      </c>
      <c r="D548" s="38" t="s">
        <v>868</v>
      </c>
      <c r="E548" s="38" t="str">
        <f aca="false">B548&amp;"|"&amp;C548</f>
        <v>43|A</v>
      </c>
      <c r="F548" s="45" t="n">
        <f aca="false">INDEX('Emission Stepwise'!$H$2:$H$289,MATCH(E548,'Emission Stepwise'!$C$2:$C$289,0))</f>
        <v>0.226600985221675</v>
      </c>
      <c r="G548" s="45" t="n">
        <f aca="false">INDEX(Background!$C$4:$C$7,MATCH(C548,Background!$A$4:$A$7,0))</f>
        <v>0.185174766157958</v>
      </c>
      <c r="H548" s="49" t="n">
        <f aca="false">LN(F548/G548)</f>
        <v>0.201890635347373</v>
      </c>
    </row>
    <row r="549" customFormat="false" ht="15" hidden="false" customHeight="true" outlineLevel="0" collapsed="false">
      <c r="A549" s="38" t="s">
        <v>34</v>
      </c>
      <c r="B549" s="38" t="n">
        <v>44</v>
      </c>
      <c r="C549" s="38" t="s">
        <v>169</v>
      </c>
      <c r="D549" s="38" t="s">
        <v>868</v>
      </c>
      <c r="E549" s="38" t="str">
        <f aca="false">B549&amp;"|"&amp;C549</f>
        <v>44|G</v>
      </c>
      <c r="F549" s="45" t="n">
        <f aca="false">INDEX('Emission Stepwise'!$H$2:$H$289,MATCH(E549,'Emission Stepwise'!$C$2:$C$289,0))</f>
        <v>0.231527093596059</v>
      </c>
      <c r="G549" s="45" t="n">
        <f aca="false">INDEX(Background!$C$4:$C$7,MATCH(C549,Background!$A$4:$A$7,0))</f>
        <v>0.325128349391659</v>
      </c>
      <c r="H549" s="49" t="n">
        <f aca="false">LN(F549/G549)</f>
        <v>-0.33952312392358</v>
      </c>
    </row>
    <row r="550" customFormat="false" ht="15" hidden="false" customHeight="true" outlineLevel="0" collapsed="false">
      <c r="A550" s="38" t="s">
        <v>34</v>
      </c>
      <c r="B550" s="38" t="n">
        <v>45</v>
      </c>
      <c r="C550" s="38" t="s">
        <v>171</v>
      </c>
      <c r="D550" s="38" t="s">
        <v>869</v>
      </c>
      <c r="E550" s="38" t="str">
        <f aca="false">B550&amp;"|"&amp;C550</f>
        <v>45|U</v>
      </c>
      <c r="F550" s="45" t="n">
        <f aca="false">INDEX('Emission Stepwise'!$H$2:$H$289,MATCH(E550,'Emission Stepwise'!$C$2:$C$289,0))</f>
        <v>0.144278606965174</v>
      </c>
      <c r="G550" s="45" t="n">
        <f aca="false">INDEX(Background!$C$4:$C$7,MATCH(C550,Background!$A$4:$A$7,0))</f>
        <v>0.212884169069555</v>
      </c>
      <c r="H550" s="49" t="n">
        <f aca="false">LN(F550/G550)</f>
        <v>-0.389002009697946</v>
      </c>
    </row>
    <row r="551" customFormat="false" ht="15" hidden="false" customHeight="true" outlineLevel="0" collapsed="false">
      <c r="A551" s="38" t="s">
        <v>34</v>
      </c>
      <c r="B551" s="38" t="n">
        <v>46</v>
      </c>
      <c r="C551" s="38" t="s">
        <v>176</v>
      </c>
      <c r="D551" s="38" t="s">
        <v>869</v>
      </c>
      <c r="E551" s="38"/>
      <c r="F551" s="38"/>
      <c r="G551" s="38"/>
      <c r="H551" s="38"/>
    </row>
    <row r="552" customFormat="false" ht="15" hidden="false" customHeight="true" outlineLevel="0" collapsed="false">
      <c r="A552" s="38" t="s">
        <v>34</v>
      </c>
      <c r="B552" s="38" t="n">
        <v>47</v>
      </c>
      <c r="C552" s="38" t="s">
        <v>171</v>
      </c>
      <c r="D552" s="38" t="s">
        <v>869</v>
      </c>
      <c r="E552" s="38" t="str">
        <f aca="false">B552&amp;"|"&amp;C552</f>
        <v>47|U</v>
      </c>
      <c r="F552" s="45" t="n">
        <f aca="false">INDEX('Emission Stepwise'!$H$2:$H$289,MATCH(E552,'Emission Stepwise'!$C$2:$C$289,0))</f>
        <v>0.665024630541872</v>
      </c>
      <c r="G552" s="45" t="n">
        <f aca="false">INDEX(Background!$C$4:$C$7,MATCH(C552,Background!$A$4:$A$7,0))</f>
        <v>0.212884169069555</v>
      </c>
      <c r="H552" s="49" t="n">
        <f aca="false">LN(F552/G552)</f>
        <v>1.1390758677713</v>
      </c>
    </row>
    <row r="553" customFormat="false" ht="15" hidden="false" customHeight="true" outlineLevel="0" collapsed="false">
      <c r="A553" s="38" t="s">
        <v>34</v>
      </c>
      <c r="B553" s="38" t="n">
        <v>48</v>
      </c>
      <c r="C553" s="38" t="s">
        <v>171</v>
      </c>
      <c r="D553" s="38" t="s">
        <v>869</v>
      </c>
      <c r="E553" s="38" t="str">
        <f aca="false">B553&amp;"|"&amp;C553</f>
        <v>48|U</v>
      </c>
      <c r="F553" s="45" t="n">
        <f aca="false">INDEX('Emission Stepwise'!$H$2:$H$289,MATCH(E553,'Emission Stepwise'!$C$2:$C$289,0))</f>
        <v>0.147783251231527</v>
      </c>
      <c r="G553" s="45" t="n">
        <f aca="false">INDEX(Background!$C$4:$C$7,MATCH(C553,Background!$A$4:$A$7,0))</f>
        <v>0.212884169069555</v>
      </c>
      <c r="H553" s="49" t="n">
        <f aca="false">LN(F553/G553)</f>
        <v>-0.365001529004976</v>
      </c>
    </row>
    <row r="554" customFormat="false" ht="15" hidden="false" customHeight="true" outlineLevel="0" collapsed="false">
      <c r="A554" s="38" t="s">
        <v>34</v>
      </c>
      <c r="B554" s="38" t="n">
        <v>49</v>
      </c>
      <c r="C554" s="38" t="s">
        <v>171</v>
      </c>
      <c r="D554" s="38" t="s">
        <v>870</v>
      </c>
      <c r="E554" s="38" t="str">
        <f aca="false">B554&amp;"|"&amp;C554</f>
        <v>49|U</v>
      </c>
      <c r="F554" s="45" t="n">
        <f aca="false">INDEX('Emission Stepwise'!$H$2:$H$289,MATCH(E554,'Emission Stepwise'!$C$2:$C$289,0))</f>
        <v>0.0591133004926108</v>
      </c>
      <c r="G554" s="45" t="n">
        <f aca="false">INDEX(Background!$C$4:$C$7,MATCH(C554,Background!$A$4:$A$7,0))</f>
        <v>0.212884169069555</v>
      </c>
      <c r="H554" s="49" t="n">
        <f aca="false">LN(F554/G554)</f>
        <v>-1.28129226087913</v>
      </c>
    </row>
    <row r="555" customFormat="false" ht="15" hidden="false" customHeight="true" outlineLevel="0" collapsed="false">
      <c r="A555" s="38" t="s">
        <v>34</v>
      </c>
      <c r="B555" s="38" t="n">
        <v>50</v>
      </c>
      <c r="C555" s="38" t="s">
        <v>172</v>
      </c>
      <c r="D555" s="38" t="s">
        <v>870</v>
      </c>
      <c r="E555" s="38" t="str">
        <f aca="false">B555&amp;"|"&amp;C555</f>
        <v>50|A</v>
      </c>
      <c r="F555" s="45" t="n">
        <f aca="false">INDEX('Emission Stepwise'!$H$2:$H$289,MATCH(E555,'Emission Stepwise'!$C$2:$C$289,0))</f>
        <v>0.118226600985222</v>
      </c>
      <c r="G555" s="45" t="n">
        <f aca="false">INDEX(Background!$C$4:$C$7,MATCH(C555,Background!$A$4:$A$7,0))</f>
        <v>0.185174766157958</v>
      </c>
      <c r="H555" s="49" t="n">
        <f aca="false">LN(F555/G555)</f>
        <v>-0.448696930793777</v>
      </c>
    </row>
    <row r="556" customFormat="false" ht="15" hidden="false" customHeight="true" outlineLevel="0" collapsed="false">
      <c r="A556" s="38" t="s">
        <v>34</v>
      </c>
      <c r="B556" s="38" t="n">
        <v>51</v>
      </c>
      <c r="C556" s="38" t="s">
        <v>169</v>
      </c>
      <c r="D556" s="38" t="s">
        <v>870</v>
      </c>
      <c r="E556" s="38" t="str">
        <f aca="false">B556&amp;"|"&amp;C556</f>
        <v>51|G</v>
      </c>
      <c r="F556" s="45" t="n">
        <f aca="false">INDEX('Emission Stepwise'!$H$2:$H$289,MATCH(E556,'Emission Stepwise'!$C$2:$C$289,0))</f>
        <v>0.495049504950495</v>
      </c>
      <c r="G556" s="45" t="n">
        <f aca="false">INDEX(Background!$C$4:$C$7,MATCH(C556,Background!$A$4:$A$7,0))</f>
        <v>0.325128349391659</v>
      </c>
      <c r="H556" s="49" t="n">
        <f aca="false">LN(F556/G556)</f>
        <v>0.420437741995036</v>
      </c>
    </row>
    <row r="557" customFormat="false" ht="15" hidden="false" customHeight="true" outlineLevel="0" collapsed="false">
      <c r="A557" s="38" t="s">
        <v>34</v>
      </c>
      <c r="B557" s="38" t="n">
        <v>52</v>
      </c>
      <c r="C557" s="38" t="s">
        <v>169</v>
      </c>
      <c r="D557" s="38" t="s">
        <v>870</v>
      </c>
      <c r="E557" s="38" t="str">
        <f aca="false">B557&amp;"|"&amp;C557</f>
        <v>52|G</v>
      </c>
      <c r="F557" s="45" t="n">
        <f aca="false">INDEX('Emission Stepwise'!$H$2:$H$289,MATCH(E557,'Emission Stepwise'!$C$2:$C$289,0))</f>
        <v>0.827586206896552</v>
      </c>
      <c r="G557" s="45" t="n">
        <f aca="false">INDEX(Background!$C$4:$C$7,MATCH(C557,Background!$A$4:$A$7,0))</f>
        <v>0.325128349391659</v>
      </c>
      <c r="H557" s="49" t="n">
        <f aca="false">LN(F557/G557)</f>
        <v>0.934293253769621</v>
      </c>
    </row>
    <row r="558" customFormat="false" ht="15" hidden="false" customHeight="true" outlineLevel="0" collapsed="false">
      <c r="A558" s="38" t="s">
        <v>34</v>
      </c>
      <c r="B558" s="38" t="n">
        <v>53</v>
      </c>
      <c r="C558" s="38" t="s">
        <v>169</v>
      </c>
      <c r="D558" s="38" t="s">
        <v>870</v>
      </c>
      <c r="E558" s="38" t="str">
        <f aca="false">B558&amp;"|"&amp;C558</f>
        <v>53|G</v>
      </c>
      <c r="F558" s="45" t="n">
        <f aca="false">INDEX('Emission Stepwise'!$H$2:$H$289,MATCH(E558,'Emission Stepwise'!$C$2:$C$289,0))</f>
        <v>0.96551724137931</v>
      </c>
      <c r="G558" s="45" t="n">
        <f aca="false">INDEX(Background!$C$4:$C$7,MATCH(C558,Background!$A$4:$A$7,0))</f>
        <v>0.325128349391659</v>
      </c>
      <c r="H558" s="49" t="n">
        <f aca="false">LN(F558/G558)</f>
        <v>1.08844393359688</v>
      </c>
    </row>
    <row r="559" customFormat="false" ht="15" hidden="false" customHeight="true" outlineLevel="0" collapsed="false">
      <c r="A559" s="38" t="s">
        <v>34</v>
      </c>
      <c r="B559" s="38" t="n">
        <v>54</v>
      </c>
      <c r="C559" s="38" t="s">
        <v>172</v>
      </c>
      <c r="D559" s="38" t="s">
        <v>870</v>
      </c>
      <c r="E559" s="38" t="str">
        <f aca="false">B559&amp;"|"&amp;C559</f>
        <v>54|A</v>
      </c>
      <c r="F559" s="45" t="n">
        <f aca="false">INDEX('Emission Stepwise'!$H$2:$H$289,MATCH(E559,'Emission Stepwise'!$C$2:$C$289,0))</f>
        <v>0.0147783251231527</v>
      </c>
      <c r="G559" s="45" t="n">
        <f aca="false">INDEX(Background!$C$4:$C$7,MATCH(C559,Background!$A$4:$A$7,0))</f>
        <v>0.185174766157958</v>
      </c>
      <c r="H559" s="49" t="n">
        <f aca="false">LN(F559/G559)</f>
        <v>-2.52813847247361</v>
      </c>
    </row>
    <row r="560" customFormat="false" ht="15" hidden="false" customHeight="true" outlineLevel="0" collapsed="false">
      <c r="A560" s="38" t="s">
        <v>34</v>
      </c>
      <c r="B560" s="38" t="n">
        <v>55</v>
      </c>
      <c r="C560" s="38" t="s">
        <v>171</v>
      </c>
      <c r="D560" s="38" t="s">
        <v>870</v>
      </c>
      <c r="E560" s="38" t="str">
        <f aca="false">B560&amp;"|"&amp;C560</f>
        <v>55|U</v>
      </c>
      <c r="F560" s="45" t="n">
        <f aca="false">INDEX('Emission Stepwise'!$H$2:$H$289,MATCH(E560,'Emission Stepwise'!$C$2:$C$289,0))</f>
        <v>0.970443349753695</v>
      </c>
      <c r="G560" s="45" t="n">
        <f aca="false">INDEX(Background!$C$4:$C$7,MATCH(C560,Background!$A$4:$A$7,0))</f>
        <v>0.212884169069555</v>
      </c>
      <c r="H560" s="49" t="n">
        <f aca="false">LN(F560/G560)</f>
        <v>1.51700481807086</v>
      </c>
    </row>
    <row r="561" customFormat="false" ht="15" hidden="false" customHeight="true" outlineLevel="0" collapsed="false">
      <c r="A561" s="38" t="s">
        <v>34</v>
      </c>
      <c r="B561" s="38" t="n">
        <v>56</v>
      </c>
      <c r="C561" s="38" t="s">
        <v>170</v>
      </c>
      <c r="D561" s="38" t="s">
        <v>870</v>
      </c>
      <c r="E561" s="38" t="str">
        <f aca="false">B561&amp;"|"&amp;C561</f>
        <v>56|C</v>
      </c>
      <c r="F561" s="45" t="n">
        <f aca="false">INDEX('Emission Stepwise'!$H$2:$H$289,MATCH(E561,'Emission Stepwise'!$C$2:$C$289,0))</f>
        <v>0.96551724137931</v>
      </c>
      <c r="G561" s="45" t="n">
        <f aca="false">INDEX(Background!$C$4:$C$7,MATCH(C561,Background!$A$4:$A$7,0))</f>
        <v>0.276812715380828</v>
      </c>
      <c r="H561" s="49" t="n">
        <f aca="false">LN(F561/G561)</f>
        <v>1.24932279941296</v>
      </c>
    </row>
    <row r="562" customFormat="false" ht="15" hidden="false" customHeight="true" outlineLevel="0" collapsed="false">
      <c r="A562" s="38" t="s">
        <v>34</v>
      </c>
      <c r="B562" s="38" t="n">
        <v>57</v>
      </c>
      <c r="C562" s="38" t="s">
        <v>170</v>
      </c>
      <c r="D562" s="38" t="s">
        <v>870</v>
      </c>
      <c r="E562" s="38" t="str">
        <f aca="false">B562&amp;"|"&amp;C562</f>
        <v>57|C</v>
      </c>
      <c r="F562" s="45" t="n">
        <f aca="false">INDEX('Emission Stepwise'!$H$2:$H$289,MATCH(E562,'Emission Stepwise'!$C$2:$C$289,0))</f>
        <v>0.00495049504950495</v>
      </c>
      <c r="G562" s="45" t="n">
        <f aca="false">INDEX(Background!$C$4:$C$7,MATCH(C562,Background!$A$4:$A$7,0))</f>
        <v>0.276812715380828</v>
      </c>
      <c r="H562" s="49" t="n">
        <f aca="false">LN(F562/G562)</f>
        <v>-4.02385357817698</v>
      </c>
    </row>
    <row r="563" customFormat="false" ht="15" hidden="false" customHeight="true" outlineLevel="0" collapsed="false">
      <c r="A563" s="38" t="s">
        <v>34</v>
      </c>
      <c r="B563" s="38" t="n">
        <v>58</v>
      </c>
      <c r="C563" s="38" t="s">
        <v>171</v>
      </c>
      <c r="D563" s="38" t="s">
        <v>870</v>
      </c>
      <c r="E563" s="38" t="str">
        <f aca="false">B563&amp;"|"&amp;C563</f>
        <v>58|U</v>
      </c>
      <c r="F563" s="45" t="n">
        <f aca="false">INDEX('Emission Stepwise'!$H$2:$H$289,MATCH(E563,'Emission Stepwise'!$C$2:$C$289,0))</f>
        <v>0.00985221674876847</v>
      </c>
      <c r="G563" s="45" t="n">
        <f aca="false">INDEX(Background!$C$4:$C$7,MATCH(C563,Background!$A$4:$A$7,0))</f>
        <v>0.212884169069555</v>
      </c>
      <c r="H563" s="49" t="n">
        <f aca="false">LN(F563/G563)</f>
        <v>-3.07305173010719</v>
      </c>
    </row>
    <row r="564" customFormat="false" ht="15" hidden="false" customHeight="true" outlineLevel="0" collapsed="false">
      <c r="A564" s="38" t="s">
        <v>34</v>
      </c>
      <c r="B564" s="38" t="n">
        <v>59</v>
      </c>
      <c r="C564" s="38" t="s">
        <v>171</v>
      </c>
      <c r="D564" s="38" t="s">
        <v>870</v>
      </c>
      <c r="E564" s="38" t="str">
        <f aca="false">B564&amp;"|"&amp;C564</f>
        <v>59|U</v>
      </c>
      <c r="F564" s="45" t="n">
        <f aca="false">INDEX('Emission Stepwise'!$H$2:$H$289,MATCH(E564,'Emission Stepwise'!$C$2:$C$289,0))</f>
        <v>0.251231527093596</v>
      </c>
      <c r="G564" s="45" t="n">
        <f aca="false">INDEX(Background!$C$4:$C$7,MATCH(C564,Background!$A$4:$A$7,0))</f>
        <v>0.212884169069555</v>
      </c>
      <c r="H564" s="49" t="n">
        <f aca="false">LN(F564/G564)</f>
        <v>0.165626722057194</v>
      </c>
    </row>
    <row r="565" customFormat="false" ht="15" hidden="false" customHeight="true" outlineLevel="0" collapsed="false">
      <c r="A565" s="38" t="s">
        <v>34</v>
      </c>
      <c r="B565" s="38" t="n">
        <v>60</v>
      </c>
      <c r="C565" s="38" t="s">
        <v>169</v>
      </c>
      <c r="D565" s="38" t="s">
        <v>870</v>
      </c>
      <c r="E565" s="38" t="str">
        <f aca="false">B565&amp;"|"&amp;C565</f>
        <v>60|G</v>
      </c>
      <c r="F565" s="45" t="n">
        <f aca="false">INDEX('Emission Stepwise'!$H$2:$H$289,MATCH(E565,'Emission Stepwise'!$C$2:$C$289,0))</f>
        <v>0.0147783251231527</v>
      </c>
      <c r="G565" s="45" t="n">
        <f aca="false">INDEX(Background!$C$4:$C$7,MATCH(C565,Background!$A$4:$A$7,0))</f>
        <v>0.325128349391659</v>
      </c>
      <c r="H565" s="49" t="n">
        <f aca="false">LN(F565/G565)</f>
        <v>-3.09105843696553</v>
      </c>
    </row>
    <row r="566" customFormat="false" ht="15" hidden="false" customHeight="true" outlineLevel="0" collapsed="false">
      <c r="A566" s="38" t="s">
        <v>34</v>
      </c>
      <c r="B566" s="38" t="n">
        <v>61</v>
      </c>
      <c r="C566" s="38" t="s">
        <v>170</v>
      </c>
      <c r="D566" s="38" t="s">
        <v>870</v>
      </c>
      <c r="E566" s="38" t="str">
        <f aca="false">B566&amp;"|"&amp;C566</f>
        <v>61|C</v>
      </c>
      <c r="F566" s="45" t="n">
        <f aca="false">INDEX('Emission Stepwise'!$H$2:$H$289,MATCH(E566,'Emission Stepwise'!$C$2:$C$289,0))</f>
        <v>0.975369458128079</v>
      </c>
      <c r="G566" s="45" t="n">
        <f aca="false">INDEX(Background!$C$4:$C$7,MATCH(C566,Background!$A$4:$A$7,0))</f>
        <v>0.276812715380828</v>
      </c>
      <c r="H566" s="49" t="n">
        <f aca="false">LN(F566/G566)</f>
        <v>1.25947517087698</v>
      </c>
    </row>
    <row r="567" customFormat="false" ht="15" hidden="false" customHeight="true" outlineLevel="0" collapsed="false">
      <c r="A567" s="38" t="s">
        <v>34</v>
      </c>
      <c r="B567" s="38" t="n">
        <v>62</v>
      </c>
      <c r="C567" s="38" t="s">
        <v>171</v>
      </c>
      <c r="D567" s="38" t="s">
        <v>870</v>
      </c>
      <c r="E567" s="38" t="str">
        <f aca="false">B567&amp;"|"&amp;C567</f>
        <v>62|U</v>
      </c>
      <c r="F567" s="45" t="n">
        <f aca="false">INDEX('Emission Stepwise'!$H$2:$H$289,MATCH(E567,'Emission Stepwise'!$C$2:$C$289,0))</f>
        <v>0.133004926108374</v>
      </c>
      <c r="G567" s="45" t="n">
        <f aca="false">INDEX(Background!$C$4:$C$7,MATCH(C567,Background!$A$4:$A$7,0))</f>
        <v>0.212884169069555</v>
      </c>
      <c r="H567" s="49" t="n">
        <f aca="false">LN(F567/G567)</f>
        <v>-0.470362044662802</v>
      </c>
    </row>
    <row r="568" customFormat="false" ht="15" hidden="false" customHeight="true" outlineLevel="0" collapsed="false">
      <c r="A568" s="38" t="s">
        <v>34</v>
      </c>
      <c r="B568" s="38" t="n">
        <v>63</v>
      </c>
      <c r="C568" s="38" t="s">
        <v>171</v>
      </c>
      <c r="D568" s="38" t="s">
        <v>870</v>
      </c>
      <c r="E568" s="38" t="str">
        <f aca="false">B568&amp;"|"&amp;C568</f>
        <v>63|U</v>
      </c>
      <c r="F568" s="45" t="n">
        <f aca="false">INDEX('Emission Stepwise'!$H$2:$H$289,MATCH(E568,'Emission Stepwise'!$C$2:$C$289,0))</f>
        <v>0.16256157635468</v>
      </c>
      <c r="G568" s="45" t="n">
        <f aca="false">INDEX(Background!$C$4:$C$7,MATCH(C568,Background!$A$4:$A$7,0))</f>
        <v>0.212884169069555</v>
      </c>
      <c r="H568" s="49" t="n">
        <f aca="false">LN(F568/G568)</f>
        <v>-0.269691349200651</v>
      </c>
    </row>
    <row r="569" customFormat="false" ht="15" hidden="false" customHeight="true" outlineLevel="0" collapsed="false">
      <c r="A569" s="38" t="s">
        <v>34</v>
      </c>
      <c r="B569" s="38" t="n">
        <v>64</v>
      </c>
      <c r="C569" s="38" t="s">
        <v>171</v>
      </c>
      <c r="D569" s="38" t="s">
        <v>870</v>
      </c>
      <c r="E569" s="38" t="str">
        <f aca="false">B569&amp;"|"&amp;C569</f>
        <v>64|U</v>
      </c>
      <c r="F569" s="45" t="n">
        <f aca="false">INDEX('Emission Stepwise'!$H$2:$H$289,MATCH(E569,'Emission Stepwise'!$C$2:$C$289,0))</f>
        <v>0.167487684729064</v>
      </c>
      <c r="G569" s="45" t="n">
        <f aca="false">INDEX(Background!$C$4:$C$7,MATCH(C569,Background!$A$4:$A$7,0))</f>
        <v>0.212884169069555</v>
      </c>
      <c r="H569" s="49" t="n">
        <f aca="false">LN(F569/G569)</f>
        <v>-0.23983838605097</v>
      </c>
    </row>
    <row r="570" customFormat="false" ht="15" hidden="false" customHeight="true" outlineLevel="0" collapsed="false">
      <c r="A570" s="38" t="s">
        <v>34</v>
      </c>
      <c r="B570" s="38" t="n">
        <v>65</v>
      </c>
      <c r="C570" s="38" t="s">
        <v>172</v>
      </c>
      <c r="D570" s="38" t="s">
        <v>870</v>
      </c>
      <c r="E570" s="38" t="str">
        <f aca="false">B570&amp;"|"&amp;C570</f>
        <v>65|A</v>
      </c>
      <c r="F570" s="45" t="n">
        <f aca="false">INDEX('Emission Stepwise'!$H$2:$H$289,MATCH(E570,'Emission Stepwise'!$C$2:$C$289,0))</f>
        <v>0.0495049504950495</v>
      </c>
      <c r="G570" s="45" t="n">
        <f aca="false">INDEX(Background!$C$4:$C$7,MATCH(C570,Background!$A$4:$A$7,0))</f>
        <v>0.185174766157958</v>
      </c>
      <c r="H570" s="49" t="n">
        <f aca="false">LN(F570/G570)</f>
        <v>-1.31922738650709</v>
      </c>
    </row>
    <row r="571" customFormat="false" ht="15" hidden="false" customHeight="true" outlineLevel="0" collapsed="false">
      <c r="A571" s="38" t="s">
        <v>34</v>
      </c>
      <c r="B571" s="38" t="n">
        <v>66</v>
      </c>
      <c r="C571" s="38" t="s">
        <v>170</v>
      </c>
      <c r="D571" s="38" t="s">
        <v>871</v>
      </c>
      <c r="E571" s="38" t="str">
        <f aca="false">B571&amp;"|"&amp;C571</f>
        <v>66|C</v>
      </c>
      <c r="F571" s="45" t="n">
        <f aca="false">INDEX('Emission Stepwise'!$H$2:$H$289,MATCH(E571,'Emission Stepwise'!$C$2:$C$289,0))</f>
        <v>0.522167487684729</v>
      </c>
      <c r="G571" s="45" t="n">
        <f aca="false">INDEX(Background!$C$4:$C$7,MATCH(C571,Background!$A$4:$A$7,0))</f>
        <v>0.276812715380828</v>
      </c>
      <c r="H571" s="49" t="n">
        <f aca="false">LN(F571/G571)</f>
        <v>0.63464723429451</v>
      </c>
    </row>
    <row r="572" customFormat="false" ht="15" hidden="false" customHeight="true" outlineLevel="0" collapsed="false">
      <c r="A572" s="38" t="s">
        <v>34</v>
      </c>
      <c r="B572" s="38" t="n">
        <v>67</v>
      </c>
      <c r="C572" s="38" t="s">
        <v>171</v>
      </c>
      <c r="D572" s="38" t="s">
        <v>871</v>
      </c>
      <c r="E572" s="38" t="str">
        <f aca="false">B572&amp;"|"&amp;C572</f>
        <v>67|U</v>
      </c>
      <c r="F572" s="45" t="n">
        <f aca="false">INDEX('Emission Stepwise'!$H$2:$H$289,MATCH(E572,'Emission Stepwise'!$C$2:$C$289,0))</f>
        <v>0.192118226600985</v>
      </c>
      <c r="G572" s="45" t="n">
        <f aca="false">INDEX(Background!$C$4:$C$7,MATCH(C572,Background!$A$4:$A$7,0))</f>
        <v>0.212884169069555</v>
      </c>
      <c r="H572" s="49" t="n">
        <f aca="false">LN(F572/G572)</f>
        <v>-0.102637264537485</v>
      </c>
    </row>
    <row r="573" customFormat="false" ht="15" hidden="false" customHeight="true" outlineLevel="0" collapsed="false">
      <c r="A573" s="38" t="s">
        <v>34</v>
      </c>
      <c r="B573" s="38" t="n">
        <v>68</v>
      </c>
      <c r="C573" s="38" t="s">
        <v>171</v>
      </c>
      <c r="D573" s="38" t="s">
        <v>871</v>
      </c>
      <c r="E573" s="38" t="str">
        <f aca="false">B573&amp;"|"&amp;C573</f>
        <v>68|U</v>
      </c>
      <c r="F573" s="45" t="n">
        <f aca="false">INDEX('Emission Stepwise'!$H$2:$H$289,MATCH(E573,'Emission Stepwise'!$C$2:$C$289,0))</f>
        <v>0.177339901477833</v>
      </c>
      <c r="G573" s="45" t="n">
        <f aca="false">INDEX(Background!$C$4:$C$7,MATCH(C573,Background!$A$4:$A$7,0))</f>
        <v>0.212884169069555</v>
      </c>
      <c r="H573" s="49" t="n">
        <f aca="false">LN(F573/G573)</f>
        <v>-0.182679972211022</v>
      </c>
    </row>
    <row r="574" customFormat="false" ht="15" hidden="false" customHeight="true" outlineLevel="0" collapsed="false">
      <c r="A574" s="38" t="s">
        <v>34</v>
      </c>
      <c r="B574" s="38" t="n">
        <v>69</v>
      </c>
      <c r="C574" s="38" t="s">
        <v>171</v>
      </c>
      <c r="D574" s="38" t="s">
        <v>871</v>
      </c>
      <c r="E574" s="38" t="str">
        <f aca="false">B574&amp;"|"&amp;C574</f>
        <v>69|U</v>
      </c>
      <c r="F574" s="45" t="n">
        <f aca="false">INDEX('Emission Stepwise'!$H$2:$H$289,MATCH(E574,'Emission Stepwise'!$C$2:$C$289,0))</f>
        <v>0.083743842364532</v>
      </c>
      <c r="G574" s="45" t="n">
        <f aca="false">INDEX(Background!$C$4:$C$7,MATCH(C574,Background!$A$4:$A$7,0))</f>
        <v>0.212884169069555</v>
      </c>
      <c r="H574" s="49" t="n">
        <f aca="false">LN(F574/G574)</f>
        <v>-0.932985566610916</v>
      </c>
    </row>
    <row r="575" customFormat="false" ht="15" hidden="false" customHeight="true" outlineLevel="0" collapsed="false">
      <c r="A575" s="38" t="s">
        <v>34</v>
      </c>
      <c r="B575" s="38" t="n">
        <v>70</v>
      </c>
      <c r="C575" s="38" t="s">
        <v>171</v>
      </c>
      <c r="D575" s="38" t="s">
        <v>871</v>
      </c>
      <c r="E575" s="38" t="str">
        <f aca="false">B575&amp;"|"&amp;C575</f>
        <v>70|U</v>
      </c>
      <c r="F575" s="45" t="n">
        <f aca="false">INDEX('Emission Stepwise'!$H$2:$H$289,MATCH(E575,'Emission Stepwise'!$C$2:$C$289,0))</f>
        <v>0.152709359605911</v>
      </c>
      <c r="G575" s="45" t="n">
        <f aca="false">INDEX(Background!$C$4:$C$7,MATCH(C575,Background!$A$4:$A$7,0))</f>
        <v>0.212884169069555</v>
      </c>
      <c r="H575" s="49" t="n">
        <f aca="false">LN(F575/G575)</f>
        <v>-0.332211706181985</v>
      </c>
    </row>
    <row r="576" customFormat="false" ht="15" hidden="false" customHeight="true" outlineLevel="0" collapsed="false">
      <c r="A576" s="38" t="s">
        <v>34</v>
      </c>
      <c r="B576" s="38" t="n">
        <v>71</v>
      </c>
      <c r="C576" s="38" t="s">
        <v>172</v>
      </c>
      <c r="D576" s="38" t="s">
        <v>871</v>
      </c>
      <c r="E576" s="38" t="str">
        <f aca="false">B576&amp;"|"&amp;C576</f>
        <v>71|A</v>
      </c>
      <c r="F576" s="45" t="n">
        <f aca="false">INDEX('Emission Stepwise'!$H$2:$H$289,MATCH(E576,'Emission Stepwise'!$C$2:$C$289,0))</f>
        <v>0.0295566502463054</v>
      </c>
      <c r="G576" s="45" t="n">
        <f aca="false">INDEX(Background!$C$4:$C$7,MATCH(C576,Background!$A$4:$A$7,0))</f>
        <v>0.185174766157958</v>
      </c>
      <c r="H576" s="49" t="n">
        <f aca="false">LN(F576/G576)</f>
        <v>-1.83499129191367</v>
      </c>
    </row>
    <row r="577" customFormat="false" ht="15" hidden="false" customHeight="true" outlineLevel="0" collapsed="false">
      <c r="A577" s="38" t="s">
        <v>34</v>
      </c>
      <c r="B577" s="38" t="n">
        <v>72</v>
      </c>
      <c r="C577" s="38" t="s">
        <v>171</v>
      </c>
      <c r="D577" s="38" t="s">
        <v>871</v>
      </c>
      <c r="E577" s="38" t="str">
        <f aca="false">B577&amp;"|"&amp;C577</f>
        <v>72|U</v>
      </c>
      <c r="F577" s="45" t="n">
        <f aca="false">INDEX('Emission Stepwise'!$H$2:$H$289,MATCH(E577,'Emission Stepwise'!$C$2:$C$289,0))</f>
        <v>0.108374384236453</v>
      </c>
      <c r="G577" s="45" t="n">
        <f aca="false">INDEX(Background!$C$4:$C$7,MATCH(C577,Background!$A$4:$A$7,0))</f>
        <v>0.212884169069555</v>
      </c>
      <c r="H577" s="49" t="n">
        <f aca="false">LN(F577/G577)</f>
        <v>-0.675156457308816</v>
      </c>
    </row>
    <row r="578" customFormat="false" ht="15" hidden="false" customHeight="true" outlineLevel="0" collapsed="false">
      <c r="A578" s="38" t="s">
        <v>16</v>
      </c>
      <c r="B578" s="38" t="n">
        <v>1</v>
      </c>
      <c r="C578" s="38" t="s">
        <v>169</v>
      </c>
      <c r="D578" s="38" t="s">
        <v>865</v>
      </c>
      <c r="E578" s="38" t="str">
        <f aca="false">B578&amp;"|"&amp;C578</f>
        <v>1|G</v>
      </c>
      <c r="F578" s="45" t="n">
        <f aca="false">INDEX('Emission Stepwise'!$H$2:$H$289,MATCH(E578,'Emission Stepwise'!$C$2:$C$289,0))</f>
        <v>0.753694581280788</v>
      </c>
      <c r="G578" s="45" t="n">
        <f aca="false">INDEX(Background!$C$4:$C$7,MATCH(C578,Background!$A$4:$A$7,0))</f>
        <v>0.325128349391659</v>
      </c>
      <c r="H578" s="49" t="n">
        <f aca="false">LN(F578/G578)</f>
        <v>0.840767195758797</v>
      </c>
    </row>
    <row r="579" customFormat="false" ht="15" hidden="false" customHeight="true" outlineLevel="0" collapsed="false">
      <c r="A579" s="38" t="s">
        <v>16</v>
      </c>
      <c r="B579" s="38" t="n">
        <v>2</v>
      </c>
      <c r="C579" s="38" t="s">
        <v>170</v>
      </c>
      <c r="D579" s="38" t="s">
        <v>865</v>
      </c>
      <c r="E579" s="38" t="str">
        <f aca="false">B579&amp;"|"&amp;C579</f>
        <v>2|C</v>
      </c>
      <c r="F579" s="45" t="n">
        <f aca="false">INDEX('Emission Stepwise'!$H$2:$H$289,MATCH(E579,'Emission Stepwise'!$C$2:$C$289,0))</f>
        <v>0.408866995073892</v>
      </c>
      <c r="G579" s="45" t="n">
        <f aca="false">INDEX(Background!$C$4:$C$7,MATCH(C579,Background!$A$4:$A$7,0))</f>
        <v>0.276812715380828</v>
      </c>
      <c r="H579" s="49" t="n">
        <f aca="false">LN(F579/G579)</f>
        <v>0.390048747979041</v>
      </c>
    </row>
    <row r="580" customFormat="false" ht="15" hidden="false" customHeight="true" outlineLevel="0" collapsed="false">
      <c r="A580" s="38" t="s">
        <v>16</v>
      </c>
      <c r="B580" s="38" t="n">
        <v>3</v>
      </c>
      <c r="C580" s="38" t="s">
        <v>170</v>
      </c>
      <c r="D580" s="38" t="s">
        <v>865</v>
      </c>
      <c r="E580" s="38" t="str">
        <f aca="false">B580&amp;"|"&amp;C580</f>
        <v>3|C</v>
      </c>
      <c r="F580" s="45" t="n">
        <f aca="false">INDEX('Emission Stepwise'!$H$2:$H$289,MATCH(E580,'Emission Stepwise'!$C$2:$C$289,0))</f>
        <v>0.38423645320197</v>
      </c>
      <c r="G580" s="45" t="n">
        <f aca="false">INDEX(Background!$C$4:$C$7,MATCH(C580,Background!$A$4:$A$7,0))</f>
        <v>0.276812715380828</v>
      </c>
      <c r="H580" s="49" t="n">
        <f aca="false">LN(F580/G580)</f>
        <v>0.327916966872035</v>
      </c>
    </row>
    <row r="581" customFormat="false" ht="15" hidden="false" customHeight="true" outlineLevel="0" collapsed="false">
      <c r="A581" s="38" t="s">
        <v>16</v>
      </c>
      <c r="B581" s="38" t="n">
        <v>4</v>
      </c>
      <c r="C581" s="38" t="s">
        <v>170</v>
      </c>
      <c r="D581" s="38" t="s">
        <v>865</v>
      </c>
      <c r="E581" s="38" t="str">
        <f aca="false">B581&amp;"|"&amp;C581</f>
        <v>4|C</v>
      </c>
      <c r="F581" s="45" t="n">
        <f aca="false">INDEX('Emission Stepwise'!$H$2:$H$289,MATCH(E581,'Emission Stepwise'!$C$2:$C$289,0))</f>
        <v>0.305418719211823</v>
      </c>
      <c r="G581" s="45" t="n">
        <f aca="false">INDEX(Background!$C$4:$C$7,MATCH(C581,Background!$A$4:$A$7,0))</f>
        <v>0.276812715380828</v>
      </c>
      <c r="H581" s="49" t="n">
        <f aca="false">LN(F581/G581)</f>
        <v>0.0983425252275348</v>
      </c>
    </row>
    <row r="582" customFormat="false" ht="15" hidden="false" customHeight="true" outlineLevel="0" collapsed="false">
      <c r="A582" s="38" t="s">
        <v>16</v>
      </c>
      <c r="B582" s="38" t="n">
        <v>5</v>
      </c>
      <c r="C582" s="38" t="s">
        <v>169</v>
      </c>
      <c r="D582" s="38" t="s">
        <v>865</v>
      </c>
      <c r="E582" s="38" t="str">
        <f aca="false">B582&amp;"|"&amp;C582</f>
        <v>5|G</v>
      </c>
      <c r="F582" s="45" t="n">
        <f aca="false">INDEX('Emission Stepwise'!$H$2:$H$289,MATCH(E582,'Emission Stepwise'!$C$2:$C$289,0))</f>
        <v>0.344827586206897</v>
      </c>
      <c r="G582" s="45" t="n">
        <f aca="false">INDEX(Background!$C$4:$C$7,MATCH(C582,Background!$A$4:$A$7,0))</f>
        <v>0.325128349391659</v>
      </c>
      <c r="H582" s="49" t="n">
        <f aca="false">LN(F582/G582)</f>
        <v>0.0588245164157209</v>
      </c>
    </row>
    <row r="583" customFormat="false" ht="15" hidden="false" customHeight="true" outlineLevel="0" collapsed="false">
      <c r="A583" s="38" t="s">
        <v>16</v>
      </c>
      <c r="B583" s="38" t="n">
        <v>6</v>
      </c>
      <c r="C583" s="38" t="s">
        <v>169</v>
      </c>
      <c r="D583" s="38" t="s">
        <v>865</v>
      </c>
      <c r="E583" s="38" t="str">
        <f aca="false">B583&amp;"|"&amp;C583</f>
        <v>6|G</v>
      </c>
      <c r="F583" s="45" t="n">
        <f aca="false">INDEX('Emission Stepwise'!$H$2:$H$289,MATCH(E583,'Emission Stepwise'!$C$2:$C$289,0))</f>
        <v>0.241379310344828</v>
      </c>
      <c r="G583" s="45" t="n">
        <f aca="false">INDEX(Background!$C$4:$C$7,MATCH(C583,Background!$A$4:$A$7,0))</f>
        <v>0.325128349391659</v>
      </c>
      <c r="H583" s="49" t="n">
        <f aca="false">LN(F583/G583)</f>
        <v>-0.297850427523012</v>
      </c>
    </row>
    <row r="584" customFormat="false" ht="15" hidden="false" customHeight="true" outlineLevel="0" collapsed="false">
      <c r="A584" s="38" t="s">
        <v>16</v>
      </c>
      <c r="B584" s="38" t="n">
        <v>7</v>
      </c>
      <c r="C584" s="38" t="s">
        <v>172</v>
      </c>
      <c r="D584" s="38" t="s">
        <v>865</v>
      </c>
      <c r="E584" s="38" t="str">
        <f aca="false">B584&amp;"|"&amp;C584</f>
        <v>7|A</v>
      </c>
      <c r="F584" s="45" t="n">
        <f aca="false">INDEX('Emission Stepwise'!$H$2:$H$289,MATCH(E584,'Emission Stepwise'!$C$2:$C$289,0))</f>
        <v>0.236453201970443</v>
      </c>
      <c r="G584" s="45" t="n">
        <f aca="false">INDEX(Background!$C$4:$C$7,MATCH(C584,Background!$A$4:$A$7,0))</f>
        <v>0.185174766157958</v>
      </c>
      <c r="H584" s="49" t="n">
        <f aca="false">LN(F584/G584)</f>
        <v>0.244450249766169</v>
      </c>
    </row>
    <row r="585" customFormat="false" ht="15" hidden="false" customHeight="true" outlineLevel="0" collapsed="false">
      <c r="A585" s="38" t="s">
        <v>16</v>
      </c>
      <c r="B585" s="38" t="n">
        <v>8</v>
      </c>
      <c r="C585" s="38" t="s">
        <v>171</v>
      </c>
      <c r="D585" s="38" t="s">
        <v>866</v>
      </c>
      <c r="E585" s="38" t="str">
        <f aca="false">B585&amp;"|"&amp;C585</f>
        <v>8|U</v>
      </c>
      <c r="F585" s="45" t="n">
        <f aca="false">INDEX('Emission Stepwise'!$H$2:$H$289,MATCH(E585,'Emission Stepwise'!$C$2:$C$289,0))</f>
        <v>0.975369458128079</v>
      </c>
      <c r="G585" s="45" t="n">
        <f aca="false">INDEX(Background!$C$4:$C$7,MATCH(C585,Background!$A$4:$A$7,0))</f>
        <v>0.212884169069555</v>
      </c>
      <c r="H585" s="49" t="n">
        <f aca="false">LN(F585/G585)</f>
        <v>1.5220681200274</v>
      </c>
    </row>
    <row r="586" customFormat="false" ht="15" hidden="false" customHeight="true" outlineLevel="0" collapsed="false">
      <c r="A586" s="38" t="s">
        <v>16</v>
      </c>
      <c r="B586" s="38" t="n">
        <v>9</v>
      </c>
      <c r="C586" s="38" t="s">
        <v>172</v>
      </c>
      <c r="D586" s="38" t="s">
        <v>867</v>
      </c>
      <c r="E586" s="38" t="str">
        <f aca="false">B586&amp;"|"&amp;C586</f>
        <v>9|A</v>
      </c>
      <c r="F586" s="45" t="n">
        <f aca="false">INDEX('Emission Stepwise'!$H$2:$H$289,MATCH(E586,'Emission Stepwise'!$C$2:$C$289,0))</f>
        <v>0.648514851485149</v>
      </c>
      <c r="G586" s="45" t="n">
        <f aca="false">INDEX(Background!$C$4:$C$7,MATCH(C586,Background!$A$4:$A$7,0))</f>
        <v>0.185174766157958</v>
      </c>
      <c r="H586" s="49" t="n">
        <f aca="false">LN(F586/G586)</f>
        <v>1.25338484370001</v>
      </c>
    </row>
    <row r="587" customFormat="false" ht="15" hidden="false" customHeight="true" outlineLevel="0" collapsed="false">
      <c r="A587" s="38" t="s">
        <v>16</v>
      </c>
      <c r="B587" s="38" t="n">
        <v>10</v>
      </c>
      <c r="C587" s="38" t="s">
        <v>169</v>
      </c>
      <c r="D587" s="38" t="s">
        <v>867</v>
      </c>
      <c r="E587" s="38" t="str">
        <f aca="false">B587&amp;"|"&amp;C587</f>
        <v>10|G</v>
      </c>
      <c r="F587" s="45" t="n">
        <f aca="false">INDEX('Emission Stepwise'!$H$2:$H$289,MATCH(E587,'Emission Stepwise'!$C$2:$C$289,0))</f>
        <v>0.945812807881773</v>
      </c>
      <c r="G587" s="45" t="n">
        <f aca="false">INDEX(Background!$C$4:$C$7,MATCH(C587,Background!$A$4:$A$7,0))</f>
        <v>0.325128349391659</v>
      </c>
      <c r="H587" s="49" t="n">
        <f aca="false">LN(F587/G587)</f>
        <v>1.06782464639414</v>
      </c>
    </row>
    <row r="588" customFormat="false" ht="15" hidden="false" customHeight="true" outlineLevel="0" collapsed="false">
      <c r="A588" s="38" t="s">
        <v>16</v>
      </c>
      <c r="B588" s="38" t="n">
        <v>11</v>
      </c>
      <c r="C588" s="38" t="s">
        <v>170</v>
      </c>
      <c r="D588" s="38" t="s">
        <v>867</v>
      </c>
      <c r="E588" s="38" t="str">
        <f aca="false">B588&amp;"|"&amp;C588</f>
        <v>11|C</v>
      </c>
      <c r="F588" s="45" t="n">
        <f aca="false">INDEX('Emission Stepwise'!$H$2:$H$289,MATCH(E588,'Emission Stepwise'!$C$2:$C$289,0))</f>
        <v>0.724137931034483</v>
      </c>
      <c r="G588" s="45" t="n">
        <f aca="false">INDEX(Background!$C$4:$C$7,MATCH(C588,Background!$A$4:$A$7,0))</f>
        <v>0.276812715380828</v>
      </c>
      <c r="H588" s="49" t="n">
        <f aca="false">LN(F588/G588)</f>
        <v>0.961640726961179</v>
      </c>
    </row>
    <row r="589" customFormat="false" ht="15" hidden="false" customHeight="true" outlineLevel="0" collapsed="false">
      <c r="A589" s="38" t="s">
        <v>16</v>
      </c>
      <c r="B589" s="38" t="n">
        <v>12</v>
      </c>
      <c r="C589" s="38" t="s">
        <v>170</v>
      </c>
      <c r="D589" s="38" t="s">
        <v>867</v>
      </c>
      <c r="E589" s="38" t="str">
        <f aca="false">B589&amp;"|"&amp;C589</f>
        <v>12|C</v>
      </c>
      <c r="F589" s="45" t="n">
        <f aca="false">INDEX('Emission Stepwise'!$H$2:$H$289,MATCH(E589,'Emission Stepwise'!$C$2:$C$289,0))</f>
        <v>0.147783251231527</v>
      </c>
      <c r="G589" s="45" t="n">
        <f aca="false">INDEX(Background!$C$4:$C$7,MATCH(C589,Background!$A$4:$A$7,0))</f>
        <v>0.276812715380828</v>
      </c>
      <c r="H589" s="49" t="n">
        <f aca="false">LN(F589/G589)</f>
        <v>-0.627594478155401</v>
      </c>
    </row>
    <row r="590" customFormat="false" ht="15" hidden="false" customHeight="true" outlineLevel="0" collapsed="false">
      <c r="A590" s="38" t="s">
        <v>16</v>
      </c>
      <c r="B590" s="38" t="n">
        <v>13</v>
      </c>
      <c r="C590" s="38" t="s">
        <v>171</v>
      </c>
      <c r="D590" s="38" t="s">
        <v>867</v>
      </c>
      <c r="E590" s="38" t="str">
        <f aca="false">B590&amp;"|"&amp;C590</f>
        <v>13|U</v>
      </c>
      <c r="F590" s="45" t="n">
        <f aca="false">INDEX('Emission Stepwise'!$H$2:$H$289,MATCH(E590,'Emission Stepwise'!$C$2:$C$289,0))</f>
        <v>0.192118226600985</v>
      </c>
      <c r="G590" s="45" t="n">
        <f aca="false">INDEX(Background!$C$4:$C$7,MATCH(C590,Background!$A$4:$A$7,0))</f>
        <v>0.212884169069555</v>
      </c>
      <c r="H590" s="49" t="n">
        <f aca="false">LN(F590/G590)</f>
        <v>-0.102637264537485</v>
      </c>
    </row>
    <row r="591" customFormat="false" ht="15" hidden="false" customHeight="true" outlineLevel="0" collapsed="false">
      <c r="A591" s="38" t="s">
        <v>16</v>
      </c>
      <c r="B591" s="38" t="n">
        <v>14</v>
      </c>
      <c r="C591" s="38" t="s">
        <v>172</v>
      </c>
      <c r="D591" s="38" t="s">
        <v>867</v>
      </c>
      <c r="E591" s="38" t="str">
        <f aca="false">B591&amp;"|"&amp;C591</f>
        <v>14|A</v>
      </c>
      <c r="F591" s="45" t="n">
        <f aca="false">INDEX('Emission Stepwise'!$H$2:$H$289,MATCH(E591,'Emission Stepwise'!$C$2:$C$289,0))</f>
        <v>0.975369458128079</v>
      </c>
      <c r="G591" s="45" t="n">
        <f aca="false">INDEX(Background!$C$4:$C$7,MATCH(C591,Background!$A$4:$A$7,0))</f>
        <v>0.185174766157958</v>
      </c>
      <c r="H591" s="49" t="n">
        <f aca="false">LN(F591/G591)</f>
        <v>1.66151626955281</v>
      </c>
    </row>
    <row r="592" customFormat="false" ht="15" hidden="false" customHeight="true" outlineLevel="0" collapsed="false">
      <c r="A592" s="38" t="s">
        <v>16</v>
      </c>
      <c r="B592" s="38" t="n">
        <v>15</v>
      </c>
      <c r="C592" s="38" t="s">
        <v>169</v>
      </c>
      <c r="D592" s="38" t="s">
        <v>867</v>
      </c>
      <c r="E592" s="38" t="str">
        <f aca="false">B592&amp;"|"&amp;C592</f>
        <v>15|G</v>
      </c>
      <c r="F592" s="45" t="n">
        <f aca="false">INDEX('Emission Stepwise'!$H$2:$H$289,MATCH(E592,'Emission Stepwise'!$C$2:$C$289,0))</f>
        <v>0.801980198019802</v>
      </c>
      <c r="G592" s="45" t="n">
        <f aca="false">INDEX(Background!$C$4:$C$7,MATCH(C592,Background!$A$4:$A$7,0))</f>
        <v>0.325128349391659</v>
      </c>
      <c r="H592" s="49" t="n">
        <f aca="false">LN(F592/G592)</f>
        <v>0.902863891239328</v>
      </c>
    </row>
    <row r="593" customFormat="false" ht="15" hidden="false" customHeight="true" outlineLevel="0" collapsed="false">
      <c r="A593" s="38" t="s">
        <v>16</v>
      </c>
      <c r="B593" s="38" t="n">
        <v>16</v>
      </c>
      <c r="C593" s="38" t="s">
        <v>172</v>
      </c>
      <c r="D593" s="38" t="s">
        <v>867</v>
      </c>
      <c r="E593" s="38" t="str">
        <f aca="false">B593&amp;"|"&amp;C593</f>
        <v>16|A</v>
      </c>
      <c r="F593" s="45" t="n">
        <f aca="false">INDEX('Emission Stepwise'!$H$2:$H$289,MATCH(E593,'Emission Stepwise'!$C$2:$C$289,0))</f>
        <v>0.0294117647058824</v>
      </c>
      <c r="G593" s="45" t="n">
        <f aca="false">INDEX(Background!$C$4:$C$7,MATCH(C593,Background!$A$4:$A$7,0))</f>
        <v>0.185174766157958</v>
      </c>
      <c r="H593" s="49" t="n">
        <f aca="false">LN(F593/G593)</f>
        <v>-1.8399053067161</v>
      </c>
    </row>
    <row r="594" customFormat="false" ht="15" hidden="false" customHeight="true" outlineLevel="0" collapsed="false">
      <c r="A594" s="38" t="s">
        <v>16</v>
      </c>
      <c r="B594" s="38" t="n">
        <v>17</v>
      </c>
      <c r="C594" s="38" t="s">
        <v>171</v>
      </c>
      <c r="D594" s="38" t="s">
        <v>867</v>
      </c>
      <c r="E594" s="38" t="str">
        <f aca="false">B594&amp;"|"&amp;C594</f>
        <v>17|U</v>
      </c>
      <c r="F594" s="45" t="n">
        <f aca="false">INDEX('Emission Stepwise'!$H$2:$H$289,MATCH(E594,'Emission Stepwise'!$C$2:$C$289,0))</f>
        <v>0.57</v>
      </c>
      <c r="G594" s="45" t="n">
        <f aca="false">INDEX(Background!$C$4:$C$7,MATCH(C594,Background!$A$4:$A$7,0))</f>
        <v>0.212884169069555</v>
      </c>
      <c r="H594" s="49" t="n">
        <f aca="false">LN(F594/G594)</f>
        <v>0.984888150221115</v>
      </c>
    </row>
    <row r="595" customFormat="false" ht="15" hidden="false" customHeight="true" outlineLevel="0" collapsed="false">
      <c r="A595" s="38" t="s">
        <v>16</v>
      </c>
      <c r="B595" s="38" t="n">
        <v>18</v>
      </c>
      <c r="C595" s="38" t="s">
        <v>169</v>
      </c>
      <c r="D595" s="38" t="s">
        <v>867</v>
      </c>
      <c r="E595" s="38" t="str">
        <f aca="false">B595&amp;"|"&amp;C595</f>
        <v>18|G</v>
      </c>
      <c r="F595" s="45" t="n">
        <f aca="false">INDEX('Emission Stepwise'!$H$2:$H$289,MATCH(E595,'Emission Stepwise'!$C$2:$C$289,0))</f>
        <v>0.980295566502463</v>
      </c>
      <c r="G595" s="45" t="n">
        <f aca="false">INDEX(Background!$C$4:$C$7,MATCH(C595,Background!$A$4:$A$7,0))</f>
        <v>0.325128349391659</v>
      </c>
      <c r="H595" s="49" t="n">
        <f aca="false">LN(F595/G595)</f>
        <v>1.10363409909085</v>
      </c>
    </row>
    <row r="596" customFormat="false" ht="15" hidden="false" customHeight="true" outlineLevel="0" collapsed="false">
      <c r="A596" s="38" t="s">
        <v>16</v>
      </c>
      <c r="B596" s="38" t="n">
        <v>19</v>
      </c>
      <c r="C596" s="38" t="s">
        <v>169</v>
      </c>
      <c r="D596" s="38" t="s">
        <v>867</v>
      </c>
      <c r="E596" s="38" t="str">
        <f aca="false">B596&amp;"|"&amp;C596</f>
        <v>19|G</v>
      </c>
      <c r="F596" s="45" t="n">
        <f aca="false">INDEX('Emission Stepwise'!$H$2:$H$289,MATCH(E596,'Emission Stepwise'!$C$2:$C$289,0))</f>
        <v>0.970443349753695</v>
      </c>
      <c r="G596" s="45" t="n">
        <f aca="false">INDEX(Background!$C$4:$C$7,MATCH(C596,Background!$A$4:$A$7,0))</f>
        <v>0.325128349391659</v>
      </c>
      <c r="H596" s="49" t="n">
        <f aca="false">LN(F596/G596)</f>
        <v>1.09353300310435</v>
      </c>
    </row>
    <row r="597" customFormat="false" ht="15" hidden="false" customHeight="true" outlineLevel="0" collapsed="false">
      <c r="A597" s="38" t="s">
        <v>16</v>
      </c>
      <c r="B597" s="38" t="n">
        <v>20</v>
      </c>
      <c r="C597" s="38" t="s">
        <v>171</v>
      </c>
      <c r="D597" s="38" t="s">
        <v>867</v>
      </c>
      <c r="E597" s="38" t="str">
        <f aca="false">B597&amp;"|"&amp;C597</f>
        <v>20|U</v>
      </c>
      <c r="F597" s="45" t="n">
        <f aca="false">INDEX('Emission Stepwise'!$H$2:$H$289,MATCH(E597,'Emission Stepwise'!$C$2:$C$289,0))</f>
        <v>0.589108910891089</v>
      </c>
      <c r="G597" s="45" t="n">
        <f aca="false">INDEX(Background!$C$4:$C$7,MATCH(C597,Background!$A$4:$A$7,0))</f>
        <v>0.212884169069555</v>
      </c>
      <c r="H597" s="49" t="n">
        <f aca="false">LN(F597/G597)</f>
        <v>1.01786286408498</v>
      </c>
    </row>
    <row r="598" customFormat="false" ht="15" hidden="false" customHeight="true" outlineLevel="0" collapsed="false">
      <c r="A598" s="38" t="s">
        <v>16</v>
      </c>
      <c r="B598" s="38" t="n">
        <v>21</v>
      </c>
      <c r="C598" s="38" t="s">
        <v>171</v>
      </c>
      <c r="D598" s="38" t="s">
        <v>867</v>
      </c>
      <c r="E598" s="38" t="str">
        <f aca="false">B598&amp;"|"&amp;C598</f>
        <v>21|U</v>
      </c>
      <c r="F598" s="45" t="n">
        <f aca="false">INDEX('Emission Stepwise'!$H$2:$H$289,MATCH(E598,'Emission Stepwise'!$C$2:$C$289,0))</f>
        <v>0.0541871921182266</v>
      </c>
      <c r="G598" s="45" t="n">
        <f aca="false">INDEX(Background!$C$4:$C$7,MATCH(C598,Background!$A$4:$A$7,0))</f>
        <v>0.212884169069555</v>
      </c>
      <c r="H598" s="49" t="n">
        <f aca="false">LN(F598/G598)</f>
        <v>-1.36830363786876</v>
      </c>
    </row>
    <row r="599" customFormat="false" ht="15" hidden="false" customHeight="true" outlineLevel="0" collapsed="false">
      <c r="A599" s="38" t="s">
        <v>16</v>
      </c>
      <c r="B599" s="38" t="n">
        <v>22</v>
      </c>
      <c r="C599" s="38" t="s">
        <v>169</v>
      </c>
      <c r="D599" s="38" t="s">
        <v>867</v>
      </c>
      <c r="E599" s="38" t="str">
        <f aca="false">B599&amp;"|"&amp;C599</f>
        <v>22|G</v>
      </c>
      <c r="F599" s="45" t="n">
        <f aca="false">INDEX('Emission Stepwise'!$H$2:$H$289,MATCH(E599,'Emission Stepwise'!$C$2:$C$289,0))</f>
        <v>0.714285714285714</v>
      </c>
      <c r="G599" s="45" t="n">
        <f aca="false">INDEX(Background!$C$4:$C$7,MATCH(C599,Background!$A$4:$A$7,0))</f>
        <v>0.325128349391659</v>
      </c>
      <c r="H599" s="49" t="n">
        <f aca="false">LN(F599/G599)</f>
        <v>0.787063016786936</v>
      </c>
    </row>
    <row r="600" customFormat="false" ht="15" hidden="false" customHeight="true" outlineLevel="0" collapsed="false">
      <c r="A600" s="38" t="s">
        <v>16</v>
      </c>
      <c r="B600" s="38" t="n">
        <v>23</v>
      </c>
      <c r="C600" s="38" t="s">
        <v>169</v>
      </c>
      <c r="D600" s="38" t="s">
        <v>867</v>
      </c>
      <c r="E600" s="38" t="str">
        <f aca="false">B600&amp;"|"&amp;C600</f>
        <v>23|G</v>
      </c>
      <c r="F600" s="45" t="n">
        <f aca="false">INDEX('Emission Stepwise'!$H$2:$H$289,MATCH(E600,'Emission Stepwise'!$C$2:$C$289,0))</f>
        <v>0.147783251231527</v>
      </c>
      <c r="G600" s="45" t="n">
        <f aca="false">INDEX(Background!$C$4:$C$7,MATCH(C600,Background!$A$4:$A$7,0))</f>
        <v>0.325128349391659</v>
      </c>
      <c r="H600" s="49" t="n">
        <f aca="false">LN(F600/G600)</f>
        <v>-0.788473343971483</v>
      </c>
    </row>
    <row r="601" customFormat="false" ht="15" hidden="false" customHeight="true" outlineLevel="0" collapsed="false">
      <c r="A601" s="38" t="s">
        <v>16</v>
      </c>
      <c r="B601" s="38" t="n">
        <v>24</v>
      </c>
      <c r="C601" s="38" t="s">
        <v>169</v>
      </c>
      <c r="D601" s="38" t="s">
        <v>867</v>
      </c>
      <c r="E601" s="38" t="str">
        <f aca="false">B601&amp;"|"&amp;C601</f>
        <v>24|G</v>
      </c>
      <c r="F601" s="45" t="n">
        <f aca="false">INDEX('Emission Stepwise'!$H$2:$H$289,MATCH(E601,'Emission Stepwise'!$C$2:$C$289,0))</f>
        <v>0.738916256157636</v>
      </c>
      <c r="G601" s="45" t="n">
        <f aca="false">INDEX(Background!$C$4:$C$7,MATCH(C601,Background!$A$4:$A$7,0))</f>
        <v>0.325128349391659</v>
      </c>
      <c r="H601" s="49" t="n">
        <f aca="false">LN(F601/G601)</f>
        <v>0.820964568462618</v>
      </c>
    </row>
    <row r="602" customFormat="false" ht="15" hidden="false" customHeight="true" outlineLevel="0" collapsed="false">
      <c r="A602" s="38" t="s">
        <v>16</v>
      </c>
      <c r="B602" s="38" t="n">
        <v>25</v>
      </c>
      <c r="C602" s="38" t="s">
        <v>169</v>
      </c>
      <c r="D602" s="38" t="s">
        <v>867</v>
      </c>
      <c r="E602" s="38" t="str">
        <f aca="false">B602&amp;"|"&amp;C602</f>
        <v>25|G</v>
      </c>
      <c r="F602" s="45" t="n">
        <f aca="false">INDEX('Emission Stepwise'!$H$2:$H$289,MATCH(E602,'Emission Stepwise'!$C$2:$C$289,0))</f>
        <v>0.0394088669950739</v>
      </c>
      <c r="G602" s="45" t="n">
        <f aca="false">INDEX(Background!$C$4:$C$7,MATCH(C602,Background!$A$4:$A$7,0))</f>
        <v>0.325128349391659</v>
      </c>
      <c r="H602" s="49" t="n">
        <f aca="false">LN(F602/G602)</f>
        <v>-2.1102291839538</v>
      </c>
    </row>
    <row r="603" customFormat="false" ht="15" hidden="false" customHeight="true" outlineLevel="0" collapsed="false">
      <c r="A603" s="38" t="s">
        <v>16</v>
      </c>
      <c r="B603" s="38" t="n">
        <v>26</v>
      </c>
      <c r="C603" s="38" t="s">
        <v>170</v>
      </c>
      <c r="D603" s="38" t="s">
        <v>868</v>
      </c>
      <c r="E603" s="38" t="str">
        <f aca="false">B603&amp;"|"&amp;C603</f>
        <v>26|C</v>
      </c>
      <c r="F603" s="45" t="n">
        <f aca="false">INDEX('Emission Stepwise'!$H$2:$H$289,MATCH(E603,'Emission Stepwise'!$C$2:$C$289,0))</f>
        <v>0.0295566502463054</v>
      </c>
      <c r="G603" s="45" t="n">
        <f aca="false">INDEX(Background!$C$4:$C$7,MATCH(C603,Background!$A$4:$A$7,0))</f>
        <v>0.276812715380828</v>
      </c>
      <c r="H603" s="49" t="n">
        <f aca="false">LN(F603/G603)</f>
        <v>-2.2370323905895</v>
      </c>
    </row>
    <row r="604" customFormat="false" ht="15" hidden="false" customHeight="true" outlineLevel="0" collapsed="false">
      <c r="A604" s="38" t="s">
        <v>16</v>
      </c>
      <c r="B604" s="38" t="n">
        <v>27</v>
      </c>
      <c r="C604" s="38" t="s">
        <v>169</v>
      </c>
      <c r="D604" s="38" t="s">
        <v>868</v>
      </c>
      <c r="E604" s="38" t="str">
        <f aca="false">B604&amp;"|"&amp;C604</f>
        <v>27|G</v>
      </c>
      <c r="F604" s="45" t="n">
        <f aca="false">INDEX('Emission Stepwise'!$H$2:$H$289,MATCH(E604,'Emission Stepwise'!$C$2:$C$289,0))</f>
        <v>0.157635467980296</v>
      </c>
      <c r="G604" s="45" t="n">
        <f aca="false">INDEX(Background!$C$4:$C$7,MATCH(C604,Background!$A$4:$A$7,0))</f>
        <v>0.325128349391659</v>
      </c>
      <c r="H604" s="49" t="n">
        <f aca="false">LN(F604/G604)</f>
        <v>-0.723934822833912</v>
      </c>
    </row>
    <row r="605" customFormat="false" ht="15" hidden="false" customHeight="true" outlineLevel="0" collapsed="false">
      <c r="A605" s="38" t="s">
        <v>16</v>
      </c>
      <c r="B605" s="38" t="n">
        <v>28</v>
      </c>
      <c r="C605" s="38" t="s">
        <v>170</v>
      </c>
      <c r="D605" s="38" t="s">
        <v>868</v>
      </c>
      <c r="E605" s="38" t="str">
        <f aca="false">B605&amp;"|"&amp;C605</f>
        <v>28|C</v>
      </c>
      <c r="F605" s="45" t="n">
        <f aca="false">INDEX('Emission Stepwise'!$H$2:$H$289,MATCH(E605,'Emission Stepwise'!$C$2:$C$289,0))</f>
        <v>0.512315270935961</v>
      </c>
      <c r="G605" s="45" t="n">
        <f aca="false">INDEX(Background!$C$4:$C$7,MATCH(C605,Background!$A$4:$A$7,0))</f>
        <v>0.276812715380828</v>
      </c>
      <c r="H605" s="49" t="n">
        <f aca="false">LN(F605/G605)</f>
        <v>0.615599039323816</v>
      </c>
    </row>
    <row r="606" customFormat="false" ht="15" hidden="false" customHeight="true" outlineLevel="0" collapsed="false">
      <c r="A606" s="38" t="s">
        <v>16</v>
      </c>
      <c r="B606" s="38" t="n">
        <v>29</v>
      </c>
      <c r="C606" s="38" t="s">
        <v>170</v>
      </c>
      <c r="D606" s="38" t="s">
        <v>868</v>
      </c>
      <c r="E606" s="38" t="str">
        <f aca="false">B606&amp;"|"&amp;C606</f>
        <v>29|C</v>
      </c>
      <c r="F606" s="45" t="n">
        <f aca="false">INDEX('Emission Stepwise'!$H$2:$H$289,MATCH(E606,'Emission Stepwise'!$C$2:$C$289,0))</f>
        <v>0.177339901477833</v>
      </c>
      <c r="G606" s="45" t="n">
        <f aca="false">INDEX(Background!$C$4:$C$7,MATCH(C606,Background!$A$4:$A$7,0))</f>
        <v>0.276812715380828</v>
      </c>
      <c r="H606" s="49" t="n">
        <f aca="false">LN(F606/G606)</f>
        <v>-0.445272921361447</v>
      </c>
    </row>
    <row r="607" customFormat="false" ht="15" hidden="false" customHeight="true" outlineLevel="0" collapsed="false">
      <c r="A607" s="38" t="s">
        <v>16</v>
      </c>
      <c r="B607" s="38" t="n">
        <v>30</v>
      </c>
      <c r="C607" s="38" t="s">
        <v>172</v>
      </c>
      <c r="D607" s="38" t="s">
        <v>868</v>
      </c>
      <c r="E607" s="38" t="str">
        <f aca="false">B607&amp;"|"&amp;C607</f>
        <v>30|A</v>
      </c>
      <c r="F607" s="45" t="n">
        <f aca="false">INDEX('Emission Stepwise'!$H$2:$H$289,MATCH(E607,'Emission Stepwise'!$C$2:$C$289,0))</f>
        <v>0.00492610837438424</v>
      </c>
      <c r="G607" s="45" t="n">
        <f aca="false">INDEX(Background!$C$4:$C$7,MATCH(C607,Background!$A$4:$A$7,0))</f>
        <v>0.185174766157958</v>
      </c>
      <c r="H607" s="49" t="n">
        <f aca="false">LN(F607/G607)</f>
        <v>-3.62675076114172</v>
      </c>
    </row>
    <row r="608" customFormat="false" ht="15" hidden="false" customHeight="true" outlineLevel="0" collapsed="false">
      <c r="A608" s="38" t="s">
        <v>16</v>
      </c>
      <c r="B608" s="38" t="n">
        <v>31</v>
      </c>
      <c r="C608" s="38" t="s">
        <v>169</v>
      </c>
      <c r="D608" s="38" t="s">
        <v>868</v>
      </c>
      <c r="E608" s="38" t="str">
        <f aca="false">B608&amp;"|"&amp;C608</f>
        <v>31|G</v>
      </c>
      <c r="F608" s="45" t="n">
        <f aca="false">INDEX('Emission Stepwise'!$H$2:$H$289,MATCH(E608,'Emission Stepwise'!$C$2:$C$289,0))</f>
        <v>0.270935960591133</v>
      </c>
      <c r="G608" s="45" t="n">
        <f aca="false">INDEX(Background!$C$4:$C$7,MATCH(C608,Background!$A$4:$A$7,0))</f>
        <v>0.325128349391659</v>
      </c>
      <c r="H608" s="49" t="n">
        <f aca="false">LN(F608/G608)</f>
        <v>-0.182337540401167</v>
      </c>
    </row>
    <row r="609" customFormat="false" ht="15" hidden="false" customHeight="true" outlineLevel="0" collapsed="false">
      <c r="A609" s="38" t="s">
        <v>16</v>
      </c>
      <c r="B609" s="38" t="n">
        <v>32</v>
      </c>
      <c r="C609" s="38" t="s">
        <v>172</v>
      </c>
      <c r="D609" s="38" t="s">
        <v>868</v>
      </c>
      <c r="E609" s="38" t="str">
        <f aca="false">B609&amp;"|"&amp;C609</f>
        <v>32|A</v>
      </c>
      <c r="F609" s="45" t="n">
        <f aca="false">INDEX('Emission Stepwise'!$H$2:$H$289,MATCH(E609,'Emission Stepwise'!$C$2:$C$289,0))</f>
        <v>0.0344827586206897</v>
      </c>
      <c r="G609" s="45" t="n">
        <f aca="false">INDEX(Background!$C$4:$C$7,MATCH(C609,Background!$A$4:$A$7,0))</f>
        <v>0.185174766157958</v>
      </c>
      <c r="H609" s="49" t="n">
        <f aca="false">LN(F609/G609)</f>
        <v>-1.68084061208641</v>
      </c>
    </row>
    <row r="610" customFormat="false" ht="15" hidden="false" customHeight="true" outlineLevel="0" collapsed="false">
      <c r="A610" s="38" t="s">
        <v>16</v>
      </c>
      <c r="B610" s="38" t="n">
        <v>33</v>
      </c>
      <c r="C610" s="38" t="s">
        <v>170</v>
      </c>
      <c r="D610" s="38" t="s">
        <v>868</v>
      </c>
      <c r="E610" s="38" t="str">
        <f aca="false">B610&amp;"|"&amp;C610</f>
        <v>33|C</v>
      </c>
      <c r="F610" s="45" t="n">
        <f aca="false">INDEX('Emission Stepwise'!$H$2:$H$289,MATCH(E610,'Emission Stepwise'!$C$2:$C$289,0))</f>
        <v>0.00985221674876847</v>
      </c>
      <c r="G610" s="45" t="n">
        <f aca="false">INDEX(Background!$C$4:$C$7,MATCH(C610,Background!$A$4:$A$7,0))</f>
        <v>0.276812715380828</v>
      </c>
      <c r="H610" s="49" t="n">
        <f aca="false">LN(F610/G610)</f>
        <v>-3.33564467925761</v>
      </c>
    </row>
    <row r="611" customFormat="false" ht="15" hidden="false" customHeight="true" outlineLevel="0" collapsed="false">
      <c r="A611" s="38" t="s">
        <v>16</v>
      </c>
      <c r="B611" s="38" t="n">
        <v>34</v>
      </c>
      <c r="C611" s="38" t="s">
        <v>171</v>
      </c>
      <c r="D611" s="38" t="s">
        <v>868</v>
      </c>
      <c r="E611" s="38" t="str">
        <f aca="false">B611&amp;"|"&amp;C611</f>
        <v>34|U</v>
      </c>
      <c r="F611" s="45" t="n">
        <f aca="false">INDEX('Emission Stepwise'!$H$2:$H$289,MATCH(E611,'Emission Stepwise'!$C$2:$C$289,0))</f>
        <v>0.29064039408867</v>
      </c>
      <c r="G611" s="45" t="n">
        <f aca="false">INDEX(Background!$C$4:$C$7,MATCH(C611,Background!$A$4:$A$7,0))</f>
        <v>0.212884169069555</v>
      </c>
      <c r="H611" s="49" t="n">
        <f aca="false">LN(F611/G611)</f>
        <v>0.311338533238588</v>
      </c>
    </row>
    <row r="612" customFormat="false" ht="15" hidden="false" customHeight="true" outlineLevel="0" collapsed="false">
      <c r="A612" s="38" t="s">
        <v>16</v>
      </c>
      <c r="B612" s="38" t="n">
        <v>35</v>
      </c>
      <c r="C612" s="38" t="s">
        <v>170</v>
      </c>
      <c r="D612" s="38" t="s">
        <v>868</v>
      </c>
      <c r="E612" s="38" t="str">
        <f aca="false">B612&amp;"|"&amp;C612</f>
        <v>35|C</v>
      </c>
      <c r="F612" s="45" t="n">
        <f aca="false">INDEX('Emission Stepwise'!$H$2:$H$289,MATCH(E612,'Emission Stepwise'!$C$2:$C$289,0))</f>
        <v>0.231527093596059</v>
      </c>
      <c r="G612" s="45" t="n">
        <f aca="false">INDEX(Background!$C$4:$C$7,MATCH(C612,Background!$A$4:$A$7,0))</f>
        <v>0.276812715380828</v>
      </c>
      <c r="H612" s="49" t="n">
        <f aca="false">LN(F612/G612)</f>
        <v>-0.178644258107498</v>
      </c>
    </row>
    <row r="613" customFormat="false" ht="15" hidden="false" customHeight="true" outlineLevel="0" collapsed="false">
      <c r="A613" s="38" t="s">
        <v>16</v>
      </c>
      <c r="B613" s="38" t="n">
        <v>36</v>
      </c>
      <c r="C613" s="38" t="s">
        <v>172</v>
      </c>
      <c r="D613" s="38" t="s">
        <v>868</v>
      </c>
      <c r="E613" s="38" t="str">
        <f aca="false">B613&amp;"|"&amp;C613</f>
        <v>36|A</v>
      </c>
      <c r="F613" s="45" t="n">
        <f aca="false">INDEX('Emission Stepwise'!$H$2:$H$289,MATCH(E613,'Emission Stepwise'!$C$2:$C$289,0))</f>
        <v>0.216748768472906</v>
      </c>
      <c r="G613" s="45" t="n">
        <f aca="false">INDEX(Background!$C$4:$C$7,MATCH(C613,Background!$A$4:$A$7,0))</f>
        <v>0.185174766157958</v>
      </c>
      <c r="H613" s="49" t="n">
        <f aca="false">LN(F613/G613)</f>
        <v>0.157438872776539</v>
      </c>
    </row>
    <row r="614" customFormat="false" ht="15" hidden="false" customHeight="true" outlineLevel="0" collapsed="false">
      <c r="A614" s="38" t="s">
        <v>16</v>
      </c>
      <c r="B614" s="38" t="n">
        <v>37</v>
      </c>
      <c r="C614" s="38" t="s">
        <v>171</v>
      </c>
      <c r="D614" s="38" t="s">
        <v>868</v>
      </c>
      <c r="E614" s="38" t="str">
        <f aca="false">B614&amp;"|"&amp;C614</f>
        <v>37|U</v>
      </c>
      <c r="F614" s="45" t="n">
        <f aca="false">INDEX('Emission Stepwise'!$H$2:$H$289,MATCH(E614,'Emission Stepwise'!$C$2:$C$289,0))</f>
        <v>0.00492610837438424</v>
      </c>
      <c r="G614" s="45" t="n">
        <f aca="false">INDEX(Background!$C$4:$C$7,MATCH(C614,Background!$A$4:$A$7,0))</f>
        <v>0.212884169069555</v>
      </c>
      <c r="H614" s="49" t="n">
        <f aca="false">LN(F614/G614)</f>
        <v>-3.76619891066713</v>
      </c>
    </row>
    <row r="615" customFormat="false" ht="15" hidden="false" customHeight="true" outlineLevel="0" collapsed="false">
      <c r="A615" s="38" t="s">
        <v>16</v>
      </c>
      <c r="B615" s="38" t="n">
        <v>38</v>
      </c>
      <c r="C615" s="38" t="s">
        <v>171</v>
      </c>
      <c r="D615" s="38" t="s">
        <v>868</v>
      </c>
      <c r="E615" s="38" t="str">
        <f aca="false">B615&amp;"|"&amp;C615</f>
        <v>38|U</v>
      </c>
      <c r="F615" s="45" t="n">
        <f aca="false">INDEX('Emission Stepwise'!$H$2:$H$289,MATCH(E615,'Emission Stepwise'!$C$2:$C$289,0))</f>
        <v>0.118226600985222</v>
      </c>
      <c r="G615" s="45" t="n">
        <f aca="false">INDEX(Background!$C$4:$C$7,MATCH(C615,Background!$A$4:$A$7,0))</f>
        <v>0.212884169069555</v>
      </c>
      <c r="H615" s="49" t="n">
        <f aca="false">LN(F615/G615)</f>
        <v>-0.588145080319186</v>
      </c>
    </row>
    <row r="616" customFormat="false" ht="15" hidden="false" customHeight="true" outlineLevel="0" collapsed="false">
      <c r="A616" s="38" t="s">
        <v>16</v>
      </c>
      <c r="B616" s="38" t="n">
        <v>39</v>
      </c>
      <c r="C616" s="38" t="s">
        <v>170</v>
      </c>
      <c r="D616" s="38" t="s">
        <v>868</v>
      </c>
      <c r="E616" s="38" t="str">
        <f aca="false">B616&amp;"|"&amp;C616</f>
        <v>39|C</v>
      </c>
      <c r="F616" s="45" t="n">
        <f aca="false">INDEX('Emission Stepwise'!$H$2:$H$289,MATCH(E616,'Emission Stepwise'!$C$2:$C$289,0))</f>
        <v>0.251231527093596</v>
      </c>
      <c r="G616" s="45" t="n">
        <f aca="false">INDEX(Background!$C$4:$C$7,MATCH(C616,Background!$A$4:$A$7,0))</f>
        <v>0.276812715380828</v>
      </c>
      <c r="H616" s="49" t="n">
        <f aca="false">LN(F616/G616)</f>
        <v>-0.0969662270932311</v>
      </c>
    </row>
    <row r="617" customFormat="false" ht="15" hidden="false" customHeight="true" outlineLevel="0" collapsed="false">
      <c r="A617" s="38" t="s">
        <v>16</v>
      </c>
      <c r="B617" s="38" t="n">
        <v>40</v>
      </c>
      <c r="C617" s="38" t="s">
        <v>171</v>
      </c>
      <c r="D617" s="38" t="s">
        <v>868</v>
      </c>
      <c r="E617" s="38" t="str">
        <f aca="false">B617&amp;"|"&amp;C617</f>
        <v>40|U</v>
      </c>
      <c r="F617" s="45" t="n">
        <f aca="false">INDEX('Emission Stepwise'!$H$2:$H$289,MATCH(E617,'Emission Stepwise'!$C$2:$C$289,0))</f>
        <v>0.0443349753694581</v>
      </c>
      <c r="G617" s="45" t="n">
        <f aca="false">INDEX(Background!$C$4:$C$7,MATCH(C617,Background!$A$4:$A$7,0))</f>
        <v>0.212884169069555</v>
      </c>
      <c r="H617" s="49" t="n">
        <f aca="false">LN(F617/G617)</f>
        <v>-1.56897433333091</v>
      </c>
    </row>
    <row r="618" customFormat="false" ht="15" hidden="false" customHeight="true" outlineLevel="0" collapsed="false">
      <c r="A618" s="38" t="s">
        <v>16</v>
      </c>
      <c r="B618" s="38" t="n">
        <v>41</v>
      </c>
      <c r="C618" s="38" t="s">
        <v>169</v>
      </c>
      <c r="D618" s="38" t="s">
        <v>868</v>
      </c>
      <c r="E618" s="38" t="str">
        <f aca="false">B618&amp;"|"&amp;C618</f>
        <v>41|G</v>
      </c>
      <c r="F618" s="45" t="n">
        <f aca="false">INDEX('Emission Stepwise'!$H$2:$H$289,MATCH(E618,'Emission Stepwise'!$C$2:$C$289,0))</f>
        <v>0.177339901477833</v>
      </c>
      <c r="G618" s="45" t="n">
        <f aca="false">INDEX(Background!$C$4:$C$7,MATCH(C618,Background!$A$4:$A$7,0))</f>
        <v>0.325128349391659</v>
      </c>
      <c r="H618" s="49" t="n">
        <f aca="false">LN(F618/G618)</f>
        <v>-0.606151787177528</v>
      </c>
    </row>
    <row r="619" customFormat="false" ht="15" hidden="false" customHeight="true" outlineLevel="0" collapsed="false">
      <c r="A619" s="38" t="s">
        <v>16</v>
      </c>
      <c r="B619" s="38" t="n">
        <v>42</v>
      </c>
      <c r="C619" s="38" t="s">
        <v>169</v>
      </c>
      <c r="D619" s="38" t="s">
        <v>868</v>
      </c>
      <c r="E619" s="38" t="str">
        <f aca="false">B619&amp;"|"&amp;C619</f>
        <v>42|G</v>
      </c>
      <c r="F619" s="45" t="n">
        <f aca="false">INDEX('Emission Stepwise'!$H$2:$H$289,MATCH(E619,'Emission Stepwise'!$C$2:$C$289,0))</f>
        <v>0.522167487684729</v>
      </c>
      <c r="G619" s="45" t="n">
        <f aca="false">INDEX(Background!$C$4:$C$7,MATCH(C619,Background!$A$4:$A$7,0))</f>
        <v>0.325128349391659</v>
      </c>
      <c r="H619" s="49" t="n">
        <f aca="false">LN(F619/G619)</f>
        <v>0.473768368478429</v>
      </c>
    </row>
    <row r="620" customFormat="false" ht="15" hidden="false" customHeight="true" outlineLevel="0" collapsed="false">
      <c r="A620" s="38" t="s">
        <v>16</v>
      </c>
      <c r="B620" s="38" t="n">
        <v>43</v>
      </c>
      <c r="C620" s="38" t="s">
        <v>172</v>
      </c>
      <c r="D620" s="38" t="s">
        <v>868</v>
      </c>
      <c r="E620" s="38" t="str">
        <f aca="false">B620&amp;"|"&amp;C620</f>
        <v>43|A</v>
      </c>
      <c r="F620" s="45" t="n">
        <f aca="false">INDEX('Emission Stepwise'!$H$2:$H$289,MATCH(E620,'Emission Stepwise'!$C$2:$C$289,0))</f>
        <v>0.226600985221675</v>
      </c>
      <c r="G620" s="45" t="n">
        <f aca="false">INDEX(Background!$C$4:$C$7,MATCH(C620,Background!$A$4:$A$7,0))</f>
        <v>0.185174766157958</v>
      </c>
      <c r="H620" s="49" t="n">
        <f aca="false">LN(F620/G620)</f>
        <v>0.201890635347373</v>
      </c>
    </row>
    <row r="621" customFormat="false" ht="15" hidden="false" customHeight="true" outlineLevel="0" collapsed="false">
      <c r="A621" s="38" t="s">
        <v>16</v>
      </c>
      <c r="B621" s="38" t="n">
        <v>44</v>
      </c>
      <c r="C621" s="38" t="s">
        <v>169</v>
      </c>
      <c r="D621" s="38" t="s">
        <v>868</v>
      </c>
      <c r="E621" s="38" t="str">
        <f aca="false">B621&amp;"|"&amp;C621</f>
        <v>44|G</v>
      </c>
      <c r="F621" s="45" t="n">
        <f aca="false">INDEX('Emission Stepwise'!$H$2:$H$289,MATCH(E621,'Emission Stepwise'!$C$2:$C$289,0))</f>
        <v>0.231527093596059</v>
      </c>
      <c r="G621" s="45" t="n">
        <f aca="false">INDEX(Background!$C$4:$C$7,MATCH(C621,Background!$A$4:$A$7,0))</f>
        <v>0.325128349391659</v>
      </c>
      <c r="H621" s="49" t="n">
        <f aca="false">LN(F621/G621)</f>
        <v>-0.33952312392358</v>
      </c>
    </row>
    <row r="622" customFormat="false" ht="15" hidden="false" customHeight="true" outlineLevel="0" collapsed="false">
      <c r="A622" s="38" t="s">
        <v>16</v>
      </c>
      <c r="B622" s="38" t="n">
        <v>45</v>
      </c>
      <c r="C622" s="38" t="s">
        <v>169</v>
      </c>
      <c r="D622" s="38" t="s">
        <v>869</v>
      </c>
      <c r="E622" s="38" t="str">
        <f aca="false">B622&amp;"|"&amp;C622</f>
        <v>45|G</v>
      </c>
      <c r="F622" s="45" t="n">
        <f aca="false">INDEX('Emission Stepwise'!$H$2:$H$289,MATCH(E622,'Emission Stepwise'!$C$2:$C$289,0))</f>
        <v>0.746268656716418</v>
      </c>
      <c r="G622" s="45" t="n">
        <f aca="false">INDEX(Background!$C$4:$C$7,MATCH(C622,Background!$A$4:$A$7,0))</f>
        <v>0.325128349391659</v>
      </c>
      <c r="H622" s="49" t="n">
        <f aca="false">LN(F622/G622)</f>
        <v>0.830865639445329</v>
      </c>
    </row>
    <row r="623" customFormat="false" ht="15" hidden="false" customHeight="true" outlineLevel="0" collapsed="false">
      <c r="A623" s="38" t="s">
        <v>16</v>
      </c>
      <c r="B623" s="38" t="n">
        <v>46</v>
      </c>
      <c r="C623" s="38" t="s">
        <v>176</v>
      </c>
      <c r="D623" s="38" t="s">
        <v>869</v>
      </c>
      <c r="E623" s="38"/>
      <c r="F623" s="38"/>
      <c r="G623" s="38"/>
      <c r="H623" s="38"/>
    </row>
    <row r="624" customFormat="false" ht="15" hidden="false" customHeight="true" outlineLevel="0" collapsed="false">
      <c r="A624" s="38" t="s">
        <v>16</v>
      </c>
      <c r="B624" s="38" t="n">
        <v>47</v>
      </c>
      <c r="C624" s="38" t="s">
        <v>171</v>
      </c>
      <c r="D624" s="38" t="s">
        <v>869</v>
      </c>
      <c r="E624" s="38" t="str">
        <f aca="false">B624&amp;"|"&amp;C624</f>
        <v>47|U</v>
      </c>
      <c r="F624" s="45" t="n">
        <f aca="false">INDEX('Emission Stepwise'!$H$2:$H$289,MATCH(E624,'Emission Stepwise'!$C$2:$C$289,0))</f>
        <v>0.665024630541872</v>
      </c>
      <c r="G624" s="45" t="n">
        <f aca="false">INDEX(Background!$C$4:$C$7,MATCH(C624,Background!$A$4:$A$7,0))</f>
        <v>0.212884169069555</v>
      </c>
      <c r="H624" s="49" t="n">
        <f aca="false">LN(F624/G624)</f>
        <v>1.1390758677713</v>
      </c>
    </row>
    <row r="625" customFormat="false" ht="15" hidden="false" customHeight="true" outlineLevel="0" collapsed="false">
      <c r="A625" s="38" t="s">
        <v>16</v>
      </c>
      <c r="B625" s="38" t="n">
        <v>48</v>
      </c>
      <c r="C625" s="38" t="s">
        <v>170</v>
      </c>
      <c r="D625" s="38" t="s">
        <v>869</v>
      </c>
      <c r="E625" s="38" t="str">
        <f aca="false">B625&amp;"|"&amp;C625</f>
        <v>48|C</v>
      </c>
      <c r="F625" s="45" t="n">
        <f aca="false">INDEX('Emission Stepwise'!$H$2:$H$289,MATCH(E625,'Emission Stepwise'!$C$2:$C$289,0))</f>
        <v>0.827586206896552</v>
      </c>
      <c r="G625" s="45" t="n">
        <f aca="false">INDEX(Background!$C$4:$C$7,MATCH(C625,Background!$A$4:$A$7,0))</f>
        <v>0.276812715380828</v>
      </c>
      <c r="H625" s="49" t="n">
        <f aca="false">LN(F625/G625)</f>
        <v>1.0951721195857</v>
      </c>
    </row>
    <row r="626" customFormat="false" ht="15" hidden="false" customHeight="true" outlineLevel="0" collapsed="false">
      <c r="A626" s="38" t="s">
        <v>16</v>
      </c>
      <c r="B626" s="38" t="n">
        <v>49</v>
      </c>
      <c r="C626" s="38" t="s">
        <v>169</v>
      </c>
      <c r="D626" s="38" t="s">
        <v>870</v>
      </c>
      <c r="E626" s="38" t="str">
        <f aca="false">B626&amp;"|"&amp;C626</f>
        <v>49|G</v>
      </c>
      <c r="F626" s="45" t="n">
        <f aca="false">INDEX('Emission Stepwise'!$H$2:$H$289,MATCH(E626,'Emission Stepwise'!$C$2:$C$289,0))</f>
        <v>0.497536945812808</v>
      </c>
      <c r="G626" s="45" t="n">
        <f aca="false">INDEX(Background!$C$4:$C$7,MATCH(C626,Background!$A$4:$A$7,0))</f>
        <v>0.325128349391659</v>
      </c>
      <c r="H626" s="49" t="n">
        <f aca="false">LN(F626/G626)</f>
        <v>0.425449791207621</v>
      </c>
    </row>
    <row r="627" customFormat="false" ht="15" hidden="false" customHeight="true" outlineLevel="0" collapsed="false">
      <c r="A627" s="38" t="s">
        <v>16</v>
      </c>
      <c r="B627" s="38" t="n">
        <v>50</v>
      </c>
      <c r="C627" s="38" t="s">
        <v>170</v>
      </c>
      <c r="D627" s="38" t="s">
        <v>870</v>
      </c>
      <c r="E627" s="38" t="str">
        <f aca="false">B627&amp;"|"&amp;C627</f>
        <v>50|C</v>
      </c>
      <c r="F627" s="45" t="n">
        <f aca="false">INDEX('Emission Stepwise'!$H$2:$H$289,MATCH(E627,'Emission Stepwise'!$C$2:$C$289,0))</f>
        <v>0.433497536945813</v>
      </c>
      <c r="G627" s="45" t="n">
        <f aca="false">INDEX(Background!$C$4:$C$7,MATCH(C627,Background!$A$4:$A$7,0))</f>
        <v>0.276812715380828</v>
      </c>
      <c r="H627" s="49" t="n">
        <f aca="false">LN(F627/G627)</f>
        <v>0.44854495466065</v>
      </c>
    </row>
    <row r="628" customFormat="false" ht="15" hidden="false" customHeight="true" outlineLevel="0" collapsed="false">
      <c r="A628" s="38" t="s">
        <v>16</v>
      </c>
      <c r="B628" s="38" t="n">
        <v>51</v>
      </c>
      <c r="C628" s="38" t="s">
        <v>169</v>
      </c>
      <c r="D628" s="38" t="s">
        <v>870</v>
      </c>
      <c r="E628" s="38" t="str">
        <f aca="false">B628&amp;"|"&amp;C628</f>
        <v>51|G</v>
      </c>
      <c r="F628" s="45" t="n">
        <f aca="false">INDEX('Emission Stepwise'!$H$2:$H$289,MATCH(E628,'Emission Stepwise'!$C$2:$C$289,0))</f>
        <v>0.495049504950495</v>
      </c>
      <c r="G628" s="45" t="n">
        <f aca="false">INDEX(Background!$C$4:$C$7,MATCH(C628,Background!$A$4:$A$7,0))</f>
        <v>0.325128349391659</v>
      </c>
      <c r="H628" s="49" t="n">
        <f aca="false">LN(F628/G628)</f>
        <v>0.420437741995036</v>
      </c>
    </row>
    <row r="629" customFormat="false" ht="15" hidden="false" customHeight="true" outlineLevel="0" collapsed="false">
      <c r="A629" s="38" t="s">
        <v>16</v>
      </c>
      <c r="B629" s="38" t="n">
        <v>52</v>
      </c>
      <c r="C629" s="38" t="s">
        <v>171</v>
      </c>
      <c r="D629" s="38" t="s">
        <v>870</v>
      </c>
      <c r="E629" s="38" t="str">
        <f aca="false">B629&amp;"|"&amp;C629</f>
        <v>52|U</v>
      </c>
      <c r="F629" s="45" t="n">
        <f aca="false">INDEX('Emission Stepwise'!$H$2:$H$289,MATCH(E629,'Emission Stepwise'!$C$2:$C$289,0))</f>
        <v>0.0246305418719212</v>
      </c>
      <c r="G629" s="45" t="n">
        <f aca="false">INDEX(Background!$C$4:$C$7,MATCH(C629,Background!$A$4:$A$7,0))</f>
        <v>0.212884169069555</v>
      </c>
      <c r="H629" s="49" t="n">
        <f aca="false">LN(F629/G629)</f>
        <v>-2.15676099823303</v>
      </c>
    </row>
    <row r="630" customFormat="false" ht="15" hidden="false" customHeight="true" outlineLevel="0" collapsed="false">
      <c r="A630" s="38" t="s">
        <v>16</v>
      </c>
      <c r="B630" s="38" t="n">
        <v>53</v>
      </c>
      <c r="C630" s="38" t="s">
        <v>169</v>
      </c>
      <c r="D630" s="38" t="s">
        <v>870</v>
      </c>
      <c r="E630" s="38" t="str">
        <f aca="false">B630&amp;"|"&amp;C630</f>
        <v>53|G</v>
      </c>
      <c r="F630" s="45" t="n">
        <f aca="false">INDEX('Emission Stepwise'!$H$2:$H$289,MATCH(E630,'Emission Stepwise'!$C$2:$C$289,0))</f>
        <v>0.96551724137931</v>
      </c>
      <c r="G630" s="45" t="n">
        <f aca="false">INDEX(Background!$C$4:$C$7,MATCH(C630,Background!$A$4:$A$7,0))</f>
        <v>0.325128349391659</v>
      </c>
      <c r="H630" s="49" t="n">
        <f aca="false">LN(F630/G630)</f>
        <v>1.08844393359688</v>
      </c>
    </row>
    <row r="631" customFormat="false" ht="15" hidden="false" customHeight="true" outlineLevel="0" collapsed="false">
      <c r="A631" s="38" t="s">
        <v>16</v>
      </c>
      <c r="B631" s="38" t="n">
        <v>54</v>
      </c>
      <c r="C631" s="38" t="s">
        <v>171</v>
      </c>
      <c r="D631" s="38" t="s">
        <v>870</v>
      </c>
      <c r="E631" s="38" t="str">
        <f aca="false">B631&amp;"|"&amp;C631</f>
        <v>54|U</v>
      </c>
      <c r="F631" s="45" t="n">
        <f aca="false">INDEX('Emission Stepwise'!$H$2:$H$289,MATCH(E631,'Emission Stepwise'!$C$2:$C$289,0))</f>
        <v>0.975369458128079</v>
      </c>
      <c r="G631" s="45" t="n">
        <f aca="false">INDEX(Background!$C$4:$C$7,MATCH(C631,Background!$A$4:$A$7,0))</f>
        <v>0.212884169069555</v>
      </c>
      <c r="H631" s="49" t="n">
        <f aca="false">LN(F631/G631)</f>
        <v>1.5220681200274</v>
      </c>
    </row>
    <row r="632" customFormat="false" ht="15" hidden="false" customHeight="true" outlineLevel="0" collapsed="false">
      <c r="A632" s="38" t="s">
        <v>16</v>
      </c>
      <c r="B632" s="38" t="n">
        <v>55</v>
      </c>
      <c r="C632" s="38" t="s">
        <v>171</v>
      </c>
      <c r="D632" s="38" t="s">
        <v>870</v>
      </c>
      <c r="E632" s="38" t="str">
        <f aca="false">B632&amp;"|"&amp;C632</f>
        <v>55|U</v>
      </c>
      <c r="F632" s="45" t="n">
        <f aca="false">INDEX('Emission Stepwise'!$H$2:$H$289,MATCH(E632,'Emission Stepwise'!$C$2:$C$289,0))</f>
        <v>0.970443349753695</v>
      </c>
      <c r="G632" s="45" t="n">
        <f aca="false">INDEX(Background!$C$4:$C$7,MATCH(C632,Background!$A$4:$A$7,0))</f>
        <v>0.212884169069555</v>
      </c>
      <c r="H632" s="49" t="n">
        <f aca="false">LN(F632/G632)</f>
        <v>1.51700481807086</v>
      </c>
    </row>
    <row r="633" customFormat="false" ht="15" hidden="false" customHeight="true" outlineLevel="0" collapsed="false">
      <c r="A633" s="38" t="s">
        <v>16</v>
      </c>
      <c r="B633" s="38" t="n">
        <v>56</v>
      </c>
      <c r="C633" s="38" t="s">
        <v>170</v>
      </c>
      <c r="D633" s="38" t="s">
        <v>870</v>
      </c>
      <c r="E633" s="38" t="str">
        <f aca="false">B633&amp;"|"&amp;C633</f>
        <v>56|C</v>
      </c>
      <c r="F633" s="45" t="n">
        <f aca="false">INDEX('Emission Stepwise'!$H$2:$H$289,MATCH(E633,'Emission Stepwise'!$C$2:$C$289,0))</f>
        <v>0.96551724137931</v>
      </c>
      <c r="G633" s="45" t="n">
        <f aca="false">INDEX(Background!$C$4:$C$7,MATCH(C633,Background!$A$4:$A$7,0))</f>
        <v>0.276812715380828</v>
      </c>
      <c r="H633" s="49" t="n">
        <f aca="false">LN(F633/G633)</f>
        <v>1.24932279941296</v>
      </c>
    </row>
    <row r="634" customFormat="false" ht="15" hidden="false" customHeight="true" outlineLevel="0" collapsed="false">
      <c r="A634" s="38" t="s">
        <v>16</v>
      </c>
      <c r="B634" s="38" t="n">
        <v>57</v>
      </c>
      <c r="C634" s="38" t="s">
        <v>169</v>
      </c>
      <c r="D634" s="38" t="s">
        <v>870</v>
      </c>
      <c r="E634" s="38" t="str">
        <f aca="false">B634&amp;"|"&amp;C634</f>
        <v>57|G</v>
      </c>
      <c r="F634" s="45" t="n">
        <f aca="false">INDEX('Emission Stepwise'!$H$2:$H$289,MATCH(E634,'Emission Stepwise'!$C$2:$C$289,0))</f>
        <v>0.603960396039604</v>
      </c>
      <c r="G634" s="45" t="n">
        <f aca="false">INDEX(Background!$C$4:$C$7,MATCH(C634,Background!$A$4:$A$7,0))</f>
        <v>0.325128349391659</v>
      </c>
      <c r="H634" s="49" t="n">
        <f aca="false">LN(F634/G634)</f>
        <v>0.619288600740201</v>
      </c>
    </row>
    <row r="635" customFormat="false" ht="15" hidden="false" customHeight="true" outlineLevel="0" collapsed="false">
      <c r="A635" s="38" t="s">
        <v>16</v>
      </c>
      <c r="B635" s="38" t="n">
        <v>58</v>
      </c>
      <c r="C635" s="38" t="s">
        <v>172</v>
      </c>
      <c r="D635" s="38" t="s">
        <v>870</v>
      </c>
      <c r="E635" s="38" t="str">
        <f aca="false">B635&amp;"|"&amp;C635</f>
        <v>58|A</v>
      </c>
      <c r="F635" s="45" t="n">
        <f aca="false">INDEX('Emission Stepwise'!$H$2:$H$289,MATCH(E635,'Emission Stepwise'!$C$2:$C$289,0))</f>
        <v>0.975369458128079</v>
      </c>
      <c r="G635" s="45" t="n">
        <f aca="false">INDEX(Background!$C$4:$C$7,MATCH(C635,Background!$A$4:$A$7,0))</f>
        <v>0.185174766157958</v>
      </c>
      <c r="H635" s="49" t="n">
        <f aca="false">LN(F635/G635)</f>
        <v>1.66151626955281</v>
      </c>
    </row>
    <row r="636" customFormat="false" ht="15" hidden="false" customHeight="true" outlineLevel="0" collapsed="false">
      <c r="A636" s="38" t="s">
        <v>16</v>
      </c>
      <c r="B636" s="38" t="n">
        <v>59</v>
      </c>
      <c r="C636" s="38" t="s">
        <v>169</v>
      </c>
      <c r="D636" s="38" t="s">
        <v>870</v>
      </c>
      <c r="E636" s="38" t="str">
        <f aca="false">B636&amp;"|"&amp;C636</f>
        <v>59|G</v>
      </c>
      <c r="F636" s="45" t="n">
        <f aca="false">INDEX('Emission Stepwise'!$H$2:$H$289,MATCH(E636,'Emission Stepwise'!$C$2:$C$289,0))</f>
        <v>0.231527093596059</v>
      </c>
      <c r="G636" s="45" t="n">
        <f aca="false">INDEX(Background!$C$4:$C$7,MATCH(C636,Background!$A$4:$A$7,0))</f>
        <v>0.325128349391659</v>
      </c>
      <c r="H636" s="49" t="n">
        <f aca="false">LN(F636/G636)</f>
        <v>-0.33952312392358</v>
      </c>
    </row>
    <row r="637" customFormat="false" ht="15" hidden="false" customHeight="true" outlineLevel="0" collapsed="false">
      <c r="A637" s="38" t="s">
        <v>16</v>
      </c>
      <c r="B637" s="38" t="n">
        <v>60</v>
      </c>
      <c r="C637" s="38" t="s">
        <v>171</v>
      </c>
      <c r="D637" s="38" t="s">
        <v>870</v>
      </c>
      <c r="E637" s="38" t="str">
        <f aca="false">B637&amp;"|"&amp;C637</f>
        <v>60|U</v>
      </c>
      <c r="F637" s="45" t="n">
        <f aca="false">INDEX('Emission Stepwise'!$H$2:$H$289,MATCH(E637,'Emission Stepwise'!$C$2:$C$289,0))</f>
        <v>0.773399014778325</v>
      </c>
      <c r="G637" s="45" t="n">
        <f aca="false">INDEX(Background!$C$4:$C$7,MATCH(C637,Background!$A$4:$A$7,0))</f>
        <v>0.212884169069555</v>
      </c>
      <c r="H637" s="49" t="n">
        <f aca="false">LN(F637/G637)</f>
        <v>1.29004689468118</v>
      </c>
    </row>
    <row r="638" customFormat="false" ht="15" hidden="false" customHeight="true" outlineLevel="0" collapsed="false">
      <c r="A638" s="38" t="s">
        <v>16</v>
      </c>
      <c r="B638" s="38" t="n">
        <v>61</v>
      </c>
      <c r="C638" s="38" t="s">
        <v>170</v>
      </c>
      <c r="D638" s="38" t="s">
        <v>870</v>
      </c>
      <c r="E638" s="38" t="str">
        <f aca="false">B638&amp;"|"&amp;C638</f>
        <v>61|C</v>
      </c>
      <c r="F638" s="45" t="n">
        <f aca="false">INDEX('Emission Stepwise'!$H$2:$H$289,MATCH(E638,'Emission Stepwise'!$C$2:$C$289,0))</f>
        <v>0.975369458128079</v>
      </c>
      <c r="G638" s="45" t="n">
        <f aca="false">INDEX(Background!$C$4:$C$7,MATCH(C638,Background!$A$4:$A$7,0))</f>
        <v>0.276812715380828</v>
      </c>
      <c r="H638" s="49" t="n">
        <f aca="false">LN(F638/G638)</f>
        <v>1.25947517087698</v>
      </c>
    </row>
    <row r="639" customFormat="false" ht="15" hidden="false" customHeight="true" outlineLevel="0" collapsed="false">
      <c r="A639" s="38" t="s">
        <v>16</v>
      </c>
      <c r="B639" s="38" t="n">
        <v>62</v>
      </c>
      <c r="C639" s="38" t="s">
        <v>172</v>
      </c>
      <c r="D639" s="38" t="s">
        <v>870</v>
      </c>
      <c r="E639" s="38" t="str">
        <f aca="false">B639&amp;"|"&amp;C639</f>
        <v>62|A</v>
      </c>
      <c r="F639" s="45" t="n">
        <f aca="false">INDEX('Emission Stepwise'!$H$2:$H$289,MATCH(E639,'Emission Stepwise'!$C$2:$C$289,0))</f>
        <v>0.0197044334975369</v>
      </c>
      <c r="G639" s="45" t="n">
        <f aca="false">INDEX(Background!$C$4:$C$7,MATCH(C639,Background!$A$4:$A$7,0))</f>
        <v>0.185174766157958</v>
      </c>
      <c r="H639" s="49" t="n">
        <f aca="false">LN(F639/G639)</f>
        <v>-2.24045640002183</v>
      </c>
    </row>
    <row r="640" customFormat="false" ht="15" hidden="false" customHeight="true" outlineLevel="0" collapsed="false">
      <c r="A640" s="38" t="s">
        <v>16</v>
      </c>
      <c r="B640" s="38" t="n">
        <v>63</v>
      </c>
      <c r="C640" s="38" t="s">
        <v>170</v>
      </c>
      <c r="D640" s="38" t="s">
        <v>870</v>
      </c>
      <c r="E640" s="38" t="str">
        <f aca="false">B640&amp;"|"&amp;C640</f>
        <v>63|C</v>
      </c>
      <c r="F640" s="45" t="n">
        <f aca="false">INDEX('Emission Stepwise'!$H$2:$H$289,MATCH(E640,'Emission Stepwise'!$C$2:$C$289,0))</f>
        <v>0.482758620689655</v>
      </c>
      <c r="G640" s="45" t="n">
        <f aca="false">INDEX(Background!$C$4:$C$7,MATCH(C640,Background!$A$4:$A$7,0))</f>
        <v>0.276812715380828</v>
      </c>
      <c r="H640" s="49" t="n">
        <f aca="false">LN(F640/G640)</f>
        <v>0.556175618853015</v>
      </c>
    </row>
    <row r="641" customFormat="false" ht="15" hidden="false" customHeight="true" outlineLevel="0" collapsed="false">
      <c r="A641" s="38" t="s">
        <v>16</v>
      </c>
      <c r="B641" s="38" t="n">
        <v>64</v>
      </c>
      <c r="C641" s="38" t="s">
        <v>169</v>
      </c>
      <c r="D641" s="38" t="s">
        <v>870</v>
      </c>
      <c r="E641" s="38" t="str">
        <f aca="false">B641&amp;"|"&amp;C641</f>
        <v>64|G</v>
      </c>
      <c r="F641" s="45" t="n">
        <f aca="false">INDEX('Emission Stepwise'!$H$2:$H$289,MATCH(E641,'Emission Stepwise'!$C$2:$C$289,0))</f>
        <v>0.458128078817734</v>
      </c>
      <c r="G641" s="45" t="n">
        <f aca="false">INDEX(Background!$C$4:$C$7,MATCH(C641,Background!$A$4:$A$7,0))</f>
        <v>0.325128349391659</v>
      </c>
      <c r="H641" s="49" t="n">
        <f aca="false">LN(F641/G641)</f>
        <v>0.342928767519618</v>
      </c>
    </row>
    <row r="642" customFormat="false" ht="15" hidden="false" customHeight="true" outlineLevel="0" collapsed="false">
      <c r="A642" s="38" t="s">
        <v>16</v>
      </c>
      <c r="B642" s="38" t="n">
        <v>65</v>
      </c>
      <c r="C642" s="38" t="s">
        <v>170</v>
      </c>
      <c r="D642" s="38" t="s">
        <v>870</v>
      </c>
      <c r="E642" s="38" t="str">
        <f aca="false">B642&amp;"|"&amp;C642</f>
        <v>65|C</v>
      </c>
      <c r="F642" s="45" t="n">
        <f aca="false">INDEX('Emission Stepwise'!$H$2:$H$289,MATCH(E642,'Emission Stepwise'!$C$2:$C$289,0))</f>
        <v>0.316831683168317</v>
      </c>
      <c r="G642" s="45" t="n">
        <f aca="false">INDEX(Background!$C$4:$C$7,MATCH(C642,Background!$A$4:$A$7,0))</f>
        <v>0.276812715380828</v>
      </c>
      <c r="H642" s="49" t="n">
        <f aca="false">LN(F642/G642)</f>
        <v>0.135029505182698</v>
      </c>
    </row>
    <row r="643" customFormat="false" ht="15" hidden="false" customHeight="true" outlineLevel="0" collapsed="false">
      <c r="A643" s="38" t="s">
        <v>16</v>
      </c>
      <c r="B643" s="38" t="n">
        <v>66</v>
      </c>
      <c r="C643" s="38" t="s">
        <v>171</v>
      </c>
      <c r="D643" s="38" t="s">
        <v>871</v>
      </c>
      <c r="E643" s="38" t="str">
        <f aca="false">B643&amp;"|"&amp;C643</f>
        <v>66|U</v>
      </c>
      <c r="F643" s="45" t="n">
        <f aca="false">INDEX('Emission Stepwise'!$H$2:$H$289,MATCH(E643,'Emission Stepwise'!$C$2:$C$289,0))</f>
        <v>0.246305418719212</v>
      </c>
      <c r="G643" s="45" t="n">
        <f aca="false">INDEX(Background!$C$4:$C$7,MATCH(C643,Background!$A$4:$A$7,0))</f>
        <v>0.212884169069555</v>
      </c>
      <c r="H643" s="49" t="n">
        <f aca="false">LN(F643/G643)</f>
        <v>0.145824094761015</v>
      </c>
    </row>
    <row r="644" customFormat="false" ht="15" hidden="false" customHeight="true" outlineLevel="0" collapsed="false">
      <c r="A644" s="38" t="s">
        <v>16</v>
      </c>
      <c r="B644" s="38" t="n">
        <v>67</v>
      </c>
      <c r="C644" s="38" t="s">
        <v>170</v>
      </c>
      <c r="D644" s="38" t="s">
        <v>871</v>
      </c>
      <c r="E644" s="38" t="str">
        <f aca="false">B644&amp;"|"&amp;C644</f>
        <v>67|C</v>
      </c>
      <c r="F644" s="45" t="n">
        <f aca="false">INDEX('Emission Stepwise'!$H$2:$H$289,MATCH(E644,'Emission Stepwise'!$C$2:$C$289,0))</f>
        <v>0.226600985221675</v>
      </c>
      <c r="G644" s="45" t="n">
        <f aca="false">INDEX(Background!$C$4:$C$7,MATCH(C644,Background!$A$4:$A$7,0))</f>
        <v>0.276812715380828</v>
      </c>
      <c r="H644" s="49" t="n">
        <f aca="false">LN(F644/G644)</f>
        <v>-0.200150463328462</v>
      </c>
    </row>
    <row r="645" customFormat="false" ht="15" hidden="false" customHeight="true" outlineLevel="0" collapsed="false">
      <c r="A645" s="38" t="s">
        <v>16</v>
      </c>
      <c r="B645" s="38" t="n">
        <v>68</v>
      </c>
      <c r="C645" s="38" t="s">
        <v>170</v>
      </c>
      <c r="D645" s="38" t="s">
        <v>871</v>
      </c>
      <c r="E645" s="38" t="str">
        <f aca="false">B645&amp;"|"&amp;C645</f>
        <v>68|C</v>
      </c>
      <c r="F645" s="45" t="n">
        <f aca="false">INDEX('Emission Stepwise'!$H$2:$H$289,MATCH(E645,'Emission Stepwise'!$C$2:$C$289,0))</f>
        <v>0.310344827586207</v>
      </c>
      <c r="G645" s="45" t="n">
        <f aca="false">INDEX(Background!$C$4:$C$7,MATCH(C645,Background!$A$4:$A$7,0))</f>
        <v>0.276812715380828</v>
      </c>
      <c r="H645" s="49" t="n">
        <f aca="false">LN(F645/G645)</f>
        <v>0.114342866573976</v>
      </c>
    </row>
    <row r="646" customFormat="false" ht="15" hidden="false" customHeight="true" outlineLevel="0" collapsed="false">
      <c r="A646" s="38" t="s">
        <v>16</v>
      </c>
      <c r="B646" s="38" t="n">
        <v>69</v>
      </c>
      <c r="C646" s="38" t="s">
        <v>169</v>
      </c>
      <c r="D646" s="38" t="s">
        <v>871</v>
      </c>
      <c r="E646" s="38" t="str">
        <f aca="false">B646&amp;"|"&amp;C646</f>
        <v>69|G</v>
      </c>
      <c r="F646" s="45" t="n">
        <f aca="false">INDEX('Emission Stepwise'!$H$2:$H$289,MATCH(E646,'Emission Stepwise'!$C$2:$C$289,0))</f>
        <v>0.349753694581281</v>
      </c>
      <c r="G646" s="45" t="n">
        <f aca="false">INDEX(Background!$C$4:$C$7,MATCH(C646,Background!$A$4:$A$7,0))</f>
        <v>0.325128349391659</v>
      </c>
      <c r="H646" s="49" t="n">
        <f aca="false">LN(F646/G646)</f>
        <v>0.0730091514076772</v>
      </c>
    </row>
    <row r="647" customFormat="false" ht="15" hidden="false" customHeight="true" outlineLevel="0" collapsed="false">
      <c r="A647" s="38" t="s">
        <v>16</v>
      </c>
      <c r="B647" s="38" t="n">
        <v>70</v>
      </c>
      <c r="C647" s="38" t="s">
        <v>169</v>
      </c>
      <c r="D647" s="38" t="s">
        <v>871</v>
      </c>
      <c r="E647" s="38" t="str">
        <f aca="false">B647&amp;"|"&amp;C647</f>
        <v>70|G</v>
      </c>
      <c r="F647" s="45" t="n">
        <f aca="false">INDEX('Emission Stepwise'!$H$2:$H$289,MATCH(E647,'Emission Stepwise'!$C$2:$C$289,0))</f>
        <v>0.374384236453202</v>
      </c>
      <c r="G647" s="45" t="n">
        <f aca="false">INDEX(Background!$C$4:$C$7,MATCH(C647,Background!$A$4:$A$7,0))</f>
        <v>0.325128349391659</v>
      </c>
      <c r="H647" s="49" t="n">
        <f aca="false">LN(F647/G647)</f>
        <v>0.141062614652693</v>
      </c>
    </row>
    <row r="648" customFormat="false" ht="15" hidden="false" customHeight="true" outlineLevel="0" collapsed="false">
      <c r="A648" s="38" t="s">
        <v>16</v>
      </c>
      <c r="B648" s="38" t="n">
        <v>71</v>
      </c>
      <c r="C648" s="38" t="s">
        <v>169</v>
      </c>
      <c r="D648" s="38" t="s">
        <v>871</v>
      </c>
      <c r="E648" s="38" t="str">
        <f aca="false">B648&amp;"|"&amp;C648</f>
        <v>71|G</v>
      </c>
      <c r="F648" s="45" t="n">
        <f aca="false">INDEX('Emission Stepwise'!$H$2:$H$289,MATCH(E648,'Emission Stepwise'!$C$2:$C$289,0))</f>
        <v>0.408866995073892</v>
      </c>
      <c r="G648" s="45" t="n">
        <f aca="false">INDEX(Background!$C$4:$C$7,MATCH(C648,Background!$A$4:$A$7,0))</f>
        <v>0.325128349391659</v>
      </c>
      <c r="H648" s="49" t="n">
        <f aca="false">LN(F648/G648)</f>
        <v>0.22916988216296</v>
      </c>
    </row>
    <row r="649" customFormat="false" ht="15" hidden="false" customHeight="true" outlineLevel="0" collapsed="false">
      <c r="A649" s="38" t="s">
        <v>16</v>
      </c>
      <c r="B649" s="38" t="n">
        <v>72</v>
      </c>
      <c r="C649" s="38" t="s">
        <v>170</v>
      </c>
      <c r="D649" s="38" t="s">
        <v>871</v>
      </c>
      <c r="E649" s="38" t="str">
        <f aca="false">B649&amp;"|"&amp;C649</f>
        <v>72|C</v>
      </c>
      <c r="F649" s="45" t="n">
        <f aca="false">INDEX('Emission Stepwise'!$H$2:$H$289,MATCH(E649,'Emission Stepwise'!$C$2:$C$289,0))</f>
        <v>0.719211822660099</v>
      </c>
      <c r="G649" s="45" t="n">
        <f aca="false">INDEX(Background!$C$4:$C$7,MATCH(C649,Background!$A$4:$A$7,0))</f>
        <v>0.276812715380828</v>
      </c>
      <c r="H649" s="49" t="n">
        <f aca="false">LN(F649/G649)</f>
        <v>0.95481476189078</v>
      </c>
    </row>
    <row r="650" customFormat="false" ht="15" hidden="false" customHeight="true" outlineLevel="0" collapsed="false">
      <c r="A650" s="38" t="s">
        <v>847</v>
      </c>
      <c r="B650" s="38" t="n">
        <v>1</v>
      </c>
      <c r="C650" s="38" t="s">
        <v>171</v>
      </c>
      <c r="D650" s="38" t="s">
        <v>865</v>
      </c>
      <c r="E650" s="38" t="str">
        <f aca="false">B650&amp;"|"&amp;C650</f>
        <v>1|U</v>
      </c>
      <c r="F650" s="45" t="n">
        <f aca="false">INDEX('Emission Stepwise'!$H$2:$H$289,MATCH(E650,'Emission Stepwise'!$C$2:$C$289,0))</f>
        <v>0.0689655172413793</v>
      </c>
      <c r="G650" s="45" t="n">
        <f aca="false">INDEX(Background!$C$4:$C$7,MATCH(C650,Background!$A$4:$A$7,0))</f>
        <v>0.212884169069555</v>
      </c>
      <c r="H650" s="49" t="n">
        <f aca="false">LN(F650/G650)</f>
        <v>-1.12714158105187</v>
      </c>
    </row>
    <row r="651" customFormat="false" ht="15" hidden="false" customHeight="true" outlineLevel="0" collapsed="false">
      <c r="A651" s="38" t="s">
        <v>847</v>
      </c>
      <c r="B651" s="38" t="n">
        <v>2</v>
      </c>
      <c r="C651" s="38" t="s">
        <v>172</v>
      </c>
      <c r="D651" s="38" t="s">
        <v>865</v>
      </c>
      <c r="E651" s="38" t="str">
        <f aca="false">B651&amp;"|"&amp;C651</f>
        <v>2|A</v>
      </c>
      <c r="F651" s="45" t="n">
        <f aca="false">INDEX('Emission Stepwise'!$H$2:$H$289,MATCH(E651,'Emission Stepwise'!$C$2:$C$289,0))</f>
        <v>0.0344827586206897</v>
      </c>
      <c r="G651" s="45" t="n">
        <f aca="false">INDEX(Background!$C$4:$C$7,MATCH(C651,Background!$A$4:$A$7,0))</f>
        <v>0.185174766157958</v>
      </c>
      <c r="H651" s="49" t="n">
        <f aca="false">LN(F651/G651)</f>
        <v>-1.68084061208641</v>
      </c>
    </row>
    <row r="652" customFormat="false" ht="15" hidden="false" customHeight="true" outlineLevel="0" collapsed="false">
      <c r="A652" s="38" t="s">
        <v>847</v>
      </c>
      <c r="B652" s="38" t="n">
        <v>3</v>
      </c>
      <c r="C652" s="38" t="s">
        <v>172</v>
      </c>
      <c r="D652" s="38" t="s">
        <v>865</v>
      </c>
      <c r="E652" s="38" t="str">
        <f aca="false">B652&amp;"|"&amp;C652</f>
        <v>3|A</v>
      </c>
      <c r="F652" s="45" t="n">
        <f aca="false">INDEX('Emission Stepwise'!$H$2:$H$289,MATCH(E652,'Emission Stepwise'!$C$2:$C$289,0))</f>
        <v>0.0738916256157636</v>
      </c>
      <c r="G652" s="45" t="n">
        <f aca="false">INDEX(Background!$C$4:$C$7,MATCH(C652,Background!$A$4:$A$7,0))</f>
        <v>0.185174766157958</v>
      </c>
      <c r="H652" s="49" t="n">
        <f aca="false">LN(F652/G652)</f>
        <v>-0.918700560039512</v>
      </c>
    </row>
    <row r="653" customFormat="false" ht="15" hidden="false" customHeight="true" outlineLevel="0" collapsed="false">
      <c r="A653" s="38" t="s">
        <v>847</v>
      </c>
      <c r="B653" s="38" t="n">
        <v>4</v>
      </c>
      <c r="C653" s="38" t="s">
        <v>171</v>
      </c>
      <c r="D653" s="38" t="s">
        <v>865</v>
      </c>
      <c r="E653" s="38" t="str">
        <f aca="false">B653&amp;"|"&amp;C653</f>
        <v>4|U</v>
      </c>
      <c r="F653" s="45" t="n">
        <f aca="false">INDEX('Emission Stepwise'!$H$2:$H$289,MATCH(E653,'Emission Stepwise'!$C$2:$C$289,0))</f>
        <v>0.172413793103448</v>
      </c>
      <c r="G653" s="45" t="n">
        <f aca="false">INDEX(Background!$C$4:$C$7,MATCH(C653,Background!$A$4:$A$7,0))</f>
        <v>0.212884169069555</v>
      </c>
      <c r="H653" s="49" t="n">
        <f aca="false">LN(F653/G653)</f>
        <v>-0.210850849177718</v>
      </c>
    </row>
    <row r="654" customFormat="false" ht="15" hidden="false" customHeight="true" outlineLevel="0" collapsed="false">
      <c r="A654" s="38" t="s">
        <v>847</v>
      </c>
      <c r="B654" s="38" t="n">
        <v>5</v>
      </c>
      <c r="C654" s="38" t="s">
        <v>172</v>
      </c>
      <c r="D654" s="38" t="s">
        <v>865</v>
      </c>
      <c r="E654" s="38" t="str">
        <f aca="false">B654&amp;"|"&amp;C654</f>
        <v>5|A</v>
      </c>
      <c r="F654" s="45" t="n">
        <f aca="false">INDEX('Emission Stepwise'!$H$2:$H$289,MATCH(E654,'Emission Stepwise'!$C$2:$C$289,0))</f>
        <v>0.152709359605911</v>
      </c>
      <c r="G654" s="45" t="n">
        <f aca="false">INDEX(Background!$C$4:$C$7,MATCH(C654,Background!$A$4:$A$7,0))</f>
        <v>0.185174766157958</v>
      </c>
      <c r="H654" s="49" t="n">
        <f aca="false">LN(F654/G654)</f>
        <v>-0.192763556656576</v>
      </c>
    </row>
    <row r="655" customFormat="false" ht="15" hidden="false" customHeight="true" outlineLevel="0" collapsed="false">
      <c r="A655" s="38" t="s">
        <v>847</v>
      </c>
      <c r="B655" s="38" t="n">
        <v>6</v>
      </c>
      <c r="C655" s="38" t="s">
        <v>172</v>
      </c>
      <c r="D655" s="38" t="s">
        <v>865</v>
      </c>
      <c r="E655" s="38" t="str">
        <f aca="false">B655&amp;"|"&amp;C655</f>
        <v>6|A</v>
      </c>
      <c r="F655" s="45" t="n">
        <f aca="false">INDEX('Emission Stepwise'!$H$2:$H$289,MATCH(E655,'Emission Stepwise'!$C$2:$C$289,0))</f>
        <v>0.172413793103448</v>
      </c>
      <c r="G655" s="45" t="n">
        <f aca="false">INDEX(Background!$C$4:$C$7,MATCH(C655,Background!$A$4:$A$7,0))</f>
        <v>0.185174766157958</v>
      </c>
      <c r="H655" s="49" t="n">
        <f aca="false">LN(F655/G655)</f>
        <v>-0.0714026996523086</v>
      </c>
    </row>
    <row r="656" customFormat="false" ht="15" hidden="false" customHeight="true" outlineLevel="0" collapsed="false">
      <c r="A656" s="38" t="s">
        <v>847</v>
      </c>
      <c r="B656" s="38" t="n">
        <v>7</v>
      </c>
      <c r="C656" s="38" t="s">
        <v>170</v>
      </c>
      <c r="D656" s="38" t="s">
        <v>865</v>
      </c>
      <c r="E656" s="38" t="str">
        <f aca="false">B656&amp;"|"&amp;C656</f>
        <v>7|C</v>
      </c>
      <c r="F656" s="45" t="n">
        <f aca="false">INDEX('Emission Stepwise'!$H$2:$H$289,MATCH(E656,'Emission Stepwise'!$C$2:$C$289,0))</f>
        <v>0.0197044334975369</v>
      </c>
      <c r="G656" s="45" t="n">
        <f aca="false">INDEX(Background!$C$4:$C$7,MATCH(C656,Background!$A$4:$A$7,0))</f>
        <v>0.276812715380828</v>
      </c>
      <c r="H656" s="49" t="n">
        <f aca="false">LN(F656/G656)</f>
        <v>-2.64249749869767</v>
      </c>
    </row>
    <row r="657" customFormat="false" ht="15" hidden="false" customHeight="true" outlineLevel="0" collapsed="false">
      <c r="A657" s="38" t="s">
        <v>847</v>
      </c>
      <c r="B657" s="38" t="n">
        <v>8</v>
      </c>
      <c r="C657" s="38" t="s">
        <v>171</v>
      </c>
      <c r="D657" s="38" t="s">
        <v>866</v>
      </c>
      <c r="E657" s="38" t="str">
        <f aca="false">B657&amp;"|"&amp;C657</f>
        <v>8|U</v>
      </c>
      <c r="F657" s="45" t="n">
        <f aca="false">INDEX('Emission Stepwise'!$H$2:$H$289,MATCH(E657,'Emission Stepwise'!$C$2:$C$289,0))</f>
        <v>0.975369458128079</v>
      </c>
      <c r="G657" s="45" t="n">
        <f aca="false">INDEX(Background!$C$4:$C$7,MATCH(C657,Background!$A$4:$A$7,0))</f>
        <v>0.212884169069555</v>
      </c>
      <c r="H657" s="49" t="n">
        <f aca="false">LN(F657/G657)</f>
        <v>1.5220681200274</v>
      </c>
    </row>
    <row r="658" customFormat="false" ht="15" hidden="false" customHeight="true" outlineLevel="0" collapsed="false">
      <c r="A658" s="38" t="s">
        <v>847</v>
      </c>
      <c r="B658" s="38" t="n">
        <v>9</v>
      </c>
      <c r="C658" s="38" t="s">
        <v>169</v>
      </c>
      <c r="D658" s="38" t="s">
        <v>867</v>
      </c>
      <c r="E658" s="38" t="str">
        <f aca="false">B658&amp;"|"&amp;C658</f>
        <v>9|G</v>
      </c>
      <c r="F658" s="45" t="n">
        <f aca="false">INDEX('Emission Stepwise'!$H$2:$H$289,MATCH(E658,'Emission Stepwise'!$C$2:$C$289,0))</f>
        <v>0.306930693069307</v>
      </c>
      <c r="G658" s="45" t="n">
        <f aca="false">INDEX(Background!$C$4:$C$7,MATCH(C658,Background!$A$4:$A$7,0))</f>
        <v>0.325128349391659</v>
      </c>
      <c r="H658" s="49" t="n">
        <f aca="false">LN(F658/G658)</f>
        <v>-0.0575980589479641</v>
      </c>
    </row>
    <row r="659" customFormat="false" ht="15" hidden="false" customHeight="true" outlineLevel="0" collapsed="false">
      <c r="A659" s="38" t="s">
        <v>847</v>
      </c>
      <c r="B659" s="38" t="n">
        <v>10</v>
      </c>
      <c r="C659" s="38" t="s">
        <v>169</v>
      </c>
      <c r="D659" s="38" t="s">
        <v>867</v>
      </c>
      <c r="E659" s="38" t="str">
        <f aca="false">B659&amp;"|"&amp;C659</f>
        <v>10|G</v>
      </c>
      <c r="F659" s="45" t="n">
        <f aca="false">INDEX('Emission Stepwise'!$H$2:$H$289,MATCH(E659,'Emission Stepwise'!$C$2:$C$289,0))</f>
        <v>0.945812807881773</v>
      </c>
      <c r="G659" s="45" t="n">
        <f aca="false">INDEX(Background!$C$4:$C$7,MATCH(C659,Background!$A$4:$A$7,0))</f>
        <v>0.325128349391659</v>
      </c>
      <c r="H659" s="49" t="n">
        <f aca="false">LN(F659/G659)</f>
        <v>1.06782464639414</v>
      </c>
    </row>
    <row r="660" customFormat="false" ht="15" hidden="false" customHeight="true" outlineLevel="0" collapsed="false">
      <c r="A660" s="38" t="s">
        <v>847</v>
      </c>
      <c r="B660" s="38" t="n">
        <v>11</v>
      </c>
      <c r="C660" s="38" t="s">
        <v>169</v>
      </c>
      <c r="D660" s="38" t="s">
        <v>867</v>
      </c>
      <c r="E660" s="38" t="str">
        <f aca="false">B660&amp;"|"&amp;C660</f>
        <v>11|G</v>
      </c>
      <c r="F660" s="45" t="n">
        <f aca="false">INDEX('Emission Stepwise'!$H$2:$H$289,MATCH(E660,'Emission Stepwise'!$C$2:$C$289,0))</f>
        <v>0.0344827586206897</v>
      </c>
      <c r="G660" s="45" t="n">
        <f aca="false">INDEX(Background!$C$4:$C$7,MATCH(C660,Background!$A$4:$A$7,0))</f>
        <v>0.325128349391659</v>
      </c>
      <c r="H660" s="49" t="n">
        <f aca="false">LN(F660/G660)</f>
        <v>-2.24376057657833</v>
      </c>
    </row>
    <row r="661" customFormat="false" ht="15" hidden="false" customHeight="true" outlineLevel="0" collapsed="false">
      <c r="A661" s="38" t="s">
        <v>847</v>
      </c>
      <c r="B661" s="38" t="n">
        <v>12</v>
      </c>
      <c r="C661" s="38" t="s">
        <v>169</v>
      </c>
      <c r="D661" s="38" t="s">
        <v>867</v>
      </c>
      <c r="E661" s="38" t="str">
        <f aca="false">B661&amp;"|"&amp;C661</f>
        <v>12|G</v>
      </c>
      <c r="F661" s="45" t="n">
        <f aca="false">INDEX('Emission Stepwise'!$H$2:$H$289,MATCH(E661,'Emission Stepwise'!$C$2:$C$289,0))</f>
        <v>0.192118226600985</v>
      </c>
      <c r="G661" s="45" t="n">
        <f aca="false">INDEX(Background!$C$4:$C$7,MATCH(C661,Background!$A$4:$A$7,0))</f>
        <v>0.325128349391659</v>
      </c>
      <c r="H661" s="49" t="n">
        <f aca="false">LN(F661/G661)</f>
        <v>-0.526109079503992</v>
      </c>
    </row>
    <row r="662" customFormat="false" ht="15" hidden="false" customHeight="true" outlineLevel="0" collapsed="false">
      <c r="A662" s="38" t="s">
        <v>847</v>
      </c>
      <c r="B662" s="38" t="n">
        <v>13</v>
      </c>
      <c r="C662" s="38" t="s">
        <v>170</v>
      </c>
      <c r="D662" s="38" t="s">
        <v>867</v>
      </c>
      <c r="E662" s="38" t="str">
        <f aca="false">B662&amp;"|"&amp;C662</f>
        <v>13|C</v>
      </c>
      <c r="F662" s="45" t="n">
        <f aca="false">INDEX('Emission Stepwise'!$H$2:$H$289,MATCH(E662,'Emission Stepwise'!$C$2:$C$289,0))</f>
        <v>0.640394088669951</v>
      </c>
      <c r="G662" s="45" t="n">
        <f aca="false">INDEX(Background!$C$4:$C$7,MATCH(C662,Background!$A$4:$A$7,0))</f>
        <v>0.276812715380828</v>
      </c>
      <c r="H662" s="49" t="n">
        <f aca="false">LN(F662/G662)</f>
        <v>0.838742590638026</v>
      </c>
    </row>
    <row r="663" customFormat="false" ht="15" hidden="false" customHeight="true" outlineLevel="0" collapsed="false">
      <c r="A663" s="38" t="s">
        <v>847</v>
      </c>
      <c r="B663" s="38" t="n">
        <v>14</v>
      </c>
      <c r="C663" s="38" t="s">
        <v>169</v>
      </c>
      <c r="D663" s="38" t="s">
        <v>867</v>
      </c>
      <c r="E663" s="38" t="str">
        <f aca="false">B663&amp;"|"&amp;C663</f>
        <v>14|G</v>
      </c>
      <c r="F663" s="45" t="n">
        <f aca="false">INDEX('Emission Stepwise'!$H$2:$H$289,MATCH(E663,'Emission Stepwise'!$C$2:$C$289,0))</f>
        <v>0.00985221674876847</v>
      </c>
      <c r="G663" s="45" t="n">
        <f aca="false">INDEX(Background!$C$4:$C$7,MATCH(C663,Background!$A$4:$A$7,0))</f>
        <v>0.325128349391659</v>
      </c>
      <c r="H663" s="49" t="n">
        <f aca="false">LN(F663/G663)</f>
        <v>-3.49652354507369</v>
      </c>
    </row>
    <row r="664" customFormat="false" ht="15" hidden="false" customHeight="true" outlineLevel="0" collapsed="false">
      <c r="A664" s="38" t="s">
        <v>847</v>
      </c>
      <c r="B664" s="38" t="n">
        <v>15</v>
      </c>
      <c r="C664" s="38" t="s">
        <v>172</v>
      </c>
      <c r="D664" s="38" t="s">
        <v>867</v>
      </c>
      <c r="E664" s="38" t="str">
        <f aca="false">B664&amp;"|"&amp;C664</f>
        <v>15|A</v>
      </c>
      <c r="F664" s="45" t="n">
        <f aca="false">INDEX('Emission Stepwise'!$H$2:$H$289,MATCH(E664,'Emission Stepwise'!$C$2:$C$289,0))</f>
        <v>0.168316831683168</v>
      </c>
      <c r="G664" s="45" t="n">
        <f aca="false">INDEX(Background!$C$4:$C$7,MATCH(C664,Background!$A$4:$A$7,0))</f>
        <v>0.185174766157958</v>
      </c>
      <c r="H664" s="49" t="n">
        <f aca="false">LN(F664/G664)</f>
        <v>-0.0954519548849783</v>
      </c>
    </row>
    <row r="665" customFormat="false" ht="15" hidden="false" customHeight="true" outlineLevel="0" collapsed="false">
      <c r="A665" s="38" t="s">
        <v>847</v>
      </c>
      <c r="B665" s="38" t="n">
        <v>16</v>
      </c>
      <c r="C665" s="38" t="s">
        <v>176</v>
      </c>
      <c r="D665" s="38" t="s">
        <v>867</v>
      </c>
      <c r="E665" s="38"/>
      <c r="F665" s="38"/>
      <c r="G665" s="38"/>
      <c r="H665" s="38"/>
    </row>
    <row r="666" customFormat="false" ht="15" hidden="false" customHeight="true" outlineLevel="0" collapsed="false">
      <c r="A666" s="38" t="s">
        <v>847</v>
      </c>
      <c r="B666" s="38" t="n">
        <v>17</v>
      </c>
      <c r="C666" s="38" t="s">
        <v>172</v>
      </c>
      <c r="D666" s="38" t="s">
        <v>867</v>
      </c>
      <c r="E666" s="38" t="str">
        <f aca="false">B666&amp;"|"&amp;C666</f>
        <v>17|A</v>
      </c>
      <c r="F666" s="45" t="n">
        <f aca="false">INDEX('Emission Stepwise'!$H$2:$H$289,MATCH(E666,'Emission Stepwise'!$C$2:$C$289,0))</f>
        <v>0.065</v>
      </c>
      <c r="G666" s="45" t="n">
        <f aca="false">INDEX(Background!$C$4:$C$7,MATCH(C666,Background!$A$4:$A$7,0))</f>
        <v>0.185174766157958</v>
      </c>
      <c r="H666" s="49" t="n">
        <f aca="false">LN(F666/G666)</f>
        <v>-1.04691279118643</v>
      </c>
    </row>
    <row r="667" customFormat="false" ht="15" hidden="false" customHeight="true" outlineLevel="0" collapsed="false">
      <c r="A667" s="38" t="s">
        <v>847</v>
      </c>
      <c r="B667" s="38" t="n">
        <v>18</v>
      </c>
      <c r="C667" s="38" t="s">
        <v>169</v>
      </c>
      <c r="D667" s="38" t="s">
        <v>867</v>
      </c>
      <c r="E667" s="38" t="str">
        <f aca="false">B667&amp;"|"&amp;C667</f>
        <v>18|G</v>
      </c>
      <c r="F667" s="45" t="n">
        <f aca="false">INDEX('Emission Stepwise'!$H$2:$H$289,MATCH(E667,'Emission Stepwise'!$C$2:$C$289,0))</f>
        <v>0.980295566502463</v>
      </c>
      <c r="G667" s="45" t="n">
        <f aca="false">INDEX(Background!$C$4:$C$7,MATCH(C667,Background!$A$4:$A$7,0))</f>
        <v>0.325128349391659</v>
      </c>
      <c r="H667" s="49" t="n">
        <f aca="false">LN(F667/G667)</f>
        <v>1.10363409909085</v>
      </c>
    </row>
    <row r="668" customFormat="false" ht="15" hidden="false" customHeight="true" outlineLevel="0" collapsed="false">
      <c r="A668" s="38" t="s">
        <v>847</v>
      </c>
      <c r="B668" s="38" t="n">
        <v>19</v>
      </c>
      <c r="C668" s="38" t="s">
        <v>169</v>
      </c>
      <c r="D668" s="38" t="s">
        <v>867</v>
      </c>
      <c r="E668" s="38" t="str">
        <f aca="false">B668&amp;"|"&amp;C668</f>
        <v>19|G</v>
      </c>
      <c r="F668" s="45" t="n">
        <f aca="false">INDEX('Emission Stepwise'!$H$2:$H$289,MATCH(E668,'Emission Stepwise'!$C$2:$C$289,0))</f>
        <v>0.970443349753695</v>
      </c>
      <c r="G668" s="45" t="n">
        <f aca="false">INDEX(Background!$C$4:$C$7,MATCH(C668,Background!$A$4:$A$7,0))</f>
        <v>0.325128349391659</v>
      </c>
      <c r="H668" s="49" t="n">
        <f aca="false">LN(F668/G668)</f>
        <v>1.09353300310435</v>
      </c>
    </row>
    <row r="669" customFormat="false" ht="15" hidden="false" customHeight="true" outlineLevel="0" collapsed="false">
      <c r="A669" s="38" t="s">
        <v>847</v>
      </c>
      <c r="B669" s="38" t="n">
        <v>20</v>
      </c>
      <c r="C669" s="38" t="s">
        <v>171</v>
      </c>
      <c r="D669" s="38" t="s">
        <v>867</v>
      </c>
      <c r="E669" s="38" t="str">
        <f aca="false">B669&amp;"|"&amp;C669</f>
        <v>20|U</v>
      </c>
      <c r="F669" s="45" t="n">
        <f aca="false">INDEX('Emission Stepwise'!$H$2:$H$289,MATCH(E669,'Emission Stepwise'!$C$2:$C$289,0))</f>
        <v>0.589108910891089</v>
      </c>
      <c r="G669" s="45" t="n">
        <f aca="false">INDEX(Background!$C$4:$C$7,MATCH(C669,Background!$A$4:$A$7,0))</f>
        <v>0.212884169069555</v>
      </c>
      <c r="H669" s="49" t="n">
        <f aca="false">LN(F669/G669)</f>
        <v>1.01786286408498</v>
      </c>
    </row>
    <row r="670" customFormat="false" ht="15" hidden="false" customHeight="true" outlineLevel="0" collapsed="false">
      <c r="A670" s="38" t="s">
        <v>847</v>
      </c>
      <c r="B670" s="38" t="n">
        <v>21</v>
      </c>
      <c r="C670" s="38" t="s">
        <v>170</v>
      </c>
      <c r="D670" s="38" t="s">
        <v>867</v>
      </c>
      <c r="E670" s="38" t="str">
        <f aca="false">B670&amp;"|"&amp;C670</f>
        <v>21|C</v>
      </c>
      <c r="F670" s="45" t="n">
        <f aca="false">INDEX('Emission Stepwise'!$H$2:$H$289,MATCH(E670,'Emission Stepwise'!$C$2:$C$289,0))</f>
        <v>0.0246305418719212</v>
      </c>
      <c r="G670" s="45" t="n">
        <f aca="false">INDEX(Background!$C$4:$C$7,MATCH(C670,Background!$A$4:$A$7,0))</f>
        <v>0.276812715380828</v>
      </c>
      <c r="H670" s="49" t="n">
        <f aca="false">LN(F670/G670)</f>
        <v>-2.41935394738346</v>
      </c>
    </row>
    <row r="671" customFormat="false" ht="15" hidden="false" customHeight="true" outlineLevel="0" collapsed="false">
      <c r="A671" s="38" t="s">
        <v>847</v>
      </c>
      <c r="B671" s="38" t="n">
        <v>22</v>
      </c>
      <c r="C671" s="38" t="s">
        <v>169</v>
      </c>
      <c r="D671" s="38" t="s">
        <v>867</v>
      </c>
      <c r="E671" s="38" t="str">
        <f aca="false">B671&amp;"|"&amp;C671</f>
        <v>22|G</v>
      </c>
      <c r="F671" s="45" t="n">
        <f aca="false">INDEX('Emission Stepwise'!$H$2:$H$289,MATCH(E671,'Emission Stepwise'!$C$2:$C$289,0))</f>
        <v>0.714285714285714</v>
      </c>
      <c r="G671" s="45" t="n">
        <f aca="false">INDEX(Background!$C$4:$C$7,MATCH(C671,Background!$A$4:$A$7,0))</f>
        <v>0.325128349391659</v>
      </c>
      <c r="H671" s="49" t="n">
        <f aca="false">LN(F671/G671)</f>
        <v>0.787063016786936</v>
      </c>
    </row>
    <row r="672" customFormat="false" ht="15" hidden="false" customHeight="true" outlineLevel="0" collapsed="false">
      <c r="A672" s="38" t="s">
        <v>847</v>
      </c>
      <c r="B672" s="38" t="n">
        <v>23</v>
      </c>
      <c r="C672" s="38" t="s">
        <v>170</v>
      </c>
      <c r="D672" s="38" t="s">
        <v>867</v>
      </c>
      <c r="E672" s="38" t="str">
        <f aca="false">B672&amp;"|"&amp;C672</f>
        <v>23|C</v>
      </c>
      <c r="F672" s="45" t="n">
        <f aca="false">INDEX('Emission Stepwise'!$H$2:$H$289,MATCH(E672,'Emission Stepwise'!$C$2:$C$289,0))</f>
        <v>0.192118226600985</v>
      </c>
      <c r="G672" s="45" t="n">
        <f aca="false">INDEX(Background!$C$4:$C$7,MATCH(C672,Background!$A$4:$A$7,0))</f>
        <v>0.276812715380828</v>
      </c>
      <c r="H672" s="49" t="n">
        <f aca="false">LN(F672/G672)</f>
        <v>-0.365230213687911</v>
      </c>
    </row>
    <row r="673" customFormat="false" ht="15" hidden="false" customHeight="true" outlineLevel="0" collapsed="false">
      <c r="A673" s="38" t="s">
        <v>847</v>
      </c>
      <c r="B673" s="38" t="n">
        <v>24</v>
      </c>
      <c r="C673" s="38" t="s">
        <v>170</v>
      </c>
      <c r="D673" s="38" t="s">
        <v>867</v>
      </c>
      <c r="E673" s="38" t="str">
        <f aca="false">B673&amp;"|"&amp;C673</f>
        <v>24|C</v>
      </c>
      <c r="F673" s="45" t="n">
        <f aca="false">INDEX('Emission Stepwise'!$H$2:$H$289,MATCH(E673,'Emission Stepwise'!$C$2:$C$289,0))</f>
        <v>0.0344827586206897</v>
      </c>
      <c r="G673" s="45" t="n">
        <f aca="false">INDEX(Background!$C$4:$C$7,MATCH(C673,Background!$A$4:$A$7,0))</f>
        <v>0.276812715380828</v>
      </c>
      <c r="H673" s="49" t="n">
        <f aca="false">LN(F673/G673)</f>
        <v>-2.08288171076224</v>
      </c>
    </row>
    <row r="674" customFormat="false" ht="15" hidden="false" customHeight="true" outlineLevel="0" collapsed="false">
      <c r="A674" s="38" t="s">
        <v>847</v>
      </c>
      <c r="B674" s="38" t="n">
        <v>25</v>
      </c>
      <c r="C674" s="38" t="s">
        <v>171</v>
      </c>
      <c r="D674" s="38" t="s">
        <v>867</v>
      </c>
      <c r="E674" s="38" t="str">
        <f aca="false">B674&amp;"|"&amp;C674</f>
        <v>25|U</v>
      </c>
      <c r="F674" s="45" t="n">
        <f aca="false">INDEX('Emission Stepwise'!$H$2:$H$289,MATCH(E674,'Emission Stepwise'!$C$2:$C$289,0))</f>
        <v>0.0738916256157636</v>
      </c>
      <c r="G674" s="45" t="n">
        <f aca="false">INDEX(Background!$C$4:$C$7,MATCH(C674,Background!$A$4:$A$7,0))</f>
        <v>0.212884169069555</v>
      </c>
      <c r="H674" s="49" t="n">
        <f aca="false">LN(F674/G674)</f>
        <v>-1.05814870956492</v>
      </c>
    </row>
    <row r="675" customFormat="false" ht="15" hidden="false" customHeight="true" outlineLevel="0" collapsed="false">
      <c r="A675" s="38" t="s">
        <v>847</v>
      </c>
      <c r="B675" s="38" t="n">
        <v>26</v>
      </c>
      <c r="C675" s="38" t="s">
        <v>169</v>
      </c>
      <c r="D675" s="38" t="s">
        <v>868</v>
      </c>
      <c r="E675" s="38" t="str">
        <f aca="false">B675&amp;"|"&amp;C675</f>
        <v>26|G</v>
      </c>
      <c r="F675" s="45" t="n">
        <f aca="false">INDEX('Emission Stepwise'!$H$2:$H$289,MATCH(E675,'Emission Stepwise'!$C$2:$C$289,0))</f>
        <v>0.497536945812808</v>
      </c>
      <c r="G675" s="45" t="n">
        <f aca="false">INDEX(Background!$C$4:$C$7,MATCH(C675,Background!$A$4:$A$7,0))</f>
        <v>0.325128349391659</v>
      </c>
      <c r="H675" s="49" t="n">
        <f aca="false">LN(F675/G675)</f>
        <v>0.425449791207621</v>
      </c>
    </row>
    <row r="676" customFormat="false" ht="15" hidden="false" customHeight="true" outlineLevel="0" collapsed="false">
      <c r="A676" s="38" t="s">
        <v>847</v>
      </c>
      <c r="B676" s="38" t="n">
        <v>27</v>
      </c>
      <c r="C676" s="38" t="s">
        <v>170</v>
      </c>
      <c r="D676" s="38" t="s">
        <v>868</v>
      </c>
      <c r="E676" s="38" t="str">
        <f aca="false">B676&amp;"|"&amp;C676</f>
        <v>27|C</v>
      </c>
      <c r="F676" s="45" t="n">
        <f aca="false">INDEX('Emission Stepwise'!$H$2:$H$289,MATCH(E676,'Emission Stepwise'!$C$2:$C$289,0))</f>
        <v>0.463054187192118</v>
      </c>
      <c r="G676" s="45" t="n">
        <f aca="false">INDEX(Background!$C$4:$C$7,MATCH(C676,Background!$A$4:$A$7,0))</f>
        <v>0.276812715380828</v>
      </c>
      <c r="H676" s="49" t="n">
        <f aca="false">LN(F676/G676)</f>
        <v>0.514502922452447</v>
      </c>
    </row>
    <row r="677" customFormat="false" ht="15" hidden="false" customHeight="true" outlineLevel="0" collapsed="false">
      <c r="A677" s="38" t="s">
        <v>847</v>
      </c>
      <c r="B677" s="38" t="n">
        <v>28</v>
      </c>
      <c r="C677" s="38" t="s">
        <v>171</v>
      </c>
      <c r="D677" s="38" t="s">
        <v>868</v>
      </c>
      <c r="E677" s="38" t="str">
        <f aca="false">B677&amp;"|"&amp;C677</f>
        <v>28|U</v>
      </c>
      <c r="F677" s="45" t="n">
        <f aca="false">INDEX('Emission Stepwise'!$H$2:$H$289,MATCH(E677,'Emission Stepwise'!$C$2:$C$289,0))</f>
        <v>0.251231527093596</v>
      </c>
      <c r="G677" s="45" t="n">
        <f aca="false">INDEX(Background!$C$4:$C$7,MATCH(C677,Background!$A$4:$A$7,0))</f>
        <v>0.212884169069555</v>
      </c>
      <c r="H677" s="49" t="n">
        <f aca="false">LN(F677/G677)</f>
        <v>0.165626722057194</v>
      </c>
    </row>
    <row r="678" customFormat="false" ht="15" hidden="false" customHeight="true" outlineLevel="0" collapsed="false">
      <c r="A678" s="38" t="s">
        <v>847</v>
      </c>
      <c r="B678" s="38" t="n">
        <v>29</v>
      </c>
      <c r="C678" s="38" t="s">
        <v>172</v>
      </c>
      <c r="D678" s="38" t="s">
        <v>868</v>
      </c>
      <c r="E678" s="38" t="str">
        <f aca="false">B678&amp;"|"&amp;C678</f>
        <v>29|A</v>
      </c>
      <c r="F678" s="45" t="n">
        <f aca="false">INDEX('Emission Stepwise'!$H$2:$H$289,MATCH(E678,'Emission Stepwise'!$C$2:$C$289,0))</f>
        <v>0.16256157635468</v>
      </c>
      <c r="G678" s="45" t="n">
        <f aca="false">INDEX(Background!$C$4:$C$7,MATCH(C678,Background!$A$4:$A$7,0))</f>
        <v>0.185174766157958</v>
      </c>
      <c r="H678" s="49" t="n">
        <f aca="false">LN(F678/G678)</f>
        <v>-0.130243199675242</v>
      </c>
    </row>
    <row r="679" customFormat="false" ht="15" hidden="false" customHeight="true" outlineLevel="0" collapsed="false">
      <c r="A679" s="38" t="s">
        <v>847</v>
      </c>
      <c r="B679" s="38" t="n">
        <v>30</v>
      </c>
      <c r="C679" s="38" t="s">
        <v>169</v>
      </c>
      <c r="D679" s="38" t="s">
        <v>868</v>
      </c>
      <c r="E679" s="38" t="str">
        <f aca="false">B679&amp;"|"&amp;C679</f>
        <v>30|G</v>
      </c>
      <c r="F679" s="45" t="n">
        <f aca="false">INDEX('Emission Stepwise'!$H$2:$H$289,MATCH(E679,'Emission Stepwise'!$C$2:$C$289,0))</f>
        <v>0.74384236453202</v>
      </c>
      <c r="G679" s="45" t="n">
        <f aca="false">INDEX(Background!$C$4:$C$7,MATCH(C679,Background!$A$4:$A$7,0))</f>
        <v>0.325128349391659</v>
      </c>
      <c r="H679" s="49" t="n">
        <f aca="false">LN(F679/G679)</f>
        <v>0.827609111181286</v>
      </c>
    </row>
    <row r="680" customFormat="false" ht="15" hidden="false" customHeight="true" outlineLevel="0" collapsed="false">
      <c r="A680" s="38" t="s">
        <v>847</v>
      </c>
      <c r="B680" s="38" t="n">
        <v>31</v>
      </c>
      <c r="C680" s="38" t="s">
        <v>169</v>
      </c>
      <c r="D680" s="38" t="s">
        <v>868</v>
      </c>
      <c r="E680" s="38" t="str">
        <f aca="false">B680&amp;"|"&amp;C680</f>
        <v>31|G</v>
      </c>
      <c r="F680" s="45" t="n">
        <f aca="false">INDEX('Emission Stepwise'!$H$2:$H$289,MATCH(E680,'Emission Stepwise'!$C$2:$C$289,0))</f>
        <v>0.270935960591133</v>
      </c>
      <c r="G680" s="45" t="n">
        <f aca="false">INDEX(Background!$C$4:$C$7,MATCH(C680,Background!$A$4:$A$7,0))</f>
        <v>0.325128349391659</v>
      </c>
      <c r="H680" s="49" t="n">
        <f aca="false">LN(F680/G680)</f>
        <v>-0.182337540401167</v>
      </c>
    </row>
    <row r="681" customFormat="false" ht="15" hidden="false" customHeight="true" outlineLevel="0" collapsed="false">
      <c r="A681" s="38" t="s">
        <v>847</v>
      </c>
      <c r="B681" s="38" t="n">
        <v>32</v>
      </c>
      <c r="C681" s="38" t="s">
        <v>172</v>
      </c>
      <c r="D681" s="38" t="s">
        <v>868</v>
      </c>
      <c r="E681" s="38" t="str">
        <f aca="false">B681&amp;"|"&amp;C681</f>
        <v>32|A</v>
      </c>
      <c r="F681" s="45" t="n">
        <f aca="false">INDEX('Emission Stepwise'!$H$2:$H$289,MATCH(E681,'Emission Stepwise'!$C$2:$C$289,0))</f>
        <v>0.0344827586206897</v>
      </c>
      <c r="G681" s="45" t="n">
        <f aca="false">INDEX(Background!$C$4:$C$7,MATCH(C681,Background!$A$4:$A$7,0))</f>
        <v>0.185174766157958</v>
      </c>
      <c r="H681" s="49" t="n">
        <f aca="false">LN(F681/G681)</f>
        <v>-1.68084061208641</v>
      </c>
    </row>
    <row r="682" customFormat="false" ht="15" hidden="false" customHeight="true" outlineLevel="0" collapsed="false">
      <c r="A682" s="38" t="s">
        <v>847</v>
      </c>
      <c r="B682" s="38" t="n">
        <v>33</v>
      </c>
      <c r="C682" s="38" t="s">
        <v>170</v>
      </c>
      <c r="D682" s="38" t="s">
        <v>868</v>
      </c>
      <c r="E682" s="38" t="str">
        <f aca="false">B682&amp;"|"&amp;C682</f>
        <v>33|C</v>
      </c>
      <c r="F682" s="45" t="n">
        <f aca="false">INDEX('Emission Stepwise'!$H$2:$H$289,MATCH(E682,'Emission Stepwise'!$C$2:$C$289,0))</f>
        <v>0.00985221674876847</v>
      </c>
      <c r="G682" s="45" t="n">
        <f aca="false">INDEX(Background!$C$4:$C$7,MATCH(C682,Background!$A$4:$A$7,0))</f>
        <v>0.276812715380828</v>
      </c>
      <c r="H682" s="49" t="n">
        <f aca="false">LN(F682/G682)</f>
        <v>-3.33564467925761</v>
      </c>
    </row>
    <row r="683" customFormat="false" ht="15" hidden="false" customHeight="true" outlineLevel="0" collapsed="false">
      <c r="A683" s="38" t="s">
        <v>847</v>
      </c>
      <c r="B683" s="38" t="n">
        <v>34</v>
      </c>
      <c r="C683" s="38" t="s">
        <v>171</v>
      </c>
      <c r="D683" s="38" t="s">
        <v>868</v>
      </c>
      <c r="E683" s="38" t="str">
        <f aca="false">B683&amp;"|"&amp;C683</f>
        <v>34|U</v>
      </c>
      <c r="F683" s="45" t="n">
        <f aca="false">INDEX('Emission Stepwise'!$H$2:$H$289,MATCH(E683,'Emission Stepwise'!$C$2:$C$289,0))</f>
        <v>0.29064039408867</v>
      </c>
      <c r="G683" s="45" t="n">
        <f aca="false">INDEX(Background!$C$4:$C$7,MATCH(C683,Background!$A$4:$A$7,0))</f>
        <v>0.212884169069555</v>
      </c>
      <c r="H683" s="49" t="n">
        <f aca="false">LN(F683/G683)</f>
        <v>0.311338533238588</v>
      </c>
    </row>
    <row r="684" customFormat="false" ht="15" hidden="false" customHeight="true" outlineLevel="0" collapsed="false">
      <c r="A684" s="38" t="s">
        <v>847</v>
      </c>
      <c r="B684" s="38" t="n">
        <v>35</v>
      </c>
      <c r="C684" s="38" t="s">
        <v>171</v>
      </c>
      <c r="D684" s="38" t="s">
        <v>868</v>
      </c>
      <c r="E684" s="38" t="str">
        <f aca="false">B684&amp;"|"&amp;C684</f>
        <v>35|U</v>
      </c>
      <c r="F684" s="45" t="n">
        <f aca="false">INDEX('Emission Stepwise'!$H$2:$H$289,MATCH(E684,'Emission Stepwise'!$C$2:$C$289,0))</f>
        <v>0.206896551724138</v>
      </c>
      <c r="G684" s="45" t="n">
        <f aca="false">INDEX(Background!$C$4:$C$7,MATCH(C684,Background!$A$4:$A$7,0))</f>
        <v>0.212884169069555</v>
      </c>
      <c r="H684" s="49" t="n">
        <f aca="false">LN(F684/G684)</f>
        <v>-0.0285292923837632</v>
      </c>
    </row>
    <row r="685" customFormat="false" ht="15" hidden="false" customHeight="true" outlineLevel="0" collapsed="false">
      <c r="A685" s="38" t="s">
        <v>847</v>
      </c>
      <c r="B685" s="38" t="n">
        <v>36</v>
      </c>
      <c r="C685" s="38" t="s">
        <v>172</v>
      </c>
      <c r="D685" s="38" t="s">
        <v>868</v>
      </c>
      <c r="E685" s="38" t="str">
        <f aca="false">B685&amp;"|"&amp;C685</f>
        <v>36|A</v>
      </c>
      <c r="F685" s="45" t="n">
        <f aca="false">INDEX('Emission Stepwise'!$H$2:$H$289,MATCH(E685,'Emission Stepwise'!$C$2:$C$289,0))</f>
        <v>0.216748768472906</v>
      </c>
      <c r="G685" s="45" t="n">
        <f aca="false">INDEX(Background!$C$4:$C$7,MATCH(C685,Background!$A$4:$A$7,0))</f>
        <v>0.185174766157958</v>
      </c>
      <c r="H685" s="49" t="n">
        <f aca="false">LN(F685/G685)</f>
        <v>0.157438872776539</v>
      </c>
    </row>
    <row r="686" customFormat="false" ht="15" hidden="false" customHeight="true" outlineLevel="0" collapsed="false">
      <c r="A686" s="38" t="s">
        <v>847</v>
      </c>
      <c r="B686" s="38" t="n">
        <v>37</v>
      </c>
      <c r="C686" s="38" t="s">
        <v>172</v>
      </c>
      <c r="D686" s="38" t="s">
        <v>868</v>
      </c>
      <c r="E686" s="38" t="str">
        <f aca="false">B686&amp;"|"&amp;C686</f>
        <v>37|A</v>
      </c>
      <c r="F686" s="45" t="n">
        <f aca="false">INDEX('Emission Stepwise'!$H$2:$H$289,MATCH(E686,'Emission Stepwise'!$C$2:$C$289,0))</f>
        <v>0.74384236453202</v>
      </c>
      <c r="G686" s="45" t="n">
        <f aca="false">INDEX(Background!$C$4:$C$7,MATCH(C686,Background!$A$4:$A$7,0))</f>
        <v>0.185174766157958</v>
      </c>
      <c r="H686" s="49" t="n">
        <f aca="false">LN(F686/G686)</f>
        <v>1.3905290756732</v>
      </c>
    </row>
    <row r="687" customFormat="false" ht="15" hidden="false" customHeight="true" outlineLevel="0" collapsed="false">
      <c r="A687" s="38" t="s">
        <v>847</v>
      </c>
      <c r="B687" s="38" t="n">
        <v>38</v>
      </c>
      <c r="C687" s="38" t="s">
        <v>171</v>
      </c>
      <c r="D687" s="38" t="s">
        <v>868</v>
      </c>
      <c r="E687" s="38" t="str">
        <f aca="false">B687&amp;"|"&amp;C687</f>
        <v>38|U</v>
      </c>
      <c r="F687" s="45" t="n">
        <f aca="false">INDEX('Emission Stepwise'!$H$2:$H$289,MATCH(E687,'Emission Stepwise'!$C$2:$C$289,0))</f>
        <v>0.118226600985222</v>
      </c>
      <c r="G687" s="45" t="n">
        <f aca="false">INDEX(Background!$C$4:$C$7,MATCH(C687,Background!$A$4:$A$7,0))</f>
        <v>0.212884169069555</v>
      </c>
      <c r="H687" s="49" t="n">
        <f aca="false">LN(F687/G687)</f>
        <v>-0.588145080319186</v>
      </c>
    </row>
    <row r="688" customFormat="false" ht="15" hidden="false" customHeight="true" outlineLevel="0" collapsed="false">
      <c r="A688" s="38" t="s">
        <v>847</v>
      </c>
      <c r="B688" s="38" t="n">
        <v>39</v>
      </c>
      <c r="C688" s="38" t="s">
        <v>171</v>
      </c>
      <c r="D688" s="38" t="s">
        <v>868</v>
      </c>
      <c r="E688" s="38" t="str">
        <f aca="false">B688&amp;"|"&amp;C688</f>
        <v>39|U</v>
      </c>
      <c r="F688" s="45" t="n">
        <f aca="false">INDEX('Emission Stepwise'!$H$2:$H$289,MATCH(E688,'Emission Stepwise'!$C$2:$C$289,0))</f>
        <v>0.295566502463054</v>
      </c>
      <c r="G688" s="45" t="n">
        <f aca="false">INDEX(Background!$C$4:$C$7,MATCH(C688,Background!$A$4:$A$7,0))</f>
        <v>0.212884169069555</v>
      </c>
      <c r="H688" s="49" t="n">
        <f aca="false">LN(F688/G688)</f>
        <v>0.328145651554969</v>
      </c>
    </row>
    <row r="689" customFormat="false" ht="15" hidden="false" customHeight="true" outlineLevel="0" collapsed="false">
      <c r="A689" s="38" t="s">
        <v>847</v>
      </c>
      <c r="B689" s="38" t="n">
        <v>40</v>
      </c>
      <c r="C689" s="38" t="s">
        <v>171</v>
      </c>
      <c r="D689" s="38" t="s">
        <v>868</v>
      </c>
      <c r="E689" s="38" t="str">
        <f aca="false">B689&amp;"|"&amp;C689</f>
        <v>40|U</v>
      </c>
      <c r="F689" s="45" t="n">
        <f aca="false">INDEX('Emission Stepwise'!$H$2:$H$289,MATCH(E689,'Emission Stepwise'!$C$2:$C$289,0))</f>
        <v>0.0443349753694581</v>
      </c>
      <c r="G689" s="45" t="n">
        <f aca="false">INDEX(Background!$C$4:$C$7,MATCH(C689,Background!$A$4:$A$7,0))</f>
        <v>0.212884169069555</v>
      </c>
      <c r="H689" s="49" t="n">
        <f aca="false">LN(F689/G689)</f>
        <v>-1.56897433333091</v>
      </c>
    </row>
    <row r="690" customFormat="false" ht="15" hidden="false" customHeight="true" outlineLevel="0" collapsed="false">
      <c r="A690" s="38" t="s">
        <v>847</v>
      </c>
      <c r="B690" s="38" t="n">
        <v>41</v>
      </c>
      <c r="C690" s="38" t="s">
        <v>171</v>
      </c>
      <c r="D690" s="38" t="s">
        <v>868</v>
      </c>
      <c r="E690" s="38" t="str">
        <f aca="false">B690&amp;"|"&amp;C690</f>
        <v>41|U</v>
      </c>
      <c r="F690" s="45" t="n">
        <f aca="false">INDEX('Emission Stepwise'!$H$2:$H$289,MATCH(E690,'Emission Stepwise'!$C$2:$C$289,0))</f>
        <v>0.167487684729064</v>
      </c>
      <c r="G690" s="45" t="n">
        <f aca="false">INDEX(Background!$C$4:$C$7,MATCH(C690,Background!$A$4:$A$7,0))</f>
        <v>0.212884169069555</v>
      </c>
      <c r="H690" s="49" t="n">
        <f aca="false">LN(F690/G690)</f>
        <v>-0.23983838605097</v>
      </c>
    </row>
    <row r="691" customFormat="false" ht="15" hidden="false" customHeight="true" outlineLevel="0" collapsed="false">
      <c r="A691" s="38" t="s">
        <v>847</v>
      </c>
      <c r="B691" s="38" t="n">
        <v>42</v>
      </c>
      <c r="C691" s="38" t="s">
        <v>169</v>
      </c>
      <c r="D691" s="38" t="s">
        <v>868</v>
      </c>
      <c r="E691" s="38" t="str">
        <f aca="false">B691&amp;"|"&amp;C691</f>
        <v>42|G</v>
      </c>
      <c r="F691" s="45" t="n">
        <f aca="false">INDEX('Emission Stepwise'!$H$2:$H$289,MATCH(E691,'Emission Stepwise'!$C$2:$C$289,0))</f>
        <v>0.522167487684729</v>
      </c>
      <c r="G691" s="45" t="n">
        <f aca="false">INDEX(Background!$C$4:$C$7,MATCH(C691,Background!$A$4:$A$7,0))</f>
        <v>0.325128349391659</v>
      </c>
      <c r="H691" s="49" t="n">
        <f aca="false">LN(F691/G691)</f>
        <v>0.473768368478429</v>
      </c>
    </row>
    <row r="692" customFormat="false" ht="15" hidden="false" customHeight="true" outlineLevel="0" collapsed="false">
      <c r="A692" s="38" t="s">
        <v>847</v>
      </c>
      <c r="B692" s="38" t="n">
        <v>43</v>
      </c>
      <c r="C692" s="38" t="s">
        <v>169</v>
      </c>
      <c r="D692" s="38" t="s">
        <v>868</v>
      </c>
      <c r="E692" s="38" t="str">
        <f aca="false">B692&amp;"|"&amp;C692</f>
        <v>43|G</v>
      </c>
      <c r="F692" s="45" t="n">
        <f aca="false">INDEX('Emission Stepwise'!$H$2:$H$289,MATCH(E692,'Emission Stepwise'!$C$2:$C$289,0))</f>
        <v>0.492610837438424</v>
      </c>
      <c r="G692" s="45" t="n">
        <f aca="false">INDEX(Background!$C$4:$C$7,MATCH(C692,Background!$A$4:$A$7,0))</f>
        <v>0.325128349391659</v>
      </c>
      <c r="H692" s="49" t="n">
        <f aca="false">LN(F692/G692)</f>
        <v>0.415499460354453</v>
      </c>
    </row>
    <row r="693" customFormat="false" ht="15" hidden="false" customHeight="true" outlineLevel="0" collapsed="false">
      <c r="A693" s="38" t="s">
        <v>847</v>
      </c>
      <c r="B693" s="38" t="n">
        <v>44</v>
      </c>
      <c r="C693" s="38" t="s">
        <v>171</v>
      </c>
      <c r="D693" s="38" t="s">
        <v>868</v>
      </c>
      <c r="E693" s="38" t="str">
        <f aca="false">B693&amp;"|"&amp;C693</f>
        <v>44|U</v>
      </c>
      <c r="F693" s="45" t="n">
        <f aca="false">INDEX('Emission Stepwise'!$H$2:$H$289,MATCH(E693,'Emission Stepwise'!$C$2:$C$289,0))</f>
        <v>0.118226600985222</v>
      </c>
      <c r="G693" s="45" t="n">
        <f aca="false">INDEX(Background!$C$4:$C$7,MATCH(C693,Background!$A$4:$A$7,0))</f>
        <v>0.212884169069555</v>
      </c>
      <c r="H693" s="49" t="n">
        <f aca="false">LN(F693/G693)</f>
        <v>-0.588145080319186</v>
      </c>
    </row>
    <row r="694" customFormat="false" ht="15" hidden="false" customHeight="true" outlineLevel="0" collapsed="false">
      <c r="A694" s="38" t="s">
        <v>847</v>
      </c>
      <c r="B694" s="38" t="n">
        <v>45</v>
      </c>
      <c r="C694" s="38" t="s">
        <v>169</v>
      </c>
      <c r="D694" s="38" t="s">
        <v>869</v>
      </c>
      <c r="E694" s="38" t="str">
        <f aca="false">B694&amp;"|"&amp;C694</f>
        <v>45|G</v>
      </c>
      <c r="F694" s="45" t="n">
        <f aca="false">INDEX('Emission Stepwise'!$H$2:$H$289,MATCH(E694,'Emission Stepwise'!$C$2:$C$289,0))</f>
        <v>0.746268656716418</v>
      </c>
      <c r="G694" s="45" t="n">
        <f aca="false">INDEX(Background!$C$4:$C$7,MATCH(C694,Background!$A$4:$A$7,0))</f>
        <v>0.325128349391659</v>
      </c>
      <c r="H694" s="49" t="n">
        <f aca="false">LN(F694/G694)</f>
        <v>0.830865639445329</v>
      </c>
    </row>
    <row r="695" customFormat="false" ht="15" hidden="false" customHeight="true" outlineLevel="0" collapsed="false">
      <c r="A695" s="38" t="s">
        <v>847</v>
      </c>
      <c r="B695" s="38" t="n">
        <v>46</v>
      </c>
      <c r="C695" s="38" t="s">
        <v>170</v>
      </c>
      <c r="D695" s="38" t="s">
        <v>869</v>
      </c>
      <c r="E695" s="38" t="str">
        <f aca="false">B695&amp;"|"&amp;C695</f>
        <v>46|C</v>
      </c>
      <c r="F695" s="45" t="n">
        <f aca="false">INDEX('Emission Stepwise'!$H$2:$H$289,MATCH(E695,'Emission Stepwise'!$C$2:$C$289,0))</f>
        <v>0.0290697674418605</v>
      </c>
      <c r="G695" s="45" t="n">
        <f aca="false">INDEX(Background!$C$4:$C$7,MATCH(C695,Background!$A$4:$A$7,0))</f>
        <v>0.276812715380828</v>
      </c>
      <c r="H695" s="49" t="n">
        <f aca="false">LN(F695/G695)</f>
        <v>-2.25364244515512</v>
      </c>
    </row>
    <row r="696" customFormat="false" ht="15" hidden="false" customHeight="true" outlineLevel="0" collapsed="false">
      <c r="A696" s="38" t="s">
        <v>847</v>
      </c>
      <c r="B696" s="38" t="n">
        <v>47</v>
      </c>
      <c r="C696" s="38" t="s">
        <v>172</v>
      </c>
      <c r="D696" s="38" t="s">
        <v>869</v>
      </c>
      <c r="E696" s="38" t="str">
        <f aca="false">B696&amp;"|"&amp;C696</f>
        <v>47|A</v>
      </c>
      <c r="F696" s="45" t="n">
        <f aca="false">INDEX('Emission Stepwise'!$H$2:$H$289,MATCH(E696,'Emission Stepwise'!$C$2:$C$289,0))</f>
        <v>0.133004926108374</v>
      </c>
      <c r="G696" s="45" t="n">
        <f aca="false">INDEX(Background!$C$4:$C$7,MATCH(C696,Background!$A$4:$A$7,0))</f>
        <v>0.185174766157958</v>
      </c>
      <c r="H696" s="49" t="n">
        <f aca="false">LN(F696/G696)</f>
        <v>-0.330913895137393</v>
      </c>
    </row>
    <row r="697" customFormat="false" ht="15" hidden="false" customHeight="true" outlineLevel="0" collapsed="false">
      <c r="A697" s="38" t="s">
        <v>847</v>
      </c>
      <c r="B697" s="38" t="n">
        <v>48</v>
      </c>
      <c r="C697" s="38" t="s">
        <v>171</v>
      </c>
      <c r="D697" s="38" t="s">
        <v>869</v>
      </c>
      <c r="E697" s="38" t="str">
        <f aca="false">B697&amp;"|"&amp;C697</f>
        <v>48|U</v>
      </c>
      <c r="F697" s="45" t="n">
        <f aca="false">INDEX('Emission Stepwise'!$H$2:$H$289,MATCH(E697,'Emission Stepwise'!$C$2:$C$289,0))</f>
        <v>0.147783251231527</v>
      </c>
      <c r="G697" s="45" t="n">
        <f aca="false">INDEX(Background!$C$4:$C$7,MATCH(C697,Background!$A$4:$A$7,0))</f>
        <v>0.212884169069555</v>
      </c>
      <c r="H697" s="49" t="n">
        <f aca="false">LN(F697/G697)</f>
        <v>-0.365001529004976</v>
      </c>
    </row>
    <row r="698" customFormat="false" ht="15" hidden="false" customHeight="true" outlineLevel="0" collapsed="false">
      <c r="A698" s="38" t="s">
        <v>847</v>
      </c>
      <c r="B698" s="38" t="n">
        <v>49</v>
      </c>
      <c r="C698" s="38" t="s">
        <v>169</v>
      </c>
      <c r="D698" s="38" t="s">
        <v>870</v>
      </c>
      <c r="E698" s="38" t="str">
        <f aca="false">B698&amp;"|"&amp;C698</f>
        <v>49|G</v>
      </c>
      <c r="F698" s="45" t="n">
        <f aca="false">INDEX('Emission Stepwise'!$H$2:$H$289,MATCH(E698,'Emission Stepwise'!$C$2:$C$289,0))</f>
        <v>0.497536945812808</v>
      </c>
      <c r="G698" s="45" t="n">
        <f aca="false">INDEX(Background!$C$4:$C$7,MATCH(C698,Background!$A$4:$A$7,0))</f>
        <v>0.325128349391659</v>
      </c>
      <c r="H698" s="49" t="n">
        <f aca="false">LN(F698/G698)</f>
        <v>0.425449791207621</v>
      </c>
    </row>
    <row r="699" customFormat="false" ht="15" hidden="false" customHeight="true" outlineLevel="0" collapsed="false">
      <c r="A699" s="38" t="s">
        <v>847</v>
      </c>
      <c r="B699" s="38" t="n">
        <v>50</v>
      </c>
      <c r="C699" s="38" t="s">
        <v>172</v>
      </c>
      <c r="D699" s="38" t="s">
        <v>870</v>
      </c>
      <c r="E699" s="38" t="str">
        <f aca="false">B699&amp;"|"&amp;C699</f>
        <v>50|A</v>
      </c>
      <c r="F699" s="45" t="n">
        <f aca="false">INDEX('Emission Stepwise'!$H$2:$H$289,MATCH(E699,'Emission Stepwise'!$C$2:$C$289,0))</f>
        <v>0.118226600985222</v>
      </c>
      <c r="G699" s="45" t="n">
        <f aca="false">INDEX(Background!$C$4:$C$7,MATCH(C699,Background!$A$4:$A$7,0))</f>
        <v>0.185174766157958</v>
      </c>
      <c r="H699" s="49" t="n">
        <f aca="false">LN(F699/G699)</f>
        <v>-0.448696930793777</v>
      </c>
    </row>
    <row r="700" customFormat="false" ht="15" hidden="false" customHeight="true" outlineLevel="0" collapsed="false">
      <c r="A700" s="38" t="s">
        <v>847</v>
      </c>
      <c r="B700" s="38" t="n">
        <v>51</v>
      </c>
      <c r="C700" s="38" t="s">
        <v>170</v>
      </c>
      <c r="D700" s="38" t="s">
        <v>870</v>
      </c>
      <c r="E700" s="38" t="str">
        <f aca="false">B700&amp;"|"&amp;C700</f>
        <v>51|C</v>
      </c>
      <c r="F700" s="45" t="n">
        <f aca="false">INDEX('Emission Stepwise'!$H$2:$H$289,MATCH(E700,'Emission Stepwise'!$C$2:$C$289,0))</f>
        <v>0.207920792079208</v>
      </c>
      <c r="G700" s="45" t="n">
        <f aca="false">INDEX(Background!$C$4:$C$7,MATCH(C700,Background!$A$4:$A$7,0))</f>
        <v>0.276812715380828</v>
      </c>
      <c r="H700" s="49" t="n">
        <f aca="false">LN(F700/G700)</f>
        <v>-0.286183959893606</v>
      </c>
    </row>
    <row r="701" customFormat="false" ht="15" hidden="false" customHeight="true" outlineLevel="0" collapsed="false">
      <c r="A701" s="38" t="s">
        <v>847</v>
      </c>
      <c r="B701" s="38" t="n">
        <v>52</v>
      </c>
      <c r="C701" s="38" t="s">
        <v>169</v>
      </c>
      <c r="D701" s="38" t="s">
        <v>870</v>
      </c>
      <c r="E701" s="38" t="str">
        <f aca="false">B701&amp;"|"&amp;C701</f>
        <v>52|G</v>
      </c>
      <c r="F701" s="45" t="n">
        <f aca="false">INDEX('Emission Stepwise'!$H$2:$H$289,MATCH(E701,'Emission Stepwise'!$C$2:$C$289,0))</f>
        <v>0.827586206896552</v>
      </c>
      <c r="G701" s="45" t="n">
        <f aca="false">INDEX(Background!$C$4:$C$7,MATCH(C701,Background!$A$4:$A$7,0))</f>
        <v>0.325128349391659</v>
      </c>
      <c r="H701" s="49" t="n">
        <f aca="false">LN(F701/G701)</f>
        <v>0.934293253769621</v>
      </c>
    </row>
    <row r="702" customFormat="false" ht="15" hidden="false" customHeight="true" outlineLevel="0" collapsed="false">
      <c r="A702" s="38" t="s">
        <v>847</v>
      </c>
      <c r="B702" s="38" t="n">
        <v>53</v>
      </c>
      <c r="C702" s="38" t="s">
        <v>169</v>
      </c>
      <c r="D702" s="38" t="s">
        <v>870</v>
      </c>
      <c r="E702" s="38" t="str">
        <f aca="false">B702&amp;"|"&amp;C702</f>
        <v>53|G</v>
      </c>
      <c r="F702" s="45" t="n">
        <f aca="false">INDEX('Emission Stepwise'!$H$2:$H$289,MATCH(E702,'Emission Stepwise'!$C$2:$C$289,0))</f>
        <v>0.96551724137931</v>
      </c>
      <c r="G702" s="45" t="n">
        <f aca="false">INDEX(Background!$C$4:$C$7,MATCH(C702,Background!$A$4:$A$7,0))</f>
        <v>0.325128349391659</v>
      </c>
      <c r="H702" s="49" t="n">
        <f aca="false">LN(F702/G702)</f>
        <v>1.08844393359688</v>
      </c>
    </row>
    <row r="703" customFormat="false" ht="15" hidden="false" customHeight="true" outlineLevel="0" collapsed="false">
      <c r="A703" s="38" t="s">
        <v>847</v>
      </c>
      <c r="B703" s="38" t="n">
        <v>54</v>
      </c>
      <c r="C703" s="38" t="s">
        <v>171</v>
      </c>
      <c r="D703" s="38" t="s">
        <v>870</v>
      </c>
      <c r="E703" s="38" t="str">
        <f aca="false">B703&amp;"|"&amp;C703</f>
        <v>54|U</v>
      </c>
      <c r="F703" s="45" t="n">
        <f aca="false">INDEX('Emission Stepwise'!$H$2:$H$289,MATCH(E703,'Emission Stepwise'!$C$2:$C$289,0))</f>
        <v>0.975369458128079</v>
      </c>
      <c r="G703" s="45" t="n">
        <f aca="false">INDEX(Background!$C$4:$C$7,MATCH(C703,Background!$A$4:$A$7,0))</f>
        <v>0.212884169069555</v>
      </c>
      <c r="H703" s="49" t="n">
        <f aca="false">LN(F703/G703)</f>
        <v>1.5220681200274</v>
      </c>
    </row>
    <row r="704" customFormat="false" ht="15" hidden="false" customHeight="true" outlineLevel="0" collapsed="false">
      <c r="A704" s="38" t="s">
        <v>847</v>
      </c>
      <c r="B704" s="38" t="n">
        <v>55</v>
      </c>
      <c r="C704" s="38" t="s">
        <v>170</v>
      </c>
      <c r="D704" s="38" t="s">
        <v>870</v>
      </c>
      <c r="E704" s="38" t="str">
        <f aca="false">B704&amp;"|"&amp;C704</f>
        <v>55|C</v>
      </c>
      <c r="F704" s="45" t="n">
        <f aca="false">INDEX('Emission Stepwise'!$H$2:$H$289,MATCH(E704,'Emission Stepwise'!$C$2:$C$289,0))</f>
        <v>0.00985221674876847</v>
      </c>
      <c r="G704" s="45" t="n">
        <f aca="false">INDEX(Background!$C$4:$C$7,MATCH(C704,Background!$A$4:$A$7,0))</f>
        <v>0.276812715380828</v>
      </c>
      <c r="H704" s="49" t="n">
        <f aca="false">LN(F704/G704)</f>
        <v>-3.33564467925761</v>
      </c>
    </row>
    <row r="705" customFormat="false" ht="15" hidden="false" customHeight="true" outlineLevel="0" collapsed="false">
      <c r="A705" s="38" t="s">
        <v>847</v>
      </c>
      <c r="B705" s="38" t="n">
        <v>56</v>
      </c>
      <c r="C705" s="38" t="s">
        <v>170</v>
      </c>
      <c r="D705" s="38" t="s">
        <v>870</v>
      </c>
      <c r="E705" s="38" t="str">
        <f aca="false">B705&amp;"|"&amp;C705</f>
        <v>56|C</v>
      </c>
      <c r="F705" s="45" t="n">
        <f aca="false">INDEX('Emission Stepwise'!$H$2:$H$289,MATCH(E705,'Emission Stepwise'!$C$2:$C$289,0))</f>
        <v>0.96551724137931</v>
      </c>
      <c r="G705" s="45" t="n">
        <f aca="false">INDEX(Background!$C$4:$C$7,MATCH(C705,Background!$A$4:$A$7,0))</f>
        <v>0.276812715380828</v>
      </c>
      <c r="H705" s="49" t="n">
        <f aca="false">LN(F705/G705)</f>
        <v>1.24932279941296</v>
      </c>
    </row>
    <row r="706" customFormat="false" ht="15" hidden="false" customHeight="true" outlineLevel="0" collapsed="false">
      <c r="A706" s="38" t="s">
        <v>847</v>
      </c>
      <c r="B706" s="38" t="n">
        <v>57</v>
      </c>
      <c r="C706" s="38" t="s">
        <v>171</v>
      </c>
      <c r="D706" s="38" t="s">
        <v>870</v>
      </c>
      <c r="E706" s="38" t="str">
        <f aca="false">B706&amp;"|"&amp;C706</f>
        <v>57|U</v>
      </c>
      <c r="F706" s="45" t="n">
        <f aca="false">INDEX('Emission Stepwise'!$H$2:$H$289,MATCH(E706,'Emission Stepwise'!$C$2:$C$289,0))</f>
        <v>0.0099009900990099</v>
      </c>
      <c r="G706" s="45" t="n">
        <f aca="false">INDEX(Background!$C$4:$C$7,MATCH(C706,Background!$A$4:$A$7,0))</f>
        <v>0.212884169069555</v>
      </c>
      <c r="H706" s="49" t="n">
        <f aca="false">LN(F706/G706)</f>
        <v>-3.0681134484666</v>
      </c>
    </row>
    <row r="707" customFormat="false" ht="15" hidden="false" customHeight="true" outlineLevel="0" collapsed="false">
      <c r="A707" s="38" t="s">
        <v>847</v>
      </c>
      <c r="B707" s="38" t="n">
        <v>58</v>
      </c>
      <c r="C707" s="38" t="s">
        <v>172</v>
      </c>
      <c r="D707" s="38" t="s">
        <v>870</v>
      </c>
      <c r="E707" s="38" t="str">
        <f aca="false">B707&amp;"|"&amp;C707</f>
        <v>58|A</v>
      </c>
      <c r="F707" s="45" t="n">
        <f aca="false">INDEX('Emission Stepwise'!$H$2:$H$289,MATCH(E707,'Emission Stepwise'!$C$2:$C$289,0))</f>
        <v>0.975369458128079</v>
      </c>
      <c r="G707" s="45" t="n">
        <f aca="false">INDEX(Background!$C$4:$C$7,MATCH(C707,Background!$A$4:$A$7,0))</f>
        <v>0.185174766157958</v>
      </c>
      <c r="H707" s="49" t="n">
        <f aca="false">LN(F707/G707)</f>
        <v>1.66151626955281</v>
      </c>
    </row>
    <row r="708" customFormat="false" ht="15" hidden="false" customHeight="true" outlineLevel="0" collapsed="false">
      <c r="A708" s="38" t="s">
        <v>847</v>
      </c>
      <c r="B708" s="38" t="n">
        <v>59</v>
      </c>
      <c r="C708" s="38" t="s">
        <v>171</v>
      </c>
      <c r="D708" s="38" t="s">
        <v>870</v>
      </c>
      <c r="E708" s="38" t="str">
        <f aca="false">B708&amp;"|"&amp;C708</f>
        <v>59|U</v>
      </c>
      <c r="F708" s="45" t="n">
        <f aca="false">INDEX('Emission Stepwise'!$H$2:$H$289,MATCH(E708,'Emission Stepwise'!$C$2:$C$289,0))</f>
        <v>0.251231527093596</v>
      </c>
      <c r="G708" s="45" t="n">
        <f aca="false">INDEX(Background!$C$4:$C$7,MATCH(C708,Background!$A$4:$A$7,0))</f>
        <v>0.212884169069555</v>
      </c>
      <c r="H708" s="49" t="n">
        <f aca="false">LN(F708/G708)</f>
        <v>0.165626722057194</v>
      </c>
    </row>
    <row r="709" customFormat="false" ht="15" hidden="false" customHeight="true" outlineLevel="0" collapsed="false">
      <c r="A709" s="38" t="s">
        <v>847</v>
      </c>
      <c r="B709" s="38" t="n">
        <v>60</v>
      </c>
      <c r="C709" s="38" t="s">
        <v>169</v>
      </c>
      <c r="D709" s="38" t="s">
        <v>870</v>
      </c>
      <c r="E709" s="38" t="str">
        <f aca="false">B709&amp;"|"&amp;C709</f>
        <v>60|G</v>
      </c>
      <c r="F709" s="45" t="n">
        <f aca="false">INDEX('Emission Stepwise'!$H$2:$H$289,MATCH(E709,'Emission Stepwise'!$C$2:$C$289,0))</f>
        <v>0.0147783251231527</v>
      </c>
      <c r="G709" s="45" t="n">
        <f aca="false">INDEX(Background!$C$4:$C$7,MATCH(C709,Background!$A$4:$A$7,0))</f>
        <v>0.325128349391659</v>
      </c>
      <c r="H709" s="49" t="n">
        <f aca="false">LN(F709/G709)</f>
        <v>-3.09105843696553</v>
      </c>
    </row>
    <row r="710" customFormat="false" ht="15" hidden="false" customHeight="true" outlineLevel="0" collapsed="false">
      <c r="A710" s="38" t="s">
        <v>847</v>
      </c>
      <c r="B710" s="38" t="n">
        <v>61</v>
      </c>
      <c r="C710" s="38" t="s">
        <v>170</v>
      </c>
      <c r="D710" s="38" t="s">
        <v>870</v>
      </c>
      <c r="E710" s="38" t="str">
        <f aca="false">B710&amp;"|"&amp;C710</f>
        <v>61|C</v>
      </c>
      <c r="F710" s="45" t="n">
        <f aca="false">INDEX('Emission Stepwise'!$H$2:$H$289,MATCH(E710,'Emission Stepwise'!$C$2:$C$289,0))</f>
        <v>0.975369458128079</v>
      </c>
      <c r="G710" s="45" t="n">
        <f aca="false">INDEX(Background!$C$4:$C$7,MATCH(C710,Background!$A$4:$A$7,0))</f>
        <v>0.276812715380828</v>
      </c>
      <c r="H710" s="49" t="n">
        <f aca="false">LN(F710/G710)</f>
        <v>1.25947517087698</v>
      </c>
    </row>
    <row r="711" customFormat="false" ht="15" hidden="false" customHeight="true" outlineLevel="0" collapsed="false">
      <c r="A711" s="38" t="s">
        <v>847</v>
      </c>
      <c r="B711" s="38" t="n">
        <v>62</v>
      </c>
      <c r="C711" s="38" t="s">
        <v>172</v>
      </c>
      <c r="D711" s="38" t="s">
        <v>870</v>
      </c>
      <c r="E711" s="38" t="str">
        <f aca="false">B711&amp;"|"&amp;C711</f>
        <v>62|A</v>
      </c>
      <c r="F711" s="45" t="n">
        <f aca="false">INDEX('Emission Stepwise'!$H$2:$H$289,MATCH(E711,'Emission Stepwise'!$C$2:$C$289,0))</f>
        <v>0.0197044334975369</v>
      </c>
      <c r="G711" s="45" t="n">
        <f aca="false">INDEX(Background!$C$4:$C$7,MATCH(C711,Background!$A$4:$A$7,0))</f>
        <v>0.185174766157958</v>
      </c>
      <c r="H711" s="49" t="n">
        <f aca="false">LN(F711/G711)</f>
        <v>-2.24045640002183</v>
      </c>
    </row>
    <row r="712" customFormat="false" ht="15" hidden="false" customHeight="true" outlineLevel="0" collapsed="false">
      <c r="A712" s="38" t="s">
        <v>847</v>
      </c>
      <c r="B712" s="38" t="n">
        <v>63</v>
      </c>
      <c r="C712" s="38" t="s">
        <v>169</v>
      </c>
      <c r="D712" s="38" t="s">
        <v>870</v>
      </c>
      <c r="E712" s="38" t="str">
        <f aca="false">B712&amp;"|"&amp;C712</f>
        <v>63|G</v>
      </c>
      <c r="F712" s="45" t="n">
        <f aca="false">INDEX('Emission Stepwise'!$H$2:$H$289,MATCH(E712,'Emission Stepwise'!$C$2:$C$289,0))</f>
        <v>0.241379310344828</v>
      </c>
      <c r="G712" s="45" t="n">
        <f aca="false">INDEX(Background!$C$4:$C$7,MATCH(C712,Background!$A$4:$A$7,0))</f>
        <v>0.325128349391659</v>
      </c>
      <c r="H712" s="49" t="n">
        <f aca="false">LN(F712/G712)</f>
        <v>-0.297850427523012</v>
      </c>
    </row>
    <row r="713" customFormat="false" ht="15" hidden="false" customHeight="true" outlineLevel="0" collapsed="false">
      <c r="A713" s="38" t="s">
        <v>847</v>
      </c>
      <c r="B713" s="38" t="n">
        <v>64</v>
      </c>
      <c r="C713" s="38" t="s">
        <v>171</v>
      </c>
      <c r="D713" s="38" t="s">
        <v>870</v>
      </c>
      <c r="E713" s="38" t="str">
        <f aca="false">B713&amp;"|"&amp;C713</f>
        <v>64|U</v>
      </c>
      <c r="F713" s="45" t="n">
        <f aca="false">INDEX('Emission Stepwise'!$H$2:$H$289,MATCH(E713,'Emission Stepwise'!$C$2:$C$289,0))</f>
        <v>0.167487684729064</v>
      </c>
      <c r="G713" s="45" t="n">
        <f aca="false">INDEX(Background!$C$4:$C$7,MATCH(C713,Background!$A$4:$A$7,0))</f>
        <v>0.212884169069555</v>
      </c>
      <c r="H713" s="49" t="n">
        <f aca="false">LN(F713/G713)</f>
        <v>-0.23983838605097</v>
      </c>
    </row>
    <row r="714" customFormat="false" ht="15" hidden="false" customHeight="true" outlineLevel="0" collapsed="false">
      <c r="A714" s="38" t="s">
        <v>847</v>
      </c>
      <c r="B714" s="38" t="n">
        <v>65</v>
      </c>
      <c r="C714" s="38" t="s">
        <v>171</v>
      </c>
      <c r="D714" s="38" t="s">
        <v>870</v>
      </c>
      <c r="E714" s="38" t="str">
        <f aca="false">B714&amp;"|"&amp;C714</f>
        <v>65|U</v>
      </c>
      <c r="F714" s="45" t="n">
        <f aca="false">INDEX('Emission Stepwise'!$H$2:$H$289,MATCH(E714,'Emission Stepwise'!$C$2:$C$289,0))</f>
        <v>0.346534653465347</v>
      </c>
      <c r="G714" s="45" t="n">
        <f aca="false">INDEX(Background!$C$4:$C$7,MATCH(C714,Background!$A$4:$A$7,0))</f>
        <v>0.212884169069555</v>
      </c>
      <c r="H714" s="49" t="n">
        <f aca="false">LN(F714/G714)</f>
        <v>0.48723461302281</v>
      </c>
    </row>
    <row r="715" customFormat="false" ht="15" hidden="false" customHeight="true" outlineLevel="0" collapsed="false">
      <c r="A715" s="38" t="s">
        <v>847</v>
      </c>
      <c r="B715" s="38" t="n">
        <v>66</v>
      </c>
      <c r="C715" s="38" t="s">
        <v>172</v>
      </c>
      <c r="D715" s="38" t="s">
        <v>871</v>
      </c>
      <c r="E715" s="38" t="str">
        <f aca="false">B715&amp;"|"&amp;C715</f>
        <v>66|A</v>
      </c>
      <c r="F715" s="45" t="n">
        <f aca="false">INDEX('Emission Stepwise'!$H$2:$H$289,MATCH(E715,'Emission Stepwise'!$C$2:$C$289,0))</f>
        <v>0.216748768472906</v>
      </c>
      <c r="G715" s="45" t="n">
        <f aca="false">INDEX(Background!$C$4:$C$7,MATCH(C715,Background!$A$4:$A$7,0))</f>
        <v>0.185174766157958</v>
      </c>
      <c r="H715" s="49" t="n">
        <f aca="false">LN(F715/G715)</f>
        <v>0.157438872776539</v>
      </c>
    </row>
    <row r="716" customFormat="false" ht="15" hidden="false" customHeight="true" outlineLevel="0" collapsed="false">
      <c r="A716" s="38" t="s">
        <v>847</v>
      </c>
      <c r="B716" s="38" t="n">
        <v>67</v>
      </c>
      <c r="C716" s="38" t="s">
        <v>171</v>
      </c>
      <c r="D716" s="38" t="s">
        <v>871</v>
      </c>
      <c r="E716" s="38" t="str">
        <f aca="false">B716&amp;"|"&amp;C716</f>
        <v>67|U</v>
      </c>
      <c r="F716" s="45" t="n">
        <f aca="false">INDEX('Emission Stepwise'!$H$2:$H$289,MATCH(E716,'Emission Stepwise'!$C$2:$C$289,0))</f>
        <v>0.192118226600985</v>
      </c>
      <c r="G716" s="45" t="n">
        <f aca="false">INDEX(Background!$C$4:$C$7,MATCH(C716,Background!$A$4:$A$7,0))</f>
        <v>0.212884169069555</v>
      </c>
      <c r="H716" s="49" t="n">
        <f aca="false">LN(F716/G716)</f>
        <v>-0.102637264537485</v>
      </c>
    </row>
    <row r="717" customFormat="false" ht="15" hidden="false" customHeight="true" outlineLevel="0" collapsed="false">
      <c r="A717" s="38" t="s">
        <v>847</v>
      </c>
      <c r="B717" s="38" t="n">
        <v>68</v>
      </c>
      <c r="C717" s="38" t="s">
        <v>171</v>
      </c>
      <c r="D717" s="38" t="s">
        <v>871</v>
      </c>
      <c r="E717" s="38" t="str">
        <f aca="false">B717&amp;"|"&amp;C717</f>
        <v>68|U</v>
      </c>
      <c r="F717" s="45" t="n">
        <f aca="false">INDEX('Emission Stepwise'!$H$2:$H$289,MATCH(E717,'Emission Stepwise'!$C$2:$C$289,0))</f>
        <v>0.177339901477833</v>
      </c>
      <c r="G717" s="45" t="n">
        <f aca="false">INDEX(Background!$C$4:$C$7,MATCH(C717,Background!$A$4:$A$7,0))</f>
        <v>0.212884169069555</v>
      </c>
      <c r="H717" s="49" t="n">
        <f aca="false">LN(F717/G717)</f>
        <v>-0.182679972211022</v>
      </c>
    </row>
    <row r="718" customFormat="false" ht="15" hidden="false" customHeight="true" outlineLevel="0" collapsed="false">
      <c r="A718" s="38" t="s">
        <v>847</v>
      </c>
      <c r="B718" s="38" t="n">
        <v>69</v>
      </c>
      <c r="C718" s="38" t="s">
        <v>172</v>
      </c>
      <c r="D718" s="38" t="s">
        <v>871</v>
      </c>
      <c r="E718" s="38" t="str">
        <f aca="false">B718&amp;"|"&amp;C718</f>
        <v>69|A</v>
      </c>
      <c r="F718" s="45" t="n">
        <f aca="false">INDEX('Emission Stepwise'!$H$2:$H$289,MATCH(E718,'Emission Stepwise'!$C$2:$C$289,0))</f>
        <v>0.12807881773399</v>
      </c>
      <c r="G718" s="45" t="n">
        <f aca="false">INDEX(Background!$C$4:$C$7,MATCH(C718,Background!$A$4:$A$7,0))</f>
        <v>0.185174766157958</v>
      </c>
      <c r="H718" s="49" t="n">
        <f aca="false">LN(F718/G718)</f>
        <v>-0.36865422312024</v>
      </c>
    </row>
    <row r="719" customFormat="false" ht="15" hidden="false" customHeight="true" outlineLevel="0" collapsed="false">
      <c r="A719" s="38" t="s">
        <v>847</v>
      </c>
      <c r="B719" s="38" t="n">
        <v>70</v>
      </c>
      <c r="C719" s="38" t="s">
        <v>171</v>
      </c>
      <c r="D719" s="38" t="s">
        <v>871</v>
      </c>
      <c r="E719" s="38" t="str">
        <f aca="false">B719&amp;"|"&amp;C719</f>
        <v>70|U</v>
      </c>
      <c r="F719" s="45" t="n">
        <f aca="false">INDEX('Emission Stepwise'!$H$2:$H$289,MATCH(E719,'Emission Stepwise'!$C$2:$C$289,0))</f>
        <v>0.152709359605911</v>
      </c>
      <c r="G719" s="45" t="n">
        <f aca="false">INDEX(Background!$C$4:$C$7,MATCH(C719,Background!$A$4:$A$7,0))</f>
        <v>0.212884169069555</v>
      </c>
      <c r="H719" s="49" t="n">
        <f aca="false">LN(F719/G719)</f>
        <v>-0.332211706181985</v>
      </c>
    </row>
    <row r="720" customFormat="false" ht="15" hidden="false" customHeight="true" outlineLevel="0" collapsed="false">
      <c r="A720" s="38" t="s">
        <v>847</v>
      </c>
      <c r="B720" s="38" t="n">
        <v>71</v>
      </c>
      <c r="C720" s="38" t="s">
        <v>171</v>
      </c>
      <c r="D720" s="38" t="s">
        <v>871</v>
      </c>
      <c r="E720" s="38" t="str">
        <f aca="false">B720&amp;"|"&amp;C720</f>
        <v>71|U</v>
      </c>
      <c r="F720" s="45" t="n">
        <f aca="false">INDEX('Emission Stepwise'!$H$2:$H$289,MATCH(E720,'Emission Stepwise'!$C$2:$C$289,0))</f>
        <v>0.0492610837438424</v>
      </c>
      <c r="G720" s="45" t="n">
        <f aca="false">INDEX(Background!$C$4:$C$7,MATCH(C720,Background!$A$4:$A$7,0))</f>
        <v>0.212884169069555</v>
      </c>
      <c r="H720" s="49" t="n">
        <f aca="false">LN(F720/G720)</f>
        <v>-1.46361381767309</v>
      </c>
    </row>
    <row r="721" customFormat="false" ht="15" hidden="false" customHeight="true" outlineLevel="0" collapsed="false">
      <c r="A721" s="38" t="s">
        <v>847</v>
      </c>
      <c r="B721" s="38" t="n">
        <v>72</v>
      </c>
      <c r="C721" s="38" t="s">
        <v>169</v>
      </c>
      <c r="D721" s="38" t="s">
        <v>871</v>
      </c>
      <c r="E721" s="38" t="str">
        <f aca="false">B721&amp;"|"&amp;C721</f>
        <v>72|G</v>
      </c>
      <c r="F721" s="45" t="n">
        <f aca="false">INDEX('Emission Stepwise'!$H$2:$H$289,MATCH(E721,'Emission Stepwise'!$C$2:$C$289,0))</f>
        <v>0.0886699507389163</v>
      </c>
      <c r="G721" s="45" t="n">
        <f aca="false">INDEX(Background!$C$4:$C$7,MATCH(C721,Background!$A$4:$A$7,0))</f>
        <v>0.325128349391659</v>
      </c>
      <c r="H721" s="49" t="n">
        <f aca="false">LN(F721/G721)</f>
        <v>-1.29929896773747</v>
      </c>
    </row>
    <row r="722" customFormat="false" ht="15" hidden="false" customHeight="true" outlineLevel="0" collapsed="false">
      <c r="A722" s="38" t="s">
        <v>849</v>
      </c>
      <c r="B722" s="38" t="n">
        <v>1</v>
      </c>
      <c r="C722" s="38" t="s">
        <v>172</v>
      </c>
      <c r="D722" s="38" t="s">
        <v>865</v>
      </c>
      <c r="E722" s="38" t="str">
        <f aca="false">B722&amp;"|"&amp;C722</f>
        <v>1|A</v>
      </c>
      <c r="F722" s="45" t="n">
        <f aca="false">INDEX('Emission Stepwise'!$H$2:$H$289,MATCH(E722,'Emission Stepwise'!$C$2:$C$289,0))</f>
        <v>0.0689655172413793</v>
      </c>
      <c r="G722" s="45" t="n">
        <f aca="false">INDEX(Background!$C$4:$C$7,MATCH(C722,Background!$A$4:$A$7,0))</f>
        <v>0.185174766157958</v>
      </c>
      <c r="H722" s="49" t="n">
        <f aca="false">LN(F722/G722)</f>
        <v>-0.987693431526464</v>
      </c>
    </row>
    <row r="723" customFormat="false" ht="15" hidden="false" customHeight="true" outlineLevel="0" collapsed="false">
      <c r="A723" s="38" t="s">
        <v>849</v>
      </c>
      <c r="B723" s="38" t="n">
        <v>2</v>
      </c>
      <c r="C723" s="38" t="s">
        <v>171</v>
      </c>
      <c r="D723" s="38" t="s">
        <v>865</v>
      </c>
      <c r="E723" s="38" t="str">
        <f aca="false">B723&amp;"|"&amp;C723</f>
        <v>2|U</v>
      </c>
      <c r="F723" s="45" t="n">
        <f aca="false">INDEX('Emission Stepwise'!$H$2:$H$289,MATCH(E723,'Emission Stepwise'!$C$2:$C$289,0))</f>
        <v>0.0344827586206897</v>
      </c>
      <c r="G723" s="45" t="n">
        <f aca="false">INDEX(Background!$C$4:$C$7,MATCH(C723,Background!$A$4:$A$7,0))</f>
        <v>0.212884169069555</v>
      </c>
      <c r="H723" s="49" t="n">
        <f aca="false">LN(F723/G723)</f>
        <v>-1.82028876161182</v>
      </c>
    </row>
    <row r="724" customFormat="false" ht="15" hidden="false" customHeight="true" outlineLevel="0" collapsed="false">
      <c r="A724" s="38" t="s">
        <v>849</v>
      </c>
      <c r="B724" s="38" t="n">
        <v>3</v>
      </c>
      <c r="C724" s="38" t="s">
        <v>171</v>
      </c>
      <c r="D724" s="38" t="s">
        <v>865</v>
      </c>
      <c r="E724" s="38" t="str">
        <f aca="false">B724&amp;"|"&amp;C724</f>
        <v>3|U</v>
      </c>
      <c r="F724" s="45" t="n">
        <f aca="false">INDEX('Emission Stepwise'!$H$2:$H$289,MATCH(E724,'Emission Stepwise'!$C$2:$C$289,0))</f>
        <v>0.118226600985222</v>
      </c>
      <c r="G724" s="45" t="n">
        <f aca="false">INDEX(Background!$C$4:$C$7,MATCH(C724,Background!$A$4:$A$7,0))</f>
        <v>0.212884169069555</v>
      </c>
      <c r="H724" s="49" t="n">
        <f aca="false">LN(F724/G724)</f>
        <v>-0.588145080319186</v>
      </c>
    </row>
    <row r="725" customFormat="false" ht="15" hidden="false" customHeight="true" outlineLevel="0" collapsed="false">
      <c r="A725" s="38" t="s">
        <v>849</v>
      </c>
      <c r="B725" s="38" t="n">
        <v>4</v>
      </c>
      <c r="C725" s="38" t="s">
        <v>170</v>
      </c>
      <c r="D725" s="38" t="s">
        <v>865</v>
      </c>
      <c r="E725" s="38" t="str">
        <f aca="false">B725&amp;"|"&amp;C725</f>
        <v>4|C</v>
      </c>
      <c r="F725" s="45" t="n">
        <f aca="false">INDEX('Emission Stepwise'!$H$2:$H$289,MATCH(E725,'Emission Stepwise'!$C$2:$C$289,0))</f>
        <v>0.305418719211823</v>
      </c>
      <c r="G725" s="45" t="n">
        <f aca="false">INDEX(Background!$C$4:$C$7,MATCH(C725,Background!$A$4:$A$7,0))</f>
        <v>0.276812715380828</v>
      </c>
      <c r="H725" s="49" t="n">
        <f aca="false">LN(F725/G725)</f>
        <v>0.0983425252275348</v>
      </c>
    </row>
    <row r="726" customFormat="false" ht="15" hidden="false" customHeight="true" outlineLevel="0" collapsed="false">
      <c r="A726" s="38" t="s">
        <v>849</v>
      </c>
      <c r="B726" s="38" t="n">
        <v>5</v>
      </c>
      <c r="C726" s="38" t="s">
        <v>171</v>
      </c>
      <c r="D726" s="38" t="s">
        <v>865</v>
      </c>
      <c r="E726" s="38" t="str">
        <f aca="false">B726&amp;"|"&amp;C726</f>
        <v>5|U</v>
      </c>
      <c r="F726" s="45" t="n">
        <f aca="false">INDEX('Emission Stepwise'!$H$2:$H$289,MATCH(E726,'Emission Stepwise'!$C$2:$C$289,0))</f>
        <v>0.108374384236453</v>
      </c>
      <c r="G726" s="45" t="n">
        <f aca="false">INDEX(Background!$C$4:$C$7,MATCH(C726,Background!$A$4:$A$7,0))</f>
        <v>0.212884169069555</v>
      </c>
      <c r="H726" s="49" t="n">
        <f aca="false">LN(F726/G726)</f>
        <v>-0.675156457308816</v>
      </c>
    </row>
    <row r="727" customFormat="false" ht="15" hidden="false" customHeight="true" outlineLevel="0" collapsed="false">
      <c r="A727" s="38" t="s">
        <v>849</v>
      </c>
      <c r="B727" s="38" t="n">
        <v>6</v>
      </c>
      <c r="C727" s="38" t="s">
        <v>171</v>
      </c>
      <c r="D727" s="38" t="s">
        <v>865</v>
      </c>
      <c r="E727" s="38" t="str">
        <f aca="false">B727&amp;"|"&amp;C727</f>
        <v>6|U</v>
      </c>
      <c r="F727" s="45" t="n">
        <f aca="false">INDEX('Emission Stepwise'!$H$2:$H$289,MATCH(E727,'Emission Stepwise'!$C$2:$C$289,0))</f>
        <v>0.261083743842365</v>
      </c>
      <c r="G727" s="45" t="n">
        <f aca="false">INDEX(Background!$C$4:$C$7,MATCH(C727,Background!$A$4:$A$7,0))</f>
        <v>0.212884169069555</v>
      </c>
      <c r="H727" s="49" t="n">
        <f aca="false">LN(F727/G727)</f>
        <v>0.20409300288499</v>
      </c>
    </row>
    <row r="728" customFormat="false" ht="15" hidden="false" customHeight="true" outlineLevel="0" collapsed="false">
      <c r="A728" s="38" t="s">
        <v>849</v>
      </c>
      <c r="B728" s="38" t="n">
        <v>7</v>
      </c>
      <c r="C728" s="38" t="s">
        <v>172</v>
      </c>
      <c r="D728" s="38" t="s">
        <v>865</v>
      </c>
      <c r="E728" s="38" t="str">
        <f aca="false">B728&amp;"|"&amp;C728</f>
        <v>7|A</v>
      </c>
      <c r="F728" s="45" t="n">
        <f aca="false">INDEX('Emission Stepwise'!$H$2:$H$289,MATCH(E728,'Emission Stepwise'!$C$2:$C$289,0))</f>
        <v>0.236453201970443</v>
      </c>
      <c r="G728" s="45" t="n">
        <f aca="false">INDEX(Background!$C$4:$C$7,MATCH(C728,Background!$A$4:$A$7,0))</f>
        <v>0.185174766157958</v>
      </c>
      <c r="H728" s="49" t="n">
        <f aca="false">LN(F728/G728)</f>
        <v>0.244450249766169</v>
      </c>
    </row>
    <row r="729" customFormat="false" ht="15" hidden="false" customHeight="true" outlineLevel="0" collapsed="false">
      <c r="A729" s="38" t="s">
        <v>849</v>
      </c>
      <c r="B729" s="38" t="n">
        <v>8</v>
      </c>
      <c r="C729" s="38" t="s">
        <v>171</v>
      </c>
      <c r="D729" s="38" t="s">
        <v>866</v>
      </c>
      <c r="E729" s="38" t="str">
        <f aca="false">B729&amp;"|"&amp;C729</f>
        <v>8|U</v>
      </c>
      <c r="F729" s="45" t="n">
        <f aca="false">INDEX('Emission Stepwise'!$H$2:$H$289,MATCH(E729,'Emission Stepwise'!$C$2:$C$289,0))</f>
        <v>0.975369458128079</v>
      </c>
      <c r="G729" s="45" t="n">
        <f aca="false">INDEX(Background!$C$4:$C$7,MATCH(C729,Background!$A$4:$A$7,0))</f>
        <v>0.212884169069555</v>
      </c>
      <c r="H729" s="49" t="n">
        <f aca="false">LN(F729/G729)</f>
        <v>1.5220681200274</v>
      </c>
    </row>
    <row r="730" customFormat="false" ht="15" hidden="false" customHeight="true" outlineLevel="0" collapsed="false">
      <c r="A730" s="38" t="s">
        <v>849</v>
      </c>
      <c r="B730" s="38" t="n">
        <v>9</v>
      </c>
      <c r="C730" s="38" t="s">
        <v>172</v>
      </c>
      <c r="D730" s="38" t="s">
        <v>867</v>
      </c>
      <c r="E730" s="38" t="str">
        <f aca="false">B730&amp;"|"&amp;C730</f>
        <v>9|A</v>
      </c>
      <c r="F730" s="45" t="n">
        <f aca="false">INDEX('Emission Stepwise'!$H$2:$H$289,MATCH(E730,'Emission Stepwise'!$C$2:$C$289,0))</f>
        <v>0.648514851485149</v>
      </c>
      <c r="G730" s="45" t="n">
        <f aca="false">INDEX(Background!$C$4:$C$7,MATCH(C730,Background!$A$4:$A$7,0))</f>
        <v>0.185174766157958</v>
      </c>
      <c r="H730" s="49" t="n">
        <f aca="false">LN(F730/G730)</f>
        <v>1.25338484370001</v>
      </c>
    </row>
    <row r="731" customFormat="false" ht="15" hidden="false" customHeight="true" outlineLevel="0" collapsed="false">
      <c r="A731" s="38" t="s">
        <v>849</v>
      </c>
      <c r="B731" s="38" t="n">
        <v>10</v>
      </c>
      <c r="C731" s="38" t="s">
        <v>171</v>
      </c>
      <c r="D731" s="38" t="s">
        <v>867</v>
      </c>
      <c r="E731" s="38" t="str">
        <f aca="false">B731&amp;"|"&amp;C731</f>
        <v>10|U</v>
      </c>
      <c r="F731" s="45" t="n">
        <f aca="false">INDEX('Emission Stepwise'!$H$2:$H$289,MATCH(E731,'Emission Stepwise'!$C$2:$C$289,0))</f>
        <v>0.00492610837438424</v>
      </c>
      <c r="G731" s="45" t="n">
        <f aca="false">INDEX(Background!$C$4:$C$7,MATCH(C731,Background!$A$4:$A$7,0))</f>
        <v>0.212884169069555</v>
      </c>
      <c r="H731" s="49" t="n">
        <f aca="false">LN(F731/G731)</f>
        <v>-3.76619891066713</v>
      </c>
    </row>
    <row r="732" customFormat="false" ht="15" hidden="false" customHeight="true" outlineLevel="0" collapsed="false">
      <c r="A732" s="38" t="s">
        <v>849</v>
      </c>
      <c r="B732" s="38" t="n">
        <v>11</v>
      </c>
      <c r="C732" s="38" t="s">
        <v>172</v>
      </c>
      <c r="D732" s="38" t="s">
        <v>867</v>
      </c>
      <c r="E732" s="38" t="str">
        <f aca="false">B732&amp;"|"&amp;C732</f>
        <v>11|A</v>
      </c>
      <c r="F732" s="45" t="n">
        <f aca="false">INDEX('Emission Stepwise'!$H$2:$H$289,MATCH(E732,'Emission Stepwise'!$C$2:$C$289,0))</f>
        <v>0.0394088669950739</v>
      </c>
      <c r="G732" s="45" t="n">
        <f aca="false">INDEX(Background!$C$4:$C$7,MATCH(C732,Background!$A$4:$A$7,0))</f>
        <v>0.185174766157958</v>
      </c>
      <c r="H732" s="49" t="n">
        <f aca="false">LN(F732/G732)</f>
        <v>-1.54730921946189</v>
      </c>
    </row>
    <row r="733" customFormat="false" ht="15" hidden="false" customHeight="true" outlineLevel="0" collapsed="false">
      <c r="A733" s="38" t="s">
        <v>849</v>
      </c>
      <c r="B733" s="38" t="n">
        <v>12</v>
      </c>
      <c r="C733" s="38" t="s">
        <v>169</v>
      </c>
      <c r="D733" s="38" t="s">
        <v>867</v>
      </c>
      <c r="E733" s="38" t="str">
        <f aca="false">B733&amp;"|"&amp;C733</f>
        <v>12|G</v>
      </c>
      <c r="F733" s="45" t="n">
        <f aca="false">INDEX('Emission Stepwise'!$H$2:$H$289,MATCH(E733,'Emission Stepwise'!$C$2:$C$289,0))</f>
        <v>0.192118226600985</v>
      </c>
      <c r="G733" s="45" t="n">
        <f aca="false">INDEX(Background!$C$4:$C$7,MATCH(C733,Background!$A$4:$A$7,0))</f>
        <v>0.325128349391659</v>
      </c>
      <c r="H733" s="49" t="n">
        <f aca="false">LN(F733/G733)</f>
        <v>-0.526109079503992</v>
      </c>
    </row>
    <row r="734" customFormat="false" ht="15" hidden="false" customHeight="true" outlineLevel="0" collapsed="false">
      <c r="A734" s="38" t="s">
        <v>849</v>
      </c>
      <c r="B734" s="38" t="n">
        <v>13</v>
      </c>
      <c r="C734" s="38" t="s">
        <v>171</v>
      </c>
      <c r="D734" s="38" t="s">
        <v>867</v>
      </c>
      <c r="E734" s="38" t="str">
        <f aca="false">B734&amp;"|"&amp;C734</f>
        <v>13|U</v>
      </c>
      <c r="F734" s="45" t="n">
        <f aca="false">INDEX('Emission Stepwise'!$H$2:$H$289,MATCH(E734,'Emission Stepwise'!$C$2:$C$289,0))</f>
        <v>0.192118226600985</v>
      </c>
      <c r="G734" s="45" t="n">
        <f aca="false">INDEX(Background!$C$4:$C$7,MATCH(C734,Background!$A$4:$A$7,0))</f>
        <v>0.212884169069555</v>
      </c>
      <c r="H734" s="49" t="n">
        <f aca="false">LN(F734/G734)</f>
        <v>-0.102637264537485</v>
      </c>
    </row>
    <row r="735" customFormat="false" ht="15" hidden="false" customHeight="true" outlineLevel="0" collapsed="false">
      <c r="A735" s="38" t="s">
        <v>849</v>
      </c>
      <c r="B735" s="38" t="n">
        <v>14</v>
      </c>
      <c r="C735" s="38" t="s">
        <v>171</v>
      </c>
      <c r="D735" s="38" t="s">
        <v>867</v>
      </c>
      <c r="E735" s="38" t="str">
        <f aca="false">B735&amp;"|"&amp;C735</f>
        <v>14|U</v>
      </c>
      <c r="F735" s="45" t="n">
        <f aca="false">INDEX('Emission Stepwise'!$H$2:$H$289,MATCH(E735,'Emission Stepwise'!$C$2:$C$289,0))</f>
        <v>0.00492610837438424</v>
      </c>
      <c r="G735" s="45" t="n">
        <f aca="false">INDEX(Background!$C$4:$C$7,MATCH(C735,Background!$A$4:$A$7,0))</f>
        <v>0.212884169069555</v>
      </c>
      <c r="H735" s="49" t="n">
        <f aca="false">LN(F735/G735)</f>
        <v>-3.76619891066713</v>
      </c>
    </row>
    <row r="736" customFormat="false" ht="15" hidden="false" customHeight="true" outlineLevel="0" collapsed="false">
      <c r="A736" s="38" t="s">
        <v>849</v>
      </c>
      <c r="B736" s="38" t="n">
        <v>15</v>
      </c>
      <c r="C736" s="38" t="s">
        <v>169</v>
      </c>
      <c r="D736" s="38" t="s">
        <v>867</v>
      </c>
      <c r="E736" s="38" t="str">
        <f aca="false">B736&amp;"|"&amp;C736</f>
        <v>15|G</v>
      </c>
      <c r="F736" s="45" t="n">
        <f aca="false">INDEX('Emission Stepwise'!$H$2:$H$289,MATCH(E736,'Emission Stepwise'!$C$2:$C$289,0))</f>
        <v>0.801980198019802</v>
      </c>
      <c r="G736" s="45" t="n">
        <f aca="false">INDEX(Background!$C$4:$C$7,MATCH(C736,Background!$A$4:$A$7,0))</f>
        <v>0.325128349391659</v>
      </c>
      <c r="H736" s="49" t="n">
        <f aca="false">LN(F736/G736)</f>
        <v>0.902863891239328</v>
      </c>
    </row>
    <row r="737" customFormat="false" ht="15" hidden="false" customHeight="true" outlineLevel="0" collapsed="false">
      <c r="A737" s="38" t="s">
        <v>849</v>
      </c>
      <c r="B737" s="38" t="n">
        <v>16</v>
      </c>
      <c r="C737" s="38" t="s">
        <v>171</v>
      </c>
      <c r="D737" s="38" t="s">
        <v>867</v>
      </c>
      <c r="E737" s="38" t="str">
        <f aca="false">B737&amp;"|"&amp;C737</f>
        <v>16|U</v>
      </c>
      <c r="F737" s="45" t="n">
        <f aca="false">INDEX('Emission Stepwise'!$H$2:$H$289,MATCH(E737,'Emission Stepwise'!$C$2:$C$289,0))</f>
        <v>0.588235294117647</v>
      </c>
      <c r="G737" s="45" t="n">
        <f aca="false">INDEX(Background!$C$4:$C$7,MATCH(C737,Background!$A$4:$A$7,0))</f>
        <v>0.212884169069555</v>
      </c>
      <c r="H737" s="49" t="n">
        <f aca="false">LN(F737/G737)</f>
        <v>1.01637881731249</v>
      </c>
    </row>
    <row r="738" customFormat="false" ht="15" hidden="false" customHeight="true" outlineLevel="0" collapsed="false">
      <c r="A738" s="38" t="s">
        <v>849</v>
      </c>
      <c r="B738" s="38" t="n">
        <v>17</v>
      </c>
      <c r="C738" s="38" t="s">
        <v>172</v>
      </c>
      <c r="D738" s="38" t="s">
        <v>867</v>
      </c>
      <c r="E738" s="38" t="str">
        <f aca="false">B738&amp;"|"&amp;C738</f>
        <v>17|A</v>
      </c>
      <c r="F738" s="45" t="n">
        <f aca="false">INDEX('Emission Stepwise'!$H$2:$H$289,MATCH(E738,'Emission Stepwise'!$C$2:$C$289,0))</f>
        <v>0.065</v>
      </c>
      <c r="G738" s="45" t="n">
        <f aca="false">INDEX(Background!$C$4:$C$7,MATCH(C738,Background!$A$4:$A$7,0))</f>
        <v>0.185174766157958</v>
      </c>
      <c r="H738" s="49" t="n">
        <f aca="false">LN(F738/G738)</f>
        <v>-1.04691279118643</v>
      </c>
    </row>
    <row r="739" customFormat="false" ht="15" hidden="false" customHeight="true" outlineLevel="0" collapsed="false">
      <c r="A739" s="38" t="s">
        <v>849</v>
      </c>
      <c r="B739" s="38" t="n">
        <v>18</v>
      </c>
      <c r="C739" s="38" t="s">
        <v>169</v>
      </c>
      <c r="D739" s="38" t="s">
        <v>867</v>
      </c>
      <c r="E739" s="38" t="str">
        <f aca="false">B739&amp;"|"&amp;C739</f>
        <v>18|G</v>
      </c>
      <c r="F739" s="45" t="n">
        <f aca="false">INDEX('Emission Stepwise'!$H$2:$H$289,MATCH(E739,'Emission Stepwise'!$C$2:$C$289,0))</f>
        <v>0.980295566502463</v>
      </c>
      <c r="G739" s="45" t="n">
        <f aca="false">INDEX(Background!$C$4:$C$7,MATCH(C739,Background!$A$4:$A$7,0))</f>
        <v>0.325128349391659</v>
      </c>
      <c r="H739" s="49" t="n">
        <f aca="false">LN(F739/G739)</f>
        <v>1.10363409909085</v>
      </c>
    </row>
    <row r="740" customFormat="false" ht="15" hidden="false" customHeight="true" outlineLevel="0" collapsed="false">
      <c r="A740" s="38" t="s">
        <v>849</v>
      </c>
      <c r="B740" s="38" t="n">
        <v>19</v>
      </c>
      <c r="C740" s="38" t="s">
        <v>169</v>
      </c>
      <c r="D740" s="38" t="s">
        <v>867</v>
      </c>
      <c r="E740" s="38" t="str">
        <f aca="false">B740&amp;"|"&amp;C740</f>
        <v>19|G</v>
      </c>
      <c r="F740" s="45" t="n">
        <f aca="false">INDEX('Emission Stepwise'!$H$2:$H$289,MATCH(E740,'Emission Stepwise'!$C$2:$C$289,0))</f>
        <v>0.970443349753695</v>
      </c>
      <c r="G740" s="45" t="n">
        <f aca="false">INDEX(Background!$C$4:$C$7,MATCH(C740,Background!$A$4:$A$7,0))</f>
        <v>0.325128349391659</v>
      </c>
      <c r="H740" s="49" t="n">
        <f aca="false">LN(F740/G740)</f>
        <v>1.09353300310435</v>
      </c>
    </row>
    <row r="741" customFormat="false" ht="15" hidden="false" customHeight="true" outlineLevel="0" collapsed="false">
      <c r="A741" s="38" t="s">
        <v>849</v>
      </c>
      <c r="B741" s="38" t="n">
        <v>20</v>
      </c>
      <c r="C741" s="38" t="s">
        <v>171</v>
      </c>
      <c r="D741" s="38" t="s">
        <v>867</v>
      </c>
      <c r="E741" s="38" t="str">
        <f aca="false">B741&amp;"|"&amp;C741</f>
        <v>20|U</v>
      </c>
      <c r="F741" s="45" t="n">
        <f aca="false">INDEX('Emission Stepwise'!$H$2:$H$289,MATCH(E741,'Emission Stepwise'!$C$2:$C$289,0))</f>
        <v>0.589108910891089</v>
      </c>
      <c r="G741" s="45" t="n">
        <f aca="false">INDEX(Background!$C$4:$C$7,MATCH(C741,Background!$A$4:$A$7,0))</f>
        <v>0.212884169069555</v>
      </c>
      <c r="H741" s="49" t="n">
        <f aca="false">LN(F741/G741)</f>
        <v>1.01786286408498</v>
      </c>
    </row>
    <row r="742" customFormat="false" ht="15" hidden="false" customHeight="true" outlineLevel="0" collapsed="false">
      <c r="A742" s="38" t="s">
        <v>849</v>
      </c>
      <c r="B742" s="38" t="n">
        <v>21</v>
      </c>
      <c r="C742" s="38" t="s">
        <v>172</v>
      </c>
      <c r="D742" s="38" t="s">
        <v>867</v>
      </c>
      <c r="E742" s="38" t="str">
        <f aca="false">B742&amp;"|"&amp;C742</f>
        <v>21|A</v>
      </c>
      <c r="F742" s="45" t="n">
        <f aca="false">INDEX('Emission Stepwise'!$H$2:$H$289,MATCH(E742,'Emission Stepwise'!$C$2:$C$289,0))</f>
        <v>0.881773399014778</v>
      </c>
      <c r="G742" s="45" t="n">
        <f aca="false">INDEX(Background!$C$4:$C$7,MATCH(C742,Background!$A$4:$A$7,0))</f>
        <v>0.185174766157958</v>
      </c>
      <c r="H742" s="49" t="n">
        <f aca="false">LN(F742/G742)</f>
        <v>1.56063504469903</v>
      </c>
    </row>
    <row r="743" customFormat="false" ht="15" hidden="false" customHeight="true" outlineLevel="0" collapsed="false">
      <c r="A743" s="38" t="s">
        <v>849</v>
      </c>
      <c r="B743" s="38" t="n">
        <v>22</v>
      </c>
      <c r="C743" s="38" t="s">
        <v>172</v>
      </c>
      <c r="D743" s="38" t="s">
        <v>867</v>
      </c>
      <c r="E743" s="38" t="str">
        <f aca="false">B743&amp;"|"&amp;C743</f>
        <v>22|A</v>
      </c>
      <c r="F743" s="45" t="n">
        <f aca="false">INDEX('Emission Stepwise'!$H$2:$H$289,MATCH(E743,'Emission Stepwise'!$C$2:$C$289,0))</f>
        <v>0.206896551724138</v>
      </c>
      <c r="G743" s="45" t="n">
        <f aca="false">INDEX(Background!$C$4:$C$7,MATCH(C743,Background!$A$4:$A$7,0))</f>
        <v>0.185174766157958</v>
      </c>
      <c r="H743" s="49" t="n">
        <f aca="false">LN(F743/G743)</f>
        <v>0.110918857141646</v>
      </c>
    </row>
    <row r="744" customFormat="false" ht="15" hidden="false" customHeight="true" outlineLevel="0" collapsed="false">
      <c r="A744" s="38" t="s">
        <v>849</v>
      </c>
      <c r="B744" s="38" t="n">
        <v>23</v>
      </c>
      <c r="C744" s="38" t="s">
        <v>171</v>
      </c>
      <c r="D744" s="38" t="s">
        <v>867</v>
      </c>
      <c r="E744" s="38" t="str">
        <f aca="false">B744&amp;"|"&amp;C744</f>
        <v>23|U</v>
      </c>
      <c r="F744" s="45" t="n">
        <f aca="false">INDEX('Emission Stepwise'!$H$2:$H$289,MATCH(E744,'Emission Stepwise'!$C$2:$C$289,0))</f>
        <v>0.0640394088669951</v>
      </c>
      <c r="G744" s="45" t="n">
        <f aca="false">INDEX(Background!$C$4:$C$7,MATCH(C744,Background!$A$4:$A$7,0))</f>
        <v>0.212884169069555</v>
      </c>
      <c r="H744" s="49" t="n">
        <f aca="false">LN(F744/G744)</f>
        <v>-1.20124955320559</v>
      </c>
    </row>
    <row r="745" customFormat="false" ht="15" hidden="false" customHeight="true" outlineLevel="0" collapsed="false">
      <c r="A745" s="38" t="s">
        <v>849</v>
      </c>
      <c r="B745" s="38" t="n">
        <v>24</v>
      </c>
      <c r="C745" s="38" t="s">
        <v>171</v>
      </c>
      <c r="D745" s="38" t="s">
        <v>867</v>
      </c>
      <c r="E745" s="38" t="str">
        <f aca="false">B745&amp;"|"&amp;C745</f>
        <v>24|U</v>
      </c>
      <c r="F745" s="45" t="n">
        <f aca="false">INDEX('Emission Stepwise'!$H$2:$H$289,MATCH(E745,'Emission Stepwise'!$C$2:$C$289,0))</f>
        <v>0.0394088669950739</v>
      </c>
      <c r="G745" s="45" t="n">
        <f aca="false">INDEX(Background!$C$4:$C$7,MATCH(C745,Background!$A$4:$A$7,0))</f>
        <v>0.212884169069555</v>
      </c>
      <c r="H745" s="49" t="n">
        <f aca="false">LN(F745/G745)</f>
        <v>-1.6867573689873</v>
      </c>
    </row>
    <row r="746" customFormat="false" ht="15" hidden="false" customHeight="true" outlineLevel="0" collapsed="false">
      <c r="A746" s="38" t="s">
        <v>849</v>
      </c>
      <c r="B746" s="38" t="n">
        <v>25</v>
      </c>
      <c r="C746" s="38" t="s">
        <v>172</v>
      </c>
      <c r="D746" s="38" t="s">
        <v>867</v>
      </c>
      <c r="E746" s="38" t="str">
        <f aca="false">B746&amp;"|"&amp;C746</f>
        <v>25|A</v>
      </c>
      <c r="F746" s="45" t="n">
        <f aca="false">INDEX('Emission Stepwise'!$H$2:$H$289,MATCH(E746,'Emission Stepwise'!$C$2:$C$289,0))</f>
        <v>0.00985221674876847</v>
      </c>
      <c r="G746" s="45" t="n">
        <f aca="false">INDEX(Background!$C$4:$C$7,MATCH(C746,Background!$A$4:$A$7,0))</f>
        <v>0.185174766157958</v>
      </c>
      <c r="H746" s="49" t="n">
        <f aca="false">LN(F746/G746)</f>
        <v>-2.93360358058178</v>
      </c>
    </row>
    <row r="747" customFormat="false" ht="15" hidden="false" customHeight="true" outlineLevel="0" collapsed="false">
      <c r="A747" s="38" t="s">
        <v>849</v>
      </c>
      <c r="B747" s="38" t="n">
        <v>26</v>
      </c>
      <c r="C747" s="38" t="s">
        <v>171</v>
      </c>
      <c r="D747" s="38" t="s">
        <v>868</v>
      </c>
      <c r="E747" s="38" t="str">
        <f aca="false">B747&amp;"|"&amp;C747</f>
        <v>26|U</v>
      </c>
      <c r="F747" s="45" t="n">
        <f aca="false">INDEX('Emission Stepwise'!$H$2:$H$289,MATCH(E747,'Emission Stepwise'!$C$2:$C$289,0))</f>
        <v>0.0591133004926108</v>
      </c>
      <c r="G747" s="45" t="n">
        <f aca="false">INDEX(Background!$C$4:$C$7,MATCH(C747,Background!$A$4:$A$7,0))</f>
        <v>0.212884169069555</v>
      </c>
      <c r="H747" s="49" t="n">
        <f aca="false">LN(F747/G747)</f>
        <v>-1.28129226087913</v>
      </c>
    </row>
    <row r="748" customFormat="false" ht="15" hidden="false" customHeight="true" outlineLevel="0" collapsed="false">
      <c r="A748" s="38" t="s">
        <v>849</v>
      </c>
      <c r="B748" s="38" t="n">
        <v>27</v>
      </c>
      <c r="C748" s="38" t="s">
        <v>169</v>
      </c>
      <c r="D748" s="38" t="s">
        <v>868</v>
      </c>
      <c r="E748" s="38" t="str">
        <f aca="false">B748&amp;"|"&amp;C748</f>
        <v>27|G</v>
      </c>
      <c r="F748" s="45" t="n">
        <f aca="false">INDEX('Emission Stepwise'!$H$2:$H$289,MATCH(E748,'Emission Stepwise'!$C$2:$C$289,0))</f>
        <v>0.157635467980296</v>
      </c>
      <c r="G748" s="45" t="n">
        <f aca="false">INDEX(Background!$C$4:$C$7,MATCH(C748,Background!$A$4:$A$7,0))</f>
        <v>0.325128349391659</v>
      </c>
      <c r="H748" s="49" t="n">
        <f aca="false">LN(F748/G748)</f>
        <v>-0.723934822833912</v>
      </c>
    </row>
    <row r="749" customFormat="false" ht="15" hidden="false" customHeight="true" outlineLevel="0" collapsed="false">
      <c r="A749" s="38" t="s">
        <v>849</v>
      </c>
      <c r="B749" s="38" t="n">
        <v>28</v>
      </c>
      <c r="C749" s="38" t="s">
        <v>172</v>
      </c>
      <c r="D749" s="38" t="s">
        <v>868</v>
      </c>
      <c r="E749" s="38" t="str">
        <f aca="false">B749&amp;"|"&amp;C749</f>
        <v>28|A</v>
      </c>
      <c r="F749" s="45" t="n">
        <f aca="false">INDEX('Emission Stepwise'!$H$2:$H$289,MATCH(E749,'Emission Stepwise'!$C$2:$C$289,0))</f>
        <v>0.123152709359606</v>
      </c>
      <c r="G749" s="45" t="n">
        <f aca="false">INDEX(Background!$C$4:$C$7,MATCH(C749,Background!$A$4:$A$7,0))</f>
        <v>0.185174766157958</v>
      </c>
      <c r="H749" s="49" t="n">
        <f aca="false">LN(F749/G749)</f>
        <v>-0.407874936273521</v>
      </c>
    </row>
    <row r="750" customFormat="false" ht="15" hidden="false" customHeight="true" outlineLevel="0" collapsed="false">
      <c r="A750" s="38" t="s">
        <v>849</v>
      </c>
      <c r="B750" s="38" t="n">
        <v>29</v>
      </c>
      <c r="C750" s="38" t="s">
        <v>171</v>
      </c>
      <c r="D750" s="38" t="s">
        <v>868</v>
      </c>
      <c r="E750" s="38" t="str">
        <f aca="false">B750&amp;"|"&amp;C750</f>
        <v>29|U</v>
      </c>
      <c r="F750" s="45" t="n">
        <f aca="false">INDEX('Emission Stepwise'!$H$2:$H$289,MATCH(E750,'Emission Stepwise'!$C$2:$C$289,0))</f>
        <v>0.275862068965517</v>
      </c>
      <c r="G750" s="45" t="n">
        <f aca="false">INDEX(Background!$C$4:$C$7,MATCH(C750,Background!$A$4:$A$7,0))</f>
        <v>0.212884169069555</v>
      </c>
      <c r="H750" s="49" t="n">
        <f aca="false">LN(F750/G750)</f>
        <v>0.259152780068018</v>
      </c>
    </row>
    <row r="751" customFormat="false" ht="15" hidden="false" customHeight="true" outlineLevel="0" collapsed="false">
      <c r="A751" s="38" t="s">
        <v>849</v>
      </c>
      <c r="B751" s="38" t="n">
        <v>30</v>
      </c>
      <c r="C751" s="38" t="s">
        <v>171</v>
      </c>
      <c r="D751" s="38" t="s">
        <v>868</v>
      </c>
      <c r="E751" s="38" t="str">
        <f aca="false">B751&amp;"|"&amp;C751</f>
        <v>30|U</v>
      </c>
      <c r="F751" s="45" t="n">
        <f aca="false">INDEX('Emission Stepwise'!$H$2:$H$289,MATCH(E751,'Emission Stepwise'!$C$2:$C$289,0))</f>
        <v>0.0394088669950739</v>
      </c>
      <c r="G751" s="45" t="n">
        <f aca="false">INDEX(Background!$C$4:$C$7,MATCH(C751,Background!$A$4:$A$7,0))</f>
        <v>0.212884169069555</v>
      </c>
      <c r="H751" s="49" t="n">
        <f aca="false">LN(F751/G751)</f>
        <v>-1.6867573689873</v>
      </c>
    </row>
    <row r="752" customFormat="false" ht="15" hidden="false" customHeight="true" outlineLevel="0" collapsed="false">
      <c r="A752" s="38" t="s">
        <v>849</v>
      </c>
      <c r="B752" s="38" t="n">
        <v>31</v>
      </c>
      <c r="C752" s="38" t="s">
        <v>171</v>
      </c>
      <c r="D752" s="38" t="s">
        <v>868</v>
      </c>
      <c r="E752" s="38" t="str">
        <f aca="false">B752&amp;"|"&amp;C752</f>
        <v>31|U</v>
      </c>
      <c r="F752" s="45" t="n">
        <f aca="false">INDEX('Emission Stepwise'!$H$2:$H$289,MATCH(E752,'Emission Stepwise'!$C$2:$C$289,0))</f>
        <v>0.0985221674876847</v>
      </c>
      <c r="G752" s="45" t="n">
        <f aca="false">INDEX(Background!$C$4:$C$7,MATCH(C752,Background!$A$4:$A$7,0))</f>
        <v>0.212884169069555</v>
      </c>
      <c r="H752" s="49" t="n">
        <f aca="false">LN(F752/G752)</f>
        <v>-0.770466637113141</v>
      </c>
    </row>
    <row r="753" customFormat="false" ht="15" hidden="false" customHeight="true" outlineLevel="0" collapsed="false">
      <c r="A753" s="38" t="s">
        <v>849</v>
      </c>
      <c r="B753" s="38" t="n">
        <v>32</v>
      </c>
      <c r="C753" s="38" t="s">
        <v>171</v>
      </c>
      <c r="D753" s="38" t="s">
        <v>868</v>
      </c>
      <c r="E753" s="38" t="str">
        <f aca="false">B753&amp;"|"&amp;C753</f>
        <v>32|U</v>
      </c>
      <c r="F753" s="45" t="n">
        <f aca="false">INDEX('Emission Stepwise'!$H$2:$H$289,MATCH(E753,'Emission Stepwise'!$C$2:$C$289,0))</f>
        <v>0.295566502463054</v>
      </c>
      <c r="G753" s="45" t="n">
        <f aca="false">INDEX(Background!$C$4:$C$7,MATCH(C753,Background!$A$4:$A$7,0))</f>
        <v>0.212884169069555</v>
      </c>
      <c r="H753" s="49" t="n">
        <f aca="false">LN(F753/G753)</f>
        <v>0.328145651554969</v>
      </c>
    </row>
    <row r="754" customFormat="false" ht="15" hidden="false" customHeight="true" outlineLevel="0" collapsed="false">
      <c r="A754" s="38" t="s">
        <v>849</v>
      </c>
      <c r="B754" s="38" t="n">
        <v>33</v>
      </c>
      <c r="C754" s="38" t="s">
        <v>171</v>
      </c>
      <c r="D754" s="38" t="s">
        <v>868</v>
      </c>
      <c r="E754" s="38" t="str">
        <f aca="false">B754&amp;"|"&amp;C754</f>
        <v>33|U</v>
      </c>
      <c r="F754" s="45" t="n">
        <f aca="false">INDEX('Emission Stepwise'!$H$2:$H$289,MATCH(E754,'Emission Stepwise'!$C$2:$C$289,0))</f>
        <v>0.975369458128079</v>
      </c>
      <c r="G754" s="45" t="n">
        <f aca="false">INDEX(Background!$C$4:$C$7,MATCH(C754,Background!$A$4:$A$7,0))</f>
        <v>0.212884169069555</v>
      </c>
      <c r="H754" s="49" t="n">
        <f aca="false">LN(F754/G754)</f>
        <v>1.5220681200274</v>
      </c>
    </row>
    <row r="755" customFormat="false" ht="15" hidden="false" customHeight="true" outlineLevel="0" collapsed="false">
      <c r="A755" s="38" t="s">
        <v>849</v>
      </c>
      <c r="B755" s="38" t="n">
        <v>34</v>
      </c>
      <c r="C755" s="38" t="s">
        <v>171</v>
      </c>
      <c r="D755" s="38" t="s">
        <v>868</v>
      </c>
      <c r="E755" s="38" t="str">
        <f aca="false">B755&amp;"|"&amp;C755</f>
        <v>34|U</v>
      </c>
      <c r="F755" s="45" t="n">
        <f aca="false">INDEX('Emission Stepwise'!$H$2:$H$289,MATCH(E755,'Emission Stepwise'!$C$2:$C$289,0))</f>
        <v>0.29064039408867</v>
      </c>
      <c r="G755" s="45" t="n">
        <f aca="false">INDEX(Background!$C$4:$C$7,MATCH(C755,Background!$A$4:$A$7,0))</f>
        <v>0.212884169069555</v>
      </c>
      <c r="H755" s="49" t="n">
        <f aca="false">LN(F755/G755)</f>
        <v>0.311338533238588</v>
      </c>
    </row>
    <row r="756" customFormat="false" ht="15" hidden="false" customHeight="true" outlineLevel="0" collapsed="false">
      <c r="A756" s="38" t="s">
        <v>849</v>
      </c>
      <c r="B756" s="38" t="n">
        <v>35</v>
      </c>
      <c r="C756" s="38" t="s">
        <v>171</v>
      </c>
      <c r="D756" s="38" t="s">
        <v>868</v>
      </c>
      <c r="E756" s="38" t="str">
        <f aca="false">B756&amp;"|"&amp;C756</f>
        <v>35|U</v>
      </c>
      <c r="F756" s="45" t="n">
        <f aca="false">INDEX('Emission Stepwise'!$H$2:$H$289,MATCH(E756,'Emission Stepwise'!$C$2:$C$289,0))</f>
        <v>0.206896551724138</v>
      </c>
      <c r="G756" s="45" t="n">
        <f aca="false">INDEX(Background!$C$4:$C$7,MATCH(C756,Background!$A$4:$A$7,0))</f>
        <v>0.212884169069555</v>
      </c>
      <c r="H756" s="49" t="n">
        <f aca="false">LN(F756/G756)</f>
        <v>-0.0285292923837632</v>
      </c>
    </row>
    <row r="757" customFormat="false" ht="15" hidden="false" customHeight="true" outlineLevel="0" collapsed="false">
      <c r="A757" s="38" t="s">
        <v>849</v>
      </c>
      <c r="B757" s="38" t="n">
        <v>36</v>
      </c>
      <c r="C757" s="38" t="s">
        <v>172</v>
      </c>
      <c r="D757" s="38" t="s">
        <v>868</v>
      </c>
      <c r="E757" s="38" t="str">
        <f aca="false">B757&amp;"|"&amp;C757</f>
        <v>36|A</v>
      </c>
      <c r="F757" s="45" t="n">
        <f aca="false">INDEX('Emission Stepwise'!$H$2:$H$289,MATCH(E757,'Emission Stepwise'!$C$2:$C$289,0))</f>
        <v>0.216748768472906</v>
      </c>
      <c r="G757" s="45" t="n">
        <f aca="false">INDEX(Background!$C$4:$C$7,MATCH(C757,Background!$A$4:$A$7,0))</f>
        <v>0.185174766157958</v>
      </c>
      <c r="H757" s="49" t="n">
        <f aca="false">LN(F757/G757)</f>
        <v>0.157438872776539</v>
      </c>
    </row>
    <row r="758" customFormat="false" ht="15" hidden="false" customHeight="true" outlineLevel="0" collapsed="false">
      <c r="A758" s="38" t="s">
        <v>849</v>
      </c>
      <c r="B758" s="38" t="n">
        <v>37</v>
      </c>
      <c r="C758" s="38" t="s">
        <v>170</v>
      </c>
      <c r="D758" s="38" t="s">
        <v>868</v>
      </c>
      <c r="E758" s="38" t="str">
        <f aca="false">B758&amp;"|"&amp;C758</f>
        <v>37|C</v>
      </c>
      <c r="F758" s="45" t="n">
        <f aca="false">INDEX('Emission Stepwise'!$H$2:$H$289,MATCH(E758,'Emission Stepwise'!$C$2:$C$289,0))</f>
        <v>0.00985221674876847</v>
      </c>
      <c r="G758" s="45" t="n">
        <f aca="false">INDEX(Background!$C$4:$C$7,MATCH(C758,Background!$A$4:$A$7,0))</f>
        <v>0.276812715380828</v>
      </c>
      <c r="H758" s="49" t="n">
        <f aca="false">LN(F758/G758)</f>
        <v>-3.33564467925761</v>
      </c>
    </row>
    <row r="759" customFormat="false" ht="15" hidden="false" customHeight="true" outlineLevel="0" collapsed="false">
      <c r="A759" s="38" t="s">
        <v>849</v>
      </c>
      <c r="B759" s="38" t="n">
        <v>38</v>
      </c>
      <c r="C759" s="38" t="s">
        <v>172</v>
      </c>
      <c r="D759" s="38" t="s">
        <v>868</v>
      </c>
      <c r="E759" s="38" t="str">
        <f aca="false">B759&amp;"|"&amp;C759</f>
        <v>38|A</v>
      </c>
      <c r="F759" s="45" t="n">
        <f aca="false">INDEX('Emission Stepwise'!$H$2:$H$289,MATCH(E759,'Emission Stepwise'!$C$2:$C$289,0))</f>
        <v>0.724137931034483</v>
      </c>
      <c r="G759" s="45" t="n">
        <f aca="false">INDEX(Background!$C$4:$C$7,MATCH(C759,Background!$A$4:$A$7,0))</f>
        <v>0.185174766157958</v>
      </c>
      <c r="H759" s="49" t="n">
        <f aca="false">LN(F759/G759)</f>
        <v>1.36368182563701</v>
      </c>
    </row>
    <row r="760" customFormat="false" ht="15" hidden="false" customHeight="true" outlineLevel="0" collapsed="false">
      <c r="A760" s="38" t="s">
        <v>849</v>
      </c>
      <c r="B760" s="38" t="n">
        <v>39</v>
      </c>
      <c r="C760" s="38" t="s">
        <v>172</v>
      </c>
      <c r="D760" s="38" t="s">
        <v>868</v>
      </c>
      <c r="E760" s="38" t="str">
        <f aca="false">B760&amp;"|"&amp;C760</f>
        <v>39|A</v>
      </c>
      <c r="F760" s="45" t="n">
        <f aca="false">INDEX('Emission Stepwise'!$H$2:$H$289,MATCH(E760,'Emission Stepwise'!$C$2:$C$289,0))</f>
        <v>0.0935960591133005</v>
      </c>
      <c r="G760" s="45" t="n">
        <f aca="false">INDEX(Background!$C$4:$C$7,MATCH(C760,Background!$A$4:$A$7,0))</f>
        <v>0.185174766157958</v>
      </c>
      <c r="H760" s="49" t="n">
        <f aca="false">LN(F760/G760)</f>
        <v>-0.682311781975282</v>
      </c>
    </row>
    <row r="761" customFormat="false" ht="15" hidden="false" customHeight="true" outlineLevel="0" collapsed="false">
      <c r="A761" s="38" t="s">
        <v>849</v>
      </c>
      <c r="B761" s="38" t="n">
        <v>40</v>
      </c>
      <c r="C761" s="38" t="s">
        <v>172</v>
      </c>
      <c r="D761" s="38" t="s">
        <v>868</v>
      </c>
      <c r="E761" s="38" t="str">
        <f aca="false">B761&amp;"|"&amp;C761</f>
        <v>40|A</v>
      </c>
      <c r="F761" s="45" t="n">
        <f aca="false">INDEX('Emission Stepwise'!$H$2:$H$289,MATCH(E761,'Emission Stepwise'!$C$2:$C$289,0))</f>
        <v>0.00985221674876847</v>
      </c>
      <c r="G761" s="45" t="n">
        <f aca="false">INDEX(Background!$C$4:$C$7,MATCH(C761,Background!$A$4:$A$7,0))</f>
        <v>0.185174766157958</v>
      </c>
      <c r="H761" s="49" t="n">
        <f aca="false">LN(F761/G761)</f>
        <v>-2.93360358058178</v>
      </c>
    </row>
    <row r="762" customFormat="false" ht="15" hidden="false" customHeight="true" outlineLevel="0" collapsed="false">
      <c r="A762" s="38" t="s">
        <v>849</v>
      </c>
      <c r="B762" s="38" t="n">
        <v>41</v>
      </c>
      <c r="C762" s="38" t="s">
        <v>170</v>
      </c>
      <c r="D762" s="38" t="s">
        <v>868</v>
      </c>
      <c r="E762" s="38" t="str">
        <f aca="false">B762&amp;"|"&amp;C762</f>
        <v>41|C</v>
      </c>
      <c r="F762" s="45" t="n">
        <f aca="false">INDEX('Emission Stepwise'!$H$2:$H$289,MATCH(E762,'Emission Stepwise'!$C$2:$C$289,0))</f>
        <v>0.38423645320197</v>
      </c>
      <c r="G762" s="45" t="n">
        <f aca="false">INDEX(Background!$C$4:$C$7,MATCH(C762,Background!$A$4:$A$7,0))</f>
        <v>0.276812715380828</v>
      </c>
      <c r="H762" s="49" t="n">
        <f aca="false">LN(F762/G762)</f>
        <v>0.327916966872035</v>
      </c>
    </row>
    <row r="763" customFormat="false" ht="15" hidden="false" customHeight="true" outlineLevel="0" collapsed="false">
      <c r="A763" s="38" t="s">
        <v>849</v>
      </c>
      <c r="B763" s="38" t="n">
        <v>42</v>
      </c>
      <c r="C763" s="38" t="s">
        <v>171</v>
      </c>
      <c r="D763" s="38" t="s">
        <v>868</v>
      </c>
      <c r="E763" s="38" t="str">
        <f aca="false">B763&amp;"|"&amp;C763</f>
        <v>42|U</v>
      </c>
      <c r="F763" s="45" t="n">
        <f aca="false">INDEX('Emission Stepwise'!$H$2:$H$289,MATCH(E763,'Emission Stepwise'!$C$2:$C$289,0))</f>
        <v>0.133004926108374</v>
      </c>
      <c r="G763" s="45" t="n">
        <f aca="false">INDEX(Background!$C$4:$C$7,MATCH(C763,Background!$A$4:$A$7,0))</f>
        <v>0.212884169069555</v>
      </c>
      <c r="H763" s="49" t="n">
        <f aca="false">LN(F763/G763)</f>
        <v>-0.470362044662802</v>
      </c>
    </row>
    <row r="764" customFormat="false" ht="15" hidden="false" customHeight="true" outlineLevel="0" collapsed="false">
      <c r="A764" s="38" t="s">
        <v>849</v>
      </c>
      <c r="B764" s="38" t="n">
        <v>43</v>
      </c>
      <c r="C764" s="38" t="s">
        <v>170</v>
      </c>
      <c r="D764" s="38" t="s">
        <v>868</v>
      </c>
      <c r="E764" s="38" t="str">
        <f aca="false">B764&amp;"|"&amp;C764</f>
        <v>43|C</v>
      </c>
      <c r="F764" s="45" t="n">
        <f aca="false">INDEX('Emission Stepwise'!$H$2:$H$289,MATCH(E764,'Emission Stepwise'!$C$2:$C$289,0))</f>
        <v>0.118226600985222</v>
      </c>
      <c r="G764" s="45" t="n">
        <f aca="false">INDEX(Background!$C$4:$C$7,MATCH(C764,Background!$A$4:$A$7,0))</f>
        <v>0.276812715380828</v>
      </c>
      <c r="H764" s="49" t="n">
        <f aca="false">LN(F764/G764)</f>
        <v>-0.850738029469611</v>
      </c>
    </row>
    <row r="765" customFormat="false" ht="15" hidden="false" customHeight="true" outlineLevel="0" collapsed="false">
      <c r="A765" s="38" t="s">
        <v>849</v>
      </c>
      <c r="B765" s="38" t="n">
        <v>44</v>
      </c>
      <c r="C765" s="38" t="s">
        <v>172</v>
      </c>
      <c r="D765" s="38" t="s">
        <v>868</v>
      </c>
      <c r="E765" s="38" t="str">
        <f aca="false">B765&amp;"|"&amp;C765</f>
        <v>44|A</v>
      </c>
      <c r="F765" s="45" t="n">
        <f aca="false">INDEX('Emission Stepwise'!$H$2:$H$289,MATCH(E765,'Emission Stepwise'!$C$2:$C$289,0))</f>
        <v>0.492610837438424</v>
      </c>
      <c r="G765" s="45" t="n">
        <f aca="false">INDEX(Background!$C$4:$C$7,MATCH(C765,Background!$A$4:$A$7,0))</f>
        <v>0.185174766157958</v>
      </c>
      <c r="H765" s="49" t="n">
        <f aca="false">LN(F765/G765)</f>
        <v>0.978419424846369</v>
      </c>
    </row>
    <row r="766" customFormat="false" ht="15" hidden="false" customHeight="true" outlineLevel="0" collapsed="false">
      <c r="A766" s="38" t="s">
        <v>849</v>
      </c>
      <c r="B766" s="38" t="n">
        <v>45</v>
      </c>
      <c r="C766" s="38" t="s">
        <v>169</v>
      </c>
      <c r="D766" s="38" t="s">
        <v>869</v>
      </c>
      <c r="E766" s="38" t="str">
        <f aca="false">B766&amp;"|"&amp;C766</f>
        <v>45|G</v>
      </c>
      <c r="F766" s="45" t="n">
        <f aca="false">INDEX('Emission Stepwise'!$H$2:$H$289,MATCH(E766,'Emission Stepwise'!$C$2:$C$289,0))</f>
        <v>0.746268656716418</v>
      </c>
      <c r="G766" s="45" t="n">
        <f aca="false">INDEX(Background!$C$4:$C$7,MATCH(C766,Background!$A$4:$A$7,0))</f>
        <v>0.325128349391659</v>
      </c>
      <c r="H766" s="49" t="n">
        <f aca="false">LN(F766/G766)</f>
        <v>0.830865639445329</v>
      </c>
    </row>
    <row r="767" customFormat="false" ht="15" hidden="false" customHeight="true" outlineLevel="0" collapsed="false">
      <c r="A767" s="38" t="s">
        <v>849</v>
      </c>
      <c r="B767" s="38" t="n">
        <v>46</v>
      </c>
      <c r="C767" s="38" t="s">
        <v>169</v>
      </c>
      <c r="D767" s="38" t="s">
        <v>869</v>
      </c>
      <c r="E767" s="38" t="str">
        <f aca="false">B767&amp;"|"&amp;C767</f>
        <v>46|G</v>
      </c>
      <c r="F767" s="45" t="n">
        <f aca="false">INDEX('Emission Stepwise'!$H$2:$H$289,MATCH(E767,'Emission Stepwise'!$C$2:$C$289,0))</f>
        <v>0.796511627906977</v>
      </c>
      <c r="G767" s="45" t="n">
        <f aca="false">INDEX(Background!$C$4:$C$7,MATCH(C767,Background!$A$4:$A$7,0))</f>
        <v>0.325128349391659</v>
      </c>
      <c r="H767" s="49" t="n">
        <f aca="false">LN(F767/G767)</f>
        <v>0.896021702422821</v>
      </c>
    </row>
    <row r="768" customFormat="false" ht="15" hidden="false" customHeight="true" outlineLevel="0" collapsed="false">
      <c r="A768" s="38" t="s">
        <v>849</v>
      </c>
      <c r="B768" s="38" t="n">
        <v>47</v>
      </c>
      <c r="C768" s="38" t="s">
        <v>172</v>
      </c>
      <c r="D768" s="38" t="s">
        <v>869</v>
      </c>
      <c r="E768" s="38" t="str">
        <f aca="false">B768&amp;"|"&amp;C768</f>
        <v>47|A</v>
      </c>
      <c r="F768" s="45" t="n">
        <f aca="false">INDEX('Emission Stepwise'!$H$2:$H$289,MATCH(E768,'Emission Stepwise'!$C$2:$C$289,0))</f>
        <v>0.133004926108374</v>
      </c>
      <c r="G768" s="45" t="n">
        <f aca="false">INDEX(Background!$C$4:$C$7,MATCH(C768,Background!$A$4:$A$7,0))</f>
        <v>0.185174766157958</v>
      </c>
      <c r="H768" s="49" t="n">
        <f aca="false">LN(F768/G768)</f>
        <v>-0.330913895137393</v>
      </c>
    </row>
    <row r="769" customFormat="false" ht="15" hidden="false" customHeight="true" outlineLevel="0" collapsed="false">
      <c r="A769" s="38" t="s">
        <v>849</v>
      </c>
      <c r="B769" s="38" t="n">
        <v>48</v>
      </c>
      <c r="C769" s="38" t="s">
        <v>170</v>
      </c>
      <c r="D769" s="38" t="s">
        <v>869</v>
      </c>
      <c r="E769" s="38" t="str">
        <f aca="false">B769&amp;"|"&amp;C769</f>
        <v>48|C</v>
      </c>
      <c r="F769" s="45" t="n">
        <f aca="false">INDEX('Emission Stepwise'!$H$2:$H$289,MATCH(E769,'Emission Stepwise'!$C$2:$C$289,0))</f>
        <v>0.827586206896552</v>
      </c>
      <c r="G769" s="45" t="n">
        <f aca="false">INDEX(Background!$C$4:$C$7,MATCH(C769,Background!$A$4:$A$7,0))</f>
        <v>0.276812715380828</v>
      </c>
      <c r="H769" s="49" t="n">
        <f aca="false">LN(F769/G769)</f>
        <v>1.0951721195857</v>
      </c>
    </row>
    <row r="770" customFormat="false" ht="15" hidden="false" customHeight="true" outlineLevel="0" collapsed="false">
      <c r="A770" s="38" t="s">
        <v>849</v>
      </c>
      <c r="B770" s="38" t="n">
        <v>49</v>
      </c>
      <c r="C770" s="38" t="s">
        <v>171</v>
      </c>
      <c r="D770" s="38" t="s">
        <v>870</v>
      </c>
      <c r="E770" s="38" t="str">
        <f aca="false">B770&amp;"|"&amp;C770</f>
        <v>49|U</v>
      </c>
      <c r="F770" s="45" t="n">
        <f aca="false">INDEX('Emission Stepwise'!$H$2:$H$289,MATCH(E770,'Emission Stepwise'!$C$2:$C$289,0))</f>
        <v>0.0591133004926108</v>
      </c>
      <c r="G770" s="45" t="n">
        <f aca="false">INDEX(Background!$C$4:$C$7,MATCH(C770,Background!$A$4:$A$7,0))</f>
        <v>0.212884169069555</v>
      </c>
      <c r="H770" s="49" t="n">
        <f aca="false">LN(F770/G770)</f>
        <v>-1.28129226087913</v>
      </c>
    </row>
    <row r="771" customFormat="false" ht="15" hidden="false" customHeight="true" outlineLevel="0" collapsed="false">
      <c r="A771" s="38" t="s">
        <v>849</v>
      </c>
      <c r="B771" s="38" t="n">
        <v>50</v>
      </c>
      <c r="C771" s="38" t="s">
        <v>170</v>
      </c>
      <c r="D771" s="38" t="s">
        <v>870</v>
      </c>
      <c r="E771" s="38" t="str">
        <f aca="false">B771&amp;"|"&amp;C771</f>
        <v>50|C</v>
      </c>
      <c r="F771" s="45" t="n">
        <f aca="false">INDEX('Emission Stepwise'!$H$2:$H$289,MATCH(E771,'Emission Stepwise'!$C$2:$C$289,0))</f>
        <v>0.433497536945813</v>
      </c>
      <c r="G771" s="45" t="n">
        <f aca="false">INDEX(Background!$C$4:$C$7,MATCH(C771,Background!$A$4:$A$7,0))</f>
        <v>0.276812715380828</v>
      </c>
      <c r="H771" s="49" t="n">
        <f aca="false">LN(F771/G771)</f>
        <v>0.44854495466065</v>
      </c>
    </row>
    <row r="772" customFormat="false" ht="15" hidden="false" customHeight="true" outlineLevel="0" collapsed="false">
      <c r="A772" s="38" t="s">
        <v>849</v>
      </c>
      <c r="B772" s="38" t="n">
        <v>51</v>
      </c>
      <c r="C772" s="38" t="s">
        <v>172</v>
      </c>
      <c r="D772" s="38" t="s">
        <v>870</v>
      </c>
      <c r="E772" s="38" t="str">
        <f aca="false">B772&amp;"|"&amp;C772</f>
        <v>51|A</v>
      </c>
      <c r="F772" s="45" t="n">
        <f aca="false">INDEX('Emission Stepwise'!$H$2:$H$289,MATCH(E772,'Emission Stepwise'!$C$2:$C$289,0))</f>
        <v>0.143564356435644</v>
      </c>
      <c r="G772" s="45" t="n">
        <f aca="false">INDEX(Background!$C$4:$C$7,MATCH(C772,Background!$A$4:$A$7,0))</f>
        <v>0.185174766157958</v>
      </c>
      <c r="H772" s="49" t="n">
        <f aca="false">LN(F772/G772)</f>
        <v>-0.254516649514666</v>
      </c>
    </row>
    <row r="773" customFormat="false" ht="15" hidden="false" customHeight="true" outlineLevel="0" collapsed="false">
      <c r="A773" s="38" t="s">
        <v>849</v>
      </c>
      <c r="B773" s="38" t="n">
        <v>52</v>
      </c>
      <c r="C773" s="38" t="s">
        <v>169</v>
      </c>
      <c r="D773" s="38" t="s">
        <v>870</v>
      </c>
      <c r="E773" s="38" t="str">
        <f aca="false">B773&amp;"|"&amp;C773</f>
        <v>52|G</v>
      </c>
      <c r="F773" s="45" t="n">
        <f aca="false">INDEX('Emission Stepwise'!$H$2:$H$289,MATCH(E773,'Emission Stepwise'!$C$2:$C$289,0))</f>
        <v>0.827586206896552</v>
      </c>
      <c r="G773" s="45" t="n">
        <f aca="false">INDEX(Background!$C$4:$C$7,MATCH(C773,Background!$A$4:$A$7,0))</f>
        <v>0.325128349391659</v>
      </c>
      <c r="H773" s="49" t="n">
        <f aca="false">LN(F773/G773)</f>
        <v>0.934293253769621</v>
      </c>
    </row>
    <row r="774" customFormat="false" ht="15" hidden="false" customHeight="true" outlineLevel="0" collapsed="false">
      <c r="A774" s="38" t="s">
        <v>849</v>
      </c>
      <c r="B774" s="38" t="n">
        <v>53</v>
      </c>
      <c r="C774" s="38" t="s">
        <v>169</v>
      </c>
      <c r="D774" s="38" t="s">
        <v>870</v>
      </c>
      <c r="E774" s="38" t="str">
        <f aca="false">B774&amp;"|"&amp;C774</f>
        <v>53|G</v>
      </c>
      <c r="F774" s="45" t="n">
        <f aca="false">INDEX('Emission Stepwise'!$H$2:$H$289,MATCH(E774,'Emission Stepwise'!$C$2:$C$289,0))</f>
        <v>0.96551724137931</v>
      </c>
      <c r="G774" s="45" t="n">
        <f aca="false">INDEX(Background!$C$4:$C$7,MATCH(C774,Background!$A$4:$A$7,0))</f>
        <v>0.325128349391659</v>
      </c>
      <c r="H774" s="49" t="n">
        <f aca="false">LN(F774/G774)</f>
        <v>1.08844393359688</v>
      </c>
    </row>
    <row r="775" customFormat="false" ht="15" hidden="false" customHeight="true" outlineLevel="0" collapsed="false">
      <c r="A775" s="38" t="s">
        <v>849</v>
      </c>
      <c r="B775" s="38" t="n">
        <v>54</v>
      </c>
      <c r="C775" s="38" t="s">
        <v>172</v>
      </c>
      <c r="D775" s="38" t="s">
        <v>870</v>
      </c>
      <c r="E775" s="38" t="str">
        <f aca="false">B775&amp;"|"&amp;C775</f>
        <v>54|A</v>
      </c>
      <c r="F775" s="45" t="n">
        <f aca="false">INDEX('Emission Stepwise'!$H$2:$H$289,MATCH(E775,'Emission Stepwise'!$C$2:$C$289,0))</f>
        <v>0.0147783251231527</v>
      </c>
      <c r="G775" s="45" t="n">
        <f aca="false">INDEX(Background!$C$4:$C$7,MATCH(C775,Background!$A$4:$A$7,0))</f>
        <v>0.185174766157958</v>
      </c>
      <c r="H775" s="49" t="n">
        <f aca="false">LN(F775/G775)</f>
        <v>-2.52813847247361</v>
      </c>
    </row>
    <row r="776" customFormat="false" ht="15" hidden="false" customHeight="true" outlineLevel="0" collapsed="false">
      <c r="A776" s="38" t="s">
        <v>849</v>
      </c>
      <c r="B776" s="38" t="n">
        <v>55</v>
      </c>
      <c r="C776" s="38" t="s">
        <v>171</v>
      </c>
      <c r="D776" s="38" t="s">
        <v>870</v>
      </c>
      <c r="E776" s="38" t="str">
        <f aca="false">B776&amp;"|"&amp;C776</f>
        <v>55|U</v>
      </c>
      <c r="F776" s="45" t="n">
        <f aca="false">INDEX('Emission Stepwise'!$H$2:$H$289,MATCH(E776,'Emission Stepwise'!$C$2:$C$289,0))</f>
        <v>0.970443349753695</v>
      </c>
      <c r="G776" s="45" t="n">
        <f aca="false">INDEX(Background!$C$4:$C$7,MATCH(C776,Background!$A$4:$A$7,0))</f>
        <v>0.212884169069555</v>
      </c>
      <c r="H776" s="49" t="n">
        <f aca="false">LN(F776/G776)</f>
        <v>1.51700481807086</v>
      </c>
    </row>
    <row r="777" customFormat="false" ht="15" hidden="false" customHeight="true" outlineLevel="0" collapsed="false">
      <c r="A777" s="38" t="s">
        <v>849</v>
      </c>
      <c r="B777" s="38" t="n">
        <v>56</v>
      </c>
      <c r="C777" s="38" t="s">
        <v>170</v>
      </c>
      <c r="D777" s="38" t="s">
        <v>870</v>
      </c>
      <c r="E777" s="38" t="str">
        <f aca="false">B777&amp;"|"&amp;C777</f>
        <v>56|C</v>
      </c>
      <c r="F777" s="45" t="n">
        <f aca="false">INDEX('Emission Stepwise'!$H$2:$H$289,MATCH(E777,'Emission Stepwise'!$C$2:$C$289,0))</f>
        <v>0.96551724137931</v>
      </c>
      <c r="G777" s="45" t="n">
        <f aca="false">INDEX(Background!$C$4:$C$7,MATCH(C777,Background!$A$4:$A$7,0))</f>
        <v>0.276812715380828</v>
      </c>
      <c r="H777" s="49" t="n">
        <f aca="false">LN(F777/G777)</f>
        <v>1.24932279941296</v>
      </c>
    </row>
    <row r="778" customFormat="false" ht="15" hidden="false" customHeight="true" outlineLevel="0" collapsed="false">
      <c r="A778" s="38" t="s">
        <v>849</v>
      </c>
      <c r="B778" s="38" t="n">
        <v>57</v>
      </c>
      <c r="C778" s="38" t="s">
        <v>172</v>
      </c>
      <c r="D778" s="38" t="s">
        <v>870</v>
      </c>
      <c r="E778" s="38" t="str">
        <f aca="false">B778&amp;"|"&amp;C778</f>
        <v>57|A</v>
      </c>
      <c r="F778" s="45" t="n">
        <f aca="false">INDEX('Emission Stepwise'!$H$2:$H$289,MATCH(E778,'Emission Stepwise'!$C$2:$C$289,0))</f>
        <v>0.381188118811881</v>
      </c>
      <c r="G778" s="45" t="n">
        <f aca="false">INDEX(Background!$C$4:$C$7,MATCH(C778,Background!$A$4:$A$7,0))</f>
        <v>0.185174766157958</v>
      </c>
      <c r="H778" s="49" t="n">
        <f aca="false">LN(F778/G778)</f>
        <v>0.721992942352544</v>
      </c>
    </row>
    <row r="779" customFormat="false" ht="15" hidden="false" customHeight="true" outlineLevel="0" collapsed="false">
      <c r="A779" s="38" t="s">
        <v>849</v>
      </c>
      <c r="B779" s="38" t="n">
        <v>58</v>
      </c>
      <c r="C779" s="38" t="s">
        <v>171</v>
      </c>
      <c r="D779" s="38" t="s">
        <v>870</v>
      </c>
      <c r="E779" s="38" t="str">
        <f aca="false">B779&amp;"|"&amp;C779</f>
        <v>58|U</v>
      </c>
      <c r="F779" s="45" t="n">
        <f aca="false">INDEX('Emission Stepwise'!$H$2:$H$289,MATCH(E779,'Emission Stepwise'!$C$2:$C$289,0))</f>
        <v>0.00985221674876847</v>
      </c>
      <c r="G779" s="45" t="n">
        <f aca="false">INDEX(Background!$C$4:$C$7,MATCH(C779,Background!$A$4:$A$7,0))</f>
        <v>0.212884169069555</v>
      </c>
      <c r="H779" s="49" t="n">
        <f aca="false">LN(F779/G779)</f>
        <v>-3.07305173010719</v>
      </c>
    </row>
    <row r="780" customFormat="false" ht="15" hidden="false" customHeight="true" outlineLevel="0" collapsed="false">
      <c r="A780" s="38" t="s">
        <v>849</v>
      </c>
      <c r="B780" s="38" t="n">
        <v>59</v>
      </c>
      <c r="C780" s="38" t="s">
        <v>172</v>
      </c>
      <c r="D780" s="38" t="s">
        <v>870</v>
      </c>
      <c r="E780" s="38" t="str">
        <f aca="false">B780&amp;"|"&amp;C780</f>
        <v>59|A</v>
      </c>
      <c r="F780" s="45" t="n">
        <f aca="false">INDEX('Emission Stepwise'!$H$2:$H$289,MATCH(E780,'Emission Stepwise'!$C$2:$C$289,0))</f>
        <v>0.45320197044335</v>
      </c>
      <c r="G780" s="45" t="n">
        <f aca="false">INDEX(Background!$C$4:$C$7,MATCH(C780,Background!$A$4:$A$7,0))</f>
        <v>0.185174766157958</v>
      </c>
      <c r="H780" s="49" t="n">
        <f aca="false">LN(F780/G780)</f>
        <v>0.895037815907318</v>
      </c>
    </row>
    <row r="781" customFormat="false" ht="15" hidden="false" customHeight="true" outlineLevel="0" collapsed="false">
      <c r="A781" s="38" t="s">
        <v>849</v>
      </c>
      <c r="B781" s="38" t="n">
        <v>60</v>
      </c>
      <c r="C781" s="38" t="s">
        <v>171</v>
      </c>
      <c r="D781" s="38" t="s">
        <v>870</v>
      </c>
      <c r="E781" s="38" t="str">
        <f aca="false">B781&amp;"|"&amp;C781</f>
        <v>60|U</v>
      </c>
      <c r="F781" s="45" t="n">
        <f aca="false">INDEX('Emission Stepwise'!$H$2:$H$289,MATCH(E781,'Emission Stepwise'!$C$2:$C$289,0))</f>
        <v>0.773399014778325</v>
      </c>
      <c r="G781" s="45" t="n">
        <f aca="false">INDEX(Background!$C$4:$C$7,MATCH(C781,Background!$A$4:$A$7,0))</f>
        <v>0.212884169069555</v>
      </c>
      <c r="H781" s="49" t="n">
        <f aca="false">LN(F781/G781)</f>
        <v>1.29004689468118</v>
      </c>
    </row>
    <row r="782" customFormat="false" ht="15" hidden="false" customHeight="true" outlineLevel="0" collapsed="false">
      <c r="A782" s="38" t="s">
        <v>849</v>
      </c>
      <c r="B782" s="38" t="n">
        <v>61</v>
      </c>
      <c r="C782" s="38" t="s">
        <v>170</v>
      </c>
      <c r="D782" s="38" t="s">
        <v>870</v>
      </c>
      <c r="E782" s="38" t="str">
        <f aca="false">B782&amp;"|"&amp;C782</f>
        <v>61|C</v>
      </c>
      <c r="F782" s="45" t="n">
        <f aca="false">INDEX('Emission Stepwise'!$H$2:$H$289,MATCH(E782,'Emission Stepwise'!$C$2:$C$289,0))</f>
        <v>0.975369458128079</v>
      </c>
      <c r="G782" s="45" t="n">
        <f aca="false">INDEX(Background!$C$4:$C$7,MATCH(C782,Background!$A$4:$A$7,0))</f>
        <v>0.276812715380828</v>
      </c>
      <c r="H782" s="49" t="n">
        <f aca="false">LN(F782/G782)</f>
        <v>1.25947517087698</v>
      </c>
    </row>
    <row r="783" customFormat="false" ht="15" hidden="false" customHeight="true" outlineLevel="0" collapsed="false">
      <c r="A783" s="38" t="s">
        <v>849</v>
      </c>
      <c r="B783" s="38" t="n">
        <v>62</v>
      </c>
      <c r="C783" s="38" t="s">
        <v>171</v>
      </c>
      <c r="D783" s="38" t="s">
        <v>870</v>
      </c>
      <c r="E783" s="38" t="str">
        <f aca="false">B783&amp;"|"&amp;C783</f>
        <v>62|U</v>
      </c>
      <c r="F783" s="45" t="n">
        <f aca="false">INDEX('Emission Stepwise'!$H$2:$H$289,MATCH(E783,'Emission Stepwise'!$C$2:$C$289,0))</f>
        <v>0.133004926108374</v>
      </c>
      <c r="G783" s="45" t="n">
        <f aca="false">INDEX(Background!$C$4:$C$7,MATCH(C783,Background!$A$4:$A$7,0))</f>
        <v>0.212884169069555</v>
      </c>
      <c r="H783" s="49" t="n">
        <f aca="false">LN(F783/G783)</f>
        <v>-0.470362044662802</v>
      </c>
    </row>
    <row r="784" customFormat="false" ht="15" hidden="false" customHeight="true" outlineLevel="0" collapsed="false">
      <c r="A784" s="38" t="s">
        <v>849</v>
      </c>
      <c r="B784" s="38" t="n">
        <v>63</v>
      </c>
      <c r="C784" s="38" t="s">
        <v>171</v>
      </c>
      <c r="D784" s="38" t="s">
        <v>870</v>
      </c>
      <c r="E784" s="38" t="str">
        <f aca="false">B784&amp;"|"&amp;C784</f>
        <v>63|U</v>
      </c>
      <c r="F784" s="45" t="n">
        <f aca="false">INDEX('Emission Stepwise'!$H$2:$H$289,MATCH(E784,'Emission Stepwise'!$C$2:$C$289,0))</f>
        <v>0.16256157635468</v>
      </c>
      <c r="G784" s="45" t="n">
        <f aca="false">INDEX(Background!$C$4:$C$7,MATCH(C784,Background!$A$4:$A$7,0))</f>
        <v>0.212884169069555</v>
      </c>
      <c r="H784" s="49" t="n">
        <f aca="false">LN(F784/G784)</f>
        <v>-0.269691349200651</v>
      </c>
    </row>
    <row r="785" customFormat="false" ht="15" hidden="false" customHeight="true" outlineLevel="0" collapsed="false">
      <c r="A785" s="38" t="s">
        <v>849</v>
      </c>
      <c r="B785" s="38" t="n">
        <v>64</v>
      </c>
      <c r="C785" s="38" t="s">
        <v>169</v>
      </c>
      <c r="D785" s="38" t="s">
        <v>870</v>
      </c>
      <c r="E785" s="38" t="str">
        <f aca="false">B785&amp;"|"&amp;C785</f>
        <v>64|G</v>
      </c>
      <c r="F785" s="45" t="n">
        <f aca="false">INDEX('Emission Stepwise'!$H$2:$H$289,MATCH(E785,'Emission Stepwise'!$C$2:$C$289,0))</f>
        <v>0.458128078817734</v>
      </c>
      <c r="G785" s="45" t="n">
        <f aca="false">INDEX(Background!$C$4:$C$7,MATCH(C785,Background!$A$4:$A$7,0))</f>
        <v>0.325128349391659</v>
      </c>
      <c r="H785" s="49" t="n">
        <f aca="false">LN(F785/G785)</f>
        <v>0.342928767519618</v>
      </c>
    </row>
    <row r="786" customFormat="false" ht="15" hidden="false" customHeight="true" outlineLevel="0" collapsed="false">
      <c r="A786" s="38" t="s">
        <v>849</v>
      </c>
      <c r="B786" s="38" t="n">
        <v>65</v>
      </c>
      <c r="C786" s="38" t="s">
        <v>172</v>
      </c>
      <c r="D786" s="38" t="s">
        <v>870</v>
      </c>
      <c r="E786" s="38" t="str">
        <f aca="false">B786&amp;"|"&amp;C786</f>
        <v>65|A</v>
      </c>
      <c r="F786" s="45" t="n">
        <f aca="false">INDEX('Emission Stepwise'!$H$2:$H$289,MATCH(E786,'Emission Stepwise'!$C$2:$C$289,0))</f>
        <v>0.0495049504950495</v>
      </c>
      <c r="G786" s="45" t="n">
        <f aca="false">INDEX(Background!$C$4:$C$7,MATCH(C786,Background!$A$4:$A$7,0))</f>
        <v>0.185174766157958</v>
      </c>
      <c r="H786" s="49" t="n">
        <f aca="false">LN(F786/G786)</f>
        <v>-1.31922738650709</v>
      </c>
    </row>
    <row r="787" customFormat="false" ht="15" hidden="false" customHeight="true" outlineLevel="0" collapsed="false">
      <c r="A787" s="38" t="s">
        <v>849</v>
      </c>
      <c r="B787" s="38" t="n">
        <v>66</v>
      </c>
      <c r="C787" s="38" t="s">
        <v>171</v>
      </c>
      <c r="D787" s="38" t="s">
        <v>871</v>
      </c>
      <c r="E787" s="38" t="str">
        <f aca="false">B787&amp;"|"&amp;C787</f>
        <v>66|U</v>
      </c>
      <c r="F787" s="45" t="n">
        <f aca="false">INDEX('Emission Stepwise'!$H$2:$H$289,MATCH(E787,'Emission Stepwise'!$C$2:$C$289,0))</f>
        <v>0.246305418719212</v>
      </c>
      <c r="G787" s="45" t="n">
        <f aca="false">INDEX(Background!$C$4:$C$7,MATCH(C787,Background!$A$4:$A$7,0))</f>
        <v>0.212884169069555</v>
      </c>
      <c r="H787" s="49" t="n">
        <f aca="false">LN(F787/G787)</f>
        <v>0.145824094761015</v>
      </c>
    </row>
    <row r="788" customFormat="false" ht="15" hidden="false" customHeight="true" outlineLevel="0" collapsed="false">
      <c r="A788" s="38" t="s">
        <v>849</v>
      </c>
      <c r="B788" s="38" t="n">
        <v>67</v>
      </c>
      <c r="C788" s="38" t="s">
        <v>169</v>
      </c>
      <c r="D788" s="38" t="s">
        <v>871</v>
      </c>
      <c r="E788" s="38" t="str">
        <f aca="false">B788&amp;"|"&amp;C788</f>
        <v>67|G</v>
      </c>
      <c r="F788" s="45" t="n">
        <f aca="false">INDEX('Emission Stepwise'!$H$2:$H$289,MATCH(E788,'Emission Stepwise'!$C$2:$C$289,0))</f>
        <v>0.374384236453202</v>
      </c>
      <c r="G788" s="45" t="n">
        <f aca="false">INDEX(Background!$C$4:$C$7,MATCH(C788,Background!$A$4:$A$7,0))</f>
        <v>0.325128349391659</v>
      </c>
      <c r="H788" s="49" t="n">
        <f aca="false">LN(F788/G788)</f>
        <v>0.141062614652693</v>
      </c>
    </row>
    <row r="789" customFormat="false" ht="15" hidden="false" customHeight="true" outlineLevel="0" collapsed="false">
      <c r="A789" s="38" t="s">
        <v>849</v>
      </c>
      <c r="B789" s="38" t="n">
        <v>68</v>
      </c>
      <c r="C789" s="38" t="s">
        <v>172</v>
      </c>
      <c r="D789" s="38" t="s">
        <v>871</v>
      </c>
      <c r="E789" s="38" t="str">
        <f aca="false">B789&amp;"|"&amp;C789</f>
        <v>68|A</v>
      </c>
      <c r="F789" s="45" t="n">
        <f aca="false">INDEX('Emission Stepwise'!$H$2:$H$289,MATCH(E789,'Emission Stepwise'!$C$2:$C$289,0))</f>
        <v>0.0788177339901478</v>
      </c>
      <c r="G789" s="45" t="n">
        <f aca="false">INDEX(Background!$C$4:$C$7,MATCH(C789,Background!$A$4:$A$7,0))</f>
        <v>0.185174766157958</v>
      </c>
      <c r="H789" s="49" t="n">
        <f aca="false">LN(F789/G789)</f>
        <v>-0.854162038901941</v>
      </c>
    </row>
    <row r="790" customFormat="false" ht="15" hidden="false" customHeight="true" outlineLevel="0" collapsed="false">
      <c r="A790" s="38" t="s">
        <v>849</v>
      </c>
      <c r="B790" s="38" t="n">
        <v>69</v>
      </c>
      <c r="C790" s="38" t="s">
        <v>169</v>
      </c>
      <c r="D790" s="38" t="s">
        <v>871</v>
      </c>
      <c r="E790" s="38" t="str">
        <f aca="false">B790&amp;"|"&amp;C790</f>
        <v>69|G</v>
      </c>
      <c r="F790" s="45" t="n">
        <f aca="false">INDEX('Emission Stepwise'!$H$2:$H$289,MATCH(E790,'Emission Stepwise'!$C$2:$C$289,0))</f>
        <v>0.349753694581281</v>
      </c>
      <c r="G790" s="45" t="n">
        <f aca="false">INDEX(Background!$C$4:$C$7,MATCH(C790,Background!$A$4:$A$7,0))</f>
        <v>0.325128349391659</v>
      </c>
      <c r="H790" s="49" t="n">
        <f aca="false">LN(F790/G790)</f>
        <v>0.0730091514076772</v>
      </c>
    </row>
    <row r="791" customFormat="false" ht="15" hidden="false" customHeight="true" outlineLevel="0" collapsed="false">
      <c r="A791" s="38" t="s">
        <v>849</v>
      </c>
      <c r="B791" s="38" t="n">
        <v>70</v>
      </c>
      <c r="C791" s="38" t="s">
        <v>169</v>
      </c>
      <c r="D791" s="38" t="s">
        <v>871</v>
      </c>
      <c r="E791" s="38" t="str">
        <f aca="false">B791&amp;"|"&amp;C791</f>
        <v>70|G</v>
      </c>
      <c r="F791" s="45" t="n">
        <f aca="false">INDEX('Emission Stepwise'!$H$2:$H$289,MATCH(E791,'Emission Stepwise'!$C$2:$C$289,0))</f>
        <v>0.374384236453202</v>
      </c>
      <c r="G791" s="45" t="n">
        <f aca="false">INDEX(Background!$C$4:$C$7,MATCH(C791,Background!$A$4:$A$7,0))</f>
        <v>0.325128349391659</v>
      </c>
      <c r="H791" s="49" t="n">
        <f aca="false">LN(F791/G791)</f>
        <v>0.141062614652693</v>
      </c>
    </row>
    <row r="792" customFormat="false" ht="15" hidden="false" customHeight="true" outlineLevel="0" collapsed="false">
      <c r="A792" s="38" t="s">
        <v>849</v>
      </c>
      <c r="B792" s="38" t="n">
        <v>71</v>
      </c>
      <c r="C792" s="38" t="s">
        <v>172</v>
      </c>
      <c r="D792" s="38" t="s">
        <v>871</v>
      </c>
      <c r="E792" s="38" t="str">
        <f aca="false">B792&amp;"|"&amp;C792</f>
        <v>71|A</v>
      </c>
      <c r="F792" s="45" t="n">
        <f aca="false">INDEX('Emission Stepwise'!$H$2:$H$289,MATCH(E792,'Emission Stepwise'!$C$2:$C$289,0))</f>
        <v>0.0295566502463054</v>
      </c>
      <c r="G792" s="45" t="n">
        <f aca="false">INDEX(Background!$C$4:$C$7,MATCH(C792,Background!$A$4:$A$7,0))</f>
        <v>0.185174766157958</v>
      </c>
      <c r="H792" s="49" t="n">
        <f aca="false">LN(F792/G792)</f>
        <v>-1.83499129191367</v>
      </c>
    </row>
    <row r="793" customFormat="false" ht="15" hidden="false" customHeight="true" outlineLevel="0" collapsed="false">
      <c r="A793" s="38" t="s">
        <v>849</v>
      </c>
      <c r="B793" s="38" t="n">
        <v>72</v>
      </c>
      <c r="C793" s="38" t="s">
        <v>171</v>
      </c>
      <c r="D793" s="38" t="s">
        <v>871</v>
      </c>
      <c r="E793" s="38" t="str">
        <f aca="false">B793&amp;"|"&amp;C793</f>
        <v>72|U</v>
      </c>
      <c r="F793" s="45" t="n">
        <f aca="false">INDEX('Emission Stepwise'!$H$2:$H$289,MATCH(E793,'Emission Stepwise'!$C$2:$C$289,0))</f>
        <v>0.108374384236453</v>
      </c>
      <c r="G793" s="45" t="n">
        <f aca="false">INDEX(Background!$C$4:$C$7,MATCH(C793,Background!$A$4:$A$7,0))</f>
        <v>0.212884169069555</v>
      </c>
      <c r="H793" s="49" t="n">
        <f aca="false">LN(F793/G793)</f>
        <v>-0.675156457308816</v>
      </c>
    </row>
    <row r="794" customFormat="false" ht="15" hidden="false" customHeight="true" outlineLevel="0" collapsed="false">
      <c r="A794" s="38" t="s">
        <v>850</v>
      </c>
      <c r="B794" s="38" t="n">
        <v>1</v>
      </c>
      <c r="C794" s="38" t="s">
        <v>169</v>
      </c>
      <c r="D794" s="38" t="s">
        <v>865</v>
      </c>
      <c r="E794" s="38" t="str">
        <f aca="false">B794&amp;"|"&amp;C794</f>
        <v>1|G</v>
      </c>
      <c r="F794" s="45" t="n">
        <f aca="false">INDEX('Emission Stepwise'!$H$2:$H$289,MATCH(E794,'Emission Stepwise'!$C$2:$C$289,0))</f>
        <v>0.753694581280788</v>
      </c>
      <c r="G794" s="45" t="n">
        <f aca="false">INDEX(Background!$C$4:$C$7,MATCH(C794,Background!$A$4:$A$7,0))</f>
        <v>0.325128349391659</v>
      </c>
      <c r="H794" s="49" t="n">
        <f aca="false">LN(F794/G794)</f>
        <v>0.840767195758797</v>
      </c>
    </row>
    <row r="795" customFormat="false" ht="15" hidden="false" customHeight="true" outlineLevel="0" collapsed="false">
      <c r="A795" s="38" t="s">
        <v>850</v>
      </c>
      <c r="B795" s="38" t="n">
        <v>2</v>
      </c>
      <c r="C795" s="38" t="s">
        <v>172</v>
      </c>
      <c r="D795" s="38" t="s">
        <v>865</v>
      </c>
      <c r="E795" s="38" t="str">
        <f aca="false">B795&amp;"|"&amp;C795</f>
        <v>2|A</v>
      </c>
      <c r="F795" s="45" t="n">
        <f aca="false">INDEX('Emission Stepwise'!$H$2:$H$289,MATCH(E795,'Emission Stepwise'!$C$2:$C$289,0))</f>
        <v>0.0344827586206897</v>
      </c>
      <c r="G795" s="45" t="n">
        <f aca="false">INDEX(Background!$C$4:$C$7,MATCH(C795,Background!$A$4:$A$7,0))</f>
        <v>0.185174766157958</v>
      </c>
      <c r="H795" s="49" t="n">
        <f aca="false">LN(F795/G795)</f>
        <v>-1.68084061208641</v>
      </c>
    </row>
    <row r="796" customFormat="false" ht="15" hidden="false" customHeight="true" outlineLevel="0" collapsed="false">
      <c r="A796" s="38" t="s">
        <v>850</v>
      </c>
      <c r="B796" s="38" t="n">
        <v>3</v>
      </c>
      <c r="C796" s="38" t="s">
        <v>169</v>
      </c>
      <c r="D796" s="38" t="s">
        <v>865</v>
      </c>
      <c r="E796" s="38" t="str">
        <f aca="false">B796&amp;"|"&amp;C796</f>
        <v>3|G</v>
      </c>
      <c r="F796" s="45" t="n">
        <f aca="false">INDEX('Emission Stepwise'!$H$2:$H$289,MATCH(E796,'Emission Stepwise'!$C$2:$C$289,0))</f>
        <v>0.423645320197044</v>
      </c>
      <c r="G796" s="45" t="n">
        <f aca="false">INDEX(Background!$C$4:$C$7,MATCH(C796,Background!$A$4:$A$7,0))</f>
        <v>0.325128349391659</v>
      </c>
      <c r="H796" s="49" t="n">
        <f aca="false">LN(F796/G796)</f>
        <v>0.264676570619869</v>
      </c>
    </row>
    <row r="797" customFormat="false" ht="15" hidden="false" customHeight="true" outlineLevel="0" collapsed="false">
      <c r="A797" s="38" t="s">
        <v>850</v>
      </c>
      <c r="B797" s="38" t="n">
        <v>4</v>
      </c>
      <c r="C797" s="38" t="s">
        <v>171</v>
      </c>
      <c r="D797" s="38" t="s">
        <v>865</v>
      </c>
      <c r="E797" s="38" t="str">
        <f aca="false">B797&amp;"|"&amp;C797</f>
        <v>4|U</v>
      </c>
      <c r="F797" s="45" t="n">
        <f aca="false">INDEX('Emission Stepwise'!$H$2:$H$289,MATCH(E797,'Emission Stepwise'!$C$2:$C$289,0))</f>
        <v>0.172413793103448</v>
      </c>
      <c r="G797" s="45" t="n">
        <f aca="false">INDEX(Background!$C$4:$C$7,MATCH(C797,Background!$A$4:$A$7,0))</f>
        <v>0.212884169069555</v>
      </c>
      <c r="H797" s="49" t="n">
        <f aca="false">LN(F797/G797)</f>
        <v>-0.210850849177718</v>
      </c>
    </row>
    <row r="798" customFormat="false" ht="15" hidden="false" customHeight="true" outlineLevel="0" collapsed="false">
      <c r="A798" s="38" t="s">
        <v>850</v>
      </c>
      <c r="B798" s="38" t="n">
        <v>5</v>
      </c>
      <c r="C798" s="38" t="s">
        <v>171</v>
      </c>
      <c r="D798" s="38" t="s">
        <v>865</v>
      </c>
      <c r="E798" s="38" t="str">
        <f aca="false">B798&amp;"|"&amp;C798</f>
        <v>5|U</v>
      </c>
      <c r="F798" s="45" t="n">
        <f aca="false">INDEX('Emission Stepwise'!$H$2:$H$289,MATCH(E798,'Emission Stepwise'!$C$2:$C$289,0))</f>
        <v>0.108374384236453</v>
      </c>
      <c r="G798" s="45" t="n">
        <f aca="false">INDEX(Background!$C$4:$C$7,MATCH(C798,Background!$A$4:$A$7,0))</f>
        <v>0.212884169069555</v>
      </c>
      <c r="H798" s="49" t="n">
        <f aca="false">LN(F798/G798)</f>
        <v>-0.675156457308816</v>
      </c>
    </row>
    <row r="799" customFormat="false" ht="15" hidden="false" customHeight="true" outlineLevel="0" collapsed="false">
      <c r="A799" s="38" t="s">
        <v>850</v>
      </c>
      <c r="B799" s="38" t="n">
        <v>6</v>
      </c>
      <c r="C799" s="38" t="s">
        <v>169</v>
      </c>
      <c r="D799" s="38" t="s">
        <v>865</v>
      </c>
      <c r="E799" s="38" t="str">
        <f aca="false">B799&amp;"|"&amp;C799</f>
        <v>6|G</v>
      </c>
      <c r="F799" s="45" t="n">
        <f aca="false">INDEX('Emission Stepwise'!$H$2:$H$289,MATCH(E799,'Emission Stepwise'!$C$2:$C$289,0))</f>
        <v>0.241379310344828</v>
      </c>
      <c r="G799" s="45" t="n">
        <f aca="false">INDEX(Background!$C$4:$C$7,MATCH(C799,Background!$A$4:$A$7,0))</f>
        <v>0.325128349391659</v>
      </c>
      <c r="H799" s="49" t="n">
        <f aca="false">LN(F799/G799)</f>
        <v>-0.297850427523012</v>
      </c>
    </row>
    <row r="800" customFormat="false" ht="15" hidden="false" customHeight="true" outlineLevel="0" collapsed="false">
      <c r="A800" s="38" t="s">
        <v>850</v>
      </c>
      <c r="B800" s="38" t="n">
        <v>7</v>
      </c>
      <c r="C800" s="38" t="s">
        <v>172</v>
      </c>
      <c r="D800" s="38" t="s">
        <v>865</v>
      </c>
      <c r="E800" s="38" t="str">
        <f aca="false">B800&amp;"|"&amp;C800</f>
        <v>7|A</v>
      </c>
      <c r="F800" s="45" t="n">
        <f aca="false">INDEX('Emission Stepwise'!$H$2:$H$289,MATCH(E800,'Emission Stepwise'!$C$2:$C$289,0))</f>
        <v>0.236453201970443</v>
      </c>
      <c r="G800" s="45" t="n">
        <f aca="false">INDEX(Background!$C$4:$C$7,MATCH(C800,Background!$A$4:$A$7,0))</f>
        <v>0.185174766157958</v>
      </c>
      <c r="H800" s="49" t="n">
        <f aca="false">LN(F800/G800)</f>
        <v>0.244450249766169</v>
      </c>
    </row>
    <row r="801" customFormat="false" ht="15" hidden="false" customHeight="true" outlineLevel="0" collapsed="false">
      <c r="A801" s="38" t="s">
        <v>850</v>
      </c>
      <c r="B801" s="38" t="n">
        <v>8</v>
      </c>
      <c r="C801" s="38" t="s">
        <v>171</v>
      </c>
      <c r="D801" s="38" t="s">
        <v>866</v>
      </c>
      <c r="E801" s="38" t="str">
        <f aca="false">B801&amp;"|"&amp;C801</f>
        <v>8|U</v>
      </c>
      <c r="F801" s="45" t="n">
        <f aca="false">INDEX('Emission Stepwise'!$H$2:$H$289,MATCH(E801,'Emission Stepwise'!$C$2:$C$289,0))</f>
        <v>0.975369458128079</v>
      </c>
      <c r="G801" s="45" t="n">
        <f aca="false">INDEX(Background!$C$4:$C$7,MATCH(C801,Background!$A$4:$A$7,0))</f>
        <v>0.212884169069555</v>
      </c>
      <c r="H801" s="49" t="n">
        <f aca="false">LN(F801/G801)</f>
        <v>1.5220681200274</v>
      </c>
    </row>
    <row r="802" customFormat="false" ht="15" hidden="false" customHeight="true" outlineLevel="0" collapsed="false">
      <c r="A802" s="38" t="s">
        <v>850</v>
      </c>
      <c r="B802" s="38" t="n">
        <v>9</v>
      </c>
      <c r="C802" s="38" t="s">
        <v>169</v>
      </c>
      <c r="D802" s="38" t="s">
        <v>867</v>
      </c>
      <c r="E802" s="38" t="str">
        <f aca="false">B802&amp;"|"&amp;C802</f>
        <v>9|G</v>
      </c>
      <c r="F802" s="45" t="n">
        <f aca="false">INDEX('Emission Stepwise'!$H$2:$H$289,MATCH(E802,'Emission Stepwise'!$C$2:$C$289,0))</f>
        <v>0.306930693069307</v>
      </c>
      <c r="G802" s="45" t="n">
        <f aca="false">INDEX(Background!$C$4:$C$7,MATCH(C802,Background!$A$4:$A$7,0))</f>
        <v>0.325128349391659</v>
      </c>
      <c r="H802" s="49" t="n">
        <f aca="false">LN(F802/G802)</f>
        <v>-0.0575980589479641</v>
      </c>
    </row>
    <row r="803" customFormat="false" ht="15" hidden="false" customHeight="true" outlineLevel="0" collapsed="false">
      <c r="A803" s="38" t="s">
        <v>850</v>
      </c>
      <c r="B803" s="38" t="n">
        <v>10</v>
      </c>
      <c r="C803" s="38" t="s">
        <v>171</v>
      </c>
      <c r="D803" s="38" t="s">
        <v>867</v>
      </c>
      <c r="E803" s="38" t="str">
        <f aca="false">B803&amp;"|"&amp;C803</f>
        <v>10|U</v>
      </c>
      <c r="F803" s="45" t="n">
        <f aca="false">INDEX('Emission Stepwise'!$H$2:$H$289,MATCH(E803,'Emission Stepwise'!$C$2:$C$289,0))</f>
        <v>0.00492610837438424</v>
      </c>
      <c r="G803" s="45" t="n">
        <f aca="false">INDEX(Background!$C$4:$C$7,MATCH(C803,Background!$A$4:$A$7,0))</f>
        <v>0.212884169069555</v>
      </c>
      <c r="H803" s="49" t="n">
        <f aca="false">LN(F803/G803)</f>
        <v>-3.76619891066713</v>
      </c>
    </row>
    <row r="804" customFormat="false" ht="15" hidden="false" customHeight="true" outlineLevel="0" collapsed="false">
      <c r="A804" s="38" t="s">
        <v>850</v>
      </c>
      <c r="B804" s="38" t="n">
        <v>11</v>
      </c>
      <c r="C804" s="38" t="s">
        <v>172</v>
      </c>
      <c r="D804" s="38" t="s">
        <v>867</v>
      </c>
      <c r="E804" s="38" t="str">
        <f aca="false">B804&amp;"|"&amp;C804</f>
        <v>11|A</v>
      </c>
      <c r="F804" s="45" t="n">
        <f aca="false">INDEX('Emission Stepwise'!$H$2:$H$289,MATCH(E804,'Emission Stepwise'!$C$2:$C$289,0))</f>
        <v>0.0394088669950739</v>
      </c>
      <c r="G804" s="45" t="n">
        <f aca="false">INDEX(Background!$C$4:$C$7,MATCH(C804,Background!$A$4:$A$7,0))</f>
        <v>0.185174766157958</v>
      </c>
      <c r="H804" s="49" t="n">
        <f aca="false">LN(F804/G804)</f>
        <v>-1.54730921946189</v>
      </c>
    </row>
    <row r="805" customFormat="false" ht="15" hidden="false" customHeight="true" outlineLevel="0" collapsed="false">
      <c r="A805" s="38" t="s">
        <v>850</v>
      </c>
      <c r="B805" s="38" t="n">
        <v>12</v>
      </c>
      <c r="C805" s="38" t="s">
        <v>171</v>
      </c>
      <c r="D805" s="38" t="s">
        <v>867</v>
      </c>
      <c r="E805" s="38" t="str">
        <f aca="false">B805&amp;"|"&amp;C805</f>
        <v>12|U</v>
      </c>
      <c r="F805" s="45" t="n">
        <f aca="false">INDEX('Emission Stepwise'!$H$2:$H$289,MATCH(E805,'Emission Stepwise'!$C$2:$C$289,0))</f>
        <v>0.591133004926108</v>
      </c>
      <c r="G805" s="45" t="n">
        <f aca="false">INDEX(Background!$C$4:$C$7,MATCH(C805,Background!$A$4:$A$7,0))</f>
        <v>0.212884169069555</v>
      </c>
      <c r="H805" s="49" t="n">
        <f aca="false">LN(F805/G805)</f>
        <v>1.02129283211491</v>
      </c>
    </row>
    <row r="806" customFormat="false" ht="15" hidden="false" customHeight="true" outlineLevel="0" collapsed="false">
      <c r="A806" s="38" t="s">
        <v>850</v>
      </c>
      <c r="B806" s="38" t="n">
        <v>13</v>
      </c>
      <c r="C806" s="38" t="s">
        <v>169</v>
      </c>
      <c r="D806" s="38" t="s">
        <v>867</v>
      </c>
      <c r="E806" s="38" t="str">
        <f aca="false">B806&amp;"|"&amp;C806</f>
        <v>13|G</v>
      </c>
      <c r="F806" s="45" t="n">
        <f aca="false">INDEX('Emission Stepwise'!$H$2:$H$289,MATCH(E806,'Emission Stepwise'!$C$2:$C$289,0))</f>
        <v>0.0985221674876847</v>
      </c>
      <c r="G806" s="45" t="n">
        <f aca="false">INDEX(Background!$C$4:$C$7,MATCH(C806,Background!$A$4:$A$7,0))</f>
        <v>0.325128349391659</v>
      </c>
      <c r="H806" s="49" t="n">
        <f aca="false">LN(F806/G806)</f>
        <v>-1.19393845207965</v>
      </c>
    </row>
    <row r="807" customFormat="false" ht="15" hidden="false" customHeight="true" outlineLevel="0" collapsed="false">
      <c r="A807" s="38" t="s">
        <v>850</v>
      </c>
      <c r="B807" s="38" t="n">
        <v>14</v>
      </c>
      <c r="C807" s="38" t="s">
        <v>172</v>
      </c>
      <c r="D807" s="38" t="s">
        <v>867</v>
      </c>
      <c r="E807" s="38" t="str">
        <f aca="false">B807&amp;"|"&amp;C807</f>
        <v>14|A</v>
      </c>
      <c r="F807" s="45" t="n">
        <f aca="false">INDEX('Emission Stepwise'!$H$2:$H$289,MATCH(E807,'Emission Stepwise'!$C$2:$C$289,0))</f>
        <v>0.975369458128079</v>
      </c>
      <c r="G807" s="45" t="n">
        <f aca="false">INDEX(Background!$C$4:$C$7,MATCH(C807,Background!$A$4:$A$7,0))</f>
        <v>0.185174766157958</v>
      </c>
      <c r="H807" s="49" t="n">
        <f aca="false">LN(F807/G807)</f>
        <v>1.66151626955281</v>
      </c>
    </row>
    <row r="808" customFormat="false" ht="15" hidden="false" customHeight="true" outlineLevel="0" collapsed="false">
      <c r="A808" s="38" t="s">
        <v>850</v>
      </c>
      <c r="B808" s="38" t="n">
        <v>15</v>
      </c>
      <c r="C808" s="38" t="s">
        <v>172</v>
      </c>
      <c r="D808" s="38" t="s">
        <v>867</v>
      </c>
      <c r="E808" s="38" t="str">
        <f aca="false">B808&amp;"|"&amp;C808</f>
        <v>15|A</v>
      </c>
      <c r="F808" s="45" t="n">
        <f aca="false">INDEX('Emission Stepwise'!$H$2:$H$289,MATCH(E808,'Emission Stepwise'!$C$2:$C$289,0))</f>
        <v>0.168316831683168</v>
      </c>
      <c r="G808" s="45" t="n">
        <f aca="false">INDEX(Background!$C$4:$C$7,MATCH(C808,Background!$A$4:$A$7,0))</f>
        <v>0.185174766157958</v>
      </c>
      <c r="H808" s="49" t="n">
        <f aca="false">LN(F808/G808)</f>
        <v>-0.0954519548849783</v>
      </c>
    </row>
    <row r="809" customFormat="false" ht="15" hidden="false" customHeight="true" outlineLevel="0" collapsed="false">
      <c r="A809" s="38" t="s">
        <v>850</v>
      </c>
      <c r="B809" s="38" t="n">
        <v>16</v>
      </c>
      <c r="C809" s="38" t="s">
        <v>176</v>
      </c>
      <c r="D809" s="38" t="s">
        <v>867</v>
      </c>
      <c r="E809" s="38"/>
      <c r="F809" s="38"/>
      <c r="G809" s="38"/>
      <c r="H809" s="38"/>
    </row>
    <row r="810" customFormat="false" ht="15" hidden="false" customHeight="true" outlineLevel="0" collapsed="false">
      <c r="A810" s="38" t="s">
        <v>850</v>
      </c>
      <c r="B810" s="38" t="n">
        <v>17</v>
      </c>
      <c r="C810" s="38" t="s">
        <v>172</v>
      </c>
      <c r="D810" s="38" t="s">
        <v>867</v>
      </c>
      <c r="E810" s="38" t="str">
        <f aca="false">B810&amp;"|"&amp;C810</f>
        <v>17|A</v>
      </c>
      <c r="F810" s="45" t="n">
        <f aca="false">INDEX('Emission Stepwise'!$H$2:$H$289,MATCH(E810,'Emission Stepwise'!$C$2:$C$289,0))</f>
        <v>0.065</v>
      </c>
      <c r="G810" s="45" t="n">
        <f aca="false">INDEX(Background!$C$4:$C$7,MATCH(C810,Background!$A$4:$A$7,0))</f>
        <v>0.185174766157958</v>
      </c>
      <c r="H810" s="49" t="n">
        <f aca="false">LN(F810/G810)</f>
        <v>-1.04691279118643</v>
      </c>
    </row>
    <row r="811" customFormat="false" ht="15" hidden="false" customHeight="true" outlineLevel="0" collapsed="false">
      <c r="A811" s="38" t="s">
        <v>850</v>
      </c>
      <c r="B811" s="38" t="n">
        <v>18</v>
      </c>
      <c r="C811" s="38" t="s">
        <v>169</v>
      </c>
      <c r="D811" s="38" t="s">
        <v>867</v>
      </c>
      <c r="E811" s="38" t="str">
        <f aca="false">B811&amp;"|"&amp;C811</f>
        <v>18|G</v>
      </c>
      <c r="F811" s="45" t="n">
        <f aca="false">INDEX('Emission Stepwise'!$H$2:$H$289,MATCH(E811,'Emission Stepwise'!$C$2:$C$289,0))</f>
        <v>0.980295566502463</v>
      </c>
      <c r="G811" s="45" t="n">
        <f aca="false">INDEX(Background!$C$4:$C$7,MATCH(C811,Background!$A$4:$A$7,0))</f>
        <v>0.325128349391659</v>
      </c>
      <c r="H811" s="49" t="n">
        <f aca="false">LN(F811/G811)</f>
        <v>1.10363409909085</v>
      </c>
    </row>
    <row r="812" customFormat="false" ht="15" hidden="false" customHeight="true" outlineLevel="0" collapsed="false">
      <c r="A812" s="38" t="s">
        <v>850</v>
      </c>
      <c r="B812" s="38" t="n">
        <v>19</v>
      </c>
      <c r="C812" s="38" t="s">
        <v>169</v>
      </c>
      <c r="D812" s="38" t="s">
        <v>867</v>
      </c>
      <c r="E812" s="38" t="str">
        <f aca="false">B812&amp;"|"&amp;C812</f>
        <v>19|G</v>
      </c>
      <c r="F812" s="45" t="n">
        <f aca="false">INDEX('Emission Stepwise'!$H$2:$H$289,MATCH(E812,'Emission Stepwise'!$C$2:$C$289,0))</f>
        <v>0.970443349753695</v>
      </c>
      <c r="G812" s="45" t="n">
        <f aca="false">INDEX(Background!$C$4:$C$7,MATCH(C812,Background!$A$4:$A$7,0))</f>
        <v>0.325128349391659</v>
      </c>
      <c r="H812" s="49" t="n">
        <f aca="false">LN(F812/G812)</f>
        <v>1.09353300310435</v>
      </c>
    </row>
    <row r="813" customFormat="false" ht="15" hidden="false" customHeight="true" outlineLevel="0" collapsed="false">
      <c r="A813" s="38" t="s">
        <v>850</v>
      </c>
      <c r="B813" s="38" t="n">
        <v>20</v>
      </c>
      <c r="C813" s="38" t="s">
        <v>172</v>
      </c>
      <c r="D813" s="38" t="s">
        <v>867</v>
      </c>
      <c r="E813" s="38" t="str">
        <f aca="false">B813&amp;"|"&amp;C813</f>
        <v>20|A</v>
      </c>
      <c r="F813" s="45" t="n">
        <f aca="false">INDEX('Emission Stepwise'!$H$2:$H$289,MATCH(E813,'Emission Stepwise'!$C$2:$C$289,0))</f>
        <v>0.0891089108910891</v>
      </c>
      <c r="G813" s="45" t="n">
        <f aca="false">INDEX(Background!$C$4:$C$7,MATCH(C813,Background!$A$4:$A$7,0))</f>
        <v>0.185174766157958</v>
      </c>
      <c r="H813" s="49" t="n">
        <f aca="false">LN(F813/G813)</f>
        <v>-0.731440721604975</v>
      </c>
    </row>
    <row r="814" customFormat="false" ht="15" hidden="false" customHeight="true" outlineLevel="0" collapsed="false">
      <c r="A814" s="38" t="s">
        <v>850</v>
      </c>
      <c r="B814" s="38" t="n">
        <v>21</v>
      </c>
      <c r="C814" s="38" t="s">
        <v>172</v>
      </c>
      <c r="D814" s="38" t="s">
        <v>867</v>
      </c>
      <c r="E814" s="38" t="str">
        <f aca="false">B814&amp;"|"&amp;C814</f>
        <v>21|A</v>
      </c>
      <c r="F814" s="45" t="n">
        <f aca="false">INDEX('Emission Stepwise'!$H$2:$H$289,MATCH(E814,'Emission Stepwise'!$C$2:$C$289,0))</f>
        <v>0.881773399014778</v>
      </c>
      <c r="G814" s="45" t="n">
        <f aca="false">INDEX(Background!$C$4:$C$7,MATCH(C814,Background!$A$4:$A$7,0))</f>
        <v>0.185174766157958</v>
      </c>
      <c r="H814" s="49" t="n">
        <f aca="false">LN(F814/G814)</f>
        <v>1.56063504469903</v>
      </c>
    </row>
    <row r="815" customFormat="false" ht="15" hidden="false" customHeight="true" outlineLevel="0" collapsed="false">
      <c r="A815" s="38" t="s">
        <v>850</v>
      </c>
      <c r="B815" s="38" t="n">
        <v>22</v>
      </c>
      <c r="C815" s="38" t="s">
        <v>171</v>
      </c>
      <c r="D815" s="38" t="s">
        <v>867</v>
      </c>
      <c r="E815" s="38" t="str">
        <f aca="false">B815&amp;"|"&amp;C815</f>
        <v>22|U</v>
      </c>
      <c r="F815" s="45" t="n">
        <f aca="false">INDEX('Emission Stepwise'!$H$2:$H$289,MATCH(E815,'Emission Stepwise'!$C$2:$C$289,0))</f>
        <v>0.0738916256157636</v>
      </c>
      <c r="G815" s="45" t="n">
        <f aca="false">INDEX(Background!$C$4:$C$7,MATCH(C815,Background!$A$4:$A$7,0))</f>
        <v>0.212884169069555</v>
      </c>
      <c r="H815" s="49" t="n">
        <f aca="false">LN(F815/G815)</f>
        <v>-1.05814870956492</v>
      </c>
    </row>
    <row r="816" customFormat="false" ht="15" hidden="false" customHeight="true" outlineLevel="0" collapsed="false">
      <c r="A816" s="38" t="s">
        <v>850</v>
      </c>
      <c r="B816" s="38" t="n">
        <v>23</v>
      </c>
      <c r="C816" s="38" t="s">
        <v>172</v>
      </c>
      <c r="D816" s="38" t="s">
        <v>867</v>
      </c>
      <c r="E816" s="38" t="str">
        <f aca="false">B816&amp;"|"&amp;C816</f>
        <v>23|A</v>
      </c>
      <c r="F816" s="45" t="n">
        <f aca="false">INDEX('Emission Stepwise'!$H$2:$H$289,MATCH(E816,'Emission Stepwise'!$C$2:$C$289,0))</f>
        <v>0.596059113300493</v>
      </c>
      <c r="G816" s="45" t="n">
        <f aca="false">INDEX(Background!$C$4:$C$7,MATCH(C816,Background!$A$4:$A$7,0))</f>
        <v>0.185174766157958</v>
      </c>
      <c r="H816" s="49" t="n">
        <f aca="false">LN(F816/G816)</f>
        <v>1.16903978445502</v>
      </c>
    </row>
    <row r="817" customFormat="false" ht="15" hidden="false" customHeight="true" outlineLevel="0" collapsed="false">
      <c r="A817" s="38" t="s">
        <v>850</v>
      </c>
      <c r="B817" s="38" t="n">
        <v>24</v>
      </c>
      <c r="C817" s="38" t="s">
        <v>171</v>
      </c>
      <c r="D817" s="38" t="s">
        <v>867</v>
      </c>
      <c r="E817" s="38" t="str">
        <f aca="false">B817&amp;"|"&amp;C817</f>
        <v>24|U</v>
      </c>
      <c r="F817" s="45" t="n">
        <f aca="false">INDEX('Emission Stepwise'!$H$2:$H$289,MATCH(E817,'Emission Stepwise'!$C$2:$C$289,0))</f>
        <v>0.0394088669950739</v>
      </c>
      <c r="G817" s="45" t="n">
        <f aca="false">INDEX(Background!$C$4:$C$7,MATCH(C817,Background!$A$4:$A$7,0))</f>
        <v>0.212884169069555</v>
      </c>
      <c r="H817" s="49" t="n">
        <f aca="false">LN(F817/G817)</f>
        <v>-1.6867573689873</v>
      </c>
    </row>
    <row r="818" customFormat="false" ht="15" hidden="false" customHeight="true" outlineLevel="0" collapsed="false">
      <c r="A818" s="38" t="s">
        <v>850</v>
      </c>
      <c r="B818" s="38" t="n">
        <v>25</v>
      </c>
      <c r="C818" s="38" t="s">
        <v>172</v>
      </c>
      <c r="D818" s="38" t="s">
        <v>867</v>
      </c>
      <c r="E818" s="38" t="str">
        <f aca="false">B818&amp;"|"&amp;C818</f>
        <v>25|A</v>
      </c>
      <c r="F818" s="45" t="n">
        <f aca="false">INDEX('Emission Stepwise'!$H$2:$H$289,MATCH(E818,'Emission Stepwise'!$C$2:$C$289,0))</f>
        <v>0.00985221674876847</v>
      </c>
      <c r="G818" s="45" t="n">
        <f aca="false">INDEX(Background!$C$4:$C$7,MATCH(C818,Background!$A$4:$A$7,0))</f>
        <v>0.185174766157958</v>
      </c>
      <c r="H818" s="49" t="n">
        <f aca="false">LN(F818/G818)</f>
        <v>-2.93360358058178</v>
      </c>
    </row>
    <row r="819" customFormat="false" ht="15" hidden="false" customHeight="true" outlineLevel="0" collapsed="false">
      <c r="A819" s="38" t="s">
        <v>850</v>
      </c>
      <c r="B819" s="38" t="n">
        <v>26</v>
      </c>
      <c r="C819" s="38" t="s">
        <v>171</v>
      </c>
      <c r="D819" s="38" t="s">
        <v>868</v>
      </c>
      <c r="E819" s="38" t="str">
        <f aca="false">B819&amp;"|"&amp;C819</f>
        <v>26|U</v>
      </c>
      <c r="F819" s="45" t="n">
        <f aca="false">INDEX('Emission Stepwise'!$H$2:$H$289,MATCH(E819,'Emission Stepwise'!$C$2:$C$289,0))</f>
        <v>0.0591133004926108</v>
      </c>
      <c r="G819" s="45" t="n">
        <f aca="false">INDEX(Background!$C$4:$C$7,MATCH(C819,Background!$A$4:$A$7,0))</f>
        <v>0.212884169069555</v>
      </c>
      <c r="H819" s="49" t="n">
        <f aca="false">LN(F819/G819)</f>
        <v>-1.28129226087913</v>
      </c>
    </row>
    <row r="820" customFormat="false" ht="15" hidden="false" customHeight="true" outlineLevel="0" collapsed="false">
      <c r="A820" s="38" t="s">
        <v>850</v>
      </c>
      <c r="B820" s="38" t="n">
        <v>27</v>
      </c>
      <c r="C820" s="38" t="s">
        <v>169</v>
      </c>
      <c r="D820" s="38" t="s">
        <v>868</v>
      </c>
      <c r="E820" s="38" t="str">
        <f aca="false">B820&amp;"|"&amp;C820</f>
        <v>27|G</v>
      </c>
      <c r="F820" s="45" t="n">
        <f aca="false">INDEX('Emission Stepwise'!$H$2:$H$289,MATCH(E820,'Emission Stepwise'!$C$2:$C$289,0))</f>
        <v>0.157635467980296</v>
      </c>
      <c r="G820" s="45" t="n">
        <f aca="false">INDEX(Background!$C$4:$C$7,MATCH(C820,Background!$A$4:$A$7,0))</f>
        <v>0.325128349391659</v>
      </c>
      <c r="H820" s="49" t="n">
        <f aca="false">LN(F820/G820)</f>
        <v>-0.723934822833912</v>
      </c>
    </row>
    <row r="821" customFormat="false" ht="15" hidden="false" customHeight="true" outlineLevel="0" collapsed="false">
      <c r="A821" s="38" t="s">
        <v>850</v>
      </c>
      <c r="B821" s="38" t="n">
        <v>28</v>
      </c>
      <c r="C821" s="38" t="s">
        <v>171</v>
      </c>
      <c r="D821" s="38" t="s">
        <v>868</v>
      </c>
      <c r="E821" s="38" t="str">
        <f aca="false">B821&amp;"|"&amp;C821</f>
        <v>28|U</v>
      </c>
      <c r="F821" s="45" t="n">
        <f aca="false">INDEX('Emission Stepwise'!$H$2:$H$289,MATCH(E821,'Emission Stepwise'!$C$2:$C$289,0))</f>
        <v>0.251231527093596</v>
      </c>
      <c r="G821" s="45" t="n">
        <f aca="false">INDEX(Background!$C$4:$C$7,MATCH(C821,Background!$A$4:$A$7,0))</f>
        <v>0.212884169069555</v>
      </c>
      <c r="H821" s="49" t="n">
        <f aca="false">LN(F821/G821)</f>
        <v>0.165626722057194</v>
      </c>
    </row>
    <row r="822" customFormat="false" ht="15" hidden="false" customHeight="true" outlineLevel="0" collapsed="false">
      <c r="A822" s="38" t="s">
        <v>850</v>
      </c>
      <c r="B822" s="38" t="n">
        <v>29</v>
      </c>
      <c r="C822" s="38" t="s">
        <v>169</v>
      </c>
      <c r="D822" s="38" t="s">
        <v>868</v>
      </c>
      <c r="E822" s="38" t="str">
        <f aca="false">B822&amp;"|"&amp;C822</f>
        <v>29|G</v>
      </c>
      <c r="F822" s="45" t="n">
        <f aca="false">INDEX('Emission Stepwise'!$H$2:$H$289,MATCH(E822,'Emission Stepwise'!$C$2:$C$289,0))</f>
        <v>0.38423645320197</v>
      </c>
      <c r="G822" s="45" t="n">
        <f aca="false">INDEX(Background!$C$4:$C$7,MATCH(C822,Background!$A$4:$A$7,0))</f>
        <v>0.325128349391659</v>
      </c>
      <c r="H822" s="49" t="n">
        <f aca="false">LN(F822/G822)</f>
        <v>0.167038101055953</v>
      </c>
    </row>
    <row r="823" customFormat="false" ht="15" hidden="false" customHeight="true" outlineLevel="0" collapsed="false">
      <c r="A823" s="38" t="s">
        <v>850</v>
      </c>
      <c r="B823" s="38" t="n">
        <v>30</v>
      </c>
      <c r="C823" s="38" t="s">
        <v>169</v>
      </c>
      <c r="D823" s="38" t="s">
        <v>868</v>
      </c>
      <c r="E823" s="38" t="str">
        <f aca="false">B823&amp;"|"&amp;C823</f>
        <v>30|G</v>
      </c>
      <c r="F823" s="45" t="n">
        <f aca="false">INDEX('Emission Stepwise'!$H$2:$H$289,MATCH(E823,'Emission Stepwise'!$C$2:$C$289,0))</f>
        <v>0.74384236453202</v>
      </c>
      <c r="G823" s="45" t="n">
        <f aca="false">INDEX(Background!$C$4:$C$7,MATCH(C823,Background!$A$4:$A$7,0))</f>
        <v>0.325128349391659</v>
      </c>
      <c r="H823" s="49" t="n">
        <f aca="false">LN(F823/G823)</f>
        <v>0.827609111181286</v>
      </c>
    </row>
    <row r="824" customFormat="false" ht="15" hidden="false" customHeight="true" outlineLevel="0" collapsed="false">
      <c r="A824" s="38" t="s">
        <v>850</v>
      </c>
      <c r="B824" s="38" t="n">
        <v>31</v>
      </c>
      <c r="C824" s="38" t="s">
        <v>172</v>
      </c>
      <c r="D824" s="38" t="s">
        <v>868</v>
      </c>
      <c r="E824" s="38" t="str">
        <f aca="false">B824&amp;"|"&amp;C824</f>
        <v>31|A</v>
      </c>
      <c r="F824" s="45" t="n">
        <f aca="false">INDEX('Emission Stepwise'!$H$2:$H$289,MATCH(E824,'Emission Stepwise'!$C$2:$C$289,0))</f>
        <v>0.270935960591133</v>
      </c>
      <c r="G824" s="45" t="n">
        <f aca="false">INDEX(Background!$C$4:$C$7,MATCH(C824,Background!$A$4:$A$7,0))</f>
        <v>0.185174766157958</v>
      </c>
      <c r="H824" s="49" t="n">
        <f aca="false">LN(F824/G824)</f>
        <v>0.380582424090749</v>
      </c>
    </row>
    <row r="825" customFormat="false" ht="15" hidden="false" customHeight="true" outlineLevel="0" collapsed="false">
      <c r="A825" s="38" t="s">
        <v>850</v>
      </c>
      <c r="B825" s="38" t="n">
        <v>32</v>
      </c>
      <c r="C825" s="38" t="s">
        <v>170</v>
      </c>
      <c r="D825" s="38" t="s">
        <v>868</v>
      </c>
      <c r="E825" s="38" t="str">
        <f aca="false">B825&amp;"|"&amp;C825</f>
        <v>32|C</v>
      </c>
      <c r="F825" s="45" t="n">
        <f aca="false">INDEX('Emission Stepwise'!$H$2:$H$289,MATCH(E825,'Emission Stepwise'!$C$2:$C$289,0))</f>
        <v>0.665024630541872</v>
      </c>
      <c r="G825" s="45" t="n">
        <f aca="false">INDEX(Background!$C$4:$C$7,MATCH(C825,Background!$A$4:$A$7,0))</f>
        <v>0.276812715380828</v>
      </c>
      <c r="H825" s="49" t="n">
        <f aca="false">LN(F825/G825)</f>
        <v>0.876482918620873</v>
      </c>
    </row>
    <row r="826" customFormat="false" ht="15" hidden="false" customHeight="true" outlineLevel="0" collapsed="false">
      <c r="A826" s="38" t="s">
        <v>850</v>
      </c>
      <c r="B826" s="38" t="n">
        <v>33</v>
      </c>
      <c r="C826" s="38" t="s">
        <v>171</v>
      </c>
      <c r="D826" s="38" t="s">
        <v>868</v>
      </c>
      <c r="E826" s="38" t="str">
        <f aca="false">B826&amp;"|"&amp;C826</f>
        <v>33|U</v>
      </c>
      <c r="F826" s="45" t="n">
        <f aca="false">INDEX('Emission Stepwise'!$H$2:$H$289,MATCH(E826,'Emission Stepwise'!$C$2:$C$289,0))</f>
        <v>0.975369458128079</v>
      </c>
      <c r="G826" s="45" t="n">
        <f aca="false">INDEX(Background!$C$4:$C$7,MATCH(C826,Background!$A$4:$A$7,0))</f>
        <v>0.212884169069555</v>
      </c>
      <c r="H826" s="49" t="n">
        <f aca="false">LN(F826/G826)</f>
        <v>1.5220681200274</v>
      </c>
    </row>
    <row r="827" customFormat="false" ht="15" hidden="false" customHeight="true" outlineLevel="0" collapsed="false">
      <c r="A827" s="38" t="s">
        <v>850</v>
      </c>
      <c r="B827" s="38" t="n">
        <v>34</v>
      </c>
      <c r="C827" s="38" t="s">
        <v>171</v>
      </c>
      <c r="D827" s="38" t="s">
        <v>868</v>
      </c>
      <c r="E827" s="38" t="str">
        <f aca="false">B827&amp;"|"&amp;C827</f>
        <v>34|U</v>
      </c>
      <c r="F827" s="45" t="n">
        <f aca="false">INDEX('Emission Stepwise'!$H$2:$H$289,MATCH(E827,'Emission Stepwise'!$C$2:$C$289,0))</f>
        <v>0.29064039408867</v>
      </c>
      <c r="G827" s="45" t="n">
        <f aca="false">INDEX(Background!$C$4:$C$7,MATCH(C827,Background!$A$4:$A$7,0))</f>
        <v>0.212884169069555</v>
      </c>
      <c r="H827" s="49" t="n">
        <f aca="false">LN(F827/G827)</f>
        <v>0.311338533238588</v>
      </c>
    </row>
    <row r="828" customFormat="false" ht="15" hidden="false" customHeight="true" outlineLevel="0" collapsed="false">
      <c r="A828" s="38" t="s">
        <v>850</v>
      </c>
      <c r="B828" s="38" t="n">
        <v>35</v>
      </c>
      <c r="C828" s="38" t="s">
        <v>171</v>
      </c>
      <c r="D828" s="38" t="s">
        <v>868</v>
      </c>
      <c r="E828" s="38" t="str">
        <f aca="false">B828&amp;"|"&amp;C828</f>
        <v>35|U</v>
      </c>
      <c r="F828" s="45" t="n">
        <f aca="false">INDEX('Emission Stepwise'!$H$2:$H$289,MATCH(E828,'Emission Stepwise'!$C$2:$C$289,0))</f>
        <v>0.206896551724138</v>
      </c>
      <c r="G828" s="45" t="n">
        <f aca="false">INDEX(Background!$C$4:$C$7,MATCH(C828,Background!$A$4:$A$7,0))</f>
        <v>0.212884169069555</v>
      </c>
      <c r="H828" s="49" t="n">
        <f aca="false">LN(F828/G828)</f>
        <v>-0.0285292923837632</v>
      </c>
    </row>
    <row r="829" customFormat="false" ht="15" hidden="false" customHeight="true" outlineLevel="0" collapsed="false">
      <c r="A829" s="38" t="s">
        <v>850</v>
      </c>
      <c r="B829" s="38" t="n">
        <v>36</v>
      </c>
      <c r="C829" s="38" t="s">
        <v>172</v>
      </c>
      <c r="D829" s="38" t="s">
        <v>868</v>
      </c>
      <c r="E829" s="38" t="str">
        <f aca="false">B829&amp;"|"&amp;C829</f>
        <v>36|A</v>
      </c>
      <c r="F829" s="45" t="n">
        <f aca="false">INDEX('Emission Stepwise'!$H$2:$H$289,MATCH(E829,'Emission Stepwise'!$C$2:$C$289,0))</f>
        <v>0.216748768472906</v>
      </c>
      <c r="G829" s="45" t="n">
        <f aca="false">INDEX(Background!$C$4:$C$7,MATCH(C829,Background!$A$4:$A$7,0))</f>
        <v>0.185174766157958</v>
      </c>
      <c r="H829" s="49" t="n">
        <f aca="false">LN(F829/G829)</f>
        <v>0.157438872776539</v>
      </c>
    </row>
    <row r="830" customFormat="false" ht="15" hidden="false" customHeight="true" outlineLevel="0" collapsed="false">
      <c r="A830" s="38" t="s">
        <v>850</v>
      </c>
      <c r="B830" s="38" t="n">
        <v>37</v>
      </c>
      <c r="C830" s="38" t="s">
        <v>170</v>
      </c>
      <c r="D830" s="38" t="s">
        <v>868</v>
      </c>
      <c r="E830" s="38" t="str">
        <f aca="false">B830&amp;"|"&amp;C830</f>
        <v>37|C</v>
      </c>
      <c r="F830" s="45" t="n">
        <f aca="false">INDEX('Emission Stepwise'!$H$2:$H$289,MATCH(E830,'Emission Stepwise'!$C$2:$C$289,0))</f>
        <v>0.00985221674876847</v>
      </c>
      <c r="G830" s="45" t="n">
        <f aca="false">INDEX(Background!$C$4:$C$7,MATCH(C830,Background!$A$4:$A$7,0))</f>
        <v>0.276812715380828</v>
      </c>
      <c r="H830" s="49" t="n">
        <f aca="false">LN(F830/G830)</f>
        <v>-3.33564467925761</v>
      </c>
    </row>
    <row r="831" customFormat="false" ht="15" hidden="false" customHeight="true" outlineLevel="0" collapsed="false">
      <c r="A831" s="38" t="s">
        <v>850</v>
      </c>
      <c r="B831" s="38" t="n">
        <v>38</v>
      </c>
      <c r="C831" s="38" t="s">
        <v>169</v>
      </c>
      <c r="D831" s="38" t="s">
        <v>868</v>
      </c>
      <c r="E831" s="38" t="str">
        <f aca="false">B831&amp;"|"&amp;C831</f>
        <v>38|G</v>
      </c>
      <c r="F831" s="45" t="n">
        <f aca="false">INDEX('Emission Stepwise'!$H$2:$H$289,MATCH(E831,'Emission Stepwise'!$C$2:$C$289,0))</f>
        <v>0.00985221674876847</v>
      </c>
      <c r="G831" s="45" t="n">
        <f aca="false">INDEX(Background!$C$4:$C$7,MATCH(C831,Background!$A$4:$A$7,0))</f>
        <v>0.325128349391659</v>
      </c>
      <c r="H831" s="49" t="n">
        <f aca="false">LN(F831/G831)</f>
        <v>-3.49652354507369</v>
      </c>
    </row>
    <row r="832" customFormat="false" ht="15" hidden="false" customHeight="true" outlineLevel="0" collapsed="false">
      <c r="A832" s="38" t="s">
        <v>850</v>
      </c>
      <c r="B832" s="38" t="n">
        <v>39</v>
      </c>
      <c r="C832" s="38" t="s">
        <v>171</v>
      </c>
      <c r="D832" s="38" t="s">
        <v>868</v>
      </c>
      <c r="E832" s="38" t="str">
        <f aca="false">B832&amp;"|"&amp;C832</f>
        <v>39|U</v>
      </c>
      <c r="F832" s="45" t="n">
        <f aca="false">INDEX('Emission Stepwise'!$H$2:$H$289,MATCH(E832,'Emission Stepwise'!$C$2:$C$289,0))</f>
        <v>0.295566502463054</v>
      </c>
      <c r="G832" s="45" t="n">
        <f aca="false">INDEX(Background!$C$4:$C$7,MATCH(C832,Background!$A$4:$A$7,0))</f>
        <v>0.212884169069555</v>
      </c>
      <c r="H832" s="49" t="n">
        <f aca="false">LN(F832/G832)</f>
        <v>0.328145651554969</v>
      </c>
    </row>
    <row r="833" customFormat="false" ht="15" hidden="false" customHeight="true" outlineLevel="0" collapsed="false">
      <c r="A833" s="38" t="s">
        <v>850</v>
      </c>
      <c r="B833" s="38" t="n">
        <v>40</v>
      </c>
      <c r="C833" s="38" t="s">
        <v>171</v>
      </c>
      <c r="D833" s="38" t="s">
        <v>868</v>
      </c>
      <c r="E833" s="38" t="str">
        <f aca="false">B833&amp;"|"&amp;C833</f>
        <v>40|U</v>
      </c>
      <c r="F833" s="45" t="n">
        <f aca="false">INDEX('Emission Stepwise'!$H$2:$H$289,MATCH(E833,'Emission Stepwise'!$C$2:$C$289,0))</f>
        <v>0.0443349753694581</v>
      </c>
      <c r="G833" s="45" t="n">
        <f aca="false">INDEX(Background!$C$4:$C$7,MATCH(C833,Background!$A$4:$A$7,0))</f>
        <v>0.212884169069555</v>
      </c>
      <c r="H833" s="49" t="n">
        <f aca="false">LN(F833/G833)</f>
        <v>-1.56897433333091</v>
      </c>
    </row>
    <row r="834" customFormat="false" ht="15" hidden="false" customHeight="true" outlineLevel="0" collapsed="false">
      <c r="A834" s="38" t="s">
        <v>850</v>
      </c>
      <c r="B834" s="38" t="n">
        <v>41</v>
      </c>
      <c r="C834" s="38" t="s">
        <v>171</v>
      </c>
      <c r="D834" s="38" t="s">
        <v>868</v>
      </c>
      <c r="E834" s="38" t="str">
        <f aca="false">B834&amp;"|"&amp;C834</f>
        <v>41|U</v>
      </c>
      <c r="F834" s="45" t="n">
        <f aca="false">INDEX('Emission Stepwise'!$H$2:$H$289,MATCH(E834,'Emission Stepwise'!$C$2:$C$289,0))</f>
        <v>0.167487684729064</v>
      </c>
      <c r="G834" s="45" t="n">
        <f aca="false">INDEX(Background!$C$4:$C$7,MATCH(C834,Background!$A$4:$A$7,0))</f>
        <v>0.212884169069555</v>
      </c>
      <c r="H834" s="49" t="n">
        <f aca="false">LN(F834/G834)</f>
        <v>-0.23983838605097</v>
      </c>
    </row>
    <row r="835" customFormat="false" ht="15" hidden="false" customHeight="true" outlineLevel="0" collapsed="false">
      <c r="A835" s="38" t="s">
        <v>850</v>
      </c>
      <c r="B835" s="38" t="n">
        <v>42</v>
      </c>
      <c r="C835" s="38" t="s">
        <v>172</v>
      </c>
      <c r="D835" s="38" t="s">
        <v>868</v>
      </c>
      <c r="E835" s="38" t="str">
        <f aca="false">B835&amp;"|"&amp;C835</f>
        <v>42|A</v>
      </c>
      <c r="F835" s="45" t="n">
        <f aca="false">INDEX('Emission Stepwise'!$H$2:$H$289,MATCH(E835,'Emission Stepwise'!$C$2:$C$289,0))</f>
        <v>0.241379310344828</v>
      </c>
      <c r="G835" s="45" t="n">
        <f aca="false">INDEX(Background!$C$4:$C$7,MATCH(C835,Background!$A$4:$A$7,0))</f>
        <v>0.185174766157958</v>
      </c>
      <c r="H835" s="49" t="n">
        <f aca="false">LN(F835/G835)</f>
        <v>0.265069536968904</v>
      </c>
    </row>
    <row r="836" customFormat="false" ht="15" hidden="false" customHeight="true" outlineLevel="0" collapsed="false">
      <c r="A836" s="38" t="s">
        <v>850</v>
      </c>
      <c r="B836" s="38" t="n">
        <v>43</v>
      </c>
      <c r="C836" s="38" t="s">
        <v>170</v>
      </c>
      <c r="D836" s="38" t="s">
        <v>868</v>
      </c>
      <c r="E836" s="38" t="str">
        <f aca="false">B836&amp;"|"&amp;C836</f>
        <v>43|C</v>
      </c>
      <c r="F836" s="45" t="n">
        <f aca="false">INDEX('Emission Stepwise'!$H$2:$H$289,MATCH(E836,'Emission Stepwise'!$C$2:$C$289,0))</f>
        <v>0.118226600985222</v>
      </c>
      <c r="G836" s="45" t="n">
        <f aca="false">INDEX(Background!$C$4:$C$7,MATCH(C836,Background!$A$4:$A$7,0))</f>
        <v>0.276812715380828</v>
      </c>
      <c r="H836" s="49" t="n">
        <f aca="false">LN(F836/G836)</f>
        <v>-0.850738029469611</v>
      </c>
    </row>
    <row r="837" customFormat="false" ht="15" hidden="false" customHeight="true" outlineLevel="0" collapsed="false">
      <c r="A837" s="38" t="s">
        <v>850</v>
      </c>
      <c r="B837" s="38" t="n">
        <v>44</v>
      </c>
      <c r="C837" s="38" t="s">
        <v>171</v>
      </c>
      <c r="D837" s="38" t="s">
        <v>868</v>
      </c>
      <c r="E837" s="38" t="str">
        <f aca="false">B837&amp;"|"&amp;C837</f>
        <v>44|U</v>
      </c>
      <c r="F837" s="45" t="n">
        <f aca="false">INDEX('Emission Stepwise'!$H$2:$H$289,MATCH(E837,'Emission Stepwise'!$C$2:$C$289,0))</f>
        <v>0.118226600985222</v>
      </c>
      <c r="G837" s="45" t="n">
        <f aca="false">INDEX(Background!$C$4:$C$7,MATCH(C837,Background!$A$4:$A$7,0))</f>
        <v>0.212884169069555</v>
      </c>
      <c r="H837" s="49" t="n">
        <f aca="false">LN(F837/G837)</f>
        <v>-0.588145080319186</v>
      </c>
    </row>
    <row r="838" customFormat="false" ht="15" hidden="false" customHeight="true" outlineLevel="0" collapsed="false">
      <c r="A838" s="38" t="s">
        <v>850</v>
      </c>
      <c r="B838" s="38" t="n">
        <v>45</v>
      </c>
      <c r="C838" s="38" t="s">
        <v>170</v>
      </c>
      <c r="D838" s="38" t="s">
        <v>869</v>
      </c>
      <c r="E838" s="38" t="str">
        <f aca="false">B838&amp;"|"&amp;C838</f>
        <v>45|C</v>
      </c>
      <c r="F838" s="45" t="n">
        <f aca="false">INDEX('Emission Stepwise'!$H$2:$H$289,MATCH(E838,'Emission Stepwise'!$C$2:$C$289,0))</f>
        <v>0.0298507462686567</v>
      </c>
      <c r="G838" s="45" t="n">
        <f aca="false">INDEX(Background!$C$4:$C$7,MATCH(C838,Background!$A$4:$A$7,0))</f>
        <v>0.276812715380828</v>
      </c>
      <c r="H838" s="49" t="n">
        <f aca="false">LN(F838/G838)</f>
        <v>-2.22713131960679</v>
      </c>
    </row>
    <row r="839" customFormat="false" ht="15" hidden="false" customHeight="true" outlineLevel="0" collapsed="false">
      <c r="A839" s="38" t="s">
        <v>850</v>
      </c>
      <c r="B839" s="38" t="n">
        <v>46</v>
      </c>
      <c r="C839" s="38" t="s">
        <v>171</v>
      </c>
      <c r="D839" s="38" t="s">
        <v>869</v>
      </c>
      <c r="E839" s="38" t="str">
        <f aca="false">B839&amp;"|"&amp;C839</f>
        <v>46|U</v>
      </c>
      <c r="F839" s="45" t="n">
        <f aca="false">INDEX('Emission Stepwise'!$H$2:$H$289,MATCH(E839,'Emission Stepwise'!$C$2:$C$289,0))</f>
        <v>0.0755813953488372</v>
      </c>
      <c r="G839" s="45" t="n">
        <f aca="false">INDEX(Background!$C$4:$C$7,MATCH(C839,Background!$A$4:$A$7,0))</f>
        <v>0.212884169069555</v>
      </c>
      <c r="H839" s="49" t="n">
        <f aca="false">LN(F839/G839)</f>
        <v>-1.03553805097726</v>
      </c>
    </row>
    <row r="840" customFormat="false" ht="15" hidden="false" customHeight="true" outlineLevel="0" collapsed="false">
      <c r="A840" s="38" t="s">
        <v>850</v>
      </c>
      <c r="B840" s="38" t="n">
        <v>47</v>
      </c>
      <c r="C840" s="38" t="s">
        <v>171</v>
      </c>
      <c r="D840" s="38" t="s">
        <v>869</v>
      </c>
      <c r="E840" s="38" t="str">
        <f aca="false">B840&amp;"|"&amp;C840</f>
        <v>47|U</v>
      </c>
      <c r="F840" s="45" t="n">
        <f aca="false">INDEX('Emission Stepwise'!$H$2:$H$289,MATCH(E840,'Emission Stepwise'!$C$2:$C$289,0))</f>
        <v>0.665024630541872</v>
      </c>
      <c r="G840" s="45" t="n">
        <f aca="false">INDEX(Background!$C$4:$C$7,MATCH(C840,Background!$A$4:$A$7,0))</f>
        <v>0.212884169069555</v>
      </c>
      <c r="H840" s="49" t="n">
        <f aca="false">LN(F840/G840)</f>
        <v>1.1390758677713</v>
      </c>
    </row>
    <row r="841" customFormat="false" ht="15" hidden="false" customHeight="true" outlineLevel="0" collapsed="false">
      <c r="A841" s="38" t="s">
        <v>850</v>
      </c>
      <c r="B841" s="38" t="n">
        <v>48</v>
      </c>
      <c r="C841" s="38" t="s">
        <v>171</v>
      </c>
      <c r="D841" s="38" t="s">
        <v>869</v>
      </c>
      <c r="E841" s="38" t="str">
        <f aca="false">B841&amp;"|"&amp;C841</f>
        <v>48|U</v>
      </c>
      <c r="F841" s="45" t="n">
        <f aca="false">INDEX('Emission Stepwise'!$H$2:$H$289,MATCH(E841,'Emission Stepwise'!$C$2:$C$289,0))</f>
        <v>0.147783251231527</v>
      </c>
      <c r="G841" s="45" t="n">
        <f aca="false">INDEX(Background!$C$4:$C$7,MATCH(C841,Background!$A$4:$A$7,0))</f>
        <v>0.212884169069555</v>
      </c>
      <c r="H841" s="49" t="n">
        <f aca="false">LN(F841/G841)</f>
        <v>-0.365001529004976</v>
      </c>
    </row>
    <row r="842" customFormat="false" ht="15" hidden="false" customHeight="true" outlineLevel="0" collapsed="false">
      <c r="A842" s="38" t="s">
        <v>850</v>
      </c>
      <c r="B842" s="38" t="n">
        <v>49</v>
      </c>
      <c r="C842" s="38" t="s">
        <v>171</v>
      </c>
      <c r="D842" s="38" t="s">
        <v>870</v>
      </c>
      <c r="E842" s="38" t="str">
        <f aca="false">B842&amp;"|"&amp;C842</f>
        <v>49|U</v>
      </c>
      <c r="F842" s="45" t="n">
        <f aca="false">INDEX('Emission Stepwise'!$H$2:$H$289,MATCH(E842,'Emission Stepwise'!$C$2:$C$289,0))</f>
        <v>0.0591133004926108</v>
      </c>
      <c r="G842" s="45" t="n">
        <f aca="false">INDEX(Background!$C$4:$C$7,MATCH(C842,Background!$A$4:$A$7,0))</f>
        <v>0.212884169069555</v>
      </c>
      <c r="H842" s="49" t="n">
        <f aca="false">LN(F842/G842)</f>
        <v>-1.28129226087913</v>
      </c>
    </row>
    <row r="843" customFormat="false" ht="15" hidden="false" customHeight="true" outlineLevel="0" collapsed="false">
      <c r="A843" s="38" t="s">
        <v>850</v>
      </c>
      <c r="B843" s="38" t="n">
        <v>50</v>
      </c>
      <c r="C843" s="38" t="s">
        <v>171</v>
      </c>
      <c r="D843" s="38" t="s">
        <v>870</v>
      </c>
      <c r="E843" s="38" t="str">
        <f aca="false">B843&amp;"|"&amp;C843</f>
        <v>50|U</v>
      </c>
      <c r="F843" s="45" t="n">
        <f aca="false">INDEX('Emission Stepwise'!$H$2:$H$289,MATCH(E843,'Emission Stepwise'!$C$2:$C$289,0))</f>
        <v>0.177339901477833</v>
      </c>
      <c r="G843" s="45" t="n">
        <f aca="false">INDEX(Background!$C$4:$C$7,MATCH(C843,Background!$A$4:$A$7,0))</f>
        <v>0.212884169069555</v>
      </c>
      <c r="H843" s="49" t="n">
        <f aca="false">LN(F843/G843)</f>
        <v>-0.182679972211022</v>
      </c>
    </row>
    <row r="844" customFormat="false" ht="15" hidden="false" customHeight="true" outlineLevel="0" collapsed="false">
      <c r="A844" s="38" t="s">
        <v>850</v>
      </c>
      <c r="B844" s="38" t="n">
        <v>51</v>
      </c>
      <c r="C844" s="38" t="s">
        <v>171</v>
      </c>
      <c r="D844" s="38" t="s">
        <v>870</v>
      </c>
      <c r="E844" s="38" t="str">
        <f aca="false">B844&amp;"|"&amp;C844</f>
        <v>51|U</v>
      </c>
      <c r="F844" s="45" t="n">
        <f aca="false">INDEX('Emission Stepwise'!$H$2:$H$289,MATCH(E844,'Emission Stepwise'!$C$2:$C$289,0))</f>
        <v>0.153465346534653</v>
      </c>
      <c r="G844" s="45" t="n">
        <f aca="false">INDEX(Background!$C$4:$C$7,MATCH(C844,Background!$A$4:$A$7,0))</f>
        <v>0.212884169069555</v>
      </c>
      <c r="H844" s="49" t="n">
        <f aca="false">LN(F844/G844)</f>
        <v>-0.327273424541403</v>
      </c>
    </row>
    <row r="845" customFormat="false" ht="15" hidden="false" customHeight="true" outlineLevel="0" collapsed="false">
      <c r="A845" s="38" t="s">
        <v>850</v>
      </c>
      <c r="B845" s="38" t="n">
        <v>52</v>
      </c>
      <c r="C845" s="38" t="s">
        <v>171</v>
      </c>
      <c r="D845" s="38" t="s">
        <v>870</v>
      </c>
      <c r="E845" s="38" t="str">
        <f aca="false">B845&amp;"|"&amp;C845</f>
        <v>52|U</v>
      </c>
      <c r="F845" s="45" t="n">
        <f aca="false">INDEX('Emission Stepwise'!$H$2:$H$289,MATCH(E845,'Emission Stepwise'!$C$2:$C$289,0))</f>
        <v>0.0246305418719212</v>
      </c>
      <c r="G845" s="45" t="n">
        <f aca="false">INDEX(Background!$C$4:$C$7,MATCH(C845,Background!$A$4:$A$7,0))</f>
        <v>0.212884169069555</v>
      </c>
      <c r="H845" s="49" t="n">
        <f aca="false">LN(F845/G845)</f>
        <v>-2.15676099823303</v>
      </c>
    </row>
    <row r="846" customFormat="false" ht="15" hidden="false" customHeight="true" outlineLevel="0" collapsed="false">
      <c r="A846" s="38" t="s">
        <v>850</v>
      </c>
      <c r="B846" s="38" t="n">
        <v>53</v>
      </c>
      <c r="C846" s="38" t="s">
        <v>169</v>
      </c>
      <c r="D846" s="38" t="s">
        <v>870</v>
      </c>
      <c r="E846" s="38" t="str">
        <f aca="false">B846&amp;"|"&amp;C846</f>
        <v>53|G</v>
      </c>
      <c r="F846" s="45" t="n">
        <f aca="false">INDEX('Emission Stepwise'!$H$2:$H$289,MATCH(E846,'Emission Stepwise'!$C$2:$C$289,0))</f>
        <v>0.96551724137931</v>
      </c>
      <c r="G846" s="45" t="n">
        <f aca="false">INDEX(Background!$C$4:$C$7,MATCH(C846,Background!$A$4:$A$7,0))</f>
        <v>0.325128349391659</v>
      </c>
      <c r="H846" s="49" t="n">
        <f aca="false">LN(F846/G846)</f>
        <v>1.08844393359688</v>
      </c>
    </row>
    <row r="847" customFormat="false" ht="15" hidden="false" customHeight="true" outlineLevel="0" collapsed="false">
      <c r="A847" s="38" t="s">
        <v>850</v>
      </c>
      <c r="B847" s="38" t="n">
        <v>54</v>
      </c>
      <c r="C847" s="38" t="s">
        <v>171</v>
      </c>
      <c r="D847" s="38" t="s">
        <v>870</v>
      </c>
      <c r="E847" s="38" t="str">
        <f aca="false">B847&amp;"|"&amp;C847</f>
        <v>54|U</v>
      </c>
      <c r="F847" s="45" t="n">
        <f aca="false">INDEX('Emission Stepwise'!$H$2:$H$289,MATCH(E847,'Emission Stepwise'!$C$2:$C$289,0))</f>
        <v>0.975369458128079</v>
      </c>
      <c r="G847" s="45" t="n">
        <f aca="false">INDEX(Background!$C$4:$C$7,MATCH(C847,Background!$A$4:$A$7,0))</f>
        <v>0.212884169069555</v>
      </c>
      <c r="H847" s="49" t="n">
        <f aca="false">LN(F847/G847)</f>
        <v>1.5220681200274</v>
      </c>
    </row>
    <row r="848" customFormat="false" ht="15" hidden="false" customHeight="true" outlineLevel="0" collapsed="false">
      <c r="A848" s="38" t="s">
        <v>850</v>
      </c>
      <c r="B848" s="38" t="n">
        <v>55</v>
      </c>
      <c r="C848" s="38" t="s">
        <v>171</v>
      </c>
      <c r="D848" s="38" t="s">
        <v>870</v>
      </c>
      <c r="E848" s="38" t="str">
        <f aca="false">B848&amp;"|"&amp;C848</f>
        <v>55|U</v>
      </c>
      <c r="F848" s="45" t="n">
        <f aca="false">INDEX('Emission Stepwise'!$H$2:$H$289,MATCH(E848,'Emission Stepwise'!$C$2:$C$289,0))</f>
        <v>0.970443349753695</v>
      </c>
      <c r="G848" s="45" t="n">
        <f aca="false">INDEX(Background!$C$4:$C$7,MATCH(C848,Background!$A$4:$A$7,0))</f>
        <v>0.212884169069555</v>
      </c>
      <c r="H848" s="49" t="n">
        <f aca="false">LN(F848/G848)</f>
        <v>1.51700481807086</v>
      </c>
    </row>
    <row r="849" customFormat="false" ht="15" hidden="false" customHeight="true" outlineLevel="0" collapsed="false">
      <c r="A849" s="38" t="s">
        <v>850</v>
      </c>
      <c r="B849" s="38" t="n">
        <v>56</v>
      </c>
      <c r="C849" s="38" t="s">
        <v>170</v>
      </c>
      <c r="D849" s="38" t="s">
        <v>870</v>
      </c>
      <c r="E849" s="38" t="str">
        <f aca="false">B849&amp;"|"&amp;C849</f>
        <v>56|C</v>
      </c>
      <c r="F849" s="45" t="n">
        <f aca="false">INDEX('Emission Stepwise'!$H$2:$H$289,MATCH(E849,'Emission Stepwise'!$C$2:$C$289,0))</f>
        <v>0.96551724137931</v>
      </c>
      <c r="G849" s="45" t="n">
        <f aca="false">INDEX(Background!$C$4:$C$7,MATCH(C849,Background!$A$4:$A$7,0))</f>
        <v>0.276812715380828</v>
      </c>
      <c r="H849" s="49" t="n">
        <f aca="false">LN(F849/G849)</f>
        <v>1.24932279941296</v>
      </c>
    </row>
    <row r="850" customFormat="false" ht="15" hidden="false" customHeight="true" outlineLevel="0" collapsed="false">
      <c r="A850" s="38" t="s">
        <v>850</v>
      </c>
      <c r="B850" s="38" t="n">
        <v>57</v>
      </c>
      <c r="C850" s="38" t="s">
        <v>171</v>
      </c>
      <c r="D850" s="38" t="s">
        <v>870</v>
      </c>
      <c r="E850" s="38" t="str">
        <f aca="false">B850&amp;"|"&amp;C850</f>
        <v>57|U</v>
      </c>
      <c r="F850" s="45" t="n">
        <f aca="false">INDEX('Emission Stepwise'!$H$2:$H$289,MATCH(E850,'Emission Stepwise'!$C$2:$C$289,0))</f>
        <v>0.0099009900990099</v>
      </c>
      <c r="G850" s="45" t="n">
        <f aca="false">INDEX(Background!$C$4:$C$7,MATCH(C850,Background!$A$4:$A$7,0))</f>
        <v>0.212884169069555</v>
      </c>
      <c r="H850" s="49" t="n">
        <f aca="false">LN(F850/G850)</f>
        <v>-3.0681134484666</v>
      </c>
    </row>
    <row r="851" customFormat="false" ht="15" hidden="false" customHeight="true" outlineLevel="0" collapsed="false">
      <c r="A851" s="38" t="s">
        <v>850</v>
      </c>
      <c r="B851" s="38" t="n">
        <v>58</v>
      </c>
      <c r="C851" s="38" t="s">
        <v>172</v>
      </c>
      <c r="D851" s="38" t="s">
        <v>870</v>
      </c>
      <c r="E851" s="38" t="str">
        <f aca="false">B851&amp;"|"&amp;C851</f>
        <v>58|A</v>
      </c>
      <c r="F851" s="45" t="n">
        <f aca="false">INDEX('Emission Stepwise'!$H$2:$H$289,MATCH(E851,'Emission Stepwise'!$C$2:$C$289,0))</f>
        <v>0.975369458128079</v>
      </c>
      <c r="G851" s="45" t="n">
        <f aca="false">INDEX(Background!$C$4:$C$7,MATCH(C851,Background!$A$4:$A$7,0))</f>
        <v>0.185174766157958</v>
      </c>
      <c r="H851" s="49" t="n">
        <f aca="false">LN(F851/G851)</f>
        <v>1.66151626955281</v>
      </c>
    </row>
    <row r="852" customFormat="false" ht="15" hidden="false" customHeight="true" outlineLevel="0" collapsed="false">
      <c r="A852" s="38" t="s">
        <v>850</v>
      </c>
      <c r="B852" s="38" t="n">
        <v>59</v>
      </c>
      <c r="C852" s="38" t="s">
        <v>171</v>
      </c>
      <c r="D852" s="38" t="s">
        <v>870</v>
      </c>
      <c r="E852" s="38" t="str">
        <f aca="false">B852&amp;"|"&amp;C852</f>
        <v>59|U</v>
      </c>
      <c r="F852" s="45" t="n">
        <f aca="false">INDEX('Emission Stepwise'!$H$2:$H$289,MATCH(E852,'Emission Stepwise'!$C$2:$C$289,0))</f>
        <v>0.251231527093596</v>
      </c>
      <c r="G852" s="45" t="n">
        <f aca="false">INDEX(Background!$C$4:$C$7,MATCH(C852,Background!$A$4:$A$7,0))</f>
        <v>0.212884169069555</v>
      </c>
      <c r="H852" s="49" t="n">
        <f aca="false">LN(F852/G852)</f>
        <v>0.165626722057194</v>
      </c>
    </row>
    <row r="853" customFormat="false" ht="15" hidden="false" customHeight="true" outlineLevel="0" collapsed="false">
      <c r="A853" s="38" t="s">
        <v>850</v>
      </c>
      <c r="B853" s="38" t="n">
        <v>60</v>
      </c>
      <c r="C853" s="38" t="s">
        <v>170</v>
      </c>
      <c r="D853" s="38" t="s">
        <v>870</v>
      </c>
      <c r="E853" s="38" t="str">
        <f aca="false">B853&amp;"|"&amp;C853</f>
        <v>60|C</v>
      </c>
      <c r="F853" s="45" t="n">
        <f aca="false">INDEX('Emission Stepwise'!$H$2:$H$289,MATCH(E853,'Emission Stepwise'!$C$2:$C$289,0))</f>
        <v>0.201970443349754</v>
      </c>
      <c r="G853" s="45" t="n">
        <f aca="false">INDEX(Background!$C$4:$C$7,MATCH(C853,Background!$A$4:$A$7,0))</f>
        <v>0.276812715380828</v>
      </c>
      <c r="H853" s="49" t="n">
        <f aca="false">LN(F853/G853)</f>
        <v>-0.315219793113249</v>
      </c>
    </row>
    <row r="854" customFormat="false" ht="15" hidden="false" customHeight="true" outlineLevel="0" collapsed="false">
      <c r="A854" s="38" t="s">
        <v>850</v>
      </c>
      <c r="B854" s="38" t="n">
        <v>61</v>
      </c>
      <c r="C854" s="38" t="s">
        <v>170</v>
      </c>
      <c r="D854" s="38" t="s">
        <v>870</v>
      </c>
      <c r="E854" s="38" t="str">
        <f aca="false">B854&amp;"|"&amp;C854</f>
        <v>61|C</v>
      </c>
      <c r="F854" s="45" t="n">
        <f aca="false">INDEX('Emission Stepwise'!$H$2:$H$289,MATCH(E854,'Emission Stepwise'!$C$2:$C$289,0))</f>
        <v>0.975369458128079</v>
      </c>
      <c r="G854" s="45" t="n">
        <f aca="false">INDEX(Background!$C$4:$C$7,MATCH(C854,Background!$A$4:$A$7,0))</f>
        <v>0.276812715380828</v>
      </c>
      <c r="H854" s="49" t="n">
        <f aca="false">LN(F854/G854)</f>
        <v>1.25947517087698</v>
      </c>
    </row>
    <row r="855" customFormat="false" ht="15" hidden="false" customHeight="true" outlineLevel="0" collapsed="false">
      <c r="A855" s="38" t="s">
        <v>850</v>
      </c>
      <c r="B855" s="38" t="n">
        <v>62</v>
      </c>
      <c r="C855" s="38" t="s">
        <v>172</v>
      </c>
      <c r="D855" s="38" t="s">
        <v>870</v>
      </c>
      <c r="E855" s="38" t="str">
        <f aca="false">B855&amp;"|"&amp;C855</f>
        <v>62|A</v>
      </c>
      <c r="F855" s="45" t="n">
        <f aca="false">INDEX('Emission Stepwise'!$H$2:$H$289,MATCH(E855,'Emission Stepwise'!$C$2:$C$289,0))</f>
        <v>0.0197044334975369</v>
      </c>
      <c r="G855" s="45" t="n">
        <f aca="false">INDEX(Background!$C$4:$C$7,MATCH(C855,Background!$A$4:$A$7,0))</f>
        <v>0.185174766157958</v>
      </c>
      <c r="H855" s="49" t="n">
        <f aca="false">LN(F855/G855)</f>
        <v>-2.24045640002183</v>
      </c>
    </row>
    <row r="856" customFormat="false" ht="15" hidden="false" customHeight="true" outlineLevel="0" collapsed="false">
      <c r="A856" s="38" t="s">
        <v>850</v>
      </c>
      <c r="B856" s="38" t="n">
        <v>63</v>
      </c>
      <c r="C856" s="38" t="s">
        <v>169</v>
      </c>
      <c r="D856" s="38" t="s">
        <v>870</v>
      </c>
      <c r="E856" s="38" t="str">
        <f aca="false">B856&amp;"|"&amp;C856</f>
        <v>63|G</v>
      </c>
      <c r="F856" s="45" t="n">
        <f aca="false">INDEX('Emission Stepwise'!$H$2:$H$289,MATCH(E856,'Emission Stepwise'!$C$2:$C$289,0))</f>
        <v>0.241379310344828</v>
      </c>
      <c r="G856" s="45" t="n">
        <f aca="false">INDEX(Background!$C$4:$C$7,MATCH(C856,Background!$A$4:$A$7,0))</f>
        <v>0.325128349391659</v>
      </c>
      <c r="H856" s="49" t="n">
        <f aca="false">LN(F856/G856)</f>
        <v>-0.297850427523012</v>
      </c>
    </row>
    <row r="857" customFormat="false" ht="15" hidden="false" customHeight="true" outlineLevel="0" collapsed="false">
      <c r="A857" s="38" t="s">
        <v>850</v>
      </c>
      <c r="B857" s="38" t="n">
        <v>64</v>
      </c>
      <c r="C857" s="38" t="s">
        <v>169</v>
      </c>
      <c r="D857" s="38" t="s">
        <v>870</v>
      </c>
      <c r="E857" s="38" t="str">
        <f aca="false">B857&amp;"|"&amp;C857</f>
        <v>64|G</v>
      </c>
      <c r="F857" s="45" t="n">
        <f aca="false">INDEX('Emission Stepwise'!$H$2:$H$289,MATCH(E857,'Emission Stepwise'!$C$2:$C$289,0))</f>
        <v>0.458128078817734</v>
      </c>
      <c r="G857" s="45" t="n">
        <f aca="false">INDEX(Background!$C$4:$C$7,MATCH(C857,Background!$A$4:$A$7,0))</f>
        <v>0.325128349391659</v>
      </c>
      <c r="H857" s="49" t="n">
        <f aca="false">LN(F857/G857)</f>
        <v>0.342928767519618</v>
      </c>
    </row>
    <row r="858" customFormat="false" ht="15" hidden="false" customHeight="true" outlineLevel="0" collapsed="false">
      <c r="A858" s="38" t="s">
        <v>850</v>
      </c>
      <c r="B858" s="38" t="n">
        <v>65</v>
      </c>
      <c r="C858" s="38" t="s">
        <v>172</v>
      </c>
      <c r="D858" s="38" t="s">
        <v>870</v>
      </c>
      <c r="E858" s="38" t="str">
        <f aca="false">B858&amp;"|"&amp;C858</f>
        <v>65|A</v>
      </c>
      <c r="F858" s="45" t="n">
        <f aca="false">INDEX('Emission Stepwise'!$H$2:$H$289,MATCH(E858,'Emission Stepwise'!$C$2:$C$289,0))</f>
        <v>0.0495049504950495</v>
      </c>
      <c r="G858" s="45" t="n">
        <f aca="false">INDEX(Background!$C$4:$C$7,MATCH(C858,Background!$A$4:$A$7,0))</f>
        <v>0.185174766157958</v>
      </c>
      <c r="H858" s="49" t="n">
        <f aca="false">LN(F858/G858)</f>
        <v>-1.31922738650709</v>
      </c>
    </row>
    <row r="859" customFormat="false" ht="15" hidden="false" customHeight="true" outlineLevel="0" collapsed="false">
      <c r="A859" s="38" t="s">
        <v>850</v>
      </c>
      <c r="B859" s="38" t="n">
        <v>66</v>
      </c>
      <c r="C859" s="38" t="s">
        <v>171</v>
      </c>
      <c r="D859" s="38" t="s">
        <v>871</v>
      </c>
      <c r="E859" s="38" t="str">
        <f aca="false">B859&amp;"|"&amp;C859</f>
        <v>66|U</v>
      </c>
      <c r="F859" s="45" t="n">
        <f aca="false">INDEX('Emission Stepwise'!$H$2:$H$289,MATCH(E859,'Emission Stepwise'!$C$2:$C$289,0))</f>
        <v>0.246305418719212</v>
      </c>
      <c r="G859" s="45" t="n">
        <f aca="false">INDEX(Background!$C$4:$C$7,MATCH(C859,Background!$A$4:$A$7,0))</f>
        <v>0.212884169069555</v>
      </c>
      <c r="H859" s="49" t="n">
        <f aca="false">LN(F859/G859)</f>
        <v>0.145824094761015</v>
      </c>
    </row>
    <row r="860" customFormat="false" ht="15" hidden="false" customHeight="true" outlineLevel="0" collapsed="false">
      <c r="A860" s="38" t="s">
        <v>850</v>
      </c>
      <c r="B860" s="38" t="n">
        <v>67</v>
      </c>
      <c r="C860" s="38" t="s">
        <v>170</v>
      </c>
      <c r="D860" s="38" t="s">
        <v>871</v>
      </c>
      <c r="E860" s="38" t="str">
        <f aca="false">B860&amp;"|"&amp;C860</f>
        <v>67|C</v>
      </c>
      <c r="F860" s="45" t="n">
        <f aca="false">INDEX('Emission Stepwise'!$H$2:$H$289,MATCH(E860,'Emission Stepwise'!$C$2:$C$289,0))</f>
        <v>0.226600985221675</v>
      </c>
      <c r="G860" s="45" t="n">
        <f aca="false">INDEX(Background!$C$4:$C$7,MATCH(C860,Background!$A$4:$A$7,0))</f>
        <v>0.276812715380828</v>
      </c>
      <c r="H860" s="49" t="n">
        <f aca="false">LN(F860/G860)</f>
        <v>-0.200150463328462</v>
      </c>
    </row>
    <row r="861" customFormat="false" ht="15" hidden="false" customHeight="true" outlineLevel="0" collapsed="false">
      <c r="A861" s="38" t="s">
        <v>850</v>
      </c>
      <c r="B861" s="38" t="n">
        <v>68</v>
      </c>
      <c r="C861" s="38" t="s">
        <v>171</v>
      </c>
      <c r="D861" s="38" t="s">
        <v>871</v>
      </c>
      <c r="E861" s="38" t="str">
        <f aca="false">B861&amp;"|"&amp;C861</f>
        <v>68|U</v>
      </c>
      <c r="F861" s="45" t="n">
        <f aca="false">INDEX('Emission Stepwise'!$H$2:$H$289,MATCH(E861,'Emission Stepwise'!$C$2:$C$289,0))</f>
        <v>0.177339901477833</v>
      </c>
      <c r="G861" s="45" t="n">
        <f aca="false">INDEX(Background!$C$4:$C$7,MATCH(C861,Background!$A$4:$A$7,0))</f>
        <v>0.212884169069555</v>
      </c>
      <c r="H861" s="49" t="n">
        <f aca="false">LN(F861/G861)</f>
        <v>-0.182679972211022</v>
      </c>
    </row>
    <row r="862" customFormat="false" ht="15" hidden="false" customHeight="true" outlineLevel="0" collapsed="false">
      <c r="A862" s="38" t="s">
        <v>850</v>
      </c>
      <c r="B862" s="38" t="n">
        <v>69</v>
      </c>
      <c r="C862" s="38" t="s">
        <v>172</v>
      </c>
      <c r="D862" s="38" t="s">
        <v>871</v>
      </c>
      <c r="E862" s="38" t="str">
        <f aca="false">B862&amp;"|"&amp;C862</f>
        <v>69|A</v>
      </c>
      <c r="F862" s="45" t="n">
        <f aca="false">INDEX('Emission Stepwise'!$H$2:$H$289,MATCH(E862,'Emission Stepwise'!$C$2:$C$289,0))</f>
        <v>0.12807881773399</v>
      </c>
      <c r="G862" s="45" t="n">
        <f aca="false">INDEX(Background!$C$4:$C$7,MATCH(C862,Background!$A$4:$A$7,0))</f>
        <v>0.185174766157958</v>
      </c>
      <c r="H862" s="49" t="n">
        <f aca="false">LN(F862/G862)</f>
        <v>-0.36865422312024</v>
      </c>
    </row>
    <row r="863" customFormat="false" ht="15" hidden="false" customHeight="true" outlineLevel="0" collapsed="false">
      <c r="A863" s="38" t="s">
        <v>850</v>
      </c>
      <c r="B863" s="38" t="n">
        <v>70</v>
      </c>
      <c r="C863" s="38" t="s">
        <v>170</v>
      </c>
      <c r="D863" s="38" t="s">
        <v>871</v>
      </c>
      <c r="E863" s="38" t="str">
        <f aca="false">B863&amp;"|"&amp;C863</f>
        <v>70|C</v>
      </c>
      <c r="F863" s="45" t="n">
        <f aca="false">INDEX('Emission Stepwise'!$H$2:$H$289,MATCH(E863,'Emission Stepwise'!$C$2:$C$289,0))</f>
        <v>0.354679802955665</v>
      </c>
      <c r="G863" s="45" t="n">
        <f aca="false">INDEX(Background!$C$4:$C$7,MATCH(C863,Background!$A$4:$A$7,0))</f>
        <v>0.276812715380828</v>
      </c>
      <c r="H863" s="49" t="n">
        <f aca="false">LN(F863/G863)</f>
        <v>0.247874259198498</v>
      </c>
    </row>
    <row r="864" customFormat="false" ht="15" hidden="false" customHeight="true" outlineLevel="0" collapsed="false">
      <c r="A864" s="38" t="s">
        <v>850</v>
      </c>
      <c r="B864" s="38" t="n">
        <v>71</v>
      </c>
      <c r="C864" s="38" t="s">
        <v>171</v>
      </c>
      <c r="D864" s="38" t="s">
        <v>871</v>
      </c>
      <c r="E864" s="38" t="str">
        <f aca="false">B864&amp;"|"&amp;C864</f>
        <v>71|U</v>
      </c>
      <c r="F864" s="45" t="n">
        <f aca="false">INDEX('Emission Stepwise'!$H$2:$H$289,MATCH(E864,'Emission Stepwise'!$C$2:$C$289,0))</f>
        <v>0.0492610837438424</v>
      </c>
      <c r="G864" s="45" t="n">
        <f aca="false">INDEX(Background!$C$4:$C$7,MATCH(C864,Background!$A$4:$A$7,0))</f>
        <v>0.212884169069555</v>
      </c>
      <c r="H864" s="49" t="n">
        <f aca="false">LN(F864/G864)</f>
        <v>-1.46361381767309</v>
      </c>
    </row>
    <row r="865" customFormat="false" ht="15" hidden="false" customHeight="true" outlineLevel="0" collapsed="false">
      <c r="A865" s="38" t="s">
        <v>850</v>
      </c>
      <c r="B865" s="38" t="n">
        <v>72</v>
      </c>
      <c r="C865" s="38" t="s">
        <v>171</v>
      </c>
      <c r="D865" s="38" t="s">
        <v>871</v>
      </c>
      <c r="E865" s="38" t="str">
        <f aca="false">B865&amp;"|"&amp;C865</f>
        <v>72|U</v>
      </c>
      <c r="F865" s="45" t="n">
        <f aca="false">INDEX('Emission Stepwise'!$H$2:$H$289,MATCH(E865,'Emission Stepwise'!$C$2:$C$289,0))</f>
        <v>0.108374384236453</v>
      </c>
      <c r="G865" s="45" t="n">
        <f aca="false">INDEX(Background!$C$4:$C$7,MATCH(C865,Background!$A$4:$A$7,0))</f>
        <v>0.212884169069555</v>
      </c>
      <c r="H865" s="49" t="n">
        <f aca="false">LN(F865/G865)</f>
        <v>-0.675156457308816</v>
      </c>
    </row>
    <row r="866" customFormat="false" ht="15" hidden="false" customHeight="true" outlineLevel="0" collapsed="false">
      <c r="A866" s="38" t="s">
        <v>851</v>
      </c>
      <c r="B866" s="38" t="n">
        <v>1</v>
      </c>
      <c r="C866" s="38" t="s">
        <v>171</v>
      </c>
      <c r="D866" s="38" t="s">
        <v>865</v>
      </c>
      <c r="E866" s="38" t="str">
        <f aca="false">B866&amp;"|"&amp;C866</f>
        <v>1|U</v>
      </c>
      <c r="F866" s="45" t="n">
        <f aca="false">INDEX('Emission Stepwise'!$H$2:$H$289,MATCH(E866,'Emission Stepwise'!$C$2:$C$289,0))</f>
        <v>0.0689655172413793</v>
      </c>
      <c r="G866" s="45" t="n">
        <f aca="false">INDEX(Background!$C$4:$C$7,MATCH(C866,Background!$A$4:$A$7,0))</f>
        <v>0.212884169069555</v>
      </c>
      <c r="H866" s="49" t="n">
        <f aca="false">LN(F866/G866)</f>
        <v>-1.12714158105187</v>
      </c>
    </row>
    <row r="867" customFormat="false" ht="15" hidden="false" customHeight="true" outlineLevel="0" collapsed="false">
      <c r="A867" s="38" t="s">
        <v>851</v>
      </c>
      <c r="B867" s="38" t="n">
        <v>2</v>
      </c>
      <c r="C867" s="38" t="s">
        <v>171</v>
      </c>
      <c r="D867" s="38" t="s">
        <v>865</v>
      </c>
      <c r="E867" s="38" t="str">
        <f aca="false">B867&amp;"|"&amp;C867</f>
        <v>2|U</v>
      </c>
      <c r="F867" s="45" t="n">
        <f aca="false">INDEX('Emission Stepwise'!$H$2:$H$289,MATCH(E867,'Emission Stepwise'!$C$2:$C$289,0))</f>
        <v>0.0344827586206897</v>
      </c>
      <c r="G867" s="45" t="n">
        <f aca="false">INDEX(Background!$C$4:$C$7,MATCH(C867,Background!$A$4:$A$7,0))</f>
        <v>0.212884169069555</v>
      </c>
      <c r="H867" s="49" t="n">
        <f aca="false">LN(F867/G867)</f>
        <v>-1.82028876161182</v>
      </c>
    </row>
    <row r="868" customFormat="false" ht="15" hidden="false" customHeight="true" outlineLevel="0" collapsed="false">
      <c r="A868" s="38" t="s">
        <v>851</v>
      </c>
      <c r="B868" s="38" t="n">
        <v>3</v>
      </c>
      <c r="C868" s="38" t="s">
        <v>171</v>
      </c>
      <c r="D868" s="38" t="s">
        <v>865</v>
      </c>
      <c r="E868" s="38" t="str">
        <f aca="false">B868&amp;"|"&amp;C868</f>
        <v>3|U</v>
      </c>
      <c r="F868" s="45" t="n">
        <f aca="false">INDEX('Emission Stepwise'!$H$2:$H$289,MATCH(E868,'Emission Stepwise'!$C$2:$C$289,0))</f>
        <v>0.118226600985222</v>
      </c>
      <c r="G868" s="45" t="n">
        <f aca="false">INDEX(Background!$C$4:$C$7,MATCH(C868,Background!$A$4:$A$7,0))</f>
        <v>0.212884169069555</v>
      </c>
      <c r="H868" s="49" t="n">
        <f aca="false">LN(F868/G868)</f>
        <v>-0.588145080319186</v>
      </c>
    </row>
    <row r="869" customFormat="false" ht="15" hidden="false" customHeight="true" outlineLevel="0" collapsed="false">
      <c r="A869" s="38" t="s">
        <v>851</v>
      </c>
      <c r="B869" s="38" t="n">
        <v>4</v>
      </c>
      <c r="C869" s="38" t="s">
        <v>172</v>
      </c>
      <c r="D869" s="38" t="s">
        <v>865</v>
      </c>
      <c r="E869" s="38" t="str">
        <f aca="false">B869&amp;"|"&amp;C869</f>
        <v>4|A</v>
      </c>
      <c r="F869" s="45" t="n">
        <f aca="false">INDEX('Emission Stepwise'!$H$2:$H$289,MATCH(E869,'Emission Stepwise'!$C$2:$C$289,0))</f>
        <v>0.0788177339901478</v>
      </c>
      <c r="G869" s="45" t="n">
        <f aca="false">INDEX(Background!$C$4:$C$7,MATCH(C869,Background!$A$4:$A$7,0))</f>
        <v>0.185174766157958</v>
      </c>
      <c r="H869" s="49" t="n">
        <f aca="false">LN(F869/G869)</f>
        <v>-0.854162038901941</v>
      </c>
    </row>
    <row r="870" customFormat="false" ht="15" hidden="false" customHeight="true" outlineLevel="0" collapsed="false">
      <c r="A870" s="38" t="s">
        <v>851</v>
      </c>
      <c r="B870" s="38" t="n">
        <v>5</v>
      </c>
      <c r="C870" s="38" t="s">
        <v>169</v>
      </c>
      <c r="D870" s="38" t="s">
        <v>865</v>
      </c>
      <c r="E870" s="38" t="str">
        <f aca="false">B870&amp;"|"&amp;C870</f>
        <v>5|G</v>
      </c>
      <c r="F870" s="45" t="n">
        <f aca="false">INDEX('Emission Stepwise'!$H$2:$H$289,MATCH(E870,'Emission Stepwise'!$C$2:$C$289,0))</f>
        <v>0.344827586206897</v>
      </c>
      <c r="G870" s="45" t="n">
        <f aca="false">INDEX(Background!$C$4:$C$7,MATCH(C870,Background!$A$4:$A$7,0))</f>
        <v>0.325128349391659</v>
      </c>
      <c r="H870" s="49" t="n">
        <f aca="false">LN(F870/G870)</f>
        <v>0.0588245164157209</v>
      </c>
    </row>
    <row r="871" customFormat="false" ht="15" hidden="false" customHeight="true" outlineLevel="0" collapsed="false">
      <c r="A871" s="38" t="s">
        <v>851</v>
      </c>
      <c r="B871" s="38" t="n">
        <v>6</v>
      </c>
      <c r="C871" s="38" t="s">
        <v>172</v>
      </c>
      <c r="D871" s="38" t="s">
        <v>865</v>
      </c>
      <c r="E871" s="38" t="str">
        <f aca="false">B871&amp;"|"&amp;C871</f>
        <v>6|A</v>
      </c>
      <c r="F871" s="45" t="n">
        <f aca="false">INDEX('Emission Stepwise'!$H$2:$H$289,MATCH(E871,'Emission Stepwise'!$C$2:$C$289,0))</f>
        <v>0.172413793103448</v>
      </c>
      <c r="G871" s="45" t="n">
        <f aca="false">INDEX(Background!$C$4:$C$7,MATCH(C871,Background!$A$4:$A$7,0))</f>
        <v>0.185174766157958</v>
      </c>
      <c r="H871" s="49" t="n">
        <f aca="false">LN(F871/G871)</f>
        <v>-0.0714026996523086</v>
      </c>
    </row>
    <row r="872" customFormat="false" ht="15" hidden="false" customHeight="true" outlineLevel="0" collapsed="false">
      <c r="A872" s="38" t="s">
        <v>851</v>
      </c>
      <c r="B872" s="38" t="n">
        <v>7</v>
      </c>
      <c r="C872" s="38" t="s">
        <v>171</v>
      </c>
      <c r="D872" s="38" t="s">
        <v>865</v>
      </c>
      <c r="E872" s="38" t="str">
        <f aca="false">B872&amp;"|"&amp;C872</f>
        <v>7|U</v>
      </c>
      <c r="F872" s="45" t="n">
        <f aca="false">INDEX('Emission Stepwise'!$H$2:$H$289,MATCH(E872,'Emission Stepwise'!$C$2:$C$289,0))</f>
        <v>0.221674876847291</v>
      </c>
      <c r="G872" s="45" t="n">
        <f aca="false">INDEX(Background!$C$4:$C$7,MATCH(C872,Background!$A$4:$A$7,0))</f>
        <v>0.212884169069555</v>
      </c>
      <c r="H872" s="49" t="n">
        <f aca="false">LN(F872/G872)</f>
        <v>0.0404635791031882</v>
      </c>
    </row>
    <row r="873" customFormat="false" ht="15" hidden="false" customHeight="true" outlineLevel="0" collapsed="false">
      <c r="A873" s="38" t="s">
        <v>851</v>
      </c>
      <c r="B873" s="38" t="n">
        <v>8</v>
      </c>
      <c r="C873" s="38" t="s">
        <v>171</v>
      </c>
      <c r="D873" s="38" t="s">
        <v>866</v>
      </c>
      <c r="E873" s="38" t="str">
        <f aca="false">B873&amp;"|"&amp;C873</f>
        <v>8|U</v>
      </c>
      <c r="F873" s="45" t="n">
        <f aca="false">INDEX('Emission Stepwise'!$H$2:$H$289,MATCH(E873,'Emission Stepwise'!$C$2:$C$289,0))</f>
        <v>0.975369458128079</v>
      </c>
      <c r="G873" s="45" t="n">
        <f aca="false">INDEX(Background!$C$4:$C$7,MATCH(C873,Background!$A$4:$A$7,0))</f>
        <v>0.212884169069555</v>
      </c>
      <c r="H873" s="49" t="n">
        <f aca="false">LN(F873/G873)</f>
        <v>1.5220681200274</v>
      </c>
    </row>
    <row r="874" customFormat="false" ht="15" hidden="false" customHeight="true" outlineLevel="0" collapsed="false">
      <c r="A874" s="38" t="s">
        <v>851</v>
      </c>
      <c r="B874" s="38" t="n">
        <v>9</v>
      </c>
      <c r="C874" s="38" t="s">
        <v>172</v>
      </c>
      <c r="D874" s="38" t="s">
        <v>867</v>
      </c>
      <c r="E874" s="38" t="str">
        <f aca="false">B874&amp;"|"&amp;C874</f>
        <v>9|A</v>
      </c>
      <c r="F874" s="45" t="n">
        <f aca="false">INDEX('Emission Stepwise'!$H$2:$H$289,MATCH(E874,'Emission Stepwise'!$C$2:$C$289,0))</f>
        <v>0.648514851485149</v>
      </c>
      <c r="G874" s="45" t="n">
        <f aca="false">INDEX(Background!$C$4:$C$7,MATCH(C874,Background!$A$4:$A$7,0))</f>
        <v>0.185174766157958</v>
      </c>
      <c r="H874" s="49" t="n">
        <f aca="false">LN(F874/G874)</f>
        <v>1.25338484370001</v>
      </c>
    </row>
    <row r="875" customFormat="false" ht="15" hidden="false" customHeight="true" outlineLevel="0" collapsed="false">
      <c r="A875" s="38" t="s">
        <v>851</v>
      </c>
      <c r="B875" s="38" t="n">
        <v>10</v>
      </c>
      <c r="C875" s="38" t="s">
        <v>171</v>
      </c>
      <c r="D875" s="38" t="s">
        <v>867</v>
      </c>
      <c r="E875" s="38" t="str">
        <f aca="false">B875&amp;"|"&amp;C875</f>
        <v>10|U</v>
      </c>
      <c r="F875" s="45" t="n">
        <f aca="false">INDEX('Emission Stepwise'!$H$2:$H$289,MATCH(E875,'Emission Stepwise'!$C$2:$C$289,0))</f>
        <v>0.00492610837438424</v>
      </c>
      <c r="G875" s="45" t="n">
        <f aca="false">INDEX(Background!$C$4:$C$7,MATCH(C875,Background!$A$4:$A$7,0))</f>
        <v>0.212884169069555</v>
      </c>
      <c r="H875" s="49" t="n">
        <f aca="false">LN(F875/G875)</f>
        <v>-3.76619891066713</v>
      </c>
    </row>
    <row r="876" customFormat="false" ht="15" hidden="false" customHeight="true" outlineLevel="0" collapsed="false">
      <c r="A876" s="38" t="s">
        <v>851</v>
      </c>
      <c r="B876" s="38" t="n">
        <v>11</v>
      </c>
      <c r="C876" s="38" t="s">
        <v>169</v>
      </c>
      <c r="D876" s="38" t="s">
        <v>867</v>
      </c>
      <c r="E876" s="38" t="str">
        <f aca="false">B876&amp;"|"&amp;C876</f>
        <v>11|G</v>
      </c>
      <c r="F876" s="45" t="n">
        <f aca="false">INDEX('Emission Stepwise'!$H$2:$H$289,MATCH(E876,'Emission Stepwise'!$C$2:$C$289,0))</f>
        <v>0.0344827586206897</v>
      </c>
      <c r="G876" s="45" t="n">
        <f aca="false">INDEX(Background!$C$4:$C$7,MATCH(C876,Background!$A$4:$A$7,0))</f>
        <v>0.325128349391659</v>
      </c>
      <c r="H876" s="49" t="n">
        <f aca="false">LN(F876/G876)</f>
        <v>-2.24376057657833</v>
      </c>
    </row>
    <row r="877" customFormat="false" ht="15" hidden="false" customHeight="true" outlineLevel="0" collapsed="false">
      <c r="A877" s="38" t="s">
        <v>851</v>
      </c>
      <c r="B877" s="38" t="n">
        <v>12</v>
      </c>
      <c r="C877" s="38" t="s">
        <v>171</v>
      </c>
      <c r="D877" s="38" t="s">
        <v>867</v>
      </c>
      <c r="E877" s="38" t="str">
        <f aca="false">B877&amp;"|"&amp;C877</f>
        <v>12|U</v>
      </c>
      <c r="F877" s="45" t="n">
        <f aca="false">INDEX('Emission Stepwise'!$H$2:$H$289,MATCH(E877,'Emission Stepwise'!$C$2:$C$289,0))</f>
        <v>0.591133004926108</v>
      </c>
      <c r="G877" s="45" t="n">
        <f aca="false">INDEX(Background!$C$4:$C$7,MATCH(C877,Background!$A$4:$A$7,0))</f>
        <v>0.212884169069555</v>
      </c>
      <c r="H877" s="49" t="n">
        <f aca="false">LN(F877/G877)</f>
        <v>1.02129283211491</v>
      </c>
    </row>
    <row r="878" customFormat="false" ht="15" hidden="false" customHeight="true" outlineLevel="0" collapsed="false">
      <c r="A878" s="38" t="s">
        <v>851</v>
      </c>
      <c r="B878" s="38" t="n">
        <v>13</v>
      </c>
      <c r="C878" s="38" t="s">
        <v>169</v>
      </c>
      <c r="D878" s="38" t="s">
        <v>867</v>
      </c>
      <c r="E878" s="38" t="str">
        <f aca="false">B878&amp;"|"&amp;C878</f>
        <v>13|G</v>
      </c>
      <c r="F878" s="45" t="n">
        <f aca="false">INDEX('Emission Stepwise'!$H$2:$H$289,MATCH(E878,'Emission Stepwise'!$C$2:$C$289,0))</f>
        <v>0.0985221674876847</v>
      </c>
      <c r="G878" s="45" t="n">
        <f aca="false">INDEX(Background!$C$4:$C$7,MATCH(C878,Background!$A$4:$A$7,0))</f>
        <v>0.325128349391659</v>
      </c>
      <c r="H878" s="49" t="n">
        <f aca="false">LN(F878/G878)</f>
        <v>-1.19393845207965</v>
      </c>
    </row>
    <row r="879" customFormat="false" ht="15" hidden="false" customHeight="true" outlineLevel="0" collapsed="false">
      <c r="A879" s="38" t="s">
        <v>851</v>
      </c>
      <c r="B879" s="38" t="n">
        <v>14</v>
      </c>
      <c r="C879" s="38" t="s">
        <v>169</v>
      </c>
      <c r="D879" s="38" t="s">
        <v>867</v>
      </c>
      <c r="E879" s="38" t="str">
        <f aca="false">B879&amp;"|"&amp;C879</f>
        <v>14|G</v>
      </c>
      <c r="F879" s="45" t="n">
        <f aca="false">INDEX('Emission Stepwise'!$H$2:$H$289,MATCH(E879,'Emission Stepwise'!$C$2:$C$289,0))</f>
        <v>0.00985221674876847</v>
      </c>
      <c r="G879" s="45" t="n">
        <f aca="false">INDEX(Background!$C$4:$C$7,MATCH(C879,Background!$A$4:$A$7,0))</f>
        <v>0.325128349391659</v>
      </c>
      <c r="H879" s="49" t="n">
        <f aca="false">LN(F879/G879)</f>
        <v>-3.49652354507369</v>
      </c>
    </row>
    <row r="880" customFormat="false" ht="15" hidden="false" customHeight="true" outlineLevel="0" collapsed="false">
      <c r="A880" s="38" t="s">
        <v>851</v>
      </c>
      <c r="B880" s="38" t="n">
        <v>15</v>
      </c>
      <c r="C880" s="38" t="s">
        <v>171</v>
      </c>
      <c r="D880" s="38" t="s">
        <v>867</v>
      </c>
      <c r="E880" s="38" t="str">
        <f aca="false">B880&amp;"|"&amp;C880</f>
        <v>15|U</v>
      </c>
      <c r="F880" s="45" t="n">
        <f aca="false">INDEX('Emission Stepwise'!$H$2:$H$289,MATCH(E880,'Emission Stepwise'!$C$2:$C$289,0))</f>
        <v>0.0148514851485149</v>
      </c>
      <c r="G880" s="45" t="n">
        <f aca="false">INDEX(Background!$C$4:$C$7,MATCH(C880,Background!$A$4:$A$7,0))</f>
        <v>0.212884169069555</v>
      </c>
      <c r="H880" s="49" t="n">
        <f aca="false">LN(F880/G880)</f>
        <v>-2.66264834035844</v>
      </c>
    </row>
    <row r="881" customFormat="false" ht="15" hidden="false" customHeight="true" outlineLevel="0" collapsed="false">
      <c r="A881" s="38" t="s">
        <v>851</v>
      </c>
      <c r="B881" s="38" t="n">
        <v>16</v>
      </c>
      <c r="C881" s="38" t="s">
        <v>176</v>
      </c>
      <c r="D881" s="38" t="s">
        <v>867</v>
      </c>
      <c r="E881" s="38"/>
      <c r="F881" s="38"/>
      <c r="G881" s="38"/>
      <c r="H881" s="38"/>
    </row>
    <row r="882" customFormat="false" ht="15" hidden="false" customHeight="true" outlineLevel="0" collapsed="false">
      <c r="A882" s="38" t="s">
        <v>851</v>
      </c>
      <c r="B882" s="38" t="n">
        <v>17</v>
      </c>
      <c r="C882" s="38" t="s">
        <v>172</v>
      </c>
      <c r="D882" s="38" t="s">
        <v>867</v>
      </c>
      <c r="E882" s="38" t="str">
        <f aca="false">B882&amp;"|"&amp;C882</f>
        <v>17|A</v>
      </c>
      <c r="F882" s="45" t="n">
        <f aca="false">INDEX('Emission Stepwise'!$H$2:$H$289,MATCH(E882,'Emission Stepwise'!$C$2:$C$289,0))</f>
        <v>0.065</v>
      </c>
      <c r="G882" s="45" t="n">
        <f aca="false">INDEX(Background!$C$4:$C$7,MATCH(C882,Background!$A$4:$A$7,0))</f>
        <v>0.185174766157958</v>
      </c>
      <c r="H882" s="49" t="n">
        <f aca="false">LN(F882/G882)</f>
        <v>-1.04691279118643</v>
      </c>
    </row>
    <row r="883" customFormat="false" ht="15" hidden="false" customHeight="true" outlineLevel="0" collapsed="false">
      <c r="A883" s="38" t="s">
        <v>851</v>
      </c>
      <c r="B883" s="38" t="n">
        <v>18</v>
      </c>
      <c r="C883" s="38" t="s">
        <v>169</v>
      </c>
      <c r="D883" s="38" t="s">
        <v>867</v>
      </c>
      <c r="E883" s="38" t="str">
        <f aca="false">B883&amp;"|"&amp;C883</f>
        <v>18|G</v>
      </c>
      <c r="F883" s="45" t="n">
        <f aca="false">INDEX('Emission Stepwise'!$H$2:$H$289,MATCH(E883,'Emission Stepwise'!$C$2:$C$289,0))</f>
        <v>0.980295566502463</v>
      </c>
      <c r="G883" s="45" t="n">
        <f aca="false">INDEX(Background!$C$4:$C$7,MATCH(C883,Background!$A$4:$A$7,0))</f>
        <v>0.325128349391659</v>
      </c>
      <c r="H883" s="49" t="n">
        <f aca="false">LN(F883/G883)</f>
        <v>1.10363409909085</v>
      </c>
    </row>
    <row r="884" customFormat="false" ht="15" hidden="false" customHeight="true" outlineLevel="0" collapsed="false">
      <c r="A884" s="38" t="s">
        <v>851</v>
      </c>
      <c r="B884" s="38" t="n">
        <v>19</v>
      </c>
      <c r="C884" s="38" t="s">
        <v>169</v>
      </c>
      <c r="D884" s="38" t="s">
        <v>867</v>
      </c>
      <c r="E884" s="38" t="str">
        <f aca="false">B884&amp;"|"&amp;C884</f>
        <v>19|G</v>
      </c>
      <c r="F884" s="45" t="n">
        <f aca="false">INDEX('Emission Stepwise'!$H$2:$H$289,MATCH(E884,'Emission Stepwise'!$C$2:$C$289,0))</f>
        <v>0.970443349753695</v>
      </c>
      <c r="G884" s="45" t="n">
        <f aca="false">INDEX(Background!$C$4:$C$7,MATCH(C884,Background!$A$4:$A$7,0))</f>
        <v>0.325128349391659</v>
      </c>
      <c r="H884" s="49" t="n">
        <f aca="false">LN(F884/G884)</f>
        <v>1.09353300310435</v>
      </c>
    </row>
    <row r="885" customFormat="false" ht="15" hidden="false" customHeight="true" outlineLevel="0" collapsed="false">
      <c r="A885" s="38" t="s">
        <v>851</v>
      </c>
      <c r="B885" s="38" t="n">
        <v>20</v>
      </c>
      <c r="C885" s="38" t="s">
        <v>171</v>
      </c>
      <c r="D885" s="38" t="s">
        <v>867</v>
      </c>
      <c r="E885" s="38" t="str">
        <f aca="false">B885&amp;"|"&amp;C885</f>
        <v>20|U</v>
      </c>
      <c r="F885" s="45" t="n">
        <f aca="false">INDEX('Emission Stepwise'!$H$2:$H$289,MATCH(E885,'Emission Stepwise'!$C$2:$C$289,0))</f>
        <v>0.589108910891089</v>
      </c>
      <c r="G885" s="45" t="n">
        <f aca="false">INDEX(Background!$C$4:$C$7,MATCH(C885,Background!$A$4:$A$7,0))</f>
        <v>0.212884169069555</v>
      </c>
      <c r="H885" s="49" t="n">
        <f aca="false">LN(F885/G885)</f>
        <v>1.01786286408498</v>
      </c>
    </row>
    <row r="886" customFormat="false" ht="15" hidden="false" customHeight="true" outlineLevel="0" collapsed="false">
      <c r="A886" s="38" t="s">
        <v>851</v>
      </c>
      <c r="B886" s="38" t="n">
        <v>21</v>
      </c>
      <c r="C886" s="38" t="s">
        <v>171</v>
      </c>
      <c r="D886" s="38" t="s">
        <v>867</v>
      </c>
      <c r="E886" s="38" t="str">
        <f aca="false">B886&amp;"|"&amp;C886</f>
        <v>21|U</v>
      </c>
      <c r="F886" s="45" t="n">
        <f aca="false">INDEX('Emission Stepwise'!$H$2:$H$289,MATCH(E886,'Emission Stepwise'!$C$2:$C$289,0))</f>
        <v>0.0541871921182266</v>
      </c>
      <c r="G886" s="45" t="n">
        <f aca="false">INDEX(Background!$C$4:$C$7,MATCH(C886,Background!$A$4:$A$7,0))</f>
        <v>0.212884169069555</v>
      </c>
      <c r="H886" s="49" t="n">
        <f aca="false">LN(F886/G886)</f>
        <v>-1.36830363786876</v>
      </c>
    </row>
    <row r="887" customFormat="false" ht="15" hidden="false" customHeight="true" outlineLevel="0" collapsed="false">
      <c r="A887" s="38" t="s">
        <v>851</v>
      </c>
      <c r="B887" s="38" t="n">
        <v>22</v>
      </c>
      <c r="C887" s="38" t="s">
        <v>169</v>
      </c>
      <c r="D887" s="38" t="s">
        <v>867</v>
      </c>
      <c r="E887" s="38" t="str">
        <f aca="false">B887&amp;"|"&amp;C887</f>
        <v>22|G</v>
      </c>
      <c r="F887" s="45" t="n">
        <f aca="false">INDEX('Emission Stepwise'!$H$2:$H$289,MATCH(E887,'Emission Stepwise'!$C$2:$C$289,0))</f>
        <v>0.714285714285714</v>
      </c>
      <c r="G887" s="45" t="n">
        <f aca="false">INDEX(Background!$C$4:$C$7,MATCH(C887,Background!$A$4:$A$7,0))</f>
        <v>0.325128349391659</v>
      </c>
      <c r="H887" s="49" t="n">
        <f aca="false">LN(F887/G887)</f>
        <v>0.787063016786936</v>
      </c>
    </row>
    <row r="888" customFormat="false" ht="15" hidden="false" customHeight="true" outlineLevel="0" collapsed="false">
      <c r="A888" s="38" t="s">
        <v>851</v>
      </c>
      <c r="B888" s="38" t="n">
        <v>23</v>
      </c>
      <c r="C888" s="38" t="s">
        <v>169</v>
      </c>
      <c r="D888" s="38" t="s">
        <v>867</v>
      </c>
      <c r="E888" s="38" t="str">
        <f aca="false">B888&amp;"|"&amp;C888</f>
        <v>23|G</v>
      </c>
      <c r="F888" s="45" t="n">
        <f aca="false">INDEX('Emission Stepwise'!$H$2:$H$289,MATCH(E888,'Emission Stepwise'!$C$2:$C$289,0))</f>
        <v>0.147783251231527</v>
      </c>
      <c r="G888" s="45" t="n">
        <f aca="false">INDEX(Background!$C$4:$C$7,MATCH(C888,Background!$A$4:$A$7,0))</f>
        <v>0.325128349391659</v>
      </c>
      <c r="H888" s="49" t="n">
        <f aca="false">LN(F888/G888)</f>
        <v>-0.788473343971483</v>
      </c>
    </row>
    <row r="889" customFormat="false" ht="15" hidden="false" customHeight="true" outlineLevel="0" collapsed="false">
      <c r="A889" s="38" t="s">
        <v>851</v>
      </c>
      <c r="B889" s="38" t="n">
        <v>24</v>
      </c>
      <c r="C889" s="38" t="s">
        <v>171</v>
      </c>
      <c r="D889" s="38" t="s">
        <v>867</v>
      </c>
      <c r="E889" s="38" t="str">
        <f aca="false">B889&amp;"|"&amp;C889</f>
        <v>24|U</v>
      </c>
      <c r="F889" s="45" t="n">
        <f aca="false">INDEX('Emission Stepwise'!$H$2:$H$289,MATCH(E889,'Emission Stepwise'!$C$2:$C$289,0))</f>
        <v>0.0394088669950739</v>
      </c>
      <c r="G889" s="45" t="n">
        <f aca="false">INDEX(Background!$C$4:$C$7,MATCH(C889,Background!$A$4:$A$7,0))</f>
        <v>0.212884169069555</v>
      </c>
      <c r="H889" s="49" t="n">
        <f aca="false">LN(F889/G889)</f>
        <v>-1.6867573689873</v>
      </c>
    </row>
    <row r="890" customFormat="false" ht="15" hidden="false" customHeight="true" outlineLevel="0" collapsed="false">
      <c r="A890" s="38" t="s">
        <v>851</v>
      </c>
      <c r="B890" s="38" t="n">
        <v>25</v>
      </c>
      <c r="C890" s="38" t="s">
        <v>169</v>
      </c>
      <c r="D890" s="38" t="s">
        <v>867</v>
      </c>
      <c r="E890" s="38" t="str">
        <f aca="false">B890&amp;"|"&amp;C890</f>
        <v>25|G</v>
      </c>
      <c r="F890" s="45" t="n">
        <f aca="false">INDEX('Emission Stepwise'!$H$2:$H$289,MATCH(E890,'Emission Stepwise'!$C$2:$C$289,0))</f>
        <v>0.0394088669950739</v>
      </c>
      <c r="G890" s="45" t="n">
        <f aca="false">INDEX(Background!$C$4:$C$7,MATCH(C890,Background!$A$4:$A$7,0))</f>
        <v>0.325128349391659</v>
      </c>
      <c r="H890" s="49" t="n">
        <f aca="false">LN(F890/G890)</f>
        <v>-2.1102291839538</v>
      </c>
    </row>
    <row r="891" customFormat="false" ht="15" hidden="false" customHeight="true" outlineLevel="0" collapsed="false">
      <c r="A891" s="38" t="s">
        <v>851</v>
      </c>
      <c r="B891" s="38" t="n">
        <v>26</v>
      </c>
      <c r="C891" s="38" t="s">
        <v>171</v>
      </c>
      <c r="D891" s="38" t="s">
        <v>868</v>
      </c>
      <c r="E891" s="38" t="str">
        <f aca="false">B891&amp;"|"&amp;C891</f>
        <v>26|U</v>
      </c>
      <c r="F891" s="45" t="n">
        <f aca="false">INDEX('Emission Stepwise'!$H$2:$H$289,MATCH(E891,'Emission Stepwise'!$C$2:$C$289,0))</f>
        <v>0.0591133004926108</v>
      </c>
      <c r="G891" s="45" t="n">
        <f aca="false">INDEX(Background!$C$4:$C$7,MATCH(C891,Background!$A$4:$A$7,0))</f>
        <v>0.212884169069555</v>
      </c>
      <c r="H891" s="49" t="n">
        <f aca="false">LN(F891/G891)</f>
        <v>-1.28129226087913</v>
      </c>
    </row>
    <row r="892" customFormat="false" ht="15" hidden="false" customHeight="true" outlineLevel="0" collapsed="false">
      <c r="A892" s="38" t="s">
        <v>851</v>
      </c>
      <c r="B892" s="38" t="n">
        <v>27</v>
      </c>
      <c r="C892" s="38" t="s">
        <v>171</v>
      </c>
      <c r="D892" s="38" t="s">
        <v>868</v>
      </c>
      <c r="E892" s="38" t="str">
        <f aca="false">B892&amp;"|"&amp;C892</f>
        <v>27|U</v>
      </c>
      <c r="F892" s="45" t="n">
        <f aca="false">INDEX('Emission Stepwise'!$H$2:$H$289,MATCH(E892,'Emission Stepwise'!$C$2:$C$289,0))</f>
        <v>0.25615763546798</v>
      </c>
      <c r="G892" s="45" t="n">
        <f aca="false">INDEX(Background!$C$4:$C$7,MATCH(C892,Background!$A$4:$A$7,0))</f>
        <v>0.212884169069555</v>
      </c>
      <c r="H892" s="49" t="n">
        <f aca="false">LN(F892/G892)</f>
        <v>0.185044807914296</v>
      </c>
    </row>
    <row r="893" customFormat="false" ht="15" hidden="false" customHeight="true" outlineLevel="0" collapsed="false">
      <c r="A893" s="38" t="s">
        <v>851</v>
      </c>
      <c r="B893" s="38" t="n">
        <v>28</v>
      </c>
      <c r="C893" s="38" t="s">
        <v>169</v>
      </c>
      <c r="D893" s="38" t="s">
        <v>868</v>
      </c>
      <c r="E893" s="38" t="str">
        <f aca="false">B893&amp;"|"&amp;C893</f>
        <v>28|G</v>
      </c>
      <c r="F893" s="45" t="n">
        <f aca="false">INDEX('Emission Stepwise'!$H$2:$H$289,MATCH(E893,'Emission Stepwise'!$C$2:$C$289,0))</f>
        <v>0.113300492610837</v>
      </c>
      <c r="G893" s="45" t="n">
        <f aca="false">INDEX(Background!$C$4:$C$7,MATCH(C893,Background!$A$4:$A$7,0))</f>
        <v>0.325128349391659</v>
      </c>
      <c r="H893" s="49" t="n">
        <f aca="false">LN(F893/G893)</f>
        <v>-1.05417650970449</v>
      </c>
    </row>
    <row r="894" customFormat="false" ht="15" hidden="false" customHeight="true" outlineLevel="0" collapsed="false">
      <c r="A894" s="38" t="s">
        <v>851</v>
      </c>
      <c r="B894" s="38" t="n">
        <v>29</v>
      </c>
      <c r="C894" s="38" t="s">
        <v>171</v>
      </c>
      <c r="D894" s="38" t="s">
        <v>868</v>
      </c>
      <c r="E894" s="38" t="str">
        <f aca="false">B894&amp;"|"&amp;C894</f>
        <v>29|U</v>
      </c>
      <c r="F894" s="45" t="n">
        <f aca="false">INDEX('Emission Stepwise'!$H$2:$H$289,MATCH(E894,'Emission Stepwise'!$C$2:$C$289,0))</f>
        <v>0.275862068965517</v>
      </c>
      <c r="G894" s="45" t="n">
        <f aca="false">INDEX(Background!$C$4:$C$7,MATCH(C894,Background!$A$4:$A$7,0))</f>
        <v>0.212884169069555</v>
      </c>
      <c r="H894" s="49" t="n">
        <f aca="false">LN(F894/G894)</f>
        <v>0.259152780068018</v>
      </c>
    </row>
    <row r="895" customFormat="false" ht="15" hidden="false" customHeight="true" outlineLevel="0" collapsed="false">
      <c r="A895" s="38" t="s">
        <v>851</v>
      </c>
      <c r="B895" s="38" t="n">
        <v>30</v>
      </c>
      <c r="C895" s="38" t="s">
        <v>171</v>
      </c>
      <c r="D895" s="38" t="s">
        <v>868</v>
      </c>
      <c r="E895" s="38" t="str">
        <f aca="false">B895&amp;"|"&amp;C895</f>
        <v>30|U</v>
      </c>
      <c r="F895" s="45" t="n">
        <f aca="false">INDEX('Emission Stepwise'!$H$2:$H$289,MATCH(E895,'Emission Stepwise'!$C$2:$C$289,0))</f>
        <v>0.0394088669950739</v>
      </c>
      <c r="G895" s="45" t="n">
        <f aca="false">INDEX(Background!$C$4:$C$7,MATCH(C895,Background!$A$4:$A$7,0))</f>
        <v>0.212884169069555</v>
      </c>
      <c r="H895" s="49" t="n">
        <f aca="false">LN(F895/G895)</f>
        <v>-1.6867573689873</v>
      </c>
    </row>
    <row r="896" customFormat="false" ht="15" hidden="false" customHeight="true" outlineLevel="0" collapsed="false">
      <c r="A896" s="38" t="s">
        <v>851</v>
      </c>
      <c r="B896" s="38" t="n">
        <v>31</v>
      </c>
      <c r="C896" s="38" t="s">
        <v>171</v>
      </c>
      <c r="D896" s="38" t="s">
        <v>868</v>
      </c>
      <c r="E896" s="38" t="str">
        <f aca="false">B896&amp;"|"&amp;C896</f>
        <v>31|U</v>
      </c>
      <c r="F896" s="45" t="n">
        <f aca="false">INDEX('Emission Stepwise'!$H$2:$H$289,MATCH(E896,'Emission Stepwise'!$C$2:$C$289,0))</f>
        <v>0.0985221674876847</v>
      </c>
      <c r="G896" s="45" t="n">
        <f aca="false">INDEX(Background!$C$4:$C$7,MATCH(C896,Background!$A$4:$A$7,0))</f>
        <v>0.212884169069555</v>
      </c>
      <c r="H896" s="49" t="n">
        <f aca="false">LN(F896/G896)</f>
        <v>-0.770466637113141</v>
      </c>
    </row>
    <row r="897" customFormat="false" ht="15" hidden="false" customHeight="true" outlineLevel="0" collapsed="false">
      <c r="A897" s="38" t="s">
        <v>851</v>
      </c>
      <c r="B897" s="38" t="n">
        <v>32</v>
      </c>
      <c r="C897" s="38" t="s">
        <v>171</v>
      </c>
      <c r="D897" s="38" t="s">
        <v>868</v>
      </c>
      <c r="E897" s="38" t="str">
        <f aca="false">B897&amp;"|"&amp;C897</f>
        <v>32|U</v>
      </c>
      <c r="F897" s="45" t="n">
        <f aca="false">INDEX('Emission Stepwise'!$H$2:$H$289,MATCH(E897,'Emission Stepwise'!$C$2:$C$289,0))</f>
        <v>0.295566502463054</v>
      </c>
      <c r="G897" s="45" t="n">
        <f aca="false">INDEX(Background!$C$4:$C$7,MATCH(C897,Background!$A$4:$A$7,0))</f>
        <v>0.212884169069555</v>
      </c>
      <c r="H897" s="49" t="n">
        <f aca="false">LN(F897/G897)</f>
        <v>0.328145651554969</v>
      </c>
    </row>
    <row r="898" customFormat="false" ht="15" hidden="false" customHeight="true" outlineLevel="0" collapsed="false">
      <c r="A898" s="38" t="s">
        <v>851</v>
      </c>
      <c r="B898" s="38" t="n">
        <v>33</v>
      </c>
      <c r="C898" s="38" t="s">
        <v>171</v>
      </c>
      <c r="D898" s="38" t="s">
        <v>868</v>
      </c>
      <c r="E898" s="38" t="str">
        <f aca="false">B898&amp;"|"&amp;C898</f>
        <v>33|U</v>
      </c>
      <c r="F898" s="45" t="n">
        <f aca="false">INDEX('Emission Stepwise'!$H$2:$H$289,MATCH(E898,'Emission Stepwise'!$C$2:$C$289,0))</f>
        <v>0.975369458128079</v>
      </c>
      <c r="G898" s="45" t="n">
        <f aca="false">INDEX(Background!$C$4:$C$7,MATCH(C898,Background!$A$4:$A$7,0))</f>
        <v>0.212884169069555</v>
      </c>
      <c r="H898" s="49" t="n">
        <f aca="false">LN(F898/G898)</f>
        <v>1.5220681200274</v>
      </c>
    </row>
    <row r="899" customFormat="false" ht="15" hidden="false" customHeight="true" outlineLevel="0" collapsed="false">
      <c r="A899" s="38" t="s">
        <v>851</v>
      </c>
      <c r="B899" s="38" t="n">
        <v>34</v>
      </c>
      <c r="C899" s="38" t="s">
        <v>170</v>
      </c>
      <c r="D899" s="38" t="s">
        <v>868</v>
      </c>
      <c r="E899" s="38" t="str">
        <f aca="false">B899&amp;"|"&amp;C899</f>
        <v>34|C</v>
      </c>
      <c r="F899" s="45" t="n">
        <f aca="false">INDEX('Emission Stepwise'!$H$2:$H$289,MATCH(E899,'Emission Stepwise'!$C$2:$C$289,0))</f>
        <v>0.330049261083744</v>
      </c>
      <c r="G899" s="45" t="n">
        <f aca="false">INDEX(Background!$C$4:$C$7,MATCH(C899,Background!$A$4:$A$7,0))</f>
        <v>0.276812715380828</v>
      </c>
      <c r="H899" s="49" t="n">
        <f aca="false">LN(F899/G899)</f>
        <v>0.175900759573409</v>
      </c>
    </row>
    <row r="900" customFormat="false" ht="15" hidden="false" customHeight="true" outlineLevel="0" collapsed="false">
      <c r="A900" s="38" t="s">
        <v>851</v>
      </c>
      <c r="B900" s="38" t="n">
        <v>35</v>
      </c>
      <c r="C900" s="38" t="s">
        <v>171</v>
      </c>
      <c r="D900" s="38" t="s">
        <v>868</v>
      </c>
      <c r="E900" s="38" t="str">
        <f aca="false">B900&amp;"|"&amp;C900</f>
        <v>35|U</v>
      </c>
      <c r="F900" s="45" t="n">
        <f aca="false">INDEX('Emission Stepwise'!$H$2:$H$289,MATCH(E900,'Emission Stepwise'!$C$2:$C$289,0))</f>
        <v>0.206896551724138</v>
      </c>
      <c r="G900" s="45" t="n">
        <f aca="false">INDEX(Background!$C$4:$C$7,MATCH(C900,Background!$A$4:$A$7,0))</f>
        <v>0.212884169069555</v>
      </c>
      <c r="H900" s="49" t="n">
        <f aca="false">LN(F900/G900)</f>
        <v>-0.0285292923837632</v>
      </c>
    </row>
    <row r="901" customFormat="false" ht="15" hidden="false" customHeight="true" outlineLevel="0" collapsed="false">
      <c r="A901" s="38" t="s">
        <v>851</v>
      </c>
      <c r="B901" s="38" t="n">
        <v>36</v>
      </c>
      <c r="C901" s="38" t="s">
        <v>172</v>
      </c>
      <c r="D901" s="38" t="s">
        <v>868</v>
      </c>
      <c r="E901" s="38" t="str">
        <f aca="false">B901&amp;"|"&amp;C901</f>
        <v>36|A</v>
      </c>
      <c r="F901" s="45" t="n">
        <f aca="false">INDEX('Emission Stepwise'!$H$2:$H$289,MATCH(E901,'Emission Stepwise'!$C$2:$C$289,0))</f>
        <v>0.216748768472906</v>
      </c>
      <c r="G901" s="45" t="n">
        <f aca="false">INDEX(Background!$C$4:$C$7,MATCH(C901,Background!$A$4:$A$7,0))</f>
        <v>0.185174766157958</v>
      </c>
      <c r="H901" s="49" t="n">
        <f aca="false">LN(F901/G901)</f>
        <v>0.157438872776539</v>
      </c>
    </row>
    <row r="902" customFormat="false" ht="15" hidden="false" customHeight="true" outlineLevel="0" collapsed="false">
      <c r="A902" s="38" t="s">
        <v>851</v>
      </c>
      <c r="B902" s="38" t="n">
        <v>37</v>
      </c>
      <c r="C902" s="38" t="s">
        <v>172</v>
      </c>
      <c r="D902" s="38" t="s">
        <v>868</v>
      </c>
      <c r="E902" s="38" t="str">
        <f aca="false">B902&amp;"|"&amp;C902</f>
        <v>37|A</v>
      </c>
      <c r="F902" s="45" t="n">
        <f aca="false">INDEX('Emission Stepwise'!$H$2:$H$289,MATCH(E902,'Emission Stepwise'!$C$2:$C$289,0))</f>
        <v>0.74384236453202</v>
      </c>
      <c r="G902" s="45" t="n">
        <f aca="false">INDEX(Background!$C$4:$C$7,MATCH(C902,Background!$A$4:$A$7,0))</f>
        <v>0.185174766157958</v>
      </c>
      <c r="H902" s="49" t="n">
        <f aca="false">LN(F902/G902)</f>
        <v>1.3905290756732</v>
      </c>
    </row>
    <row r="903" customFormat="false" ht="15" hidden="false" customHeight="true" outlineLevel="0" collapsed="false">
      <c r="A903" s="38" t="s">
        <v>851</v>
      </c>
      <c r="B903" s="38" t="n">
        <v>38</v>
      </c>
      <c r="C903" s="38" t="s">
        <v>169</v>
      </c>
      <c r="D903" s="38" t="s">
        <v>868</v>
      </c>
      <c r="E903" s="38" t="str">
        <f aca="false">B903&amp;"|"&amp;C903</f>
        <v>38|G</v>
      </c>
      <c r="F903" s="45" t="n">
        <f aca="false">INDEX('Emission Stepwise'!$H$2:$H$289,MATCH(E903,'Emission Stepwise'!$C$2:$C$289,0))</f>
        <v>0.00985221674876847</v>
      </c>
      <c r="G903" s="45" t="n">
        <f aca="false">INDEX(Background!$C$4:$C$7,MATCH(C903,Background!$A$4:$A$7,0))</f>
        <v>0.325128349391659</v>
      </c>
      <c r="H903" s="49" t="n">
        <f aca="false">LN(F903/G903)</f>
        <v>-3.49652354507369</v>
      </c>
    </row>
    <row r="904" customFormat="false" ht="15" hidden="false" customHeight="true" outlineLevel="0" collapsed="false">
      <c r="A904" s="38" t="s">
        <v>851</v>
      </c>
      <c r="B904" s="38" t="n">
        <v>39</v>
      </c>
      <c r="C904" s="38" t="s">
        <v>169</v>
      </c>
      <c r="D904" s="38" t="s">
        <v>868</v>
      </c>
      <c r="E904" s="38" t="str">
        <f aca="false">B904&amp;"|"&amp;C904</f>
        <v>39|G</v>
      </c>
      <c r="F904" s="45" t="n">
        <f aca="false">INDEX('Emission Stepwise'!$H$2:$H$289,MATCH(E904,'Emission Stepwise'!$C$2:$C$289,0))</f>
        <v>0.359605911330049</v>
      </c>
      <c r="G904" s="45" t="n">
        <f aca="false">INDEX(Background!$C$4:$C$7,MATCH(C904,Background!$A$4:$A$7,0))</f>
        <v>0.325128349391659</v>
      </c>
      <c r="H904" s="49" t="n">
        <f aca="false">LN(F904/G904)</f>
        <v>0.100788715514753</v>
      </c>
    </row>
    <row r="905" customFormat="false" ht="15" hidden="false" customHeight="true" outlineLevel="0" collapsed="false">
      <c r="A905" s="38" t="s">
        <v>851</v>
      </c>
      <c r="B905" s="38" t="n">
        <v>40</v>
      </c>
      <c r="C905" s="38" t="s">
        <v>171</v>
      </c>
      <c r="D905" s="38" t="s">
        <v>868</v>
      </c>
      <c r="E905" s="38" t="str">
        <f aca="false">B905&amp;"|"&amp;C905</f>
        <v>40|U</v>
      </c>
      <c r="F905" s="45" t="n">
        <f aca="false">INDEX('Emission Stepwise'!$H$2:$H$289,MATCH(E905,'Emission Stepwise'!$C$2:$C$289,0))</f>
        <v>0.0443349753694581</v>
      </c>
      <c r="G905" s="45" t="n">
        <f aca="false">INDEX(Background!$C$4:$C$7,MATCH(C905,Background!$A$4:$A$7,0))</f>
        <v>0.212884169069555</v>
      </c>
      <c r="H905" s="49" t="n">
        <f aca="false">LN(F905/G905)</f>
        <v>-1.56897433333091</v>
      </c>
    </row>
    <row r="906" customFormat="false" ht="15" hidden="false" customHeight="true" outlineLevel="0" collapsed="false">
      <c r="A906" s="38" t="s">
        <v>851</v>
      </c>
      <c r="B906" s="38" t="n">
        <v>41</v>
      </c>
      <c r="C906" s="38" t="s">
        <v>172</v>
      </c>
      <c r="D906" s="38" t="s">
        <v>868</v>
      </c>
      <c r="E906" s="38" t="str">
        <f aca="false">B906&amp;"|"&amp;C906</f>
        <v>41|A</v>
      </c>
      <c r="F906" s="45" t="n">
        <f aca="false">INDEX('Emission Stepwise'!$H$2:$H$289,MATCH(E906,'Emission Stepwise'!$C$2:$C$289,0))</f>
        <v>0.270935960591133</v>
      </c>
      <c r="G906" s="45" t="n">
        <f aca="false">INDEX(Background!$C$4:$C$7,MATCH(C906,Background!$A$4:$A$7,0))</f>
        <v>0.185174766157958</v>
      </c>
      <c r="H906" s="49" t="n">
        <f aca="false">LN(F906/G906)</f>
        <v>0.380582424090749</v>
      </c>
    </row>
    <row r="907" customFormat="false" ht="15" hidden="false" customHeight="true" outlineLevel="0" collapsed="false">
      <c r="A907" s="38" t="s">
        <v>851</v>
      </c>
      <c r="B907" s="38" t="n">
        <v>42</v>
      </c>
      <c r="C907" s="38" t="s">
        <v>170</v>
      </c>
      <c r="D907" s="38" t="s">
        <v>868</v>
      </c>
      <c r="E907" s="38" t="str">
        <f aca="false">B907&amp;"|"&amp;C907</f>
        <v>42|C</v>
      </c>
      <c r="F907" s="45" t="n">
        <f aca="false">INDEX('Emission Stepwise'!$H$2:$H$289,MATCH(E907,'Emission Stepwise'!$C$2:$C$289,0))</f>
        <v>0.103448275862069</v>
      </c>
      <c r="G907" s="45" t="n">
        <f aca="false">INDEX(Background!$C$4:$C$7,MATCH(C907,Background!$A$4:$A$7,0))</f>
        <v>0.276812715380828</v>
      </c>
      <c r="H907" s="49" t="n">
        <f aca="false">LN(F907/G907)</f>
        <v>-0.984269422094134</v>
      </c>
    </row>
    <row r="908" customFormat="false" ht="15" hidden="false" customHeight="true" outlineLevel="0" collapsed="false">
      <c r="A908" s="38" t="s">
        <v>851</v>
      </c>
      <c r="B908" s="38" t="n">
        <v>43</v>
      </c>
      <c r="C908" s="38" t="s">
        <v>172</v>
      </c>
      <c r="D908" s="38" t="s">
        <v>868</v>
      </c>
      <c r="E908" s="38" t="str">
        <f aca="false">B908&amp;"|"&amp;C908</f>
        <v>43|A</v>
      </c>
      <c r="F908" s="45" t="n">
        <f aca="false">INDEX('Emission Stepwise'!$H$2:$H$289,MATCH(E908,'Emission Stepwise'!$C$2:$C$289,0))</f>
        <v>0.226600985221675</v>
      </c>
      <c r="G908" s="45" t="n">
        <f aca="false">INDEX(Background!$C$4:$C$7,MATCH(C908,Background!$A$4:$A$7,0))</f>
        <v>0.185174766157958</v>
      </c>
      <c r="H908" s="49" t="n">
        <f aca="false">LN(F908/G908)</f>
        <v>0.201890635347373</v>
      </c>
    </row>
    <row r="909" customFormat="false" ht="15" hidden="false" customHeight="true" outlineLevel="0" collapsed="false">
      <c r="A909" s="38" t="s">
        <v>851</v>
      </c>
      <c r="B909" s="38" t="n">
        <v>44</v>
      </c>
      <c r="C909" s="38" t="s">
        <v>172</v>
      </c>
      <c r="D909" s="38" t="s">
        <v>868</v>
      </c>
      <c r="E909" s="38" t="str">
        <f aca="false">B909&amp;"|"&amp;C909</f>
        <v>44|A</v>
      </c>
      <c r="F909" s="45" t="n">
        <f aca="false">INDEX('Emission Stepwise'!$H$2:$H$289,MATCH(E909,'Emission Stepwise'!$C$2:$C$289,0))</f>
        <v>0.492610837438424</v>
      </c>
      <c r="G909" s="45" t="n">
        <f aca="false">INDEX(Background!$C$4:$C$7,MATCH(C909,Background!$A$4:$A$7,0))</f>
        <v>0.185174766157958</v>
      </c>
      <c r="H909" s="49" t="n">
        <f aca="false">LN(F909/G909)</f>
        <v>0.978419424846369</v>
      </c>
    </row>
    <row r="910" customFormat="false" ht="15" hidden="false" customHeight="true" outlineLevel="0" collapsed="false">
      <c r="A910" s="38" t="s">
        <v>851</v>
      </c>
      <c r="B910" s="38" t="n">
        <v>45</v>
      </c>
      <c r="C910" s="38" t="s">
        <v>170</v>
      </c>
      <c r="D910" s="38" t="s">
        <v>869</v>
      </c>
      <c r="E910" s="38" t="str">
        <f aca="false">B910&amp;"|"&amp;C910</f>
        <v>45|C</v>
      </c>
      <c r="F910" s="45" t="n">
        <f aca="false">INDEX('Emission Stepwise'!$H$2:$H$289,MATCH(E910,'Emission Stepwise'!$C$2:$C$289,0))</f>
        <v>0.0298507462686567</v>
      </c>
      <c r="G910" s="45" t="n">
        <f aca="false">INDEX(Background!$C$4:$C$7,MATCH(C910,Background!$A$4:$A$7,0))</f>
        <v>0.276812715380828</v>
      </c>
      <c r="H910" s="49" t="n">
        <f aca="false">LN(F910/G910)</f>
        <v>-2.22713131960679</v>
      </c>
    </row>
    <row r="911" customFormat="false" ht="15" hidden="false" customHeight="true" outlineLevel="0" collapsed="false">
      <c r="A911" s="38" t="s">
        <v>851</v>
      </c>
      <c r="B911" s="38" t="n">
        <v>46</v>
      </c>
      <c r="C911" s="38" t="s">
        <v>171</v>
      </c>
      <c r="D911" s="38" t="s">
        <v>869</v>
      </c>
      <c r="E911" s="38" t="str">
        <f aca="false">B911&amp;"|"&amp;C911</f>
        <v>46|U</v>
      </c>
      <c r="F911" s="45" t="n">
        <f aca="false">INDEX('Emission Stepwise'!$H$2:$H$289,MATCH(E911,'Emission Stepwise'!$C$2:$C$289,0))</f>
        <v>0.0755813953488372</v>
      </c>
      <c r="G911" s="45" t="n">
        <f aca="false">INDEX(Background!$C$4:$C$7,MATCH(C911,Background!$A$4:$A$7,0))</f>
        <v>0.212884169069555</v>
      </c>
      <c r="H911" s="49" t="n">
        <f aca="false">LN(F911/G911)</f>
        <v>-1.03553805097726</v>
      </c>
    </row>
    <row r="912" customFormat="false" ht="15" hidden="false" customHeight="true" outlineLevel="0" collapsed="false">
      <c r="A912" s="38" t="s">
        <v>851</v>
      </c>
      <c r="B912" s="38" t="n">
        <v>47</v>
      </c>
      <c r="C912" s="38" t="s">
        <v>172</v>
      </c>
      <c r="D912" s="38" t="s">
        <v>869</v>
      </c>
      <c r="E912" s="38" t="str">
        <f aca="false">B912&amp;"|"&amp;C912</f>
        <v>47|A</v>
      </c>
      <c r="F912" s="45" t="n">
        <f aca="false">INDEX('Emission Stepwise'!$H$2:$H$289,MATCH(E912,'Emission Stepwise'!$C$2:$C$289,0))</f>
        <v>0.133004926108374</v>
      </c>
      <c r="G912" s="45" t="n">
        <f aca="false">INDEX(Background!$C$4:$C$7,MATCH(C912,Background!$A$4:$A$7,0))</f>
        <v>0.185174766157958</v>
      </c>
      <c r="H912" s="49" t="n">
        <f aca="false">LN(F912/G912)</f>
        <v>-0.330913895137393</v>
      </c>
    </row>
    <row r="913" customFormat="false" ht="15" hidden="false" customHeight="true" outlineLevel="0" collapsed="false">
      <c r="A913" s="38" t="s">
        <v>851</v>
      </c>
      <c r="B913" s="38" t="n">
        <v>48</v>
      </c>
      <c r="C913" s="38" t="s">
        <v>172</v>
      </c>
      <c r="D913" s="38" t="s">
        <v>869</v>
      </c>
      <c r="E913" s="38" t="str">
        <f aca="false">B913&amp;"|"&amp;C913</f>
        <v>48|A</v>
      </c>
      <c r="F913" s="45" t="n">
        <f aca="false">INDEX('Emission Stepwise'!$H$2:$H$289,MATCH(E913,'Emission Stepwise'!$C$2:$C$289,0))</f>
        <v>0.00985221674876847</v>
      </c>
      <c r="G913" s="45" t="n">
        <f aca="false">INDEX(Background!$C$4:$C$7,MATCH(C913,Background!$A$4:$A$7,0))</f>
        <v>0.185174766157958</v>
      </c>
      <c r="H913" s="49" t="n">
        <f aca="false">LN(F913/G913)</f>
        <v>-2.93360358058178</v>
      </c>
    </row>
    <row r="914" customFormat="false" ht="15" hidden="false" customHeight="true" outlineLevel="0" collapsed="false">
      <c r="A914" s="38" t="s">
        <v>851</v>
      </c>
      <c r="B914" s="38" t="n">
        <v>49</v>
      </c>
      <c r="C914" s="38" t="s">
        <v>171</v>
      </c>
      <c r="D914" s="38" t="s">
        <v>870</v>
      </c>
      <c r="E914" s="38" t="str">
        <f aca="false">B914&amp;"|"&amp;C914</f>
        <v>49|U</v>
      </c>
      <c r="F914" s="45" t="n">
        <f aca="false">INDEX('Emission Stepwise'!$H$2:$H$289,MATCH(E914,'Emission Stepwise'!$C$2:$C$289,0))</f>
        <v>0.0591133004926108</v>
      </c>
      <c r="G914" s="45" t="n">
        <f aca="false">INDEX(Background!$C$4:$C$7,MATCH(C914,Background!$A$4:$A$7,0))</f>
        <v>0.212884169069555</v>
      </c>
      <c r="H914" s="49" t="n">
        <f aca="false">LN(F914/G914)</f>
        <v>-1.28129226087913</v>
      </c>
    </row>
    <row r="915" customFormat="false" ht="15" hidden="false" customHeight="true" outlineLevel="0" collapsed="false">
      <c r="A915" s="38" t="s">
        <v>851</v>
      </c>
      <c r="B915" s="38" t="n">
        <v>50</v>
      </c>
      <c r="C915" s="38" t="s">
        <v>169</v>
      </c>
      <c r="D915" s="38" t="s">
        <v>870</v>
      </c>
      <c r="E915" s="38" t="str">
        <f aca="false">B915&amp;"|"&amp;C915</f>
        <v>50|G</v>
      </c>
      <c r="F915" s="45" t="n">
        <f aca="false">INDEX('Emission Stepwise'!$H$2:$H$289,MATCH(E915,'Emission Stepwise'!$C$2:$C$289,0))</f>
        <v>0.270935960591133</v>
      </c>
      <c r="G915" s="45" t="n">
        <f aca="false">INDEX(Background!$C$4:$C$7,MATCH(C915,Background!$A$4:$A$7,0))</f>
        <v>0.325128349391659</v>
      </c>
      <c r="H915" s="49" t="n">
        <f aca="false">LN(F915/G915)</f>
        <v>-0.182337540401167</v>
      </c>
    </row>
    <row r="916" customFormat="false" ht="15" hidden="false" customHeight="true" outlineLevel="0" collapsed="false">
      <c r="A916" s="38" t="s">
        <v>851</v>
      </c>
      <c r="B916" s="38" t="n">
        <v>51</v>
      </c>
      <c r="C916" s="38" t="s">
        <v>172</v>
      </c>
      <c r="D916" s="38" t="s">
        <v>870</v>
      </c>
      <c r="E916" s="38" t="str">
        <f aca="false">B916&amp;"|"&amp;C916</f>
        <v>51|A</v>
      </c>
      <c r="F916" s="45" t="n">
        <f aca="false">INDEX('Emission Stepwise'!$H$2:$H$289,MATCH(E916,'Emission Stepwise'!$C$2:$C$289,0))</f>
        <v>0.143564356435644</v>
      </c>
      <c r="G916" s="45" t="n">
        <f aca="false">INDEX(Background!$C$4:$C$7,MATCH(C916,Background!$A$4:$A$7,0))</f>
        <v>0.185174766157958</v>
      </c>
      <c r="H916" s="49" t="n">
        <f aca="false">LN(F916/G916)</f>
        <v>-0.254516649514666</v>
      </c>
    </row>
    <row r="917" customFormat="false" ht="15" hidden="false" customHeight="true" outlineLevel="0" collapsed="false">
      <c r="A917" s="38" t="s">
        <v>851</v>
      </c>
      <c r="B917" s="38" t="n">
        <v>52</v>
      </c>
      <c r="C917" s="38" t="s">
        <v>172</v>
      </c>
      <c r="D917" s="38" t="s">
        <v>870</v>
      </c>
      <c r="E917" s="38" t="str">
        <f aca="false">B917&amp;"|"&amp;C917</f>
        <v>52|A</v>
      </c>
      <c r="F917" s="45" t="n">
        <f aca="false">INDEX('Emission Stepwise'!$H$2:$H$289,MATCH(E917,'Emission Stepwise'!$C$2:$C$289,0))</f>
        <v>0.133004926108374</v>
      </c>
      <c r="G917" s="45" t="n">
        <f aca="false">INDEX(Background!$C$4:$C$7,MATCH(C917,Background!$A$4:$A$7,0))</f>
        <v>0.185174766157958</v>
      </c>
      <c r="H917" s="49" t="n">
        <f aca="false">LN(F917/G917)</f>
        <v>-0.330913895137393</v>
      </c>
    </row>
    <row r="918" customFormat="false" ht="15" hidden="false" customHeight="true" outlineLevel="0" collapsed="false">
      <c r="A918" s="38" t="s">
        <v>851</v>
      </c>
      <c r="B918" s="38" t="n">
        <v>53</v>
      </c>
      <c r="C918" s="38" t="s">
        <v>169</v>
      </c>
      <c r="D918" s="38" t="s">
        <v>870</v>
      </c>
      <c r="E918" s="38" t="str">
        <f aca="false">B918&amp;"|"&amp;C918</f>
        <v>53|G</v>
      </c>
      <c r="F918" s="45" t="n">
        <f aca="false">INDEX('Emission Stepwise'!$H$2:$H$289,MATCH(E918,'Emission Stepwise'!$C$2:$C$289,0))</f>
        <v>0.96551724137931</v>
      </c>
      <c r="G918" s="45" t="n">
        <f aca="false">INDEX(Background!$C$4:$C$7,MATCH(C918,Background!$A$4:$A$7,0))</f>
        <v>0.325128349391659</v>
      </c>
      <c r="H918" s="49" t="n">
        <f aca="false">LN(F918/G918)</f>
        <v>1.08844393359688</v>
      </c>
    </row>
    <row r="919" customFormat="false" ht="15" hidden="false" customHeight="true" outlineLevel="0" collapsed="false">
      <c r="A919" s="38" t="s">
        <v>851</v>
      </c>
      <c r="B919" s="38" t="n">
        <v>54</v>
      </c>
      <c r="C919" s="38" t="s">
        <v>171</v>
      </c>
      <c r="D919" s="38" t="s">
        <v>870</v>
      </c>
      <c r="E919" s="38" t="str">
        <f aca="false">B919&amp;"|"&amp;C919</f>
        <v>54|U</v>
      </c>
      <c r="F919" s="45" t="n">
        <f aca="false">INDEX('Emission Stepwise'!$H$2:$H$289,MATCH(E919,'Emission Stepwise'!$C$2:$C$289,0))</f>
        <v>0.975369458128079</v>
      </c>
      <c r="G919" s="45" t="n">
        <f aca="false">INDEX(Background!$C$4:$C$7,MATCH(C919,Background!$A$4:$A$7,0))</f>
        <v>0.212884169069555</v>
      </c>
      <c r="H919" s="49" t="n">
        <f aca="false">LN(F919/G919)</f>
        <v>1.5220681200274</v>
      </c>
    </row>
    <row r="920" customFormat="false" ht="15" hidden="false" customHeight="true" outlineLevel="0" collapsed="false">
      <c r="A920" s="38" t="s">
        <v>851</v>
      </c>
      <c r="B920" s="38" t="n">
        <v>55</v>
      </c>
      <c r="C920" s="38" t="s">
        <v>171</v>
      </c>
      <c r="D920" s="38" t="s">
        <v>870</v>
      </c>
      <c r="E920" s="38" t="str">
        <f aca="false">B920&amp;"|"&amp;C920</f>
        <v>55|U</v>
      </c>
      <c r="F920" s="45" t="n">
        <f aca="false">INDEX('Emission Stepwise'!$H$2:$H$289,MATCH(E920,'Emission Stepwise'!$C$2:$C$289,0))</f>
        <v>0.970443349753695</v>
      </c>
      <c r="G920" s="45" t="n">
        <f aca="false">INDEX(Background!$C$4:$C$7,MATCH(C920,Background!$A$4:$A$7,0))</f>
        <v>0.212884169069555</v>
      </c>
      <c r="H920" s="49" t="n">
        <f aca="false">LN(F920/G920)</f>
        <v>1.51700481807086</v>
      </c>
    </row>
    <row r="921" customFormat="false" ht="15" hidden="false" customHeight="true" outlineLevel="0" collapsed="false">
      <c r="A921" s="38" t="s">
        <v>851</v>
      </c>
      <c r="B921" s="38" t="n">
        <v>56</v>
      </c>
      <c r="C921" s="38" t="s">
        <v>170</v>
      </c>
      <c r="D921" s="38" t="s">
        <v>870</v>
      </c>
      <c r="E921" s="38" t="str">
        <f aca="false">B921&amp;"|"&amp;C921</f>
        <v>56|C</v>
      </c>
      <c r="F921" s="45" t="n">
        <f aca="false">INDEX('Emission Stepwise'!$H$2:$H$289,MATCH(E921,'Emission Stepwise'!$C$2:$C$289,0))</f>
        <v>0.96551724137931</v>
      </c>
      <c r="G921" s="45" t="n">
        <f aca="false">INDEX(Background!$C$4:$C$7,MATCH(C921,Background!$A$4:$A$7,0))</f>
        <v>0.276812715380828</v>
      </c>
      <c r="H921" s="49" t="n">
        <f aca="false">LN(F921/G921)</f>
        <v>1.24932279941296</v>
      </c>
    </row>
    <row r="922" customFormat="false" ht="15" hidden="false" customHeight="true" outlineLevel="0" collapsed="false">
      <c r="A922" s="38" t="s">
        <v>851</v>
      </c>
      <c r="B922" s="38" t="n">
        <v>57</v>
      </c>
      <c r="C922" s="38" t="s">
        <v>170</v>
      </c>
      <c r="D922" s="38" t="s">
        <v>870</v>
      </c>
      <c r="E922" s="38" t="str">
        <f aca="false">B922&amp;"|"&amp;C922</f>
        <v>57|C</v>
      </c>
      <c r="F922" s="45" t="n">
        <f aca="false">INDEX('Emission Stepwise'!$H$2:$H$289,MATCH(E922,'Emission Stepwise'!$C$2:$C$289,0))</f>
        <v>0.00495049504950495</v>
      </c>
      <c r="G922" s="45" t="n">
        <f aca="false">INDEX(Background!$C$4:$C$7,MATCH(C922,Background!$A$4:$A$7,0))</f>
        <v>0.276812715380828</v>
      </c>
      <c r="H922" s="49" t="n">
        <f aca="false">LN(F922/G922)</f>
        <v>-4.02385357817698</v>
      </c>
    </row>
    <row r="923" customFormat="false" ht="15" hidden="false" customHeight="true" outlineLevel="0" collapsed="false">
      <c r="A923" s="38" t="s">
        <v>851</v>
      </c>
      <c r="B923" s="38" t="n">
        <v>58</v>
      </c>
      <c r="C923" s="38" t="s">
        <v>170</v>
      </c>
      <c r="D923" s="38" t="s">
        <v>870</v>
      </c>
      <c r="E923" s="38" t="str">
        <f aca="false">B923&amp;"|"&amp;C923</f>
        <v>58|C</v>
      </c>
      <c r="F923" s="45" t="n">
        <f aca="false">INDEX('Emission Stepwise'!$H$2:$H$289,MATCH(E923,'Emission Stepwise'!$C$2:$C$289,0))</f>
        <v>0.00985221674876847</v>
      </c>
      <c r="G923" s="45" t="n">
        <f aca="false">INDEX(Background!$C$4:$C$7,MATCH(C923,Background!$A$4:$A$7,0))</f>
        <v>0.276812715380828</v>
      </c>
      <c r="H923" s="49" t="n">
        <f aca="false">LN(F923/G923)</f>
        <v>-3.33564467925761</v>
      </c>
    </row>
    <row r="924" customFormat="false" ht="15" hidden="false" customHeight="true" outlineLevel="0" collapsed="false">
      <c r="A924" s="38" t="s">
        <v>851</v>
      </c>
      <c r="B924" s="38" t="n">
        <v>59</v>
      </c>
      <c r="C924" s="38" t="s">
        <v>171</v>
      </c>
      <c r="D924" s="38" t="s">
        <v>870</v>
      </c>
      <c r="E924" s="38" t="str">
        <f aca="false">B924&amp;"|"&amp;C924</f>
        <v>59|U</v>
      </c>
      <c r="F924" s="45" t="n">
        <f aca="false">INDEX('Emission Stepwise'!$H$2:$H$289,MATCH(E924,'Emission Stepwise'!$C$2:$C$289,0))</f>
        <v>0.251231527093596</v>
      </c>
      <c r="G924" s="45" t="n">
        <f aca="false">INDEX(Background!$C$4:$C$7,MATCH(C924,Background!$A$4:$A$7,0))</f>
        <v>0.212884169069555</v>
      </c>
      <c r="H924" s="49" t="n">
        <f aca="false">LN(F924/G924)</f>
        <v>0.165626722057194</v>
      </c>
    </row>
    <row r="925" customFormat="false" ht="15" hidden="false" customHeight="true" outlineLevel="0" collapsed="false">
      <c r="A925" s="38" t="s">
        <v>851</v>
      </c>
      <c r="B925" s="38" t="n">
        <v>60</v>
      </c>
      <c r="C925" s="38" t="s">
        <v>171</v>
      </c>
      <c r="D925" s="38" t="s">
        <v>870</v>
      </c>
      <c r="E925" s="38" t="str">
        <f aca="false">B925&amp;"|"&amp;C925</f>
        <v>60|U</v>
      </c>
      <c r="F925" s="45" t="n">
        <f aca="false">INDEX('Emission Stepwise'!$H$2:$H$289,MATCH(E925,'Emission Stepwise'!$C$2:$C$289,0))</f>
        <v>0.773399014778325</v>
      </c>
      <c r="G925" s="45" t="n">
        <f aca="false">INDEX(Background!$C$4:$C$7,MATCH(C925,Background!$A$4:$A$7,0))</f>
        <v>0.212884169069555</v>
      </c>
      <c r="H925" s="49" t="n">
        <f aca="false">LN(F925/G925)</f>
        <v>1.29004689468118</v>
      </c>
    </row>
    <row r="926" customFormat="false" ht="15" hidden="false" customHeight="true" outlineLevel="0" collapsed="false">
      <c r="A926" s="38" t="s">
        <v>851</v>
      </c>
      <c r="B926" s="38" t="n">
        <v>61</v>
      </c>
      <c r="C926" s="38" t="s">
        <v>170</v>
      </c>
      <c r="D926" s="38" t="s">
        <v>870</v>
      </c>
      <c r="E926" s="38" t="str">
        <f aca="false">B926&amp;"|"&amp;C926</f>
        <v>61|C</v>
      </c>
      <c r="F926" s="45" t="n">
        <f aca="false">INDEX('Emission Stepwise'!$H$2:$H$289,MATCH(E926,'Emission Stepwise'!$C$2:$C$289,0))</f>
        <v>0.975369458128079</v>
      </c>
      <c r="G926" s="45" t="n">
        <f aca="false">INDEX(Background!$C$4:$C$7,MATCH(C926,Background!$A$4:$A$7,0))</f>
        <v>0.276812715380828</v>
      </c>
      <c r="H926" s="49" t="n">
        <f aca="false">LN(F926/G926)</f>
        <v>1.25947517087698</v>
      </c>
    </row>
    <row r="927" customFormat="false" ht="15" hidden="false" customHeight="true" outlineLevel="0" collapsed="false">
      <c r="A927" s="38" t="s">
        <v>851</v>
      </c>
      <c r="B927" s="38" t="n">
        <v>62</v>
      </c>
      <c r="C927" s="38" t="s">
        <v>171</v>
      </c>
      <c r="D927" s="38" t="s">
        <v>870</v>
      </c>
      <c r="E927" s="38" t="str">
        <f aca="false">B927&amp;"|"&amp;C927</f>
        <v>62|U</v>
      </c>
      <c r="F927" s="45" t="n">
        <f aca="false">INDEX('Emission Stepwise'!$H$2:$H$289,MATCH(E927,'Emission Stepwise'!$C$2:$C$289,0))</f>
        <v>0.133004926108374</v>
      </c>
      <c r="G927" s="45" t="n">
        <f aca="false">INDEX(Background!$C$4:$C$7,MATCH(C927,Background!$A$4:$A$7,0))</f>
        <v>0.212884169069555</v>
      </c>
      <c r="H927" s="49" t="n">
        <f aca="false">LN(F927/G927)</f>
        <v>-0.470362044662802</v>
      </c>
    </row>
    <row r="928" customFormat="false" ht="15" hidden="false" customHeight="true" outlineLevel="0" collapsed="false">
      <c r="A928" s="38" t="s">
        <v>851</v>
      </c>
      <c r="B928" s="38" t="n">
        <v>63</v>
      </c>
      <c r="C928" s="38" t="s">
        <v>171</v>
      </c>
      <c r="D928" s="38" t="s">
        <v>870</v>
      </c>
      <c r="E928" s="38" t="str">
        <f aca="false">B928&amp;"|"&amp;C928</f>
        <v>63|U</v>
      </c>
      <c r="F928" s="45" t="n">
        <f aca="false">INDEX('Emission Stepwise'!$H$2:$H$289,MATCH(E928,'Emission Stepwise'!$C$2:$C$289,0))</f>
        <v>0.16256157635468</v>
      </c>
      <c r="G928" s="45" t="n">
        <f aca="false">INDEX(Background!$C$4:$C$7,MATCH(C928,Background!$A$4:$A$7,0))</f>
        <v>0.212884169069555</v>
      </c>
      <c r="H928" s="49" t="n">
        <f aca="false">LN(F928/G928)</f>
        <v>-0.269691349200651</v>
      </c>
    </row>
    <row r="929" customFormat="false" ht="15" hidden="false" customHeight="true" outlineLevel="0" collapsed="false">
      <c r="A929" s="38" t="s">
        <v>851</v>
      </c>
      <c r="B929" s="38" t="n">
        <v>64</v>
      </c>
      <c r="C929" s="38" t="s">
        <v>170</v>
      </c>
      <c r="D929" s="38" t="s">
        <v>870</v>
      </c>
      <c r="E929" s="38" t="str">
        <f aca="false">B929&amp;"|"&amp;C929</f>
        <v>64|C</v>
      </c>
      <c r="F929" s="45" t="n">
        <f aca="false">INDEX('Emission Stepwise'!$H$2:$H$289,MATCH(E929,'Emission Stepwise'!$C$2:$C$289,0))</f>
        <v>0.211822660098522</v>
      </c>
      <c r="G929" s="45" t="n">
        <f aca="false">INDEX(Background!$C$4:$C$7,MATCH(C929,Background!$A$4:$A$7,0))</f>
        <v>0.276812715380828</v>
      </c>
      <c r="H929" s="49" t="n">
        <f aca="false">LN(F929/G929)</f>
        <v>-0.267591744123995</v>
      </c>
    </row>
    <row r="930" customFormat="false" ht="15" hidden="false" customHeight="true" outlineLevel="0" collapsed="false">
      <c r="A930" s="38" t="s">
        <v>851</v>
      </c>
      <c r="B930" s="38" t="n">
        <v>65</v>
      </c>
      <c r="C930" s="38" t="s">
        <v>172</v>
      </c>
      <c r="D930" s="38" t="s">
        <v>870</v>
      </c>
      <c r="E930" s="38" t="str">
        <f aca="false">B930&amp;"|"&amp;C930</f>
        <v>65|A</v>
      </c>
      <c r="F930" s="45" t="n">
        <f aca="false">INDEX('Emission Stepwise'!$H$2:$H$289,MATCH(E930,'Emission Stepwise'!$C$2:$C$289,0))</f>
        <v>0.0495049504950495</v>
      </c>
      <c r="G930" s="45" t="n">
        <f aca="false">INDEX(Background!$C$4:$C$7,MATCH(C930,Background!$A$4:$A$7,0))</f>
        <v>0.185174766157958</v>
      </c>
      <c r="H930" s="49" t="n">
        <f aca="false">LN(F930/G930)</f>
        <v>-1.31922738650709</v>
      </c>
    </row>
    <row r="931" customFormat="false" ht="15" hidden="false" customHeight="true" outlineLevel="0" collapsed="false">
      <c r="A931" s="38" t="s">
        <v>851</v>
      </c>
      <c r="B931" s="38" t="n">
        <v>66</v>
      </c>
      <c r="C931" s="38" t="s">
        <v>172</v>
      </c>
      <c r="D931" s="38" t="s">
        <v>871</v>
      </c>
      <c r="E931" s="38" t="str">
        <f aca="false">B931&amp;"|"&amp;C931</f>
        <v>66|A</v>
      </c>
      <c r="F931" s="45" t="n">
        <f aca="false">INDEX('Emission Stepwise'!$H$2:$H$289,MATCH(E931,'Emission Stepwise'!$C$2:$C$289,0))</f>
        <v>0.216748768472906</v>
      </c>
      <c r="G931" s="45" t="n">
        <f aca="false">INDEX(Background!$C$4:$C$7,MATCH(C931,Background!$A$4:$A$7,0))</f>
        <v>0.185174766157958</v>
      </c>
      <c r="H931" s="49" t="n">
        <f aca="false">LN(F931/G931)</f>
        <v>0.157438872776539</v>
      </c>
    </row>
    <row r="932" customFormat="false" ht="15" hidden="false" customHeight="true" outlineLevel="0" collapsed="false">
      <c r="A932" s="38" t="s">
        <v>851</v>
      </c>
      <c r="B932" s="38" t="n">
        <v>67</v>
      </c>
      <c r="C932" s="38" t="s">
        <v>171</v>
      </c>
      <c r="D932" s="38" t="s">
        <v>871</v>
      </c>
      <c r="E932" s="38" t="str">
        <f aca="false">B932&amp;"|"&amp;C932</f>
        <v>67|U</v>
      </c>
      <c r="F932" s="45" t="n">
        <f aca="false">INDEX('Emission Stepwise'!$H$2:$H$289,MATCH(E932,'Emission Stepwise'!$C$2:$C$289,0))</f>
        <v>0.192118226600985</v>
      </c>
      <c r="G932" s="45" t="n">
        <f aca="false">INDEX(Background!$C$4:$C$7,MATCH(C932,Background!$A$4:$A$7,0))</f>
        <v>0.212884169069555</v>
      </c>
      <c r="H932" s="49" t="n">
        <f aca="false">LN(F932/G932)</f>
        <v>-0.102637264537485</v>
      </c>
    </row>
    <row r="933" customFormat="false" ht="15" hidden="false" customHeight="true" outlineLevel="0" collapsed="false">
      <c r="A933" s="38" t="s">
        <v>851</v>
      </c>
      <c r="B933" s="38" t="n">
        <v>68</v>
      </c>
      <c r="C933" s="38" t="s">
        <v>170</v>
      </c>
      <c r="D933" s="38" t="s">
        <v>871</v>
      </c>
      <c r="E933" s="38" t="str">
        <f aca="false">B933&amp;"|"&amp;C933</f>
        <v>68|C</v>
      </c>
      <c r="F933" s="45" t="n">
        <f aca="false">INDEX('Emission Stepwise'!$H$2:$H$289,MATCH(E933,'Emission Stepwise'!$C$2:$C$289,0))</f>
        <v>0.310344827586207</v>
      </c>
      <c r="G933" s="45" t="n">
        <f aca="false">INDEX(Background!$C$4:$C$7,MATCH(C933,Background!$A$4:$A$7,0))</f>
        <v>0.276812715380828</v>
      </c>
      <c r="H933" s="49" t="n">
        <f aca="false">LN(F933/G933)</f>
        <v>0.114342866573976</v>
      </c>
    </row>
    <row r="934" customFormat="false" ht="15" hidden="false" customHeight="true" outlineLevel="0" collapsed="false">
      <c r="A934" s="38" t="s">
        <v>851</v>
      </c>
      <c r="B934" s="38" t="n">
        <v>69</v>
      </c>
      <c r="C934" s="38" t="s">
        <v>171</v>
      </c>
      <c r="D934" s="38" t="s">
        <v>871</v>
      </c>
      <c r="E934" s="38" t="str">
        <f aca="false">B934&amp;"|"&amp;C934</f>
        <v>69|U</v>
      </c>
      <c r="F934" s="45" t="n">
        <f aca="false">INDEX('Emission Stepwise'!$H$2:$H$289,MATCH(E934,'Emission Stepwise'!$C$2:$C$289,0))</f>
        <v>0.083743842364532</v>
      </c>
      <c r="G934" s="45" t="n">
        <f aca="false">INDEX(Background!$C$4:$C$7,MATCH(C934,Background!$A$4:$A$7,0))</f>
        <v>0.212884169069555</v>
      </c>
      <c r="H934" s="49" t="n">
        <f aca="false">LN(F934/G934)</f>
        <v>-0.932985566610916</v>
      </c>
    </row>
    <row r="935" customFormat="false" ht="15" hidden="false" customHeight="true" outlineLevel="0" collapsed="false">
      <c r="A935" s="38" t="s">
        <v>851</v>
      </c>
      <c r="B935" s="38" t="n">
        <v>70</v>
      </c>
      <c r="C935" s="38" t="s">
        <v>169</v>
      </c>
      <c r="D935" s="38" t="s">
        <v>871</v>
      </c>
      <c r="E935" s="38" t="str">
        <f aca="false">B935&amp;"|"&amp;C935</f>
        <v>70|G</v>
      </c>
      <c r="F935" s="45" t="n">
        <f aca="false">INDEX('Emission Stepwise'!$H$2:$H$289,MATCH(E935,'Emission Stepwise'!$C$2:$C$289,0))</f>
        <v>0.374384236453202</v>
      </c>
      <c r="G935" s="45" t="n">
        <f aca="false">INDEX(Background!$C$4:$C$7,MATCH(C935,Background!$A$4:$A$7,0))</f>
        <v>0.325128349391659</v>
      </c>
      <c r="H935" s="49" t="n">
        <f aca="false">LN(F935/G935)</f>
        <v>0.141062614652693</v>
      </c>
    </row>
    <row r="936" customFormat="false" ht="15" hidden="false" customHeight="true" outlineLevel="0" collapsed="false">
      <c r="A936" s="38" t="s">
        <v>851</v>
      </c>
      <c r="B936" s="38" t="n">
        <v>71</v>
      </c>
      <c r="C936" s="38" t="s">
        <v>172</v>
      </c>
      <c r="D936" s="38" t="s">
        <v>871</v>
      </c>
      <c r="E936" s="38" t="str">
        <f aca="false">B936&amp;"|"&amp;C936</f>
        <v>71|A</v>
      </c>
      <c r="F936" s="45" t="n">
        <f aca="false">INDEX('Emission Stepwise'!$H$2:$H$289,MATCH(E936,'Emission Stepwise'!$C$2:$C$289,0))</f>
        <v>0.0295566502463054</v>
      </c>
      <c r="G936" s="45" t="n">
        <f aca="false">INDEX(Background!$C$4:$C$7,MATCH(C936,Background!$A$4:$A$7,0))</f>
        <v>0.185174766157958</v>
      </c>
      <c r="H936" s="49" t="n">
        <f aca="false">LN(F936/G936)</f>
        <v>-1.83499129191367</v>
      </c>
    </row>
    <row r="937" customFormat="false" ht="15" hidden="false" customHeight="true" outlineLevel="0" collapsed="false">
      <c r="A937" s="38" t="s">
        <v>851</v>
      </c>
      <c r="B937" s="38" t="n">
        <v>72</v>
      </c>
      <c r="C937" s="38" t="s">
        <v>172</v>
      </c>
      <c r="D937" s="38" t="s">
        <v>871</v>
      </c>
      <c r="E937" s="38" t="str">
        <f aca="false">B937&amp;"|"&amp;C937</f>
        <v>72|A</v>
      </c>
      <c r="F937" s="45" t="n">
        <f aca="false">INDEX('Emission Stepwise'!$H$2:$H$289,MATCH(E937,'Emission Stepwise'!$C$2:$C$289,0))</f>
        <v>0.083743842364532</v>
      </c>
      <c r="G937" s="45" t="n">
        <f aca="false">INDEX(Background!$C$4:$C$7,MATCH(C937,Background!$A$4:$A$7,0))</f>
        <v>0.185174766157958</v>
      </c>
      <c r="H937" s="49" t="n">
        <f aca="false">LN(F937/G937)</f>
        <v>-0.793537417085506</v>
      </c>
    </row>
    <row r="938" customFormat="false" ht="15" hidden="false" customHeight="true" outlineLevel="0" collapsed="false">
      <c r="A938" s="38" t="s">
        <v>852</v>
      </c>
      <c r="B938" s="38" t="n">
        <v>1</v>
      </c>
      <c r="C938" s="38" t="s">
        <v>171</v>
      </c>
      <c r="D938" s="38" t="s">
        <v>865</v>
      </c>
      <c r="E938" s="38" t="str">
        <f aca="false">B938&amp;"|"&amp;C938</f>
        <v>1|U</v>
      </c>
      <c r="F938" s="45" t="n">
        <f aca="false">INDEX('Emission Stepwise'!$H$2:$H$289,MATCH(E938,'Emission Stepwise'!$C$2:$C$289,0))</f>
        <v>0.0689655172413793</v>
      </c>
      <c r="G938" s="45" t="n">
        <f aca="false">INDEX(Background!$C$4:$C$7,MATCH(C938,Background!$A$4:$A$7,0))</f>
        <v>0.212884169069555</v>
      </c>
      <c r="H938" s="49" t="n">
        <f aca="false">LN(F938/G938)</f>
        <v>-1.12714158105187</v>
      </c>
    </row>
    <row r="939" customFormat="false" ht="15" hidden="false" customHeight="true" outlineLevel="0" collapsed="false">
      <c r="A939" s="38" t="s">
        <v>852</v>
      </c>
      <c r="B939" s="38" t="n">
        <v>2</v>
      </c>
      <c r="C939" s="38" t="s">
        <v>171</v>
      </c>
      <c r="D939" s="38" t="s">
        <v>865</v>
      </c>
      <c r="E939" s="38" t="str">
        <f aca="false">B939&amp;"|"&amp;C939</f>
        <v>2|U</v>
      </c>
      <c r="F939" s="45" t="n">
        <f aca="false">INDEX('Emission Stepwise'!$H$2:$H$289,MATCH(E939,'Emission Stepwise'!$C$2:$C$289,0))</f>
        <v>0.0344827586206897</v>
      </c>
      <c r="G939" s="45" t="n">
        <f aca="false">INDEX(Background!$C$4:$C$7,MATCH(C939,Background!$A$4:$A$7,0))</f>
        <v>0.212884169069555</v>
      </c>
      <c r="H939" s="49" t="n">
        <f aca="false">LN(F939/G939)</f>
        <v>-1.82028876161182</v>
      </c>
    </row>
    <row r="940" customFormat="false" ht="15" hidden="false" customHeight="true" outlineLevel="0" collapsed="false">
      <c r="A940" s="38" t="s">
        <v>852</v>
      </c>
      <c r="B940" s="38" t="n">
        <v>3</v>
      </c>
      <c r="C940" s="38" t="s">
        <v>170</v>
      </c>
      <c r="D940" s="38" t="s">
        <v>865</v>
      </c>
      <c r="E940" s="38" t="str">
        <f aca="false">B940&amp;"|"&amp;C940</f>
        <v>3|C</v>
      </c>
      <c r="F940" s="45" t="n">
        <f aca="false">INDEX('Emission Stepwise'!$H$2:$H$289,MATCH(E940,'Emission Stepwise'!$C$2:$C$289,0))</f>
        <v>0.38423645320197</v>
      </c>
      <c r="G940" s="45" t="n">
        <f aca="false">INDEX(Background!$C$4:$C$7,MATCH(C940,Background!$A$4:$A$7,0))</f>
        <v>0.276812715380828</v>
      </c>
      <c r="H940" s="49" t="n">
        <f aca="false">LN(F940/G940)</f>
        <v>0.327916966872035</v>
      </c>
    </row>
    <row r="941" customFormat="false" ht="15" hidden="false" customHeight="true" outlineLevel="0" collapsed="false">
      <c r="A941" s="38" t="s">
        <v>852</v>
      </c>
      <c r="B941" s="38" t="n">
        <v>4</v>
      </c>
      <c r="C941" s="38" t="s">
        <v>171</v>
      </c>
      <c r="D941" s="38" t="s">
        <v>865</v>
      </c>
      <c r="E941" s="38" t="str">
        <f aca="false">B941&amp;"|"&amp;C941</f>
        <v>4|U</v>
      </c>
      <c r="F941" s="45" t="n">
        <f aca="false">INDEX('Emission Stepwise'!$H$2:$H$289,MATCH(E941,'Emission Stepwise'!$C$2:$C$289,0))</f>
        <v>0.172413793103448</v>
      </c>
      <c r="G941" s="45" t="n">
        <f aca="false">INDEX(Background!$C$4:$C$7,MATCH(C941,Background!$A$4:$A$7,0))</f>
        <v>0.212884169069555</v>
      </c>
      <c r="H941" s="49" t="n">
        <f aca="false">LN(F941/G941)</f>
        <v>-0.210850849177718</v>
      </c>
    </row>
    <row r="942" customFormat="false" ht="15" hidden="false" customHeight="true" outlineLevel="0" collapsed="false">
      <c r="A942" s="38" t="s">
        <v>852</v>
      </c>
      <c r="B942" s="38" t="n">
        <v>5</v>
      </c>
      <c r="C942" s="38" t="s">
        <v>171</v>
      </c>
      <c r="D942" s="38" t="s">
        <v>865</v>
      </c>
      <c r="E942" s="38" t="str">
        <f aca="false">B942&amp;"|"&amp;C942</f>
        <v>5|U</v>
      </c>
      <c r="F942" s="45" t="n">
        <f aca="false">INDEX('Emission Stepwise'!$H$2:$H$289,MATCH(E942,'Emission Stepwise'!$C$2:$C$289,0))</f>
        <v>0.108374384236453</v>
      </c>
      <c r="G942" s="45" t="n">
        <f aca="false">INDEX(Background!$C$4:$C$7,MATCH(C942,Background!$A$4:$A$7,0))</f>
        <v>0.212884169069555</v>
      </c>
      <c r="H942" s="49" t="n">
        <f aca="false">LN(F942/G942)</f>
        <v>-0.675156457308816</v>
      </c>
    </row>
    <row r="943" customFormat="false" ht="15" hidden="false" customHeight="true" outlineLevel="0" collapsed="false">
      <c r="A943" s="38" t="s">
        <v>852</v>
      </c>
      <c r="B943" s="38" t="n">
        <v>6</v>
      </c>
      <c r="C943" s="38" t="s">
        <v>172</v>
      </c>
      <c r="D943" s="38" t="s">
        <v>865</v>
      </c>
      <c r="E943" s="38" t="str">
        <f aca="false">B943&amp;"|"&amp;C943</f>
        <v>6|A</v>
      </c>
      <c r="F943" s="45" t="n">
        <f aca="false">INDEX('Emission Stepwise'!$H$2:$H$289,MATCH(E943,'Emission Stepwise'!$C$2:$C$289,0))</f>
        <v>0.172413793103448</v>
      </c>
      <c r="G943" s="45" t="n">
        <f aca="false">INDEX(Background!$C$4:$C$7,MATCH(C943,Background!$A$4:$A$7,0))</f>
        <v>0.185174766157958</v>
      </c>
      <c r="H943" s="49" t="n">
        <f aca="false">LN(F943/G943)</f>
        <v>-0.0714026996523086</v>
      </c>
    </row>
    <row r="944" customFormat="false" ht="15" hidden="false" customHeight="true" outlineLevel="0" collapsed="false">
      <c r="A944" s="38" t="s">
        <v>852</v>
      </c>
      <c r="B944" s="38" t="n">
        <v>7</v>
      </c>
      <c r="C944" s="38" t="s">
        <v>171</v>
      </c>
      <c r="D944" s="38" t="s">
        <v>865</v>
      </c>
      <c r="E944" s="38" t="str">
        <f aca="false">B944&amp;"|"&amp;C944</f>
        <v>7|U</v>
      </c>
      <c r="F944" s="45" t="n">
        <f aca="false">INDEX('Emission Stepwise'!$H$2:$H$289,MATCH(E944,'Emission Stepwise'!$C$2:$C$289,0))</f>
        <v>0.221674876847291</v>
      </c>
      <c r="G944" s="45" t="n">
        <f aca="false">INDEX(Background!$C$4:$C$7,MATCH(C944,Background!$A$4:$A$7,0))</f>
        <v>0.212884169069555</v>
      </c>
      <c r="H944" s="49" t="n">
        <f aca="false">LN(F944/G944)</f>
        <v>0.0404635791031882</v>
      </c>
    </row>
    <row r="945" customFormat="false" ht="15" hidden="false" customHeight="true" outlineLevel="0" collapsed="false">
      <c r="A945" s="38" t="s">
        <v>852</v>
      </c>
      <c r="B945" s="38" t="n">
        <v>8</v>
      </c>
      <c r="C945" s="38" t="s">
        <v>171</v>
      </c>
      <c r="D945" s="38" t="s">
        <v>866</v>
      </c>
      <c r="E945" s="38" t="str">
        <f aca="false">B945&amp;"|"&amp;C945</f>
        <v>8|U</v>
      </c>
      <c r="F945" s="45" t="n">
        <f aca="false">INDEX('Emission Stepwise'!$H$2:$H$289,MATCH(E945,'Emission Stepwise'!$C$2:$C$289,0))</f>
        <v>0.975369458128079</v>
      </c>
      <c r="G945" s="45" t="n">
        <f aca="false">INDEX(Background!$C$4:$C$7,MATCH(C945,Background!$A$4:$A$7,0))</f>
        <v>0.212884169069555</v>
      </c>
      <c r="H945" s="49" t="n">
        <f aca="false">LN(F945/G945)</f>
        <v>1.5220681200274</v>
      </c>
    </row>
    <row r="946" customFormat="false" ht="15" hidden="false" customHeight="true" outlineLevel="0" collapsed="false">
      <c r="A946" s="38" t="s">
        <v>852</v>
      </c>
      <c r="B946" s="38" t="n">
        <v>9</v>
      </c>
      <c r="C946" s="38" t="s">
        <v>170</v>
      </c>
      <c r="D946" s="38" t="s">
        <v>867</v>
      </c>
      <c r="E946" s="38" t="str">
        <f aca="false">B946&amp;"|"&amp;C946</f>
        <v>9|C</v>
      </c>
      <c r="F946" s="45" t="n">
        <f aca="false">INDEX('Emission Stepwise'!$H$2:$H$289,MATCH(E946,'Emission Stepwise'!$C$2:$C$289,0))</f>
        <v>0.0396039603960396</v>
      </c>
      <c r="G946" s="45" t="n">
        <f aca="false">INDEX(Background!$C$4:$C$7,MATCH(C946,Background!$A$4:$A$7,0))</f>
        <v>0.276812715380828</v>
      </c>
      <c r="H946" s="49" t="n">
        <f aca="false">LN(F946/G946)</f>
        <v>-1.94441203649714</v>
      </c>
    </row>
    <row r="947" customFormat="false" ht="15" hidden="false" customHeight="true" outlineLevel="0" collapsed="false">
      <c r="A947" s="38" t="s">
        <v>852</v>
      </c>
      <c r="B947" s="38" t="n">
        <v>10</v>
      </c>
      <c r="C947" s="38" t="s">
        <v>171</v>
      </c>
      <c r="D947" s="38" t="s">
        <v>867</v>
      </c>
      <c r="E947" s="38" t="str">
        <f aca="false">B947&amp;"|"&amp;C947</f>
        <v>10|U</v>
      </c>
      <c r="F947" s="45" t="n">
        <f aca="false">INDEX('Emission Stepwise'!$H$2:$H$289,MATCH(E947,'Emission Stepwise'!$C$2:$C$289,0))</f>
        <v>0.00492610837438424</v>
      </c>
      <c r="G947" s="45" t="n">
        <f aca="false">INDEX(Background!$C$4:$C$7,MATCH(C947,Background!$A$4:$A$7,0))</f>
        <v>0.212884169069555</v>
      </c>
      <c r="H947" s="49" t="n">
        <f aca="false">LN(F947/G947)</f>
        <v>-3.76619891066713</v>
      </c>
    </row>
    <row r="948" customFormat="false" ht="15" hidden="false" customHeight="true" outlineLevel="0" collapsed="false">
      <c r="A948" s="38" t="s">
        <v>852</v>
      </c>
      <c r="B948" s="38" t="n">
        <v>11</v>
      </c>
      <c r="C948" s="38" t="s">
        <v>171</v>
      </c>
      <c r="D948" s="38" t="s">
        <v>867</v>
      </c>
      <c r="E948" s="38" t="str">
        <f aca="false">B948&amp;"|"&amp;C948</f>
        <v>11|U</v>
      </c>
      <c r="F948" s="45" t="n">
        <f aca="false">INDEX('Emission Stepwise'!$H$2:$H$289,MATCH(E948,'Emission Stepwise'!$C$2:$C$289,0))</f>
        <v>0.201970443349754</v>
      </c>
      <c r="G948" s="45" t="n">
        <f aca="false">INDEX(Background!$C$4:$C$7,MATCH(C948,Background!$A$4:$A$7,0))</f>
        <v>0.212884169069555</v>
      </c>
      <c r="H948" s="49" t="n">
        <f aca="false">LN(F948/G948)</f>
        <v>-0.0526268439628237</v>
      </c>
    </row>
    <row r="949" customFormat="false" ht="15" hidden="false" customHeight="true" outlineLevel="0" collapsed="false">
      <c r="A949" s="38" t="s">
        <v>852</v>
      </c>
      <c r="B949" s="38" t="n">
        <v>12</v>
      </c>
      <c r="C949" s="38" t="s">
        <v>169</v>
      </c>
      <c r="D949" s="38" t="s">
        <v>867</v>
      </c>
      <c r="E949" s="38" t="str">
        <f aca="false">B949&amp;"|"&amp;C949</f>
        <v>12|G</v>
      </c>
      <c r="F949" s="45" t="n">
        <f aca="false">INDEX('Emission Stepwise'!$H$2:$H$289,MATCH(E949,'Emission Stepwise'!$C$2:$C$289,0))</f>
        <v>0.192118226600985</v>
      </c>
      <c r="G949" s="45" t="n">
        <f aca="false">INDEX(Background!$C$4:$C$7,MATCH(C949,Background!$A$4:$A$7,0))</f>
        <v>0.325128349391659</v>
      </c>
      <c r="H949" s="49" t="n">
        <f aca="false">LN(F949/G949)</f>
        <v>-0.526109079503992</v>
      </c>
    </row>
    <row r="950" customFormat="false" ht="15" hidden="false" customHeight="true" outlineLevel="0" collapsed="false">
      <c r="A950" s="38" t="s">
        <v>852</v>
      </c>
      <c r="B950" s="38" t="n">
        <v>13</v>
      </c>
      <c r="C950" s="38" t="s">
        <v>172</v>
      </c>
      <c r="D950" s="38" t="s">
        <v>867</v>
      </c>
      <c r="E950" s="38" t="str">
        <f aca="false">B950&amp;"|"&amp;C950</f>
        <v>13|A</v>
      </c>
      <c r="F950" s="45" t="n">
        <f aca="false">INDEX('Emission Stepwise'!$H$2:$H$289,MATCH(E950,'Emission Stepwise'!$C$2:$C$289,0))</f>
        <v>0.0689655172413793</v>
      </c>
      <c r="G950" s="45" t="n">
        <f aca="false">INDEX(Background!$C$4:$C$7,MATCH(C950,Background!$A$4:$A$7,0))</f>
        <v>0.185174766157958</v>
      </c>
      <c r="H950" s="49" t="n">
        <f aca="false">LN(F950/G950)</f>
        <v>-0.987693431526464</v>
      </c>
    </row>
    <row r="951" customFormat="false" ht="15" hidden="false" customHeight="true" outlineLevel="0" collapsed="false">
      <c r="A951" s="38" t="s">
        <v>852</v>
      </c>
      <c r="B951" s="38" t="n">
        <v>14</v>
      </c>
      <c r="C951" s="38" t="s">
        <v>172</v>
      </c>
      <c r="D951" s="38" t="s">
        <v>867</v>
      </c>
      <c r="E951" s="38" t="str">
        <f aca="false">B951&amp;"|"&amp;C951</f>
        <v>14|A</v>
      </c>
      <c r="F951" s="45" t="n">
        <f aca="false">INDEX('Emission Stepwise'!$H$2:$H$289,MATCH(E951,'Emission Stepwise'!$C$2:$C$289,0))</f>
        <v>0.975369458128079</v>
      </c>
      <c r="G951" s="45" t="n">
        <f aca="false">INDEX(Background!$C$4:$C$7,MATCH(C951,Background!$A$4:$A$7,0))</f>
        <v>0.185174766157958</v>
      </c>
      <c r="H951" s="49" t="n">
        <f aca="false">LN(F951/G951)</f>
        <v>1.66151626955281</v>
      </c>
    </row>
    <row r="952" customFormat="false" ht="15" hidden="false" customHeight="true" outlineLevel="0" collapsed="false">
      <c r="A952" s="38" t="s">
        <v>852</v>
      </c>
      <c r="B952" s="38" t="n">
        <v>15</v>
      </c>
      <c r="C952" s="38" t="s">
        <v>172</v>
      </c>
      <c r="D952" s="38" t="s">
        <v>867</v>
      </c>
      <c r="E952" s="38" t="str">
        <f aca="false">B952&amp;"|"&amp;C952</f>
        <v>15|A</v>
      </c>
      <c r="F952" s="45" t="n">
        <f aca="false">INDEX('Emission Stepwise'!$H$2:$H$289,MATCH(E952,'Emission Stepwise'!$C$2:$C$289,0))</f>
        <v>0.168316831683168</v>
      </c>
      <c r="G952" s="45" t="n">
        <f aca="false">INDEX(Background!$C$4:$C$7,MATCH(C952,Background!$A$4:$A$7,0))</f>
        <v>0.185174766157958</v>
      </c>
      <c r="H952" s="49" t="n">
        <f aca="false">LN(F952/G952)</f>
        <v>-0.0954519548849783</v>
      </c>
    </row>
    <row r="953" customFormat="false" ht="15" hidden="false" customHeight="true" outlineLevel="0" collapsed="false">
      <c r="A953" s="38" t="s">
        <v>852</v>
      </c>
      <c r="B953" s="38" t="n">
        <v>16</v>
      </c>
      <c r="C953" s="38" t="s">
        <v>172</v>
      </c>
      <c r="D953" s="38" t="s">
        <v>867</v>
      </c>
      <c r="E953" s="38" t="str">
        <f aca="false">B953&amp;"|"&amp;C953</f>
        <v>16|A</v>
      </c>
      <c r="F953" s="45" t="n">
        <f aca="false">INDEX('Emission Stepwise'!$H$2:$H$289,MATCH(E953,'Emission Stepwise'!$C$2:$C$289,0))</f>
        <v>0.0294117647058824</v>
      </c>
      <c r="G953" s="45" t="n">
        <f aca="false">INDEX(Background!$C$4:$C$7,MATCH(C953,Background!$A$4:$A$7,0))</f>
        <v>0.185174766157958</v>
      </c>
      <c r="H953" s="49" t="n">
        <f aca="false">LN(F953/G953)</f>
        <v>-1.8399053067161</v>
      </c>
    </row>
    <row r="954" customFormat="false" ht="15" hidden="false" customHeight="true" outlineLevel="0" collapsed="false">
      <c r="A954" s="38" t="s">
        <v>852</v>
      </c>
      <c r="B954" s="38" t="n">
        <v>17</v>
      </c>
      <c r="C954" s="38" t="s">
        <v>172</v>
      </c>
      <c r="D954" s="38" t="s">
        <v>867</v>
      </c>
      <c r="E954" s="38" t="str">
        <f aca="false">B954&amp;"|"&amp;C954</f>
        <v>17|A</v>
      </c>
      <c r="F954" s="45" t="n">
        <f aca="false">INDEX('Emission Stepwise'!$H$2:$H$289,MATCH(E954,'Emission Stepwise'!$C$2:$C$289,0))</f>
        <v>0.065</v>
      </c>
      <c r="G954" s="45" t="n">
        <f aca="false">INDEX(Background!$C$4:$C$7,MATCH(C954,Background!$A$4:$A$7,0))</f>
        <v>0.185174766157958</v>
      </c>
      <c r="H954" s="49" t="n">
        <f aca="false">LN(F954/G954)</f>
        <v>-1.04691279118643</v>
      </c>
    </row>
    <row r="955" customFormat="false" ht="15" hidden="false" customHeight="true" outlineLevel="0" collapsed="false">
      <c r="A955" s="38" t="s">
        <v>852</v>
      </c>
      <c r="B955" s="38" t="n">
        <v>18</v>
      </c>
      <c r="C955" s="38" t="s">
        <v>169</v>
      </c>
      <c r="D955" s="38" t="s">
        <v>867</v>
      </c>
      <c r="E955" s="38" t="str">
        <f aca="false">B955&amp;"|"&amp;C955</f>
        <v>18|G</v>
      </c>
      <c r="F955" s="45" t="n">
        <f aca="false">INDEX('Emission Stepwise'!$H$2:$H$289,MATCH(E955,'Emission Stepwise'!$C$2:$C$289,0))</f>
        <v>0.980295566502463</v>
      </c>
      <c r="G955" s="45" t="n">
        <f aca="false">INDEX(Background!$C$4:$C$7,MATCH(C955,Background!$A$4:$A$7,0))</f>
        <v>0.325128349391659</v>
      </c>
      <c r="H955" s="49" t="n">
        <f aca="false">LN(F955/G955)</f>
        <v>1.10363409909085</v>
      </c>
    </row>
    <row r="956" customFormat="false" ht="15" hidden="false" customHeight="true" outlineLevel="0" collapsed="false">
      <c r="A956" s="38" t="s">
        <v>852</v>
      </c>
      <c r="B956" s="38" t="n">
        <v>19</v>
      </c>
      <c r="C956" s="38" t="s">
        <v>169</v>
      </c>
      <c r="D956" s="38" t="s">
        <v>867</v>
      </c>
      <c r="E956" s="38" t="str">
        <f aca="false">B956&amp;"|"&amp;C956</f>
        <v>19|G</v>
      </c>
      <c r="F956" s="45" t="n">
        <f aca="false">INDEX('Emission Stepwise'!$H$2:$H$289,MATCH(E956,'Emission Stepwise'!$C$2:$C$289,0))</f>
        <v>0.970443349753695</v>
      </c>
      <c r="G956" s="45" t="n">
        <f aca="false">INDEX(Background!$C$4:$C$7,MATCH(C956,Background!$A$4:$A$7,0))</f>
        <v>0.325128349391659</v>
      </c>
      <c r="H956" s="49" t="n">
        <f aca="false">LN(F956/G956)</f>
        <v>1.09353300310435</v>
      </c>
    </row>
    <row r="957" customFormat="false" ht="15" hidden="false" customHeight="true" outlineLevel="0" collapsed="false">
      <c r="A957" s="38" t="s">
        <v>852</v>
      </c>
      <c r="B957" s="38" t="n">
        <v>20</v>
      </c>
      <c r="C957" s="38" t="s">
        <v>171</v>
      </c>
      <c r="D957" s="38" t="s">
        <v>867</v>
      </c>
      <c r="E957" s="38" t="str">
        <f aca="false">B957&amp;"|"&amp;C957</f>
        <v>20|U</v>
      </c>
      <c r="F957" s="45" t="n">
        <f aca="false">INDEX('Emission Stepwise'!$H$2:$H$289,MATCH(E957,'Emission Stepwise'!$C$2:$C$289,0))</f>
        <v>0.589108910891089</v>
      </c>
      <c r="G957" s="45" t="n">
        <f aca="false">INDEX(Background!$C$4:$C$7,MATCH(C957,Background!$A$4:$A$7,0))</f>
        <v>0.212884169069555</v>
      </c>
      <c r="H957" s="49" t="n">
        <f aca="false">LN(F957/G957)</f>
        <v>1.01786286408498</v>
      </c>
    </row>
    <row r="958" customFormat="false" ht="15" hidden="false" customHeight="true" outlineLevel="0" collapsed="false">
      <c r="A958" s="38" t="s">
        <v>852</v>
      </c>
      <c r="B958" s="38" t="n">
        <v>21</v>
      </c>
      <c r="C958" s="38" t="s">
        <v>169</v>
      </c>
      <c r="D958" s="38" t="s">
        <v>867</v>
      </c>
      <c r="E958" s="38" t="str">
        <f aca="false">B958&amp;"|"&amp;C958</f>
        <v>21|G</v>
      </c>
      <c r="F958" s="45" t="n">
        <f aca="false">INDEX('Emission Stepwise'!$H$2:$H$289,MATCH(E958,'Emission Stepwise'!$C$2:$C$289,0))</f>
        <v>0.0394088669950739</v>
      </c>
      <c r="G958" s="45" t="n">
        <f aca="false">INDEX(Background!$C$4:$C$7,MATCH(C958,Background!$A$4:$A$7,0))</f>
        <v>0.325128349391659</v>
      </c>
      <c r="H958" s="49" t="n">
        <f aca="false">LN(F958/G958)</f>
        <v>-2.1102291839538</v>
      </c>
    </row>
    <row r="959" customFormat="false" ht="15" hidden="false" customHeight="true" outlineLevel="0" collapsed="false">
      <c r="A959" s="38" t="s">
        <v>852</v>
      </c>
      <c r="B959" s="38" t="n">
        <v>22</v>
      </c>
      <c r="C959" s="38" t="s">
        <v>171</v>
      </c>
      <c r="D959" s="38" t="s">
        <v>867</v>
      </c>
      <c r="E959" s="38" t="str">
        <f aca="false">B959&amp;"|"&amp;C959</f>
        <v>22|U</v>
      </c>
      <c r="F959" s="45" t="n">
        <f aca="false">INDEX('Emission Stepwise'!$H$2:$H$289,MATCH(E959,'Emission Stepwise'!$C$2:$C$289,0))</f>
        <v>0.0738916256157636</v>
      </c>
      <c r="G959" s="45" t="n">
        <f aca="false">INDEX(Background!$C$4:$C$7,MATCH(C959,Background!$A$4:$A$7,0))</f>
        <v>0.212884169069555</v>
      </c>
      <c r="H959" s="49" t="n">
        <f aca="false">LN(F959/G959)</f>
        <v>-1.05814870956492</v>
      </c>
    </row>
    <row r="960" customFormat="false" ht="15" hidden="false" customHeight="true" outlineLevel="0" collapsed="false">
      <c r="A960" s="38" t="s">
        <v>852</v>
      </c>
      <c r="B960" s="38" t="n">
        <v>23</v>
      </c>
      <c r="C960" s="38" t="s">
        <v>170</v>
      </c>
      <c r="D960" s="38" t="s">
        <v>867</v>
      </c>
      <c r="E960" s="38" t="str">
        <f aca="false">B960&amp;"|"&amp;C960</f>
        <v>23|C</v>
      </c>
      <c r="F960" s="45" t="n">
        <f aca="false">INDEX('Emission Stepwise'!$H$2:$H$289,MATCH(E960,'Emission Stepwise'!$C$2:$C$289,0))</f>
        <v>0.192118226600985</v>
      </c>
      <c r="G960" s="45" t="n">
        <f aca="false">INDEX(Background!$C$4:$C$7,MATCH(C960,Background!$A$4:$A$7,0))</f>
        <v>0.276812715380828</v>
      </c>
      <c r="H960" s="49" t="n">
        <f aca="false">LN(F960/G960)</f>
        <v>-0.365230213687911</v>
      </c>
    </row>
    <row r="961" customFormat="false" ht="15" hidden="false" customHeight="true" outlineLevel="0" collapsed="false">
      <c r="A961" s="38" t="s">
        <v>852</v>
      </c>
      <c r="B961" s="38" t="n">
        <v>24</v>
      </c>
      <c r="C961" s="38" t="s">
        <v>172</v>
      </c>
      <c r="D961" s="38" t="s">
        <v>867</v>
      </c>
      <c r="E961" s="38" t="str">
        <f aca="false">B961&amp;"|"&amp;C961</f>
        <v>24|A</v>
      </c>
      <c r="F961" s="45" t="n">
        <f aca="false">INDEX('Emission Stepwise'!$H$2:$H$289,MATCH(E961,'Emission Stepwise'!$C$2:$C$289,0))</f>
        <v>0.187192118226601</v>
      </c>
      <c r="G961" s="45" t="n">
        <f aca="false">INDEX(Background!$C$4:$C$7,MATCH(C961,Background!$A$4:$A$7,0))</f>
        <v>0.185174766157958</v>
      </c>
      <c r="H961" s="49" t="n">
        <f aca="false">LN(F961/G961)</f>
        <v>0.0108353985846635</v>
      </c>
    </row>
    <row r="962" customFormat="false" ht="15" hidden="false" customHeight="true" outlineLevel="0" collapsed="false">
      <c r="A962" s="38" t="s">
        <v>852</v>
      </c>
      <c r="B962" s="38" t="n">
        <v>25</v>
      </c>
      <c r="C962" s="38" t="s">
        <v>169</v>
      </c>
      <c r="D962" s="38" t="s">
        <v>867</v>
      </c>
      <c r="E962" s="38" t="str">
        <f aca="false">B962&amp;"|"&amp;C962</f>
        <v>25|G</v>
      </c>
      <c r="F962" s="45" t="n">
        <f aca="false">INDEX('Emission Stepwise'!$H$2:$H$289,MATCH(E962,'Emission Stepwise'!$C$2:$C$289,0))</f>
        <v>0.0394088669950739</v>
      </c>
      <c r="G962" s="45" t="n">
        <f aca="false">INDEX(Background!$C$4:$C$7,MATCH(C962,Background!$A$4:$A$7,0))</f>
        <v>0.325128349391659</v>
      </c>
      <c r="H962" s="49" t="n">
        <f aca="false">LN(F962/G962)</f>
        <v>-2.1102291839538</v>
      </c>
    </row>
    <row r="963" customFormat="false" ht="15" hidden="false" customHeight="true" outlineLevel="0" collapsed="false">
      <c r="A963" s="38" t="s">
        <v>852</v>
      </c>
      <c r="B963" s="38" t="n">
        <v>26</v>
      </c>
      <c r="C963" s="38" t="s">
        <v>170</v>
      </c>
      <c r="D963" s="38" t="s">
        <v>868</v>
      </c>
      <c r="E963" s="38" t="str">
        <f aca="false">B963&amp;"|"&amp;C963</f>
        <v>26|C</v>
      </c>
      <c r="F963" s="45" t="n">
        <f aca="false">INDEX('Emission Stepwise'!$H$2:$H$289,MATCH(E963,'Emission Stepwise'!$C$2:$C$289,0))</f>
        <v>0.0295566502463054</v>
      </c>
      <c r="G963" s="45" t="n">
        <f aca="false">INDEX(Background!$C$4:$C$7,MATCH(C963,Background!$A$4:$A$7,0))</f>
        <v>0.276812715380828</v>
      </c>
      <c r="H963" s="49" t="n">
        <f aca="false">LN(F963/G963)</f>
        <v>-2.2370323905895</v>
      </c>
    </row>
    <row r="964" customFormat="false" ht="15" hidden="false" customHeight="true" outlineLevel="0" collapsed="false">
      <c r="A964" s="38" t="s">
        <v>852</v>
      </c>
      <c r="B964" s="38" t="n">
        <v>27</v>
      </c>
      <c r="C964" s="38" t="s">
        <v>172</v>
      </c>
      <c r="D964" s="38" t="s">
        <v>868</v>
      </c>
      <c r="E964" s="38" t="str">
        <f aca="false">B964&amp;"|"&amp;C964</f>
        <v>27|A</v>
      </c>
      <c r="F964" s="45" t="n">
        <f aca="false">INDEX('Emission Stepwise'!$H$2:$H$289,MATCH(E964,'Emission Stepwise'!$C$2:$C$289,0))</f>
        <v>0.123152709359606</v>
      </c>
      <c r="G964" s="45" t="n">
        <f aca="false">INDEX(Background!$C$4:$C$7,MATCH(C964,Background!$A$4:$A$7,0))</f>
        <v>0.185174766157958</v>
      </c>
      <c r="H964" s="49" t="n">
        <f aca="false">LN(F964/G964)</f>
        <v>-0.407874936273521</v>
      </c>
    </row>
    <row r="965" customFormat="false" ht="15" hidden="false" customHeight="true" outlineLevel="0" collapsed="false">
      <c r="A965" s="38" t="s">
        <v>852</v>
      </c>
      <c r="B965" s="38" t="n">
        <v>28</v>
      </c>
      <c r="C965" s="38" t="s">
        <v>171</v>
      </c>
      <c r="D965" s="38" t="s">
        <v>868</v>
      </c>
      <c r="E965" s="38" t="str">
        <f aca="false">B965&amp;"|"&amp;C965</f>
        <v>28|U</v>
      </c>
      <c r="F965" s="45" t="n">
        <f aca="false">INDEX('Emission Stepwise'!$H$2:$H$289,MATCH(E965,'Emission Stepwise'!$C$2:$C$289,0))</f>
        <v>0.251231527093596</v>
      </c>
      <c r="G965" s="45" t="n">
        <f aca="false">INDEX(Background!$C$4:$C$7,MATCH(C965,Background!$A$4:$A$7,0))</f>
        <v>0.212884169069555</v>
      </c>
      <c r="H965" s="49" t="n">
        <f aca="false">LN(F965/G965)</f>
        <v>0.165626722057194</v>
      </c>
    </row>
    <row r="966" customFormat="false" ht="15" hidden="false" customHeight="true" outlineLevel="0" collapsed="false">
      <c r="A966" s="38" t="s">
        <v>852</v>
      </c>
      <c r="B966" s="38" t="n">
        <v>29</v>
      </c>
      <c r="C966" s="38" t="s">
        <v>172</v>
      </c>
      <c r="D966" s="38" t="s">
        <v>868</v>
      </c>
      <c r="E966" s="38" t="str">
        <f aca="false">B966&amp;"|"&amp;C966</f>
        <v>29|A</v>
      </c>
      <c r="F966" s="45" t="n">
        <f aca="false">INDEX('Emission Stepwise'!$H$2:$H$289,MATCH(E966,'Emission Stepwise'!$C$2:$C$289,0))</f>
        <v>0.16256157635468</v>
      </c>
      <c r="G966" s="45" t="n">
        <f aca="false">INDEX(Background!$C$4:$C$7,MATCH(C966,Background!$A$4:$A$7,0))</f>
        <v>0.185174766157958</v>
      </c>
      <c r="H966" s="49" t="n">
        <f aca="false">LN(F966/G966)</f>
        <v>-0.130243199675242</v>
      </c>
    </row>
    <row r="967" customFormat="false" ht="15" hidden="false" customHeight="true" outlineLevel="0" collapsed="false">
      <c r="A967" s="38" t="s">
        <v>852</v>
      </c>
      <c r="B967" s="38" t="n">
        <v>30</v>
      </c>
      <c r="C967" s="38" t="s">
        <v>171</v>
      </c>
      <c r="D967" s="38" t="s">
        <v>868</v>
      </c>
      <c r="E967" s="38" t="str">
        <f aca="false">B967&amp;"|"&amp;C967</f>
        <v>30|U</v>
      </c>
      <c r="F967" s="45" t="n">
        <f aca="false">INDEX('Emission Stepwise'!$H$2:$H$289,MATCH(E967,'Emission Stepwise'!$C$2:$C$289,0))</f>
        <v>0.0394088669950739</v>
      </c>
      <c r="G967" s="45" t="n">
        <f aca="false">INDEX(Background!$C$4:$C$7,MATCH(C967,Background!$A$4:$A$7,0))</f>
        <v>0.212884169069555</v>
      </c>
      <c r="H967" s="49" t="n">
        <f aca="false">LN(F967/G967)</f>
        <v>-1.6867573689873</v>
      </c>
    </row>
    <row r="968" customFormat="false" ht="15" hidden="false" customHeight="true" outlineLevel="0" collapsed="false">
      <c r="A968" s="38" t="s">
        <v>852</v>
      </c>
      <c r="B968" s="38" t="n">
        <v>31</v>
      </c>
      <c r="C968" s="38" t="s">
        <v>171</v>
      </c>
      <c r="D968" s="38" t="s">
        <v>868</v>
      </c>
      <c r="E968" s="38" t="str">
        <f aca="false">B968&amp;"|"&amp;C968</f>
        <v>31|U</v>
      </c>
      <c r="F968" s="45" t="n">
        <f aca="false">INDEX('Emission Stepwise'!$H$2:$H$289,MATCH(E968,'Emission Stepwise'!$C$2:$C$289,0))</f>
        <v>0.0985221674876847</v>
      </c>
      <c r="G968" s="45" t="n">
        <f aca="false">INDEX(Background!$C$4:$C$7,MATCH(C968,Background!$A$4:$A$7,0))</f>
        <v>0.212884169069555</v>
      </c>
      <c r="H968" s="49" t="n">
        <f aca="false">LN(F968/G968)</f>
        <v>-0.770466637113141</v>
      </c>
    </row>
    <row r="969" customFormat="false" ht="15" hidden="false" customHeight="true" outlineLevel="0" collapsed="false">
      <c r="A969" s="38" t="s">
        <v>852</v>
      </c>
      <c r="B969" s="38" t="n">
        <v>32</v>
      </c>
      <c r="C969" s="38" t="s">
        <v>169</v>
      </c>
      <c r="D969" s="38" t="s">
        <v>868</v>
      </c>
      <c r="E969" s="38" t="str">
        <f aca="false">B969&amp;"|"&amp;C969</f>
        <v>32|G</v>
      </c>
      <c r="F969" s="45" t="n">
        <f aca="false">INDEX('Emission Stepwise'!$H$2:$H$289,MATCH(E969,'Emission Stepwise'!$C$2:$C$289,0))</f>
        <v>0.00492610837438424</v>
      </c>
      <c r="G969" s="45" t="n">
        <f aca="false">INDEX(Background!$C$4:$C$7,MATCH(C969,Background!$A$4:$A$7,0))</f>
        <v>0.325128349391659</v>
      </c>
      <c r="H969" s="49" t="n">
        <f aca="false">LN(F969/G969)</f>
        <v>-4.18967072563364</v>
      </c>
    </row>
    <row r="970" customFormat="false" ht="15" hidden="false" customHeight="true" outlineLevel="0" collapsed="false">
      <c r="A970" s="38" t="s">
        <v>852</v>
      </c>
      <c r="B970" s="38" t="n">
        <v>33</v>
      </c>
      <c r="C970" s="38" t="s">
        <v>171</v>
      </c>
      <c r="D970" s="38" t="s">
        <v>868</v>
      </c>
      <c r="E970" s="38" t="str">
        <f aca="false">B970&amp;"|"&amp;C970</f>
        <v>33|U</v>
      </c>
      <c r="F970" s="45" t="n">
        <f aca="false">INDEX('Emission Stepwise'!$H$2:$H$289,MATCH(E970,'Emission Stepwise'!$C$2:$C$289,0))</f>
        <v>0.975369458128079</v>
      </c>
      <c r="G970" s="45" t="n">
        <f aca="false">INDEX(Background!$C$4:$C$7,MATCH(C970,Background!$A$4:$A$7,0))</f>
        <v>0.212884169069555</v>
      </c>
      <c r="H970" s="49" t="n">
        <f aca="false">LN(F970/G970)</f>
        <v>1.5220681200274</v>
      </c>
    </row>
    <row r="971" customFormat="false" ht="15" hidden="false" customHeight="true" outlineLevel="0" collapsed="false">
      <c r="A971" s="38" t="s">
        <v>852</v>
      </c>
      <c r="B971" s="38" t="n">
        <v>34</v>
      </c>
      <c r="C971" s="38" t="s">
        <v>171</v>
      </c>
      <c r="D971" s="38" t="s">
        <v>868</v>
      </c>
      <c r="E971" s="38" t="str">
        <f aca="false">B971&amp;"|"&amp;C971</f>
        <v>34|U</v>
      </c>
      <c r="F971" s="45" t="n">
        <f aca="false">INDEX('Emission Stepwise'!$H$2:$H$289,MATCH(E971,'Emission Stepwise'!$C$2:$C$289,0))</f>
        <v>0.29064039408867</v>
      </c>
      <c r="G971" s="45" t="n">
        <f aca="false">INDEX(Background!$C$4:$C$7,MATCH(C971,Background!$A$4:$A$7,0))</f>
        <v>0.212884169069555</v>
      </c>
      <c r="H971" s="49" t="n">
        <f aca="false">LN(F971/G971)</f>
        <v>0.311338533238588</v>
      </c>
    </row>
    <row r="972" customFormat="false" ht="15" hidden="false" customHeight="true" outlineLevel="0" collapsed="false">
      <c r="A972" s="38" t="s">
        <v>852</v>
      </c>
      <c r="B972" s="38" t="n">
        <v>35</v>
      </c>
      <c r="C972" s="38" t="s">
        <v>171</v>
      </c>
      <c r="D972" s="38" t="s">
        <v>868</v>
      </c>
      <c r="E972" s="38" t="str">
        <f aca="false">B972&amp;"|"&amp;C972</f>
        <v>35|U</v>
      </c>
      <c r="F972" s="45" t="n">
        <f aca="false">INDEX('Emission Stepwise'!$H$2:$H$289,MATCH(E972,'Emission Stepwise'!$C$2:$C$289,0))</f>
        <v>0.206896551724138</v>
      </c>
      <c r="G972" s="45" t="n">
        <f aca="false">INDEX(Background!$C$4:$C$7,MATCH(C972,Background!$A$4:$A$7,0))</f>
        <v>0.212884169069555</v>
      </c>
      <c r="H972" s="49" t="n">
        <f aca="false">LN(F972/G972)</f>
        <v>-0.0285292923837632</v>
      </c>
    </row>
    <row r="973" customFormat="false" ht="15" hidden="false" customHeight="true" outlineLevel="0" collapsed="false">
      <c r="A973" s="38" t="s">
        <v>852</v>
      </c>
      <c r="B973" s="38" t="n">
        <v>36</v>
      </c>
      <c r="C973" s="38" t="s">
        <v>172</v>
      </c>
      <c r="D973" s="38" t="s">
        <v>868</v>
      </c>
      <c r="E973" s="38" t="str">
        <f aca="false">B973&amp;"|"&amp;C973</f>
        <v>36|A</v>
      </c>
      <c r="F973" s="45" t="n">
        <f aca="false">INDEX('Emission Stepwise'!$H$2:$H$289,MATCH(E973,'Emission Stepwise'!$C$2:$C$289,0))</f>
        <v>0.216748768472906</v>
      </c>
      <c r="G973" s="45" t="n">
        <f aca="false">INDEX(Background!$C$4:$C$7,MATCH(C973,Background!$A$4:$A$7,0))</f>
        <v>0.185174766157958</v>
      </c>
      <c r="H973" s="49" t="n">
        <f aca="false">LN(F973/G973)</f>
        <v>0.157438872776539</v>
      </c>
    </row>
    <row r="974" customFormat="false" ht="15" hidden="false" customHeight="true" outlineLevel="0" collapsed="false">
      <c r="A974" s="38" t="s">
        <v>852</v>
      </c>
      <c r="B974" s="38" t="n">
        <v>37</v>
      </c>
      <c r="C974" s="38" t="s">
        <v>172</v>
      </c>
      <c r="D974" s="38" t="s">
        <v>868</v>
      </c>
      <c r="E974" s="38" t="str">
        <f aca="false">B974&amp;"|"&amp;C974</f>
        <v>37|A</v>
      </c>
      <c r="F974" s="45" t="n">
        <f aca="false">INDEX('Emission Stepwise'!$H$2:$H$289,MATCH(E974,'Emission Stepwise'!$C$2:$C$289,0))</f>
        <v>0.74384236453202</v>
      </c>
      <c r="G974" s="45" t="n">
        <f aca="false">INDEX(Background!$C$4:$C$7,MATCH(C974,Background!$A$4:$A$7,0))</f>
        <v>0.185174766157958</v>
      </c>
      <c r="H974" s="49" t="n">
        <f aca="false">LN(F974/G974)</f>
        <v>1.3905290756732</v>
      </c>
    </row>
    <row r="975" customFormat="false" ht="15" hidden="false" customHeight="true" outlineLevel="0" collapsed="false">
      <c r="A975" s="38" t="s">
        <v>852</v>
      </c>
      <c r="B975" s="38" t="n">
        <v>38</v>
      </c>
      <c r="C975" s="38" t="s">
        <v>170</v>
      </c>
      <c r="D975" s="38" t="s">
        <v>868</v>
      </c>
      <c r="E975" s="38" t="str">
        <f aca="false">B975&amp;"|"&amp;C975</f>
        <v>38|C</v>
      </c>
      <c r="F975" s="45" t="n">
        <f aca="false">INDEX('Emission Stepwise'!$H$2:$H$289,MATCH(E975,'Emission Stepwise'!$C$2:$C$289,0))</f>
        <v>0.147783251231527</v>
      </c>
      <c r="G975" s="45" t="n">
        <f aca="false">INDEX(Background!$C$4:$C$7,MATCH(C975,Background!$A$4:$A$7,0))</f>
        <v>0.276812715380828</v>
      </c>
      <c r="H975" s="49" t="n">
        <f aca="false">LN(F975/G975)</f>
        <v>-0.627594478155401</v>
      </c>
    </row>
    <row r="976" customFormat="false" ht="15" hidden="false" customHeight="true" outlineLevel="0" collapsed="false">
      <c r="A976" s="38" t="s">
        <v>852</v>
      </c>
      <c r="B976" s="38" t="n">
        <v>39</v>
      </c>
      <c r="C976" s="38" t="s">
        <v>172</v>
      </c>
      <c r="D976" s="38" t="s">
        <v>868</v>
      </c>
      <c r="E976" s="38" t="str">
        <f aca="false">B976&amp;"|"&amp;C976</f>
        <v>39|A</v>
      </c>
      <c r="F976" s="45" t="n">
        <f aca="false">INDEX('Emission Stepwise'!$H$2:$H$289,MATCH(E976,'Emission Stepwise'!$C$2:$C$289,0))</f>
        <v>0.0935960591133005</v>
      </c>
      <c r="G976" s="45" t="n">
        <f aca="false">INDEX(Background!$C$4:$C$7,MATCH(C976,Background!$A$4:$A$7,0))</f>
        <v>0.185174766157958</v>
      </c>
      <c r="H976" s="49" t="n">
        <f aca="false">LN(F976/G976)</f>
        <v>-0.682311781975282</v>
      </c>
    </row>
    <row r="977" customFormat="false" ht="15" hidden="false" customHeight="true" outlineLevel="0" collapsed="false">
      <c r="A977" s="38" t="s">
        <v>852</v>
      </c>
      <c r="B977" s="38" t="n">
        <v>40</v>
      </c>
      <c r="C977" s="38" t="s">
        <v>169</v>
      </c>
      <c r="D977" s="38" t="s">
        <v>868</v>
      </c>
      <c r="E977" s="38" t="str">
        <f aca="false">B977&amp;"|"&amp;C977</f>
        <v>40|G</v>
      </c>
      <c r="F977" s="45" t="n">
        <f aca="false">INDEX('Emission Stepwise'!$H$2:$H$289,MATCH(E977,'Emission Stepwise'!$C$2:$C$289,0))</f>
        <v>0.236453201970443</v>
      </c>
      <c r="G977" s="45" t="n">
        <f aca="false">INDEX(Background!$C$4:$C$7,MATCH(C977,Background!$A$4:$A$7,0))</f>
        <v>0.325128349391659</v>
      </c>
      <c r="H977" s="49" t="n">
        <f aca="false">LN(F977/G977)</f>
        <v>-0.318469714725747</v>
      </c>
    </row>
    <row r="978" customFormat="false" ht="15" hidden="false" customHeight="true" outlineLevel="0" collapsed="false">
      <c r="A978" s="38" t="s">
        <v>852</v>
      </c>
      <c r="B978" s="38" t="n">
        <v>41</v>
      </c>
      <c r="C978" s="38" t="s">
        <v>171</v>
      </c>
      <c r="D978" s="38" t="s">
        <v>868</v>
      </c>
      <c r="E978" s="38" t="str">
        <f aca="false">B978&amp;"|"&amp;C978</f>
        <v>41|U</v>
      </c>
      <c r="F978" s="45" t="n">
        <f aca="false">INDEX('Emission Stepwise'!$H$2:$H$289,MATCH(E978,'Emission Stepwise'!$C$2:$C$289,0))</f>
        <v>0.167487684729064</v>
      </c>
      <c r="G978" s="45" t="n">
        <f aca="false">INDEX(Background!$C$4:$C$7,MATCH(C978,Background!$A$4:$A$7,0))</f>
        <v>0.212884169069555</v>
      </c>
      <c r="H978" s="49" t="n">
        <f aca="false">LN(F978/G978)</f>
        <v>-0.23983838605097</v>
      </c>
    </row>
    <row r="979" customFormat="false" ht="15" hidden="false" customHeight="true" outlineLevel="0" collapsed="false">
      <c r="A979" s="38" t="s">
        <v>852</v>
      </c>
      <c r="B979" s="38" t="n">
        <v>42</v>
      </c>
      <c r="C979" s="38" t="s">
        <v>169</v>
      </c>
      <c r="D979" s="38" t="s">
        <v>868</v>
      </c>
      <c r="E979" s="38" t="str">
        <f aca="false">B979&amp;"|"&amp;C979</f>
        <v>42|G</v>
      </c>
      <c r="F979" s="45" t="n">
        <f aca="false">INDEX('Emission Stepwise'!$H$2:$H$289,MATCH(E979,'Emission Stepwise'!$C$2:$C$289,0))</f>
        <v>0.522167487684729</v>
      </c>
      <c r="G979" s="45" t="n">
        <f aca="false">INDEX(Background!$C$4:$C$7,MATCH(C979,Background!$A$4:$A$7,0))</f>
        <v>0.325128349391659</v>
      </c>
      <c r="H979" s="49" t="n">
        <f aca="false">LN(F979/G979)</f>
        <v>0.473768368478429</v>
      </c>
    </row>
    <row r="980" customFormat="false" ht="15" hidden="false" customHeight="true" outlineLevel="0" collapsed="false">
      <c r="A980" s="38" t="s">
        <v>852</v>
      </c>
      <c r="B980" s="38" t="n">
        <v>43</v>
      </c>
      <c r="C980" s="38" t="s">
        <v>171</v>
      </c>
      <c r="D980" s="38" t="s">
        <v>868</v>
      </c>
      <c r="E980" s="38" t="str">
        <f aca="false">B980&amp;"|"&amp;C980</f>
        <v>43|U</v>
      </c>
      <c r="F980" s="45" t="n">
        <f aca="false">INDEX('Emission Stepwise'!$H$2:$H$289,MATCH(E980,'Emission Stepwise'!$C$2:$C$289,0))</f>
        <v>0.16256157635468</v>
      </c>
      <c r="G980" s="45" t="n">
        <f aca="false">INDEX(Background!$C$4:$C$7,MATCH(C980,Background!$A$4:$A$7,0))</f>
        <v>0.212884169069555</v>
      </c>
      <c r="H980" s="49" t="n">
        <f aca="false">LN(F980/G980)</f>
        <v>-0.269691349200651</v>
      </c>
    </row>
    <row r="981" customFormat="false" ht="15" hidden="false" customHeight="true" outlineLevel="0" collapsed="false">
      <c r="A981" s="38" t="s">
        <v>852</v>
      </c>
      <c r="B981" s="38" t="n">
        <v>44</v>
      </c>
      <c r="C981" s="38" t="s">
        <v>172</v>
      </c>
      <c r="D981" s="38" t="s">
        <v>868</v>
      </c>
      <c r="E981" s="38" t="str">
        <f aca="false">B981&amp;"|"&amp;C981</f>
        <v>44|A</v>
      </c>
      <c r="F981" s="45" t="n">
        <f aca="false">INDEX('Emission Stepwise'!$H$2:$H$289,MATCH(E981,'Emission Stepwise'!$C$2:$C$289,0))</f>
        <v>0.492610837438424</v>
      </c>
      <c r="G981" s="45" t="n">
        <f aca="false">INDEX(Background!$C$4:$C$7,MATCH(C981,Background!$A$4:$A$7,0))</f>
        <v>0.185174766157958</v>
      </c>
      <c r="H981" s="49" t="n">
        <f aca="false">LN(F981/G981)</f>
        <v>0.978419424846369</v>
      </c>
    </row>
    <row r="982" customFormat="false" ht="15" hidden="false" customHeight="true" outlineLevel="0" collapsed="false">
      <c r="A982" s="38" t="s">
        <v>852</v>
      </c>
      <c r="B982" s="38" t="n">
        <v>45</v>
      </c>
      <c r="C982" s="38" t="s">
        <v>169</v>
      </c>
      <c r="D982" s="38" t="s">
        <v>869</v>
      </c>
      <c r="E982" s="38" t="str">
        <f aca="false">B982&amp;"|"&amp;C982</f>
        <v>45|G</v>
      </c>
      <c r="F982" s="45" t="n">
        <f aca="false">INDEX('Emission Stepwise'!$H$2:$H$289,MATCH(E982,'Emission Stepwise'!$C$2:$C$289,0))</f>
        <v>0.746268656716418</v>
      </c>
      <c r="G982" s="45" t="n">
        <f aca="false">INDEX(Background!$C$4:$C$7,MATCH(C982,Background!$A$4:$A$7,0))</f>
        <v>0.325128349391659</v>
      </c>
      <c r="H982" s="49" t="n">
        <f aca="false">LN(F982/G982)</f>
        <v>0.830865639445329</v>
      </c>
    </row>
    <row r="983" customFormat="false" ht="15" hidden="false" customHeight="true" outlineLevel="0" collapsed="false">
      <c r="A983" s="38" t="s">
        <v>852</v>
      </c>
      <c r="B983" s="38" t="n">
        <v>46</v>
      </c>
      <c r="C983" s="38" t="s">
        <v>172</v>
      </c>
      <c r="D983" s="38" t="s">
        <v>869</v>
      </c>
      <c r="E983" s="38" t="str">
        <f aca="false">B983&amp;"|"&amp;C983</f>
        <v>46|A</v>
      </c>
      <c r="F983" s="45" t="n">
        <f aca="false">INDEX('Emission Stepwise'!$H$2:$H$289,MATCH(E983,'Emission Stepwise'!$C$2:$C$289,0))</f>
        <v>0.0988372093023256</v>
      </c>
      <c r="G983" s="45" t="n">
        <f aca="false">INDEX(Background!$C$4:$C$7,MATCH(C983,Background!$A$4:$A$7,0))</f>
        <v>0.185174766157958</v>
      </c>
      <c r="H983" s="49" t="n">
        <f aca="false">LN(F983/G983)</f>
        <v>-0.627825914857172</v>
      </c>
    </row>
    <row r="984" customFormat="false" ht="15" hidden="false" customHeight="true" outlineLevel="0" collapsed="false">
      <c r="A984" s="38" t="s">
        <v>852</v>
      </c>
      <c r="B984" s="38" t="n">
        <v>47</v>
      </c>
      <c r="C984" s="38" t="s">
        <v>172</v>
      </c>
      <c r="D984" s="38" t="s">
        <v>869</v>
      </c>
      <c r="E984" s="38" t="str">
        <f aca="false">B984&amp;"|"&amp;C984</f>
        <v>47|A</v>
      </c>
      <c r="F984" s="45" t="n">
        <f aca="false">INDEX('Emission Stepwise'!$H$2:$H$289,MATCH(E984,'Emission Stepwise'!$C$2:$C$289,0))</f>
        <v>0.133004926108374</v>
      </c>
      <c r="G984" s="45" t="n">
        <f aca="false">INDEX(Background!$C$4:$C$7,MATCH(C984,Background!$A$4:$A$7,0))</f>
        <v>0.185174766157958</v>
      </c>
      <c r="H984" s="49" t="n">
        <f aca="false">LN(F984/G984)</f>
        <v>-0.330913895137393</v>
      </c>
    </row>
    <row r="985" customFormat="false" ht="15" hidden="false" customHeight="true" outlineLevel="0" collapsed="false">
      <c r="A985" s="38" t="s">
        <v>852</v>
      </c>
      <c r="B985" s="38" t="n">
        <v>48</v>
      </c>
      <c r="C985" s="38" t="s">
        <v>171</v>
      </c>
      <c r="D985" s="38" t="s">
        <v>869</v>
      </c>
      <c r="E985" s="38" t="str">
        <f aca="false">B985&amp;"|"&amp;C985</f>
        <v>48|U</v>
      </c>
      <c r="F985" s="45" t="n">
        <f aca="false">INDEX('Emission Stepwise'!$H$2:$H$289,MATCH(E985,'Emission Stepwise'!$C$2:$C$289,0))</f>
        <v>0.147783251231527</v>
      </c>
      <c r="G985" s="45" t="n">
        <f aca="false">INDEX(Background!$C$4:$C$7,MATCH(C985,Background!$A$4:$A$7,0))</f>
        <v>0.212884169069555</v>
      </c>
      <c r="H985" s="49" t="n">
        <f aca="false">LN(F985/G985)</f>
        <v>-0.365001529004976</v>
      </c>
    </row>
    <row r="986" customFormat="false" ht="15" hidden="false" customHeight="true" outlineLevel="0" collapsed="false">
      <c r="A986" s="38" t="s">
        <v>852</v>
      </c>
      <c r="B986" s="38" t="n">
        <v>49</v>
      </c>
      <c r="C986" s="38" t="s">
        <v>172</v>
      </c>
      <c r="D986" s="38" t="s">
        <v>870</v>
      </c>
      <c r="E986" s="38" t="str">
        <f aca="false">B986&amp;"|"&amp;C986</f>
        <v>49|A</v>
      </c>
      <c r="F986" s="45" t="n">
        <f aca="false">INDEX('Emission Stepwise'!$H$2:$H$289,MATCH(E986,'Emission Stepwise'!$C$2:$C$289,0))</f>
        <v>0.157635467980296</v>
      </c>
      <c r="G986" s="45" t="n">
        <f aca="false">INDEX(Background!$C$4:$C$7,MATCH(C986,Background!$A$4:$A$7,0))</f>
        <v>0.185174766157958</v>
      </c>
      <c r="H986" s="49" t="n">
        <f aca="false">LN(F986/G986)</f>
        <v>-0.161014858341996</v>
      </c>
    </row>
    <row r="987" customFormat="false" ht="15" hidden="false" customHeight="true" outlineLevel="0" collapsed="false">
      <c r="A987" s="38" t="s">
        <v>852</v>
      </c>
      <c r="B987" s="38" t="n">
        <v>50</v>
      </c>
      <c r="C987" s="38" t="s">
        <v>172</v>
      </c>
      <c r="D987" s="38" t="s">
        <v>870</v>
      </c>
      <c r="E987" s="38" t="str">
        <f aca="false">B987&amp;"|"&amp;C987</f>
        <v>50|A</v>
      </c>
      <c r="F987" s="45" t="n">
        <f aca="false">INDEX('Emission Stepwise'!$H$2:$H$289,MATCH(E987,'Emission Stepwise'!$C$2:$C$289,0))</f>
        <v>0.118226600985222</v>
      </c>
      <c r="G987" s="45" t="n">
        <f aca="false">INDEX(Background!$C$4:$C$7,MATCH(C987,Background!$A$4:$A$7,0))</f>
        <v>0.185174766157958</v>
      </c>
      <c r="H987" s="49" t="n">
        <f aca="false">LN(F987/G987)</f>
        <v>-0.448696930793777</v>
      </c>
    </row>
    <row r="988" customFormat="false" ht="15" hidden="false" customHeight="true" outlineLevel="0" collapsed="false">
      <c r="A988" s="38" t="s">
        <v>852</v>
      </c>
      <c r="B988" s="38" t="n">
        <v>51</v>
      </c>
      <c r="C988" s="38" t="s">
        <v>171</v>
      </c>
      <c r="D988" s="38" t="s">
        <v>870</v>
      </c>
      <c r="E988" s="38" t="str">
        <f aca="false">B988&amp;"|"&amp;C988</f>
        <v>51|U</v>
      </c>
      <c r="F988" s="45" t="n">
        <f aca="false">INDEX('Emission Stepwise'!$H$2:$H$289,MATCH(E988,'Emission Stepwise'!$C$2:$C$289,0))</f>
        <v>0.153465346534653</v>
      </c>
      <c r="G988" s="45" t="n">
        <f aca="false">INDEX(Background!$C$4:$C$7,MATCH(C988,Background!$A$4:$A$7,0))</f>
        <v>0.212884169069555</v>
      </c>
      <c r="H988" s="49" t="n">
        <f aca="false">LN(F988/G988)</f>
        <v>-0.327273424541403</v>
      </c>
    </row>
    <row r="989" customFormat="false" ht="15" hidden="false" customHeight="true" outlineLevel="0" collapsed="false">
      <c r="A989" s="38" t="s">
        <v>852</v>
      </c>
      <c r="B989" s="38" t="n">
        <v>52</v>
      </c>
      <c r="C989" s="38" t="s">
        <v>171</v>
      </c>
      <c r="D989" s="38" t="s">
        <v>870</v>
      </c>
      <c r="E989" s="38" t="str">
        <f aca="false">B989&amp;"|"&amp;C989</f>
        <v>52|U</v>
      </c>
      <c r="F989" s="45" t="n">
        <f aca="false">INDEX('Emission Stepwise'!$H$2:$H$289,MATCH(E989,'Emission Stepwise'!$C$2:$C$289,0))</f>
        <v>0.0246305418719212</v>
      </c>
      <c r="G989" s="45" t="n">
        <f aca="false">INDEX(Background!$C$4:$C$7,MATCH(C989,Background!$A$4:$A$7,0))</f>
        <v>0.212884169069555</v>
      </c>
      <c r="H989" s="49" t="n">
        <f aca="false">LN(F989/G989)</f>
        <v>-2.15676099823303</v>
      </c>
    </row>
    <row r="990" customFormat="false" ht="15" hidden="false" customHeight="true" outlineLevel="0" collapsed="false">
      <c r="A990" s="38" t="s">
        <v>852</v>
      </c>
      <c r="B990" s="38" t="n">
        <v>53</v>
      </c>
      <c r="C990" s="38" t="s">
        <v>169</v>
      </c>
      <c r="D990" s="38" t="s">
        <v>870</v>
      </c>
      <c r="E990" s="38" t="str">
        <f aca="false">B990&amp;"|"&amp;C990</f>
        <v>53|G</v>
      </c>
      <c r="F990" s="45" t="n">
        <f aca="false">INDEX('Emission Stepwise'!$H$2:$H$289,MATCH(E990,'Emission Stepwise'!$C$2:$C$289,0))</f>
        <v>0.96551724137931</v>
      </c>
      <c r="G990" s="45" t="n">
        <f aca="false">INDEX(Background!$C$4:$C$7,MATCH(C990,Background!$A$4:$A$7,0))</f>
        <v>0.325128349391659</v>
      </c>
      <c r="H990" s="49" t="n">
        <f aca="false">LN(F990/G990)</f>
        <v>1.08844393359688</v>
      </c>
    </row>
    <row r="991" customFormat="false" ht="15" hidden="false" customHeight="true" outlineLevel="0" collapsed="false">
      <c r="A991" s="38" t="s">
        <v>852</v>
      </c>
      <c r="B991" s="38" t="n">
        <v>54</v>
      </c>
      <c r="C991" s="38" t="s">
        <v>171</v>
      </c>
      <c r="D991" s="38" t="s">
        <v>870</v>
      </c>
      <c r="E991" s="38" t="str">
        <f aca="false">B991&amp;"|"&amp;C991</f>
        <v>54|U</v>
      </c>
      <c r="F991" s="45" t="n">
        <f aca="false">INDEX('Emission Stepwise'!$H$2:$H$289,MATCH(E991,'Emission Stepwise'!$C$2:$C$289,0))</f>
        <v>0.975369458128079</v>
      </c>
      <c r="G991" s="45" t="n">
        <f aca="false">INDEX(Background!$C$4:$C$7,MATCH(C991,Background!$A$4:$A$7,0))</f>
        <v>0.212884169069555</v>
      </c>
      <c r="H991" s="49" t="n">
        <f aca="false">LN(F991/G991)</f>
        <v>1.5220681200274</v>
      </c>
    </row>
    <row r="992" customFormat="false" ht="15" hidden="false" customHeight="true" outlineLevel="0" collapsed="false">
      <c r="A992" s="38" t="s">
        <v>852</v>
      </c>
      <c r="B992" s="38" t="n">
        <v>55</v>
      </c>
      <c r="C992" s="38" t="s">
        <v>171</v>
      </c>
      <c r="D992" s="38" t="s">
        <v>870</v>
      </c>
      <c r="E992" s="38" t="str">
        <f aca="false">B992&amp;"|"&amp;C992</f>
        <v>55|U</v>
      </c>
      <c r="F992" s="45" t="n">
        <f aca="false">INDEX('Emission Stepwise'!$H$2:$H$289,MATCH(E992,'Emission Stepwise'!$C$2:$C$289,0))</f>
        <v>0.970443349753695</v>
      </c>
      <c r="G992" s="45" t="n">
        <f aca="false">INDEX(Background!$C$4:$C$7,MATCH(C992,Background!$A$4:$A$7,0))</f>
        <v>0.212884169069555</v>
      </c>
      <c r="H992" s="49" t="n">
        <f aca="false">LN(F992/G992)</f>
        <v>1.51700481807086</v>
      </c>
    </row>
    <row r="993" customFormat="false" ht="15" hidden="false" customHeight="true" outlineLevel="0" collapsed="false">
      <c r="A993" s="38" t="s">
        <v>852</v>
      </c>
      <c r="B993" s="38" t="n">
        <v>56</v>
      </c>
      <c r="C993" s="38" t="s">
        <v>170</v>
      </c>
      <c r="D993" s="38" t="s">
        <v>870</v>
      </c>
      <c r="E993" s="38" t="str">
        <f aca="false">B993&amp;"|"&amp;C993</f>
        <v>56|C</v>
      </c>
      <c r="F993" s="45" t="n">
        <f aca="false">INDEX('Emission Stepwise'!$H$2:$H$289,MATCH(E993,'Emission Stepwise'!$C$2:$C$289,0))</f>
        <v>0.96551724137931</v>
      </c>
      <c r="G993" s="45" t="n">
        <f aca="false">INDEX(Background!$C$4:$C$7,MATCH(C993,Background!$A$4:$A$7,0))</f>
        <v>0.276812715380828</v>
      </c>
      <c r="H993" s="49" t="n">
        <f aca="false">LN(F993/G993)</f>
        <v>1.24932279941296</v>
      </c>
    </row>
    <row r="994" customFormat="false" ht="15" hidden="false" customHeight="true" outlineLevel="0" collapsed="false">
      <c r="A994" s="38" t="s">
        <v>852</v>
      </c>
      <c r="B994" s="38" t="n">
        <v>57</v>
      </c>
      <c r="C994" s="38" t="s">
        <v>169</v>
      </c>
      <c r="D994" s="38" t="s">
        <v>870</v>
      </c>
      <c r="E994" s="38" t="str">
        <f aca="false">B994&amp;"|"&amp;C994</f>
        <v>57|G</v>
      </c>
      <c r="F994" s="45" t="n">
        <f aca="false">INDEX('Emission Stepwise'!$H$2:$H$289,MATCH(E994,'Emission Stepwise'!$C$2:$C$289,0))</f>
        <v>0.603960396039604</v>
      </c>
      <c r="G994" s="45" t="n">
        <f aca="false">INDEX(Background!$C$4:$C$7,MATCH(C994,Background!$A$4:$A$7,0))</f>
        <v>0.325128349391659</v>
      </c>
      <c r="H994" s="49" t="n">
        <f aca="false">LN(F994/G994)</f>
        <v>0.619288600740201</v>
      </c>
    </row>
    <row r="995" customFormat="false" ht="15" hidden="false" customHeight="true" outlineLevel="0" collapsed="false">
      <c r="A995" s="38" t="s">
        <v>852</v>
      </c>
      <c r="B995" s="38" t="n">
        <v>58</v>
      </c>
      <c r="C995" s="38" t="s">
        <v>169</v>
      </c>
      <c r="D995" s="38" t="s">
        <v>870</v>
      </c>
      <c r="E995" s="38" t="str">
        <f aca="false">B995&amp;"|"&amp;C995</f>
        <v>58|G</v>
      </c>
      <c r="F995" s="45" t="n">
        <f aca="false">INDEX('Emission Stepwise'!$H$2:$H$289,MATCH(E995,'Emission Stepwise'!$C$2:$C$289,0))</f>
        <v>0.00492610837438424</v>
      </c>
      <c r="G995" s="45" t="n">
        <f aca="false">INDEX(Background!$C$4:$C$7,MATCH(C995,Background!$A$4:$A$7,0))</f>
        <v>0.325128349391659</v>
      </c>
      <c r="H995" s="49" t="n">
        <f aca="false">LN(F995/G995)</f>
        <v>-4.18967072563364</v>
      </c>
    </row>
    <row r="996" customFormat="false" ht="15" hidden="false" customHeight="true" outlineLevel="0" collapsed="false">
      <c r="A996" s="38" t="s">
        <v>852</v>
      </c>
      <c r="B996" s="38" t="n">
        <v>59</v>
      </c>
      <c r="C996" s="38" t="s">
        <v>172</v>
      </c>
      <c r="D996" s="38" t="s">
        <v>870</v>
      </c>
      <c r="E996" s="38" t="str">
        <f aca="false">B996&amp;"|"&amp;C996</f>
        <v>59|A</v>
      </c>
      <c r="F996" s="45" t="n">
        <f aca="false">INDEX('Emission Stepwise'!$H$2:$H$289,MATCH(E996,'Emission Stepwise'!$C$2:$C$289,0))</f>
        <v>0.45320197044335</v>
      </c>
      <c r="G996" s="45" t="n">
        <f aca="false">INDEX(Background!$C$4:$C$7,MATCH(C996,Background!$A$4:$A$7,0))</f>
        <v>0.185174766157958</v>
      </c>
      <c r="H996" s="49" t="n">
        <f aca="false">LN(F996/G996)</f>
        <v>0.895037815907318</v>
      </c>
    </row>
    <row r="997" customFormat="false" ht="15" hidden="false" customHeight="true" outlineLevel="0" collapsed="false">
      <c r="A997" s="38" t="s">
        <v>852</v>
      </c>
      <c r="B997" s="38" t="n">
        <v>60</v>
      </c>
      <c r="C997" s="38" t="s">
        <v>172</v>
      </c>
      <c r="D997" s="38" t="s">
        <v>870</v>
      </c>
      <c r="E997" s="38" t="str">
        <f aca="false">B997&amp;"|"&amp;C997</f>
        <v>60|A</v>
      </c>
      <c r="F997" s="45" t="n">
        <f aca="false">INDEX('Emission Stepwise'!$H$2:$H$289,MATCH(E997,'Emission Stepwise'!$C$2:$C$289,0))</f>
        <v>0.00985221674876847</v>
      </c>
      <c r="G997" s="45" t="n">
        <f aca="false">INDEX(Background!$C$4:$C$7,MATCH(C997,Background!$A$4:$A$7,0))</f>
        <v>0.185174766157958</v>
      </c>
      <c r="H997" s="49" t="n">
        <f aca="false">LN(F997/G997)</f>
        <v>-2.93360358058178</v>
      </c>
    </row>
    <row r="998" customFormat="false" ht="15" hidden="false" customHeight="true" outlineLevel="0" collapsed="false">
      <c r="A998" s="38" t="s">
        <v>852</v>
      </c>
      <c r="B998" s="38" t="n">
        <v>61</v>
      </c>
      <c r="C998" s="38" t="s">
        <v>170</v>
      </c>
      <c r="D998" s="38" t="s">
        <v>870</v>
      </c>
      <c r="E998" s="38" t="str">
        <f aca="false">B998&amp;"|"&amp;C998</f>
        <v>61|C</v>
      </c>
      <c r="F998" s="45" t="n">
        <f aca="false">INDEX('Emission Stepwise'!$H$2:$H$289,MATCH(E998,'Emission Stepwise'!$C$2:$C$289,0))</f>
        <v>0.975369458128079</v>
      </c>
      <c r="G998" s="45" t="n">
        <f aca="false">INDEX(Background!$C$4:$C$7,MATCH(C998,Background!$A$4:$A$7,0))</f>
        <v>0.276812715380828</v>
      </c>
      <c r="H998" s="49" t="n">
        <f aca="false">LN(F998/G998)</f>
        <v>1.25947517087698</v>
      </c>
    </row>
    <row r="999" customFormat="false" ht="15" hidden="false" customHeight="true" outlineLevel="0" collapsed="false">
      <c r="A999" s="38" t="s">
        <v>852</v>
      </c>
      <c r="B999" s="38" t="n">
        <v>62</v>
      </c>
      <c r="C999" s="38" t="s">
        <v>172</v>
      </c>
      <c r="D999" s="38" t="s">
        <v>870</v>
      </c>
      <c r="E999" s="38" t="str">
        <f aca="false">B999&amp;"|"&amp;C999</f>
        <v>62|A</v>
      </c>
      <c r="F999" s="45" t="n">
        <f aca="false">INDEX('Emission Stepwise'!$H$2:$H$289,MATCH(E999,'Emission Stepwise'!$C$2:$C$289,0))</f>
        <v>0.0197044334975369</v>
      </c>
      <c r="G999" s="45" t="n">
        <f aca="false">INDEX(Background!$C$4:$C$7,MATCH(C999,Background!$A$4:$A$7,0))</f>
        <v>0.185174766157958</v>
      </c>
      <c r="H999" s="49" t="n">
        <f aca="false">LN(F999/G999)</f>
        <v>-2.24045640002183</v>
      </c>
    </row>
    <row r="1000" customFormat="false" ht="15" hidden="false" customHeight="true" outlineLevel="0" collapsed="false">
      <c r="A1000" s="38" t="s">
        <v>852</v>
      </c>
      <c r="B1000" s="38" t="n">
        <v>63</v>
      </c>
      <c r="C1000" s="38" t="s">
        <v>169</v>
      </c>
      <c r="D1000" s="38" t="s">
        <v>870</v>
      </c>
      <c r="E1000" s="38" t="str">
        <f aca="false">B1000&amp;"|"&amp;C1000</f>
        <v>63|G</v>
      </c>
      <c r="F1000" s="45" t="n">
        <f aca="false">INDEX('Emission Stepwise'!$H$2:$H$289,MATCH(E1000,'Emission Stepwise'!$C$2:$C$289,0))</f>
        <v>0.241379310344828</v>
      </c>
      <c r="G1000" s="45" t="n">
        <f aca="false">INDEX(Background!$C$4:$C$7,MATCH(C1000,Background!$A$4:$A$7,0))</f>
        <v>0.325128349391659</v>
      </c>
      <c r="H1000" s="49" t="n">
        <f aca="false">LN(F1000/G1000)</f>
        <v>-0.297850427523012</v>
      </c>
    </row>
    <row r="1001" customFormat="false" ht="15" hidden="false" customHeight="true" outlineLevel="0" collapsed="false">
      <c r="A1001" s="38" t="s">
        <v>852</v>
      </c>
      <c r="B1001" s="38" t="n">
        <v>64</v>
      </c>
      <c r="C1001" s="38" t="s">
        <v>171</v>
      </c>
      <c r="D1001" s="38" t="s">
        <v>870</v>
      </c>
      <c r="E1001" s="38" t="str">
        <f aca="false">B1001&amp;"|"&amp;C1001</f>
        <v>64|U</v>
      </c>
      <c r="F1001" s="45" t="n">
        <f aca="false">INDEX('Emission Stepwise'!$H$2:$H$289,MATCH(E1001,'Emission Stepwise'!$C$2:$C$289,0))</f>
        <v>0.167487684729064</v>
      </c>
      <c r="G1001" s="45" t="n">
        <f aca="false">INDEX(Background!$C$4:$C$7,MATCH(C1001,Background!$A$4:$A$7,0))</f>
        <v>0.212884169069555</v>
      </c>
      <c r="H1001" s="49" t="n">
        <f aca="false">LN(F1001/G1001)</f>
        <v>-0.23983838605097</v>
      </c>
    </row>
    <row r="1002" customFormat="false" ht="15" hidden="false" customHeight="true" outlineLevel="0" collapsed="false">
      <c r="A1002" s="38" t="s">
        <v>852</v>
      </c>
      <c r="B1002" s="38" t="n">
        <v>65</v>
      </c>
      <c r="C1002" s="38" t="s">
        <v>171</v>
      </c>
      <c r="D1002" s="38" t="s">
        <v>870</v>
      </c>
      <c r="E1002" s="38" t="str">
        <f aca="false">B1002&amp;"|"&amp;C1002</f>
        <v>65|U</v>
      </c>
      <c r="F1002" s="45" t="n">
        <f aca="false">INDEX('Emission Stepwise'!$H$2:$H$289,MATCH(E1002,'Emission Stepwise'!$C$2:$C$289,0))</f>
        <v>0.346534653465347</v>
      </c>
      <c r="G1002" s="45" t="n">
        <f aca="false">INDEX(Background!$C$4:$C$7,MATCH(C1002,Background!$A$4:$A$7,0))</f>
        <v>0.212884169069555</v>
      </c>
      <c r="H1002" s="49" t="n">
        <f aca="false">LN(F1002/G1002)</f>
        <v>0.48723461302281</v>
      </c>
    </row>
    <row r="1003" customFormat="false" ht="15" hidden="false" customHeight="true" outlineLevel="0" collapsed="false">
      <c r="A1003" s="38" t="s">
        <v>852</v>
      </c>
      <c r="B1003" s="38" t="n">
        <v>66</v>
      </c>
      <c r="C1003" s="38" t="s">
        <v>172</v>
      </c>
      <c r="D1003" s="38" t="s">
        <v>871</v>
      </c>
      <c r="E1003" s="38" t="str">
        <f aca="false">B1003&amp;"|"&amp;C1003</f>
        <v>66|A</v>
      </c>
      <c r="F1003" s="45" t="n">
        <f aca="false">INDEX('Emission Stepwise'!$H$2:$H$289,MATCH(E1003,'Emission Stepwise'!$C$2:$C$289,0))</f>
        <v>0.216748768472906</v>
      </c>
      <c r="G1003" s="45" t="n">
        <f aca="false">INDEX(Background!$C$4:$C$7,MATCH(C1003,Background!$A$4:$A$7,0))</f>
        <v>0.185174766157958</v>
      </c>
      <c r="H1003" s="49" t="n">
        <f aca="false">LN(F1003/G1003)</f>
        <v>0.157438872776539</v>
      </c>
    </row>
    <row r="1004" customFormat="false" ht="15" hidden="false" customHeight="true" outlineLevel="0" collapsed="false">
      <c r="A1004" s="38" t="s">
        <v>852</v>
      </c>
      <c r="B1004" s="38" t="n">
        <v>67</v>
      </c>
      <c r="C1004" s="38" t="s">
        <v>171</v>
      </c>
      <c r="D1004" s="38" t="s">
        <v>871</v>
      </c>
      <c r="E1004" s="38" t="str">
        <f aca="false">B1004&amp;"|"&amp;C1004</f>
        <v>67|U</v>
      </c>
      <c r="F1004" s="45" t="n">
        <f aca="false">INDEX('Emission Stepwise'!$H$2:$H$289,MATCH(E1004,'Emission Stepwise'!$C$2:$C$289,0))</f>
        <v>0.192118226600985</v>
      </c>
      <c r="G1004" s="45" t="n">
        <f aca="false">INDEX(Background!$C$4:$C$7,MATCH(C1004,Background!$A$4:$A$7,0))</f>
        <v>0.212884169069555</v>
      </c>
      <c r="H1004" s="49" t="n">
        <f aca="false">LN(F1004/G1004)</f>
        <v>-0.102637264537485</v>
      </c>
    </row>
    <row r="1005" customFormat="false" ht="15" hidden="false" customHeight="true" outlineLevel="0" collapsed="false">
      <c r="A1005" s="38" t="s">
        <v>852</v>
      </c>
      <c r="B1005" s="38" t="n">
        <v>68</v>
      </c>
      <c r="C1005" s="38" t="s">
        <v>169</v>
      </c>
      <c r="D1005" s="38" t="s">
        <v>871</v>
      </c>
      <c r="E1005" s="38" t="str">
        <f aca="false">B1005&amp;"|"&amp;C1005</f>
        <v>68|G</v>
      </c>
      <c r="F1005" s="45" t="n">
        <f aca="false">INDEX('Emission Stepwise'!$H$2:$H$289,MATCH(E1005,'Emission Stepwise'!$C$2:$C$289,0))</f>
        <v>0.433497536945813</v>
      </c>
      <c r="G1005" s="45" t="n">
        <f aca="false">INDEX(Background!$C$4:$C$7,MATCH(C1005,Background!$A$4:$A$7,0))</f>
        <v>0.325128349391659</v>
      </c>
      <c r="H1005" s="49" t="n">
        <f aca="false">LN(F1005/G1005)</f>
        <v>0.287666088844568</v>
      </c>
    </row>
    <row r="1006" customFormat="false" ht="15" hidden="false" customHeight="true" outlineLevel="0" collapsed="false">
      <c r="A1006" s="38" t="s">
        <v>852</v>
      </c>
      <c r="B1006" s="38" t="n">
        <v>69</v>
      </c>
      <c r="C1006" s="38" t="s">
        <v>172</v>
      </c>
      <c r="D1006" s="38" t="s">
        <v>871</v>
      </c>
      <c r="E1006" s="38" t="str">
        <f aca="false">B1006&amp;"|"&amp;C1006</f>
        <v>69|A</v>
      </c>
      <c r="F1006" s="45" t="n">
        <f aca="false">INDEX('Emission Stepwise'!$H$2:$H$289,MATCH(E1006,'Emission Stepwise'!$C$2:$C$289,0))</f>
        <v>0.12807881773399</v>
      </c>
      <c r="G1006" s="45" t="n">
        <f aca="false">INDEX(Background!$C$4:$C$7,MATCH(C1006,Background!$A$4:$A$7,0))</f>
        <v>0.185174766157958</v>
      </c>
      <c r="H1006" s="49" t="n">
        <f aca="false">LN(F1006/G1006)</f>
        <v>-0.36865422312024</v>
      </c>
    </row>
    <row r="1007" customFormat="false" ht="15" hidden="false" customHeight="true" outlineLevel="0" collapsed="false">
      <c r="A1007" s="38" t="s">
        <v>852</v>
      </c>
      <c r="B1007" s="38" t="n">
        <v>70</v>
      </c>
      <c r="C1007" s="38" t="s">
        <v>169</v>
      </c>
      <c r="D1007" s="38" t="s">
        <v>871</v>
      </c>
      <c r="E1007" s="38" t="str">
        <f aca="false">B1007&amp;"|"&amp;C1007</f>
        <v>70|G</v>
      </c>
      <c r="F1007" s="45" t="n">
        <f aca="false">INDEX('Emission Stepwise'!$H$2:$H$289,MATCH(E1007,'Emission Stepwise'!$C$2:$C$289,0))</f>
        <v>0.374384236453202</v>
      </c>
      <c r="G1007" s="45" t="n">
        <f aca="false">INDEX(Background!$C$4:$C$7,MATCH(C1007,Background!$A$4:$A$7,0))</f>
        <v>0.325128349391659</v>
      </c>
      <c r="H1007" s="49" t="n">
        <f aca="false">LN(F1007/G1007)</f>
        <v>0.141062614652693</v>
      </c>
    </row>
    <row r="1008" customFormat="false" ht="15" hidden="false" customHeight="true" outlineLevel="0" collapsed="false">
      <c r="A1008" s="38" t="s">
        <v>852</v>
      </c>
      <c r="B1008" s="38" t="n">
        <v>71</v>
      </c>
      <c r="C1008" s="38" t="s">
        <v>171</v>
      </c>
      <c r="D1008" s="38" t="s">
        <v>871</v>
      </c>
      <c r="E1008" s="38" t="str">
        <f aca="false">B1008&amp;"|"&amp;C1008</f>
        <v>71|U</v>
      </c>
      <c r="F1008" s="45" t="n">
        <f aca="false">INDEX('Emission Stepwise'!$H$2:$H$289,MATCH(E1008,'Emission Stepwise'!$C$2:$C$289,0))</f>
        <v>0.0492610837438424</v>
      </c>
      <c r="G1008" s="45" t="n">
        <f aca="false">INDEX(Background!$C$4:$C$7,MATCH(C1008,Background!$A$4:$A$7,0))</f>
        <v>0.212884169069555</v>
      </c>
      <c r="H1008" s="49" t="n">
        <f aca="false">LN(F1008/G1008)</f>
        <v>-1.46361381767309</v>
      </c>
    </row>
    <row r="1009" customFormat="false" ht="15" hidden="false" customHeight="true" outlineLevel="0" collapsed="false">
      <c r="A1009" s="38" t="s">
        <v>852</v>
      </c>
      <c r="B1009" s="38" t="n">
        <v>72</v>
      </c>
      <c r="C1009" s="38" t="s">
        <v>172</v>
      </c>
      <c r="D1009" s="38" t="s">
        <v>871</v>
      </c>
      <c r="E1009" s="38" t="str">
        <f aca="false">B1009&amp;"|"&amp;C1009</f>
        <v>72|A</v>
      </c>
      <c r="F1009" s="45" t="n">
        <f aca="false">INDEX('Emission Stepwise'!$H$2:$H$289,MATCH(E1009,'Emission Stepwise'!$C$2:$C$289,0))</f>
        <v>0.083743842364532</v>
      </c>
      <c r="G1009" s="45" t="n">
        <f aca="false">INDEX(Background!$C$4:$C$7,MATCH(C1009,Background!$A$4:$A$7,0))</f>
        <v>0.185174766157958</v>
      </c>
      <c r="H1009" s="49" t="n">
        <f aca="false">LN(F1009/G1009)</f>
        <v>-0.793537417085506</v>
      </c>
    </row>
    <row r="1010" customFormat="false" ht="15" hidden="false" customHeight="true" outlineLevel="0" collapsed="false">
      <c r="A1010" s="38" t="s">
        <v>853</v>
      </c>
      <c r="B1010" s="38" t="n">
        <v>1</v>
      </c>
      <c r="C1010" s="38" t="s">
        <v>170</v>
      </c>
      <c r="D1010" s="38" t="s">
        <v>865</v>
      </c>
      <c r="E1010" s="38" t="str">
        <f aca="false">B1010&amp;"|"&amp;C1010</f>
        <v>1|C</v>
      </c>
      <c r="F1010" s="45" t="n">
        <f aca="false">INDEX('Emission Stepwise'!$H$2:$H$289,MATCH(E1010,'Emission Stepwise'!$C$2:$C$289,0))</f>
        <v>0.108374384236453</v>
      </c>
      <c r="G1010" s="45" t="n">
        <f aca="false">INDEX(Background!$C$4:$C$7,MATCH(C1010,Background!$A$4:$A$7,0))</f>
        <v>0.276812715380828</v>
      </c>
      <c r="H1010" s="49" t="n">
        <f aca="false">LN(F1010/G1010)</f>
        <v>-0.937749406459241</v>
      </c>
    </row>
    <row r="1011" customFormat="false" ht="15" hidden="false" customHeight="true" outlineLevel="0" collapsed="false">
      <c r="A1011" s="38" t="s">
        <v>853</v>
      </c>
      <c r="B1011" s="38" t="n">
        <v>2</v>
      </c>
      <c r="C1011" s="38" t="s">
        <v>171</v>
      </c>
      <c r="D1011" s="38" t="s">
        <v>865</v>
      </c>
      <c r="E1011" s="38" t="str">
        <f aca="false">B1011&amp;"|"&amp;C1011</f>
        <v>2|U</v>
      </c>
      <c r="F1011" s="45" t="n">
        <f aca="false">INDEX('Emission Stepwise'!$H$2:$H$289,MATCH(E1011,'Emission Stepwise'!$C$2:$C$289,0))</f>
        <v>0.0344827586206897</v>
      </c>
      <c r="G1011" s="45" t="n">
        <f aca="false">INDEX(Background!$C$4:$C$7,MATCH(C1011,Background!$A$4:$A$7,0))</f>
        <v>0.212884169069555</v>
      </c>
      <c r="H1011" s="49" t="n">
        <f aca="false">LN(F1011/G1011)</f>
        <v>-1.82028876161182</v>
      </c>
    </row>
    <row r="1012" customFormat="false" ht="15" hidden="false" customHeight="true" outlineLevel="0" collapsed="false">
      <c r="A1012" s="38" t="s">
        <v>853</v>
      </c>
      <c r="B1012" s="38" t="n">
        <v>3</v>
      </c>
      <c r="C1012" s="38" t="s">
        <v>172</v>
      </c>
      <c r="D1012" s="38" t="s">
        <v>865</v>
      </c>
      <c r="E1012" s="38" t="str">
        <f aca="false">B1012&amp;"|"&amp;C1012</f>
        <v>3|A</v>
      </c>
      <c r="F1012" s="45" t="n">
        <f aca="false">INDEX('Emission Stepwise'!$H$2:$H$289,MATCH(E1012,'Emission Stepwise'!$C$2:$C$289,0))</f>
        <v>0.0738916256157636</v>
      </c>
      <c r="G1012" s="45" t="n">
        <f aca="false">INDEX(Background!$C$4:$C$7,MATCH(C1012,Background!$A$4:$A$7,0))</f>
        <v>0.185174766157958</v>
      </c>
      <c r="H1012" s="49" t="n">
        <f aca="false">LN(F1012/G1012)</f>
        <v>-0.918700560039512</v>
      </c>
    </row>
    <row r="1013" customFormat="false" ht="15" hidden="false" customHeight="true" outlineLevel="0" collapsed="false">
      <c r="A1013" s="38" t="s">
        <v>853</v>
      </c>
      <c r="B1013" s="38" t="n">
        <v>4</v>
      </c>
      <c r="C1013" s="38" t="s">
        <v>169</v>
      </c>
      <c r="D1013" s="38" t="s">
        <v>865</v>
      </c>
      <c r="E1013" s="38" t="str">
        <f aca="false">B1013&amp;"|"&amp;C1013</f>
        <v>4|G</v>
      </c>
      <c r="F1013" s="45" t="n">
        <f aca="false">INDEX('Emission Stepwise'!$H$2:$H$289,MATCH(E1013,'Emission Stepwise'!$C$2:$C$289,0))</f>
        <v>0.443349753694581</v>
      </c>
      <c r="G1013" s="45" t="n">
        <f aca="false">INDEX(Background!$C$4:$C$7,MATCH(C1013,Background!$A$4:$A$7,0))</f>
        <v>0.325128349391659</v>
      </c>
      <c r="H1013" s="49" t="n">
        <f aca="false">LN(F1013/G1013)</f>
        <v>0.310138944696627</v>
      </c>
    </row>
    <row r="1014" customFormat="false" ht="15" hidden="false" customHeight="true" outlineLevel="0" collapsed="false">
      <c r="A1014" s="38" t="s">
        <v>853</v>
      </c>
      <c r="B1014" s="38" t="n">
        <v>5</v>
      </c>
      <c r="C1014" s="38" t="s">
        <v>171</v>
      </c>
      <c r="D1014" s="38" t="s">
        <v>865</v>
      </c>
      <c r="E1014" s="38" t="str">
        <f aca="false">B1014&amp;"|"&amp;C1014</f>
        <v>5|U</v>
      </c>
      <c r="F1014" s="45" t="n">
        <f aca="false">INDEX('Emission Stepwise'!$H$2:$H$289,MATCH(E1014,'Emission Stepwise'!$C$2:$C$289,0))</f>
        <v>0.108374384236453</v>
      </c>
      <c r="G1014" s="45" t="n">
        <f aca="false">INDEX(Background!$C$4:$C$7,MATCH(C1014,Background!$A$4:$A$7,0))</f>
        <v>0.212884169069555</v>
      </c>
      <c r="H1014" s="49" t="n">
        <f aca="false">LN(F1014/G1014)</f>
        <v>-0.675156457308816</v>
      </c>
    </row>
    <row r="1015" customFormat="false" ht="15" hidden="false" customHeight="true" outlineLevel="0" collapsed="false">
      <c r="A1015" s="38" t="s">
        <v>853</v>
      </c>
      <c r="B1015" s="38" t="n">
        <v>6</v>
      </c>
      <c r="C1015" s="38" t="s">
        <v>170</v>
      </c>
      <c r="D1015" s="38" t="s">
        <v>865</v>
      </c>
      <c r="E1015" s="38" t="str">
        <f aca="false">B1015&amp;"|"&amp;C1015</f>
        <v>6|C</v>
      </c>
      <c r="F1015" s="45" t="n">
        <f aca="false">INDEX('Emission Stepwise'!$H$2:$H$289,MATCH(E1015,'Emission Stepwise'!$C$2:$C$289,0))</f>
        <v>0.32512315270936</v>
      </c>
      <c r="G1015" s="45" t="n">
        <f aca="false">INDEX(Background!$C$4:$C$7,MATCH(C1015,Background!$A$4:$A$7,0))</f>
        <v>0.276812715380828</v>
      </c>
      <c r="H1015" s="49" t="n">
        <f aca="false">LN(F1015/G1015)</f>
        <v>0.160862882208869</v>
      </c>
    </row>
    <row r="1016" customFormat="false" ht="15" hidden="false" customHeight="true" outlineLevel="0" collapsed="false">
      <c r="A1016" s="38" t="s">
        <v>853</v>
      </c>
      <c r="B1016" s="38" t="n">
        <v>7</v>
      </c>
      <c r="C1016" s="38" t="s">
        <v>172</v>
      </c>
      <c r="D1016" s="38" t="s">
        <v>865</v>
      </c>
      <c r="E1016" s="38" t="str">
        <f aca="false">B1016&amp;"|"&amp;C1016</f>
        <v>7|A</v>
      </c>
      <c r="F1016" s="45" t="n">
        <f aca="false">INDEX('Emission Stepwise'!$H$2:$H$289,MATCH(E1016,'Emission Stepwise'!$C$2:$C$289,0))</f>
        <v>0.236453201970443</v>
      </c>
      <c r="G1016" s="45" t="n">
        <f aca="false">INDEX(Background!$C$4:$C$7,MATCH(C1016,Background!$A$4:$A$7,0))</f>
        <v>0.185174766157958</v>
      </c>
      <c r="H1016" s="49" t="n">
        <f aca="false">LN(F1016/G1016)</f>
        <v>0.244450249766169</v>
      </c>
    </row>
    <row r="1017" customFormat="false" ht="15" hidden="false" customHeight="true" outlineLevel="0" collapsed="false">
      <c r="A1017" s="38" t="s">
        <v>853</v>
      </c>
      <c r="B1017" s="38" t="n">
        <v>8</v>
      </c>
      <c r="C1017" s="38" t="s">
        <v>171</v>
      </c>
      <c r="D1017" s="38" t="s">
        <v>866</v>
      </c>
      <c r="E1017" s="38" t="str">
        <f aca="false">B1017&amp;"|"&amp;C1017</f>
        <v>8|U</v>
      </c>
      <c r="F1017" s="45" t="n">
        <f aca="false">INDEX('Emission Stepwise'!$H$2:$H$289,MATCH(E1017,'Emission Stepwise'!$C$2:$C$289,0))</f>
        <v>0.975369458128079</v>
      </c>
      <c r="G1017" s="45" t="n">
        <f aca="false">INDEX(Background!$C$4:$C$7,MATCH(C1017,Background!$A$4:$A$7,0))</f>
        <v>0.212884169069555</v>
      </c>
      <c r="H1017" s="49" t="n">
        <f aca="false">LN(F1017/G1017)</f>
        <v>1.5220681200274</v>
      </c>
    </row>
    <row r="1018" customFormat="false" ht="15" hidden="false" customHeight="true" outlineLevel="0" collapsed="false">
      <c r="A1018" s="38" t="s">
        <v>853</v>
      </c>
      <c r="B1018" s="38" t="n">
        <v>9</v>
      </c>
      <c r="C1018" s="38" t="s">
        <v>169</v>
      </c>
      <c r="D1018" s="38" t="s">
        <v>867</v>
      </c>
      <c r="E1018" s="38" t="str">
        <f aca="false">B1018&amp;"|"&amp;C1018</f>
        <v>9|G</v>
      </c>
      <c r="F1018" s="45" t="n">
        <f aca="false">INDEX('Emission Stepwise'!$H$2:$H$289,MATCH(E1018,'Emission Stepwise'!$C$2:$C$289,0))</f>
        <v>0.306930693069307</v>
      </c>
      <c r="G1018" s="45" t="n">
        <f aca="false">INDEX(Background!$C$4:$C$7,MATCH(C1018,Background!$A$4:$A$7,0))</f>
        <v>0.325128349391659</v>
      </c>
      <c r="H1018" s="49" t="n">
        <f aca="false">LN(F1018/G1018)</f>
        <v>-0.0575980589479641</v>
      </c>
    </row>
    <row r="1019" customFormat="false" ht="15" hidden="false" customHeight="true" outlineLevel="0" collapsed="false">
      <c r="A1019" s="38" t="s">
        <v>853</v>
      </c>
      <c r="B1019" s="38" t="n">
        <v>10</v>
      </c>
      <c r="C1019" s="38" t="s">
        <v>172</v>
      </c>
      <c r="D1019" s="38" t="s">
        <v>867</v>
      </c>
      <c r="E1019" s="38" t="str">
        <f aca="false">B1019&amp;"|"&amp;C1019</f>
        <v>10|A</v>
      </c>
      <c r="F1019" s="45" t="n">
        <f aca="false">INDEX('Emission Stepwise'!$H$2:$H$289,MATCH(E1019,'Emission Stepwise'!$C$2:$C$289,0))</f>
        <v>0.00492610837438424</v>
      </c>
      <c r="G1019" s="45" t="n">
        <f aca="false">INDEX(Background!$C$4:$C$7,MATCH(C1019,Background!$A$4:$A$7,0))</f>
        <v>0.185174766157958</v>
      </c>
      <c r="H1019" s="49" t="n">
        <f aca="false">LN(F1019/G1019)</f>
        <v>-3.62675076114172</v>
      </c>
    </row>
    <row r="1020" customFormat="false" ht="15" hidden="false" customHeight="true" outlineLevel="0" collapsed="false">
      <c r="A1020" s="38" t="s">
        <v>853</v>
      </c>
      <c r="B1020" s="38" t="n">
        <v>11</v>
      </c>
      <c r="C1020" s="38" t="s">
        <v>171</v>
      </c>
      <c r="D1020" s="38" t="s">
        <v>867</v>
      </c>
      <c r="E1020" s="38" t="str">
        <f aca="false">B1020&amp;"|"&amp;C1020</f>
        <v>11|U</v>
      </c>
      <c r="F1020" s="45" t="n">
        <f aca="false">INDEX('Emission Stepwise'!$H$2:$H$289,MATCH(E1020,'Emission Stepwise'!$C$2:$C$289,0))</f>
        <v>0.201970443349754</v>
      </c>
      <c r="G1020" s="45" t="n">
        <f aca="false">INDEX(Background!$C$4:$C$7,MATCH(C1020,Background!$A$4:$A$7,0))</f>
        <v>0.212884169069555</v>
      </c>
      <c r="H1020" s="49" t="n">
        <f aca="false">LN(F1020/G1020)</f>
        <v>-0.0526268439628237</v>
      </c>
    </row>
    <row r="1021" customFormat="false" ht="15" hidden="false" customHeight="true" outlineLevel="0" collapsed="false">
      <c r="A1021" s="38" t="s">
        <v>853</v>
      </c>
      <c r="B1021" s="38" t="n">
        <v>12</v>
      </c>
      <c r="C1021" s="38" t="s">
        <v>170</v>
      </c>
      <c r="D1021" s="38" t="s">
        <v>867</v>
      </c>
      <c r="E1021" s="38" t="str">
        <f aca="false">B1021&amp;"|"&amp;C1021</f>
        <v>12|C</v>
      </c>
      <c r="F1021" s="45" t="n">
        <f aca="false">INDEX('Emission Stepwise'!$H$2:$H$289,MATCH(E1021,'Emission Stepwise'!$C$2:$C$289,0))</f>
        <v>0.147783251231527</v>
      </c>
      <c r="G1021" s="45" t="n">
        <f aca="false">INDEX(Background!$C$4:$C$7,MATCH(C1021,Background!$A$4:$A$7,0))</f>
        <v>0.276812715380828</v>
      </c>
      <c r="H1021" s="49" t="n">
        <f aca="false">LN(F1021/G1021)</f>
        <v>-0.627594478155401</v>
      </c>
    </row>
    <row r="1022" customFormat="false" ht="15" hidden="false" customHeight="true" outlineLevel="0" collapsed="false">
      <c r="A1022" s="38" t="s">
        <v>853</v>
      </c>
      <c r="B1022" s="38" t="n">
        <v>13</v>
      </c>
      <c r="C1022" s="38" t="s">
        <v>171</v>
      </c>
      <c r="D1022" s="38" t="s">
        <v>867</v>
      </c>
      <c r="E1022" s="38" t="str">
        <f aca="false">B1022&amp;"|"&amp;C1022</f>
        <v>13|U</v>
      </c>
      <c r="F1022" s="45" t="n">
        <f aca="false">INDEX('Emission Stepwise'!$H$2:$H$289,MATCH(E1022,'Emission Stepwise'!$C$2:$C$289,0))</f>
        <v>0.192118226600985</v>
      </c>
      <c r="G1022" s="45" t="n">
        <f aca="false">INDEX(Background!$C$4:$C$7,MATCH(C1022,Background!$A$4:$A$7,0))</f>
        <v>0.212884169069555</v>
      </c>
      <c r="H1022" s="49" t="n">
        <f aca="false">LN(F1022/G1022)</f>
        <v>-0.102637264537485</v>
      </c>
    </row>
    <row r="1023" customFormat="false" ht="15" hidden="false" customHeight="true" outlineLevel="0" collapsed="false">
      <c r="A1023" s="38" t="s">
        <v>853</v>
      </c>
      <c r="B1023" s="38" t="n">
        <v>14</v>
      </c>
      <c r="C1023" s="38" t="s">
        <v>169</v>
      </c>
      <c r="D1023" s="38" t="s">
        <v>867</v>
      </c>
      <c r="E1023" s="38" t="str">
        <f aca="false">B1023&amp;"|"&amp;C1023</f>
        <v>14|G</v>
      </c>
      <c r="F1023" s="45" t="n">
        <f aca="false">INDEX('Emission Stepwise'!$H$2:$H$289,MATCH(E1023,'Emission Stepwise'!$C$2:$C$289,0))</f>
        <v>0.00985221674876847</v>
      </c>
      <c r="G1023" s="45" t="n">
        <f aca="false">INDEX(Background!$C$4:$C$7,MATCH(C1023,Background!$A$4:$A$7,0))</f>
        <v>0.325128349391659</v>
      </c>
      <c r="H1023" s="49" t="n">
        <f aca="false">LN(F1023/G1023)</f>
        <v>-3.49652354507369</v>
      </c>
    </row>
    <row r="1024" customFormat="false" ht="15" hidden="false" customHeight="true" outlineLevel="0" collapsed="false">
      <c r="A1024" s="38" t="s">
        <v>853</v>
      </c>
      <c r="B1024" s="38" t="n">
        <v>15</v>
      </c>
      <c r="C1024" s="38" t="s">
        <v>171</v>
      </c>
      <c r="D1024" s="38" t="s">
        <v>867</v>
      </c>
      <c r="E1024" s="38" t="str">
        <f aca="false">B1024&amp;"|"&amp;C1024</f>
        <v>15|U</v>
      </c>
      <c r="F1024" s="45" t="n">
        <f aca="false">INDEX('Emission Stepwise'!$H$2:$H$289,MATCH(E1024,'Emission Stepwise'!$C$2:$C$289,0))</f>
        <v>0.0148514851485149</v>
      </c>
      <c r="G1024" s="45" t="n">
        <f aca="false">INDEX(Background!$C$4:$C$7,MATCH(C1024,Background!$A$4:$A$7,0))</f>
        <v>0.212884169069555</v>
      </c>
      <c r="H1024" s="49" t="n">
        <f aca="false">LN(F1024/G1024)</f>
        <v>-2.66264834035844</v>
      </c>
    </row>
    <row r="1025" customFormat="false" ht="15" hidden="false" customHeight="true" outlineLevel="0" collapsed="false">
      <c r="A1025" s="38" t="s">
        <v>853</v>
      </c>
      <c r="B1025" s="38" t="n">
        <v>16</v>
      </c>
      <c r="C1025" s="38" t="s">
        <v>172</v>
      </c>
      <c r="D1025" s="38" t="s">
        <v>867</v>
      </c>
      <c r="E1025" s="38" t="str">
        <f aca="false">B1025&amp;"|"&amp;C1025</f>
        <v>16|A</v>
      </c>
      <c r="F1025" s="45" t="n">
        <f aca="false">INDEX('Emission Stepwise'!$H$2:$H$289,MATCH(E1025,'Emission Stepwise'!$C$2:$C$289,0))</f>
        <v>0.0294117647058824</v>
      </c>
      <c r="G1025" s="45" t="n">
        <f aca="false">INDEX(Background!$C$4:$C$7,MATCH(C1025,Background!$A$4:$A$7,0))</f>
        <v>0.185174766157958</v>
      </c>
      <c r="H1025" s="49" t="n">
        <f aca="false">LN(F1025/G1025)</f>
        <v>-1.8399053067161</v>
      </c>
    </row>
    <row r="1026" customFormat="false" ht="15" hidden="false" customHeight="true" outlineLevel="0" collapsed="false">
      <c r="A1026" s="38" t="s">
        <v>853</v>
      </c>
      <c r="B1026" s="38" t="n">
        <v>17</v>
      </c>
      <c r="C1026" s="38" t="s">
        <v>172</v>
      </c>
      <c r="D1026" s="38" t="s">
        <v>867</v>
      </c>
      <c r="E1026" s="38" t="str">
        <f aca="false">B1026&amp;"|"&amp;C1026</f>
        <v>17|A</v>
      </c>
      <c r="F1026" s="45" t="n">
        <f aca="false">INDEX('Emission Stepwise'!$H$2:$H$289,MATCH(E1026,'Emission Stepwise'!$C$2:$C$289,0))</f>
        <v>0.065</v>
      </c>
      <c r="G1026" s="45" t="n">
        <f aca="false">INDEX(Background!$C$4:$C$7,MATCH(C1026,Background!$A$4:$A$7,0))</f>
        <v>0.185174766157958</v>
      </c>
      <c r="H1026" s="49" t="n">
        <f aca="false">LN(F1026/G1026)</f>
        <v>-1.04691279118643</v>
      </c>
    </row>
    <row r="1027" customFormat="false" ht="15" hidden="false" customHeight="true" outlineLevel="0" collapsed="false">
      <c r="A1027" s="38" t="s">
        <v>853</v>
      </c>
      <c r="B1027" s="38" t="n">
        <v>18</v>
      </c>
      <c r="C1027" s="38" t="s">
        <v>169</v>
      </c>
      <c r="D1027" s="38" t="s">
        <v>867</v>
      </c>
      <c r="E1027" s="38" t="str">
        <f aca="false">B1027&amp;"|"&amp;C1027</f>
        <v>18|G</v>
      </c>
      <c r="F1027" s="45" t="n">
        <f aca="false">INDEX('Emission Stepwise'!$H$2:$H$289,MATCH(E1027,'Emission Stepwise'!$C$2:$C$289,0))</f>
        <v>0.980295566502463</v>
      </c>
      <c r="G1027" s="45" t="n">
        <f aca="false">INDEX(Background!$C$4:$C$7,MATCH(C1027,Background!$A$4:$A$7,0))</f>
        <v>0.325128349391659</v>
      </c>
      <c r="H1027" s="49" t="n">
        <f aca="false">LN(F1027/G1027)</f>
        <v>1.10363409909085</v>
      </c>
    </row>
    <row r="1028" customFormat="false" ht="15" hidden="false" customHeight="true" outlineLevel="0" collapsed="false">
      <c r="A1028" s="38" t="s">
        <v>853</v>
      </c>
      <c r="B1028" s="38" t="n">
        <v>19</v>
      </c>
      <c r="C1028" s="38" t="s">
        <v>169</v>
      </c>
      <c r="D1028" s="38" t="s">
        <v>867</v>
      </c>
      <c r="E1028" s="38" t="str">
        <f aca="false">B1028&amp;"|"&amp;C1028</f>
        <v>19|G</v>
      </c>
      <c r="F1028" s="45" t="n">
        <f aca="false">INDEX('Emission Stepwise'!$H$2:$H$289,MATCH(E1028,'Emission Stepwise'!$C$2:$C$289,0))</f>
        <v>0.970443349753695</v>
      </c>
      <c r="G1028" s="45" t="n">
        <f aca="false">INDEX(Background!$C$4:$C$7,MATCH(C1028,Background!$A$4:$A$7,0))</f>
        <v>0.325128349391659</v>
      </c>
      <c r="H1028" s="49" t="n">
        <f aca="false">LN(F1028/G1028)</f>
        <v>1.09353300310435</v>
      </c>
    </row>
    <row r="1029" customFormat="false" ht="15" hidden="false" customHeight="true" outlineLevel="0" collapsed="false">
      <c r="A1029" s="38" t="s">
        <v>853</v>
      </c>
      <c r="B1029" s="38" t="n">
        <v>20</v>
      </c>
      <c r="C1029" s="38" t="s">
        <v>170</v>
      </c>
      <c r="D1029" s="38" t="s">
        <v>867</v>
      </c>
      <c r="E1029" s="38" t="str">
        <f aca="false">B1029&amp;"|"&amp;C1029</f>
        <v>20|C</v>
      </c>
      <c r="F1029" s="45" t="n">
        <f aca="false">INDEX('Emission Stepwise'!$H$2:$H$289,MATCH(E1029,'Emission Stepwise'!$C$2:$C$289,0))</f>
        <v>0.227722772277228</v>
      </c>
      <c r="G1029" s="45" t="n">
        <f aca="false">INDEX(Background!$C$4:$C$7,MATCH(C1029,Background!$A$4:$A$7,0))</f>
        <v>0.276812715380828</v>
      </c>
      <c r="H1029" s="49" t="n">
        <f aca="false">LN(F1029/G1029)</f>
        <v>-0.195212181687879</v>
      </c>
    </row>
    <row r="1030" customFormat="false" ht="15" hidden="false" customHeight="true" outlineLevel="0" collapsed="false">
      <c r="A1030" s="38" t="s">
        <v>853</v>
      </c>
      <c r="B1030" s="38" t="n">
        <v>21</v>
      </c>
      <c r="C1030" s="38" t="s">
        <v>172</v>
      </c>
      <c r="D1030" s="38" t="s">
        <v>867</v>
      </c>
      <c r="E1030" s="38" t="str">
        <f aca="false">B1030&amp;"|"&amp;C1030</f>
        <v>21|A</v>
      </c>
      <c r="F1030" s="45" t="n">
        <f aca="false">INDEX('Emission Stepwise'!$H$2:$H$289,MATCH(E1030,'Emission Stepwise'!$C$2:$C$289,0))</f>
        <v>0.881773399014778</v>
      </c>
      <c r="G1030" s="45" t="n">
        <f aca="false">INDEX(Background!$C$4:$C$7,MATCH(C1030,Background!$A$4:$A$7,0))</f>
        <v>0.185174766157958</v>
      </c>
      <c r="H1030" s="49" t="n">
        <f aca="false">LN(F1030/G1030)</f>
        <v>1.56063504469903</v>
      </c>
    </row>
    <row r="1031" customFormat="false" ht="15" hidden="false" customHeight="true" outlineLevel="0" collapsed="false">
      <c r="A1031" s="38" t="s">
        <v>853</v>
      </c>
      <c r="B1031" s="38" t="n">
        <v>22</v>
      </c>
      <c r="C1031" s="38" t="s">
        <v>172</v>
      </c>
      <c r="D1031" s="38" t="s">
        <v>867</v>
      </c>
      <c r="E1031" s="38" t="str">
        <f aca="false">B1031&amp;"|"&amp;C1031</f>
        <v>22|A</v>
      </c>
      <c r="F1031" s="45" t="n">
        <f aca="false">INDEX('Emission Stepwise'!$H$2:$H$289,MATCH(E1031,'Emission Stepwise'!$C$2:$C$289,0))</f>
        <v>0.206896551724138</v>
      </c>
      <c r="G1031" s="45" t="n">
        <f aca="false">INDEX(Background!$C$4:$C$7,MATCH(C1031,Background!$A$4:$A$7,0))</f>
        <v>0.185174766157958</v>
      </c>
      <c r="H1031" s="49" t="n">
        <f aca="false">LN(F1031/G1031)</f>
        <v>0.110918857141646</v>
      </c>
    </row>
    <row r="1032" customFormat="false" ht="15" hidden="false" customHeight="true" outlineLevel="0" collapsed="false">
      <c r="A1032" s="38" t="s">
        <v>853</v>
      </c>
      <c r="B1032" s="38" t="n">
        <v>23</v>
      </c>
      <c r="C1032" s="38" t="s">
        <v>169</v>
      </c>
      <c r="D1032" s="38" t="s">
        <v>867</v>
      </c>
      <c r="E1032" s="38" t="str">
        <f aca="false">B1032&amp;"|"&amp;C1032</f>
        <v>23|G</v>
      </c>
      <c r="F1032" s="45" t="n">
        <f aca="false">INDEX('Emission Stepwise'!$H$2:$H$289,MATCH(E1032,'Emission Stepwise'!$C$2:$C$289,0))</f>
        <v>0.147783251231527</v>
      </c>
      <c r="G1032" s="45" t="n">
        <f aca="false">INDEX(Background!$C$4:$C$7,MATCH(C1032,Background!$A$4:$A$7,0))</f>
        <v>0.325128349391659</v>
      </c>
      <c r="H1032" s="49" t="n">
        <f aca="false">LN(F1032/G1032)</f>
        <v>-0.788473343971483</v>
      </c>
    </row>
    <row r="1033" customFormat="false" ht="15" hidden="false" customHeight="true" outlineLevel="0" collapsed="false">
      <c r="A1033" s="38" t="s">
        <v>853</v>
      </c>
      <c r="B1033" s="38" t="n">
        <v>24</v>
      </c>
      <c r="C1033" s="38" t="s">
        <v>172</v>
      </c>
      <c r="D1033" s="38" t="s">
        <v>867</v>
      </c>
      <c r="E1033" s="38" t="str">
        <f aca="false">B1033&amp;"|"&amp;C1033</f>
        <v>24|A</v>
      </c>
      <c r="F1033" s="45" t="n">
        <f aca="false">INDEX('Emission Stepwise'!$H$2:$H$289,MATCH(E1033,'Emission Stepwise'!$C$2:$C$289,0))</f>
        <v>0.187192118226601</v>
      </c>
      <c r="G1033" s="45" t="n">
        <f aca="false">INDEX(Background!$C$4:$C$7,MATCH(C1033,Background!$A$4:$A$7,0))</f>
        <v>0.185174766157958</v>
      </c>
      <c r="H1033" s="49" t="n">
        <f aca="false">LN(F1033/G1033)</f>
        <v>0.0108353985846635</v>
      </c>
    </row>
    <row r="1034" customFormat="false" ht="15" hidden="false" customHeight="true" outlineLevel="0" collapsed="false">
      <c r="A1034" s="38" t="s">
        <v>853</v>
      </c>
      <c r="B1034" s="38" t="n">
        <v>25</v>
      </c>
      <c r="C1034" s="38" t="s">
        <v>171</v>
      </c>
      <c r="D1034" s="38" t="s">
        <v>867</v>
      </c>
      <c r="E1034" s="38" t="str">
        <f aca="false">B1034&amp;"|"&amp;C1034</f>
        <v>25|U</v>
      </c>
      <c r="F1034" s="45" t="n">
        <f aca="false">INDEX('Emission Stepwise'!$H$2:$H$289,MATCH(E1034,'Emission Stepwise'!$C$2:$C$289,0))</f>
        <v>0.0738916256157636</v>
      </c>
      <c r="G1034" s="45" t="n">
        <f aca="false">INDEX(Background!$C$4:$C$7,MATCH(C1034,Background!$A$4:$A$7,0))</f>
        <v>0.212884169069555</v>
      </c>
      <c r="H1034" s="49" t="n">
        <f aca="false">LN(F1034/G1034)</f>
        <v>-1.05814870956492</v>
      </c>
    </row>
    <row r="1035" customFormat="false" ht="15" hidden="false" customHeight="true" outlineLevel="0" collapsed="false">
      <c r="A1035" s="38" t="s">
        <v>853</v>
      </c>
      <c r="B1035" s="38" t="n">
        <v>26</v>
      </c>
      <c r="C1035" s="38" t="s">
        <v>172</v>
      </c>
      <c r="D1035" s="38" t="s">
        <v>868</v>
      </c>
      <c r="E1035" s="38" t="str">
        <f aca="false">B1035&amp;"|"&amp;C1035</f>
        <v>26|A</v>
      </c>
      <c r="F1035" s="45" t="n">
        <f aca="false">INDEX('Emission Stepwise'!$H$2:$H$289,MATCH(E1035,'Emission Stepwise'!$C$2:$C$289,0))</f>
        <v>0.413793103448276</v>
      </c>
      <c r="G1035" s="45" t="n">
        <f aca="false">INDEX(Background!$C$4:$C$7,MATCH(C1035,Background!$A$4:$A$7,0))</f>
        <v>0.185174766157958</v>
      </c>
      <c r="H1035" s="49" t="n">
        <f aca="false">LN(F1035/G1035)</f>
        <v>0.804066037701591</v>
      </c>
    </row>
    <row r="1036" customFormat="false" ht="15" hidden="false" customHeight="true" outlineLevel="0" collapsed="false">
      <c r="A1036" s="38" t="s">
        <v>853</v>
      </c>
      <c r="B1036" s="38" t="n">
        <v>27</v>
      </c>
      <c r="C1036" s="38" t="s">
        <v>171</v>
      </c>
      <c r="D1036" s="38" t="s">
        <v>868</v>
      </c>
      <c r="E1036" s="38" t="str">
        <f aca="false">B1036&amp;"|"&amp;C1036</f>
        <v>27|U</v>
      </c>
      <c r="F1036" s="45" t="n">
        <f aca="false">INDEX('Emission Stepwise'!$H$2:$H$289,MATCH(E1036,'Emission Stepwise'!$C$2:$C$289,0))</f>
        <v>0.25615763546798</v>
      </c>
      <c r="G1036" s="45" t="n">
        <f aca="false">INDEX(Background!$C$4:$C$7,MATCH(C1036,Background!$A$4:$A$7,0))</f>
        <v>0.212884169069555</v>
      </c>
      <c r="H1036" s="49" t="n">
        <f aca="false">LN(F1036/G1036)</f>
        <v>0.185044807914296</v>
      </c>
    </row>
    <row r="1037" customFormat="false" ht="15" hidden="false" customHeight="true" outlineLevel="0" collapsed="false">
      <c r="A1037" s="38" t="s">
        <v>853</v>
      </c>
      <c r="B1037" s="38" t="n">
        <v>28</v>
      </c>
      <c r="C1037" s="38" t="s">
        <v>171</v>
      </c>
      <c r="D1037" s="38" t="s">
        <v>868</v>
      </c>
      <c r="E1037" s="38" t="str">
        <f aca="false">B1037&amp;"|"&amp;C1037</f>
        <v>28|U</v>
      </c>
      <c r="F1037" s="45" t="n">
        <f aca="false">INDEX('Emission Stepwise'!$H$2:$H$289,MATCH(E1037,'Emission Stepwise'!$C$2:$C$289,0))</f>
        <v>0.251231527093596</v>
      </c>
      <c r="G1037" s="45" t="n">
        <f aca="false">INDEX(Background!$C$4:$C$7,MATCH(C1037,Background!$A$4:$A$7,0))</f>
        <v>0.212884169069555</v>
      </c>
      <c r="H1037" s="49" t="n">
        <f aca="false">LN(F1037/G1037)</f>
        <v>0.165626722057194</v>
      </c>
    </row>
    <row r="1038" customFormat="false" ht="15" hidden="false" customHeight="true" outlineLevel="0" collapsed="false">
      <c r="A1038" s="38" t="s">
        <v>853</v>
      </c>
      <c r="B1038" s="38" t="n">
        <v>29</v>
      </c>
      <c r="C1038" s="38" t="s">
        <v>171</v>
      </c>
      <c r="D1038" s="38" t="s">
        <v>868</v>
      </c>
      <c r="E1038" s="38" t="str">
        <f aca="false">B1038&amp;"|"&amp;C1038</f>
        <v>29|U</v>
      </c>
      <c r="F1038" s="45" t="n">
        <f aca="false">INDEX('Emission Stepwise'!$H$2:$H$289,MATCH(E1038,'Emission Stepwise'!$C$2:$C$289,0))</f>
        <v>0.275862068965517</v>
      </c>
      <c r="G1038" s="45" t="n">
        <f aca="false">INDEX(Background!$C$4:$C$7,MATCH(C1038,Background!$A$4:$A$7,0))</f>
        <v>0.212884169069555</v>
      </c>
      <c r="H1038" s="49" t="n">
        <f aca="false">LN(F1038/G1038)</f>
        <v>0.259152780068018</v>
      </c>
    </row>
    <row r="1039" customFormat="false" ht="15" hidden="false" customHeight="true" outlineLevel="0" collapsed="false">
      <c r="A1039" s="38" t="s">
        <v>853</v>
      </c>
      <c r="B1039" s="38" t="n">
        <v>30</v>
      </c>
      <c r="C1039" s="38" t="s">
        <v>172</v>
      </c>
      <c r="D1039" s="38" t="s">
        <v>868</v>
      </c>
      <c r="E1039" s="38" t="str">
        <f aca="false">B1039&amp;"|"&amp;C1039</f>
        <v>30|A</v>
      </c>
      <c r="F1039" s="45" t="n">
        <f aca="false">INDEX('Emission Stepwise'!$H$2:$H$289,MATCH(E1039,'Emission Stepwise'!$C$2:$C$289,0))</f>
        <v>0.00492610837438424</v>
      </c>
      <c r="G1039" s="45" t="n">
        <f aca="false">INDEX(Background!$C$4:$C$7,MATCH(C1039,Background!$A$4:$A$7,0))</f>
        <v>0.185174766157958</v>
      </c>
      <c r="H1039" s="49" t="n">
        <f aca="false">LN(F1039/G1039)</f>
        <v>-3.62675076114172</v>
      </c>
    </row>
    <row r="1040" customFormat="false" ht="15" hidden="false" customHeight="true" outlineLevel="0" collapsed="false">
      <c r="A1040" s="38" t="s">
        <v>853</v>
      </c>
      <c r="B1040" s="38" t="n">
        <v>31</v>
      </c>
      <c r="C1040" s="38" t="s">
        <v>171</v>
      </c>
      <c r="D1040" s="38" t="s">
        <v>868</v>
      </c>
      <c r="E1040" s="38" t="str">
        <f aca="false">B1040&amp;"|"&amp;C1040</f>
        <v>31|U</v>
      </c>
      <c r="F1040" s="45" t="n">
        <f aca="false">INDEX('Emission Stepwise'!$H$2:$H$289,MATCH(E1040,'Emission Stepwise'!$C$2:$C$289,0))</f>
        <v>0.0985221674876847</v>
      </c>
      <c r="G1040" s="45" t="n">
        <f aca="false">INDEX(Background!$C$4:$C$7,MATCH(C1040,Background!$A$4:$A$7,0))</f>
        <v>0.212884169069555</v>
      </c>
      <c r="H1040" s="49" t="n">
        <f aca="false">LN(F1040/G1040)</f>
        <v>-0.770466637113141</v>
      </c>
    </row>
    <row r="1041" customFormat="false" ht="15" hidden="false" customHeight="true" outlineLevel="0" collapsed="false">
      <c r="A1041" s="38" t="s">
        <v>853</v>
      </c>
      <c r="B1041" s="38" t="n">
        <v>32</v>
      </c>
      <c r="C1041" s="38" t="s">
        <v>172</v>
      </c>
      <c r="D1041" s="38" t="s">
        <v>868</v>
      </c>
      <c r="E1041" s="38" t="str">
        <f aca="false">B1041&amp;"|"&amp;C1041</f>
        <v>32|A</v>
      </c>
      <c r="F1041" s="45" t="n">
        <f aca="false">INDEX('Emission Stepwise'!$H$2:$H$289,MATCH(E1041,'Emission Stepwise'!$C$2:$C$289,0))</f>
        <v>0.0344827586206897</v>
      </c>
      <c r="G1041" s="45" t="n">
        <f aca="false">INDEX(Background!$C$4:$C$7,MATCH(C1041,Background!$A$4:$A$7,0))</f>
        <v>0.185174766157958</v>
      </c>
      <c r="H1041" s="49" t="n">
        <f aca="false">LN(F1041/G1041)</f>
        <v>-1.68084061208641</v>
      </c>
    </row>
    <row r="1042" customFormat="false" ht="15" hidden="false" customHeight="true" outlineLevel="0" collapsed="false">
      <c r="A1042" s="38" t="s">
        <v>853</v>
      </c>
      <c r="B1042" s="38" t="n">
        <v>33</v>
      </c>
      <c r="C1042" s="38" t="s">
        <v>170</v>
      </c>
      <c r="D1042" s="38" t="s">
        <v>868</v>
      </c>
      <c r="E1042" s="38" t="str">
        <f aca="false">B1042&amp;"|"&amp;C1042</f>
        <v>33|C</v>
      </c>
      <c r="F1042" s="45" t="n">
        <f aca="false">INDEX('Emission Stepwise'!$H$2:$H$289,MATCH(E1042,'Emission Stepwise'!$C$2:$C$289,0))</f>
        <v>0.00985221674876847</v>
      </c>
      <c r="G1042" s="45" t="n">
        <f aca="false">INDEX(Background!$C$4:$C$7,MATCH(C1042,Background!$A$4:$A$7,0))</f>
        <v>0.276812715380828</v>
      </c>
      <c r="H1042" s="49" t="n">
        <f aca="false">LN(F1042/G1042)</f>
        <v>-3.33564467925761</v>
      </c>
    </row>
    <row r="1043" customFormat="false" ht="15" hidden="false" customHeight="true" outlineLevel="0" collapsed="false">
      <c r="A1043" s="38" t="s">
        <v>853</v>
      </c>
      <c r="B1043" s="38" t="n">
        <v>34</v>
      </c>
      <c r="C1043" s="38" t="s">
        <v>170</v>
      </c>
      <c r="D1043" s="38" t="s">
        <v>868</v>
      </c>
      <c r="E1043" s="38" t="str">
        <f aca="false">B1043&amp;"|"&amp;C1043</f>
        <v>34|C</v>
      </c>
      <c r="F1043" s="45" t="n">
        <f aca="false">INDEX('Emission Stepwise'!$H$2:$H$289,MATCH(E1043,'Emission Stepwise'!$C$2:$C$289,0))</f>
        <v>0.330049261083744</v>
      </c>
      <c r="G1043" s="45" t="n">
        <f aca="false">INDEX(Background!$C$4:$C$7,MATCH(C1043,Background!$A$4:$A$7,0))</f>
        <v>0.276812715380828</v>
      </c>
      <c r="H1043" s="49" t="n">
        <f aca="false">LN(F1043/G1043)</f>
        <v>0.175900759573409</v>
      </c>
    </row>
    <row r="1044" customFormat="false" ht="15" hidden="false" customHeight="true" outlineLevel="0" collapsed="false">
      <c r="A1044" s="38" t="s">
        <v>853</v>
      </c>
      <c r="B1044" s="38" t="n">
        <v>35</v>
      </c>
      <c r="C1044" s="38" t="s">
        <v>171</v>
      </c>
      <c r="D1044" s="38" t="s">
        <v>868</v>
      </c>
      <c r="E1044" s="38" t="str">
        <f aca="false">B1044&amp;"|"&amp;C1044</f>
        <v>35|U</v>
      </c>
      <c r="F1044" s="45" t="n">
        <f aca="false">INDEX('Emission Stepwise'!$H$2:$H$289,MATCH(E1044,'Emission Stepwise'!$C$2:$C$289,0))</f>
        <v>0.206896551724138</v>
      </c>
      <c r="G1044" s="45" t="n">
        <f aca="false">INDEX(Background!$C$4:$C$7,MATCH(C1044,Background!$A$4:$A$7,0))</f>
        <v>0.212884169069555</v>
      </c>
      <c r="H1044" s="49" t="n">
        <f aca="false">LN(F1044/G1044)</f>
        <v>-0.0285292923837632</v>
      </c>
    </row>
    <row r="1045" customFormat="false" ht="15" hidden="false" customHeight="true" outlineLevel="0" collapsed="false">
      <c r="A1045" s="38" t="s">
        <v>853</v>
      </c>
      <c r="B1045" s="38" t="n">
        <v>36</v>
      </c>
      <c r="C1045" s="38" t="s">
        <v>172</v>
      </c>
      <c r="D1045" s="38" t="s">
        <v>868</v>
      </c>
      <c r="E1045" s="38" t="str">
        <f aca="false">B1045&amp;"|"&amp;C1045</f>
        <v>36|A</v>
      </c>
      <c r="F1045" s="45" t="n">
        <f aca="false">INDEX('Emission Stepwise'!$H$2:$H$289,MATCH(E1045,'Emission Stepwise'!$C$2:$C$289,0))</f>
        <v>0.216748768472906</v>
      </c>
      <c r="G1045" s="45" t="n">
        <f aca="false">INDEX(Background!$C$4:$C$7,MATCH(C1045,Background!$A$4:$A$7,0))</f>
        <v>0.185174766157958</v>
      </c>
      <c r="H1045" s="49" t="n">
        <f aca="false">LN(F1045/G1045)</f>
        <v>0.157438872776539</v>
      </c>
    </row>
    <row r="1046" customFormat="false" ht="15" hidden="false" customHeight="true" outlineLevel="0" collapsed="false">
      <c r="A1046" s="38" t="s">
        <v>853</v>
      </c>
      <c r="B1046" s="38" t="n">
        <v>37</v>
      </c>
      <c r="C1046" s="38" t="s">
        <v>169</v>
      </c>
      <c r="D1046" s="38" t="s">
        <v>868</v>
      </c>
      <c r="E1046" s="38" t="str">
        <f aca="false">B1046&amp;"|"&amp;C1046</f>
        <v>37|G</v>
      </c>
      <c r="F1046" s="45" t="n">
        <f aca="false">INDEX('Emission Stepwise'!$H$2:$H$289,MATCH(E1046,'Emission Stepwise'!$C$2:$C$289,0))</f>
        <v>0.241379310344828</v>
      </c>
      <c r="G1046" s="45" t="n">
        <f aca="false">INDEX(Background!$C$4:$C$7,MATCH(C1046,Background!$A$4:$A$7,0))</f>
        <v>0.325128349391659</v>
      </c>
      <c r="H1046" s="49" t="n">
        <f aca="false">LN(F1046/G1046)</f>
        <v>-0.297850427523012</v>
      </c>
    </row>
    <row r="1047" customFormat="false" ht="15" hidden="false" customHeight="true" outlineLevel="0" collapsed="false">
      <c r="A1047" s="38" t="s">
        <v>853</v>
      </c>
      <c r="B1047" s="38" t="n">
        <v>38</v>
      </c>
      <c r="C1047" s="38" t="s">
        <v>171</v>
      </c>
      <c r="D1047" s="38" t="s">
        <v>868</v>
      </c>
      <c r="E1047" s="38" t="str">
        <f aca="false">B1047&amp;"|"&amp;C1047</f>
        <v>38|U</v>
      </c>
      <c r="F1047" s="45" t="n">
        <f aca="false">INDEX('Emission Stepwise'!$H$2:$H$289,MATCH(E1047,'Emission Stepwise'!$C$2:$C$289,0))</f>
        <v>0.118226600985222</v>
      </c>
      <c r="G1047" s="45" t="n">
        <f aca="false">INDEX(Background!$C$4:$C$7,MATCH(C1047,Background!$A$4:$A$7,0))</f>
        <v>0.212884169069555</v>
      </c>
      <c r="H1047" s="49" t="n">
        <f aca="false">LN(F1047/G1047)</f>
        <v>-0.588145080319186</v>
      </c>
    </row>
    <row r="1048" customFormat="false" ht="15" hidden="false" customHeight="true" outlineLevel="0" collapsed="false">
      <c r="A1048" s="38" t="s">
        <v>853</v>
      </c>
      <c r="B1048" s="38" t="n">
        <v>39</v>
      </c>
      <c r="C1048" s="38" t="s">
        <v>169</v>
      </c>
      <c r="D1048" s="38" t="s">
        <v>868</v>
      </c>
      <c r="E1048" s="38" t="str">
        <f aca="false">B1048&amp;"|"&amp;C1048</f>
        <v>39|G</v>
      </c>
      <c r="F1048" s="45" t="n">
        <f aca="false">INDEX('Emission Stepwise'!$H$2:$H$289,MATCH(E1048,'Emission Stepwise'!$C$2:$C$289,0))</f>
        <v>0.359605911330049</v>
      </c>
      <c r="G1048" s="45" t="n">
        <f aca="false">INDEX(Background!$C$4:$C$7,MATCH(C1048,Background!$A$4:$A$7,0))</f>
        <v>0.325128349391659</v>
      </c>
      <c r="H1048" s="49" t="n">
        <f aca="false">LN(F1048/G1048)</f>
        <v>0.100788715514753</v>
      </c>
    </row>
    <row r="1049" customFormat="false" ht="15" hidden="false" customHeight="true" outlineLevel="0" collapsed="false">
      <c r="A1049" s="38" t="s">
        <v>853</v>
      </c>
      <c r="B1049" s="38" t="n">
        <v>40</v>
      </c>
      <c r="C1049" s="38" t="s">
        <v>171</v>
      </c>
      <c r="D1049" s="38" t="s">
        <v>868</v>
      </c>
      <c r="E1049" s="38" t="str">
        <f aca="false">B1049&amp;"|"&amp;C1049</f>
        <v>40|U</v>
      </c>
      <c r="F1049" s="45" t="n">
        <f aca="false">INDEX('Emission Stepwise'!$H$2:$H$289,MATCH(E1049,'Emission Stepwise'!$C$2:$C$289,0))</f>
        <v>0.0443349753694581</v>
      </c>
      <c r="G1049" s="45" t="n">
        <f aca="false">INDEX(Background!$C$4:$C$7,MATCH(C1049,Background!$A$4:$A$7,0))</f>
        <v>0.212884169069555</v>
      </c>
      <c r="H1049" s="49" t="n">
        <f aca="false">LN(F1049/G1049)</f>
        <v>-1.56897433333091</v>
      </c>
    </row>
    <row r="1050" customFormat="false" ht="15" hidden="false" customHeight="true" outlineLevel="0" collapsed="false">
      <c r="A1050" s="38" t="s">
        <v>853</v>
      </c>
      <c r="B1050" s="38" t="n">
        <v>41</v>
      </c>
      <c r="C1050" s="38" t="s">
        <v>172</v>
      </c>
      <c r="D1050" s="38" t="s">
        <v>868</v>
      </c>
      <c r="E1050" s="38" t="str">
        <f aca="false">B1050&amp;"|"&amp;C1050</f>
        <v>41|A</v>
      </c>
      <c r="F1050" s="45" t="n">
        <f aca="false">INDEX('Emission Stepwise'!$H$2:$H$289,MATCH(E1050,'Emission Stepwise'!$C$2:$C$289,0))</f>
        <v>0.270935960591133</v>
      </c>
      <c r="G1050" s="45" t="n">
        <f aca="false">INDEX(Background!$C$4:$C$7,MATCH(C1050,Background!$A$4:$A$7,0))</f>
        <v>0.185174766157958</v>
      </c>
      <c r="H1050" s="49" t="n">
        <f aca="false">LN(F1050/G1050)</f>
        <v>0.380582424090749</v>
      </c>
    </row>
    <row r="1051" customFormat="false" ht="15" hidden="false" customHeight="true" outlineLevel="0" collapsed="false">
      <c r="A1051" s="38" t="s">
        <v>853</v>
      </c>
      <c r="B1051" s="38" t="n">
        <v>42</v>
      </c>
      <c r="C1051" s="38" t="s">
        <v>171</v>
      </c>
      <c r="D1051" s="38" t="s">
        <v>868</v>
      </c>
      <c r="E1051" s="38" t="str">
        <f aca="false">B1051&amp;"|"&amp;C1051</f>
        <v>42|U</v>
      </c>
      <c r="F1051" s="45" t="n">
        <f aca="false">INDEX('Emission Stepwise'!$H$2:$H$289,MATCH(E1051,'Emission Stepwise'!$C$2:$C$289,0))</f>
        <v>0.133004926108374</v>
      </c>
      <c r="G1051" s="45" t="n">
        <f aca="false">INDEX(Background!$C$4:$C$7,MATCH(C1051,Background!$A$4:$A$7,0))</f>
        <v>0.212884169069555</v>
      </c>
      <c r="H1051" s="49" t="n">
        <f aca="false">LN(F1051/G1051)</f>
        <v>-0.470362044662802</v>
      </c>
    </row>
    <row r="1052" customFormat="false" ht="15" hidden="false" customHeight="true" outlineLevel="0" collapsed="false">
      <c r="A1052" s="38" t="s">
        <v>853</v>
      </c>
      <c r="B1052" s="38" t="n">
        <v>43</v>
      </c>
      <c r="C1052" s="38" t="s">
        <v>172</v>
      </c>
      <c r="D1052" s="38" t="s">
        <v>868</v>
      </c>
      <c r="E1052" s="38" t="str">
        <f aca="false">B1052&amp;"|"&amp;C1052</f>
        <v>43|A</v>
      </c>
      <c r="F1052" s="45" t="n">
        <f aca="false">INDEX('Emission Stepwise'!$H$2:$H$289,MATCH(E1052,'Emission Stepwise'!$C$2:$C$289,0))</f>
        <v>0.226600985221675</v>
      </c>
      <c r="G1052" s="45" t="n">
        <f aca="false">INDEX(Background!$C$4:$C$7,MATCH(C1052,Background!$A$4:$A$7,0))</f>
        <v>0.185174766157958</v>
      </c>
      <c r="H1052" s="49" t="n">
        <f aca="false">LN(F1052/G1052)</f>
        <v>0.201890635347373</v>
      </c>
    </row>
    <row r="1053" customFormat="false" ht="15" hidden="false" customHeight="true" outlineLevel="0" collapsed="false">
      <c r="A1053" s="38" t="s">
        <v>853</v>
      </c>
      <c r="B1053" s="38" t="n">
        <v>44</v>
      </c>
      <c r="C1053" s="38" t="s">
        <v>169</v>
      </c>
      <c r="D1053" s="38" t="s">
        <v>868</v>
      </c>
      <c r="E1053" s="38" t="str">
        <f aca="false">B1053&amp;"|"&amp;C1053</f>
        <v>44|G</v>
      </c>
      <c r="F1053" s="45" t="n">
        <f aca="false">INDEX('Emission Stepwise'!$H$2:$H$289,MATCH(E1053,'Emission Stepwise'!$C$2:$C$289,0))</f>
        <v>0.231527093596059</v>
      </c>
      <c r="G1053" s="45" t="n">
        <f aca="false">INDEX(Background!$C$4:$C$7,MATCH(C1053,Background!$A$4:$A$7,0))</f>
        <v>0.325128349391659</v>
      </c>
      <c r="H1053" s="49" t="n">
        <f aca="false">LN(F1053/G1053)</f>
        <v>-0.33952312392358</v>
      </c>
    </row>
    <row r="1054" customFormat="false" ht="15" hidden="false" customHeight="true" outlineLevel="0" collapsed="false">
      <c r="A1054" s="38" t="s">
        <v>853</v>
      </c>
      <c r="B1054" s="38" t="n">
        <v>45</v>
      </c>
      <c r="C1054" s="38" t="s">
        <v>172</v>
      </c>
      <c r="D1054" s="38" t="s">
        <v>869</v>
      </c>
      <c r="E1054" s="38" t="str">
        <f aca="false">B1054&amp;"|"&amp;C1054</f>
        <v>45|A</v>
      </c>
      <c r="F1054" s="45" t="n">
        <f aca="false">INDEX('Emission Stepwise'!$H$2:$H$289,MATCH(E1054,'Emission Stepwise'!$C$2:$C$289,0))</f>
        <v>0.0796019900497512</v>
      </c>
      <c r="G1054" s="45" t="n">
        <f aca="false">INDEX(Background!$C$4:$C$7,MATCH(C1054,Background!$A$4:$A$7,0))</f>
        <v>0.185174766157958</v>
      </c>
      <c r="H1054" s="49" t="n">
        <f aca="false">LN(F1054/G1054)</f>
        <v>-0.84426096791923</v>
      </c>
    </row>
    <row r="1055" customFormat="false" ht="15" hidden="false" customHeight="true" outlineLevel="0" collapsed="false">
      <c r="A1055" s="38" t="s">
        <v>853</v>
      </c>
      <c r="B1055" s="38" t="n">
        <v>46</v>
      </c>
      <c r="C1055" s="38" t="s">
        <v>172</v>
      </c>
      <c r="D1055" s="38" t="s">
        <v>869</v>
      </c>
      <c r="E1055" s="38" t="str">
        <f aca="false">B1055&amp;"|"&amp;C1055</f>
        <v>46|A</v>
      </c>
      <c r="F1055" s="45" t="n">
        <f aca="false">INDEX('Emission Stepwise'!$H$2:$H$289,MATCH(E1055,'Emission Stepwise'!$C$2:$C$289,0))</f>
        <v>0.0988372093023256</v>
      </c>
      <c r="G1055" s="45" t="n">
        <f aca="false">INDEX(Background!$C$4:$C$7,MATCH(C1055,Background!$A$4:$A$7,0))</f>
        <v>0.185174766157958</v>
      </c>
      <c r="H1055" s="49" t="n">
        <f aca="false">LN(F1055/G1055)</f>
        <v>-0.627825914857172</v>
      </c>
    </row>
    <row r="1056" customFormat="false" ht="15" hidden="false" customHeight="true" outlineLevel="0" collapsed="false">
      <c r="A1056" s="38" t="s">
        <v>853</v>
      </c>
      <c r="B1056" s="38" t="n">
        <v>47</v>
      </c>
      <c r="C1056" s="38" t="s">
        <v>169</v>
      </c>
      <c r="D1056" s="38" t="s">
        <v>869</v>
      </c>
      <c r="E1056" s="38" t="str">
        <f aca="false">B1056&amp;"|"&amp;C1056</f>
        <v>47|G</v>
      </c>
      <c r="F1056" s="45" t="n">
        <f aca="false">INDEX('Emission Stepwise'!$H$2:$H$289,MATCH(E1056,'Emission Stepwise'!$C$2:$C$289,0))</f>
        <v>0.083743842364532</v>
      </c>
      <c r="G1056" s="45" t="n">
        <f aca="false">INDEX(Background!$C$4:$C$7,MATCH(C1056,Background!$A$4:$A$7,0))</f>
        <v>0.325128349391659</v>
      </c>
      <c r="H1056" s="49" t="n">
        <f aca="false">LN(F1056/G1056)</f>
        <v>-1.35645738157742</v>
      </c>
    </row>
    <row r="1057" customFormat="false" ht="15" hidden="false" customHeight="true" outlineLevel="0" collapsed="false">
      <c r="A1057" s="38" t="s">
        <v>853</v>
      </c>
      <c r="B1057" s="38" t="n">
        <v>48</v>
      </c>
      <c r="C1057" s="38" t="s">
        <v>172</v>
      </c>
      <c r="D1057" s="38" t="s">
        <v>869</v>
      </c>
      <c r="E1057" s="38" t="str">
        <f aca="false">B1057&amp;"|"&amp;C1057</f>
        <v>48|A</v>
      </c>
      <c r="F1057" s="45" t="n">
        <f aca="false">INDEX('Emission Stepwise'!$H$2:$H$289,MATCH(E1057,'Emission Stepwise'!$C$2:$C$289,0))</f>
        <v>0.00985221674876847</v>
      </c>
      <c r="G1057" s="45" t="n">
        <f aca="false">INDEX(Background!$C$4:$C$7,MATCH(C1057,Background!$A$4:$A$7,0))</f>
        <v>0.185174766157958</v>
      </c>
      <c r="H1057" s="49" t="n">
        <f aca="false">LN(F1057/G1057)</f>
        <v>-2.93360358058178</v>
      </c>
    </row>
    <row r="1058" customFormat="false" ht="15" hidden="false" customHeight="true" outlineLevel="0" collapsed="false">
      <c r="A1058" s="38" t="s">
        <v>853</v>
      </c>
      <c r="B1058" s="38" t="n">
        <v>49</v>
      </c>
      <c r="C1058" s="38" t="s">
        <v>172</v>
      </c>
      <c r="D1058" s="38" t="s">
        <v>870</v>
      </c>
      <c r="E1058" s="38" t="str">
        <f aca="false">B1058&amp;"|"&amp;C1058</f>
        <v>49|A</v>
      </c>
      <c r="F1058" s="45" t="n">
        <f aca="false">INDEX('Emission Stepwise'!$H$2:$H$289,MATCH(E1058,'Emission Stepwise'!$C$2:$C$289,0))</f>
        <v>0.157635467980296</v>
      </c>
      <c r="G1058" s="45" t="n">
        <f aca="false">INDEX(Background!$C$4:$C$7,MATCH(C1058,Background!$A$4:$A$7,0))</f>
        <v>0.185174766157958</v>
      </c>
      <c r="H1058" s="49" t="n">
        <f aca="false">LN(F1058/G1058)</f>
        <v>-0.161014858341996</v>
      </c>
    </row>
    <row r="1059" customFormat="false" ht="15" hidden="false" customHeight="true" outlineLevel="0" collapsed="false">
      <c r="A1059" s="38" t="s">
        <v>853</v>
      </c>
      <c r="B1059" s="38" t="n">
        <v>50</v>
      </c>
      <c r="C1059" s="38" t="s">
        <v>169</v>
      </c>
      <c r="D1059" s="38" t="s">
        <v>870</v>
      </c>
      <c r="E1059" s="38" t="str">
        <f aca="false">B1059&amp;"|"&amp;C1059</f>
        <v>50|G</v>
      </c>
      <c r="F1059" s="45" t="n">
        <f aca="false">INDEX('Emission Stepwise'!$H$2:$H$289,MATCH(E1059,'Emission Stepwise'!$C$2:$C$289,0))</f>
        <v>0.270935960591133</v>
      </c>
      <c r="G1059" s="45" t="n">
        <f aca="false">INDEX(Background!$C$4:$C$7,MATCH(C1059,Background!$A$4:$A$7,0))</f>
        <v>0.325128349391659</v>
      </c>
      <c r="H1059" s="49" t="n">
        <f aca="false">LN(F1059/G1059)</f>
        <v>-0.182337540401167</v>
      </c>
    </row>
    <row r="1060" customFormat="false" ht="15" hidden="false" customHeight="true" outlineLevel="0" collapsed="false">
      <c r="A1060" s="38" t="s">
        <v>853</v>
      </c>
      <c r="B1060" s="38" t="n">
        <v>51</v>
      </c>
      <c r="C1060" s="38" t="s">
        <v>172</v>
      </c>
      <c r="D1060" s="38" t="s">
        <v>870</v>
      </c>
      <c r="E1060" s="38" t="str">
        <f aca="false">B1060&amp;"|"&amp;C1060</f>
        <v>51|A</v>
      </c>
      <c r="F1060" s="45" t="n">
        <f aca="false">INDEX('Emission Stepwise'!$H$2:$H$289,MATCH(E1060,'Emission Stepwise'!$C$2:$C$289,0))</f>
        <v>0.143564356435644</v>
      </c>
      <c r="G1060" s="45" t="n">
        <f aca="false">INDEX(Background!$C$4:$C$7,MATCH(C1060,Background!$A$4:$A$7,0))</f>
        <v>0.185174766157958</v>
      </c>
      <c r="H1060" s="49" t="n">
        <f aca="false">LN(F1060/G1060)</f>
        <v>-0.254516649514666</v>
      </c>
    </row>
    <row r="1061" customFormat="false" ht="15" hidden="false" customHeight="true" outlineLevel="0" collapsed="false">
      <c r="A1061" s="38" t="s">
        <v>853</v>
      </c>
      <c r="B1061" s="38" t="n">
        <v>52</v>
      </c>
      <c r="C1061" s="38" t="s">
        <v>172</v>
      </c>
      <c r="D1061" s="38" t="s">
        <v>870</v>
      </c>
      <c r="E1061" s="38" t="str">
        <f aca="false">B1061&amp;"|"&amp;C1061</f>
        <v>52|A</v>
      </c>
      <c r="F1061" s="45" t="n">
        <f aca="false">INDEX('Emission Stepwise'!$H$2:$H$289,MATCH(E1061,'Emission Stepwise'!$C$2:$C$289,0))</f>
        <v>0.133004926108374</v>
      </c>
      <c r="G1061" s="45" t="n">
        <f aca="false">INDEX(Background!$C$4:$C$7,MATCH(C1061,Background!$A$4:$A$7,0))</f>
        <v>0.185174766157958</v>
      </c>
      <c r="H1061" s="49" t="n">
        <f aca="false">LN(F1061/G1061)</f>
        <v>-0.330913895137393</v>
      </c>
    </row>
    <row r="1062" customFormat="false" ht="15" hidden="false" customHeight="true" outlineLevel="0" collapsed="false">
      <c r="A1062" s="38" t="s">
        <v>853</v>
      </c>
      <c r="B1062" s="38" t="n">
        <v>53</v>
      </c>
      <c r="C1062" s="38" t="s">
        <v>169</v>
      </c>
      <c r="D1062" s="38" t="s">
        <v>870</v>
      </c>
      <c r="E1062" s="38" t="str">
        <f aca="false">B1062&amp;"|"&amp;C1062</f>
        <v>53|G</v>
      </c>
      <c r="F1062" s="45" t="n">
        <f aca="false">INDEX('Emission Stepwise'!$H$2:$H$289,MATCH(E1062,'Emission Stepwise'!$C$2:$C$289,0))</f>
        <v>0.96551724137931</v>
      </c>
      <c r="G1062" s="45" t="n">
        <f aca="false">INDEX(Background!$C$4:$C$7,MATCH(C1062,Background!$A$4:$A$7,0))</f>
        <v>0.325128349391659</v>
      </c>
      <c r="H1062" s="49" t="n">
        <f aca="false">LN(F1062/G1062)</f>
        <v>1.08844393359688</v>
      </c>
    </row>
    <row r="1063" customFormat="false" ht="15" hidden="false" customHeight="true" outlineLevel="0" collapsed="false">
      <c r="A1063" s="38" t="s">
        <v>853</v>
      </c>
      <c r="B1063" s="38" t="n">
        <v>54</v>
      </c>
      <c r="C1063" s="38" t="s">
        <v>171</v>
      </c>
      <c r="D1063" s="38" t="s">
        <v>870</v>
      </c>
      <c r="E1063" s="38" t="str">
        <f aca="false">B1063&amp;"|"&amp;C1063</f>
        <v>54|U</v>
      </c>
      <c r="F1063" s="45" t="n">
        <f aca="false">INDEX('Emission Stepwise'!$H$2:$H$289,MATCH(E1063,'Emission Stepwise'!$C$2:$C$289,0))</f>
        <v>0.975369458128079</v>
      </c>
      <c r="G1063" s="45" t="n">
        <f aca="false">INDEX(Background!$C$4:$C$7,MATCH(C1063,Background!$A$4:$A$7,0))</f>
        <v>0.212884169069555</v>
      </c>
      <c r="H1063" s="49" t="n">
        <f aca="false">LN(F1063/G1063)</f>
        <v>1.5220681200274</v>
      </c>
    </row>
    <row r="1064" customFormat="false" ht="15" hidden="false" customHeight="true" outlineLevel="0" collapsed="false">
      <c r="A1064" s="38" t="s">
        <v>853</v>
      </c>
      <c r="B1064" s="38" t="n">
        <v>55</v>
      </c>
      <c r="C1064" s="38" t="s">
        <v>170</v>
      </c>
      <c r="D1064" s="38" t="s">
        <v>870</v>
      </c>
      <c r="E1064" s="38" t="str">
        <f aca="false">B1064&amp;"|"&amp;C1064</f>
        <v>55|C</v>
      </c>
      <c r="F1064" s="45" t="n">
        <f aca="false">INDEX('Emission Stepwise'!$H$2:$H$289,MATCH(E1064,'Emission Stepwise'!$C$2:$C$289,0))</f>
        <v>0.00985221674876847</v>
      </c>
      <c r="G1064" s="45" t="n">
        <f aca="false">INDEX(Background!$C$4:$C$7,MATCH(C1064,Background!$A$4:$A$7,0))</f>
        <v>0.276812715380828</v>
      </c>
      <c r="H1064" s="49" t="n">
        <f aca="false">LN(F1064/G1064)</f>
        <v>-3.33564467925761</v>
      </c>
    </row>
    <row r="1065" customFormat="false" ht="15" hidden="false" customHeight="true" outlineLevel="0" collapsed="false">
      <c r="A1065" s="38" t="s">
        <v>853</v>
      </c>
      <c r="B1065" s="38" t="n">
        <v>56</v>
      </c>
      <c r="C1065" s="38" t="s">
        <v>170</v>
      </c>
      <c r="D1065" s="38" t="s">
        <v>870</v>
      </c>
      <c r="E1065" s="38" t="str">
        <f aca="false">B1065&amp;"|"&amp;C1065</f>
        <v>56|C</v>
      </c>
      <c r="F1065" s="45" t="n">
        <f aca="false">INDEX('Emission Stepwise'!$H$2:$H$289,MATCH(E1065,'Emission Stepwise'!$C$2:$C$289,0))</f>
        <v>0.96551724137931</v>
      </c>
      <c r="G1065" s="45" t="n">
        <f aca="false">INDEX(Background!$C$4:$C$7,MATCH(C1065,Background!$A$4:$A$7,0))</f>
        <v>0.276812715380828</v>
      </c>
      <c r="H1065" s="49" t="n">
        <f aca="false">LN(F1065/G1065)</f>
        <v>1.24932279941296</v>
      </c>
    </row>
    <row r="1066" customFormat="false" ht="15" hidden="false" customHeight="true" outlineLevel="0" collapsed="false">
      <c r="A1066" s="38" t="s">
        <v>853</v>
      </c>
      <c r="B1066" s="38" t="n">
        <v>57</v>
      </c>
      <c r="C1066" s="38" t="s">
        <v>171</v>
      </c>
      <c r="D1066" s="38" t="s">
        <v>870</v>
      </c>
      <c r="E1066" s="38" t="str">
        <f aca="false">B1066&amp;"|"&amp;C1066</f>
        <v>57|U</v>
      </c>
      <c r="F1066" s="45" t="n">
        <f aca="false">INDEX('Emission Stepwise'!$H$2:$H$289,MATCH(E1066,'Emission Stepwise'!$C$2:$C$289,0))</f>
        <v>0.0099009900990099</v>
      </c>
      <c r="G1066" s="45" t="n">
        <f aca="false">INDEX(Background!$C$4:$C$7,MATCH(C1066,Background!$A$4:$A$7,0))</f>
        <v>0.212884169069555</v>
      </c>
      <c r="H1066" s="49" t="n">
        <f aca="false">LN(F1066/G1066)</f>
        <v>-3.0681134484666</v>
      </c>
    </row>
    <row r="1067" customFormat="false" ht="15" hidden="false" customHeight="true" outlineLevel="0" collapsed="false">
      <c r="A1067" s="38" t="s">
        <v>853</v>
      </c>
      <c r="B1067" s="38" t="n">
        <v>58</v>
      </c>
      <c r="C1067" s="38" t="s">
        <v>172</v>
      </c>
      <c r="D1067" s="38" t="s">
        <v>870</v>
      </c>
      <c r="E1067" s="38" t="str">
        <f aca="false">B1067&amp;"|"&amp;C1067</f>
        <v>58|A</v>
      </c>
      <c r="F1067" s="45" t="n">
        <f aca="false">INDEX('Emission Stepwise'!$H$2:$H$289,MATCH(E1067,'Emission Stepwise'!$C$2:$C$289,0))</f>
        <v>0.975369458128079</v>
      </c>
      <c r="G1067" s="45" t="n">
        <f aca="false">INDEX(Background!$C$4:$C$7,MATCH(C1067,Background!$A$4:$A$7,0))</f>
        <v>0.185174766157958</v>
      </c>
      <c r="H1067" s="49" t="n">
        <f aca="false">LN(F1067/G1067)</f>
        <v>1.66151626955281</v>
      </c>
    </row>
    <row r="1068" customFormat="false" ht="15" hidden="false" customHeight="true" outlineLevel="0" collapsed="false">
      <c r="A1068" s="38" t="s">
        <v>853</v>
      </c>
      <c r="B1068" s="38" t="n">
        <v>59</v>
      </c>
      <c r="C1068" s="38" t="s">
        <v>169</v>
      </c>
      <c r="D1068" s="38" t="s">
        <v>870</v>
      </c>
      <c r="E1068" s="38" t="str">
        <f aca="false">B1068&amp;"|"&amp;C1068</f>
        <v>59|G</v>
      </c>
      <c r="F1068" s="45" t="n">
        <f aca="false">INDEX('Emission Stepwise'!$H$2:$H$289,MATCH(E1068,'Emission Stepwise'!$C$2:$C$289,0))</f>
        <v>0.231527093596059</v>
      </c>
      <c r="G1068" s="45" t="n">
        <f aca="false">INDEX(Background!$C$4:$C$7,MATCH(C1068,Background!$A$4:$A$7,0))</f>
        <v>0.325128349391659</v>
      </c>
      <c r="H1068" s="49" t="n">
        <f aca="false">LN(F1068/G1068)</f>
        <v>-0.33952312392358</v>
      </c>
    </row>
    <row r="1069" customFormat="false" ht="15" hidden="false" customHeight="true" outlineLevel="0" collapsed="false">
      <c r="A1069" s="38" t="s">
        <v>853</v>
      </c>
      <c r="B1069" s="38" t="n">
        <v>60</v>
      </c>
      <c r="C1069" s="38" t="s">
        <v>171</v>
      </c>
      <c r="D1069" s="38" t="s">
        <v>870</v>
      </c>
      <c r="E1069" s="38" t="str">
        <f aca="false">B1069&amp;"|"&amp;C1069</f>
        <v>60|U</v>
      </c>
      <c r="F1069" s="45" t="n">
        <f aca="false">INDEX('Emission Stepwise'!$H$2:$H$289,MATCH(E1069,'Emission Stepwise'!$C$2:$C$289,0))</f>
        <v>0.773399014778325</v>
      </c>
      <c r="G1069" s="45" t="n">
        <f aca="false">INDEX(Background!$C$4:$C$7,MATCH(C1069,Background!$A$4:$A$7,0))</f>
        <v>0.212884169069555</v>
      </c>
      <c r="H1069" s="49" t="n">
        <f aca="false">LN(F1069/G1069)</f>
        <v>1.29004689468118</v>
      </c>
    </row>
    <row r="1070" customFormat="false" ht="15" hidden="false" customHeight="true" outlineLevel="0" collapsed="false">
      <c r="A1070" s="38" t="s">
        <v>853</v>
      </c>
      <c r="B1070" s="38" t="n">
        <v>61</v>
      </c>
      <c r="C1070" s="38" t="s">
        <v>170</v>
      </c>
      <c r="D1070" s="38" t="s">
        <v>870</v>
      </c>
      <c r="E1070" s="38" t="str">
        <f aca="false">B1070&amp;"|"&amp;C1070</f>
        <v>61|C</v>
      </c>
      <c r="F1070" s="45" t="n">
        <f aca="false">INDEX('Emission Stepwise'!$H$2:$H$289,MATCH(E1070,'Emission Stepwise'!$C$2:$C$289,0))</f>
        <v>0.975369458128079</v>
      </c>
      <c r="G1070" s="45" t="n">
        <f aca="false">INDEX(Background!$C$4:$C$7,MATCH(C1070,Background!$A$4:$A$7,0))</f>
        <v>0.276812715380828</v>
      </c>
      <c r="H1070" s="49" t="n">
        <f aca="false">LN(F1070/G1070)</f>
        <v>1.25947517087698</v>
      </c>
    </row>
    <row r="1071" customFormat="false" ht="15" hidden="false" customHeight="true" outlineLevel="0" collapsed="false">
      <c r="A1071" s="38" t="s">
        <v>853</v>
      </c>
      <c r="B1071" s="38" t="n">
        <v>62</v>
      </c>
      <c r="C1071" s="38" t="s">
        <v>171</v>
      </c>
      <c r="D1071" s="38" t="s">
        <v>870</v>
      </c>
      <c r="E1071" s="38" t="str">
        <f aca="false">B1071&amp;"|"&amp;C1071</f>
        <v>62|U</v>
      </c>
      <c r="F1071" s="45" t="n">
        <f aca="false">INDEX('Emission Stepwise'!$H$2:$H$289,MATCH(E1071,'Emission Stepwise'!$C$2:$C$289,0))</f>
        <v>0.133004926108374</v>
      </c>
      <c r="G1071" s="45" t="n">
        <f aca="false">INDEX(Background!$C$4:$C$7,MATCH(C1071,Background!$A$4:$A$7,0))</f>
        <v>0.212884169069555</v>
      </c>
      <c r="H1071" s="49" t="n">
        <f aca="false">LN(F1071/G1071)</f>
        <v>-0.470362044662802</v>
      </c>
    </row>
    <row r="1072" customFormat="false" ht="15" hidden="false" customHeight="true" outlineLevel="0" collapsed="false">
      <c r="A1072" s="38" t="s">
        <v>853</v>
      </c>
      <c r="B1072" s="38" t="n">
        <v>63</v>
      </c>
      <c r="C1072" s="38" t="s">
        <v>171</v>
      </c>
      <c r="D1072" s="38" t="s">
        <v>870</v>
      </c>
      <c r="E1072" s="38" t="str">
        <f aca="false">B1072&amp;"|"&amp;C1072</f>
        <v>63|U</v>
      </c>
      <c r="F1072" s="45" t="n">
        <f aca="false">INDEX('Emission Stepwise'!$H$2:$H$289,MATCH(E1072,'Emission Stepwise'!$C$2:$C$289,0))</f>
        <v>0.16256157635468</v>
      </c>
      <c r="G1072" s="45" t="n">
        <f aca="false">INDEX(Background!$C$4:$C$7,MATCH(C1072,Background!$A$4:$A$7,0))</f>
        <v>0.212884169069555</v>
      </c>
      <c r="H1072" s="49" t="n">
        <f aca="false">LN(F1072/G1072)</f>
        <v>-0.269691349200651</v>
      </c>
    </row>
    <row r="1073" customFormat="false" ht="15" hidden="false" customHeight="true" outlineLevel="0" collapsed="false">
      <c r="A1073" s="38" t="s">
        <v>853</v>
      </c>
      <c r="B1073" s="38" t="n">
        <v>64</v>
      </c>
      <c r="C1073" s="38" t="s">
        <v>171</v>
      </c>
      <c r="D1073" s="38" t="s">
        <v>870</v>
      </c>
      <c r="E1073" s="38" t="str">
        <f aca="false">B1073&amp;"|"&amp;C1073</f>
        <v>64|U</v>
      </c>
      <c r="F1073" s="45" t="n">
        <f aca="false">INDEX('Emission Stepwise'!$H$2:$H$289,MATCH(E1073,'Emission Stepwise'!$C$2:$C$289,0))</f>
        <v>0.167487684729064</v>
      </c>
      <c r="G1073" s="45" t="n">
        <f aca="false">INDEX(Background!$C$4:$C$7,MATCH(C1073,Background!$A$4:$A$7,0))</f>
        <v>0.212884169069555</v>
      </c>
      <c r="H1073" s="49" t="n">
        <f aca="false">LN(F1073/G1073)</f>
        <v>-0.23983838605097</v>
      </c>
    </row>
    <row r="1074" customFormat="false" ht="15" hidden="false" customHeight="true" outlineLevel="0" collapsed="false">
      <c r="A1074" s="38" t="s">
        <v>853</v>
      </c>
      <c r="B1074" s="38" t="n">
        <v>65</v>
      </c>
      <c r="C1074" s="38" t="s">
        <v>171</v>
      </c>
      <c r="D1074" s="38" t="s">
        <v>870</v>
      </c>
      <c r="E1074" s="38" t="str">
        <f aca="false">B1074&amp;"|"&amp;C1074</f>
        <v>65|U</v>
      </c>
      <c r="F1074" s="45" t="n">
        <f aca="false">INDEX('Emission Stepwise'!$H$2:$H$289,MATCH(E1074,'Emission Stepwise'!$C$2:$C$289,0))</f>
        <v>0.346534653465347</v>
      </c>
      <c r="G1074" s="45" t="n">
        <f aca="false">INDEX(Background!$C$4:$C$7,MATCH(C1074,Background!$A$4:$A$7,0))</f>
        <v>0.212884169069555</v>
      </c>
      <c r="H1074" s="49" t="n">
        <f aca="false">LN(F1074/G1074)</f>
        <v>0.48723461302281</v>
      </c>
    </row>
    <row r="1075" customFormat="false" ht="15" hidden="false" customHeight="true" outlineLevel="0" collapsed="false">
      <c r="A1075" s="38" t="s">
        <v>853</v>
      </c>
      <c r="B1075" s="38" t="n">
        <v>66</v>
      </c>
      <c r="C1075" s="38" t="s">
        <v>171</v>
      </c>
      <c r="D1075" s="38" t="s">
        <v>871</v>
      </c>
      <c r="E1075" s="38" t="str">
        <f aca="false">B1075&amp;"|"&amp;C1075</f>
        <v>66|U</v>
      </c>
      <c r="F1075" s="45" t="n">
        <f aca="false">INDEX('Emission Stepwise'!$H$2:$H$289,MATCH(E1075,'Emission Stepwise'!$C$2:$C$289,0))</f>
        <v>0.246305418719212</v>
      </c>
      <c r="G1075" s="45" t="n">
        <f aca="false">INDEX(Background!$C$4:$C$7,MATCH(C1075,Background!$A$4:$A$7,0))</f>
        <v>0.212884169069555</v>
      </c>
      <c r="H1075" s="49" t="n">
        <f aca="false">LN(F1075/G1075)</f>
        <v>0.145824094761015</v>
      </c>
    </row>
    <row r="1076" customFormat="false" ht="15" hidden="false" customHeight="true" outlineLevel="0" collapsed="false">
      <c r="A1076" s="38" t="s">
        <v>853</v>
      </c>
      <c r="B1076" s="38" t="n">
        <v>67</v>
      </c>
      <c r="C1076" s="38" t="s">
        <v>170</v>
      </c>
      <c r="D1076" s="38" t="s">
        <v>871</v>
      </c>
      <c r="E1076" s="38" t="str">
        <f aca="false">B1076&amp;"|"&amp;C1076</f>
        <v>67|C</v>
      </c>
      <c r="F1076" s="45" t="n">
        <f aca="false">INDEX('Emission Stepwise'!$H$2:$H$289,MATCH(E1076,'Emission Stepwise'!$C$2:$C$289,0))</f>
        <v>0.226600985221675</v>
      </c>
      <c r="G1076" s="45" t="n">
        <f aca="false">INDEX(Background!$C$4:$C$7,MATCH(C1076,Background!$A$4:$A$7,0))</f>
        <v>0.276812715380828</v>
      </c>
      <c r="H1076" s="49" t="n">
        <f aca="false">LN(F1076/G1076)</f>
        <v>-0.200150463328462</v>
      </c>
    </row>
    <row r="1077" customFormat="false" ht="15" hidden="false" customHeight="true" outlineLevel="0" collapsed="false">
      <c r="A1077" s="38" t="s">
        <v>853</v>
      </c>
      <c r="B1077" s="38" t="n">
        <v>68</v>
      </c>
      <c r="C1077" s="38" t="s">
        <v>172</v>
      </c>
      <c r="D1077" s="38" t="s">
        <v>871</v>
      </c>
      <c r="E1077" s="38" t="str">
        <f aca="false">B1077&amp;"|"&amp;C1077</f>
        <v>68|A</v>
      </c>
      <c r="F1077" s="45" t="n">
        <f aca="false">INDEX('Emission Stepwise'!$H$2:$H$289,MATCH(E1077,'Emission Stepwise'!$C$2:$C$289,0))</f>
        <v>0.0788177339901478</v>
      </c>
      <c r="G1077" s="45" t="n">
        <f aca="false">INDEX(Background!$C$4:$C$7,MATCH(C1077,Background!$A$4:$A$7,0))</f>
        <v>0.185174766157958</v>
      </c>
      <c r="H1077" s="49" t="n">
        <f aca="false">LN(F1077/G1077)</f>
        <v>-0.854162038901941</v>
      </c>
    </row>
    <row r="1078" customFormat="false" ht="15" hidden="false" customHeight="true" outlineLevel="0" collapsed="false">
      <c r="A1078" s="38" t="s">
        <v>853</v>
      </c>
      <c r="B1078" s="38" t="n">
        <v>69</v>
      </c>
      <c r="C1078" s="38" t="s">
        <v>171</v>
      </c>
      <c r="D1078" s="38" t="s">
        <v>871</v>
      </c>
      <c r="E1078" s="38" t="str">
        <f aca="false">B1078&amp;"|"&amp;C1078</f>
        <v>69|U</v>
      </c>
      <c r="F1078" s="45" t="n">
        <f aca="false">INDEX('Emission Stepwise'!$H$2:$H$289,MATCH(E1078,'Emission Stepwise'!$C$2:$C$289,0))</f>
        <v>0.083743842364532</v>
      </c>
      <c r="G1078" s="45" t="n">
        <f aca="false">INDEX(Background!$C$4:$C$7,MATCH(C1078,Background!$A$4:$A$7,0))</f>
        <v>0.212884169069555</v>
      </c>
      <c r="H1078" s="49" t="n">
        <f aca="false">LN(F1078/G1078)</f>
        <v>-0.932985566610916</v>
      </c>
    </row>
    <row r="1079" customFormat="false" ht="15" hidden="false" customHeight="true" outlineLevel="0" collapsed="false">
      <c r="A1079" s="38" t="s">
        <v>853</v>
      </c>
      <c r="B1079" s="38" t="n">
        <v>70</v>
      </c>
      <c r="C1079" s="38" t="s">
        <v>171</v>
      </c>
      <c r="D1079" s="38" t="s">
        <v>871</v>
      </c>
      <c r="E1079" s="38" t="str">
        <f aca="false">B1079&amp;"|"&amp;C1079</f>
        <v>70|U</v>
      </c>
      <c r="F1079" s="45" t="n">
        <f aca="false">INDEX('Emission Stepwise'!$H$2:$H$289,MATCH(E1079,'Emission Stepwise'!$C$2:$C$289,0))</f>
        <v>0.152709359605911</v>
      </c>
      <c r="G1079" s="45" t="n">
        <f aca="false">INDEX(Background!$C$4:$C$7,MATCH(C1079,Background!$A$4:$A$7,0))</f>
        <v>0.212884169069555</v>
      </c>
      <c r="H1079" s="49" t="n">
        <f aca="false">LN(F1079/G1079)</f>
        <v>-0.332211706181985</v>
      </c>
    </row>
    <row r="1080" customFormat="false" ht="15" hidden="false" customHeight="true" outlineLevel="0" collapsed="false">
      <c r="A1080" s="38" t="s">
        <v>853</v>
      </c>
      <c r="B1080" s="38" t="n">
        <v>71</v>
      </c>
      <c r="C1080" s="38" t="s">
        <v>172</v>
      </c>
      <c r="D1080" s="38" t="s">
        <v>871</v>
      </c>
      <c r="E1080" s="38" t="str">
        <f aca="false">B1080&amp;"|"&amp;C1080</f>
        <v>71|A</v>
      </c>
      <c r="F1080" s="45" t="n">
        <f aca="false">INDEX('Emission Stepwise'!$H$2:$H$289,MATCH(E1080,'Emission Stepwise'!$C$2:$C$289,0))</f>
        <v>0.0295566502463054</v>
      </c>
      <c r="G1080" s="45" t="n">
        <f aca="false">INDEX(Background!$C$4:$C$7,MATCH(C1080,Background!$A$4:$A$7,0))</f>
        <v>0.185174766157958</v>
      </c>
      <c r="H1080" s="49" t="n">
        <f aca="false">LN(F1080/G1080)</f>
        <v>-1.83499129191367</v>
      </c>
    </row>
    <row r="1081" customFormat="false" ht="15" hidden="false" customHeight="true" outlineLevel="0" collapsed="false">
      <c r="A1081" s="38" t="s">
        <v>853</v>
      </c>
      <c r="B1081" s="38" t="n">
        <v>72</v>
      </c>
      <c r="C1081" s="38" t="s">
        <v>169</v>
      </c>
      <c r="D1081" s="38" t="s">
        <v>871</v>
      </c>
      <c r="E1081" s="38" t="str">
        <f aca="false">B1081&amp;"|"&amp;C1081</f>
        <v>72|G</v>
      </c>
      <c r="F1081" s="45" t="n">
        <f aca="false">INDEX('Emission Stepwise'!$H$2:$H$289,MATCH(E1081,'Emission Stepwise'!$C$2:$C$289,0))</f>
        <v>0.0886699507389163</v>
      </c>
      <c r="G1081" s="45" t="n">
        <f aca="false">INDEX(Background!$C$4:$C$7,MATCH(C1081,Background!$A$4:$A$7,0))</f>
        <v>0.325128349391659</v>
      </c>
      <c r="H1081" s="49" t="n">
        <f aca="false">LN(F1081/G1081)</f>
        <v>-1.29929896773747</v>
      </c>
    </row>
    <row r="1082" customFormat="false" ht="15" hidden="false" customHeight="true" outlineLevel="0" collapsed="false">
      <c r="A1082" s="38" t="s">
        <v>854</v>
      </c>
      <c r="B1082" s="38" t="n">
        <v>1</v>
      </c>
      <c r="C1082" s="38" t="s">
        <v>171</v>
      </c>
      <c r="D1082" s="38" t="s">
        <v>865</v>
      </c>
      <c r="E1082" s="38" t="str">
        <f aca="false">B1082&amp;"|"&amp;C1082</f>
        <v>1|U</v>
      </c>
      <c r="F1082" s="45" t="n">
        <f aca="false">INDEX('Emission Stepwise'!$H$2:$H$289,MATCH(E1082,'Emission Stepwise'!$C$2:$C$289,0))</f>
        <v>0.0689655172413793</v>
      </c>
      <c r="G1082" s="45" t="n">
        <f aca="false">INDEX(Background!$C$4:$C$7,MATCH(C1082,Background!$A$4:$A$7,0))</f>
        <v>0.212884169069555</v>
      </c>
      <c r="H1082" s="49" t="n">
        <f aca="false">LN(F1082/G1082)</f>
        <v>-1.12714158105187</v>
      </c>
    </row>
    <row r="1083" customFormat="false" ht="15" hidden="false" customHeight="true" outlineLevel="0" collapsed="false">
      <c r="A1083" s="38" t="s">
        <v>854</v>
      </c>
      <c r="B1083" s="38" t="n">
        <v>2</v>
      </c>
      <c r="C1083" s="38" t="s">
        <v>171</v>
      </c>
      <c r="D1083" s="38" t="s">
        <v>865</v>
      </c>
      <c r="E1083" s="38" t="str">
        <f aca="false">B1083&amp;"|"&amp;C1083</f>
        <v>2|U</v>
      </c>
      <c r="F1083" s="45" t="n">
        <f aca="false">INDEX('Emission Stepwise'!$H$2:$H$289,MATCH(E1083,'Emission Stepwise'!$C$2:$C$289,0))</f>
        <v>0.0344827586206897</v>
      </c>
      <c r="G1083" s="45" t="n">
        <f aca="false">INDEX(Background!$C$4:$C$7,MATCH(C1083,Background!$A$4:$A$7,0))</f>
        <v>0.212884169069555</v>
      </c>
      <c r="H1083" s="49" t="n">
        <f aca="false">LN(F1083/G1083)</f>
        <v>-1.82028876161182</v>
      </c>
    </row>
    <row r="1084" customFormat="false" ht="15" hidden="false" customHeight="true" outlineLevel="0" collapsed="false">
      <c r="A1084" s="38" t="s">
        <v>854</v>
      </c>
      <c r="B1084" s="38" t="n">
        <v>3</v>
      </c>
      <c r="C1084" s="38" t="s">
        <v>171</v>
      </c>
      <c r="D1084" s="38" t="s">
        <v>865</v>
      </c>
      <c r="E1084" s="38" t="str">
        <f aca="false">B1084&amp;"|"&amp;C1084</f>
        <v>3|U</v>
      </c>
      <c r="F1084" s="45" t="n">
        <f aca="false">INDEX('Emission Stepwise'!$H$2:$H$289,MATCH(E1084,'Emission Stepwise'!$C$2:$C$289,0))</f>
        <v>0.118226600985222</v>
      </c>
      <c r="G1084" s="45" t="n">
        <f aca="false">INDEX(Background!$C$4:$C$7,MATCH(C1084,Background!$A$4:$A$7,0))</f>
        <v>0.212884169069555</v>
      </c>
      <c r="H1084" s="49" t="n">
        <f aca="false">LN(F1084/G1084)</f>
        <v>-0.588145080319186</v>
      </c>
    </row>
    <row r="1085" customFormat="false" ht="15" hidden="false" customHeight="true" outlineLevel="0" collapsed="false">
      <c r="A1085" s="38" t="s">
        <v>854</v>
      </c>
      <c r="B1085" s="38" t="n">
        <v>4</v>
      </c>
      <c r="C1085" s="38" t="s">
        <v>172</v>
      </c>
      <c r="D1085" s="38" t="s">
        <v>865</v>
      </c>
      <c r="E1085" s="38" t="str">
        <f aca="false">B1085&amp;"|"&amp;C1085</f>
        <v>4|A</v>
      </c>
      <c r="F1085" s="45" t="n">
        <f aca="false">INDEX('Emission Stepwise'!$H$2:$H$289,MATCH(E1085,'Emission Stepwise'!$C$2:$C$289,0))</f>
        <v>0.0788177339901478</v>
      </c>
      <c r="G1085" s="45" t="n">
        <f aca="false">INDEX(Background!$C$4:$C$7,MATCH(C1085,Background!$A$4:$A$7,0))</f>
        <v>0.185174766157958</v>
      </c>
      <c r="H1085" s="49" t="n">
        <f aca="false">LN(F1085/G1085)</f>
        <v>-0.854162038901941</v>
      </c>
    </row>
    <row r="1086" customFormat="false" ht="15" hidden="false" customHeight="true" outlineLevel="0" collapsed="false">
      <c r="A1086" s="38" t="s">
        <v>854</v>
      </c>
      <c r="B1086" s="38" t="n">
        <v>5</v>
      </c>
      <c r="C1086" s="38" t="s">
        <v>172</v>
      </c>
      <c r="D1086" s="38" t="s">
        <v>865</v>
      </c>
      <c r="E1086" s="38" t="str">
        <f aca="false">B1086&amp;"|"&amp;C1086</f>
        <v>5|A</v>
      </c>
      <c r="F1086" s="45" t="n">
        <f aca="false">INDEX('Emission Stepwise'!$H$2:$H$289,MATCH(E1086,'Emission Stepwise'!$C$2:$C$289,0))</f>
        <v>0.152709359605911</v>
      </c>
      <c r="G1086" s="45" t="n">
        <f aca="false">INDEX(Background!$C$4:$C$7,MATCH(C1086,Background!$A$4:$A$7,0))</f>
        <v>0.185174766157958</v>
      </c>
      <c r="H1086" s="49" t="n">
        <f aca="false">LN(F1086/G1086)</f>
        <v>-0.192763556656576</v>
      </c>
    </row>
    <row r="1087" customFormat="false" ht="15" hidden="false" customHeight="true" outlineLevel="0" collapsed="false">
      <c r="A1087" s="38" t="s">
        <v>854</v>
      </c>
      <c r="B1087" s="38" t="n">
        <v>6</v>
      </c>
      <c r="C1087" s="38" t="s">
        <v>171</v>
      </c>
      <c r="D1087" s="38" t="s">
        <v>865</v>
      </c>
      <c r="E1087" s="38" t="str">
        <f aca="false">B1087&amp;"|"&amp;C1087</f>
        <v>6|U</v>
      </c>
      <c r="F1087" s="45" t="n">
        <f aca="false">INDEX('Emission Stepwise'!$H$2:$H$289,MATCH(E1087,'Emission Stepwise'!$C$2:$C$289,0))</f>
        <v>0.261083743842365</v>
      </c>
      <c r="G1087" s="45" t="n">
        <f aca="false">INDEX(Background!$C$4:$C$7,MATCH(C1087,Background!$A$4:$A$7,0))</f>
        <v>0.212884169069555</v>
      </c>
      <c r="H1087" s="49" t="n">
        <f aca="false">LN(F1087/G1087)</f>
        <v>0.20409300288499</v>
      </c>
    </row>
    <row r="1088" customFormat="false" ht="15" hidden="false" customHeight="true" outlineLevel="0" collapsed="false">
      <c r="A1088" s="38" t="s">
        <v>854</v>
      </c>
      <c r="B1088" s="38" t="n">
        <v>7</v>
      </c>
      <c r="C1088" s="38" t="s">
        <v>169</v>
      </c>
      <c r="D1088" s="38" t="s">
        <v>865</v>
      </c>
      <c r="E1088" s="38" t="str">
        <f aca="false">B1088&amp;"|"&amp;C1088</f>
        <v>7|G</v>
      </c>
      <c r="F1088" s="45" t="n">
        <f aca="false">INDEX('Emission Stepwise'!$H$2:$H$289,MATCH(E1088,'Emission Stepwise'!$C$2:$C$289,0))</f>
        <v>0.522167487684729</v>
      </c>
      <c r="G1088" s="45" t="n">
        <f aca="false">INDEX(Background!$C$4:$C$7,MATCH(C1088,Background!$A$4:$A$7,0))</f>
        <v>0.325128349391659</v>
      </c>
      <c r="H1088" s="49" t="n">
        <f aca="false">LN(F1088/G1088)</f>
        <v>0.473768368478429</v>
      </c>
    </row>
    <row r="1089" customFormat="false" ht="15" hidden="false" customHeight="true" outlineLevel="0" collapsed="false">
      <c r="A1089" s="38" t="s">
        <v>854</v>
      </c>
      <c r="B1089" s="38" t="n">
        <v>8</v>
      </c>
      <c r="C1089" s="38" t="s">
        <v>171</v>
      </c>
      <c r="D1089" s="38" t="s">
        <v>866</v>
      </c>
      <c r="E1089" s="38" t="str">
        <f aca="false">B1089&amp;"|"&amp;C1089</f>
        <v>8|U</v>
      </c>
      <c r="F1089" s="45" t="n">
        <f aca="false">INDEX('Emission Stepwise'!$H$2:$H$289,MATCH(E1089,'Emission Stepwise'!$C$2:$C$289,0))</f>
        <v>0.975369458128079</v>
      </c>
      <c r="G1089" s="45" t="n">
        <f aca="false">INDEX(Background!$C$4:$C$7,MATCH(C1089,Background!$A$4:$A$7,0))</f>
        <v>0.212884169069555</v>
      </c>
      <c r="H1089" s="49" t="n">
        <f aca="false">LN(F1089/G1089)</f>
        <v>1.5220681200274</v>
      </c>
    </row>
    <row r="1090" customFormat="false" ht="15" hidden="false" customHeight="true" outlineLevel="0" collapsed="false">
      <c r="A1090" s="38" t="s">
        <v>854</v>
      </c>
      <c r="B1090" s="38" t="n">
        <v>9</v>
      </c>
      <c r="C1090" s="38" t="s">
        <v>172</v>
      </c>
      <c r="D1090" s="38" t="s">
        <v>867</v>
      </c>
      <c r="E1090" s="38" t="str">
        <f aca="false">B1090&amp;"|"&amp;C1090</f>
        <v>9|A</v>
      </c>
      <c r="F1090" s="45" t="n">
        <f aca="false">INDEX('Emission Stepwise'!$H$2:$H$289,MATCH(E1090,'Emission Stepwise'!$C$2:$C$289,0))</f>
        <v>0.648514851485149</v>
      </c>
      <c r="G1090" s="45" t="n">
        <f aca="false">INDEX(Background!$C$4:$C$7,MATCH(C1090,Background!$A$4:$A$7,0))</f>
        <v>0.185174766157958</v>
      </c>
      <c r="H1090" s="49" t="n">
        <f aca="false">LN(F1090/G1090)</f>
        <v>1.25338484370001</v>
      </c>
    </row>
    <row r="1091" customFormat="false" ht="15" hidden="false" customHeight="true" outlineLevel="0" collapsed="false">
      <c r="A1091" s="38" t="s">
        <v>854</v>
      </c>
      <c r="B1091" s="38" t="n">
        <v>10</v>
      </c>
      <c r="C1091" s="38" t="s">
        <v>169</v>
      </c>
      <c r="D1091" s="38" t="s">
        <v>867</v>
      </c>
      <c r="E1091" s="38" t="str">
        <f aca="false">B1091&amp;"|"&amp;C1091</f>
        <v>10|G</v>
      </c>
      <c r="F1091" s="45" t="n">
        <f aca="false">INDEX('Emission Stepwise'!$H$2:$H$289,MATCH(E1091,'Emission Stepwise'!$C$2:$C$289,0))</f>
        <v>0.945812807881773</v>
      </c>
      <c r="G1091" s="45" t="n">
        <f aca="false">INDEX(Background!$C$4:$C$7,MATCH(C1091,Background!$A$4:$A$7,0))</f>
        <v>0.325128349391659</v>
      </c>
      <c r="H1091" s="49" t="n">
        <f aca="false">LN(F1091/G1091)</f>
        <v>1.06782464639414</v>
      </c>
    </row>
    <row r="1092" customFormat="false" ht="15" hidden="false" customHeight="true" outlineLevel="0" collapsed="false">
      <c r="A1092" s="38" t="s">
        <v>854</v>
      </c>
      <c r="B1092" s="38" t="n">
        <v>11</v>
      </c>
      <c r="C1092" s="38" t="s">
        <v>171</v>
      </c>
      <c r="D1092" s="38" t="s">
        <v>867</v>
      </c>
      <c r="E1092" s="38" t="str">
        <f aca="false">B1092&amp;"|"&amp;C1092</f>
        <v>11|U</v>
      </c>
      <c r="F1092" s="45" t="n">
        <f aca="false">INDEX('Emission Stepwise'!$H$2:$H$289,MATCH(E1092,'Emission Stepwise'!$C$2:$C$289,0))</f>
        <v>0.201970443349754</v>
      </c>
      <c r="G1092" s="45" t="n">
        <f aca="false">INDEX(Background!$C$4:$C$7,MATCH(C1092,Background!$A$4:$A$7,0))</f>
        <v>0.212884169069555</v>
      </c>
      <c r="H1092" s="49" t="n">
        <f aca="false">LN(F1092/G1092)</f>
        <v>-0.0526268439628237</v>
      </c>
    </row>
    <row r="1093" customFormat="false" ht="15" hidden="false" customHeight="true" outlineLevel="0" collapsed="false">
      <c r="A1093" s="38" t="s">
        <v>854</v>
      </c>
      <c r="B1093" s="38" t="n">
        <v>12</v>
      </c>
      <c r="C1093" s="38" t="s">
        <v>171</v>
      </c>
      <c r="D1093" s="38" t="s">
        <v>867</v>
      </c>
      <c r="E1093" s="38" t="str">
        <f aca="false">B1093&amp;"|"&amp;C1093</f>
        <v>12|U</v>
      </c>
      <c r="F1093" s="45" t="n">
        <f aca="false">INDEX('Emission Stepwise'!$H$2:$H$289,MATCH(E1093,'Emission Stepwise'!$C$2:$C$289,0))</f>
        <v>0.591133004926108</v>
      </c>
      <c r="G1093" s="45" t="n">
        <f aca="false">INDEX(Background!$C$4:$C$7,MATCH(C1093,Background!$A$4:$A$7,0))</f>
        <v>0.212884169069555</v>
      </c>
      <c r="H1093" s="49" t="n">
        <f aca="false">LN(F1093/G1093)</f>
        <v>1.02129283211491</v>
      </c>
    </row>
    <row r="1094" customFormat="false" ht="15" hidden="false" customHeight="true" outlineLevel="0" collapsed="false">
      <c r="A1094" s="38" t="s">
        <v>854</v>
      </c>
      <c r="B1094" s="38" t="n">
        <v>13</v>
      </c>
      <c r="C1094" s="38" t="s">
        <v>171</v>
      </c>
      <c r="D1094" s="38" t="s">
        <v>867</v>
      </c>
      <c r="E1094" s="38" t="str">
        <f aca="false">B1094&amp;"|"&amp;C1094</f>
        <v>13|U</v>
      </c>
      <c r="F1094" s="45" t="n">
        <f aca="false">INDEX('Emission Stepwise'!$H$2:$H$289,MATCH(E1094,'Emission Stepwise'!$C$2:$C$289,0))</f>
        <v>0.192118226600985</v>
      </c>
      <c r="G1094" s="45" t="n">
        <f aca="false">INDEX(Background!$C$4:$C$7,MATCH(C1094,Background!$A$4:$A$7,0))</f>
        <v>0.212884169069555</v>
      </c>
      <c r="H1094" s="49" t="n">
        <f aca="false">LN(F1094/G1094)</f>
        <v>-0.102637264537485</v>
      </c>
    </row>
    <row r="1095" customFormat="false" ht="15" hidden="false" customHeight="true" outlineLevel="0" collapsed="false">
      <c r="A1095" s="38" t="s">
        <v>854</v>
      </c>
      <c r="B1095" s="38" t="n">
        <v>14</v>
      </c>
      <c r="C1095" s="38" t="s">
        <v>172</v>
      </c>
      <c r="D1095" s="38" t="s">
        <v>867</v>
      </c>
      <c r="E1095" s="38" t="str">
        <f aca="false">B1095&amp;"|"&amp;C1095</f>
        <v>14|A</v>
      </c>
      <c r="F1095" s="45" t="n">
        <f aca="false">INDEX('Emission Stepwise'!$H$2:$H$289,MATCH(E1095,'Emission Stepwise'!$C$2:$C$289,0))</f>
        <v>0.975369458128079</v>
      </c>
      <c r="G1095" s="45" t="n">
        <f aca="false">INDEX(Background!$C$4:$C$7,MATCH(C1095,Background!$A$4:$A$7,0))</f>
        <v>0.185174766157958</v>
      </c>
      <c r="H1095" s="49" t="n">
        <f aca="false">LN(F1095/G1095)</f>
        <v>1.66151626955281</v>
      </c>
    </row>
    <row r="1096" customFormat="false" ht="15" hidden="false" customHeight="true" outlineLevel="0" collapsed="false">
      <c r="A1096" s="38" t="s">
        <v>854</v>
      </c>
      <c r="B1096" s="38" t="n">
        <v>15</v>
      </c>
      <c r="C1096" s="38" t="s">
        <v>171</v>
      </c>
      <c r="D1096" s="38" t="s">
        <v>867</v>
      </c>
      <c r="E1096" s="38" t="str">
        <f aca="false">B1096&amp;"|"&amp;C1096</f>
        <v>15|U</v>
      </c>
      <c r="F1096" s="45" t="n">
        <f aca="false">INDEX('Emission Stepwise'!$H$2:$H$289,MATCH(E1096,'Emission Stepwise'!$C$2:$C$289,0))</f>
        <v>0.0148514851485149</v>
      </c>
      <c r="G1096" s="45" t="n">
        <f aca="false">INDEX(Background!$C$4:$C$7,MATCH(C1096,Background!$A$4:$A$7,0))</f>
        <v>0.212884169069555</v>
      </c>
      <c r="H1096" s="49" t="n">
        <f aca="false">LN(F1096/G1096)</f>
        <v>-2.66264834035844</v>
      </c>
    </row>
    <row r="1097" customFormat="false" ht="15" hidden="false" customHeight="true" outlineLevel="0" collapsed="false">
      <c r="A1097" s="38" t="s">
        <v>854</v>
      </c>
      <c r="B1097" s="38" t="n">
        <v>16</v>
      </c>
      <c r="C1097" s="38" t="s">
        <v>172</v>
      </c>
      <c r="D1097" s="38" t="s">
        <v>867</v>
      </c>
      <c r="E1097" s="38" t="str">
        <f aca="false">B1097&amp;"|"&amp;C1097</f>
        <v>16|A</v>
      </c>
      <c r="F1097" s="45" t="n">
        <f aca="false">INDEX('Emission Stepwise'!$H$2:$H$289,MATCH(E1097,'Emission Stepwise'!$C$2:$C$289,0))</f>
        <v>0.0294117647058824</v>
      </c>
      <c r="G1097" s="45" t="n">
        <f aca="false">INDEX(Background!$C$4:$C$7,MATCH(C1097,Background!$A$4:$A$7,0))</f>
        <v>0.185174766157958</v>
      </c>
      <c r="H1097" s="49" t="n">
        <f aca="false">LN(F1097/G1097)</f>
        <v>-1.8399053067161</v>
      </c>
    </row>
    <row r="1098" customFormat="false" ht="15" hidden="false" customHeight="true" outlineLevel="0" collapsed="false">
      <c r="A1098" s="38" t="s">
        <v>854</v>
      </c>
      <c r="B1098" s="38" t="n">
        <v>17</v>
      </c>
      <c r="C1098" s="38" t="s">
        <v>172</v>
      </c>
      <c r="D1098" s="38" t="s">
        <v>867</v>
      </c>
      <c r="E1098" s="38" t="str">
        <f aca="false">B1098&amp;"|"&amp;C1098</f>
        <v>17|A</v>
      </c>
      <c r="F1098" s="45" t="n">
        <f aca="false">INDEX('Emission Stepwise'!$H$2:$H$289,MATCH(E1098,'Emission Stepwise'!$C$2:$C$289,0))</f>
        <v>0.065</v>
      </c>
      <c r="G1098" s="45" t="n">
        <f aca="false">INDEX(Background!$C$4:$C$7,MATCH(C1098,Background!$A$4:$A$7,0))</f>
        <v>0.185174766157958</v>
      </c>
      <c r="H1098" s="49" t="n">
        <f aca="false">LN(F1098/G1098)</f>
        <v>-1.04691279118643</v>
      </c>
    </row>
    <row r="1099" customFormat="false" ht="15" hidden="false" customHeight="true" outlineLevel="0" collapsed="false">
      <c r="A1099" s="38" t="s">
        <v>854</v>
      </c>
      <c r="B1099" s="38" t="n">
        <v>18</v>
      </c>
      <c r="C1099" s="38" t="s">
        <v>169</v>
      </c>
      <c r="D1099" s="38" t="s">
        <v>867</v>
      </c>
      <c r="E1099" s="38" t="str">
        <f aca="false">B1099&amp;"|"&amp;C1099</f>
        <v>18|G</v>
      </c>
      <c r="F1099" s="45" t="n">
        <f aca="false">INDEX('Emission Stepwise'!$H$2:$H$289,MATCH(E1099,'Emission Stepwise'!$C$2:$C$289,0))</f>
        <v>0.980295566502463</v>
      </c>
      <c r="G1099" s="45" t="n">
        <f aca="false">INDEX(Background!$C$4:$C$7,MATCH(C1099,Background!$A$4:$A$7,0))</f>
        <v>0.325128349391659</v>
      </c>
      <c r="H1099" s="49" t="n">
        <f aca="false">LN(F1099/G1099)</f>
        <v>1.10363409909085</v>
      </c>
    </row>
    <row r="1100" customFormat="false" ht="15" hidden="false" customHeight="true" outlineLevel="0" collapsed="false">
      <c r="A1100" s="38" t="s">
        <v>854</v>
      </c>
      <c r="B1100" s="38" t="n">
        <v>19</v>
      </c>
      <c r="C1100" s="38" t="s">
        <v>169</v>
      </c>
      <c r="D1100" s="38" t="s">
        <v>867</v>
      </c>
      <c r="E1100" s="38" t="str">
        <f aca="false">B1100&amp;"|"&amp;C1100</f>
        <v>19|G</v>
      </c>
      <c r="F1100" s="45" t="n">
        <f aca="false">INDEX('Emission Stepwise'!$H$2:$H$289,MATCH(E1100,'Emission Stepwise'!$C$2:$C$289,0))</f>
        <v>0.970443349753695</v>
      </c>
      <c r="G1100" s="45" t="n">
        <f aca="false">INDEX(Background!$C$4:$C$7,MATCH(C1100,Background!$A$4:$A$7,0))</f>
        <v>0.325128349391659</v>
      </c>
      <c r="H1100" s="49" t="n">
        <f aca="false">LN(F1100/G1100)</f>
        <v>1.09353300310435</v>
      </c>
    </row>
    <row r="1101" customFormat="false" ht="15" hidden="false" customHeight="true" outlineLevel="0" collapsed="false">
      <c r="A1101" s="38" t="s">
        <v>854</v>
      </c>
      <c r="B1101" s="38" t="n">
        <v>20</v>
      </c>
      <c r="C1101" s="38" t="s">
        <v>169</v>
      </c>
      <c r="D1101" s="38" t="s">
        <v>867</v>
      </c>
      <c r="E1101" s="38" t="str">
        <f aca="false">B1101&amp;"|"&amp;C1101</f>
        <v>20|G</v>
      </c>
      <c r="F1101" s="45" t="n">
        <f aca="false">INDEX('Emission Stepwise'!$H$2:$H$289,MATCH(E1101,'Emission Stepwise'!$C$2:$C$289,0))</f>
        <v>0.0940594059405941</v>
      </c>
      <c r="G1101" s="45" t="n">
        <f aca="false">INDEX(Background!$C$4:$C$7,MATCH(C1101,Background!$A$4:$A$7,0))</f>
        <v>0.325128349391659</v>
      </c>
      <c r="H1101" s="49" t="n">
        <f aca="false">LN(F1101/G1101)</f>
        <v>-1.24029346482662</v>
      </c>
    </row>
    <row r="1102" customFormat="false" ht="15" hidden="false" customHeight="true" outlineLevel="0" collapsed="false">
      <c r="A1102" s="38" t="s">
        <v>854</v>
      </c>
      <c r="B1102" s="38" t="n">
        <v>21</v>
      </c>
      <c r="C1102" s="38" t="s">
        <v>171</v>
      </c>
      <c r="D1102" s="38" t="s">
        <v>867</v>
      </c>
      <c r="E1102" s="38" t="str">
        <f aca="false">B1102&amp;"|"&amp;C1102</f>
        <v>21|U</v>
      </c>
      <c r="F1102" s="45" t="n">
        <f aca="false">INDEX('Emission Stepwise'!$H$2:$H$289,MATCH(E1102,'Emission Stepwise'!$C$2:$C$289,0))</f>
        <v>0.0541871921182266</v>
      </c>
      <c r="G1102" s="45" t="n">
        <f aca="false">INDEX(Background!$C$4:$C$7,MATCH(C1102,Background!$A$4:$A$7,0))</f>
        <v>0.212884169069555</v>
      </c>
      <c r="H1102" s="49" t="n">
        <f aca="false">LN(F1102/G1102)</f>
        <v>-1.36830363786876</v>
      </c>
    </row>
    <row r="1103" customFormat="false" ht="15" hidden="false" customHeight="true" outlineLevel="0" collapsed="false">
      <c r="A1103" s="38" t="s">
        <v>854</v>
      </c>
      <c r="B1103" s="38" t="n">
        <v>22</v>
      </c>
      <c r="C1103" s="38" t="s">
        <v>169</v>
      </c>
      <c r="D1103" s="38" t="s">
        <v>867</v>
      </c>
      <c r="E1103" s="38" t="str">
        <f aca="false">B1103&amp;"|"&amp;C1103</f>
        <v>22|G</v>
      </c>
      <c r="F1103" s="45" t="n">
        <f aca="false">INDEX('Emission Stepwise'!$H$2:$H$289,MATCH(E1103,'Emission Stepwise'!$C$2:$C$289,0))</f>
        <v>0.714285714285714</v>
      </c>
      <c r="G1103" s="45" t="n">
        <f aca="false">INDEX(Background!$C$4:$C$7,MATCH(C1103,Background!$A$4:$A$7,0))</f>
        <v>0.325128349391659</v>
      </c>
      <c r="H1103" s="49" t="n">
        <f aca="false">LN(F1103/G1103)</f>
        <v>0.787063016786936</v>
      </c>
    </row>
    <row r="1104" customFormat="false" ht="15" hidden="false" customHeight="true" outlineLevel="0" collapsed="false">
      <c r="A1104" s="38" t="s">
        <v>854</v>
      </c>
      <c r="B1104" s="38" t="n">
        <v>23</v>
      </c>
      <c r="C1104" s="38" t="s">
        <v>172</v>
      </c>
      <c r="D1104" s="38" t="s">
        <v>867</v>
      </c>
      <c r="E1104" s="38" t="str">
        <f aca="false">B1104&amp;"|"&amp;C1104</f>
        <v>23|A</v>
      </c>
      <c r="F1104" s="45" t="n">
        <f aca="false">INDEX('Emission Stepwise'!$H$2:$H$289,MATCH(E1104,'Emission Stepwise'!$C$2:$C$289,0))</f>
        <v>0.596059113300493</v>
      </c>
      <c r="G1104" s="45" t="n">
        <f aca="false">INDEX(Background!$C$4:$C$7,MATCH(C1104,Background!$A$4:$A$7,0))</f>
        <v>0.185174766157958</v>
      </c>
      <c r="H1104" s="49" t="n">
        <f aca="false">LN(F1104/G1104)</f>
        <v>1.16903978445502</v>
      </c>
    </row>
    <row r="1105" customFormat="false" ht="15" hidden="false" customHeight="true" outlineLevel="0" collapsed="false">
      <c r="A1105" s="38" t="s">
        <v>854</v>
      </c>
      <c r="B1105" s="38" t="n">
        <v>24</v>
      </c>
      <c r="C1105" s="38" t="s">
        <v>172</v>
      </c>
      <c r="D1105" s="38" t="s">
        <v>867</v>
      </c>
      <c r="E1105" s="38" t="str">
        <f aca="false">B1105&amp;"|"&amp;C1105</f>
        <v>24|A</v>
      </c>
      <c r="F1105" s="45" t="n">
        <f aca="false">INDEX('Emission Stepwise'!$H$2:$H$289,MATCH(E1105,'Emission Stepwise'!$C$2:$C$289,0))</f>
        <v>0.187192118226601</v>
      </c>
      <c r="G1105" s="45" t="n">
        <f aca="false">INDEX(Background!$C$4:$C$7,MATCH(C1105,Background!$A$4:$A$7,0))</f>
        <v>0.185174766157958</v>
      </c>
      <c r="H1105" s="49" t="n">
        <f aca="false">LN(F1105/G1105)</f>
        <v>0.0108353985846635</v>
      </c>
    </row>
    <row r="1106" customFormat="false" ht="15" hidden="false" customHeight="true" outlineLevel="0" collapsed="false">
      <c r="A1106" s="38" t="s">
        <v>854</v>
      </c>
      <c r="B1106" s="38" t="n">
        <v>25</v>
      </c>
      <c r="C1106" s="38" t="s">
        <v>171</v>
      </c>
      <c r="D1106" s="38" t="s">
        <v>867</v>
      </c>
      <c r="E1106" s="38" t="str">
        <f aca="false">B1106&amp;"|"&amp;C1106</f>
        <v>25|U</v>
      </c>
      <c r="F1106" s="45" t="n">
        <f aca="false">INDEX('Emission Stepwise'!$H$2:$H$289,MATCH(E1106,'Emission Stepwise'!$C$2:$C$289,0))</f>
        <v>0.0738916256157636</v>
      </c>
      <c r="G1106" s="45" t="n">
        <f aca="false">INDEX(Background!$C$4:$C$7,MATCH(C1106,Background!$A$4:$A$7,0))</f>
        <v>0.212884169069555</v>
      </c>
      <c r="H1106" s="49" t="n">
        <f aca="false">LN(F1106/G1106)</f>
        <v>-1.05814870956492</v>
      </c>
    </row>
    <row r="1107" customFormat="false" ht="15" hidden="false" customHeight="true" outlineLevel="0" collapsed="false">
      <c r="A1107" s="38" t="s">
        <v>854</v>
      </c>
      <c r="B1107" s="38" t="n">
        <v>26</v>
      </c>
      <c r="C1107" s="38" t="s">
        <v>169</v>
      </c>
      <c r="D1107" s="38" t="s">
        <v>868</v>
      </c>
      <c r="E1107" s="38" t="str">
        <f aca="false">B1107&amp;"|"&amp;C1107</f>
        <v>26|G</v>
      </c>
      <c r="F1107" s="45" t="n">
        <f aca="false">INDEX('Emission Stepwise'!$H$2:$H$289,MATCH(E1107,'Emission Stepwise'!$C$2:$C$289,0))</f>
        <v>0.497536945812808</v>
      </c>
      <c r="G1107" s="45" t="n">
        <f aca="false">INDEX(Background!$C$4:$C$7,MATCH(C1107,Background!$A$4:$A$7,0))</f>
        <v>0.325128349391659</v>
      </c>
      <c r="H1107" s="49" t="n">
        <f aca="false">LN(F1107/G1107)</f>
        <v>0.425449791207621</v>
      </c>
    </row>
    <row r="1108" customFormat="false" ht="15" hidden="false" customHeight="true" outlineLevel="0" collapsed="false">
      <c r="A1108" s="38" t="s">
        <v>854</v>
      </c>
      <c r="B1108" s="38" t="n">
        <v>27</v>
      </c>
      <c r="C1108" s="38" t="s">
        <v>171</v>
      </c>
      <c r="D1108" s="38" t="s">
        <v>868</v>
      </c>
      <c r="E1108" s="38" t="str">
        <f aca="false">B1108&amp;"|"&amp;C1108</f>
        <v>27|U</v>
      </c>
      <c r="F1108" s="45" t="n">
        <f aca="false">INDEX('Emission Stepwise'!$H$2:$H$289,MATCH(E1108,'Emission Stepwise'!$C$2:$C$289,0))</f>
        <v>0.25615763546798</v>
      </c>
      <c r="G1108" s="45" t="n">
        <f aca="false">INDEX(Background!$C$4:$C$7,MATCH(C1108,Background!$A$4:$A$7,0))</f>
        <v>0.212884169069555</v>
      </c>
      <c r="H1108" s="49" t="n">
        <f aca="false">LN(F1108/G1108)</f>
        <v>0.185044807914296</v>
      </c>
    </row>
    <row r="1109" customFormat="false" ht="15" hidden="false" customHeight="true" outlineLevel="0" collapsed="false">
      <c r="A1109" s="38" t="s">
        <v>854</v>
      </c>
      <c r="B1109" s="38" t="n">
        <v>28</v>
      </c>
      <c r="C1109" s="38" t="s">
        <v>171</v>
      </c>
      <c r="D1109" s="38" t="s">
        <v>868</v>
      </c>
      <c r="E1109" s="38" t="str">
        <f aca="false">B1109&amp;"|"&amp;C1109</f>
        <v>28|U</v>
      </c>
      <c r="F1109" s="45" t="n">
        <f aca="false">INDEX('Emission Stepwise'!$H$2:$H$289,MATCH(E1109,'Emission Stepwise'!$C$2:$C$289,0))</f>
        <v>0.251231527093596</v>
      </c>
      <c r="G1109" s="45" t="n">
        <f aca="false">INDEX(Background!$C$4:$C$7,MATCH(C1109,Background!$A$4:$A$7,0))</f>
        <v>0.212884169069555</v>
      </c>
      <c r="H1109" s="49" t="n">
        <f aca="false">LN(F1109/G1109)</f>
        <v>0.165626722057194</v>
      </c>
    </row>
    <row r="1110" customFormat="false" ht="15" hidden="false" customHeight="true" outlineLevel="0" collapsed="false">
      <c r="A1110" s="38" t="s">
        <v>854</v>
      </c>
      <c r="B1110" s="38" t="n">
        <v>29</v>
      </c>
      <c r="C1110" s="38" t="s">
        <v>171</v>
      </c>
      <c r="D1110" s="38" t="s">
        <v>868</v>
      </c>
      <c r="E1110" s="38" t="str">
        <f aca="false">B1110&amp;"|"&amp;C1110</f>
        <v>29|U</v>
      </c>
      <c r="F1110" s="45" t="n">
        <f aca="false">INDEX('Emission Stepwise'!$H$2:$H$289,MATCH(E1110,'Emission Stepwise'!$C$2:$C$289,0))</f>
        <v>0.275862068965517</v>
      </c>
      <c r="G1110" s="45" t="n">
        <f aca="false">INDEX(Background!$C$4:$C$7,MATCH(C1110,Background!$A$4:$A$7,0))</f>
        <v>0.212884169069555</v>
      </c>
      <c r="H1110" s="49" t="n">
        <f aca="false">LN(F1110/G1110)</f>
        <v>0.259152780068018</v>
      </c>
    </row>
    <row r="1111" customFormat="false" ht="15" hidden="false" customHeight="true" outlineLevel="0" collapsed="false">
      <c r="A1111" s="38" t="s">
        <v>854</v>
      </c>
      <c r="B1111" s="38" t="n">
        <v>30</v>
      </c>
      <c r="C1111" s="38" t="s">
        <v>171</v>
      </c>
      <c r="D1111" s="38" t="s">
        <v>868</v>
      </c>
      <c r="E1111" s="38" t="str">
        <f aca="false">B1111&amp;"|"&amp;C1111</f>
        <v>30|U</v>
      </c>
      <c r="F1111" s="45" t="n">
        <f aca="false">INDEX('Emission Stepwise'!$H$2:$H$289,MATCH(E1111,'Emission Stepwise'!$C$2:$C$289,0))</f>
        <v>0.0394088669950739</v>
      </c>
      <c r="G1111" s="45" t="n">
        <f aca="false">INDEX(Background!$C$4:$C$7,MATCH(C1111,Background!$A$4:$A$7,0))</f>
        <v>0.212884169069555</v>
      </c>
      <c r="H1111" s="49" t="n">
        <f aca="false">LN(F1111/G1111)</f>
        <v>-1.6867573689873</v>
      </c>
    </row>
    <row r="1112" customFormat="false" ht="15" hidden="false" customHeight="true" outlineLevel="0" collapsed="false">
      <c r="A1112" s="38" t="s">
        <v>854</v>
      </c>
      <c r="B1112" s="38" t="n">
        <v>31</v>
      </c>
      <c r="C1112" s="38" t="s">
        <v>172</v>
      </c>
      <c r="D1112" s="38" t="s">
        <v>868</v>
      </c>
      <c r="E1112" s="38" t="str">
        <f aca="false">B1112&amp;"|"&amp;C1112</f>
        <v>31|A</v>
      </c>
      <c r="F1112" s="45" t="n">
        <f aca="false">INDEX('Emission Stepwise'!$H$2:$H$289,MATCH(E1112,'Emission Stepwise'!$C$2:$C$289,0))</f>
        <v>0.270935960591133</v>
      </c>
      <c r="G1112" s="45" t="n">
        <f aca="false">INDEX(Background!$C$4:$C$7,MATCH(C1112,Background!$A$4:$A$7,0))</f>
        <v>0.185174766157958</v>
      </c>
      <c r="H1112" s="49" t="n">
        <f aca="false">LN(F1112/G1112)</f>
        <v>0.380582424090749</v>
      </c>
    </row>
    <row r="1113" customFormat="false" ht="15" hidden="false" customHeight="true" outlineLevel="0" collapsed="false">
      <c r="A1113" s="38" t="s">
        <v>854</v>
      </c>
      <c r="B1113" s="38" t="n">
        <v>32</v>
      </c>
      <c r="C1113" s="38" t="s">
        <v>171</v>
      </c>
      <c r="D1113" s="38" t="s">
        <v>868</v>
      </c>
      <c r="E1113" s="38" t="str">
        <f aca="false">B1113&amp;"|"&amp;C1113</f>
        <v>32|U</v>
      </c>
      <c r="F1113" s="45" t="n">
        <f aca="false">INDEX('Emission Stepwise'!$H$2:$H$289,MATCH(E1113,'Emission Stepwise'!$C$2:$C$289,0))</f>
        <v>0.295566502463054</v>
      </c>
      <c r="G1113" s="45" t="n">
        <f aca="false">INDEX(Background!$C$4:$C$7,MATCH(C1113,Background!$A$4:$A$7,0))</f>
        <v>0.212884169069555</v>
      </c>
      <c r="H1113" s="49" t="n">
        <f aca="false">LN(F1113/G1113)</f>
        <v>0.328145651554969</v>
      </c>
    </row>
    <row r="1114" customFormat="false" ht="15" hidden="false" customHeight="true" outlineLevel="0" collapsed="false">
      <c r="A1114" s="38" t="s">
        <v>854</v>
      </c>
      <c r="B1114" s="38" t="n">
        <v>33</v>
      </c>
      <c r="C1114" s="38" t="s">
        <v>171</v>
      </c>
      <c r="D1114" s="38" t="s">
        <v>868</v>
      </c>
      <c r="E1114" s="38" t="str">
        <f aca="false">B1114&amp;"|"&amp;C1114</f>
        <v>33|U</v>
      </c>
      <c r="F1114" s="45" t="n">
        <f aca="false">INDEX('Emission Stepwise'!$H$2:$H$289,MATCH(E1114,'Emission Stepwise'!$C$2:$C$289,0))</f>
        <v>0.975369458128079</v>
      </c>
      <c r="G1114" s="45" t="n">
        <f aca="false">INDEX(Background!$C$4:$C$7,MATCH(C1114,Background!$A$4:$A$7,0))</f>
        <v>0.212884169069555</v>
      </c>
      <c r="H1114" s="49" t="n">
        <f aca="false">LN(F1114/G1114)</f>
        <v>1.5220681200274</v>
      </c>
    </row>
    <row r="1115" customFormat="false" ht="15" hidden="false" customHeight="true" outlineLevel="0" collapsed="false">
      <c r="A1115" s="38" t="s">
        <v>854</v>
      </c>
      <c r="B1115" s="38" t="n">
        <v>34</v>
      </c>
      <c r="C1115" s="38" t="s">
        <v>171</v>
      </c>
      <c r="D1115" s="38" t="s">
        <v>868</v>
      </c>
      <c r="E1115" s="38" t="str">
        <f aca="false">B1115&amp;"|"&amp;C1115</f>
        <v>34|U</v>
      </c>
      <c r="F1115" s="45" t="n">
        <f aca="false">INDEX('Emission Stepwise'!$H$2:$H$289,MATCH(E1115,'Emission Stepwise'!$C$2:$C$289,0))</f>
        <v>0.29064039408867</v>
      </c>
      <c r="G1115" s="45" t="n">
        <f aca="false">INDEX(Background!$C$4:$C$7,MATCH(C1115,Background!$A$4:$A$7,0))</f>
        <v>0.212884169069555</v>
      </c>
      <c r="H1115" s="49" t="n">
        <f aca="false">LN(F1115/G1115)</f>
        <v>0.311338533238588</v>
      </c>
    </row>
    <row r="1116" customFormat="false" ht="15" hidden="false" customHeight="true" outlineLevel="0" collapsed="false">
      <c r="A1116" s="38" t="s">
        <v>854</v>
      </c>
      <c r="B1116" s="38" t="n">
        <v>35</v>
      </c>
      <c r="C1116" s="38" t="s">
        <v>171</v>
      </c>
      <c r="D1116" s="38" t="s">
        <v>868</v>
      </c>
      <c r="E1116" s="38" t="str">
        <f aca="false">B1116&amp;"|"&amp;C1116</f>
        <v>35|U</v>
      </c>
      <c r="F1116" s="45" t="n">
        <f aca="false">INDEX('Emission Stepwise'!$H$2:$H$289,MATCH(E1116,'Emission Stepwise'!$C$2:$C$289,0))</f>
        <v>0.206896551724138</v>
      </c>
      <c r="G1116" s="45" t="n">
        <f aca="false">INDEX(Background!$C$4:$C$7,MATCH(C1116,Background!$A$4:$A$7,0))</f>
        <v>0.212884169069555</v>
      </c>
      <c r="H1116" s="49" t="n">
        <f aca="false">LN(F1116/G1116)</f>
        <v>-0.0285292923837632</v>
      </c>
    </row>
    <row r="1117" customFormat="false" ht="15" hidden="false" customHeight="true" outlineLevel="0" collapsed="false">
      <c r="A1117" s="38" t="s">
        <v>854</v>
      </c>
      <c r="B1117" s="38" t="n">
        <v>36</v>
      </c>
      <c r="C1117" s="38" t="s">
        <v>172</v>
      </c>
      <c r="D1117" s="38" t="s">
        <v>868</v>
      </c>
      <c r="E1117" s="38" t="str">
        <f aca="false">B1117&amp;"|"&amp;C1117</f>
        <v>36|A</v>
      </c>
      <c r="F1117" s="45" t="n">
        <f aca="false">INDEX('Emission Stepwise'!$H$2:$H$289,MATCH(E1117,'Emission Stepwise'!$C$2:$C$289,0))</f>
        <v>0.216748768472906</v>
      </c>
      <c r="G1117" s="45" t="n">
        <f aca="false">INDEX(Background!$C$4:$C$7,MATCH(C1117,Background!$A$4:$A$7,0))</f>
        <v>0.185174766157958</v>
      </c>
      <c r="H1117" s="49" t="n">
        <f aca="false">LN(F1117/G1117)</f>
        <v>0.157438872776539</v>
      </c>
    </row>
    <row r="1118" customFormat="false" ht="15" hidden="false" customHeight="true" outlineLevel="0" collapsed="false">
      <c r="A1118" s="38" t="s">
        <v>854</v>
      </c>
      <c r="B1118" s="38" t="n">
        <v>37</v>
      </c>
      <c r="C1118" s="38" t="s">
        <v>169</v>
      </c>
      <c r="D1118" s="38" t="s">
        <v>868</v>
      </c>
      <c r="E1118" s="38" t="str">
        <f aca="false">B1118&amp;"|"&amp;C1118</f>
        <v>37|G</v>
      </c>
      <c r="F1118" s="45" t="n">
        <f aca="false">INDEX('Emission Stepwise'!$H$2:$H$289,MATCH(E1118,'Emission Stepwise'!$C$2:$C$289,0))</f>
        <v>0.241379310344828</v>
      </c>
      <c r="G1118" s="45" t="n">
        <f aca="false">INDEX(Background!$C$4:$C$7,MATCH(C1118,Background!$A$4:$A$7,0))</f>
        <v>0.325128349391659</v>
      </c>
      <c r="H1118" s="49" t="n">
        <f aca="false">LN(F1118/G1118)</f>
        <v>-0.297850427523012</v>
      </c>
    </row>
    <row r="1119" customFormat="false" ht="15" hidden="false" customHeight="true" outlineLevel="0" collapsed="false">
      <c r="A1119" s="38" t="s">
        <v>854</v>
      </c>
      <c r="B1119" s="38" t="n">
        <v>38</v>
      </c>
      <c r="C1119" s="38" t="s">
        <v>172</v>
      </c>
      <c r="D1119" s="38" t="s">
        <v>868</v>
      </c>
      <c r="E1119" s="38" t="str">
        <f aca="false">B1119&amp;"|"&amp;C1119</f>
        <v>38|A</v>
      </c>
      <c r="F1119" s="45" t="n">
        <f aca="false">INDEX('Emission Stepwise'!$H$2:$H$289,MATCH(E1119,'Emission Stepwise'!$C$2:$C$289,0))</f>
        <v>0.724137931034483</v>
      </c>
      <c r="G1119" s="45" t="n">
        <f aca="false">INDEX(Background!$C$4:$C$7,MATCH(C1119,Background!$A$4:$A$7,0))</f>
        <v>0.185174766157958</v>
      </c>
      <c r="H1119" s="49" t="n">
        <f aca="false">LN(F1119/G1119)</f>
        <v>1.36368182563701</v>
      </c>
    </row>
    <row r="1120" customFormat="false" ht="15" hidden="false" customHeight="true" outlineLevel="0" collapsed="false">
      <c r="A1120" s="38" t="s">
        <v>854</v>
      </c>
      <c r="B1120" s="38" t="n">
        <v>39</v>
      </c>
      <c r="C1120" s="38" t="s">
        <v>171</v>
      </c>
      <c r="D1120" s="38" t="s">
        <v>868</v>
      </c>
      <c r="E1120" s="38" t="str">
        <f aca="false">B1120&amp;"|"&amp;C1120</f>
        <v>39|U</v>
      </c>
      <c r="F1120" s="45" t="n">
        <f aca="false">INDEX('Emission Stepwise'!$H$2:$H$289,MATCH(E1120,'Emission Stepwise'!$C$2:$C$289,0))</f>
        <v>0.295566502463054</v>
      </c>
      <c r="G1120" s="45" t="n">
        <f aca="false">INDEX(Background!$C$4:$C$7,MATCH(C1120,Background!$A$4:$A$7,0))</f>
        <v>0.212884169069555</v>
      </c>
      <c r="H1120" s="49" t="n">
        <f aca="false">LN(F1120/G1120)</f>
        <v>0.328145651554969</v>
      </c>
    </row>
    <row r="1121" customFormat="false" ht="15" hidden="false" customHeight="true" outlineLevel="0" collapsed="false">
      <c r="A1121" s="38" t="s">
        <v>854</v>
      </c>
      <c r="B1121" s="38" t="n">
        <v>40</v>
      </c>
      <c r="C1121" s="38" t="s">
        <v>172</v>
      </c>
      <c r="D1121" s="38" t="s">
        <v>868</v>
      </c>
      <c r="E1121" s="38" t="str">
        <f aca="false">B1121&amp;"|"&amp;C1121</f>
        <v>40|A</v>
      </c>
      <c r="F1121" s="45" t="n">
        <f aca="false">INDEX('Emission Stepwise'!$H$2:$H$289,MATCH(E1121,'Emission Stepwise'!$C$2:$C$289,0))</f>
        <v>0.00985221674876847</v>
      </c>
      <c r="G1121" s="45" t="n">
        <f aca="false">INDEX(Background!$C$4:$C$7,MATCH(C1121,Background!$A$4:$A$7,0))</f>
        <v>0.185174766157958</v>
      </c>
      <c r="H1121" s="49" t="n">
        <f aca="false">LN(F1121/G1121)</f>
        <v>-2.93360358058178</v>
      </c>
    </row>
    <row r="1122" customFormat="false" ht="15" hidden="false" customHeight="true" outlineLevel="0" collapsed="false">
      <c r="A1122" s="38" t="s">
        <v>854</v>
      </c>
      <c r="B1122" s="38" t="n">
        <v>41</v>
      </c>
      <c r="C1122" s="38" t="s">
        <v>172</v>
      </c>
      <c r="D1122" s="38" t="s">
        <v>868</v>
      </c>
      <c r="E1122" s="38" t="str">
        <f aca="false">B1122&amp;"|"&amp;C1122</f>
        <v>41|A</v>
      </c>
      <c r="F1122" s="45" t="n">
        <f aca="false">INDEX('Emission Stepwise'!$H$2:$H$289,MATCH(E1122,'Emission Stepwise'!$C$2:$C$289,0))</f>
        <v>0.270935960591133</v>
      </c>
      <c r="G1122" s="45" t="n">
        <f aca="false">INDEX(Background!$C$4:$C$7,MATCH(C1122,Background!$A$4:$A$7,0))</f>
        <v>0.185174766157958</v>
      </c>
      <c r="H1122" s="49" t="n">
        <f aca="false">LN(F1122/G1122)</f>
        <v>0.380582424090749</v>
      </c>
    </row>
    <row r="1123" customFormat="false" ht="15" hidden="false" customHeight="true" outlineLevel="0" collapsed="false">
      <c r="A1123" s="38" t="s">
        <v>854</v>
      </c>
      <c r="B1123" s="38" t="n">
        <v>42</v>
      </c>
      <c r="C1123" s="38" t="s">
        <v>172</v>
      </c>
      <c r="D1123" s="38" t="s">
        <v>868</v>
      </c>
      <c r="E1123" s="38" t="str">
        <f aca="false">B1123&amp;"|"&amp;C1123</f>
        <v>42|A</v>
      </c>
      <c r="F1123" s="45" t="n">
        <f aca="false">INDEX('Emission Stepwise'!$H$2:$H$289,MATCH(E1123,'Emission Stepwise'!$C$2:$C$289,0))</f>
        <v>0.241379310344828</v>
      </c>
      <c r="G1123" s="45" t="n">
        <f aca="false">INDEX(Background!$C$4:$C$7,MATCH(C1123,Background!$A$4:$A$7,0))</f>
        <v>0.185174766157958</v>
      </c>
      <c r="H1123" s="49" t="n">
        <f aca="false">LN(F1123/G1123)</f>
        <v>0.265069536968904</v>
      </c>
    </row>
    <row r="1124" customFormat="false" ht="15" hidden="false" customHeight="true" outlineLevel="0" collapsed="false">
      <c r="A1124" s="38" t="s">
        <v>854</v>
      </c>
      <c r="B1124" s="38" t="n">
        <v>43</v>
      </c>
      <c r="C1124" s="38" t="s">
        <v>170</v>
      </c>
      <c r="D1124" s="38" t="s">
        <v>868</v>
      </c>
      <c r="E1124" s="38" t="str">
        <f aca="false">B1124&amp;"|"&amp;C1124</f>
        <v>43|C</v>
      </c>
      <c r="F1124" s="45" t="n">
        <f aca="false">INDEX('Emission Stepwise'!$H$2:$H$289,MATCH(E1124,'Emission Stepwise'!$C$2:$C$289,0))</f>
        <v>0.118226600985222</v>
      </c>
      <c r="G1124" s="45" t="n">
        <f aca="false">INDEX(Background!$C$4:$C$7,MATCH(C1124,Background!$A$4:$A$7,0))</f>
        <v>0.276812715380828</v>
      </c>
      <c r="H1124" s="49" t="n">
        <f aca="false">LN(F1124/G1124)</f>
        <v>-0.850738029469611</v>
      </c>
    </row>
    <row r="1125" customFormat="false" ht="15" hidden="false" customHeight="true" outlineLevel="0" collapsed="false">
      <c r="A1125" s="38" t="s">
        <v>854</v>
      </c>
      <c r="B1125" s="38" t="n">
        <v>44</v>
      </c>
      <c r="C1125" s="38" t="s">
        <v>171</v>
      </c>
      <c r="D1125" s="38" t="s">
        <v>868</v>
      </c>
      <c r="E1125" s="38" t="str">
        <f aca="false">B1125&amp;"|"&amp;C1125</f>
        <v>44|U</v>
      </c>
      <c r="F1125" s="45" t="n">
        <f aca="false">INDEX('Emission Stepwise'!$H$2:$H$289,MATCH(E1125,'Emission Stepwise'!$C$2:$C$289,0))</f>
        <v>0.118226600985222</v>
      </c>
      <c r="G1125" s="45" t="n">
        <f aca="false">INDEX(Background!$C$4:$C$7,MATCH(C1125,Background!$A$4:$A$7,0))</f>
        <v>0.212884169069555</v>
      </c>
      <c r="H1125" s="49" t="n">
        <f aca="false">LN(F1125/G1125)</f>
        <v>-0.588145080319186</v>
      </c>
    </row>
    <row r="1126" customFormat="false" ht="15" hidden="false" customHeight="true" outlineLevel="0" collapsed="false">
      <c r="A1126" s="38" t="s">
        <v>854</v>
      </c>
      <c r="B1126" s="38" t="n">
        <v>45</v>
      </c>
      <c r="C1126" s="38" t="s">
        <v>170</v>
      </c>
      <c r="D1126" s="38" t="s">
        <v>869</v>
      </c>
      <c r="E1126" s="38" t="str">
        <f aca="false">B1126&amp;"|"&amp;C1126</f>
        <v>45|C</v>
      </c>
      <c r="F1126" s="45" t="n">
        <f aca="false">INDEX('Emission Stepwise'!$H$2:$H$289,MATCH(E1126,'Emission Stepwise'!$C$2:$C$289,0))</f>
        <v>0.0298507462686567</v>
      </c>
      <c r="G1126" s="45" t="n">
        <f aca="false">INDEX(Background!$C$4:$C$7,MATCH(C1126,Background!$A$4:$A$7,0))</f>
        <v>0.276812715380828</v>
      </c>
      <c r="H1126" s="49" t="n">
        <f aca="false">LN(F1126/G1126)</f>
        <v>-2.22713131960679</v>
      </c>
    </row>
    <row r="1127" customFormat="false" ht="15" hidden="false" customHeight="true" outlineLevel="0" collapsed="false">
      <c r="A1127" s="38" t="s">
        <v>854</v>
      </c>
      <c r="B1127" s="38" t="n">
        <v>46</v>
      </c>
      <c r="C1127" s="38" t="s">
        <v>172</v>
      </c>
      <c r="D1127" s="38" t="s">
        <v>869</v>
      </c>
      <c r="E1127" s="38" t="str">
        <f aca="false">B1127&amp;"|"&amp;C1127</f>
        <v>46|A</v>
      </c>
      <c r="F1127" s="45" t="n">
        <f aca="false">INDEX('Emission Stepwise'!$H$2:$H$289,MATCH(E1127,'Emission Stepwise'!$C$2:$C$289,0))</f>
        <v>0.0988372093023256</v>
      </c>
      <c r="G1127" s="45" t="n">
        <f aca="false">INDEX(Background!$C$4:$C$7,MATCH(C1127,Background!$A$4:$A$7,0))</f>
        <v>0.185174766157958</v>
      </c>
      <c r="H1127" s="49" t="n">
        <f aca="false">LN(F1127/G1127)</f>
        <v>-0.627825914857172</v>
      </c>
    </row>
    <row r="1128" customFormat="false" ht="15" hidden="false" customHeight="true" outlineLevel="0" collapsed="false">
      <c r="A1128" s="38" t="s">
        <v>854</v>
      </c>
      <c r="B1128" s="38" t="n">
        <v>47</v>
      </c>
      <c r="C1128" s="38" t="s">
        <v>170</v>
      </c>
      <c r="D1128" s="38" t="s">
        <v>869</v>
      </c>
      <c r="E1128" s="38" t="str">
        <f aca="false">B1128&amp;"|"&amp;C1128</f>
        <v>47|C</v>
      </c>
      <c r="F1128" s="45" t="n">
        <f aca="false">INDEX('Emission Stepwise'!$H$2:$H$289,MATCH(E1128,'Emission Stepwise'!$C$2:$C$289,0))</f>
        <v>0.118226600985222</v>
      </c>
      <c r="G1128" s="45" t="n">
        <f aca="false">INDEX(Background!$C$4:$C$7,MATCH(C1128,Background!$A$4:$A$7,0))</f>
        <v>0.276812715380828</v>
      </c>
      <c r="H1128" s="49" t="n">
        <f aca="false">LN(F1128/G1128)</f>
        <v>-0.850738029469611</v>
      </c>
    </row>
    <row r="1129" customFormat="false" ht="15" hidden="false" customHeight="true" outlineLevel="0" collapsed="false">
      <c r="A1129" s="38" t="s">
        <v>854</v>
      </c>
      <c r="B1129" s="38" t="n">
        <v>48</v>
      </c>
      <c r="C1129" s="38" t="s">
        <v>169</v>
      </c>
      <c r="D1129" s="38" t="s">
        <v>869</v>
      </c>
      <c r="E1129" s="38" t="str">
        <f aca="false">B1129&amp;"|"&amp;C1129</f>
        <v>48|G</v>
      </c>
      <c r="F1129" s="45" t="n">
        <f aca="false">INDEX('Emission Stepwise'!$H$2:$H$289,MATCH(E1129,'Emission Stepwise'!$C$2:$C$289,0))</f>
        <v>0.0147783251231527</v>
      </c>
      <c r="G1129" s="45" t="n">
        <f aca="false">INDEX(Background!$C$4:$C$7,MATCH(C1129,Background!$A$4:$A$7,0))</f>
        <v>0.325128349391659</v>
      </c>
      <c r="H1129" s="49" t="n">
        <f aca="false">LN(F1129/G1129)</f>
        <v>-3.09105843696553</v>
      </c>
    </row>
    <row r="1130" customFormat="false" ht="15" hidden="false" customHeight="true" outlineLevel="0" collapsed="false">
      <c r="A1130" s="38" t="s">
        <v>854</v>
      </c>
      <c r="B1130" s="38" t="n">
        <v>49</v>
      </c>
      <c r="C1130" s="38" t="s">
        <v>170</v>
      </c>
      <c r="D1130" s="38" t="s">
        <v>870</v>
      </c>
      <c r="E1130" s="38" t="str">
        <f aca="false">B1130&amp;"|"&amp;C1130</f>
        <v>49|C</v>
      </c>
      <c r="F1130" s="45" t="n">
        <f aca="false">INDEX('Emission Stepwise'!$H$2:$H$289,MATCH(E1130,'Emission Stepwise'!$C$2:$C$289,0))</f>
        <v>0.285714285714286</v>
      </c>
      <c r="G1130" s="45" t="n">
        <f aca="false">INDEX(Background!$C$4:$C$7,MATCH(C1130,Background!$A$4:$A$7,0))</f>
        <v>0.276812715380828</v>
      </c>
      <c r="H1130" s="49" t="n">
        <f aca="false">LN(F1130/G1130)</f>
        <v>0.0316511507288624</v>
      </c>
    </row>
    <row r="1131" customFormat="false" ht="15" hidden="false" customHeight="true" outlineLevel="0" collapsed="false">
      <c r="A1131" s="38" t="s">
        <v>854</v>
      </c>
      <c r="B1131" s="38" t="n">
        <v>50</v>
      </c>
      <c r="C1131" s="38" t="s">
        <v>172</v>
      </c>
      <c r="D1131" s="38" t="s">
        <v>870</v>
      </c>
      <c r="E1131" s="38" t="str">
        <f aca="false">B1131&amp;"|"&amp;C1131</f>
        <v>50|A</v>
      </c>
      <c r="F1131" s="45" t="n">
        <f aca="false">INDEX('Emission Stepwise'!$H$2:$H$289,MATCH(E1131,'Emission Stepwise'!$C$2:$C$289,0))</f>
        <v>0.118226600985222</v>
      </c>
      <c r="G1131" s="45" t="n">
        <f aca="false">INDEX(Background!$C$4:$C$7,MATCH(C1131,Background!$A$4:$A$7,0))</f>
        <v>0.185174766157958</v>
      </c>
      <c r="H1131" s="49" t="n">
        <f aca="false">LN(F1131/G1131)</f>
        <v>-0.448696930793777</v>
      </c>
    </row>
    <row r="1132" customFormat="false" ht="15" hidden="false" customHeight="true" outlineLevel="0" collapsed="false">
      <c r="A1132" s="38" t="s">
        <v>854</v>
      </c>
      <c r="B1132" s="38" t="n">
        <v>51</v>
      </c>
      <c r="C1132" s="38" t="s">
        <v>171</v>
      </c>
      <c r="D1132" s="38" t="s">
        <v>870</v>
      </c>
      <c r="E1132" s="38" t="str">
        <f aca="false">B1132&amp;"|"&amp;C1132</f>
        <v>51|U</v>
      </c>
      <c r="F1132" s="45" t="n">
        <f aca="false">INDEX('Emission Stepwise'!$H$2:$H$289,MATCH(E1132,'Emission Stepwise'!$C$2:$C$289,0))</f>
        <v>0.153465346534653</v>
      </c>
      <c r="G1132" s="45" t="n">
        <f aca="false">INDEX(Background!$C$4:$C$7,MATCH(C1132,Background!$A$4:$A$7,0))</f>
        <v>0.212884169069555</v>
      </c>
      <c r="H1132" s="49" t="n">
        <f aca="false">LN(F1132/G1132)</f>
        <v>-0.327273424541403</v>
      </c>
    </row>
    <row r="1133" customFormat="false" ht="15" hidden="false" customHeight="true" outlineLevel="0" collapsed="false">
      <c r="A1133" s="38" t="s">
        <v>854</v>
      </c>
      <c r="B1133" s="38" t="n">
        <v>52</v>
      </c>
      <c r="C1133" s="38" t="s">
        <v>171</v>
      </c>
      <c r="D1133" s="38" t="s">
        <v>870</v>
      </c>
      <c r="E1133" s="38" t="str">
        <f aca="false">B1133&amp;"|"&amp;C1133</f>
        <v>52|U</v>
      </c>
      <c r="F1133" s="45" t="n">
        <f aca="false">INDEX('Emission Stepwise'!$H$2:$H$289,MATCH(E1133,'Emission Stepwise'!$C$2:$C$289,0))</f>
        <v>0.0246305418719212</v>
      </c>
      <c r="G1133" s="45" t="n">
        <f aca="false">INDEX(Background!$C$4:$C$7,MATCH(C1133,Background!$A$4:$A$7,0))</f>
        <v>0.212884169069555</v>
      </c>
      <c r="H1133" s="49" t="n">
        <f aca="false">LN(F1133/G1133)</f>
        <v>-2.15676099823303</v>
      </c>
    </row>
    <row r="1134" customFormat="false" ht="15" hidden="false" customHeight="true" outlineLevel="0" collapsed="false">
      <c r="A1134" s="38" t="s">
        <v>854</v>
      </c>
      <c r="B1134" s="38" t="n">
        <v>53</v>
      </c>
      <c r="C1134" s="38" t="s">
        <v>169</v>
      </c>
      <c r="D1134" s="38" t="s">
        <v>870</v>
      </c>
      <c r="E1134" s="38" t="str">
        <f aca="false">B1134&amp;"|"&amp;C1134</f>
        <v>53|G</v>
      </c>
      <c r="F1134" s="45" t="n">
        <f aca="false">INDEX('Emission Stepwise'!$H$2:$H$289,MATCH(E1134,'Emission Stepwise'!$C$2:$C$289,0))</f>
        <v>0.96551724137931</v>
      </c>
      <c r="G1134" s="45" t="n">
        <f aca="false">INDEX(Background!$C$4:$C$7,MATCH(C1134,Background!$A$4:$A$7,0))</f>
        <v>0.325128349391659</v>
      </c>
      <c r="H1134" s="49" t="n">
        <f aca="false">LN(F1134/G1134)</f>
        <v>1.08844393359688</v>
      </c>
    </row>
    <row r="1135" customFormat="false" ht="15" hidden="false" customHeight="true" outlineLevel="0" collapsed="false">
      <c r="A1135" s="38" t="s">
        <v>854</v>
      </c>
      <c r="B1135" s="38" t="n">
        <v>54</v>
      </c>
      <c r="C1135" s="38" t="s">
        <v>171</v>
      </c>
      <c r="D1135" s="38" t="s">
        <v>870</v>
      </c>
      <c r="E1135" s="38" t="str">
        <f aca="false">B1135&amp;"|"&amp;C1135</f>
        <v>54|U</v>
      </c>
      <c r="F1135" s="45" t="n">
        <f aca="false">INDEX('Emission Stepwise'!$H$2:$H$289,MATCH(E1135,'Emission Stepwise'!$C$2:$C$289,0))</f>
        <v>0.975369458128079</v>
      </c>
      <c r="G1135" s="45" t="n">
        <f aca="false">INDEX(Background!$C$4:$C$7,MATCH(C1135,Background!$A$4:$A$7,0))</f>
        <v>0.212884169069555</v>
      </c>
      <c r="H1135" s="49" t="n">
        <f aca="false">LN(F1135/G1135)</f>
        <v>1.5220681200274</v>
      </c>
    </row>
    <row r="1136" customFormat="false" ht="15" hidden="false" customHeight="true" outlineLevel="0" collapsed="false">
      <c r="A1136" s="38" t="s">
        <v>854</v>
      </c>
      <c r="B1136" s="38" t="n">
        <v>55</v>
      </c>
      <c r="C1136" s="38" t="s">
        <v>171</v>
      </c>
      <c r="D1136" s="38" t="s">
        <v>870</v>
      </c>
      <c r="E1136" s="38" t="str">
        <f aca="false">B1136&amp;"|"&amp;C1136</f>
        <v>55|U</v>
      </c>
      <c r="F1136" s="45" t="n">
        <f aca="false">INDEX('Emission Stepwise'!$H$2:$H$289,MATCH(E1136,'Emission Stepwise'!$C$2:$C$289,0))</f>
        <v>0.970443349753695</v>
      </c>
      <c r="G1136" s="45" t="n">
        <f aca="false">INDEX(Background!$C$4:$C$7,MATCH(C1136,Background!$A$4:$A$7,0))</f>
        <v>0.212884169069555</v>
      </c>
      <c r="H1136" s="49" t="n">
        <f aca="false">LN(F1136/G1136)</f>
        <v>1.51700481807086</v>
      </c>
    </row>
    <row r="1137" customFormat="false" ht="15" hidden="false" customHeight="true" outlineLevel="0" collapsed="false">
      <c r="A1137" s="38" t="s">
        <v>854</v>
      </c>
      <c r="B1137" s="38" t="n">
        <v>56</v>
      </c>
      <c r="C1137" s="38" t="s">
        <v>170</v>
      </c>
      <c r="D1137" s="38" t="s">
        <v>870</v>
      </c>
      <c r="E1137" s="38" t="str">
        <f aca="false">B1137&amp;"|"&amp;C1137</f>
        <v>56|C</v>
      </c>
      <c r="F1137" s="45" t="n">
        <f aca="false">INDEX('Emission Stepwise'!$H$2:$H$289,MATCH(E1137,'Emission Stepwise'!$C$2:$C$289,0))</f>
        <v>0.96551724137931</v>
      </c>
      <c r="G1137" s="45" t="n">
        <f aca="false">INDEX(Background!$C$4:$C$7,MATCH(C1137,Background!$A$4:$A$7,0))</f>
        <v>0.276812715380828</v>
      </c>
      <c r="H1137" s="49" t="n">
        <f aca="false">LN(F1137/G1137)</f>
        <v>1.24932279941296</v>
      </c>
    </row>
    <row r="1138" customFormat="false" ht="15" hidden="false" customHeight="true" outlineLevel="0" collapsed="false">
      <c r="A1138" s="38" t="s">
        <v>854</v>
      </c>
      <c r="B1138" s="38" t="n">
        <v>57</v>
      </c>
      <c r="C1138" s="38" t="s">
        <v>171</v>
      </c>
      <c r="D1138" s="38" t="s">
        <v>870</v>
      </c>
      <c r="E1138" s="38" t="str">
        <f aca="false">B1138&amp;"|"&amp;C1138</f>
        <v>57|U</v>
      </c>
      <c r="F1138" s="45" t="n">
        <f aca="false">INDEX('Emission Stepwise'!$H$2:$H$289,MATCH(E1138,'Emission Stepwise'!$C$2:$C$289,0))</f>
        <v>0.0099009900990099</v>
      </c>
      <c r="G1138" s="45" t="n">
        <f aca="false">INDEX(Background!$C$4:$C$7,MATCH(C1138,Background!$A$4:$A$7,0))</f>
        <v>0.212884169069555</v>
      </c>
      <c r="H1138" s="49" t="n">
        <f aca="false">LN(F1138/G1138)</f>
        <v>-3.0681134484666</v>
      </c>
    </row>
    <row r="1139" customFormat="false" ht="15" hidden="false" customHeight="true" outlineLevel="0" collapsed="false">
      <c r="A1139" s="38" t="s">
        <v>854</v>
      </c>
      <c r="B1139" s="38" t="n">
        <v>58</v>
      </c>
      <c r="C1139" s="38" t="s">
        <v>172</v>
      </c>
      <c r="D1139" s="38" t="s">
        <v>870</v>
      </c>
      <c r="E1139" s="38" t="str">
        <f aca="false">B1139&amp;"|"&amp;C1139</f>
        <v>58|A</v>
      </c>
      <c r="F1139" s="45" t="n">
        <f aca="false">INDEX('Emission Stepwise'!$H$2:$H$289,MATCH(E1139,'Emission Stepwise'!$C$2:$C$289,0))</f>
        <v>0.975369458128079</v>
      </c>
      <c r="G1139" s="45" t="n">
        <f aca="false">INDEX(Background!$C$4:$C$7,MATCH(C1139,Background!$A$4:$A$7,0))</f>
        <v>0.185174766157958</v>
      </c>
      <c r="H1139" s="49" t="n">
        <f aca="false">LN(F1139/G1139)</f>
        <v>1.66151626955281</v>
      </c>
    </row>
    <row r="1140" customFormat="false" ht="15" hidden="false" customHeight="true" outlineLevel="0" collapsed="false">
      <c r="A1140" s="38" t="s">
        <v>854</v>
      </c>
      <c r="B1140" s="38" t="n">
        <v>59</v>
      </c>
      <c r="C1140" s="38" t="s">
        <v>172</v>
      </c>
      <c r="D1140" s="38" t="s">
        <v>870</v>
      </c>
      <c r="E1140" s="38" t="str">
        <f aca="false">B1140&amp;"|"&amp;C1140</f>
        <v>59|A</v>
      </c>
      <c r="F1140" s="45" t="n">
        <f aca="false">INDEX('Emission Stepwise'!$H$2:$H$289,MATCH(E1140,'Emission Stepwise'!$C$2:$C$289,0))</f>
        <v>0.45320197044335</v>
      </c>
      <c r="G1140" s="45" t="n">
        <f aca="false">INDEX(Background!$C$4:$C$7,MATCH(C1140,Background!$A$4:$A$7,0))</f>
        <v>0.185174766157958</v>
      </c>
      <c r="H1140" s="49" t="n">
        <f aca="false">LN(F1140/G1140)</f>
        <v>0.895037815907318</v>
      </c>
    </row>
    <row r="1141" customFormat="false" ht="15" hidden="false" customHeight="true" outlineLevel="0" collapsed="false">
      <c r="A1141" s="38" t="s">
        <v>854</v>
      </c>
      <c r="B1141" s="38" t="n">
        <v>60</v>
      </c>
      <c r="C1141" s="38" t="s">
        <v>169</v>
      </c>
      <c r="D1141" s="38" t="s">
        <v>870</v>
      </c>
      <c r="E1141" s="38" t="str">
        <f aca="false">B1141&amp;"|"&amp;C1141</f>
        <v>60|G</v>
      </c>
      <c r="F1141" s="45" t="n">
        <f aca="false">INDEX('Emission Stepwise'!$H$2:$H$289,MATCH(E1141,'Emission Stepwise'!$C$2:$C$289,0))</f>
        <v>0.0147783251231527</v>
      </c>
      <c r="G1141" s="45" t="n">
        <f aca="false">INDEX(Background!$C$4:$C$7,MATCH(C1141,Background!$A$4:$A$7,0))</f>
        <v>0.325128349391659</v>
      </c>
      <c r="H1141" s="49" t="n">
        <f aca="false">LN(F1141/G1141)</f>
        <v>-3.09105843696553</v>
      </c>
    </row>
    <row r="1142" customFormat="false" ht="15" hidden="false" customHeight="true" outlineLevel="0" collapsed="false">
      <c r="A1142" s="38" t="s">
        <v>854</v>
      </c>
      <c r="B1142" s="38" t="n">
        <v>61</v>
      </c>
      <c r="C1142" s="38" t="s">
        <v>170</v>
      </c>
      <c r="D1142" s="38" t="s">
        <v>870</v>
      </c>
      <c r="E1142" s="38" t="str">
        <f aca="false">B1142&amp;"|"&amp;C1142</f>
        <v>61|C</v>
      </c>
      <c r="F1142" s="45" t="n">
        <f aca="false">INDEX('Emission Stepwise'!$H$2:$H$289,MATCH(E1142,'Emission Stepwise'!$C$2:$C$289,0))</f>
        <v>0.975369458128079</v>
      </c>
      <c r="G1142" s="45" t="n">
        <f aca="false">INDEX(Background!$C$4:$C$7,MATCH(C1142,Background!$A$4:$A$7,0))</f>
        <v>0.276812715380828</v>
      </c>
      <c r="H1142" s="49" t="n">
        <f aca="false">LN(F1142/G1142)</f>
        <v>1.25947517087698</v>
      </c>
    </row>
    <row r="1143" customFormat="false" ht="15" hidden="false" customHeight="true" outlineLevel="0" collapsed="false">
      <c r="A1143" s="38" t="s">
        <v>854</v>
      </c>
      <c r="B1143" s="38" t="n">
        <v>62</v>
      </c>
      <c r="C1143" s="38" t="s">
        <v>169</v>
      </c>
      <c r="D1143" s="38" t="s">
        <v>870</v>
      </c>
      <c r="E1143" s="38" t="str">
        <f aca="false">B1143&amp;"|"&amp;C1143</f>
        <v>62|G</v>
      </c>
      <c r="F1143" s="45" t="n">
        <f aca="false">INDEX('Emission Stepwise'!$H$2:$H$289,MATCH(E1143,'Emission Stepwise'!$C$2:$C$289,0))</f>
        <v>0.0147783251231527</v>
      </c>
      <c r="G1143" s="45" t="n">
        <f aca="false">INDEX(Background!$C$4:$C$7,MATCH(C1143,Background!$A$4:$A$7,0))</f>
        <v>0.325128349391659</v>
      </c>
      <c r="H1143" s="49" t="n">
        <f aca="false">LN(F1143/G1143)</f>
        <v>-3.09105843696553</v>
      </c>
    </row>
    <row r="1144" customFormat="false" ht="15" hidden="false" customHeight="true" outlineLevel="0" collapsed="false">
      <c r="A1144" s="38" t="s">
        <v>854</v>
      </c>
      <c r="B1144" s="38" t="n">
        <v>63</v>
      </c>
      <c r="C1144" s="38" t="s">
        <v>172</v>
      </c>
      <c r="D1144" s="38" t="s">
        <v>870</v>
      </c>
      <c r="E1144" s="38" t="str">
        <f aca="false">B1144&amp;"|"&amp;C1144</f>
        <v>63|A</v>
      </c>
      <c r="F1144" s="45" t="n">
        <f aca="false">INDEX('Emission Stepwise'!$H$2:$H$289,MATCH(E1144,'Emission Stepwise'!$C$2:$C$289,0))</f>
        <v>0.113300492610837</v>
      </c>
      <c r="G1144" s="45" t="n">
        <f aca="false">INDEX(Background!$C$4:$C$7,MATCH(C1144,Background!$A$4:$A$7,0))</f>
        <v>0.185174766157958</v>
      </c>
      <c r="H1144" s="49" t="n">
        <f aca="false">LN(F1144/G1144)</f>
        <v>-0.491256545212573</v>
      </c>
    </row>
    <row r="1145" customFormat="false" ht="15" hidden="false" customHeight="true" outlineLevel="0" collapsed="false">
      <c r="A1145" s="38" t="s">
        <v>854</v>
      </c>
      <c r="B1145" s="38" t="n">
        <v>64</v>
      </c>
      <c r="C1145" s="38" t="s">
        <v>170</v>
      </c>
      <c r="D1145" s="38" t="s">
        <v>870</v>
      </c>
      <c r="E1145" s="38" t="str">
        <f aca="false">B1145&amp;"|"&amp;C1145</f>
        <v>64|C</v>
      </c>
      <c r="F1145" s="45" t="n">
        <f aca="false">INDEX('Emission Stepwise'!$H$2:$H$289,MATCH(E1145,'Emission Stepwise'!$C$2:$C$289,0))</f>
        <v>0.211822660098522</v>
      </c>
      <c r="G1145" s="45" t="n">
        <f aca="false">INDEX(Background!$C$4:$C$7,MATCH(C1145,Background!$A$4:$A$7,0))</f>
        <v>0.276812715380828</v>
      </c>
      <c r="H1145" s="49" t="n">
        <f aca="false">LN(F1145/G1145)</f>
        <v>-0.267591744123995</v>
      </c>
    </row>
    <row r="1146" customFormat="false" ht="15" hidden="false" customHeight="true" outlineLevel="0" collapsed="false">
      <c r="A1146" s="38" t="s">
        <v>854</v>
      </c>
      <c r="B1146" s="38" t="n">
        <v>65</v>
      </c>
      <c r="C1146" s="38" t="s">
        <v>169</v>
      </c>
      <c r="D1146" s="38" t="s">
        <v>870</v>
      </c>
      <c r="E1146" s="38" t="str">
        <f aca="false">B1146&amp;"|"&amp;C1146</f>
        <v>65|G</v>
      </c>
      <c r="F1146" s="45" t="n">
        <f aca="false">INDEX('Emission Stepwise'!$H$2:$H$289,MATCH(E1146,'Emission Stepwise'!$C$2:$C$289,0))</f>
        <v>0.287128712871287</v>
      </c>
      <c r="G1146" s="45" t="n">
        <f aca="false">INDEX(Background!$C$4:$C$7,MATCH(C1146,Background!$A$4:$A$7,0))</f>
        <v>0.325128349391659</v>
      </c>
      <c r="H1146" s="49" t="n">
        <f aca="false">LN(F1146/G1146)</f>
        <v>-0.124289433446636</v>
      </c>
    </row>
    <row r="1147" customFormat="false" ht="15" hidden="false" customHeight="true" outlineLevel="0" collapsed="false">
      <c r="A1147" s="38" t="s">
        <v>854</v>
      </c>
      <c r="B1147" s="38" t="n">
        <v>66</v>
      </c>
      <c r="C1147" s="38" t="s">
        <v>170</v>
      </c>
      <c r="D1147" s="38" t="s">
        <v>871</v>
      </c>
      <c r="E1147" s="38" t="str">
        <f aca="false">B1147&amp;"|"&amp;C1147</f>
        <v>66|C</v>
      </c>
      <c r="F1147" s="45" t="n">
        <f aca="false">INDEX('Emission Stepwise'!$H$2:$H$289,MATCH(E1147,'Emission Stepwise'!$C$2:$C$289,0))</f>
        <v>0.522167487684729</v>
      </c>
      <c r="G1147" s="45" t="n">
        <f aca="false">INDEX(Background!$C$4:$C$7,MATCH(C1147,Background!$A$4:$A$7,0))</f>
        <v>0.276812715380828</v>
      </c>
      <c r="H1147" s="49" t="n">
        <f aca="false">LN(F1147/G1147)</f>
        <v>0.63464723429451</v>
      </c>
    </row>
    <row r="1148" customFormat="false" ht="15" hidden="false" customHeight="true" outlineLevel="0" collapsed="false">
      <c r="A1148" s="38" t="s">
        <v>854</v>
      </c>
      <c r="B1148" s="38" t="n">
        <v>67</v>
      </c>
      <c r="C1148" s="38" t="s">
        <v>172</v>
      </c>
      <c r="D1148" s="38" t="s">
        <v>871</v>
      </c>
      <c r="E1148" s="38" t="str">
        <f aca="false">B1148&amp;"|"&amp;C1148</f>
        <v>67|A</v>
      </c>
      <c r="F1148" s="45" t="n">
        <f aca="false">INDEX('Emission Stepwise'!$H$2:$H$289,MATCH(E1148,'Emission Stepwise'!$C$2:$C$289,0))</f>
        <v>0.206896551724138</v>
      </c>
      <c r="G1148" s="45" t="n">
        <f aca="false">INDEX(Background!$C$4:$C$7,MATCH(C1148,Background!$A$4:$A$7,0))</f>
        <v>0.185174766157958</v>
      </c>
      <c r="H1148" s="49" t="n">
        <f aca="false">LN(F1148/G1148)</f>
        <v>0.110918857141646</v>
      </c>
    </row>
    <row r="1149" customFormat="false" ht="15" hidden="false" customHeight="true" outlineLevel="0" collapsed="false">
      <c r="A1149" s="38" t="s">
        <v>854</v>
      </c>
      <c r="B1149" s="38" t="n">
        <v>68</v>
      </c>
      <c r="C1149" s="38" t="s">
        <v>171</v>
      </c>
      <c r="D1149" s="38" t="s">
        <v>871</v>
      </c>
      <c r="E1149" s="38" t="str">
        <f aca="false">B1149&amp;"|"&amp;C1149</f>
        <v>68|U</v>
      </c>
      <c r="F1149" s="45" t="n">
        <f aca="false">INDEX('Emission Stepwise'!$H$2:$H$289,MATCH(E1149,'Emission Stepwise'!$C$2:$C$289,0))</f>
        <v>0.177339901477833</v>
      </c>
      <c r="G1149" s="45" t="n">
        <f aca="false">INDEX(Background!$C$4:$C$7,MATCH(C1149,Background!$A$4:$A$7,0))</f>
        <v>0.212884169069555</v>
      </c>
      <c r="H1149" s="49" t="n">
        <f aca="false">LN(F1149/G1149)</f>
        <v>-0.182679972211022</v>
      </c>
    </row>
    <row r="1150" customFormat="false" ht="15" hidden="false" customHeight="true" outlineLevel="0" collapsed="false">
      <c r="A1150" s="38" t="s">
        <v>854</v>
      </c>
      <c r="B1150" s="38" t="n">
        <v>69</v>
      </c>
      <c r="C1150" s="38" t="s">
        <v>171</v>
      </c>
      <c r="D1150" s="38" t="s">
        <v>871</v>
      </c>
      <c r="E1150" s="38" t="str">
        <f aca="false">B1150&amp;"|"&amp;C1150</f>
        <v>69|U</v>
      </c>
      <c r="F1150" s="45" t="n">
        <f aca="false">INDEX('Emission Stepwise'!$H$2:$H$289,MATCH(E1150,'Emission Stepwise'!$C$2:$C$289,0))</f>
        <v>0.083743842364532</v>
      </c>
      <c r="G1150" s="45" t="n">
        <f aca="false">INDEX(Background!$C$4:$C$7,MATCH(C1150,Background!$A$4:$A$7,0))</f>
        <v>0.212884169069555</v>
      </c>
      <c r="H1150" s="49" t="n">
        <f aca="false">LN(F1150/G1150)</f>
        <v>-0.932985566610916</v>
      </c>
    </row>
    <row r="1151" customFormat="false" ht="15" hidden="false" customHeight="true" outlineLevel="0" collapsed="false">
      <c r="A1151" s="38" t="s">
        <v>854</v>
      </c>
      <c r="B1151" s="38" t="n">
        <v>70</v>
      </c>
      <c r="C1151" s="38" t="s">
        <v>172</v>
      </c>
      <c r="D1151" s="38" t="s">
        <v>871</v>
      </c>
      <c r="E1151" s="38" t="str">
        <f aca="false">B1151&amp;"|"&amp;C1151</f>
        <v>70|A</v>
      </c>
      <c r="F1151" s="45" t="n">
        <f aca="false">INDEX('Emission Stepwise'!$H$2:$H$289,MATCH(E1151,'Emission Stepwise'!$C$2:$C$289,0))</f>
        <v>0.118226600985222</v>
      </c>
      <c r="G1151" s="45" t="n">
        <f aca="false">INDEX(Background!$C$4:$C$7,MATCH(C1151,Background!$A$4:$A$7,0))</f>
        <v>0.185174766157958</v>
      </c>
      <c r="H1151" s="49" t="n">
        <f aca="false">LN(F1151/G1151)</f>
        <v>-0.448696930793777</v>
      </c>
    </row>
    <row r="1152" customFormat="false" ht="15" hidden="false" customHeight="true" outlineLevel="0" collapsed="false">
      <c r="A1152" s="38" t="s">
        <v>854</v>
      </c>
      <c r="B1152" s="38" t="n">
        <v>71</v>
      </c>
      <c r="C1152" s="38" t="s">
        <v>169</v>
      </c>
      <c r="D1152" s="38" t="s">
        <v>871</v>
      </c>
      <c r="E1152" s="38" t="str">
        <f aca="false">B1152&amp;"|"&amp;C1152</f>
        <v>71|G</v>
      </c>
      <c r="F1152" s="45" t="n">
        <f aca="false">INDEX('Emission Stepwise'!$H$2:$H$289,MATCH(E1152,'Emission Stepwise'!$C$2:$C$289,0))</f>
        <v>0.408866995073892</v>
      </c>
      <c r="G1152" s="45" t="n">
        <f aca="false">INDEX(Background!$C$4:$C$7,MATCH(C1152,Background!$A$4:$A$7,0))</f>
        <v>0.325128349391659</v>
      </c>
      <c r="H1152" s="49" t="n">
        <f aca="false">LN(F1152/G1152)</f>
        <v>0.22916988216296</v>
      </c>
    </row>
    <row r="1153" customFormat="false" ht="15" hidden="false" customHeight="true" outlineLevel="0" collapsed="false">
      <c r="A1153" s="38" t="s">
        <v>854</v>
      </c>
      <c r="B1153" s="38" t="n">
        <v>72</v>
      </c>
      <c r="C1153" s="38" t="s">
        <v>172</v>
      </c>
      <c r="D1153" s="38" t="s">
        <v>871</v>
      </c>
      <c r="E1153" s="38" t="str">
        <f aca="false">B1153&amp;"|"&amp;C1153</f>
        <v>72|A</v>
      </c>
      <c r="F1153" s="45" t="n">
        <f aca="false">INDEX('Emission Stepwise'!$H$2:$H$289,MATCH(E1153,'Emission Stepwise'!$C$2:$C$289,0))</f>
        <v>0.083743842364532</v>
      </c>
      <c r="G1153" s="45" t="n">
        <f aca="false">INDEX(Background!$C$4:$C$7,MATCH(C1153,Background!$A$4:$A$7,0))</f>
        <v>0.185174766157958</v>
      </c>
      <c r="H1153" s="49" t="n">
        <f aca="false">LN(F1153/G1153)</f>
        <v>-0.793537417085506</v>
      </c>
    </row>
    <row r="1154" customFormat="false" ht="15" hidden="false" customHeight="true" outlineLevel="0" collapsed="false">
      <c r="A1154" s="38" t="s">
        <v>855</v>
      </c>
      <c r="B1154" s="38" t="n">
        <v>1</v>
      </c>
      <c r="C1154" s="38" t="s">
        <v>172</v>
      </c>
      <c r="D1154" s="38" t="s">
        <v>865</v>
      </c>
      <c r="E1154" s="38" t="str">
        <f aca="false">B1154&amp;"|"&amp;C1154</f>
        <v>1|A</v>
      </c>
      <c r="F1154" s="45" t="n">
        <f aca="false">INDEX('Emission Stepwise'!$H$2:$H$289,MATCH(E1154,'Emission Stepwise'!$C$2:$C$289,0))</f>
        <v>0.0689655172413793</v>
      </c>
      <c r="G1154" s="45" t="n">
        <f aca="false">INDEX(Background!$C$4:$C$7,MATCH(C1154,Background!$A$4:$A$7,0))</f>
        <v>0.185174766157958</v>
      </c>
      <c r="H1154" s="49" t="n">
        <f aca="false">LN(F1154/G1154)</f>
        <v>-0.987693431526464</v>
      </c>
    </row>
    <row r="1155" customFormat="false" ht="15" hidden="false" customHeight="true" outlineLevel="0" collapsed="false">
      <c r="A1155" s="38" t="s">
        <v>855</v>
      </c>
      <c r="B1155" s="38" t="n">
        <v>2</v>
      </c>
      <c r="C1155" s="38" t="s">
        <v>171</v>
      </c>
      <c r="D1155" s="38" t="s">
        <v>865</v>
      </c>
      <c r="E1155" s="38" t="str">
        <f aca="false">B1155&amp;"|"&amp;C1155</f>
        <v>2|U</v>
      </c>
      <c r="F1155" s="45" t="n">
        <f aca="false">INDEX('Emission Stepwise'!$H$2:$H$289,MATCH(E1155,'Emission Stepwise'!$C$2:$C$289,0))</f>
        <v>0.0344827586206897</v>
      </c>
      <c r="G1155" s="45" t="n">
        <f aca="false">INDEX(Background!$C$4:$C$7,MATCH(C1155,Background!$A$4:$A$7,0))</f>
        <v>0.212884169069555</v>
      </c>
      <c r="H1155" s="49" t="n">
        <f aca="false">LN(F1155/G1155)</f>
        <v>-1.82028876161182</v>
      </c>
    </row>
    <row r="1156" customFormat="false" ht="15" hidden="false" customHeight="true" outlineLevel="0" collapsed="false">
      <c r="A1156" s="38" t="s">
        <v>855</v>
      </c>
      <c r="B1156" s="38" t="n">
        <v>3</v>
      </c>
      <c r="C1156" s="38" t="s">
        <v>172</v>
      </c>
      <c r="D1156" s="38" t="s">
        <v>865</v>
      </c>
      <c r="E1156" s="38" t="str">
        <f aca="false">B1156&amp;"|"&amp;C1156</f>
        <v>3|A</v>
      </c>
      <c r="F1156" s="45" t="n">
        <f aca="false">INDEX('Emission Stepwise'!$H$2:$H$289,MATCH(E1156,'Emission Stepwise'!$C$2:$C$289,0))</f>
        <v>0.0738916256157636</v>
      </c>
      <c r="G1156" s="45" t="n">
        <f aca="false">INDEX(Background!$C$4:$C$7,MATCH(C1156,Background!$A$4:$A$7,0))</f>
        <v>0.185174766157958</v>
      </c>
      <c r="H1156" s="49" t="n">
        <f aca="false">LN(F1156/G1156)</f>
        <v>-0.918700560039512</v>
      </c>
    </row>
    <row r="1157" customFormat="false" ht="15" hidden="false" customHeight="true" outlineLevel="0" collapsed="false">
      <c r="A1157" s="38" t="s">
        <v>855</v>
      </c>
      <c r="B1157" s="38" t="n">
        <v>4</v>
      </c>
      <c r="C1157" s="38" t="s">
        <v>171</v>
      </c>
      <c r="D1157" s="38" t="s">
        <v>865</v>
      </c>
      <c r="E1157" s="38" t="str">
        <f aca="false">B1157&amp;"|"&amp;C1157</f>
        <v>4|U</v>
      </c>
      <c r="F1157" s="45" t="n">
        <f aca="false">INDEX('Emission Stepwise'!$H$2:$H$289,MATCH(E1157,'Emission Stepwise'!$C$2:$C$289,0))</f>
        <v>0.172413793103448</v>
      </c>
      <c r="G1157" s="45" t="n">
        <f aca="false">INDEX(Background!$C$4:$C$7,MATCH(C1157,Background!$A$4:$A$7,0))</f>
        <v>0.212884169069555</v>
      </c>
      <c r="H1157" s="49" t="n">
        <f aca="false">LN(F1157/G1157)</f>
        <v>-0.210850849177718</v>
      </c>
    </row>
    <row r="1158" customFormat="false" ht="15" hidden="false" customHeight="true" outlineLevel="0" collapsed="false">
      <c r="A1158" s="38" t="s">
        <v>855</v>
      </c>
      <c r="B1158" s="38" t="n">
        <v>5</v>
      </c>
      <c r="C1158" s="38" t="s">
        <v>172</v>
      </c>
      <c r="D1158" s="38" t="s">
        <v>865</v>
      </c>
      <c r="E1158" s="38" t="str">
        <f aca="false">B1158&amp;"|"&amp;C1158</f>
        <v>5|A</v>
      </c>
      <c r="F1158" s="45" t="n">
        <f aca="false">INDEX('Emission Stepwise'!$H$2:$H$289,MATCH(E1158,'Emission Stepwise'!$C$2:$C$289,0))</f>
        <v>0.152709359605911</v>
      </c>
      <c r="G1158" s="45" t="n">
        <f aca="false">INDEX(Background!$C$4:$C$7,MATCH(C1158,Background!$A$4:$A$7,0))</f>
        <v>0.185174766157958</v>
      </c>
      <c r="H1158" s="49" t="n">
        <f aca="false">LN(F1158/G1158)</f>
        <v>-0.192763556656576</v>
      </c>
    </row>
    <row r="1159" customFormat="false" ht="15" hidden="false" customHeight="true" outlineLevel="0" collapsed="false">
      <c r="A1159" s="38" t="s">
        <v>855</v>
      </c>
      <c r="B1159" s="38" t="n">
        <v>6</v>
      </c>
      <c r="C1159" s="38" t="s">
        <v>172</v>
      </c>
      <c r="D1159" s="38" t="s">
        <v>865</v>
      </c>
      <c r="E1159" s="38" t="str">
        <f aca="false">B1159&amp;"|"&amp;C1159</f>
        <v>6|A</v>
      </c>
      <c r="F1159" s="45" t="n">
        <f aca="false">INDEX('Emission Stepwise'!$H$2:$H$289,MATCH(E1159,'Emission Stepwise'!$C$2:$C$289,0))</f>
        <v>0.172413793103448</v>
      </c>
      <c r="G1159" s="45" t="n">
        <f aca="false">INDEX(Background!$C$4:$C$7,MATCH(C1159,Background!$A$4:$A$7,0))</f>
        <v>0.185174766157958</v>
      </c>
      <c r="H1159" s="49" t="n">
        <f aca="false">LN(F1159/G1159)</f>
        <v>-0.0714026996523086</v>
      </c>
    </row>
    <row r="1160" customFormat="false" ht="15" hidden="false" customHeight="true" outlineLevel="0" collapsed="false">
      <c r="A1160" s="38" t="s">
        <v>855</v>
      </c>
      <c r="B1160" s="38" t="n">
        <v>7</v>
      </c>
      <c r="C1160" s="38" t="s">
        <v>172</v>
      </c>
      <c r="D1160" s="38" t="s">
        <v>865</v>
      </c>
      <c r="E1160" s="38" t="str">
        <f aca="false">B1160&amp;"|"&amp;C1160</f>
        <v>7|A</v>
      </c>
      <c r="F1160" s="45" t="n">
        <f aca="false">INDEX('Emission Stepwise'!$H$2:$H$289,MATCH(E1160,'Emission Stepwise'!$C$2:$C$289,0))</f>
        <v>0.236453201970443</v>
      </c>
      <c r="G1160" s="45" t="n">
        <f aca="false">INDEX(Background!$C$4:$C$7,MATCH(C1160,Background!$A$4:$A$7,0))</f>
        <v>0.185174766157958</v>
      </c>
      <c r="H1160" s="49" t="n">
        <f aca="false">LN(F1160/G1160)</f>
        <v>0.244450249766169</v>
      </c>
    </row>
    <row r="1161" customFormat="false" ht="15" hidden="false" customHeight="true" outlineLevel="0" collapsed="false">
      <c r="A1161" s="38" t="s">
        <v>855</v>
      </c>
      <c r="B1161" s="38" t="n">
        <v>8</v>
      </c>
      <c r="C1161" s="38" t="s">
        <v>171</v>
      </c>
      <c r="D1161" s="38" t="s">
        <v>866</v>
      </c>
      <c r="E1161" s="38" t="str">
        <f aca="false">B1161&amp;"|"&amp;C1161</f>
        <v>8|U</v>
      </c>
      <c r="F1161" s="45" t="n">
        <f aca="false">INDEX('Emission Stepwise'!$H$2:$H$289,MATCH(E1161,'Emission Stepwise'!$C$2:$C$289,0))</f>
        <v>0.975369458128079</v>
      </c>
      <c r="G1161" s="45" t="n">
        <f aca="false">INDEX(Background!$C$4:$C$7,MATCH(C1161,Background!$A$4:$A$7,0))</f>
        <v>0.212884169069555</v>
      </c>
      <c r="H1161" s="49" t="n">
        <f aca="false">LN(F1161/G1161)</f>
        <v>1.5220681200274</v>
      </c>
    </row>
    <row r="1162" customFormat="false" ht="15" hidden="false" customHeight="true" outlineLevel="0" collapsed="false">
      <c r="A1162" s="38" t="s">
        <v>855</v>
      </c>
      <c r="B1162" s="38" t="n">
        <v>9</v>
      </c>
      <c r="C1162" s="38" t="s">
        <v>172</v>
      </c>
      <c r="D1162" s="38" t="s">
        <v>867</v>
      </c>
      <c r="E1162" s="38" t="str">
        <f aca="false">B1162&amp;"|"&amp;C1162</f>
        <v>9|A</v>
      </c>
      <c r="F1162" s="45" t="n">
        <f aca="false">INDEX('Emission Stepwise'!$H$2:$H$289,MATCH(E1162,'Emission Stepwise'!$C$2:$C$289,0))</f>
        <v>0.648514851485149</v>
      </c>
      <c r="G1162" s="45" t="n">
        <f aca="false">INDEX(Background!$C$4:$C$7,MATCH(C1162,Background!$A$4:$A$7,0))</f>
        <v>0.185174766157958</v>
      </c>
      <c r="H1162" s="49" t="n">
        <f aca="false">LN(F1162/G1162)</f>
        <v>1.25338484370001</v>
      </c>
    </row>
    <row r="1163" customFormat="false" ht="15" hidden="false" customHeight="true" outlineLevel="0" collapsed="false">
      <c r="A1163" s="38" t="s">
        <v>855</v>
      </c>
      <c r="B1163" s="38" t="n">
        <v>10</v>
      </c>
      <c r="C1163" s="38" t="s">
        <v>172</v>
      </c>
      <c r="D1163" s="38" t="s">
        <v>867</v>
      </c>
      <c r="E1163" s="38" t="str">
        <f aca="false">B1163&amp;"|"&amp;C1163</f>
        <v>10|A</v>
      </c>
      <c r="F1163" s="45" t="n">
        <f aca="false">INDEX('Emission Stepwise'!$H$2:$H$289,MATCH(E1163,'Emission Stepwise'!$C$2:$C$289,0))</f>
        <v>0.00492610837438424</v>
      </c>
      <c r="G1163" s="45" t="n">
        <f aca="false">INDEX(Background!$C$4:$C$7,MATCH(C1163,Background!$A$4:$A$7,0))</f>
        <v>0.185174766157958</v>
      </c>
      <c r="H1163" s="49" t="n">
        <f aca="false">LN(F1163/G1163)</f>
        <v>-3.62675076114172</v>
      </c>
    </row>
    <row r="1164" customFormat="false" ht="15" hidden="false" customHeight="true" outlineLevel="0" collapsed="false">
      <c r="A1164" s="38" t="s">
        <v>855</v>
      </c>
      <c r="B1164" s="38" t="n">
        <v>11</v>
      </c>
      <c r="C1164" s="38" t="s">
        <v>172</v>
      </c>
      <c r="D1164" s="38" t="s">
        <v>867</v>
      </c>
      <c r="E1164" s="38" t="str">
        <f aca="false">B1164&amp;"|"&amp;C1164</f>
        <v>11|A</v>
      </c>
      <c r="F1164" s="45" t="n">
        <f aca="false">INDEX('Emission Stepwise'!$H$2:$H$289,MATCH(E1164,'Emission Stepwise'!$C$2:$C$289,0))</f>
        <v>0.0394088669950739</v>
      </c>
      <c r="G1164" s="45" t="n">
        <f aca="false">INDEX(Background!$C$4:$C$7,MATCH(C1164,Background!$A$4:$A$7,0))</f>
        <v>0.185174766157958</v>
      </c>
      <c r="H1164" s="49" t="n">
        <f aca="false">LN(F1164/G1164)</f>
        <v>-1.54730921946189</v>
      </c>
    </row>
    <row r="1165" customFormat="false" ht="15" hidden="false" customHeight="true" outlineLevel="0" collapsed="false">
      <c r="A1165" s="38" t="s">
        <v>855</v>
      </c>
      <c r="B1165" s="38" t="n">
        <v>12</v>
      </c>
      <c r="C1165" s="38" t="s">
        <v>171</v>
      </c>
      <c r="D1165" s="38" t="s">
        <v>867</v>
      </c>
      <c r="E1165" s="38" t="str">
        <f aca="false">B1165&amp;"|"&amp;C1165</f>
        <v>12|U</v>
      </c>
      <c r="F1165" s="45" t="n">
        <f aca="false">INDEX('Emission Stepwise'!$H$2:$H$289,MATCH(E1165,'Emission Stepwise'!$C$2:$C$289,0))</f>
        <v>0.591133004926108</v>
      </c>
      <c r="G1165" s="45" t="n">
        <f aca="false">INDEX(Background!$C$4:$C$7,MATCH(C1165,Background!$A$4:$A$7,0))</f>
        <v>0.212884169069555</v>
      </c>
      <c r="H1165" s="49" t="n">
        <f aca="false">LN(F1165/G1165)</f>
        <v>1.02129283211491</v>
      </c>
    </row>
    <row r="1166" customFormat="false" ht="15" hidden="false" customHeight="true" outlineLevel="0" collapsed="false">
      <c r="A1166" s="38" t="s">
        <v>855</v>
      </c>
      <c r="B1166" s="38" t="n">
        <v>13</v>
      </c>
      <c r="C1166" s="38" t="s">
        <v>171</v>
      </c>
      <c r="D1166" s="38" t="s">
        <v>867</v>
      </c>
      <c r="E1166" s="38" t="str">
        <f aca="false">B1166&amp;"|"&amp;C1166</f>
        <v>13|U</v>
      </c>
      <c r="F1166" s="45" t="n">
        <f aca="false">INDEX('Emission Stepwise'!$H$2:$H$289,MATCH(E1166,'Emission Stepwise'!$C$2:$C$289,0))</f>
        <v>0.192118226600985</v>
      </c>
      <c r="G1166" s="45" t="n">
        <f aca="false">INDEX(Background!$C$4:$C$7,MATCH(C1166,Background!$A$4:$A$7,0))</f>
        <v>0.212884169069555</v>
      </c>
      <c r="H1166" s="49" t="n">
        <f aca="false">LN(F1166/G1166)</f>
        <v>-0.102637264537485</v>
      </c>
    </row>
    <row r="1167" customFormat="false" ht="15" hidden="false" customHeight="true" outlineLevel="0" collapsed="false">
      <c r="A1167" s="38" t="s">
        <v>855</v>
      </c>
      <c r="B1167" s="38" t="n">
        <v>14</v>
      </c>
      <c r="C1167" s="38" t="s">
        <v>172</v>
      </c>
      <c r="D1167" s="38" t="s">
        <v>867</v>
      </c>
      <c r="E1167" s="38" t="str">
        <f aca="false">B1167&amp;"|"&amp;C1167</f>
        <v>14|A</v>
      </c>
      <c r="F1167" s="45" t="n">
        <f aca="false">INDEX('Emission Stepwise'!$H$2:$H$289,MATCH(E1167,'Emission Stepwise'!$C$2:$C$289,0))</f>
        <v>0.975369458128079</v>
      </c>
      <c r="G1167" s="45" t="n">
        <f aca="false">INDEX(Background!$C$4:$C$7,MATCH(C1167,Background!$A$4:$A$7,0))</f>
        <v>0.185174766157958</v>
      </c>
      <c r="H1167" s="49" t="n">
        <f aca="false">LN(F1167/G1167)</f>
        <v>1.66151626955281</v>
      </c>
    </row>
    <row r="1168" customFormat="false" ht="15" hidden="false" customHeight="true" outlineLevel="0" collapsed="false">
      <c r="A1168" s="38" t="s">
        <v>855</v>
      </c>
      <c r="B1168" s="38" t="n">
        <v>15</v>
      </c>
      <c r="C1168" s="38" t="s">
        <v>170</v>
      </c>
      <c r="D1168" s="38" t="s">
        <v>867</v>
      </c>
      <c r="E1168" s="38" t="str">
        <f aca="false">B1168&amp;"|"&amp;C1168</f>
        <v>15|C</v>
      </c>
      <c r="F1168" s="45" t="n">
        <f aca="false">INDEX('Emission Stepwise'!$H$2:$H$289,MATCH(E1168,'Emission Stepwise'!$C$2:$C$289,0))</f>
        <v>0.0148514851485149</v>
      </c>
      <c r="G1168" s="45" t="n">
        <f aca="false">INDEX(Background!$C$4:$C$7,MATCH(C1168,Background!$A$4:$A$7,0))</f>
        <v>0.276812715380828</v>
      </c>
      <c r="H1168" s="49" t="n">
        <f aca="false">LN(F1168/G1168)</f>
        <v>-2.92524128950886</v>
      </c>
    </row>
    <row r="1169" customFormat="false" ht="15" hidden="false" customHeight="true" outlineLevel="0" collapsed="false">
      <c r="A1169" s="38" t="s">
        <v>855</v>
      </c>
      <c r="B1169" s="38" t="n">
        <v>16</v>
      </c>
      <c r="C1169" s="38" t="s">
        <v>171</v>
      </c>
      <c r="D1169" s="38" t="s">
        <v>867</v>
      </c>
      <c r="E1169" s="38" t="str">
        <f aca="false">B1169&amp;"|"&amp;C1169</f>
        <v>16|U</v>
      </c>
      <c r="F1169" s="45" t="n">
        <f aca="false">INDEX('Emission Stepwise'!$H$2:$H$289,MATCH(E1169,'Emission Stepwise'!$C$2:$C$289,0))</f>
        <v>0.588235294117647</v>
      </c>
      <c r="G1169" s="45" t="n">
        <f aca="false">INDEX(Background!$C$4:$C$7,MATCH(C1169,Background!$A$4:$A$7,0))</f>
        <v>0.212884169069555</v>
      </c>
      <c r="H1169" s="49" t="n">
        <f aca="false">LN(F1169/G1169)</f>
        <v>1.01637881731249</v>
      </c>
    </row>
    <row r="1170" customFormat="false" ht="15" hidden="false" customHeight="true" outlineLevel="0" collapsed="false">
      <c r="A1170" s="38" t="s">
        <v>855</v>
      </c>
      <c r="B1170" s="38" t="n">
        <v>17</v>
      </c>
      <c r="C1170" s="38" t="s">
        <v>170</v>
      </c>
      <c r="D1170" s="38" t="s">
        <v>867</v>
      </c>
      <c r="E1170" s="38" t="str">
        <f aca="false">B1170&amp;"|"&amp;C1170</f>
        <v>17|C</v>
      </c>
      <c r="F1170" s="45" t="n">
        <f aca="false">INDEX('Emission Stepwise'!$H$2:$H$289,MATCH(E1170,'Emission Stepwise'!$C$2:$C$289,0))</f>
        <v>0.32</v>
      </c>
      <c r="G1170" s="45" t="n">
        <f aca="false">INDEX(Background!$C$4:$C$7,MATCH(C1170,Background!$A$4:$A$7,0))</f>
        <v>0.276812715380828</v>
      </c>
      <c r="H1170" s="49" t="n">
        <f aca="false">LN(F1170/G1170)</f>
        <v>0.144979836035866</v>
      </c>
    </row>
    <row r="1171" customFormat="false" ht="15" hidden="false" customHeight="true" outlineLevel="0" collapsed="false">
      <c r="A1171" s="38" t="s">
        <v>855</v>
      </c>
      <c r="B1171" s="38" t="n">
        <v>18</v>
      </c>
      <c r="C1171" s="38" t="s">
        <v>169</v>
      </c>
      <c r="D1171" s="38" t="s">
        <v>867</v>
      </c>
      <c r="E1171" s="38" t="str">
        <f aca="false">B1171&amp;"|"&amp;C1171</f>
        <v>18|G</v>
      </c>
      <c r="F1171" s="45" t="n">
        <f aca="false">INDEX('Emission Stepwise'!$H$2:$H$289,MATCH(E1171,'Emission Stepwise'!$C$2:$C$289,0))</f>
        <v>0.980295566502463</v>
      </c>
      <c r="G1171" s="45" t="n">
        <f aca="false">INDEX(Background!$C$4:$C$7,MATCH(C1171,Background!$A$4:$A$7,0))</f>
        <v>0.325128349391659</v>
      </c>
      <c r="H1171" s="49" t="n">
        <f aca="false">LN(F1171/G1171)</f>
        <v>1.10363409909085</v>
      </c>
    </row>
    <row r="1172" customFormat="false" ht="15" hidden="false" customHeight="true" outlineLevel="0" collapsed="false">
      <c r="A1172" s="38" t="s">
        <v>855</v>
      </c>
      <c r="B1172" s="38" t="n">
        <v>19</v>
      </c>
      <c r="C1172" s="38" t="s">
        <v>169</v>
      </c>
      <c r="D1172" s="38" t="s">
        <v>867</v>
      </c>
      <c r="E1172" s="38" t="str">
        <f aca="false">B1172&amp;"|"&amp;C1172</f>
        <v>19|G</v>
      </c>
      <c r="F1172" s="45" t="n">
        <f aca="false">INDEX('Emission Stepwise'!$H$2:$H$289,MATCH(E1172,'Emission Stepwise'!$C$2:$C$289,0))</f>
        <v>0.970443349753695</v>
      </c>
      <c r="G1172" s="45" t="n">
        <f aca="false">INDEX(Background!$C$4:$C$7,MATCH(C1172,Background!$A$4:$A$7,0))</f>
        <v>0.325128349391659</v>
      </c>
      <c r="H1172" s="49" t="n">
        <f aca="false">LN(F1172/G1172)</f>
        <v>1.09353300310435</v>
      </c>
    </row>
    <row r="1173" customFormat="false" ht="15" hidden="false" customHeight="true" outlineLevel="0" collapsed="false">
      <c r="A1173" s="38" t="s">
        <v>855</v>
      </c>
      <c r="B1173" s="38" t="n">
        <v>20</v>
      </c>
      <c r="C1173" s="38" t="s">
        <v>172</v>
      </c>
      <c r="D1173" s="38" t="s">
        <v>867</v>
      </c>
      <c r="E1173" s="38" t="str">
        <f aca="false">B1173&amp;"|"&amp;C1173</f>
        <v>20|A</v>
      </c>
      <c r="F1173" s="45" t="n">
        <f aca="false">INDEX('Emission Stepwise'!$H$2:$H$289,MATCH(E1173,'Emission Stepwise'!$C$2:$C$289,0))</f>
        <v>0.0891089108910891</v>
      </c>
      <c r="G1173" s="45" t="n">
        <f aca="false">INDEX(Background!$C$4:$C$7,MATCH(C1173,Background!$A$4:$A$7,0))</f>
        <v>0.185174766157958</v>
      </c>
      <c r="H1173" s="49" t="n">
        <f aca="false">LN(F1173/G1173)</f>
        <v>-0.731440721604975</v>
      </c>
    </row>
    <row r="1174" customFormat="false" ht="15" hidden="false" customHeight="true" outlineLevel="0" collapsed="false">
      <c r="A1174" s="38" t="s">
        <v>855</v>
      </c>
      <c r="B1174" s="38" t="n">
        <v>21</v>
      </c>
      <c r="C1174" s="38" t="s">
        <v>172</v>
      </c>
      <c r="D1174" s="38" t="s">
        <v>867</v>
      </c>
      <c r="E1174" s="38" t="str">
        <f aca="false">B1174&amp;"|"&amp;C1174</f>
        <v>21|A</v>
      </c>
      <c r="F1174" s="45" t="n">
        <f aca="false">INDEX('Emission Stepwise'!$H$2:$H$289,MATCH(E1174,'Emission Stepwise'!$C$2:$C$289,0))</f>
        <v>0.881773399014778</v>
      </c>
      <c r="G1174" s="45" t="n">
        <f aca="false">INDEX(Background!$C$4:$C$7,MATCH(C1174,Background!$A$4:$A$7,0))</f>
        <v>0.185174766157958</v>
      </c>
      <c r="H1174" s="49" t="n">
        <f aca="false">LN(F1174/G1174)</f>
        <v>1.56063504469903</v>
      </c>
    </row>
    <row r="1175" customFormat="false" ht="15" hidden="false" customHeight="true" outlineLevel="0" collapsed="false">
      <c r="A1175" s="38" t="s">
        <v>855</v>
      </c>
      <c r="B1175" s="38" t="n">
        <v>22</v>
      </c>
      <c r="C1175" s="38" t="s">
        <v>169</v>
      </c>
      <c r="D1175" s="38" t="s">
        <v>867</v>
      </c>
      <c r="E1175" s="38" t="str">
        <f aca="false">B1175&amp;"|"&amp;C1175</f>
        <v>22|G</v>
      </c>
      <c r="F1175" s="45" t="n">
        <f aca="false">INDEX('Emission Stepwise'!$H$2:$H$289,MATCH(E1175,'Emission Stepwise'!$C$2:$C$289,0))</f>
        <v>0.714285714285714</v>
      </c>
      <c r="G1175" s="45" t="n">
        <f aca="false">INDEX(Background!$C$4:$C$7,MATCH(C1175,Background!$A$4:$A$7,0))</f>
        <v>0.325128349391659</v>
      </c>
      <c r="H1175" s="49" t="n">
        <f aca="false">LN(F1175/G1175)</f>
        <v>0.787063016786936</v>
      </c>
    </row>
    <row r="1176" customFormat="false" ht="15" hidden="false" customHeight="true" outlineLevel="0" collapsed="false">
      <c r="A1176" s="38" t="s">
        <v>855</v>
      </c>
      <c r="B1176" s="38" t="n">
        <v>23</v>
      </c>
      <c r="C1176" s="38" t="s">
        <v>169</v>
      </c>
      <c r="D1176" s="38" t="s">
        <v>867</v>
      </c>
      <c r="E1176" s="38" t="str">
        <f aca="false">B1176&amp;"|"&amp;C1176</f>
        <v>23|G</v>
      </c>
      <c r="F1176" s="45" t="n">
        <f aca="false">INDEX('Emission Stepwise'!$H$2:$H$289,MATCH(E1176,'Emission Stepwise'!$C$2:$C$289,0))</f>
        <v>0.147783251231527</v>
      </c>
      <c r="G1176" s="45" t="n">
        <f aca="false">INDEX(Background!$C$4:$C$7,MATCH(C1176,Background!$A$4:$A$7,0))</f>
        <v>0.325128349391659</v>
      </c>
      <c r="H1176" s="49" t="n">
        <f aca="false">LN(F1176/G1176)</f>
        <v>-0.788473343971483</v>
      </c>
    </row>
    <row r="1177" customFormat="false" ht="15" hidden="false" customHeight="true" outlineLevel="0" collapsed="false">
      <c r="A1177" s="38" t="s">
        <v>855</v>
      </c>
      <c r="B1177" s="38" t="n">
        <v>24</v>
      </c>
      <c r="C1177" s="38" t="s">
        <v>169</v>
      </c>
      <c r="D1177" s="38" t="s">
        <v>867</v>
      </c>
      <c r="E1177" s="38" t="str">
        <f aca="false">B1177&amp;"|"&amp;C1177</f>
        <v>24|G</v>
      </c>
      <c r="F1177" s="45" t="n">
        <f aca="false">INDEX('Emission Stepwise'!$H$2:$H$289,MATCH(E1177,'Emission Stepwise'!$C$2:$C$289,0))</f>
        <v>0.738916256157636</v>
      </c>
      <c r="G1177" s="45" t="n">
        <f aca="false">INDEX(Background!$C$4:$C$7,MATCH(C1177,Background!$A$4:$A$7,0))</f>
        <v>0.325128349391659</v>
      </c>
      <c r="H1177" s="49" t="n">
        <f aca="false">LN(F1177/G1177)</f>
        <v>0.820964568462618</v>
      </c>
    </row>
    <row r="1178" customFormat="false" ht="15" hidden="false" customHeight="true" outlineLevel="0" collapsed="false">
      <c r="A1178" s="38" t="s">
        <v>855</v>
      </c>
      <c r="B1178" s="38" t="n">
        <v>25</v>
      </c>
      <c r="C1178" s="38" t="s">
        <v>171</v>
      </c>
      <c r="D1178" s="38" t="s">
        <v>867</v>
      </c>
      <c r="E1178" s="38" t="str">
        <f aca="false">B1178&amp;"|"&amp;C1178</f>
        <v>25|U</v>
      </c>
      <c r="F1178" s="45" t="n">
        <f aca="false">INDEX('Emission Stepwise'!$H$2:$H$289,MATCH(E1178,'Emission Stepwise'!$C$2:$C$289,0))</f>
        <v>0.0738916256157636</v>
      </c>
      <c r="G1178" s="45" t="n">
        <f aca="false">INDEX(Background!$C$4:$C$7,MATCH(C1178,Background!$A$4:$A$7,0))</f>
        <v>0.212884169069555</v>
      </c>
      <c r="H1178" s="49" t="n">
        <f aca="false">LN(F1178/G1178)</f>
        <v>-1.05814870956492</v>
      </c>
    </row>
    <row r="1179" customFormat="false" ht="15" hidden="false" customHeight="true" outlineLevel="0" collapsed="false">
      <c r="A1179" s="38" t="s">
        <v>855</v>
      </c>
      <c r="B1179" s="38" t="n">
        <v>26</v>
      </c>
      <c r="C1179" s="38" t="s">
        <v>171</v>
      </c>
      <c r="D1179" s="38" t="s">
        <v>868</v>
      </c>
      <c r="E1179" s="38" t="str">
        <f aca="false">B1179&amp;"|"&amp;C1179</f>
        <v>26|U</v>
      </c>
      <c r="F1179" s="45" t="n">
        <f aca="false">INDEX('Emission Stepwise'!$H$2:$H$289,MATCH(E1179,'Emission Stepwise'!$C$2:$C$289,0))</f>
        <v>0.0591133004926108</v>
      </c>
      <c r="G1179" s="45" t="n">
        <f aca="false">INDEX(Background!$C$4:$C$7,MATCH(C1179,Background!$A$4:$A$7,0))</f>
        <v>0.212884169069555</v>
      </c>
      <c r="H1179" s="49" t="n">
        <f aca="false">LN(F1179/G1179)</f>
        <v>-1.28129226087913</v>
      </c>
    </row>
    <row r="1180" customFormat="false" ht="15" hidden="false" customHeight="true" outlineLevel="0" collapsed="false">
      <c r="A1180" s="38" t="s">
        <v>855</v>
      </c>
      <c r="B1180" s="38" t="n">
        <v>27</v>
      </c>
      <c r="C1180" s="38" t="s">
        <v>172</v>
      </c>
      <c r="D1180" s="38" t="s">
        <v>868</v>
      </c>
      <c r="E1180" s="38" t="str">
        <f aca="false">B1180&amp;"|"&amp;C1180</f>
        <v>27|A</v>
      </c>
      <c r="F1180" s="45" t="n">
        <f aca="false">INDEX('Emission Stepwise'!$H$2:$H$289,MATCH(E1180,'Emission Stepwise'!$C$2:$C$289,0))</f>
        <v>0.123152709359606</v>
      </c>
      <c r="G1180" s="45" t="n">
        <f aca="false">INDEX(Background!$C$4:$C$7,MATCH(C1180,Background!$A$4:$A$7,0))</f>
        <v>0.185174766157958</v>
      </c>
      <c r="H1180" s="49" t="n">
        <f aca="false">LN(F1180/G1180)</f>
        <v>-0.407874936273521</v>
      </c>
    </row>
    <row r="1181" customFormat="false" ht="15" hidden="false" customHeight="true" outlineLevel="0" collapsed="false">
      <c r="A1181" s="38" t="s">
        <v>855</v>
      </c>
      <c r="B1181" s="38" t="n">
        <v>28</v>
      </c>
      <c r="C1181" s="38" t="s">
        <v>171</v>
      </c>
      <c r="D1181" s="38" t="s">
        <v>868</v>
      </c>
      <c r="E1181" s="38" t="str">
        <f aca="false">B1181&amp;"|"&amp;C1181</f>
        <v>28|U</v>
      </c>
      <c r="F1181" s="45" t="n">
        <f aca="false">INDEX('Emission Stepwise'!$H$2:$H$289,MATCH(E1181,'Emission Stepwise'!$C$2:$C$289,0))</f>
        <v>0.251231527093596</v>
      </c>
      <c r="G1181" s="45" t="n">
        <f aca="false">INDEX(Background!$C$4:$C$7,MATCH(C1181,Background!$A$4:$A$7,0))</f>
        <v>0.212884169069555</v>
      </c>
      <c r="H1181" s="49" t="n">
        <f aca="false">LN(F1181/G1181)</f>
        <v>0.165626722057194</v>
      </c>
    </row>
    <row r="1182" customFormat="false" ht="15" hidden="false" customHeight="true" outlineLevel="0" collapsed="false">
      <c r="A1182" s="38" t="s">
        <v>855</v>
      </c>
      <c r="B1182" s="38" t="n">
        <v>29</v>
      </c>
      <c r="C1182" s="38" t="s">
        <v>172</v>
      </c>
      <c r="D1182" s="38" t="s">
        <v>868</v>
      </c>
      <c r="E1182" s="38" t="str">
        <f aca="false">B1182&amp;"|"&amp;C1182</f>
        <v>29|A</v>
      </c>
      <c r="F1182" s="45" t="n">
        <f aca="false">INDEX('Emission Stepwise'!$H$2:$H$289,MATCH(E1182,'Emission Stepwise'!$C$2:$C$289,0))</f>
        <v>0.16256157635468</v>
      </c>
      <c r="G1182" s="45" t="n">
        <f aca="false">INDEX(Background!$C$4:$C$7,MATCH(C1182,Background!$A$4:$A$7,0))</f>
        <v>0.185174766157958</v>
      </c>
      <c r="H1182" s="49" t="n">
        <f aca="false">LN(F1182/G1182)</f>
        <v>-0.130243199675242</v>
      </c>
    </row>
    <row r="1183" customFormat="false" ht="15" hidden="false" customHeight="true" outlineLevel="0" collapsed="false">
      <c r="A1183" s="38" t="s">
        <v>855</v>
      </c>
      <c r="B1183" s="38" t="n">
        <v>30</v>
      </c>
      <c r="C1183" s="38" t="s">
        <v>171</v>
      </c>
      <c r="D1183" s="38" t="s">
        <v>868</v>
      </c>
      <c r="E1183" s="38" t="str">
        <f aca="false">B1183&amp;"|"&amp;C1183</f>
        <v>30|U</v>
      </c>
      <c r="F1183" s="45" t="n">
        <f aca="false">INDEX('Emission Stepwise'!$H$2:$H$289,MATCH(E1183,'Emission Stepwise'!$C$2:$C$289,0))</f>
        <v>0.0394088669950739</v>
      </c>
      <c r="G1183" s="45" t="n">
        <f aca="false">INDEX(Background!$C$4:$C$7,MATCH(C1183,Background!$A$4:$A$7,0))</f>
        <v>0.212884169069555</v>
      </c>
      <c r="H1183" s="49" t="n">
        <f aca="false">LN(F1183/G1183)</f>
        <v>-1.6867573689873</v>
      </c>
    </row>
    <row r="1184" customFormat="false" ht="15" hidden="false" customHeight="true" outlineLevel="0" collapsed="false">
      <c r="A1184" s="38" t="s">
        <v>855</v>
      </c>
      <c r="B1184" s="38" t="n">
        <v>31</v>
      </c>
      <c r="C1184" s="38" t="s">
        <v>171</v>
      </c>
      <c r="D1184" s="38" t="s">
        <v>868</v>
      </c>
      <c r="E1184" s="38" t="str">
        <f aca="false">B1184&amp;"|"&amp;C1184</f>
        <v>31|U</v>
      </c>
      <c r="F1184" s="45" t="n">
        <f aca="false">INDEX('Emission Stepwise'!$H$2:$H$289,MATCH(E1184,'Emission Stepwise'!$C$2:$C$289,0))</f>
        <v>0.0985221674876847</v>
      </c>
      <c r="G1184" s="45" t="n">
        <f aca="false">INDEX(Background!$C$4:$C$7,MATCH(C1184,Background!$A$4:$A$7,0))</f>
        <v>0.212884169069555</v>
      </c>
      <c r="H1184" s="49" t="n">
        <f aca="false">LN(F1184/G1184)</f>
        <v>-0.770466637113141</v>
      </c>
    </row>
    <row r="1185" customFormat="false" ht="15" hidden="false" customHeight="true" outlineLevel="0" collapsed="false">
      <c r="A1185" s="38" t="s">
        <v>855</v>
      </c>
      <c r="B1185" s="38" t="n">
        <v>32</v>
      </c>
      <c r="C1185" s="38" t="s">
        <v>172</v>
      </c>
      <c r="D1185" s="38" t="s">
        <v>868</v>
      </c>
      <c r="E1185" s="38" t="str">
        <f aca="false">B1185&amp;"|"&amp;C1185</f>
        <v>32|A</v>
      </c>
      <c r="F1185" s="45" t="n">
        <f aca="false">INDEX('Emission Stepwise'!$H$2:$H$289,MATCH(E1185,'Emission Stepwise'!$C$2:$C$289,0))</f>
        <v>0.0344827586206897</v>
      </c>
      <c r="G1185" s="45" t="n">
        <f aca="false">INDEX(Background!$C$4:$C$7,MATCH(C1185,Background!$A$4:$A$7,0))</f>
        <v>0.185174766157958</v>
      </c>
      <c r="H1185" s="49" t="n">
        <f aca="false">LN(F1185/G1185)</f>
        <v>-1.68084061208641</v>
      </c>
    </row>
    <row r="1186" customFormat="false" ht="15" hidden="false" customHeight="true" outlineLevel="0" collapsed="false">
      <c r="A1186" s="38" t="s">
        <v>855</v>
      </c>
      <c r="B1186" s="38" t="n">
        <v>33</v>
      </c>
      <c r="C1186" s="38" t="s">
        <v>171</v>
      </c>
      <c r="D1186" s="38" t="s">
        <v>868</v>
      </c>
      <c r="E1186" s="38" t="str">
        <f aca="false">B1186&amp;"|"&amp;C1186</f>
        <v>33|U</v>
      </c>
      <c r="F1186" s="45" t="n">
        <f aca="false">INDEX('Emission Stepwise'!$H$2:$H$289,MATCH(E1186,'Emission Stepwise'!$C$2:$C$289,0))</f>
        <v>0.975369458128079</v>
      </c>
      <c r="G1186" s="45" t="n">
        <f aca="false">INDEX(Background!$C$4:$C$7,MATCH(C1186,Background!$A$4:$A$7,0))</f>
        <v>0.212884169069555</v>
      </c>
      <c r="H1186" s="49" t="n">
        <f aca="false">LN(F1186/G1186)</f>
        <v>1.5220681200274</v>
      </c>
    </row>
    <row r="1187" customFormat="false" ht="15" hidden="false" customHeight="true" outlineLevel="0" collapsed="false">
      <c r="A1187" s="38" t="s">
        <v>855</v>
      </c>
      <c r="B1187" s="38" t="n">
        <v>34</v>
      </c>
      <c r="C1187" s="38" t="s">
        <v>171</v>
      </c>
      <c r="D1187" s="38" t="s">
        <v>868</v>
      </c>
      <c r="E1187" s="38" t="str">
        <f aca="false">B1187&amp;"|"&amp;C1187</f>
        <v>34|U</v>
      </c>
      <c r="F1187" s="45" t="n">
        <f aca="false">INDEX('Emission Stepwise'!$H$2:$H$289,MATCH(E1187,'Emission Stepwise'!$C$2:$C$289,0))</f>
        <v>0.29064039408867</v>
      </c>
      <c r="G1187" s="45" t="n">
        <f aca="false">INDEX(Background!$C$4:$C$7,MATCH(C1187,Background!$A$4:$A$7,0))</f>
        <v>0.212884169069555</v>
      </c>
      <c r="H1187" s="49" t="n">
        <f aca="false">LN(F1187/G1187)</f>
        <v>0.311338533238588</v>
      </c>
    </row>
    <row r="1188" customFormat="false" ht="15" hidden="false" customHeight="true" outlineLevel="0" collapsed="false">
      <c r="A1188" s="38" t="s">
        <v>855</v>
      </c>
      <c r="B1188" s="38" t="n">
        <v>35</v>
      </c>
      <c r="C1188" s="38" t="s">
        <v>171</v>
      </c>
      <c r="D1188" s="38" t="s">
        <v>868</v>
      </c>
      <c r="E1188" s="38" t="str">
        <f aca="false">B1188&amp;"|"&amp;C1188</f>
        <v>35|U</v>
      </c>
      <c r="F1188" s="45" t="n">
        <f aca="false">INDEX('Emission Stepwise'!$H$2:$H$289,MATCH(E1188,'Emission Stepwise'!$C$2:$C$289,0))</f>
        <v>0.206896551724138</v>
      </c>
      <c r="G1188" s="45" t="n">
        <f aca="false">INDEX(Background!$C$4:$C$7,MATCH(C1188,Background!$A$4:$A$7,0))</f>
        <v>0.212884169069555</v>
      </c>
      <c r="H1188" s="49" t="n">
        <f aca="false">LN(F1188/G1188)</f>
        <v>-0.0285292923837632</v>
      </c>
    </row>
    <row r="1189" customFormat="false" ht="15" hidden="false" customHeight="true" outlineLevel="0" collapsed="false">
      <c r="A1189" s="38" t="s">
        <v>855</v>
      </c>
      <c r="B1189" s="38" t="n">
        <v>36</v>
      </c>
      <c r="C1189" s="38" t="s">
        <v>172</v>
      </c>
      <c r="D1189" s="38" t="s">
        <v>868</v>
      </c>
      <c r="E1189" s="38" t="str">
        <f aca="false">B1189&amp;"|"&amp;C1189</f>
        <v>36|A</v>
      </c>
      <c r="F1189" s="45" t="n">
        <f aca="false">INDEX('Emission Stepwise'!$H$2:$H$289,MATCH(E1189,'Emission Stepwise'!$C$2:$C$289,0))</f>
        <v>0.216748768472906</v>
      </c>
      <c r="G1189" s="45" t="n">
        <f aca="false">INDEX(Background!$C$4:$C$7,MATCH(C1189,Background!$A$4:$A$7,0))</f>
        <v>0.185174766157958</v>
      </c>
      <c r="H1189" s="49" t="n">
        <f aca="false">LN(F1189/G1189)</f>
        <v>0.157438872776539</v>
      </c>
    </row>
    <row r="1190" customFormat="false" ht="15" hidden="false" customHeight="true" outlineLevel="0" collapsed="false">
      <c r="A1190" s="38" t="s">
        <v>855</v>
      </c>
      <c r="B1190" s="38" t="n">
        <v>37</v>
      </c>
      <c r="C1190" s="38" t="s">
        <v>172</v>
      </c>
      <c r="D1190" s="38" t="s">
        <v>868</v>
      </c>
      <c r="E1190" s="38" t="str">
        <f aca="false">B1190&amp;"|"&amp;C1190</f>
        <v>37|A</v>
      </c>
      <c r="F1190" s="45" t="n">
        <f aca="false">INDEX('Emission Stepwise'!$H$2:$H$289,MATCH(E1190,'Emission Stepwise'!$C$2:$C$289,0))</f>
        <v>0.74384236453202</v>
      </c>
      <c r="G1190" s="45" t="n">
        <f aca="false">INDEX(Background!$C$4:$C$7,MATCH(C1190,Background!$A$4:$A$7,0))</f>
        <v>0.185174766157958</v>
      </c>
      <c r="H1190" s="49" t="n">
        <f aca="false">LN(F1190/G1190)</f>
        <v>1.3905290756732</v>
      </c>
    </row>
    <row r="1191" customFormat="false" ht="15" hidden="false" customHeight="true" outlineLevel="0" collapsed="false">
      <c r="A1191" s="38" t="s">
        <v>855</v>
      </c>
      <c r="B1191" s="38" t="n">
        <v>38</v>
      </c>
      <c r="C1191" s="38" t="s">
        <v>171</v>
      </c>
      <c r="D1191" s="38" t="s">
        <v>868</v>
      </c>
      <c r="E1191" s="38" t="str">
        <f aca="false">B1191&amp;"|"&amp;C1191</f>
        <v>38|U</v>
      </c>
      <c r="F1191" s="45" t="n">
        <f aca="false">INDEX('Emission Stepwise'!$H$2:$H$289,MATCH(E1191,'Emission Stepwise'!$C$2:$C$289,0))</f>
        <v>0.118226600985222</v>
      </c>
      <c r="G1191" s="45" t="n">
        <f aca="false">INDEX(Background!$C$4:$C$7,MATCH(C1191,Background!$A$4:$A$7,0))</f>
        <v>0.212884169069555</v>
      </c>
      <c r="H1191" s="49" t="n">
        <f aca="false">LN(F1191/G1191)</f>
        <v>-0.588145080319186</v>
      </c>
    </row>
    <row r="1192" customFormat="false" ht="15" hidden="false" customHeight="true" outlineLevel="0" collapsed="false">
      <c r="A1192" s="38" t="s">
        <v>855</v>
      </c>
      <c r="B1192" s="38" t="n">
        <v>39</v>
      </c>
      <c r="C1192" s="38" t="s">
        <v>172</v>
      </c>
      <c r="D1192" s="38" t="s">
        <v>868</v>
      </c>
      <c r="E1192" s="38" t="str">
        <f aca="false">B1192&amp;"|"&amp;C1192</f>
        <v>39|A</v>
      </c>
      <c r="F1192" s="45" t="n">
        <f aca="false">INDEX('Emission Stepwise'!$H$2:$H$289,MATCH(E1192,'Emission Stepwise'!$C$2:$C$289,0))</f>
        <v>0.0935960591133005</v>
      </c>
      <c r="G1192" s="45" t="n">
        <f aca="false">INDEX(Background!$C$4:$C$7,MATCH(C1192,Background!$A$4:$A$7,0))</f>
        <v>0.185174766157958</v>
      </c>
      <c r="H1192" s="49" t="n">
        <f aca="false">LN(F1192/G1192)</f>
        <v>-0.682311781975282</v>
      </c>
    </row>
    <row r="1193" customFormat="false" ht="15" hidden="false" customHeight="true" outlineLevel="0" collapsed="false">
      <c r="A1193" s="38" t="s">
        <v>855</v>
      </c>
      <c r="B1193" s="38" t="n">
        <v>40</v>
      </c>
      <c r="C1193" s="38" t="s">
        <v>172</v>
      </c>
      <c r="D1193" s="38" t="s">
        <v>868</v>
      </c>
      <c r="E1193" s="38" t="str">
        <f aca="false">B1193&amp;"|"&amp;C1193</f>
        <v>40|A</v>
      </c>
      <c r="F1193" s="45" t="n">
        <f aca="false">INDEX('Emission Stepwise'!$H$2:$H$289,MATCH(E1193,'Emission Stepwise'!$C$2:$C$289,0))</f>
        <v>0.00985221674876847</v>
      </c>
      <c r="G1193" s="45" t="n">
        <f aca="false">INDEX(Background!$C$4:$C$7,MATCH(C1193,Background!$A$4:$A$7,0))</f>
        <v>0.185174766157958</v>
      </c>
      <c r="H1193" s="49" t="n">
        <f aca="false">LN(F1193/G1193)</f>
        <v>-2.93360358058178</v>
      </c>
    </row>
    <row r="1194" customFormat="false" ht="15" hidden="false" customHeight="true" outlineLevel="0" collapsed="false">
      <c r="A1194" s="38" t="s">
        <v>855</v>
      </c>
      <c r="B1194" s="38" t="n">
        <v>41</v>
      </c>
      <c r="C1194" s="38" t="s">
        <v>171</v>
      </c>
      <c r="D1194" s="38" t="s">
        <v>868</v>
      </c>
      <c r="E1194" s="38" t="str">
        <f aca="false">B1194&amp;"|"&amp;C1194</f>
        <v>41|U</v>
      </c>
      <c r="F1194" s="45" t="n">
        <f aca="false">INDEX('Emission Stepwise'!$H$2:$H$289,MATCH(E1194,'Emission Stepwise'!$C$2:$C$289,0))</f>
        <v>0.167487684729064</v>
      </c>
      <c r="G1194" s="45" t="n">
        <f aca="false">INDEX(Background!$C$4:$C$7,MATCH(C1194,Background!$A$4:$A$7,0))</f>
        <v>0.212884169069555</v>
      </c>
      <c r="H1194" s="49" t="n">
        <f aca="false">LN(F1194/G1194)</f>
        <v>-0.23983838605097</v>
      </c>
    </row>
    <row r="1195" customFormat="false" ht="15" hidden="false" customHeight="true" outlineLevel="0" collapsed="false">
      <c r="A1195" s="38" t="s">
        <v>855</v>
      </c>
      <c r="B1195" s="38" t="n">
        <v>42</v>
      </c>
      <c r="C1195" s="38" t="s">
        <v>169</v>
      </c>
      <c r="D1195" s="38" t="s">
        <v>868</v>
      </c>
      <c r="E1195" s="38" t="str">
        <f aca="false">B1195&amp;"|"&amp;C1195</f>
        <v>42|G</v>
      </c>
      <c r="F1195" s="45" t="n">
        <f aca="false">INDEX('Emission Stepwise'!$H$2:$H$289,MATCH(E1195,'Emission Stepwise'!$C$2:$C$289,0))</f>
        <v>0.522167487684729</v>
      </c>
      <c r="G1195" s="45" t="n">
        <f aca="false">INDEX(Background!$C$4:$C$7,MATCH(C1195,Background!$A$4:$A$7,0))</f>
        <v>0.325128349391659</v>
      </c>
      <c r="H1195" s="49" t="n">
        <f aca="false">LN(F1195/G1195)</f>
        <v>0.473768368478429</v>
      </c>
    </row>
    <row r="1196" customFormat="false" ht="15" hidden="false" customHeight="true" outlineLevel="0" collapsed="false">
      <c r="A1196" s="38" t="s">
        <v>855</v>
      </c>
      <c r="B1196" s="38" t="n">
        <v>43</v>
      </c>
      <c r="C1196" s="38" t="s">
        <v>171</v>
      </c>
      <c r="D1196" s="38" t="s">
        <v>868</v>
      </c>
      <c r="E1196" s="38" t="str">
        <f aca="false">B1196&amp;"|"&amp;C1196</f>
        <v>43|U</v>
      </c>
      <c r="F1196" s="45" t="n">
        <f aca="false">INDEX('Emission Stepwise'!$H$2:$H$289,MATCH(E1196,'Emission Stepwise'!$C$2:$C$289,0))</f>
        <v>0.16256157635468</v>
      </c>
      <c r="G1196" s="45" t="n">
        <f aca="false">INDEX(Background!$C$4:$C$7,MATCH(C1196,Background!$A$4:$A$7,0))</f>
        <v>0.212884169069555</v>
      </c>
      <c r="H1196" s="49" t="n">
        <f aca="false">LN(F1196/G1196)</f>
        <v>-0.269691349200651</v>
      </c>
    </row>
    <row r="1197" customFormat="false" ht="15" hidden="false" customHeight="true" outlineLevel="0" collapsed="false">
      <c r="A1197" s="38" t="s">
        <v>855</v>
      </c>
      <c r="B1197" s="38" t="n">
        <v>44</v>
      </c>
      <c r="C1197" s="38" t="s">
        <v>172</v>
      </c>
      <c r="D1197" s="38" t="s">
        <v>868</v>
      </c>
      <c r="E1197" s="38" t="str">
        <f aca="false">B1197&amp;"|"&amp;C1197</f>
        <v>44|A</v>
      </c>
      <c r="F1197" s="45" t="n">
        <f aca="false">INDEX('Emission Stepwise'!$H$2:$H$289,MATCH(E1197,'Emission Stepwise'!$C$2:$C$289,0))</f>
        <v>0.492610837438424</v>
      </c>
      <c r="G1197" s="45" t="n">
        <f aca="false">INDEX(Background!$C$4:$C$7,MATCH(C1197,Background!$A$4:$A$7,0))</f>
        <v>0.185174766157958</v>
      </c>
      <c r="H1197" s="49" t="n">
        <f aca="false">LN(F1197/G1197)</f>
        <v>0.978419424846369</v>
      </c>
    </row>
    <row r="1198" customFormat="false" ht="15" hidden="false" customHeight="true" outlineLevel="0" collapsed="false">
      <c r="A1198" s="38" t="s">
        <v>855</v>
      </c>
      <c r="B1198" s="38" t="n">
        <v>45</v>
      </c>
      <c r="C1198" s="38" t="s">
        <v>171</v>
      </c>
      <c r="D1198" s="38" t="s">
        <v>869</v>
      </c>
      <c r="E1198" s="38" t="str">
        <f aca="false">B1198&amp;"|"&amp;C1198</f>
        <v>45|U</v>
      </c>
      <c r="F1198" s="45" t="n">
        <f aca="false">INDEX('Emission Stepwise'!$H$2:$H$289,MATCH(E1198,'Emission Stepwise'!$C$2:$C$289,0))</f>
        <v>0.144278606965174</v>
      </c>
      <c r="G1198" s="45" t="n">
        <f aca="false">INDEX(Background!$C$4:$C$7,MATCH(C1198,Background!$A$4:$A$7,0))</f>
        <v>0.212884169069555</v>
      </c>
      <c r="H1198" s="49" t="n">
        <f aca="false">LN(F1198/G1198)</f>
        <v>-0.389002009697946</v>
      </c>
    </row>
    <row r="1199" customFormat="false" ht="15" hidden="false" customHeight="true" outlineLevel="0" collapsed="false">
      <c r="A1199" s="38" t="s">
        <v>855</v>
      </c>
      <c r="B1199" s="38" t="n">
        <v>46</v>
      </c>
      <c r="C1199" s="38" t="s">
        <v>176</v>
      </c>
      <c r="D1199" s="38" t="s">
        <v>869</v>
      </c>
      <c r="E1199" s="38"/>
      <c r="F1199" s="38"/>
      <c r="G1199" s="38"/>
      <c r="H1199" s="38"/>
    </row>
    <row r="1200" customFormat="false" ht="15" hidden="false" customHeight="true" outlineLevel="0" collapsed="false">
      <c r="A1200" s="38" t="s">
        <v>855</v>
      </c>
      <c r="B1200" s="38" t="n">
        <v>47</v>
      </c>
      <c r="C1200" s="38" t="s">
        <v>169</v>
      </c>
      <c r="D1200" s="38" t="s">
        <v>869</v>
      </c>
      <c r="E1200" s="38" t="str">
        <f aca="false">B1200&amp;"|"&amp;C1200</f>
        <v>47|G</v>
      </c>
      <c r="F1200" s="45" t="n">
        <f aca="false">INDEX('Emission Stepwise'!$H$2:$H$289,MATCH(E1200,'Emission Stepwise'!$C$2:$C$289,0))</f>
        <v>0.083743842364532</v>
      </c>
      <c r="G1200" s="45" t="n">
        <f aca="false">INDEX(Background!$C$4:$C$7,MATCH(C1200,Background!$A$4:$A$7,0))</f>
        <v>0.325128349391659</v>
      </c>
      <c r="H1200" s="49" t="n">
        <f aca="false">LN(F1200/G1200)</f>
        <v>-1.35645738157742</v>
      </c>
    </row>
    <row r="1201" customFormat="false" ht="15" hidden="false" customHeight="true" outlineLevel="0" collapsed="false">
      <c r="A1201" s="38" t="s">
        <v>855</v>
      </c>
      <c r="B1201" s="38" t="n">
        <v>48</v>
      </c>
      <c r="C1201" s="38" t="s">
        <v>169</v>
      </c>
      <c r="D1201" s="38" t="s">
        <v>869</v>
      </c>
      <c r="E1201" s="38" t="str">
        <f aca="false">B1201&amp;"|"&amp;C1201</f>
        <v>48|G</v>
      </c>
      <c r="F1201" s="45" t="n">
        <f aca="false">INDEX('Emission Stepwise'!$H$2:$H$289,MATCH(E1201,'Emission Stepwise'!$C$2:$C$289,0))</f>
        <v>0.0147783251231527</v>
      </c>
      <c r="G1201" s="45" t="n">
        <f aca="false">INDEX(Background!$C$4:$C$7,MATCH(C1201,Background!$A$4:$A$7,0))</f>
        <v>0.325128349391659</v>
      </c>
      <c r="H1201" s="49" t="n">
        <f aca="false">LN(F1201/G1201)</f>
        <v>-3.09105843696553</v>
      </c>
    </row>
    <row r="1202" customFormat="false" ht="15" hidden="false" customHeight="true" outlineLevel="0" collapsed="false">
      <c r="A1202" s="38" t="s">
        <v>855</v>
      </c>
      <c r="B1202" s="38" t="n">
        <v>49</v>
      </c>
      <c r="C1202" s="38" t="s">
        <v>172</v>
      </c>
      <c r="D1202" s="38" t="s">
        <v>870</v>
      </c>
      <c r="E1202" s="38" t="str">
        <f aca="false">B1202&amp;"|"&amp;C1202</f>
        <v>49|A</v>
      </c>
      <c r="F1202" s="45" t="n">
        <f aca="false">INDEX('Emission Stepwise'!$H$2:$H$289,MATCH(E1202,'Emission Stepwise'!$C$2:$C$289,0))</f>
        <v>0.157635467980296</v>
      </c>
      <c r="G1202" s="45" t="n">
        <f aca="false">INDEX(Background!$C$4:$C$7,MATCH(C1202,Background!$A$4:$A$7,0))</f>
        <v>0.185174766157958</v>
      </c>
      <c r="H1202" s="49" t="n">
        <f aca="false">LN(F1202/G1202)</f>
        <v>-0.161014858341996</v>
      </c>
    </row>
    <row r="1203" customFormat="false" ht="15" hidden="false" customHeight="true" outlineLevel="0" collapsed="false">
      <c r="A1203" s="38" t="s">
        <v>855</v>
      </c>
      <c r="B1203" s="38" t="n">
        <v>50</v>
      </c>
      <c r="C1203" s="38" t="s">
        <v>172</v>
      </c>
      <c r="D1203" s="38" t="s">
        <v>870</v>
      </c>
      <c r="E1203" s="38" t="str">
        <f aca="false">B1203&amp;"|"&amp;C1203</f>
        <v>50|A</v>
      </c>
      <c r="F1203" s="45" t="n">
        <f aca="false">INDEX('Emission Stepwise'!$H$2:$H$289,MATCH(E1203,'Emission Stepwise'!$C$2:$C$289,0))</f>
        <v>0.118226600985222</v>
      </c>
      <c r="G1203" s="45" t="n">
        <f aca="false">INDEX(Background!$C$4:$C$7,MATCH(C1203,Background!$A$4:$A$7,0))</f>
        <v>0.185174766157958</v>
      </c>
      <c r="H1203" s="49" t="n">
        <f aca="false">LN(F1203/G1203)</f>
        <v>-0.448696930793777</v>
      </c>
    </row>
    <row r="1204" customFormat="false" ht="15" hidden="false" customHeight="true" outlineLevel="0" collapsed="false">
      <c r="A1204" s="38" t="s">
        <v>855</v>
      </c>
      <c r="B1204" s="38" t="n">
        <v>51</v>
      </c>
      <c r="C1204" s="38" t="s">
        <v>172</v>
      </c>
      <c r="D1204" s="38" t="s">
        <v>870</v>
      </c>
      <c r="E1204" s="38" t="str">
        <f aca="false">B1204&amp;"|"&amp;C1204</f>
        <v>51|A</v>
      </c>
      <c r="F1204" s="45" t="n">
        <f aca="false">INDEX('Emission Stepwise'!$H$2:$H$289,MATCH(E1204,'Emission Stepwise'!$C$2:$C$289,0))</f>
        <v>0.143564356435644</v>
      </c>
      <c r="G1204" s="45" t="n">
        <f aca="false">INDEX(Background!$C$4:$C$7,MATCH(C1204,Background!$A$4:$A$7,0))</f>
        <v>0.185174766157958</v>
      </c>
      <c r="H1204" s="49" t="n">
        <f aca="false">LN(F1204/G1204)</f>
        <v>-0.254516649514666</v>
      </c>
    </row>
    <row r="1205" customFormat="false" ht="15" hidden="false" customHeight="true" outlineLevel="0" collapsed="false">
      <c r="A1205" s="38" t="s">
        <v>855</v>
      </c>
      <c r="B1205" s="38" t="n">
        <v>52</v>
      </c>
      <c r="C1205" s="38" t="s">
        <v>169</v>
      </c>
      <c r="D1205" s="38" t="s">
        <v>870</v>
      </c>
      <c r="E1205" s="38" t="str">
        <f aca="false">B1205&amp;"|"&amp;C1205</f>
        <v>52|G</v>
      </c>
      <c r="F1205" s="45" t="n">
        <f aca="false">INDEX('Emission Stepwise'!$H$2:$H$289,MATCH(E1205,'Emission Stepwise'!$C$2:$C$289,0))</f>
        <v>0.827586206896552</v>
      </c>
      <c r="G1205" s="45" t="n">
        <f aca="false">INDEX(Background!$C$4:$C$7,MATCH(C1205,Background!$A$4:$A$7,0))</f>
        <v>0.325128349391659</v>
      </c>
      <c r="H1205" s="49" t="n">
        <f aca="false">LN(F1205/G1205)</f>
        <v>0.934293253769621</v>
      </c>
    </row>
    <row r="1206" customFormat="false" ht="15" hidden="false" customHeight="true" outlineLevel="0" collapsed="false">
      <c r="A1206" s="38" t="s">
        <v>855</v>
      </c>
      <c r="B1206" s="38" t="n">
        <v>53</v>
      </c>
      <c r="C1206" s="38" t="s">
        <v>169</v>
      </c>
      <c r="D1206" s="38" t="s">
        <v>870</v>
      </c>
      <c r="E1206" s="38" t="str">
        <f aca="false">B1206&amp;"|"&amp;C1206</f>
        <v>53|G</v>
      </c>
      <c r="F1206" s="45" t="n">
        <f aca="false">INDEX('Emission Stepwise'!$H$2:$H$289,MATCH(E1206,'Emission Stepwise'!$C$2:$C$289,0))</f>
        <v>0.96551724137931</v>
      </c>
      <c r="G1206" s="45" t="n">
        <f aca="false">INDEX(Background!$C$4:$C$7,MATCH(C1206,Background!$A$4:$A$7,0))</f>
        <v>0.325128349391659</v>
      </c>
      <c r="H1206" s="49" t="n">
        <f aca="false">LN(F1206/G1206)</f>
        <v>1.08844393359688</v>
      </c>
    </row>
    <row r="1207" customFormat="false" ht="15" hidden="false" customHeight="true" outlineLevel="0" collapsed="false">
      <c r="A1207" s="38" t="s">
        <v>855</v>
      </c>
      <c r="B1207" s="38" t="n">
        <v>54</v>
      </c>
      <c r="C1207" s="38" t="s">
        <v>172</v>
      </c>
      <c r="D1207" s="38" t="s">
        <v>870</v>
      </c>
      <c r="E1207" s="38" t="str">
        <f aca="false">B1207&amp;"|"&amp;C1207</f>
        <v>54|A</v>
      </c>
      <c r="F1207" s="45" t="n">
        <f aca="false">INDEX('Emission Stepwise'!$H$2:$H$289,MATCH(E1207,'Emission Stepwise'!$C$2:$C$289,0))</f>
        <v>0.0147783251231527</v>
      </c>
      <c r="G1207" s="45" t="n">
        <f aca="false">INDEX(Background!$C$4:$C$7,MATCH(C1207,Background!$A$4:$A$7,0))</f>
        <v>0.185174766157958</v>
      </c>
      <c r="H1207" s="49" t="n">
        <f aca="false">LN(F1207/G1207)</f>
        <v>-2.52813847247361</v>
      </c>
    </row>
    <row r="1208" customFormat="false" ht="15" hidden="false" customHeight="true" outlineLevel="0" collapsed="false">
      <c r="A1208" s="38" t="s">
        <v>855</v>
      </c>
      <c r="B1208" s="38" t="n">
        <v>55</v>
      </c>
      <c r="C1208" s="38" t="s">
        <v>171</v>
      </c>
      <c r="D1208" s="38" t="s">
        <v>870</v>
      </c>
      <c r="E1208" s="38" t="str">
        <f aca="false">B1208&amp;"|"&amp;C1208</f>
        <v>55|U</v>
      </c>
      <c r="F1208" s="45" t="n">
        <f aca="false">INDEX('Emission Stepwise'!$H$2:$H$289,MATCH(E1208,'Emission Stepwise'!$C$2:$C$289,0))</f>
        <v>0.970443349753695</v>
      </c>
      <c r="G1208" s="45" t="n">
        <f aca="false">INDEX(Background!$C$4:$C$7,MATCH(C1208,Background!$A$4:$A$7,0))</f>
        <v>0.212884169069555</v>
      </c>
      <c r="H1208" s="49" t="n">
        <f aca="false">LN(F1208/G1208)</f>
        <v>1.51700481807086</v>
      </c>
    </row>
    <row r="1209" customFormat="false" ht="15" hidden="false" customHeight="true" outlineLevel="0" collapsed="false">
      <c r="A1209" s="38" t="s">
        <v>855</v>
      </c>
      <c r="B1209" s="38" t="n">
        <v>56</v>
      </c>
      <c r="C1209" s="38" t="s">
        <v>170</v>
      </c>
      <c r="D1209" s="38" t="s">
        <v>870</v>
      </c>
      <c r="E1209" s="38" t="str">
        <f aca="false">B1209&amp;"|"&amp;C1209</f>
        <v>56|C</v>
      </c>
      <c r="F1209" s="45" t="n">
        <f aca="false">INDEX('Emission Stepwise'!$H$2:$H$289,MATCH(E1209,'Emission Stepwise'!$C$2:$C$289,0))</f>
        <v>0.96551724137931</v>
      </c>
      <c r="G1209" s="45" t="n">
        <f aca="false">INDEX(Background!$C$4:$C$7,MATCH(C1209,Background!$A$4:$A$7,0))</f>
        <v>0.276812715380828</v>
      </c>
      <c r="H1209" s="49" t="n">
        <f aca="false">LN(F1209/G1209)</f>
        <v>1.24932279941296</v>
      </c>
    </row>
    <row r="1210" customFormat="false" ht="15" hidden="false" customHeight="true" outlineLevel="0" collapsed="false">
      <c r="A1210" s="38" t="s">
        <v>855</v>
      </c>
      <c r="B1210" s="38" t="n">
        <v>57</v>
      </c>
      <c r="C1210" s="38" t="s">
        <v>169</v>
      </c>
      <c r="D1210" s="38" t="s">
        <v>870</v>
      </c>
      <c r="E1210" s="38" t="str">
        <f aca="false">B1210&amp;"|"&amp;C1210</f>
        <v>57|G</v>
      </c>
      <c r="F1210" s="45" t="n">
        <f aca="false">INDEX('Emission Stepwise'!$H$2:$H$289,MATCH(E1210,'Emission Stepwise'!$C$2:$C$289,0))</f>
        <v>0.603960396039604</v>
      </c>
      <c r="G1210" s="45" t="n">
        <f aca="false">INDEX(Background!$C$4:$C$7,MATCH(C1210,Background!$A$4:$A$7,0))</f>
        <v>0.325128349391659</v>
      </c>
      <c r="H1210" s="49" t="n">
        <f aca="false">LN(F1210/G1210)</f>
        <v>0.619288600740201</v>
      </c>
    </row>
    <row r="1211" customFormat="false" ht="15" hidden="false" customHeight="true" outlineLevel="0" collapsed="false">
      <c r="A1211" s="38" t="s">
        <v>855</v>
      </c>
      <c r="B1211" s="38" t="n">
        <v>58</v>
      </c>
      <c r="C1211" s="38" t="s">
        <v>171</v>
      </c>
      <c r="D1211" s="38" t="s">
        <v>870</v>
      </c>
      <c r="E1211" s="38" t="str">
        <f aca="false">B1211&amp;"|"&amp;C1211</f>
        <v>58|U</v>
      </c>
      <c r="F1211" s="45" t="n">
        <f aca="false">INDEX('Emission Stepwise'!$H$2:$H$289,MATCH(E1211,'Emission Stepwise'!$C$2:$C$289,0))</f>
        <v>0.00985221674876847</v>
      </c>
      <c r="G1211" s="45" t="n">
        <f aca="false">INDEX(Background!$C$4:$C$7,MATCH(C1211,Background!$A$4:$A$7,0))</f>
        <v>0.212884169069555</v>
      </c>
      <c r="H1211" s="49" t="n">
        <f aca="false">LN(F1211/G1211)</f>
        <v>-3.07305173010719</v>
      </c>
    </row>
    <row r="1212" customFormat="false" ht="15" hidden="false" customHeight="true" outlineLevel="0" collapsed="false">
      <c r="A1212" s="38" t="s">
        <v>855</v>
      </c>
      <c r="B1212" s="38" t="n">
        <v>59</v>
      </c>
      <c r="C1212" s="38" t="s">
        <v>170</v>
      </c>
      <c r="D1212" s="38" t="s">
        <v>870</v>
      </c>
      <c r="E1212" s="38" t="str">
        <f aca="false">B1212&amp;"|"&amp;C1212</f>
        <v>59|C</v>
      </c>
      <c r="F1212" s="45" t="n">
        <f aca="false">INDEX('Emission Stepwise'!$H$2:$H$289,MATCH(E1212,'Emission Stepwise'!$C$2:$C$289,0))</f>
        <v>0.0640394088669951</v>
      </c>
      <c r="G1212" s="45" t="n">
        <f aca="false">INDEX(Background!$C$4:$C$7,MATCH(C1212,Background!$A$4:$A$7,0))</f>
        <v>0.276812715380828</v>
      </c>
      <c r="H1212" s="49" t="n">
        <f aca="false">LN(F1212/G1212)</f>
        <v>-1.46384250235602</v>
      </c>
    </row>
    <row r="1213" customFormat="false" ht="15" hidden="false" customHeight="true" outlineLevel="0" collapsed="false">
      <c r="A1213" s="38" t="s">
        <v>855</v>
      </c>
      <c r="B1213" s="38" t="n">
        <v>60</v>
      </c>
      <c r="C1213" s="38" t="s">
        <v>171</v>
      </c>
      <c r="D1213" s="38" t="s">
        <v>870</v>
      </c>
      <c r="E1213" s="38" t="str">
        <f aca="false">B1213&amp;"|"&amp;C1213</f>
        <v>60|U</v>
      </c>
      <c r="F1213" s="45" t="n">
        <f aca="false">INDEX('Emission Stepwise'!$H$2:$H$289,MATCH(E1213,'Emission Stepwise'!$C$2:$C$289,0))</f>
        <v>0.773399014778325</v>
      </c>
      <c r="G1213" s="45" t="n">
        <f aca="false">INDEX(Background!$C$4:$C$7,MATCH(C1213,Background!$A$4:$A$7,0))</f>
        <v>0.212884169069555</v>
      </c>
      <c r="H1213" s="49" t="n">
        <f aca="false">LN(F1213/G1213)</f>
        <v>1.29004689468118</v>
      </c>
    </row>
    <row r="1214" customFormat="false" ht="15" hidden="false" customHeight="true" outlineLevel="0" collapsed="false">
      <c r="A1214" s="38" t="s">
        <v>855</v>
      </c>
      <c r="B1214" s="38" t="n">
        <v>61</v>
      </c>
      <c r="C1214" s="38" t="s">
        <v>170</v>
      </c>
      <c r="D1214" s="38" t="s">
        <v>870</v>
      </c>
      <c r="E1214" s="38" t="str">
        <f aca="false">B1214&amp;"|"&amp;C1214</f>
        <v>61|C</v>
      </c>
      <c r="F1214" s="45" t="n">
        <f aca="false">INDEX('Emission Stepwise'!$H$2:$H$289,MATCH(E1214,'Emission Stepwise'!$C$2:$C$289,0))</f>
        <v>0.975369458128079</v>
      </c>
      <c r="G1214" s="45" t="n">
        <f aca="false">INDEX(Background!$C$4:$C$7,MATCH(C1214,Background!$A$4:$A$7,0))</f>
        <v>0.276812715380828</v>
      </c>
      <c r="H1214" s="49" t="n">
        <f aca="false">LN(F1214/G1214)</f>
        <v>1.25947517087698</v>
      </c>
    </row>
    <row r="1215" customFormat="false" ht="15" hidden="false" customHeight="true" outlineLevel="0" collapsed="false">
      <c r="A1215" s="38" t="s">
        <v>855</v>
      </c>
      <c r="B1215" s="38" t="n">
        <v>62</v>
      </c>
      <c r="C1215" s="38" t="s">
        <v>171</v>
      </c>
      <c r="D1215" s="38" t="s">
        <v>870</v>
      </c>
      <c r="E1215" s="38" t="str">
        <f aca="false">B1215&amp;"|"&amp;C1215</f>
        <v>62|U</v>
      </c>
      <c r="F1215" s="45" t="n">
        <f aca="false">INDEX('Emission Stepwise'!$H$2:$H$289,MATCH(E1215,'Emission Stepwise'!$C$2:$C$289,0))</f>
        <v>0.133004926108374</v>
      </c>
      <c r="G1215" s="45" t="n">
        <f aca="false">INDEX(Background!$C$4:$C$7,MATCH(C1215,Background!$A$4:$A$7,0))</f>
        <v>0.212884169069555</v>
      </c>
      <c r="H1215" s="49" t="n">
        <f aca="false">LN(F1215/G1215)</f>
        <v>-0.470362044662802</v>
      </c>
    </row>
    <row r="1216" customFormat="false" ht="15" hidden="false" customHeight="true" outlineLevel="0" collapsed="false">
      <c r="A1216" s="38" t="s">
        <v>855</v>
      </c>
      <c r="B1216" s="38" t="n">
        <v>63</v>
      </c>
      <c r="C1216" s="38" t="s">
        <v>171</v>
      </c>
      <c r="D1216" s="38" t="s">
        <v>870</v>
      </c>
      <c r="E1216" s="38" t="str">
        <f aca="false">B1216&amp;"|"&amp;C1216</f>
        <v>63|U</v>
      </c>
      <c r="F1216" s="45" t="n">
        <f aca="false">INDEX('Emission Stepwise'!$H$2:$H$289,MATCH(E1216,'Emission Stepwise'!$C$2:$C$289,0))</f>
        <v>0.16256157635468</v>
      </c>
      <c r="G1216" s="45" t="n">
        <f aca="false">INDEX(Background!$C$4:$C$7,MATCH(C1216,Background!$A$4:$A$7,0))</f>
        <v>0.212884169069555</v>
      </c>
      <c r="H1216" s="49" t="n">
        <f aca="false">LN(F1216/G1216)</f>
        <v>-0.269691349200651</v>
      </c>
    </row>
    <row r="1217" customFormat="false" ht="15" hidden="false" customHeight="true" outlineLevel="0" collapsed="false">
      <c r="A1217" s="38" t="s">
        <v>855</v>
      </c>
      <c r="B1217" s="38" t="n">
        <v>64</v>
      </c>
      <c r="C1217" s="38" t="s">
        <v>171</v>
      </c>
      <c r="D1217" s="38" t="s">
        <v>870</v>
      </c>
      <c r="E1217" s="38" t="str">
        <f aca="false">B1217&amp;"|"&amp;C1217</f>
        <v>64|U</v>
      </c>
      <c r="F1217" s="45" t="n">
        <f aca="false">INDEX('Emission Stepwise'!$H$2:$H$289,MATCH(E1217,'Emission Stepwise'!$C$2:$C$289,0))</f>
        <v>0.167487684729064</v>
      </c>
      <c r="G1217" s="45" t="n">
        <f aca="false">INDEX(Background!$C$4:$C$7,MATCH(C1217,Background!$A$4:$A$7,0))</f>
        <v>0.212884169069555</v>
      </c>
      <c r="H1217" s="49" t="n">
        <f aca="false">LN(F1217/G1217)</f>
        <v>-0.23983838605097</v>
      </c>
    </row>
    <row r="1218" customFormat="false" ht="15" hidden="false" customHeight="true" outlineLevel="0" collapsed="false">
      <c r="A1218" s="38" t="s">
        <v>855</v>
      </c>
      <c r="B1218" s="38" t="n">
        <v>65</v>
      </c>
      <c r="C1218" s="38" t="s">
        <v>171</v>
      </c>
      <c r="D1218" s="38" t="s">
        <v>870</v>
      </c>
      <c r="E1218" s="38" t="str">
        <f aca="false">B1218&amp;"|"&amp;C1218</f>
        <v>65|U</v>
      </c>
      <c r="F1218" s="45" t="n">
        <f aca="false">INDEX('Emission Stepwise'!$H$2:$H$289,MATCH(E1218,'Emission Stepwise'!$C$2:$C$289,0))</f>
        <v>0.346534653465347</v>
      </c>
      <c r="G1218" s="45" t="n">
        <f aca="false">INDEX(Background!$C$4:$C$7,MATCH(C1218,Background!$A$4:$A$7,0))</f>
        <v>0.212884169069555</v>
      </c>
      <c r="H1218" s="49" t="n">
        <f aca="false">LN(F1218/G1218)</f>
        <v>0.48723461302281</v>
      </c>
    </row>
    <row r="1219" customFormat="false" ht="15" hidden="false" customHeight="true" outlineLevel="0" collapsed="false">
      <c r="A1219" s="38" t="s">
        <v>855</v>
      </c>
      <c r="B1219" s="38" t="n">
        <v>66</v>
      </c>
      <c r="C1219" s="38" t="s">
        <v>171</v>
      </c>
      <c r="D1219" s="38" t="s">
        <v>871</v>
      </c>
      <c r="E1219" s="38" t="str">
        <f aca="false">B1219&amp;"|"&amp;C1219</f>
        <v>66|U</v>
      </c>
      <c r="F1219" s="45" t="n">
        <f aca="false">INDEX('Emission Stepwise'!$H$2:$H$289,MATCH(E1219,'Emission Stepwise'!$C$2:$C$289,0))</f>
        <v>0.246305418719212</v>
      </c>
      <c r="G1219" s="45" t="n">
        <f aca="false">INDEX(Background!$C$4:$C$7,MATCH(C1219,Background!$A$4:$A$7,0))</f>
        <v>0.212884169069555</v>
      </c>
      <c r="H1219" s="49" t="n">
        <f aca="false">LN(F1219/G1219)</f>
        <v>0.145824094761015</v>
      </c>
    </row>
    <row r="1220" customFormat="false" ht="15" hidden="false" customHeight="true" outlineLevel="0" collapsed="false">
      <c r="A1220" s="38" t="s">
        <v>855</v>
      </c>
      <c r="B1220" s="38" t="n">
        <v>67</v>
      </c>
      <c r="C1220" s="38" t="s">
        <v>171</v>
      </c>
      <c r="D1220" s="38" t="s">
        <v>871</v>
      </c>
      <c r="E1220" s="38" t="str">
        <f aca="false">B1220&amp;"|"&amp;C1220</f>
        <v>67|U</v>
      </c>
      <c r="F1220" s="45" t="n">
        <f aca="false">INDEX('Emission Stepwise'!$H$2:$H$289,MATCH(E1220,'Emission Stepwise'!$C$2:$C$289,0))</f>
        <v>0.192118226600985</v>
      </c>
      <c r="G1220" s="45" t="n">
        <f aca="false">INDEX(Background!$C$4:$C$7,MATCH(C1220,Background!$A$4:$A$7,0))</f>
        <v>0.212884169069555</v>
      </c>
      <c r="H1220" s="49" t="n">
        <f aca="false">LN(F1220/G1220)</f>
        <v>-0.102637264537485</v>
      </c>
    </row>
    <row r="1221" customFormat="false" ht="15" hidden="false" customHeight="true" outlineLevel="0" collapsed="false">
      <c r="A1221" s="38" t="s">
        <v>855</v>
      </c>
      <c r="B1221" s="38" t="n">
        <v>68</v>
      </c>
      <c r="C1221" s="38" t="s">
        <v>172</v>
      </c>
      <c r="D1221" s="38" t="s">
        <v>871</v>
      </c>
      <c r="E1221" s="38" t="str">
        <f aca="false">B1221&amp;"|"&amp;C1221</f>
        <v>68|A</v>
      </c>
      <c r="F1221" s="45" t="n">
        <f aca="false">INDEX('Emission Stepwise'!$H$2:$H$289,MATCH(E1221,'Emission Stepwise'!$C$2:$C$289,0))</f>
        <v>0.0788177339901478</v>
      </c>
      <c r="G1221" s="45" t="n">
        <f aca="false">INDEX(Background!$C$4:$C$7,MATCH(C1221,Background!$A$4:$A$7,0))</f>
        <v>0.185174766157958</v>
      </c>
      <c r="H1221" s="49" t="n">
        <f aca="false">LN(F1221/G1221)</f>
        <v>-0.854162038901941</v>
      </c>
    </row>
    <row r="1222" customFormat="false" ht="15" hidden="false" customHeight="true" outlineLevel="0" collapsed="false">
      <c r="A1222" s="38" t="s">
        <v>855</v>
      </c>
      <c r="B1222" s="38" t="n">
        <v>69</v>
      </c>
      <c r="C1222" s="38" t="s">
        <v>172</v>
      </c>
      <c r="D1222" s="38" t="s">
        <v>871</v>
      </c>
      <c r="E1222" s="38" t="str">
        <f aca="false">B1222&amp;"|"&amp;C1222</f>
        <v>69|A</v>
      </c>
      <c r="F1222" s="45" t="n">
        <f aca="false">INDEX('Emission Stepwise'!$H$2:$H$289,MATCH(E1222,'Emission Stepwise'!$C$2:$C$289,0))</f>
        <v>0.12807881773399</v>
      </c>
      <c r="G1222" s="45" t="n">
        <f aca="false">INDEX(Background!$C$4:$C$7,MATCH(C1222,Background!$A$4:$A$7,0))</f>
        <v>0.185174766157958</v>
      </c>
      <c r="H1222" s="49" t="n">
        <f aca="false">LN(F1222/G1222)</f>
        <v>-0.36865422312024</v>
      </c>
    </row>
    <row r="1223" customFormat="false" ht="15" hidden="false" customHeight="true" outlineLevel="0" collapsed="false">
      <c r="A1223" s="38" t="s">
        <v>855</v>
      </c>
      <c r="B1223" s="38" t="n">
        <v>70</v>
      </c>
      <c r="C1223" s="38" t="s">
        <v>171</v>
      </c>
      <c r="D1223" s="38" t="s">
        <v>871</v>
      </c>
      <c r="E1223" s="38" t="str">
        <f aca="false">B1223&amp;"|"&amp;C1223</f>
        <v>70|U</v>
      </c>
      <c r="F1223" s="45" t="n">
        <f aca="false">INDEX('Emission Stepwise'!$H$2:$H$289,MATCH(E1223,'Emission Stepwise'!$C$2:$C$289,0))</f>
        <v>0.152709359605911</v>
      </c>
      <c r="G1223" s="45" t="n">
        <f aca="false">INDEX(Background!$C$4:$C$7,MATCH(C1223,Background!$A$4:$A$7,0))</f>
        <v>0.212884169069555</v>
      </c>
      <c r="H1223" s="49" t="n">
        <f aca="false">LN(F1223/G1223)</f>
        <v>-0.332211706181985</v>
      </c>
    </row>
    <row r="1224" customFormat="false" ht="15" hidden="false" customHeight="true" outlineLevel="0" collapsed="false">
      <c r="A1224" s="38" t="s">
        <v>855</v>
      </c>
      <c r="B1224" s="38" t="n">
        <v>71</v>
      </c>
      <c r="C1224" s="38" t="s">
        <v>172</v>
      </c>
      <c r="D1224" s="38" t="s">
        <v>871</v>
      </c>
      <c r="E1224" s="38" t="str">
        <f aca="false">B1224&amp;"|"&amp;C1224</f>
        <v>71|A</v>
      </c>
      <c r="F1224" s="45" t="n">
        <f aca="false">INDEX('Emission Stepwise'!$H$2:$H$289,MATCH(E1224,'Emission Stepwise'!$C$2:$C$289,0))</f>
        <v>0.0295566502463054</v>
      </c>
      <c r="G1224" s="45" t="n">
        <f aca="false">INDEX(Background!$C$4:$C$7,MATCH(C1224,Background!$A$4:$A$7,0))</f>
        <v>0.185174766157958</v>
      </c>
      <c r="H1224" s="49" t="n">
        <f aca="false">LN(F1224/G1224)</f>
        <v>-1.83499129191367</v>
      </c>
    </row>
    <row r="1225" customFormat="false" ht="15" hidden="false" customHeight="true" outlineLevel="0" collapsed="false">
      <c r="A1225" s="38" t="s">
        <v>855</v>
      </c>
      <c r="B1225" s="38" t="n">
        <v>72</v>
      </c>
      <c r="C1225" s="38" t="s">
        <v>171</v>
      </c>
      <c r="D1225" s="38" t="s">
        <v>871</v>
      </c>
      <c r="E1225" s="38" t="str">
        <f aca="false">B1225&amp;"|"&amp;C1225</f>
        <v>72|U</v>
      </c>
      <c r="F1225" s="45" t="n">
        <f aca="false">INDEX('Emission Stepwise'!$H$2:$H$289,MATCH(E1225,'Emission Stepwise'!$C$2:$C$289,0))</f>
        <v>0.108374384236453</v>
      </c>
      <c r="G1225" s="45" t="n">
        <f aca="false">INDEX(Background!$C$4:$C$7,MATCH(C1225,Background!$A$4:$A$7,0))</f>
        <v>0.212884169069555</v>
      </c>
      <c r="H1225" s="49" t="n">
        <f aca="false">LN(F1225/G1225)</f>
        <v>-0.675156457308816</v>
      </c>
    </row>
    <row r="1226" customFormat="false" ht="15" hidden="false" customHeight="true" outlineLevel="0" collapsed="false">
      <c r="A1226" s="38" t="s">
        <v>856</v>
      </c>
      <c r="B1226" s="38" t="n">
        <v>1</v>
      </c>
      <c r="C1226" s="38" t="s">
        <v>170</v>
      </c>
      <c r="D1226" s="38" t="s">
        <v>865</v>
      </c>
      <c r="E1226" s="38" t="str">
        <f aca="false">B1226&amp;"|"&amp;C1226</f>
        <v>1|C</v>
      </c>
      <c r="F1226" s="45" t="n">
        <f aca="false">INDEX('Emission Stepwise'!$H$2:$H$289,MATCH(E1226,'Emission Stepwise'!$C$2:$C$289,0))</f>
        <v>0.108374384236453</v>
      </c>
      <c r="G1226" s="45" t="n">
        <f aca="false">INDEX(Background!$C$4:$C$7,MATCH(C1226,Background!$A$4:$A$7,0))</f>
        <v>0.276812715380828</v>
      </c>
      <c r="H1226" s="49" t="n">
        <f aca="false">LN(F1226/G1226)</f>
        <v>-0.937749406459241</v>
      </c>
    </row>
    <row r="1227" customFormat="false" ht="15" hidden="false" customHeight="true" outlineLevel="0" collapsed="false">
      <c r="A1227" s="38" t="s">
        <v>856</v>
      </c>
      <c r="B1227" s="38" t="n">
        <v>2</v>
      </c>
      <c r="C1227" s="38" t="s">
        <v>170</v>
      </c>
      <c r="D1227" s="38" t="s">
        <v>865</v>
      </c>
      <c r="E1227" s="38" t="str">
        <f aca="false">B1227&amp;"|"&amp;C1227</f>
        <v>2|C</v>
      </c>
      <c r="F1227" s="45" t="n">
        <f aca="false">INDEX('Emission Stepwise'!$H$2:$H$289,MATCH(E1227,'Emission Stepwise'!$C$2:$C$289,0))</f>
        <v>0.408866995073892</v>
      </c>
      <c r="G1227" s="45" t="n">
        <f aca="false">INDEX(Background!$C$4:$C$7,MATCH(C1227,Background!$A$4:$A$7,0))</f>
        <v>0.276812715380828</v>
      </c>
      <c r="H1227" s="49" t="n">
        <f aca="false">LN(F1227/G1227)</f>
        <v>0.390048747979041</v>
      </c>
    </row>
    <row r="1228" customFormat="false" ht="15" hidden="false" customHeight="true" outlineLevel="0" collapsed="false">
      <c r="A1228" s="38" t="s">
        <v>856</v>
      </c>
      <c r="B1228" s="38" t="n">
        <v>3</v>
      </c>
      <c r="C1228" s="38" t="s">
        <v>171</v>
      </c>
      <c r="D1228" s="38" t="s">
        <v>865</v>
      </c>
      <c r="E1228" s="38" t="str">
        <f aca="false">B1228&amp;"|"&amp;C1228</f>
        <v>3|U</v>
      </c>
      <c r="F1228" s="45" t="n">
        <f aca="false">INDEX('Emission Stepwise'!$H$2:$H$289,MATCH(E1228,'Emission Stepwise'!$C$2:$C$289,0))</f>
        <v>0.118226600985222</v>
      </c>
      <c r="G1228" s="45" t="n">
        <f aca="false">INDEX(Background!$C$4:$C$7,MATCH(C1228,Background!$A$4:$A$7,0))</f>
        <v>0.212884169069555</v>
      </c>
      <c r="H1228" s="49" t="n">
        <f aca="false">LN(F1228/G1228)</f>
        <v>-0.588145080319186</v>
      </c>
    </row>
    <row r="1229" customFormat="false" ht="15" hidden="false" customHeight="true" outlineLevel="0" collapsed="false">
      <c r="A1229" s="38" t="s">
        <v>856</v>
      </c>
      <c r="B1229" s="38" t="n">
        <v>4</v>
      </c>
      <c r="C1229" s="38" t="s">
        <v>171</v>
      </c>
      <c r="D1229" s="38" t="s">
        <v>865</v>
      </c>
      <c r="E1229" s="38" t="str">
        <f aca="false">B1229&amp;"|"&amp;C1229</f>
        <v>4|U</v>
      </c>
      <c r="F1229" s="45" t="n">
        <f aca="false">INDEX('Emission Stepwise'!$H$2:$H$289,MATCH(E1229,'Emission Stepwise'!$C$2:$C$289,0))</f>
        <v>0.172413793103448</v>
      </c>
      <c r="G1229" s="45" t="n">
        <f aca="false">INDEX(Background!$C$4:$C$7,MATCH(C1229,Background!$A$4:$A$7,0))</f>
        <v>0.212884169069555</v>
      </c>
      <c r="H1229" s="49" t="n">
        <f aca="false">LN(F1229/G1229)</f>
        <v>-0.210850849177718</v>
      </c>
    </row>
    <row r="1230" customFormat="false" ht="15" hidden="false" customHeight="true" outlineLevel="0" collapsed="false">
      <c r="A1230" s="38" t="s">
        <v>856</v>
      </c>
      <c r="B1230" s="38" t="n">
        <v>5</v>
      </c>
      <c r="C1230" s="38" t="s">
        <v>171</v>
      </c>
      <c r="D1230" s="38" t="s">
        <v>865</v>
      </c>
      <c r="E1230" s="38" t="str">
        <f aca="false">B1230&amp;"|"&amp;C1230</f>
        <v>5|U</v>
      </c>
      <c r="F1230" s="45" t="n">
        <f aca="false">INDEX('Emission Stepwise'!$H$2:$H$289,MATCH(E1230,'Emission Stepwise'!$C$2:$C$289,0))</f>
        <v>0.108374384236453</v>
      </c>
      <c r="G1230" s="45" t="n">
        <f aca="false">INDEX(Background!$C$4:$C$7,MATCH(C1230,Background!$A$4:$A$7,0))</f>
        <v>0.212884169069555</v>
      </c>
      <c r="H1230" s="49" t="n">
        <f aca="false">LN(F1230/G1230)</f>
        <v>-0.675156457308816</v>
      </c>
    </row>
    <row r="1231" customFormat="false" ht="15" hidden="false" customHeight="true" outlineLevel="0" collapsed="false">
      <c r="A1231" s="38" t="s">
        <v>856</v>
      </c>
      <c r="B1231" s="38" t="n">
        <v>6</v>
      </c>
      <c r="C1231" s="38" t="s">
        <v>172</v>
      </c>
      <c r="D1231" s="38" t="s">
        <v>865</v>
      </c>
      <c r="E1231" s="38" t="str">
        <f aca="false">B1231&amp;"|"&amp;C1231</f>
        <v>6|A</v>
      </c>
      <c r="F1231" s="45" t="n">
        <f aca="false">INDEX('Emission Stepwise'!$H$2:$H$289,MATCH(E1231,'Emission Stepwise'!$C$2:$C$289,0))</f>
        <v>0.172413793103448</v>
      </c>
      <c r="G1231" s="45" t="n">
        <f aca="false">INDEX(Background!$C$4:$C$7,MATCH(C1231,Background!$A$4:$A$7,0))</f>
        <v>0.185174766157958</v>
      </c>
      <c r="H1231" s="49" t="n">
        <f aca="false">LN(F1231/G1231)</f>
        <v>-0.0714026996523086</v>
      </c>
    </row>
    <row r="1232" customFormat="false" ht="15" hidden="false" customHeight="true" outlineLevel="0" collapsed="false">
      <c r="A1232" s="38" t="s">
        <v>856</v>
      </c>
      <c r="B1232" s="38" t="n">
        <v>7</v>
      </c>
      <c r="C1232" s="38" t="s">
        <v>171</v>
      </c>
      <c r="D1232" s="38" t="s">
        <v>865</v>
      </c>
      <c r="E1232" s="38" t="str">
        <f aca="false">B1232&amp;"|"&amp;C1232</f>
        <v>7|U</v>
      </c>
      <c r="F1232" s="45" t="n">
        <f aca="false">INDEX('Emission Stepwise'!$H$2:$H$289,MATCH(E1232,'Emission Stepwise'!$C$2:$C$289,0))</f>
        <v>0.221674876847291</v>
      </c>
      <c r="G1232" s="45" t="n">
        <f aca="false">INDEX(Background!$C$4:$C$7,MATCH(C1232,Background!$A$4:$A$7,0))</f>
        <v>0.212884169069555</v>
      </c>
      <c r="H1232" s="49" t="n">
        <f aca="false">LN(F1232/G1232)</f>
        <v>0.0404635791031882</v>
      </c>
    </row>
    <row r="1233" customFormat="false" ht="15" hidden="false" customHeight="true" outlineLevel="0" collapsed="false">
      <c r="A1233" s="38" t="s">
        <v>856</v>
      </c>
      <c r="B1233" s="38" t="n">
        <v>8</v>
      </c>
      <c r="C1233" s="38" t="s">
        <v>171</v>
      </c>
      <c r="D1233" s="38" t="s">
        <v>866</v>
      </c>
      <c r="E1233" s="38" t="str">
        <f aca="false">B1233&amp;"|"&amp;C1233</f>
        <v>8|U</v>
      </c>
      <c r="F1233" s="45" t="n">
        <f aca="false">INDEX('Emission Stepwise'!$H$2:$H$289,MATCH(E1233,'Emission Stepwise'!$C$2:$C$289,0))</f>
        <v>0.975369458128079</v>
      </c>
      <c r="G1233" s="45" t="n">
        <f aca="false">INDEX(Background!$C$4:$C$7,MATCH(C1233,Background!$A$4:$A$7,0))</f>
        <v>0.212884169069555</v>
      </c>
      <c r="H1233" s="49" t="n">
        <f aca="false">LN(F1233/G1233)</f>
        <v>1.5220681200274</v>
      </c>
    </row>
    <row r="1234" customFormat="false" ht="15" hidden="false" customHeight="true" outlineLevel="0" collapsed="false">
      <c r="A1234" s="38" t="s">
        <v>856</v>
      </c>
      <c r="B1234" s="38" t="n">
        <v>9</v>
      </c>
      <c r="C1234" s="38" t="s">
        <v>172</v>
      </c>
      <c r="D1234" s="38" t="s">
        <v>867</v>
      </c>
      <c r="E1234" s="38" t="str">
        <f aca="false">B1234&amp;"|"&amp;C1234</f>
        <v>9|A</v>
      </c>
      <c r="F1234" s="45" t="n">
        <f aca="false">INDEX('Emission Stepwise'!$H$2:$H$289,MATCH(E1234,'Emission Stepwise'!$C$2:$C$289,0))</f>
        <v>0.648514851485149</v>
      </c>
      <c r="G1234" s="45" t="n">
        <f aca="false">INDEX(Background!$C$4:$C$7,MATCH(C1234,Background!$A$4:$A$7,0))</f>
        <v>0.185174766157958</v>
      </c>
      <c r="H1234" s="49" t="n">
        <f aca="false">LN(F1234/G1234)</f>
        <v>1.25338484370001</v>
      </c>
    </row>
    <row r="1235" customFormat="false" ht="15" hidden="false" customHeight="true" outlineLevel="0" collapsed="false">
      <c r="A1235" s="38" t="s">
        <v>856</v>
      </c>
      <c r="B1235" s="38" t="n">
        <v>10</v>
      </c>
      <c r="C1235" s="38" t="s">
        <v>172</v>
      </c>
      <c r="D1235" s="38" t="s">
        <v>867</v>
      </c>
      <c r="E1235" s="38" t="str">
        <f aca="false">B1235&amp;"|"&amp;C1235</f>
        <v>10|A</v>
      </c>
      <c r="F1235" s="45" t="n">
        <f aca="false">INDEX('Emission Stepwise'!$H$2:$H$289,MATCH(E1235,'Emission Stepwise'!$C$2:$C$289,0))</f>
        <v>0.00492610837438424</v>
      </c>
      <c r="G1235" s="45" t="n">
        <f aca="false">INDEX(Background!$C$4:$C$7,MATCH(C1235,Background!$A$4:$A$7,0))</f>
        <v>0.185174766157958</v>
      </c>
      <c r="H1235" s="49" t="n">
        <f aca="false">LN(F1235/G1235)</f>
        <v>-3.62675076114172</v>
      </c>
    </row>
    <row r="1236" customFormat="false" ht="15" hidden="false" customHeight="true" outlineLevel="0" collapsed="false">
      <c r="A1236" s="38" t="s">
        <v>856</v>
      </c>
      <c r="B1236" s="38" t="n">
        <v>11</v>
      </c>
      <c r="C1236" s="38" t="s">
        <v>172</v>
      </c>
      <c r="D1236" s="38" t="s">
        <v>867</v>
      </c>
      <c r="E1236" s="38" t="str">
        <f aca="false">B1236&amp;"|"&amp;C1236</f>
        <v>11|A</v>
      </c>
      <c r="F1236" s="45" t="n">
        <f aca="false">INDEX('Emission Stepwise'!$H$2:$H$289,MATCH(E1236,'Emission Stepwise'!$C$2:$C$289,0))</f>
        <v>0.0394088669950739</v>
      </c>
      <c r="G1236" s="45" t="n">
        <f aca="false">INDEX(Background!$C$4:$C$7,MATCH(C1236,Background!$A$4:$A$7,0))</f>
        <v>0.185174766157958</v>
      </c>
      <c r="H1236" s="49" t="n">
        <f aca="false">LN(F1236/G1236)</f>
        <v>-1.54730921946189</v>
      </c>
    </row>
    <row r="1237" customFormat="false" ht="15" hidden="false" customHeight="true" outlineLevel="0" collapsed="false">
      <c r="A1237" s="38" t="s">
        <v>856</v>
      </c>
      <c r="B1237" s="38" t="n">
        <v>12</v>
      </c>
      <c r="C1237" s="38" t="s">
        <v>169</v>
      </c>
      <c r="D1237" s="38" t="s">
        <v>867</v>
      </c>
      <c r="E1237" s="38" t="str">
        <f aca="false">B1237&amp;"|"&amp;C1237</f>
        <v>12|G</v>
      </c>
      <c r="F1237" s="45" t="n">
        <f aca="false">INDEX('Emission Stepwise'!$H$2:$H$289,MATCH(E1237,'Emission Stepwise'!$C$2:$C$289,0))</f>
        <v>0.192118226600985</v>
      </c>
      <c r="G1237" s="45" t="n">
        <f aca="false">INDEX(Background!$C$4:$C$7,MATCH(C1237,Background!$A$4:$A$7,0))</f>
        <v>0.325128349391659</v>
      </c>
      <c r="H1237" s="49" t="n">
        <f aca="false">LN(F1237/G1237)</f>
        <v>-0.526109079503992</v>
      </c>
    </row>
    <row r="1238" customFormat="false" ht="15" hidden="false" customHeight="true" outlineLevel="0" collapsed="false">
      <c r="A1238" s="38" t="s">
        <v>856</v>
      </c>
      <c r="B1238" s="38" t="n">
        <v>13</v>
      </c>
      <c r="C1238" s="38" t="s">
        <v>169</v>
      </c>
      <c r="D1238" s="38" t="s">
        <v>867</v>
      </c>
      <c r="E1238" s="38" t="str">
        <f aca="false">B1238&amp;"|"&amp;C1238</f>
        <v>13|G</v>
      </c>
      <c r="F1238" s="45" t="n">
        <f aca="false">INDEX('Emission Stepwise'!$H$2:$H$289,MATCH(E1238,'Emission Stepwise'!$C$2:$C$289,0))</f>
        <v>0.0985221674876847</v>
      </c>
      <c r="G1238" s="45" t="n">
        <f aca="false">INDEX(Background!$C$4:$C$7,MATCH(C1238,Background!$A$4:$A$7,0))</f>
        <v>0.325128349391659</v>
      </c>
      <c r="H1238" s="49" t="n">
        <f aca="false">LN(F1238/G1238)</f>
        <v>-1.19393845207965</v>
      </c>
    </row>
    <row r="1239" customFormat="false" ht="15" hidden="false" customHeight="true" outlineLevel="0" collapsed="false">
      <c r="A1239" s="38" t="s">
        <v>856</v>
      </c>
      <c r="B1239" s="38" t="n">
        <v>14</v>
      </c>
      <c r="C1239" s="38" t="s">
        <v>171</v>
      </c>
      <c r="D1239" s="38" t="s">
        <v>867</v>
      </c>
      <c r="E1239" s="38" t="str">
        <f aca="false">B1239&amp;"|"&amp;C1239</f>
        <v>14|U</v>
      </c>
      <c r="F1239" s="45" t="n">
        <f aca="false">INDEX('Emission Stepwise'!$H$2:$H$289,MATCH(E1239,'Emission Stepwise'!$C$2:$C$289,0))</f>
        <v>0.00492610837438424</v>
      </c>
      <c r="G1239" s="45" t="n">
        <f aca="false">INDEX(Background!$C$4:$C$7,MATCH(C1239,Background!$A$4:$A$7,0))</f>
        <v>0.212884169069555</v>
      </c>
      <c r="H1239" s="49" t="n">
        <f aca="false">LN(F1239/G1239)</f>
        <v>-3.76619891066713</v>
      </c>
    </row>
    <row r="1240" customFormat="false" ht="15" hidden="false" customHeight="true" outlineLevel="0" collapsed="false">
      <c r="A1240" s="38" t="s">
        <v>856</v>
      </c>
      <c r="B1240" s="38" t="n">
        <v>15</v>
      </c>
      <c r="C1240" s="38" t="s">
        <v>171</v>
      </c>
      <c r="D1240" s="38" t="s">
        <v>867</v>
      </c>
      <c r="E1240" s="38" t="str">
        <f aca="false">B1240&amp;"|"&amp;C1240</f>
        <v>15|U</v>
      </c>
      <c r="F1240" s="45" t="n">
        <f aca="false">INDEX('Emission Stepwise'!$H$2:$H$289,MATCH(E1240,'Emission Stepwise'!$C$2:$C$289,0))</f>
        <v>0.0148514851485149</v>
      </c>
      <c r="G1240" s="45" t="n">
        <f aca="false">INDEX(Background!$C$4:$C$7,MATCH(C1240,Background!$A$4:$A$7,0))</f>
        <v>0.212884169069555</v>
      </c>
      <c r="H1240" s="49" t="n">
        <f aca="false">LN(F1240/G1240)</f>
        <v>-2.66264834035844</v>
      </c>
    </row>
    <row r="1241" customFormat="false" ht="15" hidden="false" customHeight="true" outlineLevel="0" collapsed="false">
      <c r="A1241" s="38" t="s">
        <v>856</v>
      </c>
      <c r="B1241" s="38" t="n">
        <v>16</v>
      </c>
      <c r="C1241" s="38" t="s">
        <v>171</v>
      </c>
      <c r="D1241" s="38" t="s">
        <v>867</v>
      </c>
      <c r="E1241" s="38" t="str">
        <f aca="false">B1241&amp;"|"&amp;C1241</f>
        <v>16|U</v>
      </c>
      <c r="F1241" s="45" t="n">
        <f aca="false">INDEX('Emission Stepwise'!$H$2:$H$289,MATCH(E1241,'Emission Stepwise'!$C$2:$C$289,0))</f>
        <v>0.588235294117647</v>
      </c>
      <c r="G1241" s="45" t="n">
        <f aca="false">INDEX(Background!$C$4:$C$7,MATCH(C1241,Background!$A$4:$A$7,0))</f>
        <v>0.212884169069555</v>
      </c>
      <c r="H1241" s="49" t="n">
        <f aca="false">LN(F1241/G1241)</f>
        <v>1.01637881731249</v>
      </c>
    </row>
    <row r="1242" customFormat="false" ht="15" hidden="false" customHeight="true" outlineLevel="0" collapsed="false">
      <c r="A1242" s="38" t="s">
        <v>856</v>
      </c>
      <c r="B1242" s="38" t="n">
        <v>17</v>
      </c>
      <c r="C1242" s="38" t="s">
        <v>170</v>
      </c>
      <c r="D1242" s="38" t="s">
        <v>867</v>
      </c>
      <c r="E1242" s="38" t="str">
        <f aca="false">B1242&amp;"|"&amp;C1242</f>
        <v>17|C</v>
      </c>
      <c r="F1242" s="45" t="n">
        <f aca="false">INDEX('Emission Stepwise'!$H$2:$H$289,MATCH(E1242,'Emission Stepwise'!$C$2:$C$289,0))</f>
        <v>0.32</v>
      </c>
      <c r="G1242" s="45" t="n">
        <f aca="false">INDEX(Background!$C$4:$C$7,MATCH(C1242,Background!$A$4:$A$7,0))</f>
        <v>0.276812715380828</v>
      </c>
      <c r="H1242" s="49" t="n">
        <f aca="false">LN(F1242/G1242)</f>
        <v>0.144979836035866</v>
      </c>
    </row>
    <row r="1243" customFormat="false" ht="15" hidden="false" customHeight="true" outlineLevel="0" collapsed="false">
      <c r="A1243" s="38" t="s">
        <v>856</v>
      </c>
      <c r="B1243" s="38" t="n">
        <v>18</v>
      </c>
      <c r="C1243" s="38" t="s">
        <v>169</v>
      </c>
      <c r="D1243" s="38" t="s">
        <v>867</v>
      </c>
      <c r="E1243" s="38" t="str">
        <f aca="false">B1243&amp;"|"&amp;C1243</f>
        <v>18|G</v>
      </c>
      <c r="F1243" s="45" t="n">
        <f aca="false">INDEX('Emission Stepwise'!$H$2:$H$289,MATCH(E1243,'Emission Stepwise'!$C$2:$C$289,0))</f>
        <v>0.980295566502463</v>
      </c>
      <c r="G1243" s="45" t="n">
        <f aca="false">INDEX(Background!$C$4:$C$7,MATCH(C1243,Background!$A$4:$A$7,0))</f>
        <v>0.325128349391659</v>
      </c>
      <c r="H1243" s="49" t="n">
        <f aca="false">LN(F1243/G1243)</f>
        <v>1.10363409909085</v>
      </c>
    </row>
    <row r="1244" customFormat="false" ht="15" hidden="false" customHeight="true" outlineLevel="0" collapsed="false">
      <c r="A1244" s="38" t="s">
        <v>856</v>
      </c>
      <c r="B1244" s="38" t="n">
        <v>19</v>
      </c>
      <c r="C1244" s="38" t="s">
        <v>169</v>
      </c>
      <c r="D1244" s="38" t="s">
        <v>867</v>
      </c>
      <c r="E1244" s="38" t="str">
        <f aca="false">B1244&amp;"|"&amp;C1244</f>
        <v>19|G</v>
      </c>
      <c r="F1244" s="45" t="n">
        <f aca="false">INDEX('Emission Stepwise'!$H$2:$H$289,MATCH(E1244,'Emission Stepwise'!$C$2:$C$289,0))</f>
        <v>0.970443349753695</v>
      </c>
      <c r="G1244" s="45" t="n">
        <f aca="false">INDEX(Background!$C$4:$C$7,MATCH(C1244,Background!$A$4:$A$7,0))</f>
        <v>0.325128349391659</v>
      </c>
      <c r="H1244" s="49" t="n">
        <f aca="false">LN(F1244/G1244)</f>
        <v>1.09353300310435</v>
      </c>
    </row>
    <row r="1245" customFormat="false" ht="15" hidden="false" customHeight="true" outlineLevel="0" collapsed="false">
      <c r="A1245" s="38" t="s">
        <v>856</v>
      </c>
      <c r="B1245" s="38" t="n">
        <v>20</v>
      </c>
      <c r="C1245" s="38" t="s">
        <v>172</v>
      </c>
      <c r="D1245" s="38" t="s">
        <v>867</v>
      </c>
      <c r="E1245" s="38" t="str">
        <f aca="false">B1245&amp;"|"&amp;C1245</f>
        <v>20|A</v>
      </c>
      <c r="F1245" s="45" t="n">
        <f aca="false">INDEX('Emission Stepwise'!$H$2:$H$289,MATCH(E1245,'Emission Stepwise'!$C$2:$C$289,0))</f>
        <v>0.0891089108910891</v>
      </c>
      <c r="G1245" s="45" t="n">
        <f aca="false">INDEX(Background!$C$4:$C$7,MATCH(C1245,Background!$A$4:$A$7,0))</f>
        <v>0.185174766157958</v>
      </c>
      <c r="H1245" s="49" t="n">
        <f aca="false">LN(F1245/G1245)</f>
        <v>-0.731440721604975</v>
      </c>
    </row>
    <row r="1246" customFormat="false" ht="15" hidden="false" customHeight="true" outlineLevel="0" collapsed="false">
      <c r="A1246" s="38" t="s">
        <v>856</v>
      </c>
      <c r="B1246" s="38" t="n">
        <v>21</v>
      </c>
      <c r="C1246" s="38" t="s">
        <v>172</v>
      </c>
      <c r="D1246" s="38" t="s">
        <v>867</v>
      </c>
      <c r="E1246" s="38" t="str">
        <f aca="false">B1246&amp;"|"&amp;C1246</f>
        <v>21|A</v>
      </c>
      <c r="F1246" s="45" t="n">
        <f aca="false">INDEX('Emission Stepwise'!$H$2:$H$289,MATCH(E1246,'Emission Stepwise'!$C$2:$C$289,0))</f>
        <v>0.881773399014778</v>
      </c>
      <c r="G1246" s="45" t="n">
        <f aca="false">INDEX(Background!$C$4:$C$7,MATCH(C1246,Background!$A$4:$A$7,0))</f>
        <v>0.185174766157958</v>
      </c>
      <c r="H1246" s="49" t="n">
        <f aca="false">LN(F1246/G1246)</f>
        <v>1.56063504469903</v>
      </c>
    </row>
    <row r="1247" customFormat="false" ht="15" hidden="false" customHeight="true" outlineLevel="0" collapsed="false">
      <c r="A1247" s="38" t="s">
        <v>856</v>
      </c>
      <c r="B1247" s="38" t="n">
        <v>22</v>
      </c>
      <c r="C1247" s="38" t="s">
        <v>171</v>
      </c>
      <c r="D1247" s="38" t="s">
        <v>867</v>
      </c>
      <c r="E1247" s="38" t="str">
        <f aca="false">B1247&amp;"|"&amp;C1247</f>
        <v>22|U</v>
      </c>
      <c r="F1247" s="45" t="n">
        <f aca="false">INDEX('Emission Stepwise'!$H$2:$H$289,MATCH(E1247,'Emission Stepwise'!$C$2:$C$289,0))</f>
        <v>0.0738916256157636</v>
      </c>
      <c r="G1247" s="45" t="n">
        <f aca="false">INDEX(Background!$C$4:$C$7,MATCH(C1247,Background!$A$4:$A$7,0))</f>
        <v>0.212884169069555</v>
      </c>
      <c r="H1247" s="49" t="n">
        <f aca="false">LN(F1247/G1247)</f>
        <v>-1.05814870956492</v>
      </c>
    </row>
    <row r="1248" customFormat="false" ht="15" hidden="false" customHeight="true" outlineLevel="0" collapsed="false">
      <c r="A1248" s="38" t="s">
        <v>856</v>
      </c>
      <c r="B1248" s="38" t="n">
        <v>23</v>
      </c>
      <c r="C1248" s="38" t="s">
        <v>171</v>
      </c>
      <c r="D1248" s="38" t="s">
        <v>867</v>
      </c>
      <c r="E1248" s="38" t="str">
        <f aca="false">B1248&amp;"|"&amp;C1248</f>
        <v>23|U</v>
      </c>
      <c r="F1248" s="45" t="n">
        <f aca="false">INDEX('Emission Stepwise'!$H$2:$H$289,MATCH(E1248,'Emission Stepwise'!$C$2:$C$289,0))</f>
        <v>0.0640394088669951</v>
      </c>
      <c r="G1248" s="45" t="n">
        <f aca="false">INDEX(Background!$C$4:$C$7,MATCH(C1248,Background!$A$4:$A$7,0))</f>
        <v>0.212884169069555</v>
      </c>
      <c r="H1248" s="49" t="n">
        <f aca="false">LN(F1248/G1248)</f>
        <v>-1.20124955320559</v>
      </c>
    </row>
    <row r="1249" customFormat="false" ht="15" hidden="false" customHeight="true" outlineLevel="0" collapsed="false">
      <c r="A1249" s="38" t="s">
        <v>856</v>
      </c>
      <c r="B1249" s="38" t="n">
        <v>24</v>
      </c>
      <c r="C1249" s="38" t="s">
        <v>171</v>
      </c>
      <c r="D1249" s="38" t="s">
        <v>867</v>
      </c>
      <c r="E1249" s="38" t="str">
        <f aca="false">B1249&amp;"|"&amp;C1249</f>
        <v>24|U</v>
      </c>
      <c r="F1249" s="45" t="n">
        <f aca="false">INDEX('Emission Stepwise'!$H$2:$H$289,MATCH(E1249,'Emission Stepwise'!$C$2:$C$289,0))</f>
        <v>0.0394088669950739</v>
      </c>
      <c r="G1249" s="45" t="n">
        <f aca="false">INDEX(Background!$C$4:$C$7,MATCH(C1249,Background!$A$4:$A$7,0))</f>
        <v>0.212884169069555</v>
      </c>
      <c r="H1249" s="49" t="n">
        <f aca="false">LN(F1249/G1249)</f>
        <v>-1.6867573689873</v>
      </c>
    </row>
    <row r="1250" customFormat="false" ht="15" hidden="false" customHeight="true" outlineLevel="0" collapsed="false">
      <c r="A1250" s="38" t="s">
        <v>856</v>
      </c>
      <c r="B1250" s="38" t="n">
        <v>25</v>
      </c>
      <c r="C1250" s="38" t="s">
        <v>170</v>
      </c>
      <c r="D1250" s="38" t="s">
        <v>867</v>
      </c>
      <c r="E1250" s="38" t="str">
        <f aca="false">B1250&amp;"|"&amp;C1250</f>
        <v>25|C</v>
      </c>
      <c r="F1250" s="45" t="n">
        <f aca="false">INDEX('Emission Stepwise'!$H$2:$H$289,MATCH(E1250,'Emission Stepwise'!$C$2:$C$289,0))</f>
        <v>0.876847290640394</v>
      </c>
      <c r="G1250" s="45" t="n">
        <f aca="false">INDEX(Background!$C$4:$C$7,MATCH(C1250,Background!$A$4:$A$7,0))</f>
        <v>0.276812715380828</v>
      </c>
      <c r="H1250" s="49" t="n">
        <f aca="false">LN(F1250/G1250)</f>
        <v>1.15299169047453</v>
      </c>
    </row>
    <row r="1251" customFormat="false" ht="15" hidden="false" customHeight="true" outlineLevel="0" collapsed="false">
      <c r="A1251" s="38" t="s">
        <v>856</v>
      </c>
      <c r="B1251" s="38" t="n">
        <v>26</v>
      </c>
      <c r="C1251" s="38" t="s">
        <v>171</v>
      </c>
      <c r="D1251" s="38" t="s">
        <v>868</v>
      </c>
      <c r="E1251" s="38" t="str">
        <f aca="false">B1251&amp;"|"&amp;C1251</f>
        <v>26|U</v>
      </c>
      <c r="F1251" s="45" t="n">
        <f aca="false">INDEX('Emission Stepwise'!$H$2:$H$289,MATCH(E1251,'Emission Stepwise'!$C$2:$C$289,0))</f>
        <v>0.0591133004926108</v>
      </c>
      <c r="G1251" s="45" t="n">
        <f aca="false">INDEX(Background!$C$4:$C$7,MATCH(C1251,Background!$A$4:$A$7,0))</f>
        <v>0.212884169069555</v>
      </c>
      <c r="H1251" s="49" t="n">
        <f aca="false">LN(F1251/G1251)</f>
        <v>-1.28129226087913</v>
      </c>
    </row>
    <row r="1252" customFormat="false" ht="15" hidden="false" customHeight="true" outlineLevel="0" collapsed="false">
      <c r="A1252" s="38" t="s">
        <v>856</v>
      </c>
      <c r="B1252" s="38" t="n">
        <v>27</v>
      </c>
      <c r="C1252" s="38" t="s">
        <v>171</v>
      </c>
      <c r="D1252" s="38" t="s">
        <v>868</v>
      </c>
      <c r="E1252" s="38" t="str">
        <f aca="false">B1252&amp;"|"&amp;C1252</f>
        <v>27|U</v>
      </c>
      <c r="F1252" s="45" t="n">
        <f aca="false">INDEX('Emission Stepwise'!$H$2:$H$289,MATCH(E1252,'Emission Stepwise'!$C$2:$C$289,0))</f>
        <v>0.25615763546798</v>
      </c>
      <c r="G1252" s="45" t="n">
        <f aca="false">INDEX(Background!$C$4:$C$7,MATCH(C1252,Background!$A$4:$A$7,0))</f>
        <v>0.212884169069555</v>
      </c>
      <c r="H1252" s="49" t="n">
        <f aca="false">LN(F1252/G1252)</f>
        <v>0.185044807914296</v>
      </c>
    </row>
    <row r="1253" customFormat="false" ht="15" hidden="false" customHeight="true" outlineLevel="0" collapsed="false">
      <c r="A1253" s="38" t="s">
        <v>856</v>
      </c>
      <c r="B1253" s="38" t="n">
        <v>28</v>
      </c>
      <c r="C1253" s="38" t="s">
        <v>172</v>
      </c>
      <c r="D1253" s="38" t="s">
        <v>868</v>
      </c>
      <c r="E1253" s="38" t="str">
        <f aca="false">B1253&amp;"|"&amp;C1253</f>
        <v>28|A</v>
      </c>
      <c r="F1253" s="45" t="n">
        <f aca="false">INDEX('Emission Stepwise'!$H$2:$H$289,MATCH(E1253,'Emission Stepwise'!$C$2:$C$289,0))</f>
        <v>0.123152709359606</v>
      </c>
      <c r="G1253" s="45" t="n">
        <f aca="false">INDEX(Background!$C$4:$C$7,MATCH(C1253,Background!$A$4:$A$7,0))</f>
        <v>0.185174766157958</v>
      </c>
      <c r="H1253" s="49" t="n">
        <f aca="false">LN(F1253/G1253)</f>
        <v>-0.407874936273521</v>
      </c>
    </row>
    <row r="1254" customFormat="false" ht="15" hidden="false" customHeight="true" outlineLevel="0" collapsed="false">
      <c r="A1254" s="38" t="s">
        <v>856</v>
      </c>
      <c r="B1254" s="38" t="n">
        <v>29</v>
      </c>
      <c r="C1254" s="38" t="s">
        <v>172</v>
      </c>
      <c r="D1254" s="38" t="s">
        <v>868</v>
      </c>
      <c r="E1254" s="38" t="str">
        <f aca="false">B1254&amp;"|"&amp;C1254</f>
        <v>29|A</v>
      </c>
      <c r="F1254" s="45" t="n">
        <f aca="false">INDEX('Emission Stepwise'!$H$2:$H$289,MATCH(E1254,'Emission Stepwise'!$C$2:$C$289,0))</f>
        <v>0.16256157635468</v>
      </c>
      <c r="G1254" s="45" t="n">
        <f aca="false">INDEX(Background!$C$4:$C$7,MATCH(C1254,Background!$A$4:$A$7,0))</f>
        <v>0.185174766157958</v>
      </c>
      <c r="H1254" s="49" t="n">
        <f aca="false">LN(F1254/G1254)</f>
        <v>-0.130243199675242</v>
      </c>
    </row>
    <row r="1255" customFormat="false" ht="15" hidden="false" customHeight="true" outlineLevel="0" collapsed="false">
      <c r="A1255" s="38" t="s">
        <v>856</v>
      </c>
      <c r="B1255" s="38" t="n">
        <v>30</v>
      </c>
      <c r="C1255" s="38" t="s">
        <v>171</v>
      </c>
      <c r="D1255" s="38" t="s">
        <v>868</v>
      </c>
      <c r="E1255" s="38" t="str">
        <f aca="false">B1255&amp;"|"&amp;C1255</f>
        <v>30|U</v>
      </c>
      <c r="F1255" s="45" t="n">
        <f aca="false">INDEX('Emission Stepwise'!$H$2:$H$289,MATCH(E1255,'Emission Stepwise'!$C$2:$C$289,0))</f>
        <v>0.0394088669950739</v>
      </c>
      <c r="G1255" s="45" t="n">
        <f aca="false">INDEX(Background!$C$4:$C$7,MATCH(C1255,Background!$A$4:$A$7,0))</f>
        <v>0.212884169069555</v>
      </c>
      <c r="H1255" s="49" t="n">
        <f aca="false">LN(F1255/G1255)</f>
        <v>-1.6867573689873</v>
      </c>
    </row>
    <row r="1256" customFormat="false" ht="15" hidden="false" customHeight="true" outlineLevel="0" collapsed="false">
      <c r="A1256" s="38" t="s">
        <v>856</v>
      </c>
      <c r="B1256" s="38" t="n">
        <v>31</v>
      </c>
      <c r="C1256" s="38" t="s">
        <v>172</v>
      </c>
      <c r="D1256" s="38" t="s">
        <v>868</v>
      </c>
      <c r="E1256" s="38" t="str">
        <f aca="false">B1256&amp;"|"&amp;C1256</f>
        <v>31|A</v>
      </c>
      <c r="F1256" s="45" t="n">
        <f aca="false">INDEX('Emission Stepwise'!$H$2:$H$289,MATCH(E1256,'Emission Stepwise'!$C$2:$C$289,0))</f>
        <v>0.270935960591133</v>
      </c>
      <c r="G1256" s="45" t="n">
        <f aca="false">INDEX(Background!$C$4:$C$7,MATCH(C1256,Background!$A$4:$A$7,0))</f>
        <v>0.185174766157958</v>
      </c>
      <c r="H1256" s="49" t="n">
        <f aca="false">LN(F1256/G1256)</f>
        <v>0.380582424090749</v>
      </c>
    </row>
    <row r="1257" customFormat="false" ht="15" hidden="false" customHeight="true" outlineLevel="0" collapsed="false">
      <c r="A1257" s="38" t="s">
        <v>856</v>
      </c>
      <c r="B1257" s="38" t="n">
        <v>32</v>
      </c>
      <c r="C1257" s="38" t="s">
        <v>171</v>
      </c>
      <c r="D1257" s="38" t="s">
        <v>868</v>
      </c>
      <c r="E1257" s="38" t="str">
        <f aca="false">B1257&amp;"|"&amp;C1257</f>
        <v>32|U</v>
      </c>
      <c r="F1257" s="45" t="n">
        <f aca="false">INDEX('Emission Stepwise'!$H$2:$H$289,MATCH(E1257,'Emission Stepwise'!$C$2:$C$289,0))</f>
        <v>0.295566502463054</v>
      </c>
      <c r="G1257" s="45" t="n">
        <f aca="false">INDEX(Background!$C$4:$C$7,MATCH(C1257,Background!$A$4:$A$7,0))</f>
        <v>0.212884169069555</v>
      </c>
      <c r="H1257" s="49" t="n">
        <f aca="false">LN(F1257/G1257)</f>
        <v>0.328145651554969</v>
      </c>
    </row>
    <row r="1258" customFormat="false" ht="15" hidden="false" customHeight="true" outlineLevel="0" collapsed="false">
      <c r="A1258" s="38" t="s">
        <v>856</v>
      </c>
      <c r="B1258" s="38" t="n">
        <v>33</v>
      </c>
      <c r="C1258" s="38" t="s">
        <v>171</v>
      </c>
      <c r="D1258" s="38" t="s">
        <v>868</v>
      </c>
      <c r="E1258" s="38" t="str">
        <f aca="false">B1258&amp;"|"&amp;C1258</f>
        <v>33|U</v>
      </c>
      <c r="F1258" s="45" t="n">
        <f aca="false">INDEX('Emission Stepwise'!$H$2:$H$289,MATCH(E1258,'Emission Stepwise'!$C$2:$C$289,0))</f>
        <v>0.975369458128079</v>
      </c>
      <c r="G1258" s="45" t="n">
        <f aca="false">INDEX(Background!$C$4:$C$7,MATCH(C1258,Background!$A$4:$A$7,0))</f>
        <v>0.212884169069555</v>
      </c>
      <c r="H1258" s="49" t="n">
        <f aca="false">LN(F1258/G1258)</f>
        <v>1.5220681200274</v>
      </c>
    </row>
    <row r="1259" customFormat="false" ht="15" hidden="false" customHeight="true" outlineLevel="0" collapsed="false">
      <c r="A1259" s="38" t="s">
        <v>856</v>
      </c>
      <c r="B1259" s="38" t="n">
        <v>34</v>
      </c>
      <c r="C1259" s="38" t="s">
        <v>170</v>
      </c>
      <c r="D1259" s="38" t="s">
        <v>868</v>
      </c>
      <c r="E1259" s="38" t="str">
        <f aca="false">B1259&amp;"|"&amp;C1259</f>
        <v>34|C</v>
      </c>
      <c r="F1259" s="45" t="n">
        <f aca="false">INDEX('Emission Stepwise'!$H$2:$H$289,MATCH(E1259,'Emission Stepwise'!$C$2:$C$289,0))</f>
        <v>0.330049261083744</v>
      </c>
      <c r="G1259" s="45" t="n">
        <f aca="false">INDEX(Background!$C$4:$C$7,MATCH(C1259,Background!$A$4:$A$7,0))</f>
        <v>0.276812715380828</v>
      </c>
      <c r="H1259" s="49" t="n">
        <f aca="false">LN(F1259/G1259)</f>
        <v>0.175900759573409</v>
      </c>
    </row>
    <row r="1260" customFormat="false" ht="15" hidden="false" customHeight="true" outlineLevel="0" collapsed="false">
      <c r="A1260" s="38" t="s">
        <v>856</v>
      </c>
      <c r="B1260" s="38" t="n">
        <v>35</v>
      </c>
      <c r="C1260" s="38" t="s">
        <v>171</v>
      </c>
      <c r="D1260" s="38" t="s">
        <v>868</v>
      </c>
      <c r="E1260" s="38" t="str">
        <f aca="false">B1260&amp;"|"&amp;C1260</f>
        <v>35|U</v>
      </c>
      <c r="F1260" s="45" t="n">
        <f aca="false">INDEX('Emission Stepwise'!$H$2:$H$289,MATCH(E1260,'Emission Stepwise'!$C$2:$C$289,0))</f>
        <v>0.206896551724138</v>
      </c>
      <c r="G1260" s="45" t="n">
        <f aca="false">INDEX(Background!$C$4:$C$7,MATCH(C1260,Background!$A$4:$A$7,0))</f>
        <v>0.212884169069555</v>
      </c>
      <c r="H1260" s="49" t="n">
        <f aca="false">LN(F1260/G1260)</f>
        <v>-0.0285292923837632</v>
      </c>
    </row>
    <row r="1261" customFormat="false" ht="15" hidden="false" customHeight="true" outlineLevel="0" collapsed="false">
      <c r="A1261" s="38" t="s">
        <v>856</v>
      </c>
      <c r="B1261" s="38" t="n">
        <v>36</v>
      </c>
      <c r="C1261" s="38" t="s">
        <v>172</v>
      </c>
      <c r="D1261" s="38" t="s">
        <v>868</v>
      </c>
      <c r="E1261" s="38" t="str">
        <f aca="false">B1261&amp;"|"&amp;C1261</f>
        <v>36|A</v>
      </c>
      <c r="F1261" s="45" t="n">
        <f aca="false">INDEX('Emission Stepwise'!$H$2:$H$289,MATCH(E1261,'Emission Stepwise'!$C$2:$C$289,0))</f>
        <v>0.216748768472906</v>
      </c>
      <c r="G1261" s="45" t="n">
        <f aca="false">INDEX(Background!$C$4:$C$7,MATCH(C1261,Background!$A$4:$A$7,0))</f>
        <v>0.185174766157958</v>
      </c>
      <c r="H1261" s="49" t="n">
        <f aca="false">LN(F1261/G1261)</f>
        <v>0.157438872776539</v>
      </c>
    </row>
    <row r="1262" customFormat="false" ht="15" hidden="false" customHeight="true" outlineLevel="0" collapsed="false">
      <c r="A1262" s="38" t="s">
        <v>856</v>
      </c>
      <c r="B1262" s="38" t="n">
        <v>37</v>
      </c>
      <c r="C1262" s="38" t="s">
        <v>172</v>
      </c>
      <c r="D1262" s="38" t="s">
        <v>868</v>
      </c>
      <c r="E1262" s="38" t="str">
        <f aca="false">B1262&amp;"|"&amp;C1262</f>
        <v>37|A</v>
      </c>
      <c r="F1262" s="45" t="n">
        <f aca="false">INDEX('Emission Stepwise'!$H$2:$H$289,MATCH(E1262,'Emission Stepwise'!$C$2:$C$289,0))</f>
        <v>0.74384236453202</v>
      </c>
      <c r="G1262" s="45" t="n">
        <f aca="false">INDEX(Background!$C$4:$C$7,MATCH(C1262,Background!$A$4:$A$7,0))</f>
        <v>0.185174766157958</v>
      </c>
      <c r="H1262" s="49" t="n">
        <f aca="false">LN(F1262/G1262)</f>
        <v>1.3905290756732</v>
      </c>
    </row>
    <row r="1263" customFormat="false" ht="15" hidden="false" customHeight="true" outlineLevel="0" collapsed="false">
      <c r="A1263" s="38" t="s">
        <v>856</v>
      </c>
      <c r="B1263" s="38" t="n">
        <v>38</v>
      </c>
      <c r="C1263" s="38" t="s">
        <v>172</v>
      </c>
      <c r="D1263" s="38" t="s">
        <v>868</v>
      </c>
      <c r="E1263" s="38" t="str">
        <f aca="false">B1263&amp;"|"&amp;C1263</f>
        <v>38|A</v>
      </c>
      <c r="F1263" s="45" t="n">
        <f aca="false">INDEX('Emission Stepwise'!$H$2:$H$289,MATCH(E1263,'Emission Stepwise'!$C$2:$C$289,0))</f>
        <v>0.724137931034483</v>
      </c>
      <c r="G1263" s="45" t="n">
        <f aca="false">INDEX(Background!$C$4:$C$7,MATCH(C1263,Background!$A$4:$A$7,0))</f>
        <v>0.185174766157958</v>
      </c>
      <c r="H1263" s="49" t="n">
        <f aca="false">LN(F1263/G1263)</f>
        <v>1.36368182563701</v>
      </c>
    </row>
    <row r="1264" customFormat="false" ht="15" hidden="false" customHeight="true" outlineLevel="0" collapsed="false">
      <c r="A1264" s="38" t="s">
        <v>856</v>
      </c>
      <c r="B1264" s="38" t="n">
        <v>39</v>
      </c>
      <c r="C1264" s="38" t="s">
        <v>172</v>
      </c>
      <c r="D1264" s="38" t="s">
        <v>868</v>
      </c>
      <c r="E1264" s="38" t="str">
        <f aca="false">B1264&amp;"|"&amp;C1264</f>
        <v>39|A</v>
      </c>
      <c r="F1264" s="45" t="n">
        <f aca="false">INDEX('Emission Stepwise'!$H$2:$H$289,MATCH(E1264,'Emission Stepwise'!$C$2:$C$289,0))</f>
        <v>0.0935960591133005</v>
      </c>
      <c r="G1264" s="45" t="n">
        <f aca="false">INDEX(Background!$C$4:$C$7,MATCH(C1264,Background!$A$4:$A$7,0))</f>
        <v>0.185174766157958</v>
      </c>
      <c r="H1264" s="49" t="n">
        <f aca="false">LN(F1264/G1264)</f>
        <v>-0.682311781975282</v>
      </c>
    </row>
    <row r="1265" customFormat="false" ht="15" hidden="false" customHeight="true" outlineLevel="0" collapsed="false">
      <c r="A1265" s="38" t="s">
        <v>856</v>
      </c>
      <c r="B1265" s="38" t="n">
        <v>40</v>
      </c>
      <c r="C1265" s="38" t="s">
        <v>172</v>
      </c>
      <c r="D1265" s="38" t="s">
        <v>868</v>
      </c>
      <c r="E1265" s="38" t="str">
        <f aca="false">B1265&amp;"|"&amp;C1265</f>
        <v>40|A</v>
      </c>
      <c r="F1265" s="45" t="n">
        <f aca="false">INDEX('Emission Stepwise'!$H$2:$H$289,MATCH(E1265,'Emission Stepwise'!$C$2:$C$289,0))</f>
        <v>0.00985221674876847</v>
      </c>
      <c r="G1265" s="45" t="n">
        <f aca="false">INDEX(Background!$C$4:$C$7,MATCH(C1265,Background!$A$4:$A$7,0))</f>
        <v>0.185174766157958</v>
      </c>
      <c r="H1265" s="49" t="n">
        <f aca="false">LN(F1265/G1265)</f>
        <v>-2.93360358058178</v>
      </c>
    </row>
    <row r="1266" customFormat="false" ht="15" hidden="false" customHeight="true" outlineLevel="0" collapsed="false">
      <c r="A1266" s="38" t="s">
        <v>856</v>
      </c>
      <c r="B1266" s="38" t="n">
        <v>41</v>
      </c>
      <c r="C1266" s="38" t="s">
        <v>171</v>
      </c>
      <c r="D1266" s="38" t="s">
        <v>868</v>
      </c>
      <c r="E1266" s="38" t="str">
        <f aca="false">B1266&amp;"|"&amp;C1266</f>
        <v>41|U</v>
      </c>
      <c r="F1266" s="45" t="n">
        <f aca="false">INDEX('Emission Stepwise'!$H$2:$H$289,MATCH(E1266,'Emission Stepwise'!$C$2:$C$289,0))</f>
        <v>0.167487684729064</v>
      </c>
      <c r="G1266" s="45" t="n">
        <f aca="false">INDEX(Background!$C$4:$C$7,MATCH(C1266,Background!$A$4:$A$7,0))</f>
        <v>0.212884169069555</v>
      </c>
      <c r="H1266" s="49" t="n">
        <f aca="false">LN(F1266/G1266)</f>
        <v>-0.23983838605097</v>
      </c>
    </row>
    <row r="1267" customFormat="false" ht="15" hidden="false" customHeight="true" outlineLevel="0" collapsed="false">
      <c r="A1267" s="38" t="s">
        <v>856</v>
      </c>
      <c r="B1267" s="38" t="n">
        <v>42</v>
      </c>
      <c r="C1267" s="38" t="s">
        <v>171</v>
      </c>
      <c r="D1267" s="38" t="s">
        <v>868</v>
      </c>
      <c r="E1267" s="38" t="str">
        <f aca="false">B1267&amp;"|"&amp;C1267</f>
        <v>42|U</v>
      </c>
      <c r="F1267" s="45" t="n">
        <f aca="false">INDEX('Emission Stepwise'!$H$2:$H$289,MATCH(E1267,'Emission Stepwise'!$C$2:$C$289,0))</f>
        <v>0.133004926108374</v>
      </c>
      <c r="G1267" s="45" t="n">
        <f aca="false">INDEX(Background!$C$4:$C$7,MATCH(C1267,Background!$A$4:$A$7,0))</f>
        <v>0.212884169069555</v>
      </c>
      <c r="H1267" s="49" t="n">
        <f aca="false">LN(F1267/G1267)</f>
        <v>-0.470362044662802</v>
      </c>
    </row>
    <row r="1268" customFormat="false" ht="15" hidden="false" customHeight="true" outlineLevel="0" collapsed="false">
      <c r="A1268" s="38" t="s">
        <v>856</v>
      </c>
      <c r="B1268" s="38" t="n">
        <v>43</v>
      </c>
      <c r="C1268" s="38" t="s">
        <v>172</v>
      </c>
      <c r="D1268" s="38" t="s">
        <v>868</v>
      </c>
      <c r="E1268" s="38" t="str">
        <f aca="false">B1268&amp;"|"&amp;C1268</f>
        <v>43|A</v>
      </c>
      <c r="F1268" s="45" t="n">
        <f aca="false">INDEX('Emission Stepwise'!$H$2:$H$289,MATCH(E1268,'Emission Stepwise'!$C$2:$C$289,0))</f>
        <v>0.226600985221675</v>
      </c>
      <c r="G1268" s="45" t="n">
        <f aca="false">INDEX(Background!$C$4:$C$7,MATCH(C1268,Background!$A$4:$A$7,0))</f>
        <v>0.185174766157958</v>
      </c>
      <c r="H1268" s="49" t="n">
        <f aca="false">LN(F1268/G1268)</f>
        <v>0.201890635347373</v>
      </c>
    </row>
    <row r="1269" customFormat="false" ht="15" hidden="false" customHeight="true" outlineLevel="0" collapsed="false">
      <c r="A1269" s="38" t="s">
        <v>856</v>
      </c>
      <c r="B1269" s="38" t="n">
        <v>44</v>
      </c>
      <c r="C1269" s="38" t="s">
        <v>172</v>
      </c>
      <c r="D1269" s="38" t="s">
        <v>868</v>
      </c>
      <c r="E1269" s="38" t="str">
        <f aca="false">B1269&amp;"|"&amp;C1269</f>
        <v>44|A</v>
      </c>
      <c r="F1269" s="45" t="n">
        <f aca="false">INDEX('Emission Stepwise'!$H$2:$H$289,MATCH(E1269,'Emission Stepwise'!$C$2:$C$289,0))</f>
        <v>0.492610837438424</v>
      </c>
      <c r="G1269" s="45" t="n">
        <f aca="false">INDEX(Background!$C$4:$C$7,MATCH(C1269,Background!$A$4:$A$7,0))</f>
        <v>0.185174766157958</v>
      </c>
      <c r="H1269" s="49" t="n">
        <f aca="false">LN(F1269/G1269)</f>
        <v>0.978419424846369</v>
      </c>
    </row>
    <row r="1270" customFormat="false" ht="15" hidden="false" customHeight="true" outlineLevel="0" collapsed="false">
      <c r="A1270" s="38" t="s">
        <v>856</v>
      </c>
      <c r="B1270" s="38" t="n">
        <v>45</v>
      </c>
      <c r="C1270" s="38" t="s">
        <v>169</v>
      </c>
      <c r="D1270" s="38" t="s">
        <v>869</v>
      </c>
      <c r="E1270" s="38" t="str">
        <f aca="false">B1270&amp;"|"&amp;C1270</f>
        <v>45|G</v>
      </c>
      <c r="F1270" s="45" t="n">
        <f aca="false">INDEX('Emission Stepwise'!$H$2:$H$289,MATCH(E1270,'Emission Stepwise'!$C$2:$C$289,0))</f>
        <v>0.746268656716418</v>
      </c>
      <c r="G1270" s="45" t="n">
        <f aca="false">INDEX(Background!$C$4:$C$7,MATCH(C1270,Background!$A$4:$A$7,0))</f>
        <v>0.325128349391659</v>
      </c>
      <c r="H1270" s="49" t="n">
        <f aca="false">LN(F1270/G1270)</f>
        <v>0.830865639445329</v>
      </c>
    </row>
    <row r="1271" customFormat="false" ht="15" hidden="false" customHeight="true" outlineLevel="0" collapsed="false">
      <c r="A1271" s="38" t="s">
        <v>856</v>
      </c>
      <c r="B1271" s="38" t="n">
        <v>46</v>
      </c>
      <c r="C1271" s="38" t="s">
        <v>171</v>
      </c>
      <c r="D1271" s="38" t="s">
        <v>869</v>
      </c>
      <c r="E1271" s="38" t="str">
        <f aca="false">B1271&amp;"|"&amp;C1271</f>
        <v>46|U</v>
      </c>
      <c r="F1271" s="45" t="n">
        <f aca="false">INDEX('Emission Stepwise'!$H$2:$H$289,MATCH(E1271,'Emission Stepwise'!$C$2:$C$289,0))</f>
        <v>0.0755813953488372</v>
      </c>
      <c r="G1271" s="45" t="n">
        <f aca="false">INDEX(Background!$C$4:$C$7,MATCH(C1271,Background!$A$4:$A$7,0))</f>
        <v>0.212884169069555</v>
      </c>
      <c r="H1271" s="49" t="n">
        <f aca="false">LN(F1271/G1271)</f>
        <v>-1.03553805097726</v>
      </c>
    </row>
    <row r="1272" customFormat="false" ht="15" hidden="false" customHeight="true" outlineLevel="0" collapsed="false">
      <c r="A1272" s="38" t="s">
        <v>856</v>
      </c>
      <c r="B1272" s="38" t="n">
        <v>47</v>
      </c>
      <c r="C1272" s="38" t="s">
        <v>171</v>
      </c>
      <c r="D1272" s="38" t="s">
        <v>869</v>
      </c>
      <c r="E1272" s="38" t="str">
        <f aca="false">B1272&amp;"|"&amp;C1272</f>
        <v>47|U</v>
      </c>
      <c r="F1272" s="45" t="n">
        <f aca="false">INDEX('Emission Stepwise'!$H$2:$H$289,MATCH(E1272,'Emission Stepwise'!$C$2:$C$289,0))</f>
        <v>0.665024630541872</v>
      </c>
      <c r="G1272" s="45" t="n">
        <f aca="false">INDEX(Background!$C$4:$C$7,MATCH(C1272,Background!$A$4:$A$7,0))</f>
        <v>0.212884169069555</v>
      </c>
      <c r="H1272" s="49" t="n">
        <f aca="false">LN(F1272/G1272)</f>
        <v>1.1390758677713</v>
      </c>
    </row>
    <row r="1273" customFormat="false" ht="15" hidden="false" customHeight="true" outlineLevel="0" collapsed="false">
      <c r="A1273" s="38" t="s">
        <v>856</v>
      </c>
      <c r="B1273" s="38" t="n">
        <v>48</v>
      </c>
      <c r="C1273" s="38" t="s">
        <v>169</v>
      </c>
      <c r="D1273" s="38" t="s">
        <v>869</v>
      </c>
      <c r="E1273" s="38" t="str">
        <f aca="false">B1273&amp;"|"&amp;C1273</f>
        <v>48|G</v>
      </c>
      <c r="F1273" s="45" t="n">
        <f aca="false">INDEX('Emission Stepwise'!$H$2:$H$289,MATCH(E1273,'Emission Stepwise'!$C$2:$C$289,0))</f>
        <v>0.0147783251231527</v>
      </c>
      <c r="G1273" s="45" t="n">
        <f aca="false">INDEX(Background!$C$4:$C$7,MATCH(C1273,Background!$A$4:$A$7,0))</f>
        <v>0.325128349391659</v>
      </c>
      <c r="H1273" s="49" t="n">
        <f aca="false">LN(F1273/G1273)</f>
        <v>-3.09105843696553</v>
      </c>
    </row>
    <row r="1274" customFormat="false" ht="15" hidden="false" customHeight="true" outlineLevel="0" collapsed="false">
      <c r="A1274" s="38" t="s">
        <v>856</v>
      </c>
      <c r="B1274" s="38" t="n">
        <v>49</v>
      </c>
      <c r="C1274" s="38" t="s">
        <v>171</v>
      </c>
      <c r="D1274" s="38" t="s">
        <v>870</v>
      </c>
      <c r="E1274" s="38" t="str">
        <f aca="false">B1274&amp;"|"&amp;C1274</f>
        <v>49|U</v>
      </c>
      <c r="F1274" s="45" t="n">
        <f aca="false">INDEX('Emission Stepwise'!$H$2:$H$289,MATCH(E1274,'Emission Stepwise'!$C$2:$C$289,0))</f>
        <v>0.0591133004926108</v>
      </c>
      <c r="G1274" s="45" t="n">
        <f aca="false">INDEX(Background!$C$4:$C$7,MATCH(C1274,Background!$A$4:$A$7,0))</f>
        <v>0.212884169069555</v>
      </c>
      <c r="H1274" s="49" t="n">
        <f aca="false">LN(F1274/G1274)</f>
        <v>-1.28129226087913</v>
      </c>
    </row>
    <row r="1275" customFormat="false" ht="15" hidden="false" customHeight="true" outlineLevel="0" collapsed="false">
      <c r="A1275" s="38" t="s">
        <v>856</v>
      </c>
      <c r="B1275" s="38" t="n">
        <v>50</v>
      </c>
      <c r="C1275" s="38" t="s">
        <v>171</v>
      </c>
      <c r="D1275" s="38" t="s">
        <v>870</v>
      </c>
      <c r="E1275" s="38" t="str">
        <f aca="false">B1275&amp;"|"&amp;C1275</f>
        <v>50|U</v>
      </c>
      <c r="F1275" s="45" t="n">
        <f aca="false">INDEX('Emission Stepwise'!$H$2:$H$289,MATCH(E1275,'Emission Stepwise'!$C$2:$C$289,0))</f>
        <v>0.177339901477833</v>
      </c>
      <c r="G1275" s="45" t="n">
        <f aca="false">INDEX(Background!$C$4:$C$7,MATCH(C1275,Background!$A$4:$A$7,0))</f>
        <v>0.212884169069555</v>
      </c>
      <c r="H1275" s="49" t="n">
        <f aca="false">LN(F1275/G1275)</f>
        <v>-0.182679972211022</v>
      </c>
    </row>
    <row r="1276" customFormat="false" ht="15" hidden="false" customHeight="true" outlineLevel="0" collapsed="false">
      <c r="A1276" s="38" t="s">
        <v>856</v>
      </c>
      <c r="B1276" s="38" t="n">
        <v>51</v>
      </c>
      <c r="C1276" s="38" t="s">
        <v>171</v>
      </c>
      <c r="D1276" s="38" t="s">
        <v>870</v>
      </c>
      <c r="E1276" s="38" t="str">
        <f aca="false">B1276&amp;"|"&amp;C1276</f>
        <v>51|U</v>
      </c>
      <c r="F1276" s="45" t="n">
        <f aca="false">INDEX('Emission Stepwise'!$H$2:$H$289,MATCH(E1276,'Emission Stepwise'!$C$2:$C$289,0))</f>
        <v>0.153465346534653</v>
      </c>
      <c r="G1276" s="45" t="n">
        <f aca="false">INDEX(Background!$C$4:$C$7,MATCH(C1276,Background!$A$4:$A$7,0))</f>
        <v>0.212884169069555</v>
      </c>
      <c r="H1276" s="49" t="n">
        <f aca="false">LN(F1276/G1276)</f>
        <v>-0.327273424541403</v>
      </c>
    </row>
    <row r="1277" customFormat="false" ht="15" hidden="false" customHeight="true" outlineLevel="0" collapsed="false">
      <c r="A1277" s="38" t="s">
        <v>856</v>
      </c>
      <c r="B1277" s="38" t="n">
        <v>52</v>
      </c>
      <c r="C1277" s="38" t="s">
        <v>170</v>
      </c>
      <c r="D1277" s="38" t="s">
        <v>870</v>
      </c>
      <c r="E1277" s="38" t="str">
        <f aca="false">B1277&amp;"|"&amp;C1277</f>
        <v>52|C</v>
      </c>
      <c r="F1277" s="45" t="n">
        <f aca="false">INDEX('Emission Stepwise'!$H$2:$H$289,MATCH(E1277,'Emission Stepwise'!$C$2:$C$289,0))</f>
        <v>0.0147783251231527</v>
      </c>
      <c r="G1277" s="45" t="n">
        <f aca="false">INDEX(Background!$C$4:$C$7,MATCH(C1277,Background!$A$4:$A$7,0))</f>
        <v>0.276812715380828</v>
      </c>
      <c r="H1277" s="49" t="n">
        <f aca="false">LN(F1277/G1277)</f>
        <v>-2.93017957114945</v>
      </c>
    </row>
    <row r="1278" customFormat="false" ht="15" hidden="false" customHeight="true" outlineLevel="0" collapsed="false">
      <c r="A1278" s="38" t="s">
        <v>856</v>
      </c>
      <c r="B1278" s="38" t="n">
        <v>53</v>
      </c>
      <c r="C1278" s="38" t="s">
        <v>169</v>
      </c>
      <c r="D1278" s="38" t="s">
        <v>870</v>
      </c>
      <c r="E1278" s="38" t="str">
        <f aca="false">B1278&amp;"|"&amp;C1278</f>
        <v>53|G</v>
      </c>
      <c r="F1278" s="45" t="n">
        <f aca="false">INDEX('Emission Stepwise'!$H$2:$H$289,MATCH(E1278,'Emission Stepwise'!$C$2:$C$289,0))</f>
        <v>0.96551724137931</v>
      </c>
      <c r="G1278" s="45" t="n">
        <f aca="false">INDEX(Background!$C$4:$C$7,MATCH(C1278,Background!$A$4:$A$7,0))</f>
        <v>0.325128349391659</v>
      </c>
      <c r="H1278" s="49" t="n">
        <f aca="false">LN(F1278/G1278)</f>
        <v>1.08844393359688</v>
      </c>
    </row>
    <row r="1279" customFormat="false" ht="15" hidden="false" customHeight="true" outlineLevel="0" collapsed="false">
      <c r="A1279" s="38" t="s">
        <v>856</v>
      </c>
      <c r="B1279" s="38" t="n">
        <v>54</v>
      </c>
      <c r="C1279" s="38" t="s">
        <v>172</v>
      </c>
      <c r="D1279" s="38" t="s">
        <v>870</v>
      </c>
      <c r="E1279" s="38" t="str">
        <f aca="false">B1279&amp;"|"&amp;C1279</f>
        <v>54|A</v>
      </c>
      <c r="F1279" s="45" t="n">
        <f aca="false">INDEX('Emission Stepwise'!$H$2:$H$289,MATCH(E1279,'Emission Stepwise'!$C$2:$C$289,0))</f>
        <v>0.0147783251231527</v>
      </c>
      <c r="G1279" s="45" t="n">
        <f aca="false">INDEX(Background!$C$4:$C$7,MATCH(C1279,Background!$A$4:$A$7,0))</f>
        <v>0.185174766157958</v>
      </c>
      <c r="H1279" s="49" t="n">
        <f aca="false">LN(F1279/G1279)</f>
        <v>-2.52813847247361</v>
      </c>
    </row>
    <row r="1280" customFormat="false" ht="15" hidden="false" customHeight="true" outlineLevel="0" collapsed="false">
      <c r="A1280" s="38" t="s">
        <v>856</v>
      </c>
      <c r="B1280" s="38" t="n">
        <v>55</v>
      </c>
      <c r="C1280" s="38" t="s">
        <v>171</v>
      </c>
      <c r="D1280" s="38" t="s">
        <v>870</v>
      </c>
      <c r="E1280" s="38" t="str">
        <f aca="false">B1280&amp;"|"&amp;C1280</f>
        <v>55|U</v>
      </c>
      <c r="F1280" s="45" t="n">
        <f aca="false">INDEX('Emission Stepwise'!$H$2:$H$289,MATCH(E1280,'Emission Stepwise'!$C$2:$C$289,0))</f>
        <v>0.970443349753695</v>
      </c>
      <c r="G1280" s="45" t="n">
        <f aca="false">INDEX(Background!$C$4:$C$7,MATCH(C1280,Background!$A$4:$A$7,0))</f>
        <v>0.212884169069555</v>
      </c>
      <c r="H1280" s="49" t="n">
        <f aca="false">LN(F1280/G1280)</f>
        <v>1.51700481807086</v>
      </c>
    </row>
    <row r="1281" customFormat="false" ht="15" hidden="false" customHeight="true" outlineLevel="0" collapsed="false">
      <c r="A1281" s="38" t="s">
        <v>856</v>
      </c>
      <c r="B1281" s="38" t="n">
        <v>56</v>
      </c>
      <c r="C1281" s="38" t="s">
        <v>170</v>
      </c>
      <c r="D1281" s="38" t="s">
        <v>870</v>
      </c>
      <c r="E1281" s="38" t="str">
        <f aca="false">B1281&amp;"|"&amp;C1281</f>
        <v>56|C</v>
      </c>
      <c r="F1281" s="45" t="n">
        <f aca="false">INDEX('Emission Stepwise'!$H$2:$H$289,MATCH(E1281,'Emission Stepwise'!$C$2:$C$289,0))</f>
        <v>0.96551724137931</v>
      </c>
      <c r="G1281" s="45" t="n">
        <f aca="false">INDEX(Background!$C$4:$C$7,MATCH(C1281,Background!$A$4:$A$7,0))</f>
        <v>0.276812715380828</v>
      </c>
      <c r="H1281" s="49" t="n">
        <f aca="false">LN(F1281/G1281)</f>
        <v>1.24932279941296</v>
      </c>
    </row>
    <row r="1282" customFormat="false" ht="15" hidden="false" customHeight="true" outlineLevel="0" collapsed="false">
      <c r="A1282" s="38" t="s">
        <v>856</v>
      </c>
      <c r="B1282" s="38" t="n">
        <v>57</v>
      </c>
      <c r="C1282" s="38" t="s">
        <v>169</v>
      </c>
      <c r="D1282" s="38" t="s">
        <v>870</v>
      </c>
      <c r="E1282" s="38" t="str">
        <f aca="false">B1282&amp;"|"&amp;C1282</f>
        <v>57|G</v>
      </c>
      <c r="F1282" s="45" t="n">
        <f aca="false">INDEX('Emission Stepwise'!$H$2:$H$289,MATCH(E1282,'Emission Stepwise'!$C$2:$C$289,0))</f>
        <v>0.603960396039604</v>
      </c>
      <c r="G1282" s="45" t="n">
        <f aca="false">INDEX(Background!$C$4:$C$7,MATCH(C1282,Background!$A$4:$A$7,0))</f>
        <v>0.325128349391659</v>
      </c>
      <c r="H1282" s="49" t="n">
        <f aca="false">LN(F1282/G1282)</f>
        <v>0.619288600740201</v>
      </c>
    </row>
    <row r="1283" customFormat="false" ht="15" hidden="false" customHeight="true" outlineLevel="0" collapsed="false">
      <c r="A1283" s="38" t="s">
        <v>856</v>
      </c>
      <c r="B1283" s="38" t="n">
        <v>58</v>
      </c>
      <c r="C1283" s="38" t="s">
        <v>171</v>
      </c>
      <c r="D1283" s="38" t="s">
        <v>870</v>
      </c>
      <c r="E1283" s="38" t="str">
        <f aca="false">B1283&amp;"|"&amp;C1283</f>
        <v>58|U</v>
      </c>
      <c r="F1283" s="45" t="n">
        <f aca="false">INDEX('Emission Stepwise'!$H$2:$H$289,MATCH(E1283,'Emission Stepwise'!$C$2:$C$289,0))</f>
        <v>0.00985221674876847</v>
      </c>
      <c r="G1283" s="45" t="n">
        <f aca="false">INDEX(Background!$C$4:$C$7,MATCH(C1283,Background!$A$4:$A$7,0))</f>
        <v>0.212884169069555</v>
      </c>
      <c r="H1283" s="49" t="n">
        <f aca="false">LN(F1283/G1283)</f>
        <v>-3.07305173010719</v>
      </c>
    </row>
    <row r="1284" customFormat="false" ht="15" hidden="false" customHeight="true" outlineLevel="0" collapsed="false">
      <c r="A1284" s="38" t="s">
        <v>856</v>
      </c>
      <c r="B1284" s="38" t="n">
        <v>59</v>
      </c>
      <c r="C1284" s="38" t="s">
        <v>171</v>
      </c>
      <c r="D1284" s="38" t="s">
        <v>870</v>
      </c>
      <c r="E1284" s="38" t="str">
        <f aca="false">B1284&amp;"|"&amp;C1284</f>
        <v>59|U</v>
      </c>
      <c r="F1284" s="45" t="n">
        <f aca="false">INDEX('Emission Stepwise'!$H$2:$H$289,MATCH(E1284,'Emission Stepwise'!$C$2:$C$289,0))</f>
        <v>0.251231527093596</v>
      </c>
      <c r="G1284" s="45" t="n">
        <f aca="false">INDEX(Background!$C$4:$C$7,MATCH(C1284,Background!$A$4:$A$7,0))</f>
        <v>0.212884169069555</v>
      </c>
      <c r="H1284" s="49" t="n">
        <f aca="false">LN(F1284/G1284)</f>
        <v>0.165626722057194</v>
      </c>
    </row>
    <row r="1285" customFormat="false" ht="15" hidden="false" customHeight="true" outlineLevel="0" collapsed="false">
      <c r="A1285" s="38" t="s">
        <v>856</v>
      </c>
      <c r="B1285" s="38" t="n">
        <v>60</v>
      </c>
      <c r="C1285" s="38" t="s">
        <v>171</v>
      </c>
      <c r="D1285" s="38" t="s">
        <v>870</v>
      </c>
      <c r="E1285" s="38" t="str">
        <f aca="false">B1285&amp;"|"&amp;C1285</f>
        <v>60|U</v>
      </c>
      <c r="F1285" s="45" t="n">
        <f aca="false">INDEX('Emission Stepwise'!$H$2:$H$289,MATCH(E1285,'Emission Stepwise'!$C$2:$C$289,0))</f>
        <v>0.773399014778325</v>
      </c>
      <c r="G1285" s="45" t="n">
        <f aca="false">INDEX(Background!$C$4:$C$7,MATCH(C1285,Background!$A$4:$A$7,0))</f>
        <v>0.212884169069555</v>
      </c>
      <c r="H1285" s="49" t="n">
        <f aca="false">LN(F1285/G1285)</f>
        <v>1.29004689468118</v>
      </c>
    </row>
    <row r="1286" customFormat="false" ht="15" hidden="false" customHeight="true" outlineLevel="0" collapsed="false">
      <c r="A1286" s="38" t="s">
        <v>856</v>
      </c>
      <c r="B1286" s="38" t="n">
        <v>61</v>
      </c>
      <c r="C1286" s="38" t="s">
        <v>170</v>
      </c>
      <c r="D1286" s="38" t="s">
        <v>870</v>
      </c>
      <c r="E1286" s="38" t="str">
        <f aca="false">B1286&amp;"|"&amp;C1286</f>
        <v>61|C</v>
      </c>
      <c r="F1286" s="45" t="n">
        <f aca="false">INDEX('Emission Stepwise'!$H$2:$H$289,MATCH(E1286,'Emission Stepwise'!$C$2:$C$289,0))</f>
        <v>0.975369458128079</v>
      </c>
      <c r="G1286" s="45" t="n">
        <f aca="false">INDEX(Background!$C$4:$C$7,MATCH(C1286,Background!$A$4:$A$7,0))</f>
        <v>0.276812715380828</v>
      </c>
      <c r="H1286" s="49" t="n">
        <f aca="false">LN(F1286/G1286)</f>
        <v>1.25947517087698</v>
      </c>
    </row>
    <row r="1287" customFormat="false" ht="15" hidden="false" customHeight="true" outlineLevel="0" collapsed="false">
      <c r="A1287" s="38" t="s">
        <v>856</v>
      </c>
      <c r="B1287" s="38" t="n">
        <v>62</v>
      </c>
      <c r="C1287" s="38" t="s">
        <v>169</v>
      </c>
      <c r="D1287" s="38" t="s">
        <v>870</v>
      </c>
      <c r="E1287" s="38" t="str">
        <f aca="false">B1287&amp;"|"&amp;C1287</f>
        <v>62|G</v>
      </c>
      <c r="F1287" s="45" t="n">
        <f aca="false">INDEX('Emission Stepwise'!$H$2:$H$289,MATCH(E1287,'Emission Stepwise'!$C$2:$C$289,0))</f>
        <v>0.0147783251231527</v>
      </c>
      <c r="G1287" s="45" t="n">
        <f aca="false">INDEX(Background!$C$4:$C$7,MATCH(C1287,Background!$A$4:$A$7,0))</f>
        <v>0.325128349391659</v>
      </c>
      <c r="H1287" s="49" t="n">
        <f aca="false">LN(F1287/G1287)</f>
        <v>-3.09105843696553</v>
      </c>
    </row>
    <row r="1288" customFormat="false" ht="15" hidden="false" customHeight="true" outlineLevel="0" collapsed="false">
      <c r="A1288" s="38" t="s">
        <v>856</v>
      </c>
      <c r="B1288" s="38" t="n">
        <v>63</v>
      </c>
      <c r="C1288" s="38" t="s">
        <v>172</v>
      </c>
      <c r="D1288" s="38" t="s">
        <v>870</v>
      </c>
      <c r="E1288" s="38" t="str">
        <f aca="false">B1288&amp;"|"&amp;C1288</f>
        <v>63|A</v>
      </c>
      <c r="F1288" s="45" t="n">
        <f aca="false">INDEX('Emission Stepwise'!$H$2:$H$289,MATCH(E1288,'Emission Stepwise'!$C$2:$C$289,0))</f>
        <v>0.113300492610837</v>
      </c>
      <c r="G1288" s="45" t="n">
        <f aca="false">INDEX(Background!$C$4:$C$7,MATCH(C1288,Background!$A$4:$A$7,0))</f>
        <v>0.185174766157958</v>
      </c>
      <c r="H1288" s="49" t="n">
        <f aca="false">LN(F1288/G1288)</f>
        <v>-0.491256545212573</v>
      </c>
    </row>
    <row r="1289" customFormat="false" ht="15" hidden="false" customHeight="true" outlineLevel="0" collapsed="false">
      <c r="A1289" s="38" t="s">
        <v>856</v>
      </c>
      <c r="B1289" s="38" t="n">
        <v>64</v>
      </c>
      <c r="C1289" s="38" t="s">
        <v>172</v>
      </c>
      <c r="D1289" s="38" t="s">
        <v>870</v>
      </c>
      <c r="E1289" s="38" t="str">
        <f aca="false">B1289&amp;"|"&amp;C1289</f>
        <v>64|A</v>
      </c>
      <c r="F1289" s="45" t="n">
        <f aca="false">INDEX('Emission Stepwise'!$H$2:$H$289,MATCH(E1289,'Emission Stepwise'!$C$2:$C$289,0))</f>
        <v>0.16256157635468</v>
      </c>
      <c r="G1289" s="45" t="n">
        <f aca="false">INDEX(Background!$C$4:$C$7,MATCH(C1289,Background!$A$4:$A$7,0))</f>
        <v>0.185174766157958</v>
      </c>
      <c r="H1289" s="49" t="n">
        <f aca="false">LN(F1289/G1289)</f>
        <v>-0.130243199675242</v>
      </c>
    </row>
    <row r="1290" customFormat="false" ht="15" hidden="false" customHeight="true" outlineLevel="0" collapsed="false">
      <c r="A1290" s="38" t="s">
        <v>856</v>
      </c>
      <c r="B1290" s="38" t="n">
        <v>65</v>
      </c>
      <c r="C1290" s="38" t="s">
        <v>172</v>
      </c>
      <c r="D1290" s="38" t="s">
        <v>870</v>
      </c>
      <c r="E1290" s="38" t="str">
        <f aca="false">B1290&amp;"|"&amp;C1290</f>
        <v>65|A</v>
      </c>
      <c r="F1290" s="45" t="n">
        <f aca="false">INDEX('Emission Stepwise'!$H$2:$H$289,MATCH(E1290,'Emission Stepwise'!$C$2:$C$289,0))</f>
        <v>0.0495049504950495</v>
      </c>
      <c r="G1290" s="45" t="n">
        <f aca="false">INDEX(Background!$C$4:$C$7,MATCH(C1290,Background!$A$4:$A$7,0))</f>
        <v>0.185174766157958</v>
      </c>
      <c r="H1290" s="49" t="n">
        <f aca="false">LN(F1290/G1290)</f>
        <v>-1.31922738650709</v>
      </c>
    </row>
    <row r="1291" customFormat="false" ht="15" hidden="false" customHeight="true" outlineLevel="0" collapsed="false">
      <c r="A1291" s="38" t="s">
        <v>856</v>
      </c>
      <c r="B1291" s="38" t="n">
        <v>66</v>
      </c>
      <c r="C1291" s="38" t="s">
        <v>172</v>
      </c>
      <c r="D1291" s="38" t="s">
        <v>871</v>
      </c>
      <c r="E1291" s="38" t="str">
        <f aca="false">B1291&amp;"|"&amp;C1291</f>
        <v>66|A</v>
      </c>
      <c r="F1291" s="45" t="n">
        <f aca="false">INDEX('Emission Stepwise'!$H$2:$H$289,MATCH(E1291,'Emission Stepwise'!$C$2:$C$289,0))</f>
        <v>0.216748768472906</v>
      </c>
      <c r="G1291" s="45" t="n">
        <f aca="false">INDEX(Background!$C$4:$C$7,MATCH(C1291,Background!$A$4:$A$7,0))</f>
        <v>0.185174766157958</v>
      </c>
      <c r="H1291" s="49" t="n">
        <f aca="false">LN(F1291/G1291)</f>
        <v>0.157438872776539</v>
      </c>
    </row>
    <row r="1292" customFormat="false" ht="15" hidden="false" customHeight="true" outlineLevel="0" collapsed="false">
      <c r="A1292" s="38" t="s">
        <v>856</v>
      </c>
      <c r="B1292" s="38" t="n">
        <v>67</v>
      </c>
      <c r="C1292" s="38" t="s">
        <v>171</v>
      </c>
      <c r="D1292" s="38" t="s">
        <v>871</v>
      </c>
      <c r="E1292" s="38" t="str">
        <f aca="false">B1292&amp;"|"&amp;C1292</f>
        <v>67|U</v>
      </c>
      <c r="F1292" s="45" t="n">
        <f aca="false">INDEX('Emission Stepwise'!$H$2:$H$289,MATCH(E1292,'Emission Stepwise'!$C$2:$C$289,0))</f>
        <v>0.192118226600985</v>
      </c>
      <c r="G1292" s="45" t="n">
        <f aca="false">INDEX(Background!$C$4:$C$7,MATCH(C1292,Background!$A$4:$A$7,0))</f>
        <v>0.212884169069555</v>
      </c>
      <c r="H1292" s="49" t="n">
        <f aca="false">LN(F1292/G1292)</f>
        <v>-0.102637264537485</v>
      </c>
    </row>
    <row r="1293" customFormat="false" ht="15" hidden="false" customHeight="true" outlineLevel="0" collapsed="false">
      <c r="A1293" s="38" t="s">
        <v>856</v>
      </c>
      <c r="B1293" s="38" t="n">
        <v>68</v>
      </c>
      <c r="C1293" s="38" t="s">
        <v>169</v>
      </c>
      <c r="D1293" s="38" t="s">
        <v>871</v>
      </c>
      <c r="E1293" s="38" t="str">
        <f aca="false">B1293&amp;"|"&amp;C1293</f>
        <v>68|G</v>
      </c>
      <c r="F1293" s="45" t="n">
        <f aca="false">INDEX('Emission Stepwise'!$H$2:$H$289,MATCH(E1293,'Emission Stepwise'!$C$2:$C$289,0))</f>
        <v>0.433497536945813</v>
      </c>
      <c r="G1293" s="45" t="n">
        <f aca="false">INDEX(Background!$C$4:$C$7,MATCH(C1293,Background!$A$4:$A$7,0))</f>
        <v>0.325128349391659</v>
      </c>
      <c r="H1293" s="49" t="n">
        <f aca="false">LN(F1293/G1293)</f>
        <v>0.287666088844568</v>
      </c>
    </row>
    <row r="1294" customFormat="false" ht="15" hidden="false" customHeight="true" outlineLevel="0" collapsed="false">
      <c r="A1294" s="38" t="s">
        <v>856</v>
      </c>
      <c r="B1294" s="38" t="n">
        <v>69</v>
      </c>
      <c r="C1294" s="38" t="s">
        <v>172</v>
      </c>
      <c r="D1294" s="38" t="s">
        <v>871</v>
      </c>
      <c r="E1294" s="38" t="str">
        <f aca="false">B1294&amp;"|"&amp;C1294</f>
        <v>69|A</v>
      </c>
      <c r="F1294" s="45" t="n">
        <f aca="false">INDEX('Emission Stepwise'!$H$2:$H$289,MATCH(E1294,'Emission Stepwise'!$C$2:$C$289,0))</f>
        <v>0.12807881773399</v>
      </c>
      <c r="G1294" s="45" t="n">
        <f aca="false">INDEX(Background!$C$4:$C$7,MATCH(C1294,Background!$A$4:$A$7,0))</f>
        <v>0.185174766157958</v>
      </c>
      <c r="H1294" s="49" t="n">
        <f aca="false">LN(F1294/G1294)</f>
        <v>-0.36865422312024</v>
      </c>
    </row>
    <row r="1295" customFormat="false" ht="15" hidden="false" customHeight="true" outlineLevel="0" collapsed="false">
      <c r="A1295" s="38" t="s">
        <v>856</v>
      </c>
      <c r="B1295" s="38" t="n">
        <v>70</v>
      </c>
      <c r="C1295" s="38" t="s">
        <v>172</v>
      </c>
      <c r="D1295" s="38" t="s">
        <v>871</v>
      </c>
      <c r="E1295" s="38" t="str">
        <f aca="false">B1295&amp;"|"&amp;C1295</f>
        <v>70|A</v>
      </c>
      <c r="F1295" s="45" t="n">
        <f aca="false">INDEX('Emission Stepwise'!$H$2:$H$289,MATCH(E1295,'Emission Stepwise'!$C$2:$C$289,0))</f>
        <v>0.118226600985222</v>
      </c>
      <c r="G1295" s="45" t="n">
        <f aca="false">INDEX(Background!$C$4:$C$7,MATCH(C1295,Background!$A$4:$A$7,0))</f>
        <v>0.185174766157958</v>
      </c>
      <c r="H1295" s="49" t="n">
        <f aca="false">LN(F1295/G1295)</f>
        <v>-0.448696930793777</v>
      </c>
    </row>
    <row r="1296" customFormat="false" ht="15" hidden="false" customHeight="true" outlineLevel="0" collapsed="false">
      <c r="A1296" s="38" t="s">
        <v>856</v>
      </c>
      <c r="B1296" s="38" t="n">
        <v>71</v>
      </c>
      <c r="C1296" s="38" t="s">
        <v>169</v>
      </c>
      <c r="D1296" s="38" t="s">
        <v>871</v>
      </c>
      <c r="E1296" s="38" t="str">
        <f aca="false">B1296&amp;"|"&amp;C1296</f>
        <v>71|G</v>
      </c>
      <c r="F1296" s="45" t="n">
        <f aca="false">INDEX('Emission Stepwise'!$H$2:$H$289,MATCH(E1296,'Emission Stepwise'!$C$2:$C$289,0))</f>
        <v>0.408866995073892</v>
      </c>
      <c r="G1296" s="45" t="n">
        <f aca="false">INDEX(Background!$C$4:$C$7,MATCH(C1296,Background!$A$4:$A$7,0))</f>
        <v>0.325128349391659</v>
      </c>
      <c r="H1296" s="49" t="n">
        <f aca="false">LN(F1296/G1296)</f>
        <v>0.22916988216296</v>
      </c>
    </row>
    <row r="1297" customFormat="false" ht="15" hidden="false" customHeight="true" outlineLevel="0" collapsed="false">
      <c r="A1297" s="38" t="s">
        <v>856</v>
      </c>
      <c r="B1297" s="38" t="n">
        <v>72</v>
      </c>
      <c r="C1297" s="38" t="s">
        <v>169</v>
      </c>
      <c r="D1297" s="38" t="s">
        <v>871</v>
      </c>
      <c r="E1297" s="38" t="str">
        <f aca="false">B1297&amp;"|"&amp;C1297</f>
        <v>72|G</v>
      </c>
      <c r="F1297" s="45" t="n">
        <f aca="false">INDEX('Emission Stepwise'!$H$2:$H$289,MATCH(E1297,'Emission Stepwise'!$C$2:$C$289,0))</f>
        <v>0.0886699507389163</v>
      </c>
      <c r="G1297" s="45" t="n">
        <f aca="false">INDEX(Background!$C$4:$C$7,MATCH(C1297,Background!$A$4:$A$7,0))</f>
        <v>0.325128349391659</v>
      </c>
      <c r="H1297" s="49" t="n">
        <f aca="false">LN(F1297/G1297)</f>
        <v>-1.29929896773747</v>
      </c>
    </row>
    <row r="1298" customFormat="false" ht="15" hidden="false" customHeight="true" outlineLevel="0" collapsed="false">
      <c r="A1298" s="38" t="s">
        <v>857</v>
      </c>
      <c r="B1298" s="38" t="n">
        <v>1</v>
      </c>
      <c r="C1298" s="38" t="s">
        <v>169</v>
      </c>
      <c r="D1298" s="38" t="s">
        <v>865</v>
      </c>
      <c r="E1298" s="38" t="str">
        <f aca="false">B1298&amp;"|"&amp;C1298</f>
        <v>1|G</v>
      </c>
      <c r="F1298" s="45" t="n">
        <f aca="false">INDEX('Emission Stepwise'!$H$2:$H$289,MATCH(E1298,'Emission Stepwise'!$C$2:$C$289,0))</f>
        <v>0.753694581280788</v>
      </c>
      <c r="G1298" s="45" t="n">
        <f aca="false">INDEX(Background!$C$4:$C$7,MATCH(C1298,Background!$A$4:$A$7,0))</f>
        <v>0.325128349391659</v>
      </c>
      <c r="H1298" s="49" t="n">
        <f aca="false">LN(F1298/G1298)</f>
        <v>0.840767195758797</v>
      </c>
    </row>
    <row r="1299" customFormat="false" ht="15" hidden="false" customHeight="true" outlineLevel="0" collapsed="false">
      <c r="A1299" s="38" t="s">
        <v>857</v>
      </c>
      <c r="B1299" s="38" t="n">
        <v>2</v>
      </c>
      <c r="C1299" s="38" t="s">
        <v>172</v>
      </c>
      <c r="D1299" s="38" t="s">
        <v>865</v>
      </c>
      <c r="E1299" s="38" t="str">
        <f aca="false">B1299&amp;"|"&amp;C1299</f>
        <v>2|A</v>
      </c>
      <c r="F1299" s="45" t="n">
        <f aca="false">INDEX('Emission Stepwise'!$H$2:$H$289,MATCH(E1299,'Emission Stepwise'!$C$2:$C$289,0))</f>
        <v>0.0344827586206897</v>
      </c>
      <c r="G1299" s="45" t="n">
        <f aca="false">INDEX(Background!$C$4:$C$7,MATCH(C1299,Background!$A$4:$A$7,0))</f>
        <v>0.185174766157958</v>
      </c>
      <c r="H1299" s="49" t="n">
        <f aca="false">LN(F1299/G1299)</f>
        <v>-1.68084061208641</v>
      </c>
    </row>
    <row r="1300" customFormat="false" ht="15" hidden="false" customHeight="true" outlineLevel="0" collapsed="false">
      <c r="A1300" s="38" t="s">
        <v>857</v>
      </c>
      <c r="B1300" s="38" t="n">
        <v>3</v>
      </c>
      <c r="C1300" s="38" t="s">
        <v>172</v>
      </c>
      <c r="D1300" s="38" t="s">
        <v>865</v>
      </c>
      <c r="E1300" s="38" t="str">
        <f aca="false">B1300&amp;"|"&amp;C1300</f>
        <v>3|A</v>
      </c>
      <c r="F1300" s="45" t="n">
        <f aca="false">INDEX('Emission Stepwise'!$H$2:$H$289,MATCH(E1300,'Emission Stepwise'!$C$2:$C$289,0))</f>
        <v>0.0738916256157636</v>
      </c>
      <c r="G1300" s="45" t="n">
        <f aca="false">INDEX(Background!$C$4:$C$7,MATCH(C1300,Background!$A$4:$A$7,0))</f>
        <v>0.185174766157958</v>
      </c>
      <c r="H1300" s="49" t="n">
        <f aca="false">LN(F1300/G1300)</f>
        <v>-0.918700560039512</v>
      </c>
    </row>
    <row r="1301" customFormat="false" ht="15" hidden="false" customHeight="true" outlineLevel="0" collapsed="false">
      <c r="A1301" s="38" t="s">
        <v>857</v>
      </c>
      <c r="B1301" s="38" t="n">
        <v>4</v>
      </c>
      <c r="C1301" s="38" t="s">
        <v>172</v>
      </c>
      <c r="D1301" s="38" t="s">
        <v>865</v>
      </c>
      <c r="E1301" s="38" t="str">
        <f aca="false">B1301&amp;"|"&amp;C1301</f>
        <v>4|A</v>
      </c>
      <c r="F1301" s="45" t="n">
        <f aca="false">INDEX('Emission Stepwise'!$H$2:$H$289,MATCH(E1301,'Emission Stepwise'!$C$2:$C$289,0))</f>
        <v>0.0788177339901478</v>
      </c>
      <c r="G1301" s="45" t="n">
        <f aca="false">INDEX(Background!$C$4:$C$7,MATCH(C1301,Background!$A$4:$A$7,0))</f>
        <v>0.185174766157958</v>
      </c>
      <c r="H1301" s="49" t="n">
        <f aca="false">LN(F1301/G1301)</f>
        <v>-0.854162038901941</v>
      </c>
    </row>
    <row r="1302" customFormat="false" ht="15" hidden="false" customHeight="true" outlineLevel="0" collapsed="false">
      <c r="A1302" s="38" t="s">
        <v>857</v>
      </c>
      <c r="B1302" s="38" t="n">
        <v>5</v>
      </c>
      <c r="C1302" s="38" t="s">
        <v>171</v>
      </c>
      <c r="D1302" s="38" t="s">
        <v>865</v>
      </c>
      <c r="E1302" s="38" t="str">
        <f aca="false">B1302&amp;"|"&amp;C1302</f>
        <v>5|U</v>
      </c>
      <c r="F1302" s="45" t="n">
        <f aca="false">INDEX('Emission Stepwise'!$H$2:$H$289,MATCH(E1302,'Emission Stepwise'!$C$2:$C$289,0))</f>
        <v>0.108374384236453</v>
      </c>
      <c r="G1302" s="45" t="n">
        <f aca="false">INDEX(Background!$C$4:$C$7,MATCH(C1302,Background!$A$4:$A$7,0))</f>
        <v>0.212884169069555</v>
      </c>
      <c r="H1302" s="49" t="n">
        <f aca="false">LN(F1302/G1302)</f>
        <v>-0.675156457308816</v>
      </c>
    </row>
    <row r="1303" customFormat="false" ht="15" hidden="false" customHeight="true" outlineLevel="0" collapsed="false">
      <c r="A1303" s="38" t="s">
        <v>857</v>
      </c>
      <c r="B1303" s="38" t="n">
        <v>6</v>
      </c>
      <c r="C1303" s="38" t="s">
        <v>171</v>
      </c>
      <c r="D1303" s="38" t="s">
        <v>865</v>
      </c>
      <c r="E1303" s="38" t="str">
        <f aca="false">B1303&amp;"|"&amp;C1303</f>
        <v>6|U</v>
      </c>
      <c r="F1303" s="45" t="n">
        <f aca="false">INDEX('Emission Stepwise'!$H$2:$H$289,MATCH(E1303,'Emission Stepwise'!$C$2:$C$289,0))</f>
        <v>0.261083743842365</v>
      </c>
      <c r="G1303" s="45" t="n">
        <f aca="false">INDEX(Background!$C$4:$C$7,MATCH(C1303,Background!$A$4:$A$7,0))</f>
        <v>0.212884169069555</v>
      </c>
      <c r="H1303" s="49" t="n">
        <f aca="false">LN(F1303/G1303)</f>
        <v>0.20409300288499</v>
      </c>
    </row>
    <row r="1304" customFormat="false" ht="15" hidden="false" customHeight="true" outlineLevel="0" collapsed="false">
      <c r="A1304" s="38" t="s">
        <v>857</v>
      </c>
      <c r="B1304" s="38" t="n">
        <v>7</v>
      </c>
      <c r="C1304" s="38" t="s">
        <v>171</v>
      </c>
      <c r="D1304" s="38" t="s">
        <v>865</v>
      </c>
      <c r="E1304" s="38" t="str">
        <f aca="false">B1304&amp;"|"&amp;C1304</f>
        <v>7|U</v>
      </c>
      <c r="F1304" s="45" t="n">
        <f aca="false">INDEX('Emission Stepwise'!$H$2:$H$289,MATCH(E1304,'Emission Stepwise'!$C$2:$C$289,0))</f>
        <v>0.221674876847291</v>
      </c>
      <c r="G1304" s="45" t="n">
        <f aca="false">INDEX(Background!$C$4:$C$7,MATCH(C1304,Background!$A$4:$A$7,0))</f>
        <v>0.212884169069555</v>
      </c>
      <c r="H1304" s="49" t="n">
        <f aca="false">LN(F1304/G1304)</f>
        <v>0.0404635791031882</v>
      </c>
    </row>
    <row r="1305" customFormat="false" ht="15" hidden="false" customHeight="true" outlineLevel="0" collapsed="false">
      <c r="A1305" s="38" t="s">
        <v>857</v>
      </c>
      <c r="B1305" s="38" t="n">
        <v>8</v>
      </c>
      <c r="C1305" s="38" t="s">
        <v>171</v>
      </c>
      <c r="D1305" s="38" t="s">
        <v>866</v>
      </c>
      <c r="E1305" s="38" t="str">
        <f aca="false">B1305&amp;"|"&amp;C1305</f>
        <v>8|U</v>
      </c>
      <c r="F1305" s="45" t="n">
        <f aca="false">INDEX('Emission Stepwise'!$H$2:$H$289,MATCH(E1305,'Emission Stepwise'!$C$2:$C$289,0))</f>
        <v>0.975369458128079</v>
      </c>
      <c r="G1305" s="45" t="n">
        <f aca="false">INDEX(Background!$C$4:$C$7,MATCH(C1305,Background!$A$4:$A$7,0))</f>
        <v>0.212884169069555</v>
      </c>
      <c r="H1305" s="49" t="n">
        <f aca="false">LN(F1305/G1305)</f>
        <v>1.5220681200274</v>
      </c>
    </row>
    <row r="1306" customFormat="false" ht="15" hidden="false" customHeight="true" outlineLevel="0" collapsed="false">
      <c r="A1306" s="38" t="s">
        <v>857</v>
      </c>
      <c r="B1306" s="38" t="n">
        <v>9</v>
      </c>
      <c r="C1306" s="38" t="s">
        <v>171</v>
      </c>
      <c r="D1306" s="38" t="s">
        <v>867</v>
      </c>
      <c r="E1306" s="38" t="str">
        <f aca="false">B1306&amp;"|"&amp;C1306</f>
        <v>9|U</v>
      </c>
      <c r="F1306" s="45" t="n">
        <f aca="false">INDEX('Emission Stepwise'!$H$2:$H$289,MATCH(E1306,'Emission Stepwise'!$C$2:$C$289,0))</f>
        <v>0.00495049504950495</v>
      </c>
      <c r="G1306" s="45" t="n">
        <f aca="false">INDEX(Background!$C$4:$C$7,MATCH(C1306,Background!$A$4:$A$7,0))</f>
        <v>0.212884169069555</v>
      </c>
      <c r="H1306" s="49" t="n">
        <f aca="false">LN(F1306/G1306)</f>
        <v>-3.76126062902655</v>
      </c>
    </row>
    <row r="1307" customFormat="false" ht="15" hidden="false" customHeight="true" outlineLevel="0" collapsed="false">
      <c r="A1307" s="38" t="s">
        <v>857</v>
      </c>
      <c r="B1307" s="38" t="n">
        <v>10</v>
      </c>
      <c r="C1307" s="38" t="s">
        <v>172</v>
      </c>
      <c r="D1307" s="38" t="s">
        <v>867</v>
      </c>
      <c r="E1307" s="38" t="str">
        <f aca="false">B1307&amp;"|"&amp;C1307</f>
        <v>10|A</v>
      </c>
      <c r="F1307" s="45" t="n">
        <f aca="false">INDEX('Emission Stepwise'!$H$2:$H$289,MATCH(E1307,'Emission Stepwise'!$C$2:$C$289,0))</f>
        <v>0.00492610837438424</v>
      </c>
      <c r="G1307" s="45" t="n">
        <f aca="false">INDEX(Background!$C$4:$C$7,MATCH(C1307,Background!$A$4:$A$7,0))</f>
        <v>0.185174766157958</v>
      </c>
      <c r="H1307" s="49" t="n">
        <f aca="false">LN(F1307/G1307)</f>
        <v>-3.62675076114172</v>
      </c>
    </row>
    <row r="1308" customFormat="false" ht="15" hidden="false" customHeight="true" outlineLevel="0" collapsed="false">
      <c r="A1308" s="38" t="s">
        <v>857</v>
      </c>
      <c r="B1308" s="38" t="n">
        <v>11</v>
      </c>
      <c r="C1308" s="38" t="s">
        <v>171</v>
      </c>
      <c r="D1308" s="38" t="s">
        <v>867</v>
      </c>
      <c r="E1308" s="38" t="str">
        <f aca="false">B1308&amp;"|"&amp;C1308</f>
        <v>11|U</v>
      </c>
      <c r="F1308" s="45" t="n">
        <f aca="false">INDEX('Emission Stepwise'!$H$2:$H$289,MATCH(E1308,'Emission Stepwise'!$C$2:$C$289,0))</f>
        <v>0.201970443349754</v>
      </c>
      <c r="G1308" s="45" t="n">
        <f aca="false">INDEX(Background!$C$4:$C$7,MATCH(C1308,Background!$A$4:$A$7,0))</f>
        <v>0.212884169069555</v>
      </c>
      <c r="H1308" s="49" t="n">
        <f aca="false">LN(F1308/G1308)</f>
        <v>-0.0526268439628237</v>
      </c>
    </row>
    <row r="1309" customFormat="false" ht="15" hidden="false" customHeight="true" outlineLevel="0" collapsed="false">
      <c r="A1309" s="38" t="s">
        <v>857</v>
      </c>
      <c r="B1309" s="38" t="n">
        <v>12</v>
      </c>
      <c r="C1309" s="38" t="s">
        <v>171</v>
      </c>
      <c r="D1309" s="38" t="s">
        <v>867</v>
      </c>
      <c r="E1309" s="38" t="str">
        <f aca="false">B1309&amp;"|"&amp;C1309</f>
        <v>12|U</v>
      </c>
      <c r="F1309" s="45" t="n">
        <f aca="false">INDEX('Emission Stepwise'!$H$2:$H$289,MATCH(E1309,'Emission Stepwise'!$C$2:$C$289,0))</f>
        <v>0.591133004926108</v>
      </c>
      <c r="G1309" s="45" t="n">
        <f aca="false">INDEX(Background!$C$4:$C$7,MATCH(C1309,Background!$A$4:$A$7,0))</f>
        <v>0.212884169069555</v>
      </c>
      <c r="H1309" s="49" t="n">
        <f aca="false">LN(F1309/G1309)</f>
        <v>1.02129283211491</v>
      </c>
    </row>
    <row r="1310" customFormat="false" ht="15" hidden="false" customHeight="true" outlineLevel="0" collapsed="false">
      <c r="A1310" s="38" t="s">
        <v>857</v>
      </c>
      <c r="B1310" s="38" t="n">
        <v>13</v>
      </c>
      <c r="C1310" s="38" t="s">
        <v>171</v>
      </c>
      <c r="D1310" s="38" t="s">
        <v>867</v>
      </c>
      <c r="E1310" s="38" t="str">
        <f aca="false">B1310&amp;"|"&amp;C1310</f>
        <v>13|U</v>
      </c>
      <c r="F1310" s="45" t="n">
        <f aca="false">INDEX('Emission Stepwise'!$H$2:$H$289,MATCH(E1310,'Emission Stepwise'!$C$2:$C$289,0))</f>
        <v>0.192118226600985</v>
      </c>
      <c r="G1310" s="45" t="n">
        <f aca="false">INDEX(Background!$C$4:$C$7,MATCH(C1310,Background!$A$4:$A$7,0))</f>
        <v>0.212884169069555</v>
      </c>
      <c r="H1310" s="49" t="n">
        <f aca="false">LN(F1310/G1310)</f>
        <v>-0.102637264537485</v>
      </c>
    </row>
    <row r="1311" customFormat="false" ht="15" hidden="false" customHeight="true" outlineLevel="0" collapsed="false">
      <c r="A1311" s="38" t="s">
        <v>857</v>
      </c>
      <c r="B1311" s="38" t="n">
        <v>14</v>
      </c>
      <c r="C1311" s="38" t="s">
        <v>172</v>
      </c>
      <c r="D1311" s="38" t="s">
        <v>867</v>
      </c>
      <c r="E1311" s="38" t="str">
        <f aca="false">B1311&amp;"|"&amp;C1311</f>
        <v>14|A</v>
      </c>
      <c r="F1311" s="45" t="n">
        <f aca="false">INDEX('Emission Stepwise'!$H$2:$H$289,MATCH(E1311,'Emission Stepwise'!$C$2:$C$289,0))</f>
        <v>0.975369458128079</v>
      </c>
      <c r="G1311" s="45" t="n">
        <f aca="false">INDEX(Background!$C$4:$C$7,MATCH(C1311,Background!$A$4:$A$7,0))</f>
        <v>0.185174766157958</v>
      </c>
      <c r="H1311" s="49" t="n">
        <f aca="false">LN(F1311/G1311)</f>
        <v>1.66151626955281</v>
      </c>
    </row>
    <row r="1312" customFormat="false" ht="15" hidden="false" customHeight="true" outlineLevel="0" collapsed="false">
      <c r="A1312" s="38" t="s">
        <v>857</v>
      </c>
      <c r="B1312" s="38" t="n">
        <v>15</v>
      </c>
      <c r="C1312" s="38" t="s">
        <v>171</v>
      </c>
      <c r="D1312" s="38" t="s">
        <v>867</v>
      </c>
      <c r="E1312" s="38" t="str">
        <f aca="false">B1312&amp;"|"&amp;C1312</f>
        <v>15|U</v>
      </c>
      <c r="F1312" s="45" t="n">
        <f aca="false">INDEX('Emission Stepwise'!$H$2:$H$289,MATCH(E1312,'Emission Stepwise'!$C$2:$C$289,0))</f>
        <v>0.0148514851485149</v>
      </c>
      <c r="G1312" s="45" t="n">
        <f aca="false">INDEX(Background!$C$4:$C$7,MATCH(C1312,Background!$A$4:$A$7,0))</f>
        <v>0.212884169069555</v>
      </c>
      <c r="H1312" s="49" t="n">
        <f aca="false">LN(F1312/G1312)</f>
        <v>-2.66264834035844</v>
      </c>
    </row>
    <row r="1313" customFormat="false" ht="15" hidden="false" customHeight="true" outlineLevel="0" collapsed="false">
      <c r="A1313" s="38" t="s">
        <v>857</v>
      </c>
      <c r="B1313" s="38" t="n">
        <v>16</v>
      </c>
      <c r="C1313" s="38" t="s">
        <v>171</v>
      </c>
      <c r="D1313" s="38" t="s">
        <v>867</v>
      </c>
      <c r="E1313" s="38" t="str">
        <f aca="false">B1313&amp;"|"&amp;C1313</f>
        <v>16|U</v>
      </c>
      <c r="F1313" s="45" t="n">
        <f aca="false">INDEX('Emission Stepwise'!$H$2:$H$289,MATCH(E1313,'Emission Stepwise'!$C$2:$C$289,0))</f>
        <v>0.588235294117647</v>
      </c>
      <c r="G1313" s="45" t="n">
        <f aca="false">INDEX(Background!$C$4:$C$7,MATCH(C1313,Background!$A$4:$A$7,0))</f>
        <v>0.212884169069555</v>
      </c>
      <c r="H1313" s="49" t="n">
        <f aca="false">LN(F1313/G1313)</f>
        <v>1.01637881731249</v>
      </c>
    </row>
    <row r="1314" customFormat="false" ht="15" hidden="false" customHeight="true" outlineLevel="0" collapsed="false">
      <c r="A1314" s="38" t="s">
        <v>857</v>
      </c>
      <c r="B1314" s="38" t="n">
        <v>17</v>
      </c>
      <c r="C1314" s="38" t="s">
        <v>169</v>
      </c>
      <c r="D1314" s="38" t="s">
        <v>867</v>
      </c>
      <c r="E1314" s="38" t="str">
        <f aca="false">B1314&amp;"|"&amp;C1314</f>
        <v>17|G</v>
      </c>
      <c r="F1314" s="45" t="n">
        <f aca="false">INDEX('Emission Stepwise'!$H$2:$H$289,MATCH(E1314,'Emission Stepwise'!$C$2:$C$289,0))</f>
        <v>0.045</v>
      </c>
      <c r="G1314" s="45" t="n">
        <f aca="false">INDEX(Background!$C$4:$C$7,MATCH(C1314,Background!$A$4:$A$7,0))</f>
        <v>0.325128349391659</v>
      </c>
      <c r="H1314" s="49" t="n">
        <f aca="false">LN(F1314/G1314)</f>
        <v>-1.97755753580367</v>
      </c>
    </row>
    <row r="1315" customFormat="false" ht="15" hidden="false" customHeight="true" outlineLevel="0" collapsed="false">
      <c r="A1315" s="38" t="s">
        <v>857</v>
      </c>
      <c r="B1315" s="38" t="n">
        <v>18</v>
      </c>
      <c r="C1315" s="38" t="s">
        <v>169</v>
      </c>
      <c r="D1315" s="38" t="s">
        <v>867</v>
      </c>
      <c r="E1315" s="38" t="str">
        <f aca="false">B1315&amp;"|"&amp;C1315</f>
        <v>18|G</v>
      </c>
      <c r="F1315" s="45" t="n">
        <f aca="false">INDEX('Emission Stepwise'!$H$2:$H$289,MATCH(E1315,'Emission Stepwise'!$C$2:$C$289,0))</f>
        <v>0.980295566502463</v>
      </c>
      <c r="G1315" s="45" t="n">
        <f aca="false">INDEX(Background!$C$4:$C$7,MATCH(C1315,Background!$A$4:$A$7,0))</f>
        <v>0.325128349391659</v>
      </c>
      <c r="H1315" s="49" t="n">
        <f aca="false">LN(F1315/G1315)</f>
        <v>1.10363409909085</v>
      </c>
    </row>
    <row r="1316" customFormat="false" ht="15" hidden="false" customHeight="true" outlineLevel="0" collapsed="false">
      <c r="A1316" s="38" t="s">
        <v>857</v>
      </c>
      <c r="B1316" s="38" t="n">
        <v>19</v>
      </c>
      <c r="C1316" s="38" t="s">
        <v>169</v>
      </c>
      <c r="D1316" s="38" t="s">
        <v>867</v>
      </c>
      <c r="E1316" s="38" t="str">
        <f aca="false">B1316&amp;"|"&amp;C1316</f>
        <v>19|G</v>
      </c>
      <c r="F1316" s="45" t="n">
        <f aca="false">INDEX('Emission Stepwise'!$H$2:$H$289,MATCH(E1316,'Emission Stepwise'!$C$2:$C$289,0))</f>
        <v>0.970443349753695</v>
      </c>
      <c r="G1316" s="45" t="n">
        <f aca="false">INDEX(Background!$C$4:$C$7,MATCH(C1316,Background!$A$4:$A$7,0))</f>
        <v>0.325128349391659</v>
      </c>
      <c r="H1316" s="49" t="n">
        <f aca="false">LN(F1316/G1316)</f>
        <v>1.09353300310435</v>
      </c>
    </row>
    <row r="1317" customFormat="false" ht="15" hidden="false" customHeight="true" outlineLevel="0" collapsed="false">
      <c r="A1317" s="38" t="s">
        <v>857</v>
      </c>
      <c r="B1317" s="38" t="n">
        <v>20</v>
      </c>
      <c r="C1317" s="38" t="s">
        <v>172</v>
      </c>
      <c r="D1317" s="38" t="s">
        <v>867</v>
      </c>
      <c r="E1317" s="38" t="str">
        <f aca="false">B1317&amp;"|"&amp;C1317</f>
        <v>20|A</v>
      </c>
      <c r="F1317" s="45" t="n">
        <f aca="false">INDEX('Emission Stepwise'!$H$2:$H$289,MATCH(E1317,'Emission Stepwise'!$C$2:$C$289,0))</f>
        <v>0.0891089108910891</v>
      </c>
      <c r="G1317" s="45" t="n">
        <f aca="false">INDEX(Background!$C$4:$C$7,MATCH(C1317,Background!$A$4:$A$7,0))</f>
        <v>0.185174766157958</v>
      </c>
      <c r="H1317" s="49" t="n">
        <f aca="false">LN(F1317/G1317)</f>
        <v>-0.731440721604975</v>
      </c>
    </row>
    <row r="1318" customFormat="false" ht="15" hidden="false" customHeight="true" outlineLevel="0" collapsed="false">
      <c r="A1318" s="38" t="s">
        <v>857</v>
      </c>
      <c r="B1318" s="38" t="n">
        <v>21</v>
      </c>
      <c r="C1318" s="38" t="s">
        <v>170</v>
      </c>
      <c r="D1318" s="38" t="s">
        <v>867</v>
      </c>
      <c r="E1318" s="38" t="str">
        <f aca="false">B1318&amp;"|"&amp;C1318</f>
        <v>21|C</v>
      </c>
      <c r="F1318" s="45" t="n">
        <f aca="false">INDEX('Emission Stepwise'!$H$2:$H$289,MATCH(E1318,'Emission Stepwise'!$C$2:$C$289,0))</f>
        <v>0.0246305418719212</v>
      </c>
      <c r="G1318" s="45" t="n">
        <f aca="false">INDEX(Background!$C$4:$C$7,MATCH(C1318,Background!$A$4:$A$7,0))</f>
        <v>0.276812715380828</v>
      </c>
      <c r="H1318" s="49" t="n">
        <f aca="false">LN(F1318/G1318)</f>
        <v>-2.41935394738346</v>
      </c>
    </row>
    <row r="1319" customFormat="false" ht="15" hidden="false" customHeight="true" outlineLevel="0" collapsed="false">
      <c r="A1319" s="38" t="s">
        <v>857</v>
      </c>
      <c r="B1319" s="38" t="n">
        <v>22</v>
      </c>
      <c r="C1319" s="38" t="s">
        <v>172</v>
      </c>
      <c r="D1319" s="38" t="s">
        <v>867</v>
      </c>
      <c r="E1319" s="38" t="str">
        <f aca="false">B1319&amp;"|"&amp;C1319</f>
        <v>22|A</v>
      </c>
      <c r="F1319" s="45" t="n">
        <f aca="false">INDEX('Emission Stepwise'!$H$2:$H$289,MATCH(E1319,'Emission Stepwise'!$C$2:$C$289,0))</f>
        <v>0.206896551724138</v>
      </c>
      <c r="G1319" s="45" t="n">
        <f aca="false">INDEX(Background!$C$4:$C$7,MATCH(C1319,Background!$A$4:$A$7,0))</f>
        <v>0.185174766157958</v>
      </c>
      <c r="H1319" s="49" t="n">
        <f aca="false">LN(F1319/G1319)</f>
        <v>0.110918857141646</v>
      </c>
    </row>
    <row r="1320" customFormat="false" ht="15" hidden="false" customHeight="true" outlineLevel="0" collapsed="false">
      <c r="A1320" s="38" t="s">
        <v>857</v>
      </c>
      <c r="B1320" s="38" t="n">
        <v>23</v>
      </c>
      <c r="C1320" s="38" t="s">
        <v>172</v>
      </c>
      <c r="D1320" s="38" t="s">
        <v>867</v>
      </c>
      <c r="E1320" s="38" t="str">
        <f aca="false">B1320&amp;"|"&amp;C1320</f>
        <v>23|A</v>
      </c>
      <c r="F1320" s="45" t="n">
        <f aca="false">INDEX('Emission Stepwise'!$H$2:$H$289,MATCH(E1320,'Emission Stepwise'!$C$2:$C$289,0))</f>
        <v>0.596059113300493</v>
      </c>
      <c r="G1320" s="45" t="n">
        <f aca="false">INDEX(Background!$C$4:$C$7,MATCH(C1320,Background!$A$4:$A$7,0))</f>
        <v>0.185174766157958</v>
      </c>
      <c r="H1320" s="49" t="n">
        <f aca="false">LN(F1320/G1320)</f>
        <v>1.16903978445502</v>
      </c>
    </row>
    <row r="1321" customFormat="false" ht="15" hidden="false" customHeight="true" outlineLevel="0" collapsed="false">
      <c r="A1321" s="38" t="s">
        <v>857</v>
      </c>
      <c r="B1321" s="38" t="n">
        <v>24</v>
      </c>
      <c r="C1321" s="38" t="s">
        <v>172</v>
      </c>
      <c r="D1321" s="38" t="s">
        <v>867</v>
      </c>
      <c r="E1321" s="38" t="str">
        <f aca="false">B1321&amp;"|"&amp;C1321</f>
        <v>24|A</v>
      </c>
      <c r="F1321" s="45" t="n">
        <f aca="false">INDEX('Emission Stepwise'!$H$2:$H$289,MATCH(E1321,'Emission Stepwise'!$C$2:$C$289,0))</f>
        <v>0.187192118226601</v>
      </c>
      <c r="G1321" s="45" t="n">
        <f aca="false">INDEX(Background!$C$4:$C$7,MATCH(C1321,Background!$A$4:$A$7,0))</f>
        <v>0.185174766157958</v>
      </c>
      <c r="H1321" s="49" t="n">
        <f aca="false">LN(F1321/G1321)</f>
        <v>0.0108353985846635</v>
      </c>
    </row>
    <row r="1322" customFormat="false" ht="15" hidden="false" customHeight="true" outlineLevel="0" collapsed="false">
      <c r="A1322" s="38" t="s">
        <v>857</v>
      </c>
      <c r="B1322" s="38" t="n">
        <v>25</v>
      </c>
      <c r="C1322" s="38" t="s">
        <v>171</v>
      </c>
      <c r="D1322" s="38" t="s">
        <v>867</v>
      </c>
      <c r="E1322" s="38" t="str">
        <f aca="false">B1322&amp;"|"&amp;C1322</f>
        <v>25|U</v>
      </c>
      <c r="F1322" s="45" t="n">
        <f aca="false">INDEX('Emission Stepwise'!$H$2:$H$289,MATCH(E1322,'Emission Stepwise'!$C$2:$C$289,0))</f>
        <v>0.0738916256157636</v>
      </c>
      <c r="G1322" s="45" t="n">
        <f aca="false">INDEX(Background!$C$4:$C$7,MATCH(C1322,Background!$A$4:$A$7,0))</f>
        <v>0.212884169069555</v>
      </c>
      <c r="H1322" s="49" t="n">
        <f aca="false">LN(F1322/G1322)</f>
        <v>-1.05814870956492</v>
      </c>
    </row>
    <row r="1323" customFormat="false" ht="15" hidden="false" customHeight="true" outlineLevel="0" collapsed="false">
      <c r="A1323" s="38" t="s">
        <v>857</v>
      </c>
      <c r="B1323" s="38" t="n">
        <v>26</v>
      </c>
      <c r="C1323" s="38" t="s">
        <v>171</v>
      </c>
      <c r="D1323" s="38" t="s">
        <v>868</v>
      </c>
      <c r="E1323" s="38" t="str">
        <f aca="false">B1323&amp;"|"&amp;C1323</f>
        <v>26|U</v>
      </c>
      <c r="F1323" s="45" t="n">
        <f aca="false">INDEX('Emission Stepwise'!$H$2:$H$289,MATCH(E1323,'Emission Stepwise'!$C$2:$C$289,0))</f>
        <v>0.0591133004926108</v>
      </c>
      <c r="G1323" s="45" t="n">
        <f aca="false">INDEX(Background!$C$4:$C$7,MATCH(C1323,Background!$A$4:$A$7,0))</f>
        <v>0.212884169069555</v>
      </c>
      <c r="H1323" s="49" t="n">
        <f aca="false">LN(F1323/G1323)</f>
        <v>-1.28129226087913</v>
      </c>
    </row>
    <row r="1324" customFormat="false" ht="15" hidden="false" customHeight="true" outlineLevel="0" collapsed="false">
      <c r="A1324" s="38" t="s">
        <v>857</v>
      </c>
      <c r="B1324" s="38" t="n">
        <v>27</v>
      </c>
      <c r="C1324" s="38" t="s">
        <v>171</v>
      </c>
      <c r="D1324" s="38" t="s">
        <v>868</v>
      </c>
      <c r="E1324" s="38" t="str">
        <f aca="false">B1324&amp;"|"&amp;C1324</f>
        <v>27|U</v>
      </c>
      <c r="F1324" s="45" t="n">
        <f aca="false">INDEX('Emission Stepwise'!$H$2:$H$289,MATCH(E1324,'Emission Stepwise'!$C$2:$C$289,0))</f>
        <v>0.25615763546798</v>
      </c>
      <c r="G1324" s="45" t="n">
        <f aca="false">INDEX(Background!$C$4:$C$7,MATCH(C1324,Background!$A$4:$A$7,0))</f>
        <v>0.212884169069555</v>
      </c>
      <c r="H1324" s="49" t="n">
        <f aca="false">LN(F1324/G1324)</f>
        <v>0.185044807914296</v>
      </c>
    </row>
    <row r="1325" customFormat="false" ht="15" hidden="false" customHeight="true" outlineLevel="0" collapsed="false">
      <c r="A1325" s="38" t="s">
        <v>857</v>
      </c>
      <c r="B1325" s="38" t="n">
        <v>28</v>
      </c>
      <c r="C1325" s="38" t="s">
        <v>171</v>
      </c>
      <c r="D1325" s="38" t="s">
        <v>868</v>
      </c>
      <c r="E1325" s="38" t="str">
        <f aca="false">B1325&amp;"|"&amp;C1325</f>
        <v>28|U</v>
      </c>
      <c r="F1325" s="45" t="n">
        <f aca="false">INDEX('Emission Stepwise'!$H$2:$H$289,MATCH(E1325,'Emission Stepwise'!$C$2:$C$289,0))</f>
        <v>0.251231527093596</v>
      </c>
      <c r="G1325" s="45" t="n">
        <f aca="false">INDEX(Background!$C$4:$C$7,MATCH(C1325,Background!$A$4:$A$7,0))</f>
        <v>0.212884169069555</v>
      </c>
      <c r="H1325" s="49" t="n">
        <f aca="false">LN(F1325/G1325)</f>
        <v>0.165626722057194</v>
      </c>
    </row>
    <row r="1326" customFormat="false" ht="15" hidden="false" customHeight="true" outlineLevel="0" collapsed="false">
      <c r="A1326" s="38" t="s">
        <v>857</v>
      </c>
      <c r="B1326" s="38" t="n">
        <v>29</v>
      </c>
      <c r="C1326" s="38" t="s">
        <v>169</v>
      </c>
      <c r="D1326" s="38" t="s">
        <v>868</v>
      </c>
      <c r="E1326" s="38" t="str">
        <f aca="false">B1326&amp;"|"&amp;C1326</f>
        <v>29|G</v>
      </c>
      <c r="F1326" s="45" t="n">
        <f aca="false">INDEX('Emission Stepwise'!$H$2:$H$289,MATCH(E1326,'Emission Stepwise'!$C$2:$C$289,0))</f>
        <v>0.38423645320197</v>
      </c>
      <c r="G1326" s="45" t="n">
        <f aca="false">INDEX(Background!$C$4:$C$7,MATCH(C1326,Background!$A$4:$A$7,0))</f>
        <v>0.325128349391659</v>
      </c>
      <c r="H1326" s="49" t="n">
        <f aca="false">LN(F1326/G1326)</f>
        <v>0.167038101055953</v>
      </c>
    </row>
    <row r="1327" customFormat="false" ht="15" hidden="false" customHeight="true" outlineLevel="0" collapsed="false">
      <c r="A1327" s="38" t="s">
        <v>857</v>
      </c>
      <c r="B1327" s="38" t="n">
        <v>30</v>
      </c>
      <c r="C1327" s="38" t="s">
        <v>172</v>
      </c>
      <c r="D1327" s="38" t="s">
        <v>868</v>
      </c>
      <c r="E1327" s="38" t="str">
        <f aca="false">B1327&amp;"|"&amp;C1327</f>
        <v>30|A</v>
      </c>
      <c r="F1327" s="45" t="n">
        <f aca="false">INDEX('Emission Stepwise'!$H$2:$H$289,MATCH(E1327,'Emission Stepwise'!$C$2:$C$289,0))</f>
        <v>0.00492610837438424</v>
      </c>
      <c r="G1327" s="45" t="n">
        <f aca="false">INDEX(Background!$C$4:$C$7,MATCH(C1327,Background!$A$4:$A$7,0))</f>
        <v>0.185174766157958</v>
      </c>
      <c r="H1327" s="49" t="n">
        <f aca="false">LN(F1327/G1327)</f>
        <v>-3.62675076114172</v>
      </c>
    </row>
    <row r="1328" customFormat="false" ht="15" hidden="false" customHeight="true" outlineLevel="0" collapsed="false">
      <c r="A1328" s="38" t="s">
        <v>857</v>
      </c>
      <c r="B1328" s="38" t="n">
        <v>31</v>
      </c>
      <c r="C1328" s="38" t="s">
        <v>172</v>
      </c>
      <c r="D1328" s="38" t="s">
        <v>868</v>
      </c>
      <c r="E1328" s="38" t="str">
        <f aca="false">B1328&amp;"|"&amp;C1328</f>
        <v>31|A</v>
      </c>
      <c r="F1328" s="45" t="n">
        <f aca="false">INDEX('Emission Stepwise'!$H$2:$H$289,MATCH(E1328,'Emission Stepwise'!$C$2:$C$289,0))</f>
        <v>0.270935960591133</v>
      </c>
      <c r="G1328" s="45" t="n">
        <f aca="false">INDEX(Background!$C$4:$C$7,MATCH(C1328,Background!$A$4:$A$7,0))</f>
        <v>0.185174766157958</v>
      </c>
      <c r="H1328" s="49" t="n">
        <f aca="false">LN(F1328/G1328)</f>
        <v>0.380582424090749</v>
      </c>
    </row>
    <row r="1329" customFormat="false" ht="15" hidden="false" customHeight="true" outlineLevel="0" collapsed="false">
      <c r="A1329" s="38" t="s">
        <v>857</v>
      </c>
      <c r="B1329" s="38" t="n">
        <v>32</v>
      </c>
      <c r="C1329" s="38" t="s">
        <v>169</v>
      </c>
      <c r="D1329" s="38" t="s">
        <v>868</v>
      </c>
      <c r="E1329" s="38" t="str">
        <f aca="false">B1329&amp;"|"&amp;C1329</f>
        <v>32|G</v>
      </c>
      <c r="F1329" s="45" t="n">
        <f aca="false">INDEX('Emission Stepwise'!$H$2:$H$289,MATCH(E1329,'Emission Stepwise'!$C$2:$C$289,0))</f>
        <v>0.00492610837438424</v>
      </c>
      <c r="G1329" s="45" t="n">
        <f aca="false">INDEX(Background!$C$4:$C$7,MATCH(C1329,Background!$A$4:$A$7,0))</f>
        <v>0.325128349391659</v>
      </c>
      <c r="H1329" s="49" t="n">
        <f aca="false">LN(F1329/G1329)</f>
        <v>-4.18967072563364</v>
      </c>
    </row>
    <row r="1330" customFormat="false" ht="15" hidden="false" customHeight="true" outlineLevel="0" collapsed="false">
      <c r="A1330" s="38" t="s">
        <v>857</v>
      </c>
      <c r="B1330" s="38" t="n">
        <v>33</v>
      </c>
      <c r="C1330" s="38" t="s">
        <v>171</v>
      </c>
      <c r="D1330" s="38" t="s">
        <v>868</v>
      </c>
      <c r="E1330" s="38" t="str">
        <f aca="false">B1330&amp;"|"&amp;C1330</f>
        <v>33|U</v>
      </c>
      <c r="F1330" s="45" t="n">
        <f aca="false">INDEX('Emission Stepwise'!$H$2:$H$289,MATCH(E1330,'Emission Stepwise'!$C$2:$C$289,0))</f>
        <v>0.975369458128079</v>
      </c>
      <c r="G1330" s="45" t="n">
        <f aca="false">INDEX(Background!$C$4:$C$7,MATCH(C1330,Background!$A$4:$A$7,0))</f>
        <v>0.212884169069555</v>
      </c>
      <c r="H1330" s="49" t="n">
        <f aca="false">LN(F1330/G1330)</f>
        <v>1.5220681200274</v>
      </c>
    </row>
    <row r="1331" customFormat="false" ht="15" hidden="false" customHeight="true" outlineLevel="0" collapsed="false">
      <c r="A1331" s="38" t="s">
        <v>857</v>
      </c>
      <c r="B1331" s="38" t="n">
        <v>34</v>
      </c>
      <c r="C1331" s="38" t="s">
        <v>171</v>
      </c>
      <c r="D1331" s="38" t="s">
        <v>868</v>
      </c>
      <c r="E1331" s="38" t="str">
        <f aca="false">B1331&amp;"|"&amp;C1331</f>
        <v>34|U</v>
      </c>
      <c r="F1331" s="45" t="n">
        <f aca="false">INDEX('Emission Stepwise'!$H$2:$H$289,MATCH(E1331,'Emission Stepwise'!$C$2:$C$289,0))</f>
        <v>0.29064039408867</v>
      </c>
      <c r="G1331" s="45" t="n">
        <f aca="false">INDEX(Background!$C$4:$C$7,MATCH(C1331,Background!$A$4:$A$7,0))</f>
        <v>0.212884169069555</v>
      </c>
      <c r="H1331" s="49" t="n">
        <f aca="false">LN(F1331/G1331)</f>
        <v>0.311338533238588</v>
      </c>
    </row>
    <row r="1332" customFormat="false" ht="15" hidden="false" customHeight="true" outlineLevel="0" collapsed="false">
      <c r="A1332" s="38" t="s">
        <v>857</v>
      </c>
      <c r="B1332" s="38" t="n">
        <v>35</v>
      </c>
      <c r="C1332" s="38" t="s">
        <v>171</v>
      </c>
      <c r="D1332" s="38" t="s">
        <v>868</v>
      </c>
      <c r="E1332" s="38" t="str">
        <f aca="false">B1332&amp;"|"&amp;C1332</f>
        <v>35|U</v>
      </c>
      <c r="F1332" s="45" t="n">
        <f aca="false">INDEX('Emission Stepwise'!$H$2:$H$289,MATCH(E1332,'Emission Stepwise'!$C$2:$C$289,0))</f>
        <v>0.206896551724138</v>
      </c>
      <c r="G1332" s="45" t="n">
        <f aca="false">INDEX(Background!$C$4:$C$7,MATCH(C1332,Background!$A$4:$A$7,0))</f>
        <v>0.212884169069555</v>
      </c>
      <c r="H1332" s="49" t="n">
        <f aca="false">LN(F1332/G1332)</f>
        <v>-0.0285292923837632</v>
      </c>
    </row>
    <row r="1333" customFormat="false" ht="15" hidden="false" customHeight="true" outlineLevel="0" collapsed="false">
      <c r="A1333" s="38" t="s">
        <v>857</v>
      </c>
      <c r="B1333" s="38" t="n">
        <v>36</v>
      </c>
      <c r="C1333" s="38" t="s">
        <v>172</v>
      </c>
      <c r="D1333" s="38" t="s">
        <v>868</v>
      </c>
      <c r="E1333" s="38" t="str">
        <f aca="false">B1333&amp;"|"&amp;C1333</f>
        <v>36|A</v>
      </c>
      <c r="F1333" s="45" t="n">
        <f aca="false">INDEX('Emission Stepwise'!$H$2:$H$289,MATCH(E1333,'Emission Stepwise'!$C$2:$C$289,0))</f>
        <v>0.216748768472906</v>
      </c>
      <c r="G1333" s="45" t="n">
        <f aca="false">INDEX(Background!$C$4:$C$7,MATCH(C1333,Background!$A$4:$A$7,0))</f>
        <v>0.185174766157958</v>
      </c>
      <c r="H1333" s="49" t="n">
        <f aca="false">LN(F1333/G1333)</f>
        <v>0.157438872776539</v>
      </c>
    </row>
    <row r="1334" customFormat="false" ht="15" hidden="false" customHeight="true" outlineLevel="0" collapsed="false">
      <c r="A1334" s="38" t="s">
        <v>857</v>
      </c>
      <c r="B1334" s="38" t="n">
        <v>37</v>
      </c>
      <c r="C1334" s="38" t="s">
        <v>172</v>
      </c>
      <c r="D1334" s="38" t="s">
        <v>868</v>
      </c>
      <c r="E1334" s="38" t="str">
        <f aca="false">B1334&amp;"|"&amp;C1334</f>
        <v>37|A</v>
      </c>
      <c r="F1334" s="45" t="n">
        <f aca="false">INDEX('Emission Stepwise'!$H$2:$H$289,MATCH(E1334,'Emission Stepwise'!$C$2:$C$289,0))</f>
        <v>0.74384236453202</v>
      </c>
      <c r="G1334" s="45" t="n">
        <f aca="false">INDEX(Background!$C$4:$C$7,MATCH(C1334,Background!$A$4:$A$7,0))</f>
        <v>0.185174766157958</v>
      </c>
      <c r="H1334" s="49" t="n">
        <f aca="false">LN(F1334/G1334)</f>
        <v>1.3905290756732</v>
      </c>
    </row>
    <row r="1335" customFormat="false" ht="15" hidden="false" customHeight="true" outlineLevel="0" collapsed="false">
      <c r="A1335" s="38" t="s">
        <v>857</v>
      </c>
      <c r="B1335" s="38" t="n">
        <v>38</v>
      </c>
      <c r="C1335" s="38" t="s">
        <v>170</v>
      </c>
      <c r="D1335" s="38" t="s">
        <v>868</v>
      </c>
      <c r="E1335" s="38" t="str">
        <f aca="false">B1335&amp;"|"&amp;C1335</f>
        <v>38|C</v>
      </c>
      <c r="F1335" s="45" t="n">
        <f aca="false">INDEX('Emission Stepwise'!$H$2:$H$289,MATCH(E1335,'Emission Stepwise'!$C$2:$C$289,0))</f>
        <v>0.147783251231527</v>
      </c>
      <c r="G1335" s="45" t="n">
        <f aca="false">INDEX(Background!$C$4:$C$7,MATCH(C1335,Background!$A$4:$A$7,0))</f>
        <v>0.276812715380828</v>
      </c>
      <c r="H1335" s="49" t="n">
        <f aca="false">LN(F1335/G1335)</f>
        <v>-0.627594478155401</v>
      </c>
    </row>
    <row r="1336" customFormat="false" ht="15" hidden="false" customHeight="true" outlineLevel="0" collapsed="false">
      <c r="A1336" s="38" t="s">
        <v>857</v>
      </c>
      <c r="B1336" s="38" t="n">
        <v>39</v>
      </c>
      <c r="C1336" s="38" t="s">
        <v>170</v>
      </c>
      <c r="D1336" s="38" t="s">
        <v>868</v>
      </c>
      <c r="E1336" s="38" t="str">
        <f aca="false">B1336&amp;"|"&amp;C1336</f>
        <v>39|C</v>
      </c>
      <c r="F1336" s="45" t="n">
        <f aca="false">INDEX('Emission Stepwise'!$H$2:$H$289,MATCH(E1336,'Emission Stepwise'!$C$2:$C$289,0))</f>
        <v>0.251231527093596</v>
      </c>
      <c r="G1336" s="45" t="n">
        <f aca="false">INDEX(Background!$C$4:$C$7,MATCH(C1336,Background!$A$4:$A$7,0))</f>
        <v>0.276812715380828</v>
      </c>
      <c r="H1336" s="49" t="n">
        <f aca="false">LN(F1336/G1336)</f>
        <v>-0.0969662270932311</v>
      </c>
    </row>
    <row r="1337" customFormat="false" ht="15" hidden="false" customHeight="true" outlineLevel="0" collapsed="false">
      <c r="A1337" s="38" t="s">
        <v>857</v>
      </c>
      <c r="B1337" s="38" t="n">
        <v>40</v>
      </c>
      <c r="C1337" s="38" t="s">
        <v>171</v>
      </c>
      <c r="D1337" s="38" t="s">
        <v>868</v>
      </c>
      <c r="E1337" s="38" t="str">
        <f aca="false">B1337&amp;"|"&amp;C1337</f>
        <v>40|U</v>
      </c>
      <c r="F1337" s="45" t="n">
        <f aca="false">INDEX('Emission Stepwise'!$H$2:$H$289,MATCH(E1337,'Emission Stepwise'!$C$2:$C$289,0))</f>
        <v>0.0443349753694581</v>
      </c>
      <c r="G1337" s="45" t="n">
        <f aca="false">INDEX(Background!$C$4:$C$7,MATCH(C1337,Background!$A$4:$A$7,0))</f>
        <v>0.212884169069555</v>
      </c>
      <c r="H1337" s="49" t="n">
        <f aca="false">LN(F1337/G1337)</f>
        <v>-1.56897433333091</v>
      </c>
    </row>
    <row r="1338" customFormat="false" ht="15" hidden="false" customHeight="true" outlineLevel="0" collapsed="false">
      <c r="A1338" s="38" t="s">
        <v>857</v>
      </c>
      <c r="B1338" s="38" t="n">
        <v>41</v>
      </c>
      <c r="C1338" s="38" t="s">
        <v>171</v>
      </c>
      <c r="D1338" s="38" t="s">
        <v>868</v>
      </c>
      <c r="E1338" s="38" t="str">
        <f aca="false">B1338&amp;"|"&amp;C1338</f>
        <v>41|U</v>
      </c>
      <c r="F1338" s="45" t="n">
        <f aca="false">INDEX('Emission Stepwise'!$H$2:$H$289,MATCH(E1338,'Emission Stepwise'!$C$2:$C$289,0))</f>
        <v>0.167487684729064</v>
      </c>
      <c r="G1338" s="45" t="n">
        <f aca="false">INDEX(Background!$C$4:$C$7,MATCH(C1338,Background!$A$4:$A$7,0))</f>
        <v>0.212884169069555</v>
      </c>
      <c r="H1338" s="49" t="n">
        <f aca="false">LN(F1338/G1338)</f>
        <v>-0.23983838605097</v>
      </c>
    </row>
    <row r="1339" customFormat="false" ht="15" hidden="false" customHeight="true" outlineLevel="0" collapsed="false">
      <c r="A1339" s="38" t="s">
        <v>857</v>
      </c>
      <c r="B1339" s="38" t="n">
        <v>42</v>
      </c>
      <c r="C1339" s="38" t="s">
        <v>172</v>
      </c>
      <c r="D1339" s="38" t="s">
        <v>868</v>
      </c>
      <c r="E1339" s="38" t="str">
        <f aca="false">B1339&amp;"|"&amp;C1339</f>
        <v>42|A</v>
      </c>
      <c r="F1339" s="45" t="n">
        <f aca="false">INDEX('Emission Stepwise'!$H$2:$H$289,MATCH(E1339,'Emission Stepwise'!$C$2:$C$289,0))</f>
        <v>0.241379310344828</v>
      </c>
      <c r="G1339" s="45" t="n">
        <f aca="false">INDEX(Background!$C$4:$C$7,MATCH(C1339,Background!$A$4:$A$7,0))</f>
        <v>0.185174766157958</v>
      </c>
      <c r="H1339" s="49" t="n">
        <f aca="false">LN(F1339/G1339)</f>
        <v>0.265069536968904</v>
      </c>
    </row>
    <row r="1340" customFormat="false" ht="15" hidden="false" customHeight="true" outlineLevel="0" collapsed="false">
      <c r="A1340" s="38" t="s">
        <v>857</v>
      </c>
      <c r="B1340" s="38" t="n">
        <v>43</v>
      </c>
      <c r="C1340" s="38" t="s">
        <v>172</v>
      </c>
      <c r="D1340" s="38" t="s">
        <v>868</v>
      </c>
      <c r="E1340" s="38" t="str">
        <f aca="false">B1340&amp;"|"&amp;C1340</f>
        <v>43|A</v>
      </c>
      <c r="F1340" s="45" t="n">
        <f aca="false">INDEX('Emission Stepwise'!$H$2:$H$289,MATCH(E1340,'Emission Stepwise'!$C$2:$C$289,0))</f>
        <v>0.226600985221675</v>
      </c>
      <c r="G1340" s="45" t="n">
        <f aca="false">INDEX(Background!$C$4:$C$7,MATCH(C1340,Background!$A$4:$A$7,0))</f>
        <v>0.185174766157958</v>
      </c>
      <c r="H1340" s="49" t="n">
        <f aca="false">LN(F1340/G1340)</f>
        <v>0.201890635347373</v>
      </c>
    </row>
    <row r="1341" customFormat="false" ht="15" hidden="false" customHeight="true" outlineLevel="0" collapsed="false">
      <c r="A1341" s="38" t="s">
        <v>857</v>
      </c>
      <c r="B1341" s="38" t="n">
        <v>44</v>
      </c>
      <c r="C1341" s="38" t="s">
        <v>172</v>
      </c>
      <c r="D1341" s="38" t="s">
        <v>868</v>
      </c>
      <c r="E1341" s="38" t="str">
        <f aca="false">B1341&amp;"|"&amp;C1341</f>
        <v>44|A</v>
      </c>
      <c r="F1341" s="45" t="n">
        <f aca="false">INDEX('Emission Stepwise'!$H$2:$H$289,MATCH(E1341,'Emission Stepwise'!$C$2:$C$289,0))</f>
        <v>0.492610837438424</v>
      </c>
      <c r="G1341" s="45" t="n">
        <f aca="false">INDEX(Background!$C$4:$C$7,MATCH(C1341,Background!$A$4:$A$7,0))</f>
        <v>0.185174766157958</v>
      </c>
      <c r="H1341" s="49" t="n">
        <f aca="false">LN(F1341/G1341)</f>
        <v>0.978419424846369</v>
      </c>
    </row>
    <row r="1342" customFormat="false" ht="15" hidden="false" customHeight="true" outlineLevel="0" collapsed="false">
      <c r="A1342" s="38" t="s">
        <v>857</v>
      </c>
      <c r="B1342" s="38" t="n">
        <v>45</v>
      </c>
      <c r="C1342" s="38" t="s">
        <v>172</v>
      </c>
      <c r="D1342" s="38" t="s">
        <v>869</v>
      </c>
      <c r="E1342" s="38" t="str">
        <f aca="false">B1342&amp;"|"&amp;C1342</f>
        <v>45|A</v>
      </c>
      <c r="F1342" s="45" t="n">
        <f aca="false">INDEX('Emission Stepwise'!$H$2:$H$289,MATCH(E1342,'Emission Stepwise'!$C$2:$C$289,0))</f>
        <v>0.0796019900497512</v>
      </c>
      <c r="G1342" s="45" t="n">
        <f aca="false">INDEX(Background!$C$4:$C$7,MATCH(C1342,Background!$A$4:$A$7,0))</f>
        <v>0.185174766157958</v>
      </c>
      <c r="H1342" s="49" t="n">
        <f aca="false">LN(F1342/G1342)</f>
        <v>-0.84426096791923</v>
      </c>
    </row>
    <row r="1343" customFormat="false" ht="15" hidden="false" customHeight="true" outlineLevel="0" collapsed="false">
      <c r="A1343" s="38" t="s">
        <v>857</v>
      </c>
      <c r="B1343" s="38" t="n">
        <v>46</v>
      </c>
      <c r="C1343" s="38" t="s">
        <v>176</v>
      </c>
      <c r="D1343" s="38" t="s">
        <v>869</v>
      </c>
      <c r="E1343" s="38"/>
      <c r="F1343" s="38"/>
      <c r="G1343" s="38"/>
      <c r="H1343" s="38"/>
    </row>
    <row r="1344" customFormat="false" ht="15" hidden="false" customHeight="true" outlineLevel="0" collapsed="false">
      <c r="A1344" s="38" t="s">
        <v>857</v>
      </c>
      <c r="B1344" s="38" t="n">
        <v>47</v>
      </c>
      <c r="C1344" s="38" t="s">
        <v>171</v>
      </c>
      <c r="D1344" s="38" t="s">
        <v>869</v>
      </c>
      <c r="E1344" s="38" t="str">
        <f aca="false">B1344&amp;"|"&amp;C1344</f>
        <v>47|U</v>
      </c>
      <c r="F1344" s="45" t="n">
        <f aca="false">INDEX('Emission Stepwise'!$H$2:$H$289,MATCH(E1344,'Emission Stepwise'!$C$2:$C$289,0))</f>
        <v>0.665024630541872</v>
      </c>
      <c r="G1344" s="45" t="n">
        <f aca="false">INDEX(Background!$C$4:$C$7,MATCH(C1344,Background!$A$4:$A$7,0))</f>
        <v>0.212884169069555</v>
      </c>
      <c r="H1344" s="49" t="n">
        <f aca="false">LN(F1344/G1344)</f>
        <v>1.1390758677713</v>
      </c>
    </row>
    <row r="1345" customFormat="false" ht="15" hidden="false" customHeight="true" outlineLevel="0" collapsed="false">
      <c r="A1345" s="38" t="s">
        <v>857</v>
      </c>
      <c r="B1345" s="38" t="n">
        <v>48</v>
      </c>
      <c r="C1345" s="38" t="s">
        <v>172</v>
      </c>
      <c r="D1345" s="38" t="s">
        <v>869</v>
      </c>
      <c r="E1345" s="38" t="str">
        <f aca="false">B1345&amp;"|"&amp;C1345</f>
        <v>48|A</v>
      </c>
      <c r="F1345" s="45" t="n">
        <f aca="false">INDEX('Emission Stepwise'!$H$2:$H$289,MATCH(E1345,'Emission Stepwise'!$C$2:$C$289,0))</f>
        <v>0.00985221674876847</v>
      </c>
      <c r="G1345" s="45" t="n">
        <f aca="false">INDEX(Background!$C$4:$C$7,MATCH(C1345,Background!$A$4:$A$7,0))</f>
        <v>0.185174766157958</v>
      </c>
      <c r="H1345" s="49" t="n">
        <f aca="false">LN(F1345/G1345)</f>
        <v>-2.93360358058178</v>
      </c>
    </row>
    <row r="1346" customFormat="false" ht="15" hidden="false" customHeight="true" outlineLevel="0" collapsed="false">
      <c r="A1346" s="38" t="s">
        <v>857</v>
      </c>
      <c r="B1346" s="38" t="n">
        <v>49</v>
      </c>
      <c r="C1346" s="38" t="s">
        <v>171</v>
      </c>
      <c r="D1346" s="38" t="s">
        <v>870</v>
      </c>
      <c r="E1346" s="38" t="str">
        <f aca="false">B1346&amp;"|"&amp;C1346</f>
        <v>49|U</v>
      </c>
      <c r="F1346" s="45" t="n">
        <f aca="false">INDEX('Emission Stepwise'!$H$2:$H$289,MATCH(E1346,'Emission Stepwise'!$C$2:$C$289,0))</f>
        <v>0.0591133004926108</v>
      </c>
      <c r="G1346" s="45" t="n">
        <f aca="false">INDEX(Background!$C$4:$C$7,MATCH(C1346,Background!$A$4:$A$7,0))</f>
        <v>0.212884169069555</v>
      </c>
      <c r="H1346" s="49" t="n">
        <f aca="false">LN(F1346/G1346)</f>
        <v>-1.28129226087913</v>
      </c>
    </row>
    <row r="1347" customFormat="false" ht="15" hidden="false" customHeight="true" outlineLevel="0" collapsed="false">
      <c r="A1347" s="38" t="s">
        <v>857</v>
      </c>
      <c r="B1347" s="38" t="n">
        <v>50</v>
      </c>
      <c r="C1347" s="38" t="s">
        <v>171</v>
      </c>
      <c r="D1347" s="38" t="s">
        <v>870</v>
      </c>
      <c r="E1347" s="38" t="str">
        <f aca="false">B1347&amp;"|"&amp;C1347</f>
        <v>50|U</v>
      </c>
      <c r="F1347" s="45" t="n">
        <f aca="false">INDEX('Emission Stepwise'!$H$2:$H$289,MATCH(E1347,'Emission Stepwise'!$C$2:$C$289,0))</f>
        <v>0.177339901477833</v>
      </c>
      <c r="G1347" s="45" t="n">
        <f aca="false">INDEX(Background!$C$4:$C$7,MATCH(C1347,Background!$A$4:$A$7,0))</f>
        <v>0.212884169069555</v>
      </c>
      <c r="H1347" s="49" t="n">
        <f aca="false">LN(F1347/G1347)</f>
        <v>-0.182679972211022</v>
      </c>
    </row>
    <row r="1348" customFormat="false" ht="15" hidden="false" customHeight="true" outlineLevel="0" collapsed="false">
      <c r="A1348" s="38" t="s">
        <v>857</v>
      </c>
      <c r="B1348" s="38" t="n">
        <v>51</v>
      </c>
      <c r="C1348" s="38" t="s">
        <v>172</v>
      </c>
      <c r="D1348" s="38" t="s">
        <v>870</v>
      </c>
      <c r="E1348" s="38" t="str">
        <f aca="false">B1348&amp;"|"&amp;C1348</f>
        <v>51|A</v>
      </c>
      <c r="F1348" s="45" t="n">
        <f aca="false">INDEX('Emission Stepwise'!$H$2:$H$289,MATCH(E1348,'Emission Stepwise'!$C$2:$C$289,0))</f>
        <v>0.143564356435644</v>
      </c>
      <c r="G1348" s="45" t="n">
        <f aca="false">INDEX(Background!$C$4:$C$7,MATCH(C1348,Background!$A$4:$A$7,0))</f>
        <v>0.185174766157958</v>
      </c>
      <c r="H1348" s="49" t="n">
        <f aca="false">LN(F1348/G1348)</f>
        <v>-0.254516649514666</v>
      </c>
    </row>
    <row r="1349" customFormat="false" ht="15" hidden="false" customHeight="true" outlineLevel="0" collapsed="false">
      <c r="A1349" s="38" t="s">
        <v>857</v>
      </c>
      <c r="B1349" s="38" t="n">
        <v>52</v>
      </c>
      <c r="C1349" s="38" t="s">
        <v>172</v>
      </c>
      <c r="D1349" s="38" t="s">
        <v>870</v>
      </c>
      <c r="E1349" s="38" t="str">
        <f aca="false">B1349&amp;"|"&amp;C1349</f>
        <v>52|A</v>
      </c>
      <c r="F1349" s="45" t="n">
        <f aca="false">INDEX('Emission Stepwise'!$H$2:$H$289,MATCH(E1349,'Emission Stepwise'!$C$2:$C$289,0))</f>
        <v>0.133004926108374</v>
      </c>
      <c r="G1349" s="45" t="n">
        <f aca="false">INDEX(Background!$C$4:$C$7,MATCH(C1349,Background!$A$4:$A$7,0))</f>
        <v>0.185174766157958</v>
      </c>
      <c r="H1349" s="49" t="n">
        <f aca="false">LN(F1349/G1349)</f>
        <v>-0.330913895137393</v>
      </c>
    </row>
    <row r="1350" customFormat="false" ht="15" hidden="false" customHeight="true" outlineLevel="0" collapsed="false">
      <c r="A1350" s="38" t="s">
        <v>857</v>
      </c>
      <c r="B1350" s="38" t="n">
        <v>53</v>
      </c>
      <c r="C1350" s="38" t="s">
        <v>169</v>
      </c>
      <c r="D1350" s="38" t="s">
        <v>870</v>
      </c>
      <c r="E1350" s="38" t="str">
        <f aca="false">B1350&amp;"|"&amp;C1350</f>
        <v>53|G</v>
      </c>
      <c r="F1350" s="45" t="n">
        <f aca="false">INDEX('Emission Stepwise'!$H$2:$H$289,MATCH(E1350,'Emission Stepwise'!$C$2:$C$289,0))</f>
        <v>0.96551724137931</v>
      </c>
      <c r="G1350" s="45" t="n">
        <f aca="false">INDEX(Background!$C$4:$C$7,MATCH(C1350,Background!$A$4:$A$7,0))</f>
        <v>0.325128349391659</v>
      </c>
      <c r="H1350" s="49" t="n">
        <f aca="false">LN(F1350/G1350)</f>
        <v>1.08844393359688</v>
      </c>
    </row>
    <row r="1351" customFormat="false" ht="15" hidden="false" customHeight="true" outlineLevel="0" collapsed="false">
      <c r="A1351" s="38" t="s">
        <v>857</v>
      </c>
      <c r="B1351" s="38" t="n">
        <v>54</v>
      </c>
      <c r="C1351" s="38" t="s">
        <v>172</v>
      </c>
      <c r="D1351" s="38" t="s">
        <v>870</v>
      </c>
      <c r="E1351" s="38" t="str">
        <f aca="false">B1351&amp;"|"&amp;C1351</f>
        <v>54|A</v>
      </c>
      <c r="F1351" s="45" t="n">
        <f aca="false">INDEX('Emission Stepwise'!$H$2:$H$289,MATCH(E1351,'Emission Stepwise'!$C$2:$C$289,0))</f>
        <v>0.0147783251231527</v>
      </c>
      <c r="G1351" s="45" t="n">
        <f aca="false">INDEX(Background!$C$4:$C$7,MATCH(C1351,Background!$A$4:$A$7,0))</f>
        <v>0.185174766157958</v>
      </c>
      <c r="H1351" s="49" t="n">
        <f aca="false">LN(F1351/G1351)</f>
        <v>-2.52813847247361</v>
      </c>
    </row>
    <row r="1352" customFormat="false" ht="15" hidden="false" customHeight="true" outlineLevel="0" collapsed="false">
      <c r="A1352" s="38" t="s">
        <v>857</v>
      </c>
      <c r="B1352" s="38" t="n">
        <v>55</v>
      </c>
      <c r="C1352" s="38" t="s">
        <v>171</v>
      </c>
      <c r="D1352" s="38" t="s">
        <v>870</v>
      </c>
      <c r="E1352" s="38" t="str">
        <f aca="false">B1352&amp;"|"&amp;C1352</f>
        <v>55|U</v>
      </c>
      <c r="F1352" s="45" t="n">
        <f aca="false">INDEX('Emission Stepwise'!$H$2:$H$289,MATCH(E1352,'Emission Stepwise'!$C$2:$C$289,0))</f>
        <v>0.970443349753695</v>
      </c>
      <c r="G1352" s="45" t="n">
        <f aca="false">INDEX(Background!$C$4:$C$7,MATCH(C1352,Background!$A$4:$A$7,0))</f>
        <v>0.212884169069555</v>
      </c>
      <c r="H1352" s="49" t="n">
        <f aca="false">LN(F1352/G1352)</f>
        <v>1.51700481807086</v>
      </c>
    </row>
    <row r="1353" customFormat="false" ht="15" hidden="false" customHeight="true" outlineLevel="0" collapsed="false">
      <c r="A1353" s="38" t="s">
        <v>857</v>
      </c>
      <c r="B1353" s="38" t="n">
        <v>56</v>
      </c>
      <c r="C1353" s="38" t="s">
        <v>170</v>
      </c>
      <c r="D1353" s="38" t="s">
        <v>870</v>
      </c>
      <c r="E1353" s="38" t="str">
        <f aca="false">B1353&amp;"|"&amp;C1353</f>
        <v>56|C</v>
      </c>
      <c r="F1353" s="45" t="n">
        <f aca="false">INDEX('Emission Stepwise'!$H$2:$H$289,MATCH(E1353,'Emission Stepwise'!$C$2:$C$289,0))</f>
        <v>0.96551724137931</v>
      </c>
      <c r="G1353" s="45" t="n">
        <f aca="false">INDEX(Background!$C$4:$C$7,MATCH(C1353,Background!$A$4:$A$7,0))</f>
        <v>0.276812715380828</v>
      </c>
      <c r="H1353" s="49" t="n">
        <f aca="false">LN(F1353/G1353)</f>
        <v>1.24932279941296</v>
      </c>
    </row>
    <row r="1354" customFormat="false" ht="15" hidden="false" customHeight="true" outlineLevel="0" collapsed="false">
      <c r="A1354" s="38" t="s">
        <v>857</v>
      </c>
      <c r="B1354" s="38" t="n">
        <v>57</v>
      </c>
      <c r="C1354" s="38" t="s">
        <v>172</v>
      </c>
      <c r="D1354" s="38" t="s">
        <v>870</v>
      </c>
      <c r="E1354" s="38" t="str">
        <f aca="false">B1354&amp;"|"&amp;C1354</f>
        <v>57|A</v>
      </c>
      <c r="F1354" s="45" t="n">
        <f aca="false">INDEX('Emission Stepwise'!$H$2:$H$289,MATCH(E1354,'Emission Stepwise'!$C$2:$C$289,0))</f>
        <v>0.381188118811881</v>
      </c>
      <c r="G1354" s="45" t="n">
        <f aca="false">INDEX(Background!$C$4:$C$7,MATCH(C1354,Background!$A$4:$A$7,0))</f>
        <v>0.185174766157958</v>
      </c>
      <c r="H1354" s="49" t="n">
        <f aca="false">LN(F1354/G1354)</f>
        <v>0.721992942352544</v>
      </c>
    </row>
    <row r="1355" customFormat="false" ht="15" hidden="false" customHeight="true" outlineLevel="0" collapsed="false">
      <c r="A1355" s="38" t="s">
        <v>857</v>
      </c>
      <c r="B1355" s="38" t="n">
        <v>58</v>
      </c>
      <c r="C1355" s="38" t="s">
        <v>171</v>
      </c>
      <c r="D1355" s="38" t="s">
        <v>870</v>
      </c>
      <c r="E1355" s="38" t="str">
        <f aca="false">B1355&amp;"|"&amp;C1355</f>
        <v>58|U</v>
      </c>
      <c r="F1355" s="45" t="n">
        <f aca="false">INDEX('Emission Stepwise'!$H$2:$H$289,MATCH(E1355,'Emission Stepwise'!$C$2:$C$289,0))</f>
        <v>0.00985221674876847</v>
      </c>
      <c r="G1355" s="45" t="n">
        <f aca="false">INDEX(Background!$C$4:$C$7,MATCH(C1355,Background!$A$4:$A$7,0))</f>
        <v>0.212884169069555</v>
      </c>
      <c r="H1355" s="49" t="n">
        <f aca="false">LN(F1355/G1355)</f>
        <v>-3.07305173010719</v>
      </c>
    </row>
    <row r="1356" customFormat="false" ht="15" hidden="false" customHeight="true" outlineLevel="0" collapsed="false">
      <c r="A1356" s="38" t="s">
        <v>857</v>
      </c>
      <c r="B1356" s="38" t="n">
        <v>59</v>
      </c>
      <c r="C1356" s="38" t="s">
        <v>172</v>
      </c>
      <c r="D1356" s="38" t="s">
        <v>870</v>
      </c>
      <c r="E1356" s="38" t="str">
        <f aca="false">B1356&amp;"|"&amp;C1356</f>
        <v>59|A</v>
      </c>
      <c r="F1356" s="45" t="n">
        <f aca="false">INDEX('Emission Stepwise'!$H$2:$H$289,MATCH(E1356,'Emission Stepwise'!$C$2:$C$289,0))</f>
        <v>0.45320197044335</v>
      </c>
      <c r="G1356" s="45" t="n">
        <f aca="false">INDEX(Background!$C$4:$C$7,MATCH(C1356,Background!$A$4:$A$7,0))</f>
        <v>0.185174766157958</v>
      </c>
      <c r="H1356" s="49" t="n">
        <f aca="false">LN(F1356/G1356)</f>
        <v>0.895037815907318</v>
      </c>
    </row>
    <row r="1357" customFormat="false" ht="15" hidden="false" customHeight="true" outlineLevel="0" collapsed="false">
      <c r="A1357" s="38" t="s">
        <v>857</v>
      </c>
      <c r="B1357" s="38" t="n">
        <v>60</v>
      </c>
      <c r="C1357" s="38" t="s">
        <v>171</v>
      </c>
      <c r="D1357" s="38" t="s">
        <v>870</v>
      </c>
      <c r="E1357" s="38" t="str">
        <f aca="false">B1357&amp;"|"&amp;C1357</f>
        <v>60|U</v>
      </c>
      <c r="F1357" s="45" t="n">
        <f aca="false">INDEX('Emission Stepwise'!$H$2:$H$289,MATCH(E1357,'Emission Stepwise'!$C$2:$C$289,0))</f>
        <v>0.773399014778325</v>
      </c>
      <c r="G1357" s="45" t="n">
        <f aca="false">INDEX(Background!$C$4:$C$7,MATCH(C1357,Background!$A$4:$A$7,0))</f>
        <v>0.212884169069555</v>
      </c>
      <c r="H1357" s="49" t="n">
        <f aca="false">LN(F1357/G1357)</f>
        <v>1.29004689468118</v>
      </c>
    </row>
    <row r="1358" customFormat="false" ht="15" hidden="false" customHeight="true" outlineLevel="0" collapsed="false">
      <c r="A1358" s="38" t="s">
        <v>857</v>
      </c>
      <c r="B1358" s="38" t="n">
        <v>61</v>
      </c>
      <c r="C1358" s="38" t="s">
        <v>170</v>
      </c>
      <c r="D1358" s="38" t="s">
        <v>870</v>
      </c>
      <c r="E1358" s="38" t="str">
        <f aca="false">B1358&amp;"|"&amp;C1358</f>
        <v>61|C</v>
      </c>
      <c r="F1358" s="45" t="n">
        <f aca="false">INDEX('Emission Stepwise'!$H$2:$H$289,MATCH(E1358,'Emission Stepwise'!$C$2:$C$289,0))</f>
        <v>0.975369458128079</v>
      </c>
      <c r="G1358" s="45" t="n">
        <f aca="false">INDEX(Background!$C$4:$C$7,MATCH(C1358,Background!$A$4:$A$7,0))</f>
        <v>0.276812715380828</v>
      </c>
      <c r="H1358" s="49" t="n">
        <f aca="false">LN(F1358/G1358)</f>
        <v>1.25947517087698</v>
      </c>
    </row>
    <row r="1359" customFormat="false" ht="15" hidden="false" customHeight="true" outlineLevel="0" collapsed="false">
      <c r="A1359" s="38" t="s">
        <v>857</v>
      </c>
      <c r="B1359" s="38" t="n">
        <v>62</v>
      </c>
      <c r="C1359" s="38" t="s">
        <v>171</v>
      </c>
      <c r="D1359" s="38" t="s">
        <v>870</v>
      </c>
      <c r="E1359" s="38" t="str">
        <f aca="false">B1359&amp;"|"&amp;C1359</f>
        <v>62|U</v>
      </c>
      <c r="F1359" s="45" t="n">
        <f aca="false">INDEX('Emission Stepwise'!$H$2:$H$289,MATCH(E1359,'Emission Stepwise'!$C$2:$C$289,0))</f>
        <v>0.133004926108374</v>
      </c>
      <c r="G1359" s="45" t="n">
        <f aca="false">INDEX(Background!$C$4:$C$7,MATCH(C1359,Background!$A$4:$A$7,0))</f>
        <v>0.212884169069555</v>
      </c>
      <c r="H1359" s="49" t="n">
        <f aca="false">LN(F1359/G1359)</f>
        <v>-0.470362044662802</v>
      </c>
    </row>
    <row r="1360" customFormat="false" ht="15" hidden="false" customHeight="true" outlineLevel="0" collapsed="false">
      <c r="A1360" s="38" t="s">
        <v>857</v>
      </c>
      <c r="B1360" s="38" t="n">
        <v>63</v>
      </c>
      <c r="C1360" s="38" t="s">
        <v>171</v>
      </c>
      <c r="D1360" s="38" t="s">
        <v>870</v>
      </c>
      <c r="E1360" s="38" t="str">
        <f aca="false">B1360&amp;"|"&amp;C1360</f>
        <v>63|U</v>
      </c>
      <c r="F1360" s="45" t="n">
        <f aca="false">INDEX('Emission Stepwise'!$H$2:$H$289,MATCH(E1360,'Emission Stepwise'!$C$2:$C$289,0))</f>
        <v>0.16256157635468</v>
      </c>
      <c r="G1360" s="45" t="n">
        <f aca="false">INDEX(Background!$C$4:$C$7,MATCH(C1360,Background!$A$4:$A$7,0))</f>
        <v>0.212884169069555</v>
      </c>
      <c r="H1360" s="49" t="n">
        <f aca="false">LN(F1360/G1360)</f>
        <v>-0.269691349200651</v>
      </c>
    </row>
    <row r="1361" customFormat="false" ht="15" hidden="false" customHeight="true" outlineLevel="0" collapsed="false">
      <c r="A1361" s="38" t="s">
        <v>857</v>
      </c>
      <c r="B1361" s="38" t="n">
        <v>64</v>
      </c>
      <c r="C1361" s="38" t="s">
        <v>169</v>
      </c>
      <c r="D1361" s="38" t="s">
        <v>870</v>
      </c>
      <c r="E1361" s="38" t="str">
        <f aca="false">B1361&amp;"|"&amp;C1361</f>
        <v>64|G</v>
      </c>
      <c r="F1361" s="45" t="n">
        <f aca="false">INDEX('Emission Stepwise'!$H$2:$H$289,MATCH(E1361,'Emission Stepwise'!$C$2:$C$289,0))</f>
        <v>0.458128078817734</v>
      </c>
      <c r="G1361" s="45" t="n">
        <f aca="false">INDEX(Background!$C$4:$C$7,MATCH(C1361,Background!$A$4:$A$7,0))</f>
        <v>0.325128349391659</v>
      </c>
      <c r="H1361" s="49" t="n">
        <f aca="false">LN(F1361/G1361)</f>
        <v>0.342928767519618</v>
      </c>
    </row>
    <row r="1362" customFormat="false" ht="15" hidden="false" customHeight="true" outlineLevel="0" collapsed="false">
      <c r="A1362" s="38" t="s">
        <v>857</v>
      </c>
      <c r="B1362" s="38" t="n">
        <v>65</v>
      </c>
      <c r="C1362" s="38" t="s">
        <v>172</v>
      </c>
      <c r="D1362" s="38" t="s">
        <v>870</v>
      </c>
      <c r="E1362" s="38" t="str">
        <f aca="false">B1362&amp;"|"&amp;C1362</f>
        <v>65|A</v>
      </c>
      <c r="F1362" s="45" t="n">
        <f aca="false">INDEX('Emission Stepwise'!$H$2:$H$289,MATCH(E1362,'Emission Stepwise'!$C$2:$C$289,0))</f>
        <v>0.0495049504950495</v>
      </c>
      <c r="G1362" s="45" t="n">
        <f aca="false">INDEX(Background!$C$4:$C$7,MATCH(C1362,Background!$A$4:$A$7,0))</f>
        <v>0.185174766157958</v>
      </c>
      <c r="H1362" s="49" t="n">
        <f aca="false">LN(F1362/G1362)</f>
        <v>-1.31922738650709</v>
      </c>
    </row>
    <row r="1363" customFormat="false" ht="15" hidden="false" customHeight="true" outlineLevel="0" collapsed="false">
      <c r="A1363" s="38" t="s">
        <v>857</v>
      </c>
      <c r="B1363" s="38" t="n">
        <v>66</v>
      </c>
      <c r="C1363" s="38" t="s">
        <v>169</v>
      </c>
      <c r="D1363" s="38" t="s">
        <v>871</v>
      </c>
      <c r="E1363" s="38" t="str">
        <f aca="false">B1363&amp;"|"&amp;C1363</f>
        <v>66|G</v>
      </c>
      <c r="F1363" s="45" t="n">
        <f aca="false">INDEX('Emission Stepwise'!$H$2:$H$289,MATCH(E1363,'Emission Stepwise'!$C$2:$C$289,0))</f>
        <v>0.0147783251231527</v>
      </c>
      <c r="G1363" s="45" t="n">
        <f aca="false">INDEX(Background!$C$4:$C$7,MATCH(C1363,Background!$A$4:$A$7,0))</f>
        <v>0.325128349391659</v>
      </c>
      <c r="H1363" s="49" t="n">
        <f aca="false">LN(F1363/G1363)</f>
        <v>-3.09105843696553</v>
      </c>
    </row>
    <row r="1364" customFormat="false" ht="15" hidden="false" customHeight="true" outlineLevel="0" collapsed="false">
      <c r="A1364" s="38" t="s">
        <v>857</v>
      </c>
      <c r="B1364" s="38" t="n">
        <v>67</v>
      </c>
      <c r="C1364" s="38" t="s">
        <v>172</v>
      </c>
      <c r="D1364" s="38" t="s">
        <v>871</v>
      </c>
      <c r="E1364" s="38" t="str">
        <f aca="false">B1364&amp;"|"&amp;C1364</f>
        <v>67|A</v>
      </c>
      <c r="F1364" s="45" t="n">
        <f aca="false">INDEX('Emission Stepwise'!$H$2:$H$289,MATCH(E1364,'Emission Stepwise'!$C$2:$C$289,0))</f>
        <v>0.206896551724138</v>
      </c>
      <c r="G1364" s="45" t="n">
        <f aca="false">INDEX(Background!$C$4:$C$7,MATCH(C1364,Background!$A$4:$A$7,0))</f>
        <v>0.185174766157958</v>
      </c>
      <c r="H1364" s="49" t="n">
        <f aca="false">LN(F1364/G1364)</f>
        <v>0.110918857141646</v>
      </c>
    </row>
    <row r="1365" customFormat="false" ht="15" hidden="false" customHeight="true" outlineLevel="0" collapsed="false">
      <c r="A1365" s="38" t="s">
        <v>857</v>
      </c>
      <c r="B1365" s="38" t="n">
        <v>68</v>
      </c>
      <c r="C1365" s="38" t="s">
        <v>172</v>
      </c>
      <c r="D1365" s="38" t="s">
        <v>871</v>
      </c>
      <c r="E1365" s="38" t="str">
        <f aca="false">B1365&amp;"|"&amp;C1365</f>
        <v>68|A</v>
      </c>
      <c r="F1365" s="45" t="n">
        <f aca="false">INDEX('Emission Stepwise'!$H$2:$H$289,MATCH(E1365,'Emission Stepwise'!$C$2:$C$289,0))</f>
        <v>0.0788177339901478</v>
      </c>
      <c r="G1365" s="45" t="n">
        <f aca="false">INDEX(Background!$C$4:$C$7,MATCH(C1365,Background!$A$4:$A$7,0))</f>
        <v>0.185174766157958</v>
      </c>
      <c r="H1365" s="49" t="n">
        <f aca="false">LN(F1365/G1365)</f>
        <v>-0.854162038901941</v>
      </c>
    </row>
    <row r="1366" customFormat="false" ht="15" hidden="false" customHeight="true" outlineLevel="0" collapsed="false">
      <c r="A1366" s="38" t="s">
        <v>857</v>
      </c>
      <c r="B1366" s="38" t="n">
        <v>69</v>
      </c>
      <c r="C1366" s="38" t="s">
        <v>171</v>
      </c>
      <c r="D1366" s="38" t="s">
        <v>871</v>
      </c>
      <c r="E1366" s="38" t="str">
        <f aca="false">B1366&amp;"|"&amp;C1366</f>
        <v>69|U</v>
      </c>
      <c r="F1366" s="45" t="n">
        <f aca="false">INDEX('Emission Stepwise'!$H$2:$H$289,MATCH(E1366,'Emission Stepwise'!$C$2:$C$289,0))</f>
        <v>0.083743842364532</v>
      </c>
      <c r="G1366" s="45" t="n">
        <f aca="false">INDEX(Background!$C$4:$C$7,MATCH(C1366,Background!$A$4:$A$7,0))</f>
        <v>0.212884169069555</v>
      </c>
      <c r="H1366" s="49" t="n">
        <f aca="false">LN(F1366/G1366)</f>
        <v>-0.932985566610916</v>
      </c>
    </row>
    <row r="1367" customFormat="false" ht="15" hidden="false" customHeight="true" outlineLevel="0" collapsed="false">
      <c r="A1367" s="38" t="s">
        <v>857</v>
      </c>
      <c r="B1367" s="38" t="n">
        <v>70</v>
      </c>
      <c r="C1367" s="38" t="s">
        <v>171</v>
      </c>
      <c r="D1367" s="38" t="s">
        <v>871</v>
      </c>
      <c r="E1367" s="38" t="str">
        <f aca="false">B1367&amp;"|"&amp;C1367</f>
        <v>70|U</v>
      </c>
      <c r="F1367" s="45" t="n">
        <f aca="false">INDEX('Emission Stepwise'!$H$2:$H$289,MATCH(E1367,'Emission Stepwise'!$C$2:$C$289,0))</f>
        <v>0.152709359605911</v>
      </c>
      <c r="G1367" s="45" t="n">
        <f aca="false">INDEX(Background!$C$4:$C$7,MATCH(C1367,Background!$A$4:$A$7,0))</f>
        <v>0.212884169069555</v>
      </c>
      <c r="H1367" s="49" t="n">
        <f aca="false">LN(F1367/G1367)</f>
        <v>-0.332211706181985</v>
      </c>
    </row>
    <row r="1368" customFormat="false" ht="15" hidden="false" customHeight="true" outlineLevel="0" collapsed="false">
      <c r="A1368" s="38" t="s">
        <v>857</v>
      </c>
      <c r="B1368" s="38" t="n">
        <v>71</v>
      </c>
      <c r="C1368" s="38" t="s">
        <v>171</v>
      </c>
      <c r="D1368" s="38" t="s">
        <v>871</v>
      </c>
      <c r="E1368" s="38" t="str">
        <f aca="false">B1368&amp;"|"&amp;C1368</f>
        <v>71|U</v>
      </c>
      <c r="F1368" s="45" t="n">
        <f aca="false">INDEX('Emission Stepwise'!$H$2:$H$289,MATCH(E1368,'Emission Stepwise'!$C$2:$C$289,0))</f>
        <v>0.0492610837438424</v>
      </c>
      <c r="G1368" s="45" t="n">
        <f aca="false">INDEX(Background!$C$4:$C$7,MATCH(C1368,Background!$A$4:$A$7,0))</f>
        <v>0.212884169069555</v>
      </c>
      <c r="H1368" s="49" t="n">
        <f aca="false">LN(F1368/G1368)</f>
        <v>-1.46361381767309</v>
      </c>
    </row>
    <row r="1369" customFormat="false" ht="15" hidden="false" customHeight="true" outlineLevel="0" collapsed="false">
      <c r="A1369" s="38" t="s">
        <v>857</v>
      </c>
      <c r="B1369" s="38" t="n">
        <v>72</v>
      </c>
      <c r="C1369" s="38" t="s">
        <v>169</v>
      </c>
      <c r="D1369" s="38" t="s">
        <v>871</v>
      </c>
      <c r="E1369" s="38" t="str">
        <f aca="false">B1369&amp;"|"&amp;C1369</f>
        <v>72|G</v>
      </c>
      <c r="F1369" s="45" t="n">
        <f aca="false">INDEX('Emission Stepwise'!$H$2:$H$289,MATCH(E1369,'Emission Stepwise'!$C$2:$C$289,0))</f>
        <v>0.0886699507389163</v>
      </c>
      <c r="G1369" s="45" t="n">
        <f aca="false">INDEX(Background!$C$4:$C$7,MATCH(C1369,Background!$A$4:$A$7,0))</f>
        <v>0.325128349391659</v>
      </c>
      <c r="H1369" s="49" t="n">
        <f aca="false">LN(F1369/G1369)</f>
        <v>-1.29929896773747</v>
      </c>
    </row>
    <row r="1370" customFormat="false" ht="15" hidden="false" customHeight="true" outlineLevel="0" collapsed="false">
      <c r="A1370" s="38" t="s">
        <v>858</v>
      </c>
      <c r="B1370" s="38" t="n">
        <v>1</v>
      </c>
      <c r="C1370" s="38" t="s">
        <v>170</v>
      </c>
      <c r="D1370" s="38" t="s">
        <v>865</v>
      </c>
      <c r="E1370" s="38" t="str">
        <f aca="false">B1370&amp;"|"&amp;C1370</f>
        <v>1|C</v>
      </c>
      <c r="F1370" s="45" t="n">
        <f aca="false">INDEX('Emission Stepwise'!$H$2:$H$289,MATCH(E1370,'Emission Stepwise'!$C$2:$C$289,0))</f>
        <v>0.108374384236453</v>
      </c>
      <c r="G1370" s="45" t="n">
        <f aca="false">INDEX(Background!$C$4:$C$7,MATCH(C1370,Background!$A$4:$A$7,0))</f>
        <v>0.276812715380828</v>
      </c>
      <c r="H1370" s="49" t="n">
        <f aca="false">LN(F1370/G1370)</f>
        <v>-0.937749406459241</v>
      </c>
    </row>
    <row r="1371" customFormat="false" ht="15" hidden="false" customHeight="true" outlineLevel="0" collapsed="false">
      <c r="A1371" s="38" t="s">
        <v>858</v>
      </c>
      <c r="B1371" s="38" t="n">
        <v>2</v>
      </c>
      <c r="C1371" s="38" t="s">
        <v>170</v>
      </c>
      <c r="D1371" s="38" t="s">
        <v>865</v>
      </c>
      <c r="E1371" s="38" t="str">
        <f aca="false">B1371&amp;"|"&amp;C1371</f>
        <v>2|C</v>
      </c>
      <c r="F1371" s="45" t="n">
        <f aca="false">INDEX('Emission Stepwise'!$H$2:$H$289,MATCH(E1371,'Emission Stepwise'!$C$2:$C$289,0))</f>
        <v>0.408866995073892</v>
      </c>
      <c r="G1371" s="45" t="n">
        <f aca="false">INDEX(Background!$C$4:$C$7,MATCH(C1371,Background!$A$4:$A$7,0))</f>
        <v>0.276812715380828</v>
      </c>
      <c r="H1371" s="49" t="n">
        <f aca="false">LN(F1371/G1371)</f>
        <v>0.390048747979041</v>
      </c>
    </row>
    <row r="1372" customFormat="false" ht="15" hidden="false" customHeight="true" outlineLevel="0" collapsed="false">
      <c r="A1372" s="38" t="s">
        <v>858</v>
      </c>
      <c r="B1372" s="38" t="n">
        <v>3</v>
      </c>
      <c r="C1372" s="38" t="s">
        <v>172</v>
      </c>
      <c r="D1372" s="38" t="s">
        <v>865</v>
      </c>
      <c r="E1372" s="38" t="str">
        <f aca="false">B1372&amp;"|"&amp;C1372</f>
        <v>3|A</v>
      </c>
      <c r="F1372" s="45" t="n">
        <f aca="false">INDEX('Emission Stepwise'!$H$2:$H$289,MATCH(E1372,'Emission Stepwise'!$C$2:$C$289,0))</f>
        <v>0.0738916256157636</v>
      </c>
      <c r="G1372" s="45" t="n">
        <f aca="false">INDEX(Background!$C$4:$C$7,MATCH(C1372,Background!$A$4:$A$7,0))</f>
        <v>0.185174766157958</v>
      </c>
      <c r="H1372" s="49" t="n">
        <f aca="false">LN(F1372/G1372)</f>
        <v>-0.918700560039512</v>
      </c>
    </row>
    <row r="1373" customFormat="false" ht="15" hidden="false" customHeight="true" outlineLevel="0" collapsed="false">
      <c r="A1373" s="38" t="s">
        <v>858</v>
      </c>
      <c r="B1373" s="38" t="n">
        <v>4</v>
      </c>
      <c r="C1373" s="38" t="s">
        <v>170</v>
      </c>
      <c r="D1373" s="38" t="s">
        <v>865</v>
      </c>
      <c r="E1373" s="38" t="str">
        <f aca="false">B1373&amp;"|"&amp;C1373</f>
        <v>4|C</v>
      </c>
      <c r="F1373" s="45" t="n">
        <f aca="false">INDEX('Emission Stepwise'!$H$2:$H$289,MATCH(E1373,'Emission Stepwise'!$C$2:$C$289,0))</f>
        <v>0.305418719211823</v>
      </c>
      <c r="G1373" s="45" t="n">
        <f aca="false">INDEX(Background!$C$4:$C$7,MATCH(C1373,Background!$A$4:$A$7,0))</f>
        <v>0.276812715380828</v>
      </c>
      <c r="H1373" s="49" t="n">
        <f aca="false">LN(F1373/G1373)</f>
        <v>0.0983425252275348</v>
      </c>
    </row>
    <row r="1374" customFormat="false" ht="15" hidden="false" customHeight="true" outlineLevel="0" collapsed="false">
      <c r="A1374" s="38" t="s">
        <v>858</v>
      </c>
      <c r="B1374" s="38" t="n">
        <v>5</v>
      </c>
      <c r="C1374" s="38" t="s">
        <v>171</v>
      </c>
      <c r="D1374" s="38" t="s">
        <v>865</v>
      </c>
      <c r="E1374" s="38" t="str">
        <f aca="false">B1374&amp;"|"&amp;C1374</f>
        <v>5|U</v>
      </c>
      <c r="F1374" s="45" t="n">
        <f aca="false">INDEX('Emission Stepwise'!$H$2:$H$289,MATCH(E1374,'Emission Stepwise'!$C$2:$C$289,0))</f>
        <v>0.108374384236453</v>
      </c>
      <c r="G1374" s="45" t="n">
        <f aca="false">INDEX(Background!$C$4:$C$7,MATCH(C1374,Background!$A$4:$A$7,0))</f>
        <v>0.212884169069555</v>
      </c>
      <c r="H1374" s="49" t="n">
        <f aca="false">LN(F1374/G1374)</f>
        <v>-0.675156457308816</v>
      </c>
    </row>
    <row r="1375" customFormat="false" ht="15" hidden="false" customHeight="true" outlineLevel="0" collapsed="false">
      <c r="A1375" s="38" t="s">
        <v>858</v>
      </c>
      <c r="B1375" s="38" t="n">
        <v>6</v>
      </c>
      <c r="C1375" s="38" t="s">
        <v>172</v>
      </c>
      <c r="D1375" s="38" t="s">
        <v>865</v>
      </c>
      <c r="E1375" s="38" t="str">
        <f aca="false">B1375&amp;"|"&amp;C1375</f>
        <v>6|A</v>
      </c>
      <c r="F1375" s="45" t="n">
        <f aca="false">INDEX('Emission Stepwise'!$H$2:$H$289,MATCH(E1375,'Emission Stepwise'!$C$2:$C$289,0))</f>
        <v>0.172413793103448</v>
      </c>
      <c r="G1375" s="45" t="n">
        <f aca="false">INDEX(Background!$C$4:$C$7,MATCH(C1375,Background!$A$4:$A$7,0))</f>
        <v>0.185174766157958</v>
      </c>
      <c r="H1375" s="49" t="n">
        <f aca="false">LN(F1375/G1375)</f>
        <v>-0.0714026996523086</v>
      </c>
    </row>
    <row r="1376" customFormat="false" ht="15" hidden="false" customHeight="true" outlineLevel="0" collapsed="false">
      <c r="A1376" s="38" t="s">
        <v>858</v>
      </c>
      <c r="B1376" s="38" t="n">
        <v>7</v>
      </c>
      <c r="C1376" s="38" t="s">
        <v>170</v>
      </c>
      <c r="D1376" s="38" t="s">
        <v>865</v>
      </c>
      <c r="E1376" s="38" t="str">
        <f aca="false">B1376&amp;"|"&amp;C1376</f>
        <v>7|C</v>
      </c>
      <c r="F1376" s="45" t="n">
        <f aca="false">INDEX('Emission Stepwise'!$H$2:$H$289,MATCH(E1376,'Emission Stepwise'!$C$2:$C$289,0))</f>
        <v>0.0197044334975369</v>
      </c>
      <c r="G1376" s="45" t="n">
        <f aca="false">INDEX(Background!$C$4:$C$7,MATCH(C1376,Background!$A$4:$A$7,0))</f>
        <v>0.276812715380828</v>
      </c>
      <c r="H1376" s="49" t="n">
        <f aca="false">LN(F1376/G1376)</f>
        <v>-2.64249749869767</v>
      </c>
    </row>
    <row r="1377" customFormat="false" ht="15" hidden="false" customHeight="true" outlineLevel="0" collapsed="false">
      <c r="A1377" s="38" t="s">
        <v>858</v>
      </c>
      <c r="B1377" s="38" t="n">
        <v>8</v>
      </c>
      <c r="C1377" s="38" t="s">
        <v>171</v>
      </c>
      <c r="D1377" s="38" t="s">
        <v>866</v>
      </c>
      <c r="E1377" s="38" t="str">
        <f aca="false">B1377&amp;"|"&amp;C1377</f>
        <v>8|U</v>
      </c>
      <c r="F1377" s="45" t="n">
        <f aca="false">INDEX('Emission Stepwise'!$H$2:$H$289,MATCH(E1377,'Emission Stepwise'!$C$2:$C$289,0))</f>
        <v>0.975369458128079</v>
      </c>
      <c r="G1377" s="45" t="n">
        <f aca="false">INDEX(Background!$C$4:$C$7,MATCH(C1377,Background!$A$4:$A$7,0))</f>
        <v>0.212884169069555</v>
      </c>
      <c r="H1377" s="49" t="n">
        <f aca="false">LN(F1377/G1377)</f>
        <v>1.5220681200274</v>
      </c>
    </row>
    <row r="1378" customFormat="false" ht="15" hidden="false" customHeight="true" outlineLevel="0" collapsed="false">
      <c r="A1378" s="38" t="s">
        <v>858</v>
      </c>
      <c r="B1378" s="38" t="n">
        <v>9</v>
      </c>
      <c r="C1378" s="38" t="s">
        <v>171</v>
      </c>
      <c r="D1378" s="38" t="s">
        <v>867</v>
      </c>
      <c r="E1378" s="38" t="str">
        <f aca="false">B1378&amp;"|"&amp;C1378</f>
        <v>9|U</v>
      </c>
      <c r="F1378" s="45" t="n">
        <f aca="false">INDEX('Emission Stepwise'!$H$2:$H$289,MATCH(E1378,'Emission Stepwise'!$C$2:$C$289,0))</f>
        <v>0.00495049504950495</v>
      </c>
      <c r="G1378" s="45" t="n">
        <f aca="false">INDEX(Background!$C$4:$C$7,MATCH(C1378,Background!$A$4:$A$7,0))</f>
        <v>0.212884169069555</v>
      </c>
      <c r="H1378" s="49" t="n">
        <f aca="false">LN(F1378/G1378)</f>
        <v>-3.76126062902655</v>
      </c>
    </row>
    <row r="1379" customFormat="false" ht="15" hidden="false" customHeight="true" outlineLevel="0" collapsed="false">
      <c r="A1379" s="38" t="s">
        <v>858</v>
      </c>
      <c r="B1379" s="38" t="n">
        <v>10</v>
      </c>
      <c r="C1379" s="38" t="s">
        <v>172</v>
      </c>
      <c r="D1379" s="38" t="s">
        <v>867</v>
      </c>
      <c r="E1379" s="38" t="str">
        <f aca="false">B1379&amp;"|"&amp;C1379</f>
        <v>10|A</v>
      </c>
      <c r="F1379" s="45" t="n">
        <f aca="false">INDEX('Emission Stepwise'!$H$2:$H$289,MATCH(E1379,'Emission Stepwise'!$C$2:$C$289,0))</f>
        <v>0.00492610837438424</v>
      </c>
      <c r="G1379" s="45" t="n">
        <f aca="false">INDEX(Background!$C$4:$C$7,MATCH(C1379,Background!$A$4:$A$7,0))</f>
        <v>0.185174766157958</v>
      </c>
      <c r="H1379" s="49" t="n">
        <f aca="false">LN(F1379/G1379)</f>
        <v>-3.62675076114172</v>
      </c>
    </row>
    <row r="1380" customFormat="false" ht="15" hidden="false" customHeight="true" outlineLevel="0" collapsed="false">
      <c r="A1380" s="38" t="s">
        <v>858</v>
      </c>
      <c r="B1380" s="38" t="n">
        <v>11</v>
      </c>
      <c r="C1380" s="38" t="s">
        <v>171</v>
      </c>
      <c r="D1380" s="38" t="s">
        <v>867</v>
      </c>
      <c r="E1380" s="38" t="str">
        <f aca="false">B1380&amp;"|"&amp;C1380</f>
        <v>11|U</v>
      </c>
      <c r="F1380" s="45" t="n">
        <f aca="false">INDEX('Emission Stepwise'!$H$2:$H$289,MATCH(E1380,'Emission Stepwise'!$C$2:$C$289,0))</f>
        <v>0.201970443349754</v>
      </c>
      <c r="G1380" s="45" t="n">
        <f aca="false">INDEX(Background!$C$4:$C$7,MATCH(C1380,Background!$A$4:$A$7,0))</f>
        <v>0.212884169069555</v>
      </c>
      <c r="H1380" s="49" t="n">
        <f aca="false">LN(F1380/G1380)</f>
        <v>-0.0526268439628237</v>
      </c>
    </row>
    <row r="1381" customFormat="false" ht="15" hidden="false" customHeight="true" outlineLevel="0" collapsed="false">
      <c r="A1381" s="38" t="s">
        <v>858</v>
      </c>
      <c r="B1381" s="38" t="n">
        <v>12</v>
      </c>
      <c r="C1381" s="38" t="s">
        <v>169</v>
      </c>
      <c r="D1381" s="38" t="s">
        <v>867</v>
      </c>
      <c r="E1381" s="38" t="str">
        <f aca="false">B1381&amp;"|"&amp;C1381</f>
        <v>12|G</v>
      </c>
      <c r="F1381" s="45" t="n">
        <f aca="false">INDEX('Emission Stepwise'!$H$2:$H$289,MATCH(E1381,'Emission Stepwise'!$C$2:$C$289,0))</f>
        <v>0.192118226600985</v>
      </c>
      <c r="G1381" s="45" t="n">
        <f aca="false">INDEX(Background!$C$4:$C$7,MATCH(C1381,Background!$A$4:$A$7,0))</f>
        <v>0.325128349391659</v>
      </c>
      <c r="H1381" s="49" t="n">
        <f aca="false">LN(F1381/G1381)</f>
        <v>-0.526109079503992</v>
      </c>
    </row>
    <row r="1382" customFormat="false" ht="15" hidden="false" customHeight="true" outlineLevel="0" collapsed="false">
      <c r="A1382" s="38" t="s">
        <v>858</v>
      </c>
      <c r="B1382" s="38" t="n">
        <v>13</v>
      </c>
      <c r="C1382" s="38" t="s">
        <v>172</v>
      </c>
      <c r="D1382" s="38" t="s">
        <v>867</v>
      </c>
      <c r="E1382" s="38" t="str">
        <f aca="false">B1382&amp;"|"&amp;C1382</f>
        <v>13|A</v>
      </c>
      <c r="F1382" s="45" t="n">
        <f aca="false">INDEX('Emission Stepwise'!$H$2:$H$289,MATCH(E1382,'Emission Stepwise'!$C$2:$C$289,0))</f>
        <v>0.0689655172413793</v>
      </c>
      <c r="G1382" s="45" t="n">
        <f aca="false">INDEX(Background!$C$4:$C$7,MATCH(C1382,Background!$A$4:$A$7,0))</f>
        <v>0.185174766157958</v>
      </c>
      <c r="H1382" s="49" t="n">
        <f aca="false">LN(F1382/G1382)</f>
        <v>-0.987693431526464</v>
      </c>
    </row>
    <row r="1383" customFormat="false" ht="15" hidden="false" customHeight="true" outlineLevel="0" collapsed="false">
      <c r="A1383" s="38" t="s">
        <v>858</v>
      </c>
      <c r="B1383" s="38" t="n">
        <v>14</v>
      </c>
      <c r="C1383" s="38" t="s">
        <v>172</v>
      </c>
      <c r="D1383" s="38" t="s">
        <v>867</v>
      </c>
      <c r="E1383" s="38" t="str">
        <f aca="false">B1383&amp;"|"&amp;C1383</f>
        <v>14|A</v>
      </c>
      <c r="F1383" s="45" t="n">
        <f aca="false">INDEX('Emission Stepwise'!$H$2:$H$289,MATCH(E1383,'Emission Stepwise'!$C$2:$C$289,0))</f>
        <v>0.975369458128079</v>
      </c>
      <c r="G1383" s="45" t="n">
        <f aca="false">INDEX(Background!$C$4:$C$7,MATCH(C1383,Background!$A$4:$A$7,0))</f>
        <v>0.185174766157958</v>
      </c>
      <c r="H1383" s="49" t="n">
        <f aca="false">LN(F1383/G1383)</f>
        <v>1.66151626955281</v>
      </c>
    </row>
    <row r="1384" customFormat="false" ht="15" hidden="false" customHeight="true" outlineLevel="0" collapsed="false">
      <c r="A1384" s="38" t="s">
        <v>858</v>
      </c>
      <c r="B1384" s="38" t="n">
        <v>15</v>
      </c>
      <c r="C1384" s="38" t="s">
        <v>171</v>
      </c>
      <c r="D1384" s="38" t="s">
        <v>867</v>
      </c>
      <c r="E1384" s="38" t="str">
        <f aca="false">B1384&amp;"|"&amp;C1384</f>
        <v>15|U</v>
      </c>
      <c r="F1384" s="45" t="n">
        <f aca="false">INDEX('Emission Stepwise'!$H$2:$H$289,MATCH(E1384,'Emission Stepwise'!$C$2:$C$289,0))</f>
        <v>0.0148514851485149</v>
      </c>
      <c r="G1384" s="45" t="n">
        <f aca="false">INDEX(Background!$C$4:$C$7,MATCH(C1384,Background!$A$4:$A$7,0))</f>
        <v>0.212884169069555</v>
      </c>
      <c r="H1384" s="49" t="n">
        <f aca="false">LN(F1384/G1384)</f>
        <v>-2.66264834035844</v>
      </c>
    </row>
    <row r="1385" customFormat="false" ht="15" hidden="false" customHeight="true" outlineLevel="0" collapsed="false">
      <c r="A1385" s="38" t="s">
        <v>858</v>
      </c>
      <c r="B1385" s="38" t="n">
        <v>16</v>
      </c>
      <c r="C1385" s="38" t="s">
        <v>170</v>
      </c>
      <c r="D1385" s="38" t="s">
        <v>867</v>
      </c>
      <c r="E1385" s="38" t="str">
        <f aca="false">B1385&amp;"|"&amp;C1385</f>
        <v>16|C</v>
      </c>
      <c r="F1385" s="45" t="n">
        <f aca="false">INDEX('Emission Stepwise'!$H$2:$H$289,MATCH(E1385,'Emission Stepwise'!$C$2:$C$289,0))</f>
        <v>0.352941176470588</v>
      </c>
      <c r="G1385" s="45" t="n">
        <f aca="false">INDEX(Background!$C$4:$C$7,MATCH(C1385,Background!$A$4:$A$7,0))</f>
        <v>0.276812715380828</v>
      </c>
      <c r="H1385" s="49" t="n">
        <f aca="false">LN(F1385/G1385)</f>
        <v>0.242960244396069</v>
      </c>
    </row>
    <row r="1386" customFormat="false" ht="15" hidden="false" customHeight="true" outlineLevel="0" collapsed="false">
      <c r="A1386" s="38" t="s">
        <v>858</v>
      </c>
      <c r="B1386" s="38" t="n">
        <v>17</v>
      </c>
      <c r="C1386" s="38" t="s">
        <v>170</v>
      </c>
      <c r="D1386" s="38" t="s">
        <v>867</v>
      </c>
      <c r="E1386" s="38" t="str">
        <f aca="false">B1386&amp;"|"&amp;C1386</f>
        <v>17|C</v>
      </c>
      <c r="F1386" s="45" t="n">
        <f aca="false">INDEX('Emission Stepwise'!$H$2:$H$289,MATCH(E1386,'Emission Stepwise'!$C$2:$C$289,0))</f>
        <v>0.32</v>
      </c>
      <c r="G1386" s="45" t="n">
        <f aca="false">INDEX(Background!$C$4:$C$7,MATCH(C1386,Background!$A$4:$A$7,0))</f>
        <v>0.276812715380828</v>
      </c>
      <c r="H1386" s="49" t="n">
        <f aca="false">LN(F1386/G1386)</f>
        <v>0.144979836035866</v>
      </c>
    </row>
    <row r="1387" customFormat="false" ht="15" hidden="false" customHeight="true" outlineLevel="0" collapsed="false">
      <c r="A1387" s="38" t="s">
        <v>858</v>
      </c>
      <c r="B1387" s="38" t="n">
        <v>18</v>
      </c>
      <c r="C1387" s="38" t="s">
        <v>169</v>
      </c>
      <c r="D1387" s="38" t="s">
        <v>867</v>
      </c>
      <c r="E1387" s="38" t="str">
        <f aca="false">B1387&amp;"|"&amp;C1387</f>
        <v>18|G</v>
      </c>
      <c r="F1387" s="45" t="n">
        <f aca="false">INDEX('Emission Stepwise'!$H$2:$H$289,MATCH(E1387,'Emission Stepwise'!$C$2:$C$289,0))</f>
        <v>0.980295566502463</v>
      </c>
      <c r="G1387" s="45" t="n">
        <f aca="false">INDEX(Background!$C$4:$C$7,MATCH(C1387,Background!$A$4:$A$7,0))</f>
        <v>0.325128349391659</v>
      </c>
      <c r="H1387" s="49" t="n">
        <f aca="false">LN(F1387/G1387)</f>
        <v>1.10363409909085</v>
      </c>
    </row>
    <row r="1388" customFormat="false" ht="15" hidden="false" customHeight="true" outlineLevel="0" collapsed="false">
      <c r="A1388" s="38" t="s">
        <v>858</v>
      </c>
      <c r="B1388" s="38" t="n">
        <v>19</v>
      </c>
      <c r="C1388" s="38" t="s">
        <v>169</v>
      </c>
      <c r="D1388" s="38" t="s">
        <v>867</v>
      </c>
      <c r="E1388" s="38" t="str">
        <f aca="false">B1388&amp;"|"&amp;C1388</f>
        <v>19|G</v>
      </c>
      <c r="F1388" s="45" t="n">
        <f aca="false">INDEX('Emission Stepwise'!$H$2:$H$289,MATCH(E1388,'Emission Stepwise'!$C$2:$C$289,0))</f>
        <v>0.970443349753695</v>
      </c>
      <c r="G1388" s="45" t="n">
        <f aca="false">INDEX(Background!$C$4:$C$7,MATCH(C1388,Background!$A$4:$A$7,0))</f>
        <v>0.325128349391659</v>
      </c>
      <c r="H1388" s="49" t="n">
        <f aca="false">LN(F1388/G1388)</f>
        <v>1.09353300310435</v>
      </c>
    </row>
    <row r="1389" customFormat="false" ht="15" hidden="false" customHeight="true" outlineLevel="0" collapsed="false">
      <c r="A1389" s="38" t="s">
        <v>858</v>
      </c>
      <c r="B1389" s="38" t="n">
        <v>20</v>
      </c>
      <c r="C1389" s="38" t="s">
        <v>170</v>
      </c>
      <c r="D1389" s="38" t="s">
        <v>867</v>
      </c>
      <c r="E1389" s="38" t="str">
        <f aca="false">B1389&amp;"|"&amp;C1389</f>
        <v>20|C</v>
      </c>
      <c r="F1389" s="45" t="n">
        <f aca="false">INDEX('Emission Stepwise'!$H$2:$H$289,MATCH(E1389,'Emission Stepwise'!$C$2:$C$289,0))</f>
        <v>0.227722772277228</v>
      </c>
      <c r="G1389" s="45" t="n">
        <f aca="false">INDEX(Background!$C$4:$C$7,MATCH(C1389,Background!$A$4:$A$7,0))</f>
        <v>0.276812715380828</v>
      </c>
      <c r="H1389" s="49" t="n">
        <f aca="false">LN(F1389/G1389)</f>
        <v>-0.195212181687879</v>
      </c>
    </row>
    <row r="1390" customFormat="false" ht="15" hidden="false" customHeight="true" outlineLevel="0" collapsed="false">
      <c r="A1390" s="38" t="s">
        <v>858</v>
      </c>
      <c r="B1390" s="38" t="n">
        <v>21</v>
      </c>
      <c r="C1390" s="38" t="s">
        <v>170</v>
      </c>
      <c r="D1390" s="38" t="s">
        <v>867</v>
      </c>
      <c r="E1390" s="38" t="str">
        <f aca="false">B1390&amp;"|"&amp;C1390</f>
        <v>21|C</v>
      </c>
      <c r="F1390" s="45" t="n">
        <f aca="false">INDEX('Emission Stepwise'!$H$2:$H$289,MATCH(E1390,'Emission Stepwise'!$C$2:$C$289,0))</f>
        <v>0.0246305418719212</v>
      </c>
      <c r="G1390" s="45" t="n">
        <f aca="false">INDEX(Background!$C$4:$C$7,MATCH(C1390,Background!$A$4:$A$7,0))</f>
        <v>0.276812715380828</v>
      </c>
      <c r="H1390" s="49" t="n">
        <f aca="false">LN(F1390/G1390)</f>
        <v>-2.41935394738346</v>
      </c>
    </row>
    <row r="1391" customFormat="false" ht="15" hidden="false" customHeight="true" outlineLevel="0" collapsed="false">
      <c r="A1391" s="38" t="s">
        <v>858</v>
      </c>
      <c r="B1391" s="38" t="n">
        <v>22</v>
      </c>
      <c r="C1391" s="38" t="s">
        <v>171</v>
      </c>
      <c r="D1391" s="38" t="s">
        <v>867</v>
      </c>
      <c r="E1391" s="38" t="str">
        <f aca="false">B1391&amp;"|"&amp;C1391</f>
        <v>22|U</v>
      </c>
      <c r="F1391" s="45" t="n">
        <f aca="false">INDEX('Emission Stepwise'!$H$2:$H$289,MATCH(E1391,'Emission Stepwise'!$C$2:$C$289,0))</f>
        <v>0.0738916256157636</v>
      </c>
      <c r="G1391" s="45" t="n">
        <f aca="false">INDEX(Background!$C$4:$C$7,MATCH(C1391,Background!$A$4:$A$7,0))</f>
        <v>0.212884169069555</v>
      </c>
      <c r="H1391" s="49" t="n">
        <f aca="false">LN(F1391/G1391)</f>
        <v>-1.05814870956492</v>
      </c>
    </row>
    <row r="1392" customFormat="false" ht="15" hidden="false" customHeight="true" outlineLevel="0" collapsed="false">
      <c r="A1392" s="38" t="s">
        <v>858</v>
      </c>
      <c r="B1392" s="38" t="n">
        <v>23</v>
      </c>
      <c r="C1392" s="38" t="s">
        <v>171</v>
      </c>
      <c r="D1392" s="38" t="s">
        <v>867</v>
      </c>
      <c r="E1392" s="38" t="str">
        <f aca="false">B1392&amp;"|"&amp;C1392</f>
        <v>23|U</v>
      </c>
      <c r="F1392" s="45" t="n">
        <f aca="false">INDEX('Emission Stepwise'!$H$2:$H$289,MATCH(E1392,'Emission Stepwise'!$C$2:$C$289,0))</f>
        <v>0.0640394088669951</v>
      </c>
      <c r="G1392" s="45" t="n">
        <f aca="false">INDEX(Background!$C$4:$C$7,MATCH(C1392,Background!$A$4:$A$7,0))</f>
        <v>0.212884169069555</v>
      </c>
      <c r="H1392" s="49" t="n">
        <f aca="false">LN(F1392/G1392)</f>
        <v>-1.20124955320559</v>
      </c>
    </row>
    <row r="1393" customFormat="false" ht="15" hidden="false" customHeight="true" outlineLevel="0" collapsed="false">
      <c r="A1393" s="38" t="s">
        <v>858</v>
      </c>
      <c r="B1393" s="38" t="n">
        <v>24</v>
      </c>
      <c r="C1393" s="38" t="s">
        <v>172</v>
      </c>
      <c r="D1393" s="38" t="s">
        <v>867</v>
      </c>
      <c r="E1393" s="38" t="str">
        <f aca="false">B1393&amp;"|"&amp;C1393</f>
        <v>24|A</v>
      </c>
      <c r="F1393" s="45" t="n">
        <f aca="false">INDEX('Emission Stepwise'!$H$2:$H$289,MATCH(E1393,'Emission Stepwise'!$C$2:$C$289,0))</f>
        <v>0.187192118226601</v>
      </c>
      <c r="G1393" s="45" t="n">
        <f aca="false">INDEX(Background!$C$4:$C$7,MATCH(C1393,Background!$A$4:$A$7,0))</f>
        <v>0.185174766157958</v>
      </c>
      <c r="H1393" s="49" t="n">
        <f aca="false">LN(F1393/G1393)</f>
        <v>0.0108353985846635</v>
      </c>
    </row>
    <row r="1394" customFormat="false" ht="15" hidden="false" customHeight="true" outlineLevel="0" collapsed="false">
      <c r="A1394" s="38" t="s">
        <v>858</v>
      </c>
      <c r="B1394" s="38" t="n">
        <v>25</v>
      </c>
      <c r="C1394" s="38" t="s">
        <v>171</v>
      </c>
      <c r="D1394" s="38" t="s">
        <v>867</v>
      </c>
      <c r="E1394" s="38" t="str">
        <f aca="false">B1394&amp;"|"&amp;C1394</f>
        <v>25|U</v>
      </c>
      <c r="F1394" s="45" t="n">
        <f aca="false">INDEX('Emission Stepwise'!$H$2:$H$289,MATCH(E1394,'Emission Stepwise'!$C$2:$C$289,0))</f>
        <v>0.0738916256157636</v>
      </c>
      <c r="G1394" s="45" t="n">
        <f aca="false">INDEX(Background!$C$4:$C$7,MATCH(C1394,Background!$A$4:$A$7,0))</f>
        <v>0.212884169069555</v>
      </c>
      <c r="H1394" s="49" t="n">
        <f aca="false">LN(F1394/G1394)</f>
        <v>-1.05814870956492</v>
      </c>
    </row>
    <row r="1395" customFormat="false" ht="15" hidden="false" customHeight="true" outlineLevel="0" collapsed="false">
      <c r="A1395" s="38" t="s">
        <v>858</v>
      </c>
      <c r="B1395" s="38" t="n">
        <v>26</v>
      </c>
      <c r="C1395" s="38" t="s">
        <v>171</v>
      </c>
      <c r="D1395" s="38" t="s">
        <v>868</v>
      </c>
      <c r="E1395" s="38" t="str">
        <f aca="false">B1395&amp;"|"&amp;C1395</f>
        <v>26|U</v>
      </c>
      <c r="F1395" s="45" t="n">
        <f aca="false">INDEX('Emission Stepwise'!$H$2:$H$289,MATCH(E1395,'Emission Stepwise'!$C$2:$C$289,0))</f>
        <v>0.0591133004926108</v>
      </c>
      <c r="G1395" s="45" t="n">
        <f aca="false">INDEX(Background!$C$4:$C$7,MATCH(C1395,Background!$A$4:$A$7,0))</f>
        <v>0.212884169069555</v>
      </c>
      <c r="H1395" s="49" t="n">
        <f aca="false">LN(F1395/G1395)</f>
        <v>-1.28129226087913</v>
      </c>
    </row>
    <row r="1396" customFormat="false" ht="15" hidden="false" customHeight="true" outlineLevel="0" collapsed="false">
      <c r="A1396" s="38" t="s">
        <v>858</v>
      </c>
      <c r="B1396" s="38" t="n">
        <v>27</v>
      </c>
      <c r="C1396" s="38" t="s">
        <v>169</v>
      </c>
      <c r="D1396" s="38" t="s">
        <v>868</v>
      </c>
      <c r="E1396" s="38" t="str">
        <f aca="false">B1396&amp;"|"&amp;C1396</f>
        <v>27|G</v>
      </c>
      <c r="F1396" s="45" t="n">
        <f aca="false">INDEX('Emission Stepwise'!$H$2:$H$289,MATCH(E1396,'Emission Stepwise'!$C$2:$C$289,0))</f>
        <v>0.157635467980296</v>
      </c>
      <c r="G1396" s="45" t="n">
        <f aca="false">INDEX(Background!$C$4:$C$7,MATCH(C1396,Background!$A$4:$A$7,0))</f>
        <v>0.325128349391659</v>
      </c>
      <c r="H1396" s="49" t="n">
        <f aca="false">LN(F1396/G1396)</f>
        <v>-0.723934822833912</v>
      </c>
    </row>
    <row r="1397" customFormat="false" ht="15" hidden="false" customHeight="true" outlineLevel="0" collapsed="false">
      <c r="A1397" s="38" t="s">
        <v>858</v>
      </c>
      <c r="B1397" s="38" t="n">
        <v>28</v>
      </c>
      <c r="C1397" s="38" t="s">
        <v>172</v>
      </c>
      <c r="D1397" s="38" t="s">
        <v>868</v>
      </c>
      <c r="E1397" s="38" t="str">
        <f aca="false">B1397&amp;"|"&amp;C1397</f>
        <v>28|A</v>
      </c>
      <c r="F1397" s="45" t="n">
        <f aca="false">INDEX('Emission Stepwise'!$H$2:$H$289,MATCH(E1397,'Emission Stepwise'!$C$2:$C$289,0))</f>
        <v>0.123152709359606</v>
      </c>
      <c r="G1397" s="45" t="n">
        <f aca="false">INDEX(Background!$C$4:$C$7,MATCH(C1397,Background!$A$4:$A$7,0))</f>
        <v>0.185174766157958</v>
      </c>
      <c r="H1397" s="49" t="n">
        <f aca="false">LN(F1397/G1397)</f>
        <v>-0.407874936273521</v>
      </c>
    </row>
    <row r="1398" customFormat="false" ht="15" hidden="false" customHeight="true" outlineLevel="0" collapsed="false">
      <c r="A1398" s="38" t="s">
        <v>858</v>
      </c>
      <c r="B1398" s="38" t="n">
        <v>29</v>
      </c>
      <c r="C1398" s="38" t="s">
        <v>171</v>
      </c>
      <c r="D1398" s="38" t="s">
        <v>868</v>
      </c>
      <c r="E1398" s="38" t="str">
        <f aca="false">B1398&amp;"|"&amp;C1398</f>
        <v>29|U</v>
      </c>
      <c r="F1398" s="45" t="n">
        <f aca="false">INDEX('Emission Stepwise'!$H$2:$H$289,MATCH(E1398,'Emission Stepwise'!$C$2:$C$289,0))</f>
        <v>0.275862068965517</v>
      </c>
      <c r="G1398" s="45" t="n">
        <f aca="false">INDEX(Background!$C$4:$C$7,MATCH(C1398,Background!$A$4:$A$7,0))</f>
        <v>0.212884169069555</v>
      </c>
      <c r="H1398" s="49" t="n">
        <f aca="false">LN(F1398/G1398)</f>
        <v>0.259152780068018</v>
      </c>
    </row>
    <row r="1399" customFormat="false" ht="15" hidden="false" customHeight="true" outlineLevel="0" collapsed="false">
      <c r="A1399" s="38" t="s">
        <v>858</v>
      </c>
      <c r="B1399" s="38" t="n">
        <v>30</v>
      </c>
      <c r="C1399" s="38" t="s">
        <v>171</v>
      </c>
      <c r="D1399" s="38" t="s">
        <v>868</v>
      </c>
      <c r="E1399" s="38" t="str">
        <f aca="false">B1399&amp;"|"&amp;C1399</f>
        <v>30|U</v>
      </c>
      <c r="F1399" s="45" t="n">
        <f aca="false">INDEX('Emission Stepwise'!$H$2:$H$289,MATCH(E1399,'Emission Stepwise'!$C$2:$C$289,0))</f>
        <v>0.0394088669950739</v>
      </c>
      <c r="G1399" s="45" t="n">
        <f aca="false">INDEX(Background!$C$4:$C$7,MATCH(C1399,Background!$A$4:$A$7,0))</f>
        <v>0.212884169069555</v>
      </c>
      <c r="H1399" s="49" t="n">
        <f aca="false">LN(F1399/G1399)</f>
        <v>-1.6867573689873</v>
      </c>
    </row>
    <row r="1400" customFormat="false" ht="15" hidden="false" customHeight="true" outlineLevel="0" collapsed="false">
      <c r="A1400" s="38" t="s">
        <v>858</v>
      </c>
      <c r="B1400" s="38" t="n">
        <v>31</v>
      </c>
      <c r="C1400" s="38" t="s">
        <v>172</v>
      </c>
      <c r="D1400" s="38" t="s">
        <v>868</v>
      </c>
      <c r="E1400" s="38" t="str">
        <f aca="false">B1400&amp;"|"&amp;C1400</f>
        <v>31|A</v>
      </c>
      <c r="F1400" s="45" t="n">
        <f aca="false">INDEX('Emission Stepwise'!$H$2:$H$289,MATCH(E1400,'Emission Stepwise'!$C$2:$C$289,0))</f>
        <v>0.270935960591133</v>
      </c>
      <c r="G1400" s="45" t="n">
        <f aca="false">INDEX(Background!$C$4:$C$7,MATCH(C1400,Background!$A$4:$A$7,0))</f>
        <v>0.185174766157958</v>
      </c>
      <c r="H1400" s="49" t="n">
        <f aca="false">LN(F1400/G1400)</f>
        <v>0.380582424090749</v>
      </c>
    </row>
    <row r="1401" customFormat="false" ht="15" hidden="false" customHeight="true" outlineLevel="0" collapsed="false">
      <c r="A1401" s="38" t="s">
        <v>858</v>
      </c>
      <c r="B1401" s="38" t="n">
        <v>32</v>
      </c>
      <c r="C1401" s="38" t="s">
        <v>169</v>
      </c>
      <c r="D1401" s="38" t="s">
        <v>868</v>
      </c>
      <c r="E1401" s="38" t="str">
        <f aca="false">B1401&amp;"|"&amp;C1401</f>
        <v>32|G</v>
      </c>
      <c r="F1401" s="45" t="n">
        <f aca="false">INDEX('Emission Stepwise'!$H$2:$H$289,MATCH(E1401,'Emission Stepwise'!$C$2:$C$289,0))</f>
        <v>0.00492610837438424</v>
      </c>
      <c r="G1401" s="45" t="n">
        <f aca="false">INDEX(Background!$C$4:$C$7,MATCH(C1401,Background!$A$4:$A$7,0))</f>
        <v>0.325128349391659</v>
      </c>
      <c r="H1401" s="49" t="n">
        <f aca="false">LN(F1401/G1401)</f>
        <v>-4.18967072563364</v>
      </c>
    </row>
    <row r="1402" customFormat="false" ht="15" hidden="false" customHeight="true" outlineLevel="0" collapsed="false">
      <c r="A1402" s="38" t="s">
        <v>858</v>
      </c>
      <c r="B1402" s="38" t="n">
        <v>33</v>
      </c>
      <c r="C1402" s="38" t="s">
        <v>171</v>
      </c>
      <c r="D1402" s="38" t="s">
        <v>868</v>
      </c>
      <c r="E1402" s="38" t="str">
        <f aca="false">B1402&amp;"|"&amp;C1402</f>
        <v>33|U</v>
      </c>
      <c r="F1402" s="45" t="n">
        <f aca="false">INDEX('Emission Stepwise'!$H$2:$H$289,MATCH(E1402,'Emission Stepwise'!$C$2:$C$289,0))</f>
        <v>0.975369458128079</v>
      </c>
      <c r="G1402" s="45" t="n">
        <f aca="false">INDEX(Background!$C$4:$C$7,MATCH(C1402,Background!$A$4:$A$7,0))</f>
        <v>0.212884169069555</v>
      </c>
      <c r="H1402" s="49" t="n">
        <f aca="false">LN(F1402/G1402)</f>
        <v>1.5220681200274</v>
      </c>
    </row>
    <row r="1403" customFormat="false" ht="15" hidden="false" customHeight="true" outlineLevel="0" collapsed="false">
      <c r="A1403" s="38" t="s">
        <v>858</v>
      </c>
      <c r="B1403" s="38" t="n">
        <v>34</v>
      </c>
      <c r="C1403" s="38" t="s">
        <v>171</v>
      </c>
      <c r="D1403" s="38" t="s">
        <v>868</v>
      </c>
      <c r="E1403" s="38" t="str">
        <f aca="false">B1403&amp;"|"&amp;C1403</f>
        <v>34|U</v>
      </c>
      <c r="F1403" s="45" t="n">
        <f aca="false">INDEX('Emission Stepwise'!$H$2:$H$289,MATCH(E1403,'Emission Stepwise'!$C$2:$C$289,0))</f>
        <v>0.29064039408867</v>
      </c>
      <c r="G1403" s="45" t="n">
        <f aca="false">INDEX(Background!$C$4:$C$7,MATCH(C1403,Background!$A$4:$A$7,0))</f>
        <v>0.212884169069555</v>
      </c>
      <c r="H1403" s="49" t="n">
        <f aca="false">LN(F1403/G1403)</f>
        <v>0.311338533238588</v>
      </c>
    </row>
    <row r="1404" customFormat="false" ht="15" hidden="false" customHeight="true" outlineLevel="0" collapsed="false">
      <c r="A1404" s="38" t="s">
        <v>858</v>
      </c>
      <c r="B1404" s="38" t="n">
        <v>35</v>
      </c>
      <c r="C1404" s="38" t="s">
        <v>171</v>
      </c>
      <c r="D1404" s="38" t="s">
        <v>868</v>
      </c>
      <c r="E1404" s="38" t="str">
        <f aca="false">B1404&amp;"|"&amp;C1404</f>
        <v>35|U</v>
      </c>
      <c r="F1404" s="45" t="n">
        <f aca="false">INDEX('Emission Stepwise'!$H$2:$H$289,MATCH(E1404,'Emission Stepwise'!$C$2:$C$289,0))</f>
        <v>0.206896551724138</v>
      </c>
      <c r="G1404" s="45" t="n">
        <f aca="false">INDEX(Background!$C$4:$C$7,MATCH(C1404,Background!$A$4:$A$7,0))</f>
        <v>0.212884169069555</v>
      </c>
      <c r="H1404" s="49" t="n">
        <f aca="false">LN(F1404/G1404)</f>
        <v>-0.0285292923837632</v>
      </c>
    </row>
    <row r="1405" customFormat="false" ht="15" hidden="false" customHeight="true" outlineLevel="0" collapsed="false">
      <c r="A1405" s="38" t="s">
        <v>858</v>
      </c>
      <c r="B1405" s="38" t="n">
        <v>36</v>
      </c>
      <c r="C1405" s="38" t="s">
        <v>172</v>
      </c>
      <c r="D1405" s="38" t="s">
        <v>868</v>
      </c>
      <c r="E1405" s="38" t="str">
        <f aca="false">B1405&amp;"|"&amp;C1405</f>
        <v>36|A</v>
      </c>
      <c r="F1405" s="45" t="n">
        <f aca="false">INDEX('Emission Stepwise'!$H$2:$H$289,MATCH(E1405,'Emission Stepwise'!$C$2:$C$289,0))</f>
        <v>0.216748768472906</v>
      </c>
      <c r="G1405" s="45" t="n">
        <f aca="false">INDEX(Background!$C$4:$C$7,MATCH(C1405,Background!$A$4:$A$7,0))</f>
        <v>0.185174766157958</v>
      </c>
      <c r="H1405" s="49" t="n">
        <f aca="false">LN(F1405/G1405)</f>
        <v>0.157438872776539</v>
      </c>
    </row>
    <row r="1406" customFormat="false" ht="15" hidden="false" customHeight="true" outlineLevel="0" collapsed="false">
      <c r="A1406" s="38" t="s">
        <v>858</v>
      </c>
      <c r="B1406" s="38" t="n">
        <v>37</v>
      </c>
      <c r="C1406" s="38" t="s">
        <v>171</v>
      </c>
      <c r="D1406" s="38" t="s">
        <v>868</v>
      </c>
      <c r="E1406" s="38" t="str">
        <f aca="false">B1406&amp;"|"&amp;C1406</f>
        <v>37|U</v>
      </c>
      <c r="F1406" s="45" t="n">
        <f aca="false">INDEX('Emission Stepwise'!$H$2:$H$289,MATCH(E1406,'Emission Stepwise'!$C$2:$C$289,0))</f>
        <v>0.00492610837438424</v>
      </c>
      <c r="G1406" s="45" t="n">
        <f aca="false">INDEX(Background!$C$4:$C$7,MATCH(C1406,Background!$A$4:$A$7,0))</f>
        <v>0.212884169069555</v>
      </c>
      <c r="H1406" s="49" t="n">
        <f aca="false">LN(F1406/G1406)</f>
        <v>-3.76619891066713</v>
      </c>
    </row>
    <row r="1407" customFormat="false" ht="15" hidden="false" customHeight="true" outlineLevel="0" collapsed="false">
      <c r="A1407" s="38" t="s">
        <v>858</v>
      </c>
      <c r="B1407" s="38" t="n">
        <v>38</v>
      </c>
      <c r="C1407" s="38" t="s">
        <v>171</v>
      </c>
      <c r="D1407" s="38" t="s">
        <v>868</v>
      </c>
      <c r="E1407" s="38" t="str">
        <f aca="false">B1407&amp;"|"&amp;C1407</f>
        <v>38|U</v>
      </c>
      <c r="F1407" s="45" t="n">
        <f aca="false">INDEX('Emission Stepwise'!$H$2:$H$289,MATCH(E1407,'Emission Stepwise'!$C$2:$C$289,0))</f>
        <v>0.118226600985222</v>
      </c>
      <c r="G1407" s="45" t="n">
        <f aca="false">INDEX(Background!$C$4:$C$7,MATCH(C1407,Background!$A$4:$A$7,0))</f>
        <v>0.212884169069555</v>
      </c>
      <c r="H1407" s="49" t="n">
        <f aca="false">LN(F1407/G1407)</f>
        <v>-0.588145080319186</v>
      </c>
    </row>
    <row r="1408" customFormat="false" ht="15" hidden="false" customHeight="true" outlineLevel="0" collapsed="false">
      <c r="A1408" s="38" t="s">
        <v>858</v>
      </c>
      <c r="B1408" s="38" t="n">
        <v>39</v>
      </c>
      <c r="C1408" s="38" t="s">
        <v>171</v>
      </c>
      <c r="D1408" s="38" t="s">
        <v>868</v>
      </c>
      <c r="E1408" s="38" t="str">
        <f aca="false">B1408&amp;"|"&amp;C1408</f>
        <v>39|U</v>
      </c>
      <c r="F1408" s="45" t="n">
        <f aca="false">INDEX('Emission Stepwise'!$H$2:$H$289,MATCH(E1408,'Emission Stepwise'!$C$2:$C$289,0))</f>
        <v>0.295566502463054</v>
      </c>
      <c r="G1408" s="45" t="n">
        <f aca="false">INDEX(Background!$C$4:$C$7,MATCH(C1408,Background!$A$4:$A$7,0))</f>
        <v>0.212884169069555</v>
      </c>
      <c r="H1408" s="49" t="n">
        <f aca="false">LN(F1408/G1408)</f>
        <v>0.328145651554969</v>
      </c>
    </row>
    <row r="1409" customFormat="false" ht="15" hidden="false" customHeight="true" outlineLevel="0" collapsed="false">
      <c r="A1409" s="38" t="s">
        <v>858</v>
      </c>
      <c r="B1409" s="38" t="n">
        <v>40</v>
      </c>
      <c r="C1409" s="38" t="s">
        <v>172</v>
      </c>
      <c r="D1409" s="38" t="s">
        <v>868</v>
      </c>
      <c r="E1409" s="38" t="str">
        <f aca="false">B1409&amp;"|"&amp;C1409</f>
        <v>40|A</v>
      </c>
      <c r="F1409" s="45" t="n">
        <f aca="false">INDEX('Emission Stepwise'!$H$2:$H$289,MATCH(E1409,'Emission Stepwise'!$C$2:$C$289,0))</f>
        <v>0.00985221674876847</v>
      </c>
      <c r="G1409" s="45" t="n">
        <f aca="false">INDEX(Background!$C$4:$C$7,MATCH(C1409,Background!$A$4:$A$7,0))</f>
        <v>0.185174766157958</v>
      </c>
      <c r="H1409" s="49" t="n">
        <f aca="false">LN(F1409/G1409)</f>
        <v>-2.93360358058178</v>
      </c>
    </row>
    <row r="1410" customFormat="false" ht="15" hidden="false" customHeight="true" outlineLevel="0" collapsed="false">
      <c r="A1410" s="38" t="s">
        <v>858</v>
      </c>
      <c r="B1410" s="38" t="n">
        <v>41</v>
      </c>
      <c r="C1410" s="38" t="s">
        <v>172</v>
      </c>
      <c r="D1410" s="38" t="s">
        <v>868</v>
      </c>
      <c r="E1410" s="38" t="str">
        <f aca="false">B1410&amp;"|"&amp;C1410</f>
        <v>41|A</v>
      </c>
      <c r="F1410" s="45" t="n">
        <f aca="false">INDEX('Emission Stepwise'!$H$2:$H$289,MATCH(E1410,'Emission Stepwise'!$C$2:$C$289,0))</f>
        <v>0.270935960591133</v>
      </c>
      <c r="G1410" s="45" t="n">
        <f aca="false">INDEX(Background!$C$4:$C$7,MATCH(C1410,Background!$A$4:$A$7,0))</f>
        <v>0.185174766157958</v>
      </c>
      <c r="H1410" s="49" t="n">
        <f aca="false">LN(F1410/G1410)</f>
        <v>0.380582424090749</v>
      </c>
    </row>
    <row r="1411" customFormat="false" ht="15" hidden="false" customHeight="true" outlineLevel="0" collapsed="false">
      <c r="A1411" s="38" t="s">
        <v>858</v>
      </c>
      <c r="B1411" s="38" t="n">
        <v>42</v>
      </c>
      <c r="C1411" s="38" t="s">
        <v>171</v>
      </c>
      <c r="D1411" s="38" t="s">
        <v>868</v>
      </c>
      <c r="E1411" s="38" t="str">
        <f aca="false">B1411&amp;"|"&amp;C1411</f>
        <v>42|U</v>
      </c>
      <c r="F1411" s="45" t="n">
        <f aca="false">INDEX('Emission Stepwise'!$H$2:$H$289,MATCH(E1411,'Emission Stepwise'!$C$2:$C$289,0))</f>
        <v>0.133004926108374</v>
      </c>
      <c r="G1411" s="45" t="n">
        <f aca="false">INDEX(Background!$C$4:$C$7,MATCH(C1411,Background!$A$4:$A$7,0))</f>
        <v>0.212884169069555</v>
      </c>
      <c r="H1411" s="49" t="n">
        <f aca="false">LN(F1411/G1411)</f>
        <v>-0.470362044662802</v>
      </c>
    </row>
    <row r="1412" customFormat="false" ht="15" hidden="false" customHeight="true" outlineLevel="0" collapsed="false">
      <c r="A1412" s="38" t="s">
        <v>858</v>
      </c>
      <c r="B1412" s="38" t="n">
        <v>43</v>
      </c>
      <c r="C1412" s="38" t="s">
        <v>171</v>
      </c>
      <c r="D1412" s="38" t="s">
        <v>868</v>
      </c>
      <c r="E1412" s="38" t="str">
        <f aca="false">B1412&amp;"|"&amp;C1412</f>
        <v>43|U</v>
      </c>
      <c r="F1412" s="45" t="n">
        <f aca="false">INDEX('Emission Stepwise'!$H$2:$H$289,MATCH(E1412,'Emission Stepwise'!$C$2:$C$289,0))</f>
        <v>0.16256157635468</v>
      </c>
      <c r="G1412" s="45" t="n">
        <f aca="false">INDEX(Background!$C$4:$C$7,MATCH(C1412,Background!$A$4:$A$7,0))</f>
        <v>0.212884169069555</v>
      </c>
      <c r="H1412" s="49" t="n">
        <f aca="false">LN(F1412/G1412)</f>
        <v>-0.269691349200651</v>
      </c>
    </row>
    <row r="1413" customFormat="false" ht="15" hidden="false" customHeight="true" outlineLevel="0" collapsed="false">
      <c r="A1413" s="38" t="s">
        <v>858</v>
      </c>
      <c r="B1413" s="38" t="n">
        <v>44</v>
      </c>
      <c r="C1413" s="38" t="s">
        <v>172</v>
      </c>
      <c r="D1413" s="38" t="s">
        <v>868</v>
      </c>
      <c r="E1413" s="38" t="str">
        <f aca="false">B1413&amp;"|"&amp;C1413</f>
        <v>44|A</v>
      </c>
      <c r="F1413" s="45" t="n">
        <f aca="false">INDEX('Emission Stepwise'!$H$2:$H$289,MATCH(E1413,'Emission Stepwise'!$C$2:$C$289,0))</f>
        <v>0.492610837438424</v>
      </c>
      <c r="G1413" s="45" t="n">
        <f aca="false">INDEX(Background!$C$4:$C$7,MATCH(C1413,Background!$A$4:$A$7,0))</f>
        <v>0.185174766157958</v>
      </c>
      <c r="H1413" s="49" t="n">
        <f aca="false">LN(F1413/G1413)</f>
        <v>0.978419424846369</v>
      </c>
    </row>
    <row r="1414" customFormat="false" ht="15" hidden="false" customHeight="true" outlineLevel="0" collapsed="false">
      <c r="A1414" s="38" t="s">
        <v>858</v>
      </c>
      <c r="B1414" s="38" t="n">
        <v>45</v>
      </c>
      <c r="C1414" s="38" t="s">
        <v>171</v>
      </c>
      <c r="D1414" s="38" t="s">
        <v>869</v>
      </c>
      <c r="E1414" s="38" t="str">
        <f aca="false">B1414&amp;"|"&amp;C1414</f>
        <v>45|U</v>
      </c>
      <c r="F1414" s="45" t="n">
        <f aca="false">INDEX('Emission Stepwise'!$H$2:$H$289,MATCH(E1414,'Emission Stepwise'!$C$2:$C$289,0))</f>
        <v>0.144278606965174</v>
      </c>
      <c r="G1414" s="45" t="n">
        <f aca="false">INDEX(Background!$C$4:$C$7,MATCH(C1414,Background!$A$4:$A$7,0))</f>
        <v>0.212884169069555</v>
      </c>
      <c r="H1414" s="49" t="n">
        <f aca="false">LN(F1414/G1414)</f>
        <v>-0.389002009697946</v>
      </c>
    </row>
    <row r="1415" customFormat="false" ht="15" hidden="false" customHeight="true" outlineLevel="0" collapsed="false">
      <c r="A1415" s="38" t="s">
        <v>858</v>
      </c>
      <c r="B1415" s="38" t="n">
        <v>46</v>
      </c>
      <c r="C1415" s="38" t="s">
        <v>171</v>
      </c>
      <c r="D1415" s="38" t="s">
        <v>869</v>
      </c>
      <c r="E1415" s="38" t="str">
        <f aca="false">B1415&amp;"|"&amp;C1415</f>
        <v>46|U</v>
      </c>
      <c r="F1415" s="45" t="n">
        <f aca="false">INDEX('Emission Stepwise'!$H$2:$H$289,MATCH(E1415,'Emission Stepwise'!$C$2:$C$289,0))</f>
        <v>0.0755813953488372</v>
      </c>
      <c r="G1415" s="45" t="n">
        <f aca="false">INDEX(Background!$C$4:$C$7,MATCH(C1415,Background!$A$4:$A$7,0))</f>
        <v>0.212884169069555</v>
      </c>
      <c r="H1415" s="49" t="n">
        <f aca="false">LN(F1415/G1415)</f>
        <v>-1.03553805097726</v>
      </c>
    </row>
    <row r="1416" customFormat="false" ht="15" hidden="false" customHeight="true" outlineLevel="0" collapsed="false">
      <c r="A1416" s="38" t="s">
        <v>858</v>
      </c>
      <c r="B1416" s="38" t="n">
        <v>47</v>
      </c>
      <c r="C1416" s="38" t="s">
        <v>172</v>
      </c>
      <c r="D1416" s="38" t="s">
        <v>869</v>
      </c>
      <c r="E1416" s="38" t="str">
        <f aca="false">B1416&amp;"|"&amp;C1416</f>
        <v>47|A</v>
      </c>
      <c r="F1416" s="45" t="n">
        <f aca="false">INDEX('Emission Stepwise'!$H$2:$H$289,MATCH(E1416,'Emission Stepwise'!$C$2:$C$289,0))</f>
        <v>0.133004926108374</v>
      </c>
      <c r="G1416" s="45" t="n">
        <f aca="false">INDEX(Background!$C$4:$C$7,MATCH(C1416,Background!$A$4:$A$7,0))</f>
        <v>0.185174766157958</v>
      </c>
      <c r="H1416" s="49" t="n">
        <f aca="false">LN(F1416/G1416)</f>
        <v>-0.330913895137393</v>
      </c>
    </row>
    <row r="1417" customFormat="false" ht="15" hidden="false" customHeight="true" outlineLevel="0" collapsed="false">
      <c r="A1417" s="38" t="s">
        <v>858</v>
      </c>
      <c r="B1417" s="38" t="n">
        <v>48</v>
      </c>
      <c r="C1417" s="38" t="s">
        <v>169</v>
      </c>
      <c r="D1417" s="38" t="s">
        <v>869</v>
      </c>
      <c r="E1417" s="38" t="str">
        <f aca="false">B1417&amp;"|"&amp;C1417</f>
        <v>48|G</v>
      </c>
      <c r="F1417" s="45" t="n">
        <f aca="false">INDEX('Emission Stepwise'!$H$2:$H$289,MATCH(E1417,'Emission Stepwise'!$C$2:$C$289,0))</f>
        <v>0.0147783251231527</v>
      </c>
      <c r="G1417" s="45" t="n">
        <f aca="false">INDEX(Background!$C$4:$C$7,MATCH(C1417,Background!$A$4:$A$7,0))</f>
        <v>0.325128349391659</v>
      </c>
      <c r="H1417" s="49" t="n">
        <f aca="false">LN(F1417/G1417)</f>
        <v>-3.09105843696553</v>
      </c>
    </row>
    <row r="1418" customFormat="false" ht="15" hidden="false" customHeight="true" outlineLevel="0" collapsed="false">
      <c r="A1418" s="38" t="s">
        <v>858</v>
      </c>
      <c r="B1418" s="38" t="n">
        <v>49</v>
      </c>
      <c r="C1418" s="38" t="s">
        <v>172</v>
      </c>
      <c r="D1418" s="38" t="s">
        <v>870</v>
      </c>
      <c r="E1418" s="38" t="str">
        <f aca="false">B1418&amp;"|"&amp;C1418</f>
        <v>49|A</v>
      </c>
      <c r="F1418" s="45" t="n">
        <f aca="false">INDEX('Emission Stepwise'!$H$2:$H$289,MATCH(E1418,'Emission Stepwise'!$C$2:$C$289,0))</f>
        <v>0.157635467980296</v>
      </c>
      <c r="G1418" s="45" t="n">
        <f aca="false">INDEX(Background!$C$4:$C$7,MATCH(C1418,Background!$A$4:$A$7,0))</f>
        <v>0.185174766157958</v>
      </c>
      <c r="H1418" s="49" t="n">
        <f aca="false">LN(F1418/G1418)</f>
        <v>-0.161014858341996</v>
      </c>
    </row>
    <row r="1419" customFormat="false" ht="15" hidden="false" customHeight="true" outlineLevel="0" collapsed="false">
      <c r="A1419" s="38" t="s">
        <v>858</v>
      </c>
      <c r="B1419" s="38" t="n">
        <v>50</v>
      </c>
      <c r="C1419" s="38" t="s">
        <v>171</v>
      </c>
      <c r="D1419" s="38" t="s">
        <v>870</v>
      </c>
      <c r="E1419" s="38" t="str">
        <f aca="false">B1419&amp;"|"&amp;C1419</f>
        <v>50|U</v>
      </c>
      <c r="F1419" s="45" t="n">
        <f aca="false">INDEX('Emission Stepwise'!$H$2:$H$289,MATCH(E1419,'Emission Stepwise'!$C$2:$C$289,0))</f>
        <v>0.177339901477833</v>
      </c>
      <c r="G1419" s="45" t="n">
        <f aca="false">INDEX(Background!$C$4:$C$7,MATCH(C1419,Background!$A$4:$A$7,0))</f>
        <v>0.212884169069555</v>
      </c>
      <c r="H1419" s="49" t="n">
        <f aca="false">LN(F1419/G1419)</f>
        <v>-0.182679972211022</v>
      </c>
    </row>
    <row r="1420" customFormat="false" ht="15" hidden="false" customHeight="true" outlineLevel="0" collapsed="false">
      <c r="A1420" s="38" t="s">
        <v>858</v>
      </c>
      <c r="B1420" s="38" t="n">
        <v>51</v>
      </c>
      <c r="C1420" s="38" t="s">
        <v>171</v>
      </c>
      <c r="D1420" s="38" t="s">
        <v>870</v>
      </c>
      <c r="E1420" s="38" t="str">
        <f aca="false">B1420&amp;"|"&amp;C1420</f>
        <v>51|U</v>
      </c>
      <c r="F1420" s="45" t="n">
        <f aca="false">INDEX('Emission Stepwise'!$H$2:$H$289,MATCH(E1420,'Emission Stepwise'!$C$2:$C$289,0))</f>
        <v>0.153465346534653</v>
      </c>
      <c r="G1420" s="45" t="n">
        <f aca="false">INDEX(Background!$C$4:$C$7,MATCH(C1420,Background!$A$4:$A$7,0))</f>
        <v>0.212884169069555</v>
      </c>
      <c r="H1420" s="49" t="n">
        <f aca="false">LN(F1420/G1420)</f>
        <v>-0.327273424541403</v>
      </c>
    </row>
    <row r="1421" customFormat="false" ht="15" hidden="false" customHeight="true" outlineLevel="0" collapsed="false">
      <c r="A1421" s="38" t="s">
        <v>858</v>
      </c>
      <c r="B1421" s="38" t="n">
        <v>52</v>
      </c>
      <c r="C1421" s="38" t="s">
        <v>170</v>
      </c>
      <c r="D1421" s="38" t="s">
        <v>870</v>
      </c>
      <c r="E1421" s="38" t="str">
        <f aca="false">B1421&amp;"|"&amp;C1421</f>
        <v>52|C</v>
      </c>
      <c r="F1421" s="45" t="n">
        <f aca="false">INDEX('Emission Stepwise'!$H$2:$H$289,MATCH(E1421,'Emission Stepwise'!$C$2:$C$289,0))</f>
        <v>0.0147783251231527</v>
      </c>
      <c r="G1421" s="45" t="n">
        <f aca="false">INDEX(Background!$C$4:$C$7,MATCH(C1421,Background!$A$4:$A$7,0))</f>
        <v>0.276812715380828</v>
      </c>
      <c r="H1421" s="49" t="n">
        <f aca="false">LN(F1421/G1421)</f>
        <v>-2.93017957114945</v>
      </c>
    </row>
    <row r="1422" customFormat="false" ht="15" hidden="false" customHeight="true" outlineLevel="0" collapsed="false">
      <c r="A1422" s="38" t="s">
        <v>858</v>
      </c>
      <c r="B1422" s="38" t="n">
        <v>53</v>
      </c>
      <c r="C1422" s="38" t="s">
        <v>169</v>
      </c>
      <c r="D1422" s="38" t="s">
        <v>870</v>
      </c>
      <c r="E1422" s="38" t="str">
        <f aca="false">B1422&amp;"|"&amp;C1422</f>
        <v>53|G</v>
      </c>
      <c r="F1422" s="45" t="n">
        <f aca="false">INDEX('Emission Stepwise'!$H$2:$H$289,MATCH(E1422,'Emission Stepwise'!$C$2:$C$289,0))</f>
        <v>0.96551724137931</v>
      </c>
      <c r="G1422" s="45" t="n">
        <f aca="false">INDEX(Background!$C$4:$C$7,MATCH(C1422,Background!$A$4:$A$7,0))</f>
        <v>0.325128349391659</v>
      </c>
      <c r="H1422" s="49" t="n">
        <f aca="false">LN(F1422/G1422)</f>
        <v>1.08844393359688</v>
      </c>
    </row>
    <row r="1423" customFormat="false" ht="15" hidden="false" customHeight="true" outlineLevel="0" collapsed="false">
      <c r="A1423" s="38" t="s">
        <v>858</v>
      </c>
      <c r="B1423" s="38" t="n">
        <v>54</v>
      </c>
      <c r="C1423" s="38" t="s">
        <v>171</v>
      </c>
      <c r="D1423" s="38" t="s">
        <v>870</v>
      </c>
      <c r="E1423" s="38" t="str">
        <f aca="false">B1423&amp;"|"&amp;C1423</f>
        <v>54|U</v>
      </c>
      <c r="F1423" s="45" t="n">
        <f aca="false">INDEX('Emission Stepwise'!$H$2:$H$289,MATCH(E1423,'Emission Stepwise'!$C$2:$C$289,0))</f>
        <v>0.975369458128079</v>
      </c>
      <c r="G1423" s="45" t="n">
        <f aca="false">INDEX(Background!$C$4:$C$7,MATCH(C1423,Background!$A$4:$A$7,0))</f>
        <v>0.212884169069555</v>
      </c>
      <c r="H1423" s="49" t="n">
        <f aca="false">LN(F1423/G1423)</f>
        <v>1.5220681200274</v>
      </c>
    </row>
    <row r="1424" customFormat="false" ht="15" hidden="false" customHeight="true" outlineLevel="0" collapsed="false">
      <c r="A1424" s="38" t="s">
        <v>858</v>
      </c>
      <c r="B1424" s="38" t="n">
        <v>55</v>
      </c>
      <c r="C1424" s="38" t="s">
        <v>171</v>
      </c>
      <c r="D1424" s="38" t="s">
        <v>870</v>
      </c>
      <c r="E1424" s="38" t="str">
        <f aca="false">B1424&amp;"|"&amp;C1424</f>
        <v>55|U</v>
      </c>
      <c r="F1424" s="45" t="n">
        <f aca="false">INDEX('Emission Stepwise'!$H$2:$H$289,MATCH(E1424,'Emission Stepwise'!$C$2:$C$289,0))</f>
        <v>0.970443349753695</v>
      </c>
      <c r="G1424" s="45" t="n">
        <f aca="false">INDEX(Background!$C$4:$C$7,MATCH(C1424,Background!$A$4:$A$7,0))</f>
        <v>0.212884169069555</v>
      </c>
      <c r="H1424" s="49" t="n">
        <f aca="false">LN(F1424/G1424)</f>
        <v>1.51700481807086</v>
      </c>
    </row>
    <row r="1425" customFormat="false" ht="15" hidden="false" customHeight="true" outlineLevel="0" collapsed="false">
      <c r="A1425" s="38" t="s">
        <v>858</v>
      </c>
      <c r="B1425" s="38" t="n">
        <v>56</v>
      </c>
      <c r="C1425" s="38" t="s">
        <v>170</v>
      </c>
      <c r="D1425" s="38" t="s">
        <v>870</v>
      </c>
      <c r="E1425" s="38" t="str">
        <f aca="false">B1425&amp;"|"&amp;C1425</f>
        <v>56|C</v>
      </c>
      <c r="F1425" s="45" t="n">
        <f aca="false">INDEX('Emission Stepwise'!$H$2:$H$289,MATCH(E1425,'Emission Stepwise'!$C$2:$C$289,0))</f>
        <v>0.96551724137931</v>
      </c>
      <c r="G1425" s="45" t="n">
        <f aca="false">INDEX(Background!$C$4:$C$7,MATCH(C1425,Background!$A$4:$A$7,0))</f>
        <v>0.276812715380828</v>
      </c>
      <c r="H1425" s="49" t="n">
        <f aca="false">LN(F1425/G1425)</f>
        <v>1.24932279941296</v>
      </c>
    </row>
    <row r="1426" customFormat="false" ht="15" hidden="false" customHeight="true" outlineLevel="0" collapsed="false">
      <c r="A1426" s="38" t="s">
        <v>858</v>
      </c>
      <c r="B1426" s="38" t="n">
        <v>57</v>
      </c>
      <c r="C1426" s="38" t="s">
        <v>171</v>
      </c>
      <c r="D1426" s="38" t="s">
        <v>870</v>
      </c>
      <c r="E1426" s="38" t="str">
        <f aca="false">B1426&amp;"|"&amp;C1426</f>
        <v>57|U</v>
      </c>
      <c r="F1426" s="45" t="n">
        <f aca="false">INDEX('Emission Stepwise'!$H$2:$H$289,MATCH(E1426,'Emission Stepwise'!$C$2:$C$289,0))</f>
        <v>0.0099009900990099</v>
      </c>
      <c r="G1426" s="45" t="n">
        <f aca="false">INDEX(Background!$C$4:$C$7,MATCH(C1426,Background!$A$4:$A$7,0))</f>
        <v>0.212884169069555</v>
      </c>
      <c r="H1426" s="49" t="n">
        <f aca="false">LN(F1426/G1426)</f>
        <v>-3.0681134484666</v>
      </c>
    </row>
    <row r="1427" customFormat="false" ht="15" hidden="false" customHeight="true" outlineLevel="0" collapsed="false">
      <c r="A1427" s="38" t="s">
        <v>858</v>
      </c>
      <c r="B1427" s="38" t="n">
        <v>58</v>
      </c>
      <c r="C1427" s="38" t="s">
        <v>172</v>
      </c>
      <c r="D1427" s="38" t="s">
        <v>870</v>
      </c>
      <c r="E1427" s="38" t="str">
        <f aca="false">B1427&amp;"|"&amp;C1427</f>
        <v>58|A</v>
      </c>
      <c r="F1427" s="45" t="n">
        <f aca="false">INDEX('Emission Stepwise'!$H$2:$H$289,MATCH(E1427,'Emission Stepwise'!$C$2:$C$289,0))</f>
        <v>0.975369458128079</v>
      </c>
      <c r="G1427" s="45" t="n">
        <f aca="false">INDEX(Background!$C$4:$C$7,MATCH(C1427,Background!$A$4:$A$7,0))</f>
        <v>0.185174766157958</v>
      </c>
      <c r="H1427" s="49" t="n">
        <f aca="false">LN(F1427/G1427)</f>
        <v>1.66151626955281</v>
      </c>
    </row>
    <row r="1428" customFormat="false" ht="15" hidden="false" customHeight="true" outlineLevel="0" collapsed="false">
      <c r="A1428" s="38" t="s">
        <v>858</v>
      </c>
      <c r="B1428" s="38" t="n">
        <v>59</v>
      </c>
      <c r="C1428" s="38" t="s">
        <v>171</v>
      </c>
      <c r="D1428" s="38" t="s">
        <v>870</v>
      </c>
      <c r="E1428" s="38" t="str">
        <f aca="false">B1428&amp;"|"&amp;C1428</f>
        <v>59|U</v>
      </c>
      <c r="F1428" s="45" t="n">
        <f aca="false">INDEX('Emission Stepwise'!$H$2:$H$289,MATCH(E1428,'Emission Stepwise'!$C$2:$C$289,0))</f>
        <v>0.251231527093596</v>
      </c>
      <c r="G1428" s="45" t="n">
        <f aca="false">INDEX(Background!$C$4:$C$7,MATCH(C1428,Background!$A$4:$A$7,0))</f>
        <v>0.212884169069555</v>
      </c>
      <c r="H1428" s="49" t="n">
        <f aca="false">LN(F1428/G1428)</f>
        <v>0.165626722057194</v>
      </c>
    </row>
    <row r="1429" customFormat="false" ht="15" hidden="false" customHeight="true" outlineLevel="0" collapsed="false">
      <c r="A1429" s="38" t="s">
        <v>858</v>
      </c>
      <c r="B1429" s="38" t="n">
        <v>60</v>
      </c>
      <c r="C1429" s="38" t="s">
        <v>172</v>
      </c>
      <c r="D1429" s="38" t="s">
        <v>870</v>
      </c>
      <c r="E1429" s="38" t="str">
        <f aca="false">B1429&amp;"|"&amp;C1429</f>
        <v>60|A</v>
      </c>
      <c r="F1429" s="45" t="n">
        <f aca="false">INDEX('Emission Stepwise'!$H$2:$H$289,MATCH(E1429,'Emission Stepwise'!$C$2:$C$289,0))</f>
        <v>0.00985221674876847</v>
      </c>
      <c r="G1429" s="45" t="n">
        <f aca="false">INDEX(Background!$C$4:$C$7,MATCH(C1429,Background!$A$4:$A$7,0))</f>
        <v>0.185174766157958</v>
      </c>
      <c r="H1429" s="49" t="n">
        <f aca="false">LN(F1429/G1429)</f>
        <v>-2.93360358058178</v>
      </c>
    </row>
    <row r="1430" customFormat="false" ht="15" hidden="false" customHeight="true" outlineLevel="0" collapsed="false">
      <c r="A1430" s="38" t="s">
        <v>858</v>
      </c>
      <c r="B1430" s="38" t="n">
        <v>61</v>
      </c>
      <c r="C1430" s="38" t="s">
        <v>170</v>
      </c>
      <c r="D1430" s="38" t="s">
        <v>870</v>
      </c>
      <c r="E1430" s="38" t="str">
        <f aca="false">B1430&amp;"|"&amp;C1430</f>
        <v>61|C</v>
      </c>
      <c r="F1430" s="45" t="n">
        <f aca="false">INDEX('Emission Stepwise'!$H$2:$H$289,MATCH(E1430,'Emission Stepwise'!$C$2:$C$289,0))</f>
        <v>0.975369458128079</v>
      </c>
      <c r="G1430" s="45" t="n">
        <f aca="false">INDEX(Background!$C$4:$C$7,MATCH(C1430,Background!$A$4:$A$7,0))</f>
        <v>0.276812715380828</v>
      </c>
      <c r="H1430" s="49" t="n">
        <f aca="false">LN(F1430/G1430)</f>
        <v>1.25947517087698</v>
      </c>
    </row>
    <row r="1431" customFormat="false" ht="15" hidden="false" customHeight="true" outlineLevel="0" collapsed="false">
      <c r="A1431" s="38" t="s">
        <v>858</v>
      </c>
      <c r="B1431" s="38" t="n">
        <v>62</v>
      </c>
      <c r="C1431" s="38" t="s">
        <v>171</v>
      </c>
      <c r="D1431" s="38" t="s">
        <v>870</v>
      </c>
      <c r="E1431" s="38" t="str">
        <f aca="false">B1431&amp;"|"&amp;C1431</f>
        <v>62|U</v>
      </c>
      <c r="F1431" s="45" t="n">
        <f aca="false">INDEX('Emission Stepwise'!$H$2:$H$289,MATCH(E1431,'Emission Stepwise'!$C$2:$C$289,0))</f>
        <v>0.133004926108374</v>
      </c>
      <c r="G1431" s="45" t="n">
        <f aca="false">INDEX(Background!$C$4:$C$7,MATCH(C1431,Background!$A$4:$A$7,0))</f>
        <v>0.212884169069555</v>
      </c>
      <c r="H1431" s="49" t="n">
        <f aca="false">LN(F1431/G1431)</f>
        <v>-0.470362044662802</v>
      </c>
    </row>
    <row r="1432" customFormat="false" ht="15" hidden="false" customHeight="true" outlineLevel="0" collapsed="false">
      <c r="A1432" s="38" t="s">
        <v>858</v>
      </c>
      <c r="B1432" s="38" t="n">
        <v>63</v>
      </c>
      <c r="C1432" s="38" t="s">
        <v>172</v>
      </c>
      <c r="D1432" s="38" t="s">
        <v>870</v>
      </c>
      <c r="E1432" s="38" t="str">
        <f aca="false">B1432&amp;"|"&amp;C1432</f>
        <v>63|A</v>
      </c>
      <c r="F1432" s="45" t="n">
        <f aca="false">INDEX('Emission Stepwise'!$H$2:$H$289,MATCH(E1432,'Emission Stepwise'!$C$2:$C$289,0))</f>
        <v>0.113300492610837</v>
      </c>
      <c r="G1432" s="45" t="n">
        <f aca="false">INDEX(Background!$C$4:$C$7,MATCH(C1432,Background!$A$4:$A$7,0))</f>
        <v>0.185174766157958</v>
      </c>
      <c r="H1432" s="49" t="n">
        <f aca="false">LN(F1432/G1432)</f>
        <v>-0.491256545212573</v>
      </c>
    </row>
    <row r="1433" customFormat="false" ht="15" hidden="false" customHeight="true" outlineLevel="0" collapsed="false">
      <c r="A1433" s="38" t="s">
        <v>858</v>
      </c>
      <c r="B1433" s="38" t="n">
        <v>64</v>
      </c>
      <c r="C1433" s="38" t="s">
        <v>169</v>
      </c>
      <c r="D1433" s="38" t="s">
        <v>870</v>
      </c>
      <c r="E1433" s="38" t="str">
        <f aca="false">B1433&amp;"|"&amp;C1433</f>
        <v>64|G</v>
      </c>
      <c r="F1433" s="45" t="n">
        <f aca="false">INDEX('Emission Stepwise'!$H$2:$H$289,MATCH(E1433,'Emission Stepwise'!$C$2:$C$289,0))</f>
        <v>0.458128078817734</v>
      </c>
      <c r="G1433" s="45" t="n">
        <f aca="false">INDEX(Background!$C$4:$C$7,MATCH(C1433,Background!$A$4:$A$7,0))</f>
        <v>0.325128349391659</v>
      </c>
      <c r="H1433" s="49" t="n">
        <f aca="false">LN(F1433/G1433)</f>
        <v>0.342928767519618</v>
      </c>
    </row>
    <row r="1434" customFormat="false" ht="15" hidden="false" customHeight="true" outlineLevel="0" collapsed="false">
      <c r="A1434" s="38" t="s">
        <v>858</v>
      </c>
      <c r="B1434" s="38" t="n">
        <v>65</v>
      </c>
      <c r="C1434" s="38" t="s">
        <v>171</v>
      </c>
      <c r="D1434" s="38" t="s">
        <v>870</v>
      </c>
      <c r="E1434" s="38" t="str">
        <f aca="false">B1434&amp;"|"&amp;C1434</f>
        <v>65|U</v>
      </c>
      <c r="F1434" s="45" t="n">
        <f aca="false">INDEX('Emission Stepwise'!$H$2:$H$289,MATCH(E1434,'Emission Stepwise'!$C$2:$C$289,0))</f>
        <v>0.346534653465347</v>
      </c>
      <c r="G1434" s="45" t="n">
        <f aca="false">INDEX(Background!$C$4:$C$7,MATCH(C1434,Background!$A$4:$A$7,0))</f>
        <v>0.212884169069555</v>
      </c>
      <c r="H1434" s="49" t="n">
        <f aca="false">LN(F1434/G1434)</f>
        <v>0.48723461302281</v>
      </c>
    </row>
    <row r="1435" customFormat="false" ht="15" hidden="false" customHeight="true" outlineLevel="0" collapsed="false">
      <c r="A1435" s="38" t="s">
        <v>858</v>
      </c>
      <c r="B1435" s="38" t="n">
        <v>66</v>
      </c>
      <c r="C1435" s="38" t="s">
        <v>169</v>
      </c>
      <c r="D1435" s="38" t="s">
        <v>871</v>
      </c>
      <c r="E1435" s="38" t="str">
        <f aca="false">B1435&amp;"|"&amp;C1435</f>
        <v>66|G</v>
      </c>
      <c r="F1435" s="45" t="n">
        <f aca="false">INDEX('Emission Stepwise'!$H$2:$H$289,MATCH(E1435,'Emission Stepwise'!$C$2:$C$289,0))</f>
        <v>0.0147783251231527</v>
      </c>
      <c r="G1435" s="45" t="n">
        <f aca="false">INDEX(Background!$C$4:$C$7,MATCH(C1435,Background!$A$4:$A$7,0))</f>
        <v>0.325128349391659</v>
      </c>
      <c r="H1435" s="49" t="n">
        <f aca="false">LN(F1435/G1435)</f>
        <v>-3.09105843696553</v>
      </c>
    </row>
    <row r="1436" customFormat="false" ht="15" hidden="false" customHeight="true" outlineLevel="0" collapsed="false">
      <c r="A1436" s="38" t="s">
        <v>858</v>
      </c>
      <c r="B1436" s="38" t="n">
        <v>67</v>
      </c>
      <c r="C1436" s="38" t="s">
        <v>171</v>
      </c>
      <c r="D1436" s="38" t="s">
        <v>871</v>
      </c>
      <c r="E1436" s="38" t="str">
        <f aca="false">B1436&amp;"|"&amp;C1436</f>
        <v>67|U</v>
      </c>
      <c r="F1436" s="45" t="n">
        <f aca="false">INDEX('Emission Stepwise'!$H$2:$H$289,MATCH(E1436,'Emission Stepwise'!$C$2:$C$289,0))</f>
        <v>0.192118226600985</v>
      </c>
      <c r="G1436" s="45" t="n">
        <f aca="false">INDEX(Background!$C$4:$C$7,MATCH(C1436,Background!$A$4:$A$7,0))</f>
        <v>0.212884169069555</v>
      </c>
      <c r="H1436" s="49" t="n">
        <f aca="false">LN(F1436/G1436)</f>
        <v>-0.102637264537485</v>
      </c>
    </row>
    <row r="1437" customFormat="false" ht="15" hidden="false" customHeight="true" outlineLevel="0" collapsed="false">
      <c r="A1437" s="38" t="s">
        <v>858</v>
      </c>
      <c r="B1437" s="38" t="n">
        <v>68</v>
      </c>
      <c r="C1437" s="38" t="s">
        <v>172</v>
      </c>
      <c r="D1437" s="38" t="s">
        <v>871</v>
      </c>
      <c r="E1437" s="38" t="str">
        <f aca="false">B1437&amp;"|"&amp;C1437</f>
        <v>68|A</v>
      </c>
      <c r="F1437" s="45" t="n">
        <f aca="false">INDEX('Emission Stepwise'!$H$2:$H$289,MATCH(E1437,'Emission Stepwise'!$C$2:$C$289,0))</f>
        <v>0.0788177339901478</v>
      </c>
      <c r="G1437" s="45" t="n">
        <f aca="false">INDEX(Background!$C$4:$C$7,MATCH(C1437,Background!$A$4:$A$7,0))</f>
        <v>0.185174766157958</v>
      </c>
      <c r="H1437" s="49" t="n">
        <f aca="false">LN(F1437/G1437)</f>
        <v>-0.854162038901941</v>
      </c>
    </row>
    <row r="1438" customFormat="false" ht="15" hidden="false" customHeight="true" outlineLevel="0" collapsed="false">
      <c r="A1438" s="38" t="s">
        <v>858</v>
      </c>
      <c r="B1438" s="38" t="n">
        <v>69</v>
      </c>
      <c r="C1438" s="38" t="s">
        <v>169</v>
      </c>
      <c r="D1438" s="38" t="s">
        <v>871</v>
      </c>
      <c r="E1438" s="38" t="str">
        <f aca="false">B1438&amp;"|"&amp;C1438</f>
        <v>69|G</v>
      </c>
      <c r="F1438" s="45" t="n">
        <f aca="false">INDEX('Emission Stepwise'!$H$2:$H$289,MATCH(E1438,'Emission Stepwise'!$C$2:$C$289,0))</f>
        <v>0.349753694581281</v>
      </c>
      <c r="G1438" s="45" t="n">
        <f aca="false">INDEX(Background!$C$4:$C$7,MATCH(C1438,Background!$A$4:$A$7,0))</f>
        <v>0.325128349391659</v>
      </c>
      <c r="H1438" s="49" t="n">
        <f aca="false">LN(F1438/G1438)</f>
        <v>0.0730091514076772</v>
      </c>
    </row>
    <row r="1439" customFormat="false" ht="15" hidden="false" customHeight="true" outlineLevel="0" collapsed="false">
      <c r="A1439" s="38" t="s">
        <v>858</v>
      </c>
      <c r="B1439" s="38" t="n">
        <v>70</v>
      </c>
      <c r="C1439" s="38" t="s">
        <v>171</v>
      </c>
      <c r="D1439" s="38" t="s">
        <v>871</v>
      </c>
      <c r="E1439" s="38" t="str">
        <f aca="false">B1439&amp;"|"&amp;C1439</f>
        <v>70|U</v>
      </c>
      <c r="F1439" s="45" t="n">
        <f aca="false">INDEX('Emission Stepwise'!$H$2:$H$289,MATCH(E1439,'Emission Stepwise'!$C$2:$C$289,0))</f>
        <v>0.152709359605911</v>
      </c>
      <c r="G1439" s="45" t="n">
        <f aca="false">INDEX(Background!$C$4:$C$7,MATCH(C1439,Background!$A$4:$A$7,0))</f>
        <v>0.212884169069555</v>
      </c>
      <c r="H1439" s="49" t="n">
        <f aca="false">LN(F1439/G1439)</f>
        <v>-0.332211706181985</v>
      </c>
    </row>
    <row r="1440" customFormat="false" ht="15" hidden="false" customHeight="true" outlineLevel="0" collapsed="false">
      <c r="A1440" s="38" t="s">
        <v>858</v>
      </c>
      <c r="B1440" s="38" t="n">
        <v>71</v>
      </c>
      <c r="C1440" s="38" t="s">
        <v>169</v>
      </c>
      <c r="D1440" s="38" t="s">
        <v>871</v>
      </c>
      <c r="E1440" s="38" t="str">
        <f aca="false">B1440&amp;"|"&amp;C1440</f>
        <v>71|G</v>
      </c>
      <c r="F1440" s="45" t="n">
        <f aca="false">INDEX('Emission Stepwise'!$H$2:$H$289,MATCH(E1440,'Emission Stepwise'!$C$2:$C$289,0))</f>
        <v>0.408866995073892</v>
      </c>
      <c r="G1440" s="45" t="n">
        <f aca="false">INDEX(Background!$C$4:$C$7,MATCH(C1440,Background!$A$4:$A$7,0))</f>
        <v>0.325128349391659</v>
      </c>
      <c r="H1440" s="49" t="n">
        <f aca="false">LN(F1440/G1440)</f>
        <v>0.22916988216296</v>
      </c>
    </row>
    <row r="1441" customFormat="false" ht="15" hidden="false" customHeight="true" outlineLevel="0" collapsed="false">
      <c r="A1441" s="38" t="s">
        <v>858</v>
      </c>
      <c r="B1441" s="38" t="n">
        <v>72</v>
      </c>
      <c r="C1441" s="38" t="s">
        <v>172</v>
      </c>
      <c r="D1441" s="38" t="s">
        <v>871</v>
      </c>
      <c r="E1441" s="38" t="str">
        <f aca="false">B1441&amp;"|"&amp;C1441</f>
        <v>72|A</v>
      </c>
      <c r="F1441" s="45" t="n">
        <f aca="false">INDEX('Emission Stepwise'!$H$2:$H$289,MATCH(E1441,'Emission Stepwise'!$C$2:$C$289,0))</f>
        <v>0.083743842364532</v>
      </c>
      <c r="G1441" s="45" t="n">
        <f aca="false">INDEX(Background!$C$4:$C$7,MATCH(C1441,Background!$A$4:$A$7,0))</f>
        <v>0.185174766157958</v>
      </c>
      <c r="H1441" s="49" t="n">
        <f aca="false">LN(F1441/G1441)</f>
        <v>-0.793537417085506</v>
      </c>
    </row>
    <row r="1442" customFormat="false" ht="15" hidden="false" customHeight="true" outlineLevel="0" collapsed="false">
      <c r="A1442" s="38" t="s">
        <v>859</v>
      </c>
      <c r="B1442" s="38" t="n">
        <v>1</v>
      </c>
      <c r="C1442" s="38" t="s">
        <v>172</v>
      </c>
      <c r="D1442" s="38" t="s">
        <v>865</v>
      </c>
      <c r="E1442" s="38" t="str">
        <f aca="false">B1442&amp;"|"&amp;C1442</f>
        <v>1|A</v>
      </c>
      <c r="F1442" s="45" t="n">
        <f aca="false">INDEX('Emission Stepwise'!$H$2:$H$289,MATCH(E1442,'Emission Stepwise'!$C$2:$C$289,0))</f>
        <v>0.0689655172413793</v>
      </c>
      <c r="G1442" s="45" t="n">
        <f aca="false">INDEX(Background!$C$4:$C$7,MATCH(C1442,Background!$A$4:$A$7,0))</f>
        <v>0.185174766157958</v>
      </c>
      <c r="H1442" s="49" t="n">
        <f aca="false">LN(F1442/G1442)</f>
        <v>-0.987693431526464</v>
      </c>
    </row>
    <row r="1443" customFormat="false" ht="15" hidden="false" customHeight="true" outlineLevel="0" collapsed="false">
      <c r="A1443" s="38" t="s">
        <v>859</v>
      </c>
      <c r="B1443" s="38" t="n">
        <v>2</v>
      </c>
      <c r="C1443" s="38" t="s">
        <v>169</v>
      </c>
      <c r="D1443" s="38" t="s">
        <v>865</v>
      </c>
      <c r="E1443" s="38" t="str">
        <f aca="false">B1443&amp;"|"&amp;C1443</f>
        <v>2|G</v>
      </c>
      <c r="F1443" s="45" t="n">
        <f aca="false">INDEX('Emission Stepwise'!$H$2:$H$289,MATCH(E1443,'Emission Stepwise'!$C$2:$C$289,0))</f>
        <v>0.522167487684729</v>
      </c>
      <c r="G1443" s="45" t="n">
        <f aca="false">INDEX(Background!$C$4:$C$7,MATCH(C1443,Background!$A$4:$A$7,0))</f>
        <v>0.325128349391659</v>
      </c>
      <c r="H1443" s="49" t="n">
        <f aca="false">LN(F1443/G1443)</f>
        <v>0.473768368478429</v>
      </c>
    </row>
    <row r="1444" customFormat="false" ht="15" hidden="false" customHeight="true" outlineLevel="0" collapsed="false">
      <c r="A1444" s="38" t="s">
        <v>859</v>
      </c>
      <c r="B1444" s="38" t="n">
        <v>3</v>
      </c>
      <c r="C1444" s="38" t="s">
        <v>170</v>
      </c>
      <c r="D1444" s="38" t="s">
        <v>865</v>
      </c>
      <c r="E1444" s="38" t="str">
        <f aca="false">B1444&amp;"|"&amp;C1444</f>
        <v>3|C</v>
      </c>
      <c r="F1444" s="45" t="n">
        <f aca="false">INDEX('Emission Stepwise'!$H$2:$H$289,MATCH(E1444,'Emission Stepwise'!$C$2:$C$289,0))</f>
        <v>0.38423645320197</v>
      </c>
      <c r="G1444" s="45" t="n">
        <f aca="false">INDEX(Background!$C$4:$C$7,MATCH(C1444,Background!$A$4:$A$7,0))</f>
        <v>0.276812715380828</v>
      </c>
      <c r="H1444" s="49" t="n">
        <f aca="false">LN(F1444/G1444)</f>
        <v>0.327916966872035</v>
      </c>
    </row>
    <row r="1445" customFormat="false" ht="15" hidden="false" customHeight="true" outlineLevel="0" collapsed="false">
      <c r="A1445" s="38" t="s">
        <v>859</v>
      </c>
      <c r="B1445" s="38" t="n">
        <v>4</v>
      </c>
      <c r="C1445" s="38" t="s">
        <v>172</v>
      </c>
      <c r="D1445" s="38" t="s">
        <v>865</v>
      </c>
      <c r="E1445" s="38" t="str">
        <f aca="false">B1445&amp;"|"&amp;C1445</f>
        <v>4|A</v>
      </c>
      <c r="F1445" s="45" t="n">
        <f aca="false">INDEX('Emission Stepwise'!$H$2:$H$289,MATCH(E1445,'Emission Stepwise'!$C$2:$C$289,0))</f>
        <v>0.0788177339901478</v>
      </c>
      <c r="G1445" s="45" t="n">
        <f aca="false">INDEX(Background!$C$4:$C$7,MATCH(C1445,Background!$A$4:$A$7,0))</f>
        <v>0.185174766157958</v>
      </c>
      <c r="H1445" s="49" t="n">
        <f aca="false">LN(F1445/G1445)</f>
        <v>-0.854162038901941</v>
      </c>
    </row>
    <row r="1446" customFormat="false" ht="15" hidden="false" customHeight="true" outlineLevel="0" collapsed="false">
      <c r="A1446" s="38" t="s">
        <v>859</v>
      </c>
      <c r="B1446" s="38" t="n">
        <v>5</v>
      </c>
      <c r="C1446" s="38" t="s">
        <v>169</v>
      </c>
      <c r="D1446" s="38" t="s">
        <v>865</v>
      </c>
      <c r="E1446" s="38" t="str">
        <f aca="false">B1446&amp;"|"&amp;C1446</f>
        <v>5|G</v>
      </c>
      <c r="F1446" s="45" t="n">
        <f aca="false">INDEX('Emission Stepwise'!$H$2:$H$289,MATCH(E1446,'Emission Stepwise'!$C$2:$C$289,0))</f>
        <v>0.344827586206897</v>
      </c>
      <c r="G1446" s="45" t="n">
        <f aca="false">INDEX(Background!$C$4:$C$7,MATCH(C1446,Background!$A$4:$A$7,0))</f>
        <v>0.325128349391659</v>
      </c>
      <c r="H1446" s="49" t="n">
        <f aca="false">LN(F1446/G1446)</f>
        <v>0.0588245164157209</v>
      </c>
    </row>
    <row r="1447" customFormat="false" ht="15" hidden="false" customHeight="true" outlineLevel="0" collapsed="false">
      <c r="A1447" s="38" t="s">
        <v>859</v>
      </c>
      <c r="B1447" s="38" t="n">
        <v>6</v>
      </c>
      <c r="C1447" s="38" t="s">
        <v>169</v>
      </c>
      <c r="D1447" s="38" t="s">
        <v>865</v>
      </c>
      <c r="E1447" s="38" t="str">
        <f aca="false">B1447&amp;"|"&amp;C1447</f>
        <v>6|G</v>
      </c>
      <c r="F1447" s="45" t="n">
        <f aca="false">INDEX('Emission Stepwise'!$H$2:$H$289,MATCH(E1447,'Emission Stepwise'!$C$2:$C$289,0))</f>
        <v>0.241379310344828</v>
      </c>
      <c r="G1447" s="45" t="n">
        <f aca="false">INDEX(Background!$C$4:$C$7,MATCH(C1447,Background!$A$4:$A$7,0))</f>
        <v>0.325128349391659</v>
      </c>
      <c r="H1447" s="49" t="n">
        <f aca="false">LN(F1447/G1447)</f>
        <v>-0.297850427523012</v>
      </c>
    </row>
    <row r="1448" customFormat="false" ht="15" hidden="false" customHeight="true" outlineLevel="0" collapsed="false">
      <c r="A1448" s="38" t="s">
        <v>859</v>
      </c>
      <c r="B1448" s="38" t="n">
        <v>7</v>
      </c>
      <c r="C1448" s="38" t="s">
        <v>171</v>
      </c>
      <c r="D1448" s="38" t="s">
        <v>865</v>
      </c>
      <c r="E1448" s="38" t="str">
        <f aca="false">B1448&amp;"|"&amp;C1448</f>
        <v>7|U</v>
      </c>
      <c r="F1448" s="45" t="n">
        <f aca="false">INDEX('Emission Stepwise'!$H$2:$H$289,MATCH(E1448,'Emission Stepwise'!$C$2:$C$289,0))</f>
        <v>0.221674876847291</v>
      </c>
      <c r="G1448" s="45" t="n">
        <f aca="false">INDEX(Background!$C$4:$C$7,MATCH(C1448,Background!$A$4:$A$7,0))</f>
        <v>0.212884169069555</v>
      </c>
      <c r="H1448" s="49" t="n">
        <f aca="false">LN(F1448/G1448)</f>
        <v>0.0404635791031882</v>
      </c>
    </row>
    <row r="1449" customFormat="false" ht="15" hidden="false" customHeight="true" outlineLevel="0" collapsed="false">
      <c r="A1449" s="38" t="s">
        <v>859</v>
      </c>
      <c r="B1449" s="38" t="n">
        <v>8</v>
      </c>
      <c r="C1449" s="38" t="s">
        <v>171</v>
      </c>
      <c r="D1449" s="38" t="s">
        <v>866</v>
      </c>
      <c r="E1449" s="38" t="str">
        <f aca="false">B1449&amp;"|"&amp;C1449</f>
        <v>8|U</v>
      </c>
      <c r="F1449" s="45" t="n">
        <f aca="false">INDEX('Emission Stepwise'!$H$2:$H$289,MATCH(E1449,'Emission Stepwise'!$C$2:$C$289,0))</f>
        <v>0.975369458128079</v>
      </c>
      <c r="G1449" s="45" t="n">
        <f aca="false">INDEX(Background!$C$4:$C$7,MATCH(C1449,Background!$A$4:$A$7,0))</f>
        <v>0.212884169069555</v>
      </c>
      <c r="H1449" s="49" t="n">
        <f aca="false">LN(F1449/G1449)</f>
        <v>1.5220681200274</v>
      </c>
    </row>
    <row r="1450" customFormat="false" ht="15" hidden="false" customHeight="true" outlineLevel="0" collapsed="false">
      <c r="A1450" s="38" t="s">
        <v>859</v>
      </c>
      <c r="B1450" s="38" t="n">
        <v>9</v>
      </c>
      <c r="C1450" s="38" t="s">
        <v>172</v>
      </c>
      <c r="D1450" s="38" t="s">
        <v>867</v>
      </c>
      <c r="E1450" s="38" t="str">
        <f aca="false">B1450&amp;"|"&amp;C1450</f>
        <v>9|A</v>
      </c>
      <c r="F1450" s="45" t="n">
        <f aca="false">INDEX('Emission Stepwise'!$H$2:$H$289,MATCH(E1450,'Emission Stepwise'!$C$2:$C$289,0))</f>
        <v>0.648514851485149</v>
      </c>
      <c r="G1450" s="45" t="n">
        <f aca="false">INDEX(Background!$C$4:$C$7,MATCH(C1450,Background!$A$4:$A$7,0))</f>
        <v>0.185174766157958</v>
      </c>
      <c r="H1450" s="49" t="n">
        <f aca="false">LN(F1450/G1450)</f>
        <v>1.25338484370001</v>
      </c>
    </row>
    <row r="1451" customFormat="false" ht="15" hidden="false" customHeight="true" outlineLevel="0" collapsed="false">
      <c r="A1451" s="38" t="s">
        <v>859</v>
      </c>
      <c r="B1451" s="38" t="n">
        <v>10</v>
      </c>
      <c r="C1451" s="38" t="s">
        <v>169</v>
      </c>
      <c r="D1451" s="38" t="s">
        <v>867</v>
      </c>
      <c r="E1451" s="38" t="str">
        <f aca="false">B1451&amp;"|"&amp;C1451</f>
        <v>10|G</v>
      </c>
      <c r="F1451" s="45" t="n">
        <f aca="false">INDEX('Emission Stepwise'!$H$2:$H$289,MATCH(E1451,'Emission Stepwise'!$C$2:$C$289,0))</f>
        <v>0.945812807881773</v>
      </c>
      <c r="G1451" s="45" t="n">
        <f aca="false">INDEX(Background!$C$4:$C$7,MATCH(C1451,Background!$A$4:$A$7,0))</f>
        <v>0.325128349391659</v>
      </c>
      <c r="H1451" s="49" t="n">
        <f aca="false">LN(F1451/G1451)</f>
        <v>1.06782464639414</v>
      </c>
    </row>
    <row r="1452" customFormat="false" ht="15" hidden="false" customHeight="true" outlineLevel="0" collapsed="false">
      <c r="A1452" s="38" t="s">
        <v>859</v>
      </c>
      <c r="B1452" s="38" t="n">
        <v>11</v>
      </c>
      <c r="C1452" s="38" t="s">
        <v>169</v>
      </c>
      <c r="D1452" s="38" t="s">
        <v>867</v>
      </c>
      <c r="E1452" s="38" t="str">
        <f aca="false">B1452&amp;"|"&amp;C1452</f>
        <v>11|G</v>
      </c>
      <c r="F1452" s="45" t="n">
        <f aca="false">INDEX('Emission Stepwise'!$H$2:$H$289,MATCH(E1452,'Emission Stepwise'!$C$2:$C$289,0))</f>
        <v>0.0344827586206897</v>
      </c>
      <c r="G1452" s="45" t="n">
        <f aca="false">INDEX(Background!$C$4:$C$7,MATCH(C1452,Background!$A$4:$A$7,0))</f>
        <v>0.325128349391659</v>
      </c>
      <c r="H1452" s="49" t="n">
        <f aca="false">LN(F1452/G1452)</f>
        <v>-2.24376057657833</v>
      </c>
    </row>
    <row r="1453" customFormat="false" ht="15" hidden="false" customHeight="true" outlineLevel="0" collapsed="false">
      <c r="A1453" s="38" t="s">
        <v>859</v>
      </c>
      <c r="B1453" s="38" t="n">
        <v>12</v>
      </c>
      <c r="C1453" s="38" t="s">
        <v>171</v>
      </c>
      <c r="D1453" s="38" t="s">
        <v>867</v>
      </c>
      <c r="E1453" s="38" t="str">
        <f aca="false">B1453&amp;"|"&amp;C1453</f>
        <v>12|U</v>
      </c>
      <c r="F1453" s="45" t="n">
        <f aca="false">INDEX('Emission Stepwise'!$H$2:$H$289,MATCH(E1453,'Emission Stepwise'!$C$2:$C$289,0))</f>
        <v>0.591133004926108</v>
      </c>
      <c r="G1453" s="45" t="n">
        <f aca="false">INDEX(Background!$C$4:$C$7,MATCH(C1453,Background!$A$4:$A$7,0))</f>
        <v>0.212884169069555</v>
      </c>
      <c r="H1453" s="49" t="n">
        <f aca="false">LN(F1453/G1453)</f>
        <v>1.02129283211491</v>
      </c>
    </row>
    <row r="1454" customFormat="false" ht="15" hidden="false" customHeight="true" outlineLevel="0" collapsed="false">
      <c r="A1454" s="38" t="s">
        <v>859</v>
      </c>
      <c r="B1454" s="38" t="n">
        <v>13</v>
      </c>
      <c r="C1454" s="38" t="s">
        <v>171</v>
      </c>
      <c r="D1454" s="38" t="s">
        <v>867</v>
      </c>
      <c r="E1454" s="38" t="str">
        <f aca="false">B1454&amp;"|"&amp;C1454</f>
        <v>13|U</v>
      </c>
      <c r="F1454" s="45" t="n">
        <f aca="false">INDEX('Emission Stepwise'!$H$2:$H$289,MATCH(E1454,'Emission Stepwise'!$C$2:$C$289,0))</f>
        <v>0.192118226600985</v>
      </c>
      <c r="G1454" s="45" t="n">
        <f aca="false">INDEX(Background!$C$4:$C$7,MATCH(C1454,Background!$A$4:$A$7,0))</f>
        <v>0.212884169069555</v>
      </c>
      <c r="H1454" s="49" t="n">
        <f aca="false">LN(F1454/G1454)</f>
        <v>-0.102637264537485</v>
      </c>
    </row>
    <row r="1455" customFormat="false" ht="15" hidden="false" customHeight="true" outlineLevel="0" collapsed="false">
      <c r="A1455" s="38" t="s">
        <v>859</v>
      </c>
      <c r="B1455" s="38" t="n">
        <v>14</v>
      </c>
      <c r="C1455" s="38" t="s">
        <v>169</v>
      </c>
      <c r="D1455" s="38" t="s">
        <v>867</v>
      </c>
      <c r="E1455" s="38" t="str">
        <f aca="false">B1455&amp;"|"&amp;C1455</f>
        <v>14|G</v>
      </c>
      <c r="F1455" s="45" t="n">
        <f aca="false">INDEX('Emission Stepwise'!$H$2:$H$289,MATCH(E1455,'Emission Stepwise'!$C$2:$C$289,0))</f>
        <v>0.00985221674876847</v>
      </c>
      <c r="G1455" s="45" t="n">
        <f aca="false">INDEX(Background!$C$4:$C$7,MATCH(C1455,Background!$A$4:$A$7,0))</f>
        <v>0.325128349391659</v>
      </c>
      <c r="H1455" s="49" t="n">
        <f aca="false">LN(F1455/G1455)</f>
        <v>-3.49652354507369</v>
      </c>
    </row>
    <row r="1456" customFormat="false" ht="15" hidden="false" customHeight="true" outlineLevel="0" collapsed="false">
      <c r="A1456" s="38" t="s">
        <v>859</v>
      </c>
      <c r="B1456" s="38" t="n">
        <v>15</v>
      </c>
      <c r="C1456" s="38" t="s">
        <v>170</v>
      </c>
      <c r="D1456" s="38" t="s">
        <v>867</v>
      </c>
      <c r="E1456" s="38" t="str">
        <f aca="false">B1456&amp;"|"&amp;C1456</f>
        <v>15|C</v>
      </c>
      <c r="F1456" s="45" t="n">
        <f aca="false">INDEX('Emission Stepwise'!$H$2:$H$289,MATCH(E1456,'Emission Stepwise'!$C$2:$C$289,0))</f>
        <v>0.0148514851485149</v>
      </c>
      <c r="G1456" s="45" t="n">
        <f aca="false">INDEX(Background!$C$4:$C$7,MATCH(C1456,Background!$A$4:$A$7,0))</f>
        <v>0.276812715380828</v>
      </c>
      <c r="H1456" s="49" t="n">
        <f aca="false">LN(F1456/G1456)</f>
        <v>-2.92524128950886</v>
      </c>
    </row>
    <row r="1457" customFormat="false" ht="15" hidden="false" customHeight="true" outlineLevel="0" collapsed="false">
      <c r="A1457" s="38" t="s">
        <v>859</v>
      </c>
      <c r="B1457" s="38" t="n">
        <v>16</v>
      </c>
      <c r="C1457" s="38" t="s">
        <v>171</v>
      </c>
      <c r="D1457" s="38" t="s">
        <v>867</v>
      </c>
      <c r="E1457" s="38" t="str">
        <f aca="false">B1457&amp;"|"&amp;C1457</f>
        <v>16|U</v>
      </c>
      <c r="F1457" s="45" t="n">
        <f aca="false">INDEX('Emission Stepwise'!$H$2:$H$289,MATCH(E1457,'Emission Stepwise'!$C$2:$C$289,0))</f>
        <v>0.588235294117647</v>
      </c>
      <c r="G1457" s="45" t="n">
        <f aca="false">INDEX(Background!$C$4:$C$7,MATCH(C1457,Background!$A$4:$A$7,0))</f>
        <v>0.212884169069555</v>
      </c>
      <c r="H1457" s="49" t="n">
        <f aca="false">LN(F1457/G1457)</f>
        <v>1.01637881731249</v>
      </c>
    </row>
    <row r="1458" customFormat="false" ht="15" hidden="false" customHeight="true" outlineLevel="0" collapsed="false">
      <c r="A1458" s="38" t="s">
        <v>859</v>
      </c>
      <c r="B1458" s="38" t="n">
        <v>17</v>
      </c>
      <c r="C1458" s="38" t="s">
        <v>172</v>
      </c>
      <c r="D1458" s="38" t="s">
        <v>867</v>
      </c>
      <c r="E1458" s="38" t="str">
        <f aca="false">B1458&amp;"|"&amp;C1458</f>
        <v>17|A</v>
      </c>
      <c r="F1458" s="45" t="n">
        <f aca="false">INDEX('Emission Stepwise'!$H$2:$H$289,MATCH(E1458,'Emission Stepwise'!$C$2:$C$289,0))</f>
        <v>0.065</v>
      </c>
      <c r="G1458" s="45" t="n">
        <f aca="false">INDEX(Background!$C$4:$C$7,MATCH(C1458,Background!$A$4:$A$7,0))</f>
        <v>0.185174766157958</v>
      </c>
      <c r="H1458" s="49" t="n">
        <f aca="false">LN(F1458/G1458)</f>
        <v>-1.04691279118643</v>
      </c>
    </row>
    <row r="1459" customFormat="false" ht="15" hidden="false" customHeight="true" outlineLevel="0" collapsed="false">
      <c r="A1459" s="38" t="s">
        <v>859</v>
      </c>
      <c r="B1459" s="38" t="n">
        <v>18</v>
      </c>
      <c r="C1459" s="38" t="s">
        <v>169</v>
      </c>
      <c r="D1459" s="38" t="s">
        <v>867</v>
      </c>
      <c r="E1459" s="38" t="str">
        <f aca="false">B1459&amp;"|"&amp;C1459</f>
        <v>18|G</v>
      </c>
      <c r="F1459" s="45" t="n">
        <f aca="false">INDEX('Emission Stepwise'!$H$2:$H$289,MATCH(E1459,'Emission Stepwise'!$C$2:$C$289,0))</f>
        <v>0.980295566502463</v>
      </c>
      <c r="G1459" s="45" t="n">
        <f aca="false">INDEX(Background!$C$4:$C$7,MATCH(C1459,Background!$A$4:$A$7,0))</f>
        <v>0.325128349391659</v>
      </c>
      <c r="H1459" s="49" t="n">
        <f aca="false">LN(F1459/G1459)</f>
        <v>1.10363409909085</v>
      </c>
    </row>
    <row r="1460" customFormat="false" ht="15" hidden="false" customHeight="true" outlineLevel="0" collapsed="false">
      <c r="A1460" s="38" t="s">
        <v>859</v>
      </c>
      <c r="B1460" s="38" t="n">
        <v>19</v>
      </c>
      <c r="C1460" s="38" t="s">
        <v>169</v>
      </c>
      <c r="D1460" s="38" t="s">
        <v>867</v>
      </c>
      <c r="E1460" s="38" t="str">
        <f aca="false">B1460&amp;"|"&amp;C1460</f>
        <v>19|G</v>
      </c>
      <c r="F1460" s="45" t="n">
        <f aca="false">INDEX('Emission Stepwise'!$H$2:$H$289,MATCH(E1460,'Emission Stepwise'!$C$2:$C$289,0))</f>
        <v>0.970443349753695</v>
      </c>
      <c r="G1460" s="45" t="n">
        <f aca="false">INDEX(Background!$C$4:$C$7,MATCH(C1460,Background!$A$4:$A$7,0))</f>
        <v>0.325128349391659</v>
      </c>
      <c r="H1460" s="49" t="n">
        <f aca="false">LN(F1460/G1460)</f>
        <v>1.09353300310435</v>
      </c>
    </row>
    <row r="1461" customFormat="false" ht="15" hidden="false" customHeight="true" outlineLevel="0" collapsed="false">
      <c r="A1461" s="38" t="s">
        <v>859</v>
      </c>
      <c r="B1461" s="38" t="n">
        <v>20</v>
      </c>
      <c r="C1461" s="38" t="s">
        <v>172</v>
      </c>
      <c r="D1461" s="38" t="s">
        <v>867</v>
      </c>
      <c r="E1461" s="38" t="str">
        <f aca="false">B1461&amp;"|"&amp;C1461</f>
        <v>20|A</v>
      </c>
      <c r="F1461" s="45" t="n">
        <f aca="false">INDEX('Emission Stepwise'!$H$2:$H$289,MATCH(E1461,'Emission Stepwise'!$C$2:$C$289,0))</f>
        <v>0.0891089108910891</v>
      </c>
      <c r="G1461" s="45" t="n">
        <f aca="false">INDEX(Background!$C$4:$C$7,MATCH(C1461,Background!$A$4:$A$7,0))</f>
        <v>0.185174766157958</v>
      </c>
      <c r="H1461" s="49" t="n">
        <f aca="false">LN(F1461/G1461)</f>
        <v>-0.731440721604975</v>
      </c>
    </row>
    <row r="1462" customFormat="false" ht="15" hidden="false" customHeight="true" outlineLevel="0" collapsed="false">
      <c r="A1462" s="38" t="s">
        <v>859</v>
      </c>
      <c r="B1462" s="38" t="n">
        <v>21</v>
      </c>
      <c r="C1462" s="38" t="s">
        <v>172</v>
      </c>
      <c r="D1462" s="38" t="s">
        <v>867</v>
      </c>
      <c r="E1462" s="38" t="str">
        <f aca="false">B1462&amp;"|"&amp;C1462</f>
        <v>21|A</v>
      </c>
      <c r="F1462" s="45" t="n">
        <f aca="false">INDEX('Emission Stepwise'!$H$2:$H$289,MATCH(E1462,'Emission Stepwise'!$C$2:$C$289,0))</f>
        <v>0.881773399014778</v>
      </c>
      <c r="G1462" s="45" t="n">
        <f aca="false">INDEX(Background!$C$4:$C$7,MATCH(C1462,Background!$A$4:$A$7,0))</f>
        <v>0.185174766157958</v>
      </c>
      <c r="H1462" s="49" t="n">
        <f aca="false">LN(F1462/G1462)</f>
        <v>1.56063504469903</v>
      </c>
    </row>
    <row r="1463" customFormat="false" ht="15" hidden="false" customHeight="true" outlineLevel="0" collapsed="false">
      <c r="A1463" s="38" t="s">
        <v>859</v>
      </c>
      <c r="B1463" s="38" t="n">
        <v>22</v>
      </c>
      <c r="C1463" s="38" t="s">
        <v>172</v>
      </c>
      <c r="D1463" s="38" t="s">
        <v>867</v>
      </c>
      <c r="E1463" s="38" t="str">
        <f aca="false">B1463&amp;"|"&amp;C1463</f>
        <v>22|A</v>
      </c>
      <c r="F1463" s="45" t="n">
        <f aca="false">INDEX('Emission Stepwise'!$H$2:$H$289,MATCH(E1463,'Emission Stepwise'!$C$2:$C$289,0))</f>
        <v>0.206896551724138</v>
      </c>
      <c r="G1463" s="45" t="n">
        <f aca="false">INDEX(Background!$C$4:$C$7,MATCH(C1463,Background!$A$4:$A$7,0))</f>
        <v>0.185174766157958</v>
      </c>
      <c r="H1463" s="49" t="n">
        <f aca="false">LN(F1463/G1463)</f>
        <v>0.110918857141646</v>
      </c>
    </row>
    <row r="1464" customFormat="false" ht="15" hidden="false" customHeight="true" outlineLevel="0" collapsed="false">
      <c r="A1464" s="38" t="s">
        <v>859</v>
      </c>
      <c r="B1464" s="38" t="n">
        <v>23</v>
      </c>
      <c r="C1464" s="38" t="s">
        <v>172</v>
      </c>
      <c r="D1464" s="38" t="s">
        <v>867</v>
      </c>
      <c r="E1464" s="38" t="str">
        <f aca="false">B1464&amp;"|"&amp;C1464</f>
        <v>23|A</v>
      </c>
      <c r="F1464" s="45" t="n">
        <f aca="false">INDEX('Emission Stepwise'!$H$2:$H$289,MATCH(E1464,'Emission Stepwise'!$C$2:$C$289,0))</f>
        <v>0.596059113300493</v>
      </c>
      <c r="G1464" s="45" t="n">
        <f aca="false">INDEX(Background!$C$4:$C$7,MATCH(C1464,Background!$A$4:$A$7,0))</f>
        <v>0.185174766157958</v>
      </c>
      <c r="H1464" s="49" t="n">
        <f aca="false">LN(F1464/G1464)</f>
        <v>1.16903978445502</v>
      </c>
    </row>
    <row r="1465" customFormat="false" ht="15" hidden="false" customHeight="true" outlineLevel="0" collapsed="false">
      <c r="A1465" s="38" t="s">
        <v>859</v>
      </c>
      <c r="B1465" s="38" t="n">
        <v>24</v>
      </c>
      <c r="C1465" s="38" t="s">
        <v>171</v>
      </c>
      <c r="D1465" s="38" t="s">
        <v>867</v>
      </c>
      <c r="E1465" s="38" t="str">
        <f aca="false">B1465&amp;"|"&amp;C1465</f>
        <v>24|U</v>
      </c>
      <c r="F1465" s="45" t="n">
        <f aca="false">INDEX('Emission Stepwise'!$H$2:$H$289,MATCH(E1465,'Emission Stepwise'!$C$2:$C$289,0))</f>
        <v>0.0394088669950739</v>
      </c>
      <c r="G1465" s="45" t="n">
        <f aca="false">INDEX(Background!$C$4:$C$7,MATCH(C1465,Background!$A$4:$A$7,0))</f>
        <v>0.212884169069555</v>
      </c>
      <c r="H1465" s="49" t="n">
        <f aca="false">LN(F1465/G1465)</f>
        <v>-1.6867573689873</v>
      </c>
    </row>
    <row r="1466" customFormat="false" ht="15" hidden="false" customHeight="true" outlineLevel="0" collapsed="false">
      <c r="A1466" s="38" t="s">
        <v>859</v>
      </c>
      <c r="B1466" s="38" t="n">
        <v>25</v>
      </c>
      <c r="C1466" s="38" t="s">
        <v>171</v>
      </c>
      <c r="D1466" s="38" t="s">
        <v>867</v>
      </c>
      <c r="E1466" s="38" t="str">
        <f aca="false">B1466&amp;"|"&amp;C1466</f>
        <v>25|U</v>
      </c>
      <c r="F1466" s="45" t="n">
        <f aca="false">INDEX('Emission Stepwise'!$H$2:$H$289,MATCH(E1466,'Emission Stepwise'!$C$2:$C$289,0))</f>
        <v>0.0738916256157636</v>
      </c>
      <c r="G1466" s="45" t="n">
        <f aca="false">INDEX(Background!$C$4:$C$7,MATCH(C1466,Background!$A$4:$A$7,0))</f>
        <v>0.212884169069555</v>
      </c>
      <c r="H1466" s="49" t="n">
        <f aca="false">LN(F1466/G1466)</f>
        <v>-1.05814870956492</v>
      </c>
    </row>
    <row r="1467" customFormat="false" ht="15" hidden="false" customHeight="true" outlineLevel="0" collapsed="false">
      <c r="A1467" s="38" t="s">
        <v>859</v>
      </c>
      <c r="B1467" s="38" t="n">
        <v>26</v>
      </c>
      <c r="C1467" s="38" t="s">
        <v>171</v>
      </c>
      <c r="D1467" s="38" t="s">
        <v>868</v>
      </c>
      <c r="E1467" s="38" t="str">
        <f aca="false">B1467&amp;"|"&amp;C1467</f>
        <v>26|U</v>
      </c>
      <c r="F1467" s="45" t="n">
        <f aca="false">INDEX('Emission Stepwise'!$H$2:$H$289,MATCH(E1467,'Emission Stepwise'!$C$2:$C$289,0))</f>
        <v>0.0591133004926108</v>
      </c>
      <c r="G1467" s="45" t="n">
        <f aca="false">INDEX(Background!$C$4:$C$7,MATCH(C1467,Background!$A$4:$A$7,0))</f>
        <v>0.212884169069555</v>
      </c>
      <c r="H1467" s="49" t="n">
        <f aca="false">LN(F1467/G1467)</f>
        <v>-1.28129226087913</v>
      </c>
    </row>
    <row r="1468" customFormat="false" ht="15" hidden="false" customHeight="true" outlineLevel="0" collapsed="false">
      <c r="A1468" s="38" t="s">
        <v>859</v>
      </c>
      <c r="B1468" s="38" t="n">
        <v>27</v>
      </c>
      <c r="C1468" s="38" t="s">
        <v>171</v>
      </c>
      <c r="D1468" s="38" t="s">
        <v>868</v>
      </c>
      <c r="E1468" s="38" t="str">
        <f aca="false">B1468&amp;"|"&amp;C1468</f>
        <v>27|U</v>
      </c>
      <c r="F1468" s="45" t="n">
        <f aca="false">INDEX('Emission Stepwise'!$H$2:$H$289,MATCH(E1468,'Emission Stepwise'!$C$2:$C$289,0))</f>
        <v>0.25615763546798</v>
      </c>
      <c r="G1468" s="45" t="n">
        <f aca="false">INDEX(Background!$C$4:$C$7,MATCH(C1468,Background!$A$4:$A$7,0))</f>
        <v>0.212884169069555</v>
      </c>
      <c r="H1468" s="49" t="n">
        <f aca="false">LN(F1468/G1468)</f>
        <v>0.185044807914296</v>
      </c>
    </row>
    <row r="1469" customFormat="false" ht="15" hidden="false" customHeight="true" outlineLevel="0" collapsed="false">
      <c r="A1469" s="38" t="s">
        <v>859</v>
      </c>
      <c r="B1469" s="38" t="n">
        <v>28</v>
      </c>
      <c r="C1469" s="38" t="s">
        <v>172</v>
      </c>
      <c r="D1469" s="38" t="s">
        <v>868</v>
      </c>
      <c r="E1469" s="38" t="str">
        <f aca="false">B1469&amp;"|"&amp;C1469</f>
        <v>28|A</v>
      </c>
      <c r="F1469" s="45" t="n">
        <f aca="false">INDEX('Emission Stepwise'!$H$2:$H$289,MATCH(E1469,'Emission Stepwise'!$C$2:$C$289,0))</f>
        <v>0.123152709359606</v>
      </c>
      <c r="G1469" s="45" t="n">
        <f aca="false">INDEX(Background!$C$4:$C$7,MATCH(C1469,Background!$A$4:$A$7,0))</f>
        <v>0.185174766157958</v>
      </c>
      <c r="H1469" s="49" t="n">
        <f aca="false">LN(F1469/G1469)</f>
        <v>-0.407874936273521</v>
      </c>
    </row>
    <row r="1470" customFormat="false" ht="15" hidden="false" customHeight="true" outlineLevel="0" collapsed="false">
      <c r="A1470" s="38" t="s">
        <v>859</v>
      </c>
      <c r="B1470" s="38" t="n">
        <v>29</v>
      </c>
      <c r="C1470" s="38" t="s">
        <v>172</v>
      </c>
      <c r="D1470" s="38" t="s">
        <v>868</v>
      </c>
      <c r="E1470" s="38" t="str">
        <f aca="false">B1470&amp;"|"&amp;C1470</f>
        <v>29|A</v>
      </c>
      <c r="F1470" s="45" t="n">
        <f aca="false">INDEX('Emission Stepwise'!$H$2:$H$289,MATCH(E1470,'Emission Stepwise'!$C$2:$C$289,0))</f>
        <v>0.16256157635468</v>
      </c>
      <c r="G1470" s="45" t="n">
        <f aca="false">INDEX(Background!$C$4:$C$7,MATCH(C1470,Background!$A$4:$A$7,0))</f>
        <v>0.185174766157958</v>
      </c>
      <c r="H1470" s="49" t="n">
        <f aca="false">LN(F1470/G1470)</f>
        <v>-0.130243199675242</v>
      </c>
    </row>
    <row r="1471" customFormat="false" ht="15" hidden="false" customHeight="true" outlineLevel="0" collapsed="false">
      <c r="A1471" s="38" t="s">
        <v>859</v>
      </c>
      <c r="B1471" s="38" t="n">
        <v>30</v>
      </c>
      <c r="C1471" s="38" t="s">
        <v>171</v>
      </c>
      <c r="D1471" s="38" t="s">
        <v>868</v>
      </c>
      <c r="E1471" s="38" t="str">
        <f aca="false">B1471&amp;"|"&amp;C1471</f>
        <v>30|U</v>
      </c>
      <c r="F1471" s="45" t="n">
        <f aca="false">INDEX('Emission Stepwise'!$H$2:$H$289,MATCH(E1471,'Emission Stepwise'!$C$2:$C$289,0))</f>
        <v>0.0394088669950739</v>
      </c>
      <c r="G1471" s="45" t="n">
        <f aca="false">INDEX(Background!$C$4:$C$7,MATCH(C1471,Background!$A$4:$A$7,0))</f>
        <v>0.212884169069555</v>
      </c>
      <c r="H1471" s="49" t="n">
        <f aca="false">LN(F1471/G1471)</f>
        <v>-1.6867573689873</v>
      </c>
    </row>
    <row r="1472" customFormat="false" ht="15" hidden="false" customHeight="true" outlineLevel="0" collapsed="false">
      <c r="A1472" s="38" t="s">
        <v>859</v>
      </c>
      <c r="B1472" s="38" t="n">
        <v>31</v>
      </c>
      <c r="C1472" s="38" t="s">
        <v>170</v>
      </c>
      <c r="D1472" s="38" t="s">
        <v>868</v>
      </c>
      <c r="E1472" s="38" t="str">
        <f aca="false">B1472&amp;"|"&amp;C1472</f>
        <v>31|C</v>
      </c>
      <c r="F1472" s="45" t="n">
        <f aca="false">INDEX('Emission Stepwise'!$H$2:$H$289,MATCH(E1472,'Emission Stepwise'!$C$2:$C$289,0))</f>
        <v>0.359605911330049</v>
      </c>
      <c r="G1472" s="45" t="n">
        <f aca="false">INDEX(Background!$C$4:$C$7,MATCH(C1472,Background!$A$4:$A$7,0))</f>
        <v>0.276812715380828</v>
      </c>
      <c r="H1472" s="49" t="n">
        <f aca="false">LN(F1472/G1472)</f>
        <v>0.261667581330834</v>
      </c>
    </row>
    <row r="1473" customFormat="false" ht="15" hidden="false" customHeight="true" outlineLevel="0" collapsed="false">
      <c r="A1473" s="38" t="s">
        <v>859</v>
      </c>
      <c r="B1473" s="38" t="n">
        <v>32</v>
      </c>
      <c r="C1473" s="38" t="s">
        <v>171</v>
      </c>
      <c r="D1473" s="38" t="s">
        <v>868</v>
      </c>
      <c r="E1473" s="38" t="str">
        <f aca="false">B1473&amp;"|"&amp;C1473</f>
        <v>32|U</v>
      </c>
      <c r="F1473" s="45" t="n">
        <f aca="false">INDEX('Emission Stepwise'!$H$2:$H$289,MATCH(E1473,'Emission Stepwise'!$C$2:$C$289,0))</f>
        <v>0.295566502463054</v>
      </c>
      <c r="G1473" s="45" t="n">
        <f aca="false">INDEX(Background!$C$4:$C$7,MATCH(C1473,Background!$A$4:$A$7,0))</f>
        <v>0.212884169069555</v>
      </c>
      <c r="H1473" s="49" t="n">
        <f aca="false">LN(F1473/G1473)</f>
        <v>0.328145651554969</v>
      </c>
    </row>
    <row r="1474" customFormat="false" ht="15" hidden="false" customHeight="true" outlineLevel="0" collapsed="false">
      <c r="A1474" s="38" t="s">
        <v>859</v>
      </c>
      <c r="B1474" s="38" t="n">
        <v>33</v>
      </c>
      <c r="C1474" s="38" t="s">
        <v>170</v>
      </c>
      <c r="D1474" s="38" t="s">
        <v>868</v>
      </c>
      <c r="E1474" s="38" t="str">
        <f aca="false">B1474&amp;"|"&amp;C1474</f>
        <v>33|C</v>
      </c>
      <c r="F1474" s="45" t="n">
        <f aca="false">INDEX('Emission Stepwise'!$H$2:$H$289,MATCH(E1474,'Emission Stepwise'!$C$2:$C$289,0))</f>
        <v>0.00985221674876847</v>
      </c>
      <c r="G1474" s="45" t="n">
        <f aca="false">INDEX(Background!$C$4:$C$7,MATCH(C1474,Background!$A$4:$A$7,0))</f>
        <v>0.276812715380828</v>
      </c>
      <c r="H1474" s="49" t="n">
        <f aca="false">LN(F1474/G1474)</f>
        <v>-3.33564467925761</v>
      </c>
    </row>
    <row r="1475" customFormat="false" ht="15" hidden="false" customHeight="true" outlineLevel="0" collapsed="false">
      <c r="A1475" s="38" t="s">
        <v>859</v>
      </c>
      <c r="B1475" s="38" t="n">
        <v>34</v>
      </c>
      <c r="C1475" s="38" t="s">
        <v>170</v>
      </c>
      <c r="D1475" s="38" t="s">
        <v>868</v>
      </c>
      <c r="E1475" s="38" t="str">
        <f aca="false">B1475&amp;"|"&amp;C1475</f>
        <v>34|C</v>
      </c>
      <c r="F1475" s="45" t="n">
        <f aca="false">INDEX('Emission Stepwise'!$H$2:$H$289,MATCH(E1475,'Emission Stepwise'!$C$2:$C$289,0))</f>
        <v>0.330049261083744</v>
      </c>
      <c r="G1475" s="45" t="n">
        <f aca="false">INDEX(Background!$C$4:$C$7,MATCH(C1475,Background!$A$4:$A$7,0))</f>
        <v>0.276812715380828</v>
      </c>
      <c r="H1475" s="49" t="n">
        <f aca="false">LN(F1475/G1475)</f>
        <v>0.175900759573409</v>
      </c>
    </row>
    <row r="1476" customFormat="false" ht="15" hidden="false" customHeight="true" outlineLevel="0" collapsed="false">
      <c r="A1476" s="38" t="s">
        <v>859</v>
      </c>
      <c r="B1476" s="38" t="n">
        <v>35</v>
      </c>
      <c r="C1476" s="38" t="s">
        <v>171</v>
      </c>
      <c r="D1476" s="38" t="s">
        <v>868</v>
      </c>
      <c r="E1476" s="38" t="str">
        <f aca="false">B1476&amp;"|"&amp;C1476</f>
        <v>35|U</v>
      </c>
      <c r="F1476" s="45" t="n">
        <f aca="false">INDEX('Emission Stepwise'!$H$2:$H$289,MATCH(E1476,'Emission Stepwise'!$C$2:$C$289,0))</f>
        <v>0.206896551724138</v>
      </c>
      <c r="G1476" s="45" t="n">
        <f aca="false">INDEX(Background!$C$4:$C$7,MATCH(C1476,Background!$A$4:$A$7,0))</f>
        <v>0.212884169069555</v>
      </c>
      <c r="H1476" s="49" t="n">
        <f aca="false">LN(F1476/G1476)</f>
        <v>-0.0285292923837632</v>
      </c>
    </row>
    <row r="1477" customFormat="false" ht="15" hidden="false" customHeight="true" outlineLevel="0" collapsed="false">
      <c r="A1477" s="38" t="s">
        <v>859</v>
      </c>
      <c r="B1477" s="38" t="n">
        <v>36</v>
      </c>
      <c r="C1477" s="38" t="s">
        <v>172</v>
      </c>
      <c r="D1477" s="38" t="s">
        <v>868</v>
      </c>
      <c r="E1477" s="38" t="str">
        <f aca="false">B1477&amp;"|"&amp;C1477</f>
        <v>36|A</v>
      </c>
      <c r="F1477" s="45" t="n">
        <f aca="false">INDEX('Emission Stepwise'!$H$2:$H$289,MATCH(E1477,'Emission Stepwise'!$C$2:$C$289,0))</f>
        <v>0.216748768472906</v>
      </c>
      <c r="G1477" s="45" t="n">
        <f aca="false">INDEX(Background!$C$4:$C$7,MATCH(C1477,Background!$A$4:$A$7,0))</f>
        <v>0.185174766157958</v>
      </c>
      <c r="H1477" s="49" t="n">
        <f aca="false">LN(F1477/G1477)</f>
        <v>0.157438872776539</v>
      </c>
    </row>
    <row r="1478" customFormat="false" ht="15" hidden="false" customHeight="true" outlineLevel="0" collapsed="false">
      <c r="A1478" s="38" t="s">
        <v>859</v>
      </c>
      <c r="B1478" s="38" t="n">
        <v>37</v>
      </c>
      <c r="C1478" s="38" t="s">
        <v>172</v>
      </c>
      <c r="D1478" s="38" t="s">
        <v>868</v>
      </c>
      <c r="E1478" s="38" t="str">
        <f aca="false">B1478&amp;"|"&amp;C1478</f>
        <v>37|A</v>
      </c>
      <c r="F1478" s="45" t="n">
        <f aca="false">INDEX('Emission Stepwise'!$H$2:$H$289,MATCH(E1478,'Emission Stepwise'!$C$2:$C$289,0))</f>
        <v>0.74384236453202</v>
      </c>
      <c r="G1478" s="45" t="n">
        <f aca="false">INDEX(Background!$C$4:$C$7,MATCH(C1478,Background!$A$4:$A$7,0))</f>
        <v>0.185174766157958</v>
      </c>
      <c r="H1478" s="49" t="n">
        <f aca="false">LN(F1478/G1478)</f>
        <v>1.3905290756732</v>
      </c>
    </row>
    <row r="1479" customFormat="false" ht="15" hidden="false" customHeight="true" outlineLevel="0" collapsed="false">
      <c r="A1479" s="38" t="s">
        <v>859</v>
      </c>
      <c r="B1479" s="38" t="n">
        <v>38</v>
      </c>
      <c r="C1479" s="38" t="s">
        <v>169</v>
      </c>
      <c r="D1479" s="38" t="s">
        <v>868</v>
      </c>
      <c r="E1479" s="38" t="str">
        <f aca="false">B1479&amp;"|"&amp;C1479</f>
        <v>38|G</v>
      </c>
      <c r="F1479" s="45" t="n">
        <f aca="false">INDEX('Emission Stepwise'!$H$2:$H$289,MATCH(E1479,'Emission Stepwise'!$C$2:$C$289,0))</f>
        <v>0.00985221674876847</v>
      </c>
      <c r="G1479" s="45" t="n">
        <f aca="false">INDEX(Background!$C$4:$C$7,MATCH(C1479,Background!$A$4:$A$7,0))</f>
        <v>0.325128349391659</v>
      </c>
      <c r="H1479" s="49" t="n">
        <f aca="false">LN(F1479/G1479)</f>
        <v>-3.49652354507369</v>
      </c>
    </row>
    <row r="1480" customFormat="false" ht="15" hidden="false" customHeight="true" outlineLevel="0" collapsed="false">
      <c r="A1480" s="38" t="s">
        <v>859</v>
      </c>
      <c r="B1480" s="38" t="n">
        <v>39</v>
      </c>
      <c r="C1480" s="38" t="s">
        <v>169</v>
      </c>
      <c r="D1480" s="38" t="s">
        <v>868</v>
      </c>
      <c r="E1480" s="38" t="str">
        <f aca="false">B1480&amp;"|"&amp;C1480</f>
        <v>39|G</v>
      </c>
      <c r="F1480" s="45" t="n">
        <f aca="false">INDEX('Emission Stepwise'!$H$2:$H$289,MATCH(E1480,'Emission Stepwise'!$C$2:$C$289,0))</f>
        <v>0.359605911330049</v>
      </c>
      <c r="G1480" s="45" t="n">
        <f aca="false">INDEX(Background!$C$4:$C$7,MATCH(C1480,Background!$A$4:$A$7,0))</f>
        <v>0.325128349391659</v>
      </c>
      <c r="H1480" s="49" t="n">
        <f aca="false">LN(F1480/G1480)</f>
        <v>0.100788715514753</v>
      </c>
    </row>
    <row r="1481" customFormat="false" ht="15" hidden="false" customHeight="true" outlineLevel="0" collapsed="false">
      <c r="A1481" s="38" t="s">
        <v>859</v>
      </c>
      <c r="B1481" s="38" t="n">
        <v>40</v>
      </c>
      <c r="C1481" s="38" t="s">
        <v>169</v>
      </c>
      <c r="D1481" s="38" t="s">
        <v>868</v>
      </c>
      <c r="E1481" s="38" t="str">
        <f aca="false">B1481&amp;"|"&amp;C1481</f>
        <v>40|G</v>
      </c>
      <c r="F1481" s="45" t="n">
        <f aca="false">INDEX('Emission Stepwise'!$H$2:$H$289,MATCH(E1481,'Emission Stepwise'!$C$2:$C$289,0))</f>
        <v>0.236453201970443</v>
      </c>
      <c r="G1481" s="45" t="n">
        <f aca="false">INDEX(Background!$C$4:$C$7,MATCH(C1481,Background!$A$4:$A$7,0))</f>
        <v>0.325128349391659</v>
      </c>
      <c r="H1481" s="49" t="n">
        <f aca="false">LN(F1481/G1481)</f>
        <v>-0.318469714725747</v>
      </c>
    </row>
    <row r="1482" customFormat="false" ht="15" hidden="false" customHeight="true" outlineLevel="0" collapsed="false">
      <c r="A1482" s="38" t="s">
        <v>859</v>
      </c>
      <c r="B1482" s="38" t="n">
        <v>41</v>
      </c>
      <c r="C1482" s="38" t="s">
        <v>171</v>
      </c>
      <c r="D1482" s="38" t="s">
        <v>868</v>
      </c>
      <c r="E1482" s="38" t="str">
        <f aca="false">B1482&amp;"|"&amp;C1482</f>
        <v>41|U</v>
      </c>
      <c r="F1482" s="45" t="n">
        <f aca="false">INDEX('Emission Stepwise'!$H$2:$H$289,MATCH(E1482,'Emission Stepwise'!$C$2:$C$289,0))</f>
        <v>0.167487684729064</v>
      </c>
      <c r="G1482" s="45" t="n">
        <f aca="false">INDEX(Background!$C$4:$C$7,MATCH(C1482,Background!$A$4:$A$7,0))</f>
        <v>0.212884169069555</v>
      </c>
      <c r="H1482" s="49" t="n">
        <f aca="false">LN(F1482/G1482)</f>
        <v>-0.23983838605097</v>
      </c>
    </row>
    <row r="1483" customFormat="false" ht="15" hidden="false" customHeight="true" outlineLevel="0" collapsed="false">
      <c r="A1483" s="38" t="s">
        <v>859</v>
      </c>
      <c r="B1483" s="38" t="n">
        <v>42</v>
      </c>
      <c r="C1483" s="38" t="s">
        <v>171</v>
      </c>
      <c r="D1483" s="38" t="s">
        <v>868</v>
      </c>
      <c r="E1483" s="38" t="str">
        <f aca="false">B1483&amp;"|"&amp;C1483</f>
        <v>42|U</v>
      </c>
      <c r="F1483" s="45" t="n">
        <f aca="false">INDEX('Emission Stepwise'!$H$2:$H$289,MATCH(E1483,'Emission Stepwise'!$C$2:$C$289,0))</f>
        <v>0.133004926108374</v>
      </c>
      <c r="G1483" s="45" t="n">
        <f aca="false">INDEX(Background!$C$4:$C$7,MATCH(C1483,Background!$A$4:$A$7,0))</f>
        <v>0.212884169069555</v>
      </c>
      <c r="H1483" s="49" t="n">
        <f aca="false">LN(F1483/G1483)</f>
        <v>-0.470362044662802</v>
      </c>
    </row>
    <row r="1484" customFormat="false" ht="15" hidden="false" customHeight="true" outlineLevel="0" collapsed="false">
      <c r="A1484" s="38" t="s">
        <v>859</v>
      </c>
      <c r="B1484" s="38" t="n">
        <v>43</v>
      </c>
      <c r="C1484" s="38" t="s">
        <v>172</v>
      </c>
      <c r="D1484" s="38" t="s">
        <v>868</v>
      </c>
      <c r="E1484" s="38" t="str">
        <f aca="false">B1484&amp;"|"&amp;C1484</f>
        <v>43|A</v>
      </c>
      <c r="F1484" s="45" t="n">
        <f aca="false">INDEX('Emission Stepwise'!$H$2:$H$289,MATCH(E1484,'Emission Stepwise'!$C$2:$C$289,0))</f>
        <v>0.226600985221675</v>
      </c>
      <c r="G1484" s="45" t="n">
        <f aca="false">INDEX(Background!$C$4:$C$7,MATCH(C1484,Background!$A$4:$A$7,0))</f>
        <v>0.185174766157958</v>
      </c>
      <c r="H1484" s="49" t="n">
        <f aca="false">LN(F1484/G1484)</f>
        <v>0.201890635347373</v>
      </c>
    </row>
    <row r="1485" customFormat="false" ht="15" hidden="false" customHeight="true" outlineLevel="0" collapsed="false">
      <c r="A1485" s="38" t="s">
        <v>859</v>
      </c>
      <c r="B1485" s="38" t="n">
        <v>44</v>
      </c>
      <c r="C1485" s="38" t="s">
        <v>172</v>
      </c>
      <c r="D1485" s="38" t="s">
        <v>868</v>
      </c>
      <c r="E1485" s="38" t="str">
        <f aca="false">B1485&amp;"|"&amp;C1485</f>
        <v>44|A</v>
      </c>
      <c r="F1485" s="45" t="n">
        <f aca="false">INDEX('Emission Stepwise'!$H$2:$H$289,MATCH(E1485,'Emission Stepwise'!$C$2:$C$289,0))</f>
        <v>0.492610837438424</v>
      </c>
      <c r="G1485" s="45" t="n">
        <f aca="false">INDEX(Background!$C$4:$C$7,MATCH(C1485,Background!$A$4:$A$7,0))</f>
        <v>0.185174766157958</v>
      </c>
      <c r="H1485" s="49" t="n">
        <f aca="false">LN(F1485/G1485)</f>
        <v>0.978419424846369</v>
      </c>
    </row>
    <row r="1486" customFormat="false" ht="15" hidden="false" customHeight="true" outlineLevel="0" collapsed="false">
      <c r="A1486" s="38" t="s">
        <v>859</v>
      </c>
      <c r="B1486" s="38" t="n">
        <v>45</v>
      </c>
      <c r="C1486" s="38" t="s">
        <v>169</v>
      </c>
      <c r="D1486" s="38" t="s">
        <v>869</v>
      </c>
      <c r="E1486" s="38" t="str">
        <f aca="false">B1486&amp;"|"&amp;C1486</f>
        <v>45|G</v>
      </c>
      <c r="F1486" s="45" t="n">
        <f aca="false">INDEX('Emission Stepwise'!$H$2:$H$289,MATCH(E1486,'Emission Stepwise'!$C$2:$C$289,0))</f>
        <v>0.746268656716418</v>
      </c>
      <c r="G1486" s="45" t="n">
        <f aca="false">INDEX(Background!$C$4:$C$7,MATCH(C1486,Background!$A$4:$A$7,0))</f>
        <v>0.325128349391659</v>
      </c>
      <c r="H1486" s="49" t="n">
        <f aca="false">LN(F1486/G1486)</f>
        <v>0.830865639445329</v>
      </c>
    </row>
    <row r="1487" customFormat="false" ht="15" hidden="false" customHeight="true" outlineLevel="0" collapsed="false">
      <c r="A1487" s="38" t="s">
        <v>859</v>
      </c>
      <c r="B1487" s="38" t="n">
        <v>46</v>
      </c>
      <c r="C1487" s="38" t="s">
        <v>170</v>
      </c>
      <c r="D1487" s="38" t="s">
        <v>869</v>
      </c>
      <c r="E1487" s="38" t="str">
        <f aca="false">B1487&amp;"|"&amp;C1487</f>
        <v>46|C</v>
      </c>
      <c r="F1487" s="45" t="n">
        <f aca="false">INDEX('Emission Stepwise'!$H$2:$H$289,MATCH(E1487,'Emission Stepwise'!$C$2:$C$289,0))</f>
        <v>0.0290697674418605</v>
      </c>
      <c r="G1487" s="45" t="n">
        <f aca="false">INDEX(Background!$C$4:$C$7,MATCH(C1487,Background!$A$4:$A$7,0))</f>
        <v>0.276812715380828</v>
      </c>
      <c r="H1487" s="49" t="n">
        <f aca="false">LN(F1487/G1487)</f>
        <v>-2.25364244515512</v>
      </c>
    </row>
    <row r="1488" customFormat="false" ht="15" hidden="false" customHeight="true" outlineLevel="0" collapsed="false">
      <c r="A1488" s="38" t="s">
        <v>859</v>
      </c>
      <c r="B1488" s="38" t="n">
        <v>47</v>
      </c>
      <c r="C1488" s="38" t="s">
        <v>172</v>
      </c>
      <c r="D1488" s="38" t="s">
        <v>869</v>
      </c>
      <c r="E1488" s="38" t="str">
        <f aca="false">B1488&amp;"|"&amp;C1488</f>
        <v>47|A</v>
      </c>
      <c r="F1488" s="45" t="n">
        <f aca="false">INDEX('Emission Stepwise'!$H$2:$H$289,MATCH(E1488,'Emission Stepwise'!$C$2:$C$289,0))</f>
        <v>0.133004926108374</v>
      </c>
      <c r="G1488" s="45" t="n">
        <f aca="false">INDEX(Background!$C$4:$C$7,MATCH(C1488,Background!$A$4:$A$7,0))</f>
        <v>0.185174766157958</v>
      </c>
      <c r="H1488" s="49" t="n">
        <f aca="false">LN(F1488/G1488)</f>
        <v>-0.330913895137393</v>
      </c>
    </row>
    <row r="1489" customFormat="false" ht="15" hidden="false" customHeight="true" outlineLevel="0" collapsed="false">
      <c r="A1489" s="38" t="s">
        <v>859</v>
      </c>
      <c r="B1489" s="38" t="n">
        <v>48</v>
      </c>
      <c r="C1489" s="38" t="s">
        <v>171</v>
      </c>
      <c r="D1489" s="38" t="s">
        <v>869</v>
      </c>
      <c r="E1489" s="38" t="str">
        <f aca="false">B1489&amp;"|"&amp;C1489</f>
        <v>48|U</v>
      </c>
      <c r="F1489" s="45" t="n">
        <f aca="false">INDEX('Emission Stepwise'!$H$2:$H$289,MATCH(E1489,'Emission Stepwise'!$C$2:$C$289,0))</f>
        <v>0.147783251231527</v>
      </c>
      <c r="G1489" s="45" t="n">
        <f aca="false">INDEX(Background!$C$4:$C$7,MATCH(C1489,Background!$A$4:$A$7,0))</f>
        <v>0.212884169069555</v>
      </c>
      <c r="H1489" s="49" t="n">
        <f aca="false">LN(F1489/G1489)</f>
        <v>-0.365001529004976</v>
      </c>
    </row>
    <row r="1490" customFormat="false" ht="15" hidden="false" customHeight="true" outlineLevel="0" collapsed="false">
      <c r="A1490" s="38" t="s">
        <v>859</v>
      </c>
      <c r="B1490" s="38" t="n">
        <v>49</v>
      </c>
      <c r="C1490" s="38" t="s">
        <v>170</v>
      </c>
      <c r="D1490" s="38" t="s">
        <v>870</v>
      </c>
      <c r="E1490" s="38" t="str">
        <f aca="false">B1490&amp;"|"&amp;C1490</f>
        <v>49|C</v>
      </c>
      <c r="F1490" s="45" t="n">
        <f aca="false">INDEX('Emission Stepwise'!$H$2:$H$289,MATCH(E1490,'Emission Stepwise'!$C$2:$C$289,0))</f>
        <v>0.285714285714286</v>
      </c>
      <c r="G1490" s="45" t="n">
        <f aca="false">INDEX(Background!$C$4:$C$7,MATCH(C1490,Background!$A$4:$A$7,0))</f>
        <v>0.276812715380828</v>
      </c>
      <c r="H1490" s="49" t="n">
        <f aca="false">LN(F1490/G1490)</f>
        <v>0.0316511507288624</v>
      </c>
    </row>
    <row r="1491" customFormat="false" ht="15" hidden="false" customHeight="true" outlineLevel="0" collapsed="false">
      <c r="A1491" s="38" t="s">
        <v>859</v>
      </c>
      <c r="B1491" s="38" t="n">
        <v>50</v>
      </c>
      <c r="C1491" s="38" t="s">
        <v>171</v>
      </c>
      <c r="D1491" s="38" t="s">
        <v>870</v>
      </c>
      <c r="E1491" s="38" t="str">
        <f aca="false">B1491&amp;"|"&amp;C1491</f>
        <v>50|U</v>
      </c>
      <c r="F1491" s="45" t="n">
        <f aca="false">INDEX('Emission Stepwise'!$H$2:$H$289,MATCH(E1491,'Emission Stepwise'!$C$2:$C$289,0))</f>
        <v>0.177339901477833</v>
      </c>
      <c r="G1491" s="45" t="n">
        <f aca="false">INDEX(Background!$C$4:$C$7,MATCH(C1491,Background!$A$4:$A$7,0))</f>
        <v>0.212884169069555</v>
      </c>
      <c r="H1491" s="49" t="n">
        <f aca="false">LN(F1491/G1491)</f>
        <v>-0.182679972211022</v>
      </c>
    </row>
    <row r="1492" customFormat="false" ht="15" hidden="false" customHeight="true" outlineLevel="0" collapsed="false">
      <c r="A1492" s="38" t="s">
        <v>859</v>
      </c>
      <c r="B1492" s="38" t="n">
        <v>51</v>
      </c>
      <c r="C1492" s="38" t="s">
        <v>171</v>
      </c>
      <c r="D1492" s="38" t="s">
        <v>870</v>
      </c>
      <c r="E1492" s="38" t="str">
        <f aca="false">B1492&amp;"|"&amp;C1492</f>
        <v>51|U</v>
      </c>
      <c r="F1492" s="45" t="n">
        <f aca="false">INDEX('Emission Stepwise'!$H$2:$H$289,MATCH(E1492,'Emission Stepwise'!$C$2:$C$289,0))</f>
        <v>0.153465346534653</v>
      </c>
      <c r="G1492" s="45" t="n">
        <f aca="false">INDEX(Background!$C$4:$C$7,MATCH(C1492,Background!$A$4:$A$7,0))</f>
        <v>0.212884169069555</v>
      </c>
      <c r="H1492" s="49" t="n">
        <f aca="false">LN(F1492/G1492)</f>
        <v>-0.327273424541403</v>
      </c>
    </row>
    <row r="1493" customFormat="false" ht="15" hidden="false" customHeight="true" outlineLevel="0" collapsed="false">
      <c r="A1493" s="38" t="s">
        <v>859</v>
      </c>
      <c r="B1493" s="38" t="n">
        <v>52</v>
      </c>
      <c r="C1493" s="38" t="s">
        <v>171</v>
      </c>
      <c r="D1493" s="38" t="s">
        <v>870</v>
      </c>
      <c r="E1493" s="38" t="str">
        <f aca="false">B1493&amp;"|"&amp;C1493</f>
        <v>52|U</v>
      </c>
      <c r="F1493" s="45" t="n">
        <f aca="false">INDEX('Emission Stepwise'!$H$2:$H$289,MATCH(E1493,'Emission Stepwise'!$C$2:$C$289,0))</f>
        <v>0.0246305418719212</v>
      </c>
      <c r="G1493" s="45" t="n">
        <f aca="false">INDEX(Background!$C$4:$C$7,MATCH(C1493,Background!$A$4:$A$7,0))</f>
        <v>0.212884169069555</v>
      </c>
      <c r="H1493" s="49" t="n">
        <f aca="false">LN(F1493/G1493)</f>
        <v>-2.15676099823303</v>
      </c>
    </row>
    <row r="1494" customFormat="false" ht="15" hidden="false" customHeight="true" outlineLevel="0" collapsed="false">
      <c r="A1494" s="38" t="s">
        <v>859</v>
      </c>
      <c r="B1494" s="38" t="n">
        <v>53</v>
      </c>
      <c r="C1494" s="38" t="s">
        <v>169</v>
      </c>
      <c r="D1494" s="38" t="s">
        <v>870</v>
      </c>
      <c r="E1494" s="38" t="str">
        <f aca="false">B1494&amp;"|"&amp;C1494</f>
        <v>53|G</v>
      </c>
      <c r="F1494" s="45" t="n">
        <f aca="false">INDEX('Emission Stepwise'!$H$2:$H$289,MATCH(E1494,'Emission Stepwise'!$C$2:$C$289,0))</f>
        <v>0.96551724137931</v>
      </c>
      <c r="G1494" s="45" t="n">
        <f aca="false">INDEX(Background!$C$4:$C$7,MATCH(C1494,Background!$A$4:$A$7,0))</f>
        <v>0.325128349391659</v>
      </c>
      <c r="H1494" s="49" t="n">
        <f aca="false">LN(F1494/G1494)</f>
        <v>1.08844393359688</v>
      </c>
    </row>
    <row r="1495" customFormat="false" ht="15" hidden="false" customHeight="true" outlineLevel="0" collapsed="false">
      <c r="A1495" s="38" t="s">
        <v>859</v>
      </c>
      <c r="B1495" s="38" t="n">
        <v>54</v>
      </c>
      <c r="C1495" s="38" t="s">
        <v>171</v>
      </c>
      <c r="D1495" s="38" t="s">
        <v>870</v>
      </c>
      <c r="E1495" s="38" t="str">
        <f aca="false">B1495&amp;"|"&amp;C1495</f>
        <v>54|U</v>
      </c>
      <c r="F1495" s="45" t="n">
        <f aca="false">INDEX('Emission Stepwise'!$H$2:$H$289,MATCH(E1495,'Emission Stepwise'!$C$2:$C$289,0))</f>
        <v>0.975369458128079</v>
      </c>
      <c r="G1495" s="45" t="n">
        <f aca="false">INDEX(Background!$C$4:$C$7,MATCH(C1495,Background!$A$4:$A$7,0))</f>
        <v>0.212884169069555</v>
      </c>
      <c r="H1495" s="49" t="n">
        <f aca="false">LN(F1495/G1495)</f>
        <v>1.5220681200274</v>
      </c>
    </row>
    <row r="1496" customFormat="false" ht="15" hidden="false" customHeight="true" outlineLevel="0" collapsed="false">
      <c r="A1496" s="38" t="s">
        <v>859</v>
      </c>
      <c r="B1496" s="38" t="n">
        <v>55</v>
      </c>
      <c r="C1496" s="38" t="s">
        <v>170</v>
      </c>
      <c r="D1496" s="38" t="s">
        <v>870</v>
      </c>
      <c r="E1496" s="38" t="str">
        <f aca="false">B1496&amp;"|"&amp;C1496</f>
        <v>55|C</v>
      </c>
      <c r="F1496" s="45" t="n">
        <f aca="false">INDEX('Emission Stepwise'!$H$2:$H$289,MATCH(E1496,'Emission Stepwise'!$C$2:$C$289,0))</f>
        <v>0.00985221674876847</v>
      </c>
      <c r="G1496" s="45" t="n">
        <f aca="false">INDEX(Background!$C$4:$C$7,MATCH(C1496,Background!$A$4:$A$7,0))</f>
        <v>0.276812715380828</v>
      </c>
      <c r="H1496" s="49" t="n">
        <f aca="false">LN(F1496/G1496)</f>
        <v>-3.33564467925761</v>
      </c>
    </row>
    <row r="1497" customFormat="false" ht="15" hidden="false" customHeight="true" outlineLevel="0" collapsed="false">
      <c r="A1497" s="38" t="s">
        <v>859</v>
      </c>
      <c r="B1497" s="38" t="n">
        <v>56</v>
      </c>
      <c r="C1497" s="38" t="s">
        <v>170</v>
      </c>
      <c r="D1497" s="38" t="s">
        <v>870</v>
      </c>
      <c r="E1497" s="38" t="str">
        <f aca="false">B1497&amp;"|"&amp;C1497</f>
        <v>56|C</v>
      </c>
      <c r="F1497" s="45" t="n">
        <f aca="false">INDEX('Emission Stepwise'!$H$2:$H$289,MATCH(E1497,'Emission Stepwise'!$C$2:$C$289,0))</f>
        <v>0.96551724137931</v>
      </c>
      <c r="G1497" s="45" t="n">
        <f aca="false">INDEX(Background!$C$4:$C$7,MATCH(C1497,Background!$A$4:$A$7,0))</f>
        <v>0.276812715380828</v>
      </c>
      <c r="H1497" s="49" t="n">
        <f aca="false">LN(F1497/G1497)</f>
        <v>1.24932279941296</v>
      </c>
    </row>
    <row r="1498" customFormat="false" ht="15" hidden="false" customHeight="true" outlineLevel="0" collapsed="false">
      <c r="A1498" s="38" t="s">
        <v>859</v>
      </c>
      <c r="B1498" s="38" t="n">
        <v>57</v>
      </c>
      <c r="C1498" s="38" t="s">
        <v>169</v>
      </c>
      <c r="D1498" s="38" t="s">
        <v>870</v>
      </c>
      <c r="E1498" s="38" t="str">
        <f aca="false">B1498&amp;"|"&amp;C1498</f>
        <v>57|G</v>
      </c>
      <c r="F1498" s="45" t="n">
        <f aca="false">INDEX('Emission Stepwise'!$H$2:$H$289,MATCH(E1498,'Emission Stepwise'!$C$2:$C$289,0))</f>
        <v>0.603960396039604</v>
      </c>
      <c r="G1498" s="45" t="n">
        <f aca="false">INDEX(Background!$C$4:$C$7,MATCH(C1498,Background!$A$4:$A$7,0))</f>
        <v>0.325128349391659</v>
      </c>
      <c r="H1498" s="49" t="n">
        <f aca="false">LN(F1498/G1498)</f>
        <v>0.619288600740201</v>
      </c>
    </row>
    <row r="1499" customFormat="false" ht="15" hidden="false" customHeight="true" outlineLevel="0" collapsed="false">
      <c r="A1499" s="38" t="s">
        <v>859</v>
      </c>
      <c r="B1499" s="38" t="n">
        <v>58</v>
      </c>
      <c r="C1499" s="38" t="s">
        <v>172</v>
      </c>
      <c r="D1499" s="38" t="s">
        <v>870</v>
      </c>
      <c r="E1499" s="38" t="str">
        <f aca="false">B1499&amp;"|"&amp;C1499</f>
        <v>58|A</v>
      </c>
      <c r="F1499" s="45" t="n">
        <f aca="false">INDEX('Emission Stepwise'!$H$2:$H$289,MATCH(E1499,'Emission Stepwise'!$C$2:$C$289,0))</f>
        <v>0.975369458128079</v>
      </c>
      <c r="G1499" s="45" t="n">
        <f aca="false">INDEX(Background!$C$4:$C$7,MATCH(C1499,Background!$A$4:$A$7,0))</f>
        <v>0.185174766157958</v>
      </c>
      <c r="H1499" s="49" t="n">
        <f aca="false">LN(F1499/G1499)</f>
        <v>1.66151626955281</v>
      </c>
    </row>
    <row r="1500" customFormat="false" ht="15" hidden="false" customHeight="true" outlineLevel="0" collapsed="false">
      <c r="A1500" s="38" t="s">
        <v>859</v>
      </c>
      <c r="B1500" s="38" t="n">
        <v>59</v>
      </c>
      <c r="C1500" s="38" t="s">
        <v>171</v>
      </c>
      <c r="D1500" s="38" t="s">
        <v>870</v>
      </c>
      <c r="E1500" s="38" t="str">
        <f aca="false">B1500&amp;"|"&amp;C1500</f>
        <v>59|U</v>
      </c>
      <c r="F1500" s="45" t="n">
        <f aca="false">INDEX('Emission Stepwise'!$H$2:$H$289,MATCH(E1500,'Emission Stepwise'!$C$2:$C$289,0))</f>
        <v>0.251231527093596</v>
      </c>
      <c r="G1500" s="45" t="n">
        <f aca="false">INDEX(Background!$C$4:$C$7,MATCH(C1500,Background!$A$4:$A$7,0))</f>
        <v>0.212884169069555</v>
      </c>
      <c r="H1500" s="49" t="n">
        <f aca="false">LN(F1500/G1500)</f>
        <v>0.165626722057194</v>
      </c>
    </row>
    <row r="1501" customFormat="false" ht="15" hidden="false" customHeight="true" outlineLevel="0" collapsed="false">
      <c r="A1501" s="38" t="s">
        <v>859</v>
      </c>
      <c r="B1501" s="38" t="n">
        <v>60</v>
      </c>
      <c r="C1501" s="38" t="s">
        <v>170</v>
      </c>
      <c r="D1501" s="38" t="s">
        <v>870</v>
      </c>
      <c r="E1501" s="38" t="str">
        <f aca="false">B1501&amp;"|"&amp;C1501</f>
        <v>60|C</v>
      </c>
      <c r="F1501" s="45" t="n">
        <f aca="false">INDEX('Emission Stepwise'!$H$2:$H$289,MATCH(E1501,'Emission Stepwise'!$C$2:$C$289,0))</f>
        <v>0.201970443349754</v>
      </c>
      <c r="G1501" s="45" t="n">
        <f aca="false">INDEX(Background!$C$4:$C$7,MATCH(C1501,Background!$A$4:$A$7,0))</f>
        <v>0.276812715380828</v>
      </c>
      <c r="H1501" s="49" t="n">
        <f aca="false">LN(F1501/G1501)</f>
        <v>-0.315219793113249</v>
      </c>
    </row>
    <row r="1502" customFormat="false" ht="15" hidden="false" customHeight="true" outlineLevel="0" collapsed="false">
      <c r="A1502" s="38" t="s">
        <v>859</v>
      </c>
      <c r="B1502" s="38" t="n">
        <v>61</v>
      </c>
      <c r="C1502" s="38" t="s">
        <v>170</v>
      </c>
      <c r="D1502" s="38" t="s">
        <v>870</v>
      </c>
      <c r="E1502" s="38" t="str">
        <f aca="false">B1502&amp;"|"&amp;C1502</f>
        <v>61|C</v>
      </c>
      <c r="F1502" s="45" t="n">
        <f aca="false">INDEX('Emission Stepwise'!$H$2:$H$289,MATCH(E1502,'Emission Stepwise'!$C$2:$C$289,0))</f>
        <v>0.975369458128079</v>
      </c>
      <c r="G1502" s="45" t="n">
        <f aca="false">INDEX(Background!$C$4:$C$7,MATCH(C1502,Background!$A$4:$A$7,0))</f>
        <v>0.276812715380828</v>
      </c>
      <c r="H1502" s="49" t="n">
        <f aca="false">LN(F1502/G1502)</f>
        <v>1.25947517087698</v>
      </c>
    </row>
    <row r="1503" customFormat="false" ht="15" hidden="false" customHeight="true" outlineLevel="0" collapsed="false">
      <c r="A1503" s="38" t="s">
        <v>859</v>
      </c>
      <c r="B1503" s="38" t="n">
        <v>62</v>
      </c>
      <c r="C1503" s="38" t="s">
        <v>170</v>
      </c>
      <c r="D1503" s="38" t="s">
        <v>870</v>
      </c>
      <c r="E1503" s="38" t="str">
        <f aca="false">B1503&amp;"|"&amp;C1503</f>
        <v>62|C</v>
      </c>
      <c r="F1503" s="45" t="n">
        <f aca="false">INDEX('Emission Stepwise'!$H$2:$H$289,MATCH(E1503,'Emission Stepwise'!$C$2:$C$289,0))</f>
        <v>0.832512315270936</v>
      </c>
      <c r="G1503" s="45" t="n">
        <f aca="false">INDEX(Background!$C$4:$C$7,MATCH(C1503,Background!$A$4:$A$7,0))</f>
        <v>0.276812715380828</v>
      </c>
      <c r="H1503" s="49" t="n">
        <f aca="false">LN(F1503/G1503)</f>
        <v>1.10110685510552</v>
      </c>
    </row>
    <row r="1504" customFormat="false" ht="15" hidden="false" customHeight="true" outlineLevel="0" collapsed="false">
      <c r="A1504" s="38" t="s">
        <v>859</v>
      </c>
      <c r="B1504" s="38" t="n">
        <v>63</v>
      </c>
      <c r="C1504" s="38" t="s">
        <v>172</v>
      </c>
      <c r="D1504" s="38" t="s">
        <v>870</v>
      </c>
      <c r="E1504" s="38" t="str">
        <f aca="false">B1504&amp;"|"&amp;C1504</f>
        <v>63|A</v>
      </c>
      <c r="F1504" s="45" t="n">
        <f aca="false">INDEX('Emission Stepwise'!$H$2:$H$289,MATCH(E1504,'Emission Stepwise'!$C$2:$C$289,0))</f>
        <v>0.113300492610837</v>
      </c>
      <c r="G1504" s="45" t="n">
        <f aca="false">INDEX(Background!$C$4:$C$7,MATCH(C1504,Background!$A$4:$A$7,0))</f>
        <v>0.185174766157958</v>
      </c>
      <c r="H1504" s="49" t="n">
        <f aca="false">LN(F1504/G1504)</f>
        <v>-0.491256545212573</v>
      </c>
    </row>
    <row r="1505" customFormat="false" ht="15" hidden="false" customHeight="true" outlineLevel="0" collapsed="false">
      <c r="A1505" s="38" t="s">
        <v>859</v>
      </c>
      <c r="B1505" s="38" t="n">
        <v>64</v>
      </c>
      <c r="C1505" s="38" t="s">
        <v>169</v>
      </c>
      <c r="D1505" s="38" t="s">
        <v>870</v>
      </c>
      <c r="E1505" s="38" t="str">
        <f aca="false">B1505&amp;"|"&amp;C1505</f>
        <v>64|G</v>
      </c>
      <c r="F1505" s="45" t="n">
        <f aca="false">INDEX('Emission Stepwise'!$H$2:$H$289,MATCH(E1505,'Emission Stepwise'!$C$2:$C$289,0))</f>
        <v>0.458128078817734</v>
      </c>
      <c r="G1505" s="45" t="n">
        <f aca="false">INDEX(Background!$C$4:$C$7,MATCH(C1505,Background!$A$4:$A$7,0))</f>
        <v>0.325128349391659</v>
      </c>
      <c r="H1505" s="49" t="n">
        <f aca="false">LN(F1505/G1505)</f>
        <v>0.342928767519618</v>
      </c>
    </row>
    <row r="1506" customFormat="false" ht="15" hidden="false" customHeight="true" outlineLevel="0" collapsed="false">
      <c r="A1506" s="38" t="s">
        <v>859</v>
      </c>
      <c r="B1506" s="38" t="n">
        <v>65</v>
      </c>
      <c r="C1506" s="38" t="s">
        <v>169</v>
      </c>
      <c r="D1506" s="38" t="s">
        <v>870</v>
      </c>
      <c r="E1506" s="38" t="str">
        <f aca="false">B1506&amp;"|"&amp;C1506</f>
        <v>65|G</v>
      </c>
      <c r="F1506" s="45" t="n">
        <f aca="false">INDEX('Emission Stepwise'!$H$2:$H$289,MATCH(E1506,'Emission Stepwise'!$C$2:$C$289,0))</f>
        <v>0.287128712871287</v>
      </c>
      <c r="G1506" s="45" t="n">
        <f aca="false">INDEX(Background!$C$4:$C$7,MATCH(C1506,Background!$A$4:$A$7,0))</f>
        <v>0.325128349391659</v>
      </c>
      <c r="H1506" s="49" t="n">
        <f aca="false">LN(F1506/G1506)</f>
        <v>-0.124289433446636</v>
      </c>
    </row>
    <row r="1507" customFormat="false" ht="15" hidden="false" customHeight="true" outlineLevel="0" collapsed="false">
      <c r="A1507" s="38" t="s">
        <v>859</v>
      </c>
      <c r="B1507" s="38" t="n">
        <v>66</v>
      </c>
      <c r="C1507" s="38" t="s">
        <v>171</v>
      </c>
      <c r="D1507" s="38" t="s">
        <v>871</v>
      </c>
      <c r="E1507" s="38" t="str">
        <f aca="false">B1507&amp;"|"&amp;C1507</f>
        <v>66|U</v>
      </c>
      <c r="F1507" s="45" t="n">
        <f aca="false">INDEX('Emission Stepwise'!$H$2:$H$289,MATCH(E1507,'Emission Stepwise'!$C$2:$C$289,0))</f>
        <v>0.246305418719212</v>
      </c>
      <c r="G1507" s="45" t="n">
        <f aca="false">INDEX(Background!$C$4:$C$7,MATCH(C1507,Background!$A$4:$A$7,0))</f>
        <v>0.212884169069555</v>
      </c>
      <c r="H1507" s="49" t="n">
        <f aca="false">LN(F1507/G1507)</f>
        <v>0.145824094761015</v>
      </c>
    </row>
    <row r="1508" customFormat="false" ht="15" hidden="false" customHeight="true" outlineLevel="0" collapsed="false">
      <c r="A1508" s="38" t="s">
        <v>859</v>
      </c>
      <c r="B1508" s="38" t="n">
        <v>67</v>
      </c>
      <c r="C1508" s="38" t="s">
        <v>171</v>
      </c>
      <c r="D1508" s="38" t="s">
        <v>871</v>
      </c>
      <c r="E1508" s="38" t="str">
        <f aca="false">B1508&amp;"|"&amp;C1508</f>
        <v>67|U</v>
      </c>
      <c r="F1508" s="45" t="n">
        <f aca="false">INDEX('Emission Stepwise'!$H$2:$H$289,MATCH(E1508,'Emission Stepwise'!$C$2:$C$289,0))</f>
        <v>0.192118226600985</v>
      </c>
      <c r="G1508" s="45" t="n">
        <f aca="false">INDEX(Background!$C$4:$C$7,MATCH(C1508,Background!$A$4:$A$7,0))</f>
        <v>0.212884169069555</v>
      </c>
      <c r="H1508" s="49" t="n">
        <f aca="false">LN(F1508/G1508)</f>
        <v>-0.102637264537485</v>
      </c>
    </row>
    <row r="1509" customFormat="false" ht="15" hidden="false" customHeight="true" outlineLevel="0" collapsed="false">
      <c r="A1509" s="38" t="s">
        <v>859</v>
      </c>
      <c r="B1509" s="38" t="n">
        <v>68</v>
      </c>
      <c r="C1509" s="38" t="s">
        <v>171</v>
      </c>
      <c r="D1509" s="38" t="s">
        <v>871</v>
      </c>
      <c r="E1509" s="38" t="str">
        <f aca="false">B1509&amp;"|"&amp;C1509</f>
        <v>68|U</v>
      </c>
      <c r="F1509" s="45" t="n">
        <f aca="false">INDEX('Emission Stepwise'!$H$2:$H$289,MATCH(E1509,'Emission Stepwise'!$C$2:$C$289,0))</f>
        <v>0.177339901477833</v>
      </c>
      <c r="G1509" s="45" t="n">
        <f aca="false">INDEX(Background!$C$4:$C$7,MATCH(C1509,Background!$A$4:$A$7,0))</f>
        <v>0.212884169069555</v>
      </c>
      <c r="H1509" s="49" t="n">
        <f aca="false">LN(F1509/G1509)</f>
        <v>-0.182679972211022</v>
      </c>
    </row>
    <row r="1510" customFormat="false" ht="15" hidden="false" customHeight="true" outlineLevel="0" collapsed="false">
      <c r="A1510" s="38" t="s">
        <v>859</v>
      </c>
      <c r="B1510" s="38" t="n">
        <v>69</v>
      </c>
      <c r="C1510" s="38" t="s">
        <v>171</v>
      </c>
      <c r="D1510" s="38" t="s">
        <v>871</v>
      </c>
      <c r="E1510" s="38" t="str">
        <f aca="false">B1510&amp;"|"&amp;C1510</f>
        <v>69|U</v>
      </c>
      <c r="F1510" s="45" t="n">
        <f aca="false">INDEX('Emission Stepwise'!$H$2:$H$289,MATCH(E1510,'Emission Stepwise'!$C$2:$C$289,0))</f>
        <v>0.083743842364532</v>
      </c>
      <c r="G1510" s="45" t="n">
        <f aca="false">INDEX(Background!$C$4:$C$7,MATCH(C1510,Background!$A$4:$A$7,0))</f>
        <v>0.212884169069555</v>
      </c>
      <c r="H1510" s="49" t="n">
        <f aca="false">LN(F1510/G1510)</f>
        <v>-0.932985566610916</v>
      </c>
    </row>
    <row r="1511" customFormat="false" ht="15" hidden="false" customHeight="true" outlineLevel="0" collapsed="false">
      <c r="A1511" s="38" t="s">
        <v>859</v>
      </c>
      <c r="B1511" s="38" t="n">
        <v>70</v>
      </c>
      <c r="C1511" s="38" t="s">
        <v>169</v>
      </c>
      <c r="D1511" s="38" t="s">
        <v>871</v>
      </c>
      <c r="E1511" s="38" t="str">
        <f aca="false">B1511&amp;"|"&amp;C1511</f>
        <v>70|G</v>
      </c>
      <c r="F1511" s="45" t="n">
        <f aca="false">INDEX('Emission Stepwise'!$H$2:$H$289,MATCH(E1511,'Emission Stepwise'!$C$2:$C$289,0))</f>
        <v>0.374384236453202</v>
      </c>
      <c r="G1511" s="45" t="n">
        <f aca="false">INDEX(Background!$C$4:$C$7,MATCH(C1511,Background!$A$4:$A$7,0))</f>
        <v>0.325128349391659</v>
      </c>
      <c r="H1511" s="49" t="n">
        <f aca="false">LN(F1511/G1511)</f>
        <v>0.141062614652693</v>
      </c>
    </row>
    <row r="1512" customFormat="false" ht="15" hidden="false" customHeight="true" outlineLevel="0" collapsed="false">
      <c r="A1512" s="38" t="s">
        <v>859</v>
      </c>
      <c r="B1512" s="38" t="n">
        <v>71</v>
      </c>
      <c r="C1512" s="38" t="s">
        <v>171</v>
      </c>
      <c r="D1512" s="38" t="s">
        <v>871</v>
      </c>
      <c r="E1512" s="38" t="str">
        <f aca="false">B1512&amp;"|"&amp;C1512</f>
        <v>71|U</v>
      </c>
      <c r="F1512" s="45" t="n">
        <f aca="false">INDEX('Emission Stepwise'!$H$2:$H$289,MATCH(E1512,'Emission Stepwise'!$C$2:$C$289,0))</f>
        <v>0.0492610837438424</v>
      </c>
      <c r="G1512" s="45" t="n">
        <f aca="false">INDEX(Background!$C$4:$C$7,MATCH(C1512,Background!$A$4:$A$7,0))</f>
        <v>0.212884169069555</v>
      </c>
      <c r="H1512" s="49" t="n">
        <f aca="false">LN(F1512/G1512)</f>
        <v>-1.46361381767309</v>
      </c>
    </row>
    <row r="1513" customFormat="false" ht="15" hidden="false" customHeight="true" outlineLevel="0" collapsed="false">
      <c r="A1513" s="38" t="s">
        <v>859</v>
      </c>
      <c r="B1513" s="38" t="n">
        <v>72</v>
      </c>
      <c r="C1513" s="38" t="s">
        <v>171</v>
      </c>
      <c r="D1513" s="38" t="s">
        <v>871</v>
      </c>
      <c r="E1513" s="38" t="str">
        <f aca="false">B1513&amp;"|"&amp;C1513</f>
        <v>72|U</v>
      </c>
      <c r="F1513" s="45" t="n">
        <f aca="false">INDEX('Emission Stepwise'!$H$2:$H$289,MATCH(E1513,'Emission Stepwise'!$C$2:$C$289,0))</f>
        <v>0.108374384236453</v>
      </c>
      <c r="G1513" s="45" t="n">
        <f aca="false">INDEX(Background!$C$4:$C$7,MATCH(C1513,Background!$A$4:$A$7,0))</f>
        <v>0.212884169069555</v>
      </c>
      <c r="H1513" s="49" t="n">
        <f aca="false">LN(F1513/G1513)</f>
        <v>-0.675156457308816</v>
      </c>
    </row>
    <row r="1514" customFormat="false" ht="15" hidden="false" customHeight="true" outlineLevel="0" collapsed="false">
      <c r="A1514" s="38" t="s">
        <v>860</v>
      </c>
      <c r="B1514" s="38" t="n">
        <v>1</v>
      </c>
      <c r="C1514" s="38" t="s">
        <v>172</v>
      </c>
      <c r="D1514" s="38" t="s">
        <v>865</v>
      </c>
      <c r="E1514" s="38" t="str">
        <f aca="false">B1514&amp;"|"&amp;C1514</f>
        <v>1|A</v>
      </c>
      <c r="F1514" s="45" t="n">
        <f aca="false">INDEX('Emission Stepwise'!$H$2:$H$289,MATCH(E1514,'Emission Stepwise'!$C$2:$C$289,0))</f>
        <v>0.0689655172413793</v>
      </c>
      <c r="G1514" s="45" t="n">
        <f aca="false">INDEX(Background!$C$4:$C$7,MATCH(C1514,Background!$A$4:$A$7,0))</f>
        <v>0.185174766157958</v>
      </c>
      <c r="H1514" s="49" t="n">
        <f aca="false">LN(F1514/G1514)</f>
        <v>-0.987693431526464</v>
      </c>
    </row>
    <row r="1515" customFormat="false" ht="15" hidden="false" customHeight="true" outlineLevel="0" collapsed="false">
      <c r="A1515" s="38" t="s">
        <v>860</v>
      </c>
      <c r="B1515" s="38" t="n">
        <v>2</v>
      </c>
      <c r="C1515" s="38" t="s">
        <v>172</v>
      </c>
      <c r="D1515" s="38" t="s">
        <v>865</v>
      </c>
      <c r="E1515" s="38" t="str">
        <f aca="false">B1515&amp;"|"&amp;C1515</f>
        <v>2|A</v>
      </c>
      <c r="F1515" s="45" t="n">
        <f aca="false">INDEX('Emission Stepwise'!$H$2:$H$289,MATCH(E1515,'Emission Stepwise'!$C$2:$C$289,0))</f>
        <v>0.0344827586206897</v>
      </c>
      <c r="G1515" s="45" t="n">
        <f aca="false">INDEX(Background!$C$4:$C$7,MATCH(C1515,Background!$A$4:$A$7,0))</f>
        <v>0.185174766157958</v>
      </c>
      <c r="H1515" s="49" t="n">
        <f aca="false">LN(F1515/G1515)</f>
        <v>-1.68084061208641</v>
      </c>
    </row>
    <row r="1516" customFormat="false" ht="15" hidden="false" customHeight="true" outlineLevel="0" collapsed="false">
      <c r="A1516" s="38" t="s">
        <v>860</v>
      </c>
      <c r="B1516" s="38" t="n">
        <v>3</v>
      </c>
      <c r="C1516" s="38" t="s">
        <v>171</v>
      </c>
      <c r="D1516" s="38" t="s">
        <v>865</v>
      </c>
      <c r="E1516" s="38" t="str">
        <f aca="false">B1516&amp;"|"&amp;C1516</f>
        <v>3|U</v>
      </c>
      <c r="F1516" s="45" t="n">
        <f aca="false">INDEX('Emission Stepwise'!$H$2:$H$289,MATCH(E1516,'Emission Stepwise'!$C$2:$C$289,0))</f>
        <v>0.118226600985222</v>
      </c>
      <c r="G1516" s="45" t="n">
        <f aca="false">INDEX(Background!$C$4:$C$7,MATCH(C1516,Background!$A$4:$A$7,0))</f>
        <v>0.212884169069555</v>
      </c>
      <c r="H1516" s="49" t="n">
        <f aca="false">LN(F1516/G1516)</f>
        <v>-0.588145080319186</v>
      </c>
    </row>
    <row r="1517" customFormat="false" ht="15" hidden="false" customHeight="true" outlineLevel="0" collapsed="false">
      <c r="A1517" s="38" t="s">
        <v>860</v>
      </c>
      <c r="B1517" s="38" t="n">
        <v>4</v>
      </c>
      <c r="C1517" s="38" t="s">
        <v>171</v>
      </c>
      <c r="D1517" s="38" t="s">
        <v>865</v>
      </c>
      <c r="E1517" s="38" t="str">
        <f aca="false">B1517&amp;"|"&amp;C1517</f>
        <v>4|U</v>
      </c>
      <c r="F1517" s="45" t="n">
        <f aca="false">INDEX('Emission Stepwise'!$H$2:$H$289,MATCH(E1517,'Emission Stepwise'!$C$2:$C$289,0))</f>
        <v>0.172413793103448</v>
      </c>
      <c r="G1517" s="45" t="n">
        <f aca="false">INDEX(Background!$C$4:$C$7,MATCH(C1517,Background!$A$4:$A$7,0))</f>
        <v>0.212884169069555</v>
      </c>
      <c r="H1517" s="49" t="n">
        <f aca="false">LN(F1517/G1517)</f>
        <v>-0.210850849177718</v>
      </c>
    </row>
    <row r="1518" customFormat="false" ht="15" hidden="false" customHeight="true" outlineLevel="0" collapsed="false">
      <c r="A1518" s="38" t="s">
        <v>860</v>
      </c>
      <c r="B1518" s="38" t="n">
        <v>5</v>
      </c>
      <c r="C1518" s="38" t="s">
        <v>170</v>
      </c>
      <c r="D1518" s="38" t="s">
        <v>865</v>
      </c>
      <c r="E1518" s="38" t="str">
        <f aca="false">B1518&amp;"|"&amp;C1518</f>
        <v>5|C</v>
      </c>
      <c r="F1518" s="45" t="n">
        <f aca="false">INDEX('Emission Stepwise'!$H$2:$H$289,MATCH(E1518,'Emission Stepwise'!$C$2:$C$289,0))</f>
        <v>0.394088669950739</v>
      </c>
      <c r="G1518" s="45" t="n">
        <f aca="false">INDEX(Background!$C$4:$C$7,MATCH(C1518,Background!$A$4:$A$7,0))</f>
        <v>0.276812715380828</v>
      </c>
      <c r="H1518" s="49" t="n">
        <f aca="false">LN(F1518/G1518)</f>
        <v>0.353234774856325</v>
      </c>
    </row>
    <row r="1519" customFormat="false" ht="15" hidden="false" customHeight="true" outlineLevel="0" collapsed="false">
      <c r="A1519" s="38" t="s">
        <v>860</v>
      </c>
      <c r="B1519" s="38" t="n">
        <v>6</v>
      </c>
      <c r="C1519" s="38" t="s">
        <v>172</v>
      </c>
      <c r="D1519" s="38" t="s">
        <v>865</v>
      </c>
      <c r="E1519" s="38" t="str">
        <f aca="false">B1519&amp;"|"&amp;C1519</f>
        <v>6|A</v>
      </c>
      <c r="F1519" s="45" t="n">
        <f aca="false">INDEX('Emission Stepwise'!$H$2:$H$289,MATCH(E1519,'Emission Stepwise'!$C$2:$C$289,0))</f>
        <v>0.172413793103448</v>
      </c>
      <c r="G1519" s="45" t="n">
        <f aca="false">INDEX(Background!$C$4:$C$7,MATCH(C1519,Background!$A$4:$A$7,0))</f>
        <v>0.185174766157958</v>
      </c>
      <c r="H1519" s="49" t="n">
        <f aca="false">LN(F1519/G1519)</f>
        <v>-0.0714026996523086</v>
      </c>
    </row>
    <row r="1520" customFormat="false" ht="15" hidden="false" customHeight="true" outlineLevel="0" collapsed="false">
      <c r="A1520" s="38" t="s">
        <v>860</v>
      </c>
      <c r="B1520" s="38" t="n">
        <v>7</v>
      </c>
      <c r="C1520" s="38" t="s">
        <v>171</v>
      </c>
      <c r="D1520" s="38" t="s">
        <v>865</v>
      </c>
      <c r="E1520" s="38" t="str">
        <f aca="false">B1520&amp;"|"&amp;C1520</f>
        <v>7|U</v>
      </c>
      <c r="F1520" s="45" t="n">
        <f aca="false">INDEX('Emission Stepwise'!$H$2:$H$289,MATCH(E1520,'Emission Stepwise'!$C$2:$C$289,0))</f>
        <v>0.221674876847291</v>
      </c>
      <c r="G1520" s="45" t="n">
        <f aca="false">INDEX(Background!$C$4:$C$7,MATCH(C1520,Background!$A$4:$A$7,0))</f>
        <v>0.212884169069555</v>
      </c>
      <c r="H1520" s="49" t="n">
        <f aca="false">LN(F1520/G1520)</f>
        <v>0.0404635791031882</v>
      </c>
    </row>
    <row r="1521" customFormat="false" ht="15" hidden="false" customHeight="true" outlineLevel="0" collapsed="false">
      <c r="A1521" s="38" t="s">
        <v>860</v>
      </c>
      <c r="B1521" s="38" t="n">
        <v>8</v>
      </c>
      <c r="C1521" s="38" t="s">
        <v>171</v>
      </c>
      <c r="D1521" s="38" t="s">
        <v>866</v>
      </c>
      <c r="E1521" s="38" t="str">
        <f aca="false">B1521&amp;"|"&amp;C1521</f>
        <v>8|U</v>
      </c>
      <c r="F1521" s="45" t="n">
        <f aca="false">INDEX('Emission Stepwise'!$H$2:$H$289,MATCH(E1521,'Emission Stepwise'!$C$2:$C$289,0))</f>
        <v>0.975369458128079</v>
      </c>
      <c r="G1521" s="45" t="n">
        <f aca="false">INDEX(Background!$C$4:$C$7,MATCH(C1521,Background!$A$4:$A$7,0))</f>
        <v>0.212884169069555</v>
      </c>
      <c r="H1521" s="49" t="n">
        <f aca="false">LN(F1521/G1521)</f>
        <v>1.5220681200274</v>
      </c>
    </row>
    <row r="1522" customFormat="false" ht="15" hidden="false" customHeight="true" outlineLevel="0" collapsed="false">
      <c r="A1522" s="38" t="s">
        <v>860</v>
      </c>
      <c r="B1522" s="38" t="n">
        <v>9</v>
      </c>
      <c r="C1522" s="38" t="s">
        <v>171</v>
      </c>
      <c r="D1522" s="38" t="s">
        <v>867</v>
      </c>
      <c r="E1522" s="38" t="str">
        <f aca="false">B1522&amp;"|"&amp;C1522</f>
        <v>9|U</v>
      </c>
      <c r="F1522" s="45" t="n">
        <f aca="false">INDEX('Emission Stepwise'!$H$2:$H$289,MATCH(E1522,'Emission Stepwise'!$C$2:$C$289,0))</f>
        <v>0.00495049504950495</v>
      </c>
      <c r="G1522" s="45" t="n">
        <f aca="false">INDEX(Background!$C$4:$C$7,MATCH(C1522,Background!$A$4:$A$7,0))</f>
        <v>0.212884169069555</v>
      </c>
      <c r="H1522" s="49" t="n">
        <f aca="false">LN(F1522/G1522)</f>
        <v>-3.76126062902655</v>
      </c>
    </row>
    <row r="1523" customFormat="false" ht="15" hidden="false" customHeight="true" outlineLevel="0" collapsed="false">
      <c r="A1523" s="38" t="s">
        <v>860</v>
      </c>
      <c r="B1523" s="38" t="n">
        <v>10</v>
      </c>
      <c r="C1523" s="38" t="s">
        <v>172</v>
      </c>
      <c r="D1523" s="38" t="s">
        <v>867</v>
      </c>
      <c r="E1523" s="38" t="str">
        <f aca="false">B1523&amp;"|"&amp;C1523</f>
        <v>10|A</v>
      </c>
      <c r="F1523" s="45" t="n">
        <f aca="false">INDEX('Emission Stepwise'!$H$2:$H$289,MATCH(E1523,'Emission Stepwise'!$C$2:$C$289,0))</f>
        <v>0.00492610837438424</v>
      </c>
      <c r="G1523" s="45" t="n">
        <f aca="false">INDEX(Background!$C$4:$C$7,MATCH(C1523,Background!$A$4:$A$7,0))</f>
        <v>0.185174766157958</v>
      </c>
      <c r="H1523" s="49" t="n">
        <f aca="false">LN(F1523/G1523)</f>
        <v>-3.62675076114172</v>
      </c>
    </row>
    <row r="1524" customFormat="false" ht="15" hidden="false" customHeight="true" outlineLevel="0" collapsed="false">
      <c r="A1524" s="38" t="s">
        <v>860</v>
      </c>
      <c r="B1524" s="38" t="n">
        <v>11</v>
      </c>
      <c r="C1524" s="38" t="s">
        <v>172</v>
      </c>
      <c r="D1524" s="38" t="s">
        <v>867</v>
      </c>
      <c r="E1524" s="38" t="str">
        <f aca="false">B1524&amp;"|"&amp;C1524</f>
        <v>11|A</v>
      </c>
      <c r="F1524" s="45" t="n">
        <f aca="false">INDEX('Emission Stepwise'!$H$2:$H$289,MATCH(E1524,'Emission Stepwise'!$C$2:$C$289,0))</f>
        <v>0.0394088669950739</v>
      </c>
      <c r="G1524" s="45" t="n">
        <f aca="false">INDEX(Background!$C$4:$C$7,MATCH(C1524,Background!$A$4:$A$7,0))</f>
        <v>0.185174766157958</v>
      </c>
      <c r="H1524" s="49" t="n">
        <f aca="false">LN(F1524/G1524)</f>
        <v>-1.54730921946189</v>
      </c>
    </row>
    <row r="1525" customFormat="false" ht="15" hidden="false" customHeight="true" outlineLevel="0" collapsed="false">
      <c r="A1525" s="38" t="s">
        <v>860</v>
      </c>
      <c r="B1525" s="38" t="n">
        <v>12</v>
      </c>
      <c r="C1525" s="38" t="s">
        <v>171</v>
      </c>
      <c r="D1525" s="38" t="s">
        <v>867</v>
      </c>
      <c r="E1525" s="38" t="str">
        <f aca="false">B1525&amp;"|"&amp;C1525</f>
        <v>12|U</v>
      </c>
      <c r="F1525" s="45" t="n">
        <f aca="false">INDEX('Emission Stepwise'!$H$2:$H$289,MATCH(E1525,'Emission Stepwise'!$C$2:$C$289,0))</f>
        <v>0.591133004926108</v>
      </c>
      <c r="G1525" s="45" t="n">
        <f aca="false">INDEX(Background!$C$4:$C$7,MATCH(C1525,Background!$A$4:$A$7,0))</f>
        <v>0.212884169069555</v>
      </c>
      <c r="H1525" s="49" t="n">
        <f aca="false">LN(F1525/G1525)</f>
        <v>1.02129283211491</v>
      </c>
    </row>
    <row r="1526" customFormat="false" ht="15" hidden="false" customHeight="true" outlineLevel="0" collapsed="false">
      <c r="A1526" s="38" t="s">
        <v>860</v>
      </c>
      <c r="B1526" s="38" t="n">
        <v>13</v>
      </c>
      <c r="C1526" s="38" t="s">
        <v>172</v>
      </c>
      <c r="D1526" s="38" t="s">
        <v>867</v>
      </c>
      <c r="E1526" s="38" t="str">
        <f aca="false">B1526&amp;"|"&amp;C1526</f>
        <v>13|A</v>
      </c>
      <c r="F1526" s="45" t="n">
        <f aca="false">INDEX('Emission Stepwise'!$H$2:$H$289,MATCH(E1526,'Emission Stepwise'!$C$2:$C$289,0))</f>
        <v>0.0689655172413793</v>
      </c>
      <c r="G1526" s="45" t="n">
        <f aca="false">INDEX(Background!$C$4:$C$7,MATCH(C1526,Background!$A$4:$A$7,0))</f>
        <v>0.185174766157958</v>
      </c>
      <c r="H1526" s="49" t="n">
        <f aca="false">LN(F1526/G1526)</f>
        <v>-0.987693431526464</v>
      </c>
    </row>
    <row r="1527" customFormat="false" ht="15" hidden="false" customHeight="true" outlineLevel="0" collapsed="false">
      <c r="A1527" s="38" t="s">
        <v>860</v>
      </c>
      <c r="B1527" s="38" t="n">
        <v>14</v>
      </c>
      <c r="C1527" s="38" t="s">
        <v>172</v>
      </c>
      <c r="D1527" s="38" t="s">
        <v>867</v>
      </c>
      <c r="E1527" s="38" t="str">
        <f aca="false">B1527&amp;"|"&amp;C1527</f>
        <v>14|A</v>
      </c>
      <c r="F1527" s="45" t="n">
        <f aca="false">INDEX('Emission Stepwise'!$H$2:$H$289,MATCH(E1527,'Emission Stepwise'!$C$2:$C$289,0))</f>
        <v>0.975369458128079</v>
      </c>
      <c r="G1527" s="45" t="n">
        <f aca="false">INDEX(Background!$C$4:$C$7,MATCH(C1527,Background!$A$4:$A$7,0))</f>
        <v>0.185174766157958</v>
      </c>
      <c r="H1527" s="49" t="n">
        <f aca="false">LN(F1527/G1527)</f>
        <v>1.66151626955281</v>
      </c>
    </row>
    <row r="1528" customFormat="false" ht="15" hidden="false" customHeight="true" outlineLevel="0" collapsed="false">
      <c r="A1528" s="38" t="s">
        <v>860</v>
      </c>
      <c r="B1528" s="38" t="n">
        <v>15</v>
      </c>
      <c r="C1528" s="38" t="s">
        <v>171</v>
      </c>
      <c r="D1528" s="38" t="s">
        <v>867</v>
      </c>
      <c r="E1528" s="38" t="str">
        <f aca="false">B1528&amp;"|"&amp;C1528</f>
        <v>15|U</v>
      </c>
      <c r="F1528" s="45" t="n">
        <f aca="false">INDEX('Emission Stepwise'!$H$2:$H$289,MATCH(E1528,'Emission Stepwise'!$C$2:$C$289,0))</f>
        <v>0.0148514851485149</v>
      </c>
      <c r="G1528" s="45" t="n">
        <f aca="false">INDEX(Background!$C$4:$C$7,MATCH(C1528,Background!$A$4:$A$7,0))</f>
        <v>0.212884169069555</v>
      </c>
      <c r="H1528" s="49" t="n">
        <f aca="false">LN(F1528/G1528)</f>
        <v>-2.66264834035844</v>
      </c>
    </row>
    <row r="1529" customFormat="false" ht="15" hidden="false" customHeight="true" outlineLevel="0" collapsed="false">
      <c r="A1529" s="38" t="s">
        <v>860</v>
      </c>
      <c r="B1529" s="38" t="n">
        <v>16</v>
      </c>
      <c r="C1529" s="38" t="s">
        <v>172</v>
      </c>
      <c r="D1529" s="38" t="s">
        <v>867</v>
      </c>
      <c r="E1529" s="38" t="str">
        <f aca="false">B1529&amp;"|"&amp;C1529</f>
        <v>16|A</v>
      </c>
      <c r="F1529" s="45" t="n">
        <f aca="false">INDEX('Emission Stepwise'!$H$2:$H$289,MATCH(E1529,'Emission Stepwise'!$C$2:$C$289,0))</f>
        <v>0.0294117647058824</v>
      </c>
      <c r="G1529" s="45" t="n">
        <f aca="false">INDEX(Background!$C$4:$C$7,MATCH(C1529,Background!$A$4:$A$7,0))</f>
        <v>0.185174766157958</v>
      </c>
      <c r="H1529" s="49" t="n">
        <f aca="false">LN(F1529/G1529)</f>
        <v>-1.8399053067161</v>
      </c>
    </row>
    <row r="1530" customFormat="false" ht="15" hidden="false" customHeight="true" outlineLevel="0" collapsed="false">
      <c r="A1530" s="38" t="s">
        <v>860</v>
      </c>
      <c r="B1530" s="38" t="n">
        <v>17</v>
      </c>
      <c r="C1530" s="38" t="s">
        <v>172</v>
      </c>
      <c r="D1530" s="38" t="s">
        <v>867</v>
      </c>
      <c r="E1530" s="38" t="str">
        <f aca="false">B1530&amp;"|"&amp;C1530</f>
        <v>17|A</v>
      </c>
      <c r="F1530" s="45" t="n">
        <f aca="false">INDEX('Emission Stepwise'!$H$2:$H$289,MATCH(E1530,'Emission Stepwise'!$C$2:$C$289,0))</f>
        <v>0.065</v>
      </c>
      <c r="G1530" s="45" t="n">
        <f aca="false">INDEX(Background!$C$4:$C$7,MATCH(C1530,Background!$A$4:$A$7,0))</f>
        <v>0.185174766157958</v>
      </c>
      <c r="H1530" s="49" t="n">
        <f aca="false">LN(F1530/G1530)</f>
        <v>-1.04691279118643</v>
      </c>
    </row>
    <row r="1531" customFormat="false" ht="15" hidden="false" customHeight="true" outlineLevel="0" collapsed="false">
      <c r="A1531" s="38" t="s">
        <v>860</v>
      </c>
      <c r="B1531" s="38" t="n">
        <v>18</v>
      </c>
      <c r="C1531" s="38" t="s">
        <v>169</v>
      </c>
      <c r="D1531" s="38" t="s">
        <v>867</v>
      </c>
      <c r="E1531" s="38" t="str">
        <f aca="false">B1531&amp;"|"&amp;C1531</f>
        <v>18|G</v>
      </c>
      <c r="F1531" s="45" t="n">
        <f aca="false">INDEX('Emission Stepwise'!$H$2:$H$289,MATCH(E1531,'Emission Stepwise'!$C$2:$C$289,0))</f>
        <v>0.980295566502463</v>
      </c>
      <c r="G1531" s="45" t="n">
        <f aca="false">INDEX(Background!$C$4:$C$7,MATCH(C1531,Background!$A$4:$A$7,0))</f>
        <v>0.325128349391659</v>
      </c>
      <c r="H1531" s="49" t="n">
        <f aca="false">LN(F1531/G1531)</f>
        <v>1.10363409909085</v>
      </c>
    </row>
    <row r="1532" customFormat="false" ht="15" hidden="false" customHeight="true" outlineLevel="0" collapsed="false">
      <c r="A1532" s="38" t="s">
        <v>860</v>
      </c>
      <c r="B1532" s="38" t="n">
        <v>19</v>
      </c>
      <c r="C1532" s="38" t="s">
        <v>169</v>
      </c>
      <c r="D1532" s="38" t="s">
        <v>867</v>
      </c>
      <c r="E1532" s="38" t="str">
        <f aca="false">B1532&amp;"|"&amp;C1532</f>
        <v>19|G</v>
      </c>
      <c r="F1532" s="45" t="n">
        <f aca="false">INDEX('Emission Stepwise'!$H$2:$H$289,MATCH(E1532,'Emission Stepwise'!$C$2:$C$289,0))</f>
        <v>0.970443349753695</v>
      </c>
      <c r="G1532" s="45" t="n">
        <f aca="false">INDEX(Background!$C$4:$C$7,MATCH(C1532,Background!$A$4:$A$7,0))</f>
        <v>0.325128349391659</v>
      </c>
      <c r="H1532" s="49" t="n">
        <f aca="false">LN(F1532/G1532)</f>
        <v>1.09353300310435</v>
      </c>
    </row>
    <row r="1533" customFormat="false" ht="15" hidden="false" customHeight="true" outlineLevel="0" collapsed="false">
      <c r="A1533" s="38" t="s">
        <v>860</v>
      </c>
      <c r="B1533" s="38" t="n">
        <v>20</v>
      </c>
      <c r="C1533" s="38" t="s">
        <v>172</v>
      </c>
      <c r="D1533" s="38" t="s">
        <v>867</v>
      </c>
      <c r="E1533" s="38" t="str">
        <f aca="false">B1533&amp;"|"&amp;C1533</f>
        <v>20|A</v>
      </c>
      <c r="F1533" s="45" t="n">
        <f aca="false">INDEX('Emission Stepwise'!$H$2:$H$289,MATCH(E1533,'Emission Stepwise'!$C$2:$C$289,0))</f>
        <v>0.0891089108910891</v>
      </c>
      <c r="G1533" s="45" t="n">
        <f aca="false">INDEX(Background!$C$4:$C$7,MATCH(C1533,Background!$A$4:$A$7,0))</f>
        <v>0.185174766157958</v>
      </c>
      <c r="H1533" s="49" t="n">
        <f aca="false">LN(F1533/G1533)</f>
        <v>-0.731440721604975</v>
      </c>
    </row>
    <row r="1534" customFormat="false" ht="15" hidden="false" customHeight="true" outlineLevel="0" collapsed="false">
      <c r="A1534" s="38" t="s">
        <v>860</v>
      </c>
      <c r="B1534" s="38" t="n">
        <v>21</v>
      </c>
      <c r="C1534" s="38" t="s">
        <v>171</v>
      </c>
      <c r="D1534" s="38" t="s">
        <v>867</v>
      </c>
      <c r="E1534" s="38" t="str">
        <f aca="false">B1534&amp;"|"&amp;C1534</f>
        <v>21|U</v>
      </c>
      <c r="F1534" s="45" t="n">
        <f aca="false">INDEX('Emission Stepwise'!$H$2:$H$289,MATCH(E1534,'Emission Stepwise'!$C$2:$C$289,0))</f>
        <v>0.0541871921182266</v>
      </c>
      <c r="G1534" s="45" t="n">
        <f aca="false">INDEX(Background!$C$4:$C$7,MATCH(C1534,Background!$A$4:$A$7,0))</f>
        <v>0.212884169069555</v>
      </c>
      <c r="H1534" s="49" t="n">
        <f aca="false">LN(F1534/G1534)</f>
        <v>-1.36830363786876</v>
      </c>
    </row>
    <row r="1535" customFormat="false" ht="15" hidden="false" customHeight="true" outlineLevel="0" collapsed="false">
      <c r="A1535" s="38" t="s">
        <v>860</v>
      </c>
      <c r="B1535" s="38" t="n">
        <v>22</v>
      </c>
      <c r="C1535" s="38" t="s">
        <v>171</v>
      </c>
      <c r="D1535" s="38" t="s">
        <v>867</v>
      </c>
      <c r="E1535" s="38" t="str">
        <f aca="false">B1535&amp;"|"&amp;C1535</f>
        <v>22|U</v>
      </c>
      <c r="F1535" s="45" t="n">
        <f aca="false">INDEX('Emission Stepwise'!$H$2:$H$289,MATCH(E1535,'Emission Stepwise'!$C$2:$C$289,0))</f>
        <v>0.0738916256157636</v>
      </c>
      <c r="G1535" s="45" t="n">
        <f aca="false">INDEX(Background!$C$4:$C$7,MATCH(C1535,Background!$A$4:$A$7,0))</f>
        <v>0.212884169069555</v>
      </c>
      <c r="H1535" s="49" t="n">
        <f aca="false">LN(F1535/G1535)</f>
        <v>-1.05814870956492</v>
      </c>
    </row>
    <row r="1536" customFormat="false" ht="15" hidden="false" customHeight="true" outlineLevel="0" collapsed="false">
      <c r="A1536" s="38" t="s">
        <v>860</v>
      </c>
      <c r="B1536" s="38" t="n">
        <v>23</v>
      </c>
      <c r="C1536" s="38" t="s">
        <v>172</v>
      </c>
      <c r="D1536" s="38" t="s">
        <v>867</v>
      </c>
      <c r="E1536" s="38" t="str">
        <f aca="false">B1536&amp;"|"&amp;C1536</f>
        <v>23|A</v>
      </c>
      <c r="F1536" s="45" t="n">
        <f aca="false">INDEX('Emission Stepwise'!$H$2:$H$289,MATCH(E1536,'Emission Stepwise'!$C$2:$C$289,0))</f>
        <v>0.596059113300493</v>
      </c>
      <c r="G1536" s="45" t="n">
        <f aca="false">INDEX(Background!$C$4:$C$7,MATCH(C1536,Background!$A$4:$A$7,0))</f>
        <v>0.185174766157958</v>
      </c>
      <c r="H1536" s="49" t="n">
        <f aca="false">LN(F1536/G1536)</f>
        <v>1.16903978445502</v>
      </c>
    </row>
    <row r="1537" customFormat="false" ht="15" hidden="false" customHeight="true" outlineLevel="0" collapsed="false">
      <c r="A1537" s="38" t="s">
        <v>860</v>
      </c>
      <c r="B1537" s="38" t="n">
        <v>24</v>
      </c>
      <c r="C1537" s="38" t="s">
        <v>171</v>
      </c>
      <c r="D1537" s="38" t="s">
        <v>867</v>
      </c>
      <c r="E1537" s="38" t="str">
        <f aca="false">B1537&amp;"|"&amp;C1537</f>
        <v>24|U</v>
      </c>
      <c r="F1537" s="45" t="n">
        <f aca="false">INDEX('Emission Stepwise'!$H$2:$H$289,MATCH(E1537,'Emission Stepwise'!$C$2:$C$289,0))</f>
        <v>0.0394088669950739</v>
      </c>
      <c r="G1537" s="45" t="n">
        <f aca="false">INDEX(Background!$C$4:$C$7,MATCH(C1537,Background!$A$4:$A$7,0))</f>
        <v>0.212884169069555</v>
      </c>
      <c r="H1537" s="49" t="n">
        <f aca="false">LN(F1537/G1537)</f>
        <v>-1.6867573689873</v>
      </c>
    </row>
    <row r="1538" customFormat="false" ht="15" hidden="false" customHeight="true" outlineLevel="0" collapsed="false">
      <c r="A1538" s="38" t="s">
        <v>860</v>
      </c>
      <c r="B1538" s="38" t="n">
        <v>25</v>
      </c>
      <c r="C1538" s="38" t="s">
        <v>171</v>
      </c>
      <c r="D1538" s="38" t="s">
        <v>867</v>
      </c>
      <c r="E1538" s="38" t="str">
        <f aca="false">B1538&amp;"|"&amp;C1538</f>
        <v>25|U</v>
      </c>
      <c r="F1538" s="45" t="n">
        <f aca="false">INDEX('Emission Stepwise'!$H$2:$H$289,MATCH(E1538,'Emission Stepwise'!$C$2:$C$289,0))</f>
        <v>0.0738916256157636</v>
      </c>
      <c r="G1538" s="45" t="n">
        <f aca="false">INDEX(Background!$C$4:$C$7,MATCH(C1538,Background!$A$4:$A$7,0))</f>
        <v>0.212884169069555</v>
      </c>
      <c r="H1538" s="49" t="n">
        <f aca="false">LN(F1538/G1538)</f>
        <v>-1.05814870956492</v>
      </c>
    </row>
    <row r="1539" customFormat="false" ht="15" hidden="false" customHeight="true" outlineLevel="0" collapsed="false">
      <c r="A1539" s="38" t="s">
        <v>860</v>
      </c>
      <c r="B1539" s="38" t="n">
        <v>26</v>
      </c>
      <c r="C1539" s="38" t="s">
        <v>171</v>
      </c>
      <c r="D1539" s="38" t="s">
        <v>868</v>
      </c>
      <c r="E1539" s="38" t="str">
        <f aca="false">B1539&amp;"|"&amp;C1539</f>
        <v>26|U</v>
      </c>
      <c r="F1539" s="45" t="n">
        <f aca="false">INDEX('Emission Stepwise'!$H$2:$H$289,MATCH(E1539,'Emission Stepwise'!$C$2:$C$289,0))</f>
        <v>0.0591133004926108</v>
      </c>
      <c r="G1539" s="45" t="n">
        <f aca="false">INDEX(Background!$C$4:$C$7,MATCH(C1539,Background!$A$4:$A$7,0))</f>
        <v>0.212884169069555</v>
      </c>
      <c r="H1539" s="49" t="n">
        <f aca="false">LN(F1539/G1539)</f>
        <v>-1.28129226087913</v>
      </c>
    </row>
    <row r="1540" customFormat="false" ht="15" hidden="false" customHeight="true" outlineLevel="0" collapsed="false">
      <c r="A1540" s="38" t="s">
        <v>860</v>
      </c>
      <c r="B1540" s="38" t="n">
        <v>27</v>
      </c>
      <c r="C1540" s="38" t="s">
        <v>169</v>
      </c>
      <c r="D1540" s="38" t="s">
        <v>868</v>
      </c>
      <c r="E1540" s="38" t="str">
        <f aca="false">B1540&amp;"|"&amp;C1540</f>
        <v>27|G</v>
      </c>
      <c r="F1540" s="45" t="n">
        <f aca="false">INDEX('Emission Stepwise'!$H$2:$H$289,MATCH(E1540,'Emission Stepwise'!$C$2:$C$289,0))</f>
        <v>0.157635467980296</v>
      </c>
      <c r="G1540" s="45" t="n">
        <f aca="false">INDEX(Background!$C$4:$C$7,MATCH(C1540,Background!$A$4:$A$7,0))</f>
        <v>0.325128349391659</v>
      </c>
      <c r="H1540" s="49" t="n">
        <f aca="false">LN(F1540/G1540)</f>
        <v>-0.723934822833912</v>
      </c>
    </row>
    <row r="1541" customFormat="false" ht="15" hidden="false" customHeight="true" outlineLevel="0" collapsed="false">
      <c r="A1541" s="38" t="s">
        <v>860</v>
      </c>
      <c r="B1541" s="38" t="n">
        <v>28</v>
      </c>
      <c r="C1541" s="38" t="s">
        <v>169</v>
      </c>
      <c r="D1541" s="38" t="s">
        <v>868</v>
      </c>
      <c r="E1541" s="38" t="str">
        <f aca="false">B1541&amp;"|"&amp;C1541</f>
        <v>28|G</v>
      </c>
      <c r="F1541" s="45" t="n">
        <f aca="false">INDEX('Emission Stepwise'!$H$2:$H$289,MATCH(E1541,'Emission Stepwise'!$C$2:$C$289,0))</f>
        <v>0.113300492610837</v>
      </c>
      <c r="G1541" s="45" t="n">
        <f aca="false">INDEX(Background!$C$4:$C$7,MATCH(C1541,Background!$A$4:$A$7,0))</f>
        <v>0.325128349391659</v>
      </c>
      <c r="H1541" s="49" t="n">
        <f aca="false">LN(F1541/G1541)</f>
        <v>-1.05417650970449</v>
      </c>
    </row>
    <row r="1542" customFormat="false" ht="15" hidden="false" customHeight="true" outlineLevel="0" collapsed="false">
      <c r="A1542" s="38" t="s">
        <v>860</v>
      </c>
      <c r="B1542" s="38" t="n">
        <v>29</v>
      </c>
      <c r="C1542" s="38" t="s">
        <v>172</v>
      </c>
      <c r="D1542" s="38" t="s">
        <v>868</v>
      </c>
      <c r="E1542" s="38" t="str">
        <f aca="false">B1542&amp;"|"&amp;C1542</f>
        <v>29|A</v>
      </c>
      <c r="F1542" s="45" t="n">
        <f aca="false">INDEX('Emission Stepwise'!$H$2:$H$289,MATCH(E1542,'Emission Stepwise'!$C$2:$C$289,0))</f>
        <v>0.16256157635468</v>
      </c>
      <c r="G1542" s="45" t="n">
        <f aca="false">INDEX(Background!$C$4:$C$7,MATCH(C1542,Background!$A$4:$A$7,0))</f>
        <v>0.185174766157958</v>
      </c>
      <c r="H1542" s="49" t="n">
        <f aca="false">LN(F1542/G1542)</f>
        <v>-0.130243199675242</v>
      </c>
    </row>
    <row r="1543" customFormat="false" ht="15" hidden="false" customHeight="true" outlineLevel="0" collapsed="false">
      <c r="A1543" s="38" t="s">
        <v>860</v>
      </c>
      <c r="B1543" s="38" t="n">
        <v>30</v>
      </c>
      <c r="C1543" s="38" t="s">
        <v>169</v>
      </c>
      <c r="D1543" s="38" t="s">
        <v>868</v>
      </c>
      <c r="E1543" s="38" t="str">
        <f aca="false">B1543&amp;"|"&amp;C1543</f>
        <v>30|G</v>
      </c>
      <c r="F1543" s="45" t="n">
        <f aca="false">INDEX('Emission Stepwise'!$H$2:$H$289,MATCH(E1543,'Emission Stepwise'!$C$2:$C$289,0))</f>
        <v>0.74384236453202</v>
      </c>
      <c r="G1543" s="45" t="n">
        <f aca="false">INDEX(Background!$C$4:$C$7,MATCH(C1543,Background!$A$4:$A$7,0))</f>
        <v>0.325128349391659</v>
      </c>
      <c r="H1543" s="49" t="n">
        <f aca="false">LN(F1543/G1543)</f>
        <v>0.827609111181286</v>
      </c>
    </row>
    <row r="1544" customFormat="false" ht="15" hidden="false" customHeight="true" outlineLevel="0" collapsed="false">
      <c r="A1544" s="38" t="s">
        <v>860</v>
      </c>
      <c r="B1544" s="38" t="n">
        <v>31</v>
      </c>
      <c r="C1544" s="38" t="s">
        <v>171</v>
      </c>
      <c r="D1544" s="38" t="s">
        <v>868</v>
      </c>
      <c r="E1544" s="38" t="str">
        <f aca="false">B1544&amp;"|"&amp;C1544</f>
        <v>31|U</v>
      </c>
      <c r="F1544" s="45" t="n">
        <f aca="false">INDEX('Emission Stepwise'!$H$2:$H$289,MATCH(E1544,'Emission Stepwise'!$C$2:$C$289,0))</f>
        <v>0.0985221674876847</v>
      </c>
      <c r="G1544" s="45" t="n">
        <f aca="false">INDEX(Background!$C$4:$C$7,MATCH(C1544,Background!$A$4:$A$7,0))</f>
        <v>0.212884169069555</v>
      </c>
      <c r="H1544" s="49" t="n">
        <f aca="false">LN(F1544/G1544)</f>
        <v>-0.770466637113141</v>
      </c>
    </row>
    <row r="1545" customFormat="false" ht="15" hidden="false" customHeight="true" outlineLevel="0" collapsed="false">
      <c r="A1545" s="38" t="s">
        <v>860</v>
      </c>
      <c r="B1545" s="38" t="n">
        <v>32</v>
      </c>
      <c r="C1545" s="38" t="s">
        <v>172</v>
      </c>
      <c r="D1545" s="38" t="s">
        <v>868</v>
      </c>
      <c r="E1545" s="38" t="str">
        <f aca="false">B1545&amp;"|"&amp;C1545</f>
        <v>32|A</v>
      </c>
      <c r="F1545" s="45" t="n">
        <f aca="false">INDEX('Emission Stepwise'!$H$2:$H$289,MATCH(E1545,'Emission Stepwise'!$C$2:$C$289,0))</f>
        <v>0.0344827586206897</v>
      </c>
      <c r="G1545" s="45" t="n">
        <f aca="false">INDEX(Background!$C$4:$C$7,MATCH(C1545,Background!$A$4:$A$7,0))</f>
        <v>0.185174766157958</v>
      </c>
      <c r="H1545" s="49" t="n">
        <f aca="false">LN(F1545/G1545)</f>
        <v>-1.68084061208641</v>
      </c>
    </row>
    <row r="1546" customFormat="false" ht="15" hidden="false" customHeight="true" outlineLevel="0" collapsed="false">
      <c r="A1546" s="38" t="s">
        <v>860</v>
      </c>
      <c r="B1546" s="38" t="n">
        <v>33</v>
      </c>
      <c r="C1546" s="38" t="s">
        <v>171</v>
      </c>
      <c r="D1546" s="38" t="s">
        <v>868</v>
      </c>
      <c r="E1546" s="38" t="str">
        <f aca="false">B1546&amp;"|"&amp;C1546</f>
        <v>33|U</v>
      </c>
      <c r="F1546" s="45" t="n">
        <f aca="false">INDEX('Emission Stepwise'!$H$2:$H$289,MATCH(E1546,'Emission Stepwise'!$C$2:$C$289,0))</f>
        <v>0.975369458128079</v>
      </c>
      <c r="G1546" s="45" t="n">
        <f aca="false">INDEX(Background!$C$4:$C$7,MATCH(C1546,Background!$A$4:$A$7,0))</f>
        <v>0.212884169069555</v>
      </c>
      <c r="H1546" s="49" t="n">
        <f aca="false">LN(F1546/G1546)</f>
        <v>1.5220681200274</v>
      </c>
    </row>
    <row r="1547" customFormat="false" ht="15" hidden="false" customHeight="true" outlineLevel="0" collapsed="false">
      <c r="A1547" s="38" t="s">
        <v>860</v>
      </c>
      <c r="B1547" s="38" t="n">
        <v>34</v>
      </c>
      <c r="C1547" s="38" t="s">
        <v>170</v>
      </c>
      <c r="D1547" s="38" t="s">
        <v>868</v>
      </c>
      <c r="E1547" s="38" t="str">
        <f aca="false">B1547&amp;"|"&amp;C1547</f>
        <v>34|C</v>
      </c>
      <c r="F1547" s="45" t="n">
        <f aca="false">INDEX('Emission Stepwise'!$H$2:$H$289,MATCH(E1547,'Emission Stepwise'!$C$2:$C$289,0))</f>
        <v>0.330049261083744</v>
      </c>
      <c r="G1547" s="45" t="n">
        <f aca="false">INDEX(Background!$C$4:$C$7,MATCH(C1547,Background!$A$4:$A$7,0))</f>
        <v>0.276812715380828</v>
      </c>
      <c r="H1547" s="49" t="n">
        <f aca="false">LN(F1547/G1547)</f>
        <v>0.175900759573409</v>
      </c>
    </row>
    <row r="1548" customFormat="false" ht="15" hidden="false" customHeight="true" outlineLevel="0" collapsed="false">
      <c r="A1548" s="38" t="s">
        <v>860</v>
      </c>
      <c r="B1548" s="38" t="n">
        <v>35</v>
      </c>
      <c r="C1548" s="38" t="s">
        <v>171</v>
      </c>
      <c r="D1548" s="38" t="s">
        <v>868</v>
      </c>
      <c r="E1548" s="38" t="str">
        <f aca="false">B1548&amp;"|"&amp;C1548</f>
        <v>35|U</v>
      </c>
      <c r="F1548" s="45" t="n">
        <f aca="false">INDEX('Emission Stepwise'!$H$2:$H$289,MATCH(E1548,'Emission Stepwise'!$C$2:$C$289,0))</f>
        <v>0.206896551724138</v>
      </c>
      <c r="G1548" s="45" t="n">
        <f aca="false">INDEX(Background!$C$4:$C$7,MATCH(C1548,Background!$A$4:$A$7,0))</f>
        <v>0.212884169069555</v>
      </c>
      <c r="H1548" s="49" t="n">
        <f aca="false">LN(F1548/G1548)</f>
        <v>-0.0285292923837632</v>
      </c>
    </row>
    <row r="1549" customFormat="false" ht="15" hidden="false" customHeight="true" outlineLevel="0" collapsed="false">
      <c r="A1549" s="38" t="s">
        <v>860</v>
      </c>
      <c r="B1549" s="38" t="n">
        <v>36</v>
      </c>
      <c r="C1549" s="38" t="s">
        <v>172</v>
      </c>
      <c r="D1549" s="38" t="s">
        <v>868</v>
      </c>
      <c r="E1549" s="38" t="str">
        <f aca="false">B1549&amp;"|"&amp;C1549</f>
        <v>36|A</v>
      </c>
      <c r="F1549" s="45" t="n">
        <f aca="false">INDEX('Emission Stepwise'!$H$2:$H$289,MATCH(E1549,'Emission Stepwise'!$C$2:$C$289,0))</f>
        <v>0.216748768472906</v>
      </c>
      <c r="G1549" s="45" t="n">
        <f aca="false">INDEX(Background!$C$4:$C$7,MATCH(C1549,Background!$A$4:$A$7,0))</f>
        <v>0.185174766157958</v>
      </c>
      <c r="H1549" s="49" t="n">
        <f aca="false">LN(F1549/G1549)</f>
        <v>0.157438872776539</v>
      </c>
    </row>
    <row r="1550" customFormat="false" ht="15" hidden="false" customHeight="true" outlineLevel="0" collapsed="false">
      <c r="A1550" s="38" t="s">
        <v>860</v>
      </c>
      <c r="B1550" s="38" t="n">
        <v>37</v>
      </c>
      <c r="C1550" s="38" t="s">
        <v>170</v>
      </c>
      <c r="D1550" s="38" t="s">
        <v>868</v>
      </c>
      <c r="E1550" s="38" t="str">
        <f aca="false">B1550&amp;"|"&amp;C1550</f>
        <v>37|C</v>
      </c>
      <c r="F1550" s="45" t="n">
        <f aca="false">INDEX('Emission Stepwise'!$H$2:$H$289,MATCH(E1550,'Emission Stepwise'!$C$2:$C$289,0))</f>
        <v>0.00985221674876847</v>
      </c>
      <c r="G1550" s="45" t="n">
        <f aca="false">INDEX(Background!$C$4:$C$7,MATCH(C1550,Background!$A$4:$A$7,0))</f>
        <v>0.276812715380828</v>
      </c>
      <c r="H1550" s="49" t="n">
        <f aca="false">LN(F1550/G1550)</f>
        <v>-3.33564467925761</v>
      </c>
    </row>
    <row r="1551" customFormat="false" ht="15" hidden="false" customHeight="true" outlineLevel="0" collapsed="false">
      <c r="A1551" s="38" t="s">
        <v>860</v>
      </c>
      <c r="B1551" s="38" t="n">
        <v>38</v>
      </c>
      <c r="C1551" s="38" t="s">
        <v>171</v>
      </c>
      <c r="D1551" s="38" t="s">
        <v>868</v>
      </c>
      <c r="E1551" s="38" t="str">
        <f aca="false">B1551&amp;"|"&amp;C1551</f>
        <v>38|U</v>
      </c>
      <c r="F1551" s="45" t="n">
        <f aca="false">INDEX('Emission Stepwise'!$H$2:$H$289,MATCH(E1551,'Emission Stepwise'!$C$2:$C$289,0))</f>
        <v>0.118226600985222</v>
      </c>
      <c r="G1551" s="45" t="n">
        <f aca="false">INDEX(Background!$C$4:$C$7,MATCH(C1551,Background!$A$4:$A$7,0))</f>
        <v>0.212884169069555</v>
      </c>
      <c r="H1551" s="49" t="n">
        <f aca="false">LN(F1551/G1551)</f>
        <v>-0.588145080319186</v>
      </c>
    </row>
    <row r="1552" customFormat="false" ht="15" hidden="false" customHeight="true" outlineLevel="0" collapsed="false">
      <c r="A1552" s="38" t="s">
        <v>860</v>
      </c>
      <c r="B1552" s="38" t="n">
        <v>39</v>
      </c>
      <c r="C1552" s="38" t="s">
        <v>169</v>
      </c>
      <c r="D1552" s="38" t="s">
        <v>868</v>
      </c>
      <c r="E1552" s="38" t="str">
        <f aca="false">B1552&amp;"|"&amp;C1552</f>
        <v>39|G</v>
      </c>
      <c r="F1552" s="45" t="n">
        <f aca="false">INDEX('Emission Stepwise'!$H$2:$H$289,MATCH(E1552,'Emission Stepwise'!$C$2:$C$289,0))</f>
        <v>0.359605911330049</v>
      </c>
      <c r="G1552" s="45" t="n">
        <f aca="false">INDEX(Background!$C$4:$C$7,MATCH(C1552,Background!$A$4:$A$7,0))</f>
        <v>0.325128349391659</v>
      </c>
      <c r="H1552" s="49" t="n">
        <f aca="false">LN(F1552/G1552)</f>
        <v>0.100788715514753</v>
      </c>
    </row>
    <row r="1553" customFormat="false" ht="15" hidden="false" customHeight="true" outlineLevel="0" collapsed="false">
      <c r="A1553" s="38" t="s">
        <v>860</v>
      </c>
      <c r="B1553" s="38" t="n">
        <v>40</v>
      </c>
      <c r="C1553" s="38" t="s">
        <v>170</v>
      </c>
      <c r="D1553" s="38" t="s">
        <v>868</v>
      </c>
      <c r="E1553" s="38" t="str">
        <f aca="false">B1553&amp;"|"&amp;C1553</f>
        <v>40|C</v>
      </c>
      <c r="F1553" s="45" t="n">
        <f aca="false">INDEX('Emission Stepwise'!$H$2:$H$289,MATCH(E1553,'Emission Stepwise'!$C$2:$C$289,0))</f>
        <v>0.70935960591133</v>
      </c>
      <c r="G1553" s="45" t="n">
        <f aca="false">INDEX(Background!$C$4:$C$7,MATCH(C1553,Background!$A$4:$A$7,0))</f>
        <v>0.276812715380828</v>
      </c>
      <c r="H1553" s="49" t="n">
        <f aca="false">LN(F1553/G1553)</f>
        <v>0.941021439758444</v>
      </c>
    </row>
    <row r="1554" customFormat="false" ht="15" hidden="false" customHeight="true" outlineLevel="0" collapsed="false">
      <c r="A1554" s="38" t="s">
        <v>860</v>
      </c>
      <c r="B1554" s="38" t="n">
        <v>41</v>
      </c>
      <c r="C1554" s="38" t="s">
        <v>171</v>
      </c>
      <c r="D1554" s="38" t="s">
        <v>868</v>
      </c>
      <c r="E1554" s="38" t="str">
        <f aca="false">B1554&amp;"|"&amp;C1554</f>
        <v>41|U</v>
      </c>
      <c r="F1554" s="45" t="n">
        <f aca="false">INDEX('Emission Stepwise'!$H$2:$H$289,MATCH(E1554,'Emission Stepwise'!$C$2:$C$289,0))</f>
        <v>0.167487684729064</v>
      </c>
      <c r="G1554" s="45" t="n">
        <f aca="false">INDEX(Background!$C$4:$C$7,MATCH(C1554,Background!$A$4:$A$7,0))</f>
        <v>0.212884169069555</v>
      </c>
      <c r="H1554" s="49" t="n">
        <f aca="false">LN(F1554/G1554)</f>
        <v>-0.23983838605097</v>
      </c>
    </row>
    <row r="1555" customFormat="false" ht="15" hidden="false" customHeight="true" outlineLevel="0" collapsed="false">
      <c r="A1555" s="38" t="s">
        <v>860</v>
      </c>
      <c r="B1555" s="38" t="n">
        <v>42</v>
      </c>
      <c r="C1555" s="38" t="s">
        <v>171</v>
      </c>
      <c r="D1555" s="38" t="s">
        <v>868</v>
      </c>
      <c r="E1555" s="38" t="str">
        <f aca="false">B1555&amp;"|"&amp;C1555</f>
        <v>42|U</v>
      </c>
      <c r="F1555" s="45" t="n">
        <f aca="false">INDEX('Emission Stepwise'!$H$2:$H$289,MATCH(E1555,'Emission Stepwise'!$C$2:$C$289,0))</f>
        <v>0.133004926108374</v>
      </c>
      <c r="G1555" s="45" t="n">
        <f aca="false">INDEX(Background!$C$4:$C$7,MATCH(C1555,Background!$A$4:$A$7,0))</f>
        <v>0.212884169069555</v>
      </c>
      <c r="H1555" s="49" t="n">
        <f aca="false">LN(F1555/G1555)</f>
        <v>-0.470362044662802</v>
      </c>
    </row>
    <row r="1556" customFormat="false" ht="15" hidden="false" customHeight="true" outlineLevel="0" collapsed="false">
      <c r="A1556" s="38" t="s">
        <v>860</v>
      </c>
      <c r="B1556" s="38" t="n">
        <v>43</v>
      </c>
      <c r="C1556" s="38" t="s">
        <v>171</v>
      </c>
      <c r="D1556" s="38" t="s">
        <v>868</v>
      </c>
      <c r="E1556" s="38" t="str">
        <f aca="false">B1556&amp;"|"&amp;C1556</f>
        <v>43|U</v>
      </c>
      <c r="F1556" s="45" t="n">
        <f aca="false">INDEX('Emission Stepwise'!$H$2:$H$289,MATCH(E1556,'Emission Stepwise'!$C$2:$C$289,0))</f>
        <v>0.16256157635468</v>
      </c>
      <c r="G1556" s="45" t="n">
        <f aca="false">INDEX(Background!$C$4:$C$7,MATCH(C1556,Background!$A$4:$A$7,0))</f>
        <v>0.212884169069555</v>
      </c>
      <c r="H1556" s="49" t="n">
        <f aca="false">LN(F1556/G1556)</f>
        <v>-0.269691349200651</v>
      </c>
    </row>
    <row r="1557" customFormat="false" ht="15" hidden="false" customHeight="true" outlineLevel="0" collapsed="false">
      <c r="A1557" s="38" t="s">
        <v>860</v>
      </c>
      <c r="B1557" s="38" t="n">
        <v>44</v>
      </c>
      <c r="C1557" s="38" t="s">
        <v>169</v>
      </c>
      <c r="D1557" s="38" t="s">
        <v>868</v>
      </c>
      <c r="E1557" s="38" t="str">
        <f aca="false">B1557&amp;"|"&amp;C1557</f>
        <v>44|G</v>
      </c>
      <c r="F1557" s="45" t="n">
        <f aca="false">INDEX('Emission Stepwise'!$H$2:$H$289,MATCH(E1557,'Emission Stepwise'!$C$2:$C$289,0))</f>
        <v>0.231527093596059</v>
      </c>
      <c r="G1557" s="45" t="n">
        <f aca="false">INDEX(Background!$C$4:$C$7,MATCH(C1557,Background!$A$4:$A$7,0))</f>
        <v>0.325128349391659</v>
      </c>
      <c r="H1557" s="49" t="n">
        <f aca="false">LN(F1557/G1557)</f>
        <v>-0.33952312392358</v>
      </c>
    </row>
    <row r="1558" customFormat="false" ht="15" hidden="false" customHeight="true" outlineLevel="0" collapsed="false">
      <c r="A1558" s="38" t="s">
        <v>860</v>
      </c>
      <c r="B1558" s="38" t="n">
        <v>45</v>
      </c>
      <c r="C1558" s="38" t="s">
        <v>171</v>
      </c>
      <c r="D1558" s="38" t="s">
        <v>869</v>
      </c>
      <c r="E1558" s="38" t="str">
        <f aca="false">B1558&amp;"|"&amp;C1558</f>
        <v>45|U</v>
      </c>
      <c r="F1558" s="45" t="n">
        <f aca="false">INDEX('Emission Stepwise'!$H$2:$H$289,MATCH(E1558,'Emission Stepwise'!$C$2:$C$289,0))</f>
        <v>0.144278606965174</v>
      </c>
      <c r="G1558" s="45" t="n">
        <f aca="false">INDEX(Background!$C$4:$C$7,MATCH(C1558,Background!$A$4:$A$7,0))</f>
        <v>0.212884169069555</v>
      </c>
      <c r="H1558" s="49" t="n">
        <f aca="false">LN(F1558/G1558)</f>
        <v>-0.389002009697946</v>
      </c>
    </row>
    <row r="1559" customFormat="false" ht="15" hidden="false" customHeight="true" outlineLevel="0" collapsed="false">
      <c r="A1559" s="38" t="s">
        <v>860</v>
      </c>
      <c r="B1559" s="38" t="n">
        <v>46</v>
      </c>
      <c r="C1559" s="38" t="s">
        <v>172</v>
      </c>
      <c r="D1559" s="38" t="s">
        <v>869</v>
      </c>
      <c r="E1559" s="38" t="str">
        <f aca="false">B1559&amp;"|"&amp;C1559</f>
        <v>46|A</v>
      </c>
      <c r="F1559" s="45" t="n">
        <f aca="false">INDEX('Emission Stepwise'!$H$2:$H$289,MATCH(E1559,'Emission Stepwise'!$C$2:$C$289,0))</f>
        <v>0.0988372093023256</v>
      </c>
      <c r="G1559" s="45" t="n">
        <f aca="false">INDEX(Background!$C$4:$C$7,MATCH(C1559,Background!$A$4:$A$7,0))</f>
        <v>0.185174766157958</v>
      </c>
      <c r="H1559" s="49" t="n">
        <f aca="false">LN(F1559/G1559)</f>
        <v>-0.627825914857172</v>
      </c>
    </row>
    <row r="1560" customFormat="false" ht="15" hidden="false" customHeight="true" outlineLevel="0" collapsed="false">
      <c r="A1560" s="38" t="s">
        <v>860</v>
      </c>
      <c r="B1560" s="38" t="n">
        <v>47</v>
      </c>
      <c r="C1560" s="38" t="s">
        <v>171</v>
      </c>
      <c r="D1560" s="38" t="s">
        <v>869</v>
      </c>
      <c r="E1560" s="38" t="str">
        <f aca="false">B1560&amp;"|"&amp;C1560</f>
        <v>47|U</v>
      </c>
      <c r="F1560" s="45" t="n">
        <f aca="false">INDEX('Emission Stepwise'!$H$2:$H$289,MATCH(E1560,'Emission Stepwise'!$C$2:$C$289,0))</f>
        <v>0.665024630541872</v>
      </c>
      <c r="G1560" s="45" t="n">
        <f aca="false">INDEX(Background!$C$4:$C$7,MATCH(C1560,Background!$A$4:$A$7,0))</f>
        <v>0.212884169069555</v>
      </c>
      <c r="H1560" s="49" t="n">
        <f aca="false">LN(F1560/G1560)</f>
        <v>1.1390758677713</v>
      </c>
    </row>
    <row r="1561" customFormat="false" ht="15" hidden="false" customHeight="true" outlineLevel="0" collapsed="false">
      <c r="A1561" s="38" t="s">
        <v>860</v>
      </c>
      <c r="B1561" s="38" t="n">
        <v>48</v>
      </c>
      <c r="C1561" s="38" t="s">
        <v>172</v>
      </c>
      <c r="D1561" s="38" t="s">
        <v>869</v>
      </c>
      <c r="E1561" s="38" t="str">
        <f aca="false">B1561&amp;"|"&amp;C1561</f>
        <v>48|A</v>
      </c>
      <c r="F1561" s="45" t="n">
        <f aca="false">INDEX('Emission Stepwise'!$H$2:$H$289,MATCH(E1561,'Emission Stepwise'!$C$2:$C$289,0))</f>
        <v>0.00985221674876847</v>
      </c>
      <c r="G1561" s="45" t="n">
        <f aca="false">INDEX(Background!$C$4:$C$7,MATCH(C1561,Background!$A$4:$A$7,0))</f>
        <v>0.185174766157958</v>
      </c>
      <c r="H1561" s="49" t="n">
        <f aca="false">LN(F1561/G1561)</f>
        <v>-2.93360358058178</v>
      </c>
    </row>
    <row r="1562" customFormat="false" ht="15" hidden="false" customHeight="true" outlineLevel="0" collapsed="false">
      <c r="A1562" s="38" t="s">
        <v>860</v>
      </c>
      <c r="B1562" s="38" t="n">
        <v>49</v>
      </c>
      <c r="C1562" s="38" t="s">
        <v>169</v>
      </c>
      <c r="D1562" s="38" t="s">
        <v>870</v>
      </c>
      <c r="E1562" s="38" t="str">
        <f aca="false">B1562&amp;"|"&amp;C1562</f>
        <v>49|G</v>
      </c>
      <c r="F1562" s="45" t="n">
        <f aca="false">INDEX('Emission Stepwise'!$H$2:$H$289,MATCH(E1562,'Emission Stepwise'!$C$2:$C$289,0))</f>
        <v>0.497536945812808</v>
      </c>
      <c r="G1562" s="45" t="n">
        <f aca="false">INDEX(Background!$C$4:$C$7,MATCH(C1562,Background!$A$4:$A$7,0))</f>
        <v>0.325128349391659</v>
      </c>
      <c r="H1562" s="49" t="n">
        <f aca="false">LN(F1562/G1562)</f>
        <v>0.425449791207621</v>
      </c>
    </row>
    <row r="1563" customFormat="false" ht="15" hidden="false" customHeight="true" outlineLevel="0" collapsed="false">
      <c r="A1563" s="38" t="s">
        <v>860</v>
      </c>
      <c r="B1563" s="38" t="n">
        <v>50</v>
      </c>
      <c r="C1563" s="38" t="s">
        <v>169</v>
      </c>
      <c r="D1563" s="38" t="s">
        <v>870</v>
      </c>
      <c r="E1563" s="38" t="str">
        <f aca="false">B1563&amp;"|"&amp;C1563</f>
        <v>50|G</v>
      </c>
      <c r="F1563" s="45" t="n">
        <f aca="false">INDEX('Emission Stepwise'!$H$2:$H$289,MATCH(E1563,'Emission Stepwise'!$C$2:$C$289,0))</f>
        <v>0.270935960591133</v>
      </c>
      <c r="G1563" s="45" t="n">
        <f aca="false">INDEX(Background!$C$4:$C$7,MATCH(C1563,Background!$A$4:$A$7,0))</f>
        <v>0.325128349391659</v>
      </c>
      <c r="H1563" s="49" t="n">
        <f aca="false">LN(F1563/G1563)</f>
        <v>-0.182337540401167</v>
      </c>
    </row>
    <row r="1564" customFormat="false" ht="15" hidden="false" customHeight="true" outlineLevel="0" collapsed="false">
      <c r="A1564" s="38" t="s">
        <v>860</v>
      </c>
      <c r="B1564" s="38" t="n">
        <v>51</v>
      </c>
      <c r="C1564" s="38" t="s">
        <v>170</v>
      </c>
      <c r="D1564" s="38" t="s">
        <v>870</v>
      </c>
      <c r="E1564" s="38" t="str">
        <f aca="false">B1564&amp;"|"&amp;C1564</f>
        <v>51|C</v>
      </c>
      <c r="F1564" s="45" t="n">
        <f aca="false">INDEX('Emission Stepwise'!$H$2:$H$289,MATCH(E1564,'Emission Stepwise'!$C$2:$C$289,0))</f>
        <v>0.207920792079208</v>
      </c>
      <c r="G1564" s="45" t="n">
        <f aca="false">INDEX(Background!$C$4:$C$7,MATCH(C1564,Background!$A$4:$A$7,0))</f>
        <v>0.276812715380828</v>
      </c>
      <c r="H1564" s="49" t="n">
        <f aca="false">LN(F1564/G1564)</f>
        <v>-0.286183959893606</v>
      </c>
    </row>
    <row r="1565" customFormat="false" ht="15" hidden="false" customHeight="true" outlineLevel="0" collapsed="false">
      <c r="A1565" s="38" t="s">
        <v>860</v>
      </c>
      <c r="B1565" s="38" t="n">
        <v>52</v>
      </c>
      <c r="C1565" s="38" t="s">
        <v>172</v>
      </c>
      <c r="D1565" s="38" t="s">
        <v>870</v>
      </c>
      <c r="E1565" s="38" t="str">
        <f aca="false">B1565&amp;"|"&amp;C1565</f>
        <v>52|A</v>
      </c>
      <c r="F1565" s="45" t="n">
        <f aca="false">INDEX('Emission Stepwise'!$H$2:$H$289,MATCH(E1565,'Emission Stepwise'!$C$2:$C$289,0))</f>
        <v>0.133004926108374</v>
      </c>
      <c r="G1565" s="45" t="n">
        <f aca="false">INDEX(Background!$C$4:$C$7,MATCH(C1565,Background!$A$4:$A$7,0))</f>
        <v>0.185174766157958</v>
      </c>
      <c r="H1565" s="49" t="n">
        <f aca="false">LN(F1565/G1565)</f>
        <v>-0.330913895137393</v>
      </c>
    </row>
    <row r="1566" customFormat="false" ht="15" hidden="false" customHeight="true" outlineLevel="0" collapsed="false">
      <c r="A1566" s="38" t="s">
        <v>860</v>
      </c>
      <c r="B1566" s="38" t="n">
        <v>53</v>
      </c>
      <c r="C1566" s="38" t="s">
        <v>169</v>
      </c>
      <c r="D1566" s="38" t="s">
        <v>870</v>
      </c>
      <c r="E1566" s="38" t="str">
        <f aca="false">B1566&amp;"|"&amp;C1566</f>
        <v>53|G</v>
      </c>
      <c r="F1566" s="45" t="n">
        <f aca="false">INDEX('Emission Stepwise'!$H$2:$H$289,MATCH(E1566,'Emission Stepwise'!$C$2:$C$289,0))</f>
        <v>0.96551724137931</v>
      </c>
      <c r="G1566" s="45" t="n">
        <f aca="false">INDEX(Background!$C$4:$C$7,MATCH(C1566,Background!$A$4:$A$7,0))</f>
        <v>0.325128349391659</v>
      </c>
      <c r="H1566" s="49" t="n">
        <f aca="false">LN(F1566/G1566)</f>
        <v>1.08844393359688</v>
      </c>
    </row>
    <row r="1567" customFormat="false" ht="15" hidden="false" customHeight="true" outlineLevel="0" collapsed="false">
      <c r="A1567" s="38" t="s">
        <v>860</v>
      </c>
      <c r="B1567" s="38" t="n">
        <v>54</v>
      </c>
      <c r="C1567" s="38" t="s">
        <v>172</v>
      </c>
      <c r="D1567" s="38" t="s">
        <v>870</v>
      </c>
      <c r="E1567" s="38" t="str">
        <f aca="false">B1567&amp;"|"&amp;C1567</f>
        <v>54|A</v>
      </c>
      <c r="F1567" s="45" t="n">
        <f aca="false">INDEX('Emission Stepwise'!$H$2:$H$289,MATCH(E1567,'Emission Stepwise'!$C$2:$C$289,0))</f>
        <v>0.0147783251231527</v>
      </c>
      <c r="G1567" s="45" t="n">
        <f aca="false">INDEX(Background!$C$4:$C$7,MATCH(C1567,Background!$A$4:$A$7,0))</f>
        <v>0.185174766157958</v>
      </c>
      <c r="H1567" s="49" t="n">
        <f aca="false">LN(F1567/G1567)</f>
        <v>-2.52813847247361</v>
      </c>
    </row>
    <row r="1568" customFormat="false" ht="15" hidden="false" customHeight="true" outlineLevel="0" collapsed="false">
      <c r="A1568" s="38" t="s">
        <v>860</v>
      </c>
      <c r="B1568" s="38" t="n">
        <v>55</v>
      </c>
      <c r="C1568" s="38" t="s">
        <v>171</v>
      </c>
      <c r="D1568" s="38" t="s">
        <v>870</v>
      </c>
      <c r="E1568" s="38" t="str">
        <f aca="false">B1568&amp;"|"&amp;C1568</f>
        <v>55|U</v>
      </c>
      <c r="F1568" s="45" t="n">
        <f aca="false">INDEX('Emission Stepwise'!$H$2:$H$289,MATCH(E1568,'Emission Stepwise'!$C$2:$C$289,0))</f>
        <v>0.970443349753695</v>
      </c>
      <c r="G1568" s="45" t="n">
        <f aca="false">INDEX(Background!$C$4:$C$7,MATCH(C1568,Background!$A$4:$A$7,0))</f>
        <v>0.212884169069555</v>
      </c>
      <c r="H1568" s="49" t="n">
        <f aca="false">LN(F1568/G1568)</f>
        <v>1.51700481807086</v>
      </c>
    </row>
    <row r="1569" customFormat="false" ht="15" hidden="false" customHeight="true" outlineLevel="0" collapsed="false">
      <c r="A1569" s="38" t="s">
        <v>860</v>
      </c>
      <c r="B1569" s="38" t="n">
        <v>56</v>
      </c>
      <c r="C1569" s="38" t="s">
        <v>170</v>
      </c>
      <c r="D1569" s="38" t="s">
        <v>870</v>
      </c>
      <c r="E1569" s="38" t="str">
        <f aca="false">B1569&amp;"|"&amp;C1569</f>
        <v>56|C</v>
      </c>
      <c r="F1569" s="45" t="n">
        <f aca="false">INDEX('Emission Stepwise'!$H$2:$H$289,MATCH(E1569,'Emission Stepwise'!$C$2:$C$289,0))</f>
        <v>0.96551724137931</v>
      </c>
      <c r="G1569" s="45" t="n">
        <f aca="false">INDEX(Background!$C$4:$C$7,MATCH(C1569,Background!$A$4:$A$7,0))</f>
        <v>0.276812715380828</v>
      </c>
      <c r="H1569" s="49" t="n">
        <f aca="false">LN(F1569/G1569)</f>
        <v>1.24932279941296</v>
      </c>
    </row>
    <row r="1570" customFormat="false" ht="15" hidden="false" customHeight="true" outlineLevel="0" collapsed="false">
      <c r="A1570" s="38" t="s">
        <v>860</v>
      </c>
      <c r="B1570" s="38" t="n">
        <v>57</v>
      </c>
      <c r="C1570" s="38" t="s">
        <v>171</v>
      </c>
      <c r="D1570" s="38" t="s">
        <v>870</v>
      </c>
      <c r="E1570" s="38" t="str">
        <f aca="false">B1570&amp;"|"&amp;C1570</f>
        <v>57|U</v>
      </c>
      <c r="F1570" s="45" t="n">
        <f aca="false">INDEX('Emission Stepwise'!$H$2:$H$289,MATCH(E1570,'Emission Stepwise'!$C$2:$C$289,0))</f>
        <v>0.0099009900990099</v>
      </c>
      <c r="G1570" s="45" t="n">
        <f aca="false">INDEX(Background!$C$4:$C$7,MATCH(C1570,Background!$A$4:$A$7,0))</f>
        <v>0.212884169069555</v>
      </c>
      <c r="H1570" s="49" t="n">
        <f aca="false">LN(F1570/G1570)</f>
        <v>-3.0681134484666</v>
      </c>
    </row>
    <row r="1571" customFormat="false" ht="15" hidden="false" customHeight="true" outlineLevel="0" collapsed="false">
      <c r="A1571" s="38" t="s">
        <v>860</v>
      </c>
      <c r="B1571" s="38" t="n">
        <v>58</v>
      </c>
      <c r="C1571" s="38" t="s">
        <v>170</v>
      </c>
      <c r="D1571" s="38" t="s">
        <v>870</v>
      </c>
      <c r="E1571" s="38" t="str">
        <f aca="false">B1571&amp;"|"&amp;C1571</f>
        <v>58|C</v>
      </c>
      <c r="F1571" s="45" t="n">
        <f aca="false">INDEX('Emission Stepwise'!$H$2:$H$289,MATCH(E1571,'Emission Stepwise'!$C$2:$C$289,0))</f>
        <v>0.00985221674876847</v>
      </c>
      <c r="G1571" s="45" t="n">
        <f aca="false">INDEX(Background!$C$4:$C$7,MATCH(C1571,Background!$A$4:$A$7,0))</f>
        <v>0.276812715380828</v>
      </c>
      <c r="H1571" s="49" t="n">
        <f aca="false">LN(F1571/G1571)</f>
        <v>-3.33564467925761</v>
      </c>
    </row>
    <row r="1572" customFormat="false" ht="15" hidden="false" customHeight="true" outlineLevel="0" collapsed="false">
      <c r="A1572" s="38" t="s">
        <v>860</v>
      </c>
      <c r="B1572" s="38" t="n">
        <v>59</v>
      </c>
      <c r="C1572" s="38" t="s">
        <v>171</v>
      </c>
      <c r="D1572" s="38" t="s">
        <v>870</v>
      </c>
      <c r="E1572" s="38" t="str">
        <f aca="false">B1572&amp;"|"&amp;C1572</f>
        <v>59|U</v>
      </c>
      <c r="F1572" s="45" t="n">
        <f aca="false">INDEX('Emission Stepwise'!$H$2:$H$289,MATCH(E1572,'Emission Stepwise'!$C$2:$C$289,0))</f>
        <v>0.251231527093596</v>
      </c>
      <c r="G1572" s="45" t="n">
        <f aca="false">INDEX(Background!$C$4:$C$7,MATCH(C1572,Background!$A$4:$A$7,0))</f>
        <v>0.212884169069555</v>
      </c>
      <c r="H1572" s="49" t="n">
        <f aca="false">LN(F1572/G1572)</f>
        <v>0.165626722057194</v>
      </c>
    </row>
    <row r="1573" customFormat="false" ht="15" hidden="false" customHeight="true" outlineLevel="0" collapsed="false">
      <c r="A1573" s="38" t="s">
        <v>860</v>
      </c>
      <c r="B1573" s="38" t="n">
        <v>60</v>
      </c>
      <c r="C1573" s="38" t="s">
        <v>172</v>
      </c>
      <c r="D1573" s="38" t="s">
        <v>870</v>
      </c>
      <c r="E1573" s="38" t="str">
        <f aca="false">B1573&amp;"|"&amp;C1573</f>
        <v>60|A</v>
      </c>
      <c r="F1573" s="45" t="n">
        <f aca="false">INDEX('Emission Stepwise'!$H$2:$H$289,MATCH(E1573,'Emission Stepwise'!$C$2:$C$289,0))</f>
        <v>0.00985221674876847</v>
      </c>
      <c r="G1573" s="45" t="n">
        <f aca="false">INDEX(Background!$C$4:$C$7,MATCH(C1573,Background!$A$4:$A$7,0))</f>
        <v>0.185174766157958</v>
      </c>
      <c r="H1573" s="49" t="n">
        <f aca="false">LN(F1573/G1573)</f>
        <v>-2.93360358058178</v>
      </c>
    </row>
    <row r="1574" customFormat="false" ht="15" hidden="false" customHeight="true" outlineLevel="0" collapsed="false">
      <c r="A1574" s="38" t="s">
        <v>860</v>
      </c>
      <c r="B1574" s="38" t="n">
        <v>61</v>
      </c>
      <c r="C1574" s="38" t="s">
        <v>170</v>
      </c>
      <c r="D1574" s="38" t="s">
        <v>870</v>
      </c>
      <c r="E1574" s="38" t="str">
        <f aca="false">B1574&amp;"|"&amp;C1574</f>
        <v>61|C</v>
      </c>
      <c r="F1574" s="45" t="n">
        <f aca="false">INDEX('Emission Stepwise'!$H$2:$H$289,MATCH(E1574,'Emission Stepwise'!$C$2:$C$289,0))</f>
        <v>0.975369458128079</v>
      </c>
      <c r="G1574" s="45" t="n">
        <f aca="false">INDEX(Background!$C$4:$C$7,MATCH(C1574,Background!$A$4:$A$7,0))</f>
        <v>0.276812715380828</v>
      </c>
      <c r="H1574" s="49" t="n">
        <f aca="false">LN(F1574/G1574)</f>
        <v>1.25947517087698</v>
      </c>
    </row>
    <row r="1575" customFormat="false" ht="15" hidden="false" customHeight="true" outlineLevel="0" collapsed="false">
      <c r="A1575" s="38" t="s">
        <v>860</v>
      </c>
      <c r="B1575" s="38" t="n">
        <v>62</v>
      </c>
      <c r="C1575" s="38" t="s">
        <v>171</v>
      </c>
      <c r="D1575" s="38" t="s">
        <v>870</v>
      </c>
      <c r="E1575" s="38" t="str">
        <f aca="false">B1575&amp;"|"&amp;C1575</f>
        <v>62|U</v>
      </c>
      <c r="F1575" s="45" t="n">
        <f aca="false">INDEX('Emission Stepwise'!$H$2:$H$289,MATCH(E1575,'Emission Stepwise'!$C$2:$C$289,0))</f>
        <v>0.133004926108374</v>
      </c>
      <c r="G1575" s="45" t="n">
        <f aca="false">INDEX(Background!$C$4:$C$7,MATCH(C1575,Background!$A$4:$A$7,0))</f>
        <v>0.212884169069555</v>
      </c>
      <c r="H1575" s="49" t="n">
        <f aca="false">LN(F1575/G1575)</f>
        <v>-0.470362044662802</v>
      </c>
    </row>
    <row r="1576" customFormat="false" ht="15" hidden="false" customHeight="true" outlineLevel="0" collapsed="false">
      <c r="A1576" s="38" t="s">
        <v>860</v>
      </c>
      <c r="B1576" s="38" t="n">
        <v>63</v>
      </c>
      <c r="C1576" s="38" t="s">
        <v>171</v>
      </c>
      <c r="D1576" s="38" t="s">
        <v>870</v>
      </c>
      <c r="E1576" s="38" t="str">
        <f aca="false">B1576&amp;"|"&amp;C1576</f>
        <v>63|U</v>
      </c>
      <c r="F1576" s="45" t="n">
        <f aca="false">INDEX('Emission Stepwise'!$H$2:$H$289,MATCH(E1576,'Emission Stepwise'!$C$2:$C$289,0))</f>
        <v>0.16256157635468</v>
      </c>
      <c r="G1576" s="45" t="n">
        <f aca="false">INDEX(Background!$C$4:$C$7,MATCH(C1576,Background!$A$4:$A$7,0))</f>
        <v>0.212884169069555</v>
      </c>
      <c r="H1576" s="49" t="n">
        <f aca="false">LN(F1576/G1576)</f>
        <v>-0.269691349200651</v>
      </c>
    </row>
    <row r="1577" customFormat="false" ht="15" hidden="false" customHeight="true" outlineLevel="0" collapsed="false">
      <c r="A1577" s="38" t="s">
        <v>860</v>
      </c>
      <c r="B1577" s="38" t="n">
        <v>64</v>
      </c>
      <c r="C1577" s="38" t="s">
        <v>171</v>
      </c>
      <c r="D1577" s="38" t="s">
        <v>870</v>
      </c>
      <c r="E1577" s="38" t="str">
        <f aca="false">B1577&amp;"|"&amp;C1577</f>
        <v>64|U</v>
      </c>
      <c r="F1577" s="45" t="n">
        <f aca="false">INDEX('Emission Stepwise'!$H$2:$H$289,MATCH(E1577,'Emission Stepwise'!$C$2:$C$289,0))</f>
        <v>0.167487684729064</v>
      </c>
      <c r="G1577" s="45" t="n">
        <f aca="false">INDEX(Background!$C$4:$C$7,MATCH(C1577,Background!$A$4:$A$7,0))</f>
        <v>0.212884169069555</v>
      </c>
      <c r="H1577" s="49" t="n">
        <f aca="false">LN(F1577/G1577)</f>
        <v>-0.23983838605097</v>
      </c>
    </row>
    <row r="1578" customFormat="false" ht="15" hidden="false" customHeight="true" outlineLevel="0" collapsed="false">
      <c r="A1578" s="38" t="s">
        <v>860</v>
      </c>
      <c r="B1578" s="38" t="n">
        <v>65</v>
      </c>
      <c r="C1578" s="38" t="s">
        <v>170</v>
      </c>
      <c r="D1578" s="38" t="s">
        <v>870</v>
      </c>
      <c r="E1578" s="38" t="str">
        <f aca="false">B1578&amp;"|"&amp;C1578</f>
        <v>65|C</v>
      </c>
      <c r="F1578" s="45" t="n">
        <f aca="false">INDEX('Emission Stepwise'!$H$2:$H$289,MATCH(E1578,'Emission Stepwise'!$C$2:$C$289,0))</f>
        <v>0.316831683168317</v>
      </c>
      <c r="G1578" s="45" t="n">
        <f aca="false">INDEX(Background!$C$4:$C$7,MATCH(C1578,Background!$A$4:$A$7,0))</f>
        <v>0.276812715380828</v>
      </c>
      <c r="H1578" s="49" t="n">
        <f aca="false">LN(F1578/G1578)</f>
        <v>0.135029505182698</v>
      </c>
    </row>
    <row r="1579" customFormat="false" ht="15" hidden="false" customHeight="true" outlineLevel="0" collapsed="false">
      <c r="A1579" s="38" t="s">
        <v>860</v>
      </c>
      <c r="B1579" s="38" t="n">
        <v>66</v>
      </c>
      <c r="C1579" s="38" t="s">
        <v>172</v>
      </c>
      <c r="D1579" s="38" t="s">
        <v>871</v>
      </c>
      <c r="E1579" s="38" t="str">
        <f aca="false">B1579&amp;"|"&amp;C1579</f>
        <v>66|A</v>
      </c>
      <c r="F1579" s="45" t="n">
        <f aca="false">INDEX('Emission Stepwise'!$H$2:$H$289,MATCH(E1579,'Emission Stepwise'!$C$2:$C$289,0))</f>
        <v>0.216748768472906</v>
      </c>
      <c r="G1579" s="45" t="n">
        <f aca="false">INDEX(Background!$C$4:$C$7,MATCH(C1579,Background!$A$4:$A$7,0))</f>
        <v>0.185174766157958</v>
      </c>
      <c r="H1579" s="49" t="n">
        <f aca="false">LN(F1579/G1579)</f>
        <v>0.157438872776539</v>
      </c>
    </row>
    <row r="1580" customFormat="false" ht="15" hidden="false" customHeight="true" outlineLevel="0" collapsed="false">
      <c r="A1580" s="38" t="s">
        <v>860</v>
      </c>
      <c r="B1580" s="38" t="n">
        <v>67</v>
      </c>
      <c r="C1580" s="38" t="s">
        <v>171</v>
      </c>
      <c r="D1580" s="38" t="s">
        <v>871</v>
      </c>
      <c r="E1580" s="38" t="str">
        <f aca="false">B1580&amp;"|"&amp;C1580</f>
        <v>67|U</v>
      </c>
      <c r="F1580" s="45" t="n">
        <f aca="false">INDEX('Emission Stepwise'!$H$2:$H$289,MATCH(E1580,'Emission Stepwise'!$C$2:$C$289,0))</f>
        <v>0.192118226600985</v>
      </c>
      <c r="G1580" s="45" t="n">
        <f aca="false">INDEX(Background!$C$4:$C$7,MATCH(C1580,Background!$A$4:$A$7,0))</f>
        <v>0.212884169069555</v>
      </c>
      <c r="H1580" s="49" t="n">
        <f aca="false">LN(F1580/G1580)</f>
        <v>-0.102637264537485</v>
      </c>
    </row>
    <row r="1581" customFormat="false" ht="15" hidden="false" customHeight="true" outlineLevel="0" collapsed="false">
      <c r="A1581" s="38" t="s">
        <v>860</v>
      </c>
      <c r="B1581" s="38" t="n">
        <v>68</v>
      </c>
      <c r="C1581" s="38" t="s">
        <v>169</v>
      </c>
      <c r="D1581" s="38" t="s">
        <v>871</v>
      </c>
      <c r="E1581" s="38" t="str">
        <f aca="false">B1581&amp;"|"&amp;C1581</f>
        <v>68|G</v>
      </c>
      <c r="F1581" s="45" t="n">
        <f aca="false">INDEX('Emission Stepwise'!$H$2:$H$289,MATCH(E1581,'Emission Stepwise'!$C$2:$C$289,0))</f>
        <v>0.433497536945813</v>
      </c>
      <c r="G1581" s="45" t="n">
        <f aca="false">INDEX(Background!$C$4:$C$7,MATCH(C1581,Background!$A$4:$A$7,0))</f>
        <v>0.325128349391659</v>
      </c>
      <c r="H1581" s="49" t="n">
        <f aca="false">LN(F1581/G1581)</f>
        <v>0.287666088844568</v>
      </c>
    </row>
    <row r="1582" customFormat="false" ht="15" hidden="false" customHeight="true" outlineLevel="0" collapsed="false">
      <c r="A1582" s="38" t="s">
        <v>860</v>
      </c>
      <c r="B1582" s="38" t="n">
        <v>69</v>
      </c>
      <c r="C1582" s="38" t="s">
        <v>169</v>
      </c>
      <c r="D1582" s="38" t="s">
        <v>871</v>
      </c>
      <c r="E1582" s="38" t="str">
        <f aca="false">B1582&amp;"|"&amp;C1582</f>
        <v>69|G</v>
      </c>
      <c r="F1582" s="45" t="n">
        <f aca="false">INDEX('Emission Stepwise'!$H$2:$H$289,MATCH(E1582,'Emission Stepwise'!$C$2:$C$289,0))</f>
        <v>0.349753694581281</v>
      </c>
      <c r="G1582" s="45" t="n">
        <f aca="false">INDEX(Background!$C$4:$C$7,MATCH(C1582,Background!$A$4:$A$7,0))</f>
        <v>0.325128349391659</v>
      </c>
      <c r="H1582" s="49" t="n">
        <f aca="false">LN(F1582/G1582)</f>
        <v>0.0730091514076772</v>
      </c>
    </row>
    <row r="1583" customFormat="false" ht="15" hidden="false" customHeight="true" outlineLevel="0" collapsed="false">
      <c r="A1583" s="38" t="s">
        <v>860</v>
      </c>
      <c r="B1583" s="38" t="n">
        <v>70</v>
      </c>
      <c r="C1583" s="38" t="s">
        <v>172</v>
      </c>
      <c r="D1583" s="38" t="s">
        <v>871</v>
      </c>
      <c r="E1583" s="38" t="str">
        <f aca="false">B1583&amp;"|"&amp;C1583</f>
        <v>70|A</v>
      </c>
      <c r="F1583" s="45" t="n">
        <f aca="false">INDEX('Emission Stepwise'!$H$2:$H$289,MATCH(E1583,'Emission Stepwise'!$C$2:$C$289,0))</f>
        <v>0.118226600985222</v>
      </c>
      <c r="G1583" s="45" t="n">
        <f aca="false">INDEX(Background!$C$4:$C$7,MATCH(C1583,Background!$A$4:$A$7,0))</f>
        <v>0.185174766157958</v>
      </c>
      <c r="H1583" s="49" t="n">
        <f aca="false">LN(F1583/G1583)</f>
        <v>-0.448696930793777</v>
      </c>
    </row>
    <row r="1584" customFormat="false" ht="15" hidden="false" customHeight="true" outlineLevel="0" collapsed="false">
      <c r="A1584" s="38" t="s">
        <v>860</v>
      </c>
      <c r="B1584" s="38" t="n">
        <v>71</v>
      </c>
      <c r="C1584" s="38" t="s">
        <v>171</v>
      </c>
      <c r="D1584" s="38" t="s">
        <v>871</v>
      </c>
      <c r="E1584" s="38" t="str">
        <f aca="false">B1584&amp;"|"&amp;C1584</f>
        <v>71|U</v>
      </c>
      <c r="F1584" s="45" t="n">
        <f aca="false">INDEX('Emission Stepwise'!$H$2:$H$289,MATCH(E1584,'Emission Stepwise'!$C$2:$C$289,0))</f>
        <v>0.0492610837438424</v>
      </c>
      <c r="G1584" s="45" t="n">
        <f aca="false">INDEX(Background!$C$4:$C$7,MATCH(C1584,Background!$A$4:$A$7,0))</f>
        <v>0.212884169069555</v>
      </c>
      <c r="H1584" s="49" t="n">
        <f aca="false">LN(F1584/G1584)</f>
        <v>-1.46361381767309</v>
      </c>
    </row>
    <row r="1585" customFormat="false" ht="15" hidden="false" customHeight="true" outlineLevel="0" collapsed="false">
      <c r="A1585" s="38" t="s">
        <v>860</v>
      </c>
      <c r="B1585" s="38" t="n">
        <v>72</v>
      </c>
      <c r="C1585" s="38" t="s">
        <v>171</v>
      </c>
      <c r="D1585" s="38" t="s">
        <v>871</v>
      </c>
      <c r="E1585" s="38" t="str">
        <f aca="false">B1585&amp;"|"&amp;C1585</f>
        <v>72|U</v>
      </c>
      <c r="F1585" s="45" t="n">
        <f aca="false">INDEX('Emission Stepwise'!$H$2:$H$289,MATCH(E1585,'Emission Stepwise'!$C$2:$C$289,0))</f>
        <v>0.108374384236453</v>
      </c>
      <c r="G1585" s="45" t="n">
        <f aca="false">INDEX(Background!$C$4:$C$7,MATCH(C1585,Background!$A$4:$A$7,0))</f>
        <v>0.212884169069555</v>
      </c>
      <c r="H1585" s="49" t="n">
        <f aca="false">LN(F1585/G1585)</f>
        <v>-0.675156457308816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63"/>
  <sheetViews>
    <sheetView showFormulas="false" showGridLines="true" showRowColHeaders="true" showZeros="true" rightToLeft="false" tabSelected="false" showOutlineSymbols="true" defaultGridColor="true" view="normal" topLeftCell="A3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10"/>
    <col collapsed="false" customWidth="true" hidden="false" outlineLevel="0" max="4" min="4" style="0" width="8"/>
    <col collapsed="false" customWidth="true" hidden="false" outlineLevel="0" max="5" min="5" style="0" width="16"/>
    <col collapsed="false" customWidth="true" hidden="false" outlineLevel="0" max="6" min="6" style="0" width="14"/>
    <col collapsed="false" customWidth="true" hidden="false" outlineLevel="0" max="8" min="7" style="0" width="16"/>
    <col collapsed="false" customWidth="true" hidden="false" outlineLevel="0" max="9" min="9" style="0" width="14"/>
  </cols>
  <sheetData>
    <row r="1" customFormat="false" ht="15" hidden="false" customHeight="true" outlineLevel="0" collapsed="false">
      <c r="A1" s="39" t="s">
        <v>769</v>
      </c>
      <c r="B1" s="39" t="s">
        <v>608</v>
      </c>
      <c r="C1" s="39" t="s">
        <v>609</v>
      </c>
      <c r="D1" s="39" t="s">
        <v>610</v>
      </c>
      <c r="E1" s="39" t="s">
        <v>872</v>
      </c>
      <c r="F1" s="39" t="s">
        <v>593</v>
      </c>
      <c r="G1" s="39" t="s">
        <v>614</v>
      </c>
      <c r="H1" s="39" t="s">
        <v>873</v>
      </c>
      <c r="I1" s="39" t="s">
        <v>874</v>
      </c>
    </row>
    <row r="2" customFormat="false" ht="15" hidden="false" customHeight="true" outlineLevel="0" collapsed="false">
      <c r="A2" s="38" t="s">
        <v>40</v>
      </c>
      <c r="B2" s="38" t="n">
        <v>1</v>
      </c>
      <c r="C2" s="38" t="s">
        <v>169</v>
      </c>
      <c r="D2" s="38" t="s">
        <v>171</v>
      </c>
      <c r="E2" s="38" t="s">
        <v>875</v>
      </c>
      <c r="F2" s="38" t="str">
        <f aca="false">B2&amp;"|"&amp;C2&amp;"|"&amp;D2</f>
        <v>1|G|U</v>
      </c>
      <c r="G2" s="45" t="n">
        <f aca="false">INDEX('Transition Stepwise'!$J$2:$J$1137,MATCH(F2,'Transition Stepwise'!$E$2:$E$1137,0))</f>
        <v>0.0384615384615385</v>
      </c>
      <c r="H2" s="45" t="n">
        <f aca="false">INDEX(Background!$D$12:$D$27,MATCH(C2&amp;D2,Background!$E$12:$E$27,0))</f>
        <v>0.234763476347635</v>
      </c>
      <c r="I2" s="49" t="n">
        <f aca="false">LN(G2/H2)</f>
        <v>-1.80891978271166</v>
      </c>
    </row>
    <row r="3" customFormat="false" ht="15" hidden="false" customHeight="true" outlineLevel="0" collapsed="false">
      <c r="A3" s="38" t="s">
        <v>40</v>
      </c>
      <c r="B3" s="38" t="n">
        <v>2</v>
      </c>
      <c r="C3" s="38" t="s">
        <v>171</v>
      </c>
      <c r="D3" s="38" t="s">
        <v>171</v>
      </c>
      <c r="E3" s="38" t="s">
        <v>875</v>
      </c>
      <c r="F3" s="38" t="str">
        <f aca="false">B3&amp;"|"&amp;C3&amp;"|"&amp;D3</f>
        <v>2|U|U</v>
      </c>
      <c r="G3" s="45" t="n">
        <f aca="false">INDEX('Transition Stepwise'!$J$2:$J$1137,MATCH(F3,'Transition Stepwise'!$E$2:$E$1137,0))</f>
        <v>0.2</v>
      </c>
      <c r="H3" s="45" t="n">
        <f aca="false">INDEX(Background!$D$12:$D$27,MATCH(C3&amp;D3,Background!$E$12:$E$27,0))</f>
        <v>0.220480320213476</v>
      </c>
      <c r="I3" s="49" t="n">
        <f aca="false">LN(G3/H3)</f>
        <v>-0.0974910736232437</v>
      </c>
    </row>
    <row r="4" customFormat="false" ht="15" hidden="false" customHeight="true" outlineLevel="0" collapsed="false">
      <c r="A4" s="38" t="s">
        <v>40</v>
      </c>
      <c r="B4" s="38" t="n">
        <v>3</v>
      </c>
      <c r="C4" s="38" t="s">
        <v>171</v>
      </c>
      <c r="D4" s="38" t="s">
        <v>172</v>
      </c>
      <c r="E4" s="38" t="s">
        <v>875</v>
      </c>
      <c r="F4" s="38" t="str">
        <f aca="false">B4&amp;"|"&amp;C4&amp;"|"&amp;D4</f>
        <v>3|U|A</v>
      </c>
      <c r="G4" s="45" t="n">
        <f aca="false">INDEX('Transition Stepwise'!$J$2:$J$1137,MATCH(F4,'Transition Stepwise'!$E$2:$E$1137,0))</f>
        <v>0.037037037037037</v>
      </c>
      <c r="H4" s="45" t="n">
        <f aca="false">INDEX(Background!$D$12:$D$27,MATCH(C4&amp;D4,Background!$E$12:$E$27,0))</f>
        <v>0.180787191460974</v>
      </c>
      <c r="I4" s="49" t="n">
        <f aca="false">LN(G4/H4)</f>
        <v>-1.58540218878143</v>
      </c>
    </row>
    <row r="5" customFormat="false" ht="15" hidden="false" customHeight="true" outlineLevel="0" collapsed="false">
      <c r="A5" s="38" t="s">
        <v>40</v>
      </c>
      <c r="B5" s="38" t="n">
        <v>4</v>
      </c>
      <c r="C5" s="38" t="s">
        <v>172</v>
      </c>
      <c r="D5" s="38" t="s">
        <v>169</v>
      </c>
      <c r="E5" s="38" t="s">
        <v>875</v>
      </c>
      <c r="F5" s="38" t="str">
        <f aca="false">B5&amp;"|"&amp;C5&amp;"|"&amp;D5</f>
        <v>4|A|G</v>
      </c>
      <c r="G5" s="45" t="n">
        <f aca="false">INDEX('Transition Stepwise'!$J$2:$J$1137,MATCH(F5,'Transition Stepwise'!$E$2:$E$1137,0))</f>
        <v>0.421052631578947</v>
      </c>
      <c r="H5" s="45" t="n">
        <f aca="false">INDEX(Background!$D$12:$D$27,MATCH(C5&amp;D5,Background!$E$12:$E$27,0))</f>
        <v>0.424884437596302</v>
      </c>
      <c r="I5" s="49" t="n">
        <f aca="false">LN(G5/H5)</f>
        <v>-0.00905937891612643</v>
      </c>
    </row>
    <row r="6" customFormat="false" ht="15" hidden="false" customHeight="true" outlineLevel="0" collapsed="false">
      <c r="A6" s="38" t="s">
        <v>40</v>
      </c>
      <c r="B6" s="38" t="n">
        <v>5</v>
      </c>
      <c r="C6" s="38" t="s">
        <v>169</v>
      </c>
      <c r="D6" s="38" t="s">
        <v>172</v>
      </c>
      <c r="E6" s="38" t="s">
        <v>875</v>
      </c>
      <c r="F6" s="38" t="str">
        <f aca="false">B6&amp;"|"&amp;C6&amp;"|"&amp;D6</f>
        <v>5|G|A</v>
      </c>
      <c r="G6" s="45" t="n">
        <f aca="false">INDEX('Transition Stepwise'!$J$2:$J$1137,MATCH(F6,'Transition Stepwise'!$E$2:$E$1137,0))</f>
        <v>0.232876712328767</v>
      </c>
      <c r="H6" s="45" t="n">
        <f aca="false">INDEX(Background!$D$12:$D$27,MATCH(C6&amp;D6,Background!$E$12:$E$27,0))</f>
        <v>0.164356435643564</v>
      </c>
      <c r="I6" s="49" t="n">
        <f aca="false">LN(G6/H6)</f>
        <v>0.348471724386587</v>
      </c>
    </row>
    <row r="7" customFormat="false" ht="15" hidden="false" customHeight="true" outlineLevel="0" collapsed="false">
      <c r="A7" s="38" t="s">
        <v>40</v>
      </c>
      <c r="B7" s="38" t="n">
        <v>6</v>
      </c>
      <c r="C7" s="38" t="s">
        <v>172</v>
      </c>
      <c r="D7" s="38" t="s">
        <v>169</v>
      </c>
      <c r="E7" s="38" t="s">
        <v>875</v>
      </c>
      <c r="F7" s="38" t="str">
        <f aca="false">B7&amp;"|"&amp;C7&amp;"|"&amp;D7</f>
        <v>6|A|G</v>
      </c>
      <c r="G7" s="45" t="n">
        <f aca="false">INDEX('Transition Stepwise'!$J$2:$J$1137,MATCH(F7,'Transition Stepwise'!$E$2:$E$1137,0))</f>
        <v>0.394736842105263</v>
      </c>
      <c r="H7" s="45" t="n">
        <f aca="false">INDEX(Background!$D$12:$D$27,MATCH(C7&amp;D7,Background!$E$12:$E$27,0))</f>
        <v>0.424884437596302</v>
      </c>
      <c r="I7" s="49" t="n">
        <f aca="false">LN(G7/H7)</f>
        <v>-0.0735979000536976</v>
      </c>
    </row>
    <row r="8" customFormat="false" ht="15" hidden="false" customHeight="true" outlineLevel="0" collapsed="false">
      <c r="A8" s="38" t="s">
        <v>40</v>
      </c>
      <c r="B8" s="38" t="n">
        <v>7</v>
      </c>
      <c r="C8" s="38" t="s">
        <v>169</v>
      </c>
      <c r="D8" s="38" t="s">
        <v>171</v>
      </c>
      <c r="E8" s="38" t="s">
        <v>875</v>
      </c>
      <c r="F8" s="38" t="str">
        <f aca="false">B8&amp;"|"&amp;C8&amp;"|"&amp;D8</f>
        <v>7|G|U</v>
      </c>
      <c r="G8" s="45" t="n">
        <f aca="false">INDEX('Transition Stepwise'!$J$2:$J$1137,MATCH(F8,'Transition Stepwise'!$E$2:$E$1137,0))</f>
        <v>0.963302752293578</v>
      </c>
      <c r="H8" s="45" t="n">
        <f aca="false">INDEX(Background!$D$12:$D$27,MATCH(C8&amp;D8,Background!$E$12:$E$27,0))</f>
        <v>0.234763476347635</v>
      </c>
      <c r="I8" s="49" t="n">
        <f aca="false">LN(G8/H8)</f>
        <v>1.41178922323821</v>
      </c>
    </row>
    <row r="9" customFormat="false" ht="15" hidden="false" customHeight="true" outlineLevel="0" collapsed="false">
      <c r="A9" s="38" t="s">
        <v>40</v>
      </c>
      <c r="B9" s="38" t="n">
        <v>8</v>
      </c>
      <c r="C9" s="38" t="s">
        <v>171</v>
      </c>
      <c r="D9" s="38" t="s">
        <v>170</v>
      </c>
      <c r="E9" s="38" t="s">
        <v>875</v>
      </c>
      <c r="F9" s="38" t="str">
        <f aca="false">B9&amp;"|"&amp;C9&amp;"|"&amp;D9</f>
        <v>8|U|C</v>
      </c>
      <c r="G9" s="45" t="n">
        <f aca="false">INDEX('Transition Stepwise'!$J$2:$J$1137,MATCH(F9,'Transition Stepwise'!$E$2:$E$1137,0))</f>
        <v>0.035</v>
      </c>
      <c r="H9" s="45" t="n">
        <f aca="false">INDEX(Background!$D$12:$D$27,MATCH(C9&amp;D9,Background!$E$12:$E$27,0))</f>
        <v>0.377251501000667</v>
      </c>
      <c r="I9" s="49" t="n">
        <f aca="false">LN(G9/H9)</f>
        <v>-2.3775640149463</v>
      </c>
    </row>
    <row r="10" customFormat="false" ht="15" hidden="false" customHeight="true" outlineLevel="0" collapsed="false">
      <c r="A10" s="38" t="s">
        <v>40</v>
      </c>
      <c r="B10" s="38" t="n">
        <v>9</v>
      </c>
      <c r="C10" s="38" t="s">
        <v>170</v>
      </c>
      <c r="D10" s="38" t="s">
        <v>172</v>
      </c>
      <c r="E10" s="38" t="s">
        <v>875</v>
      </c>
      <c r="F10" s="38" t="str">
        <f aca="false">B10&amp;"|"&amp;C10&amp;"|"&amp;D10</f>
        <v>9|C|A</v>
      </c>
      <c r="G10" s="45" t="n">
        <f aca="false">INDEX('Transition Stepwise'!$J$2:$J$1137,MATCH(F10,'Transition Stepwise'!$E$2:$E$1137,0))</f>
        <v>0.0909090909090909</v>
      </c>
      <c r="H10" s="45" t="n">
        <f aca="false">INDEX(Background!$D$12:$D$27,MATCH(C10&amp;D10,Background!$E$12:$E$27,0))</f>
        <v>0.194883966244726</v>
      </c>
      <c r="I10" s="49" t="n">
        <f aca="false">LN(G10/H10)</f>
        <v>-0.76254433037166</v>
      </c>
    </row>
    <row r="11" customFormat="false" ht="15" hidden="false" customHeight="true" outlineLevel="0" collapsed="false">
      <c r="A11" s="38" t="s">
        <v>40</v>
      </c>
      <c r="B11" s="38" t="n">
        <v>10</v>
      </c>
      <c r="C11" s="38" t="s">
        <v>172</v>
      </c>
      <c r="D11" s="38" t="s">
        <v>172</v>
      </c>
      <c r="E11" s="38" t="s">
        <v>875</v>
      </c>
      <c r="F11" s="38" t="str">
        <f aca="false">B11&amp;"|"&amp;C11&amp;"|"&amp;D11</f>
        <v>10|A|A</v>
      </c>
      <c r="G11" s="45" t="n">
        <f aca="false">INDEX('Transition Stepwise'!$J$2:$J$1137,MATCH(F11,'Transition Stepwise'!$E$2:$E$1137,0))</f>
        <v>0.25</v>
      </c>
      <c r="H11" s="45" t="n">
        <f aca="false">INDEX(Background!$D$12:$D$27,MATCH(C11&amp;D11,Background!$E$12:$E$27,0))</f>
        <v>0.219568567026194</v>
      </c>
      <c r="I11" s="49" t="n">
        <f aca="false">LN(G11/H11)</f>
        <v>0.129796355875494</v>
      </c>
    </row>
    <row r="12" customFormat="false" ht="15" hidden="false" customHeight="true" outlineLevel="0" collapsed="false">
      <c r="A12" s="38" t="s">
        <v>40</v>
      </c>
      <c r="B12" s="38" t="n">
        <v>11</v>
      </c>
      <c r="C12" s="38" t="s">
        <v>172</v>
      </c>
      <c r="D12" s="38" t="s">
        <v>169</v>
      </c>
      <c r="E12" s="38" t="s">
        <v>875</v>
      </c>
      <c r="F12" s="38" t="str">
        <f aca="false">B12&amp;"|"&amp;C12&amp;"|"&amp;D12</f>
        <v>11|A|G</v>
      </c>
      <c r="G12" s="45" t="n">
        <f aca="false">INDEX('Transition Stepwise'!$J$2:$J$1137,MATCH(F12,'Transition Stepwise'!$E$2:$E$1137,0))</f>
        <v>0.454545454545455</v>
      </c>
      <c r="H12" s="45" t="n">
        <f aca="false">INDEX(Background!$D$12:$D$27,MATCH(C12&amp;D12,Background!$E$12:$E$27,0))</f>
        <v>0.424884437596302</v>
      </c>
      <c r="I12" s="49" t="n">
        <f aca="false">LN(G12/H12)</f>
        <v>0.0674806982062079</v>
      </c>
    </row>
    <row r="13" customFormat="false" ht="15" hidden="false" customHeight="true" outlineLevel="0" collapsed="false">
      <c r="A13" s="38" t="s">
        <v>40</v>
      </c>
      <c r="B13" s="38" t="n">
        <v>12</v>
      </c>
      <c r="C13" s="38" t="s">
        <v>169</v>
      </c>
      <c r="D13" s="38" t="s">
        <v>172</v>
      </c>
      <c r="E13" s="38" t="s">
        <v>875</v>
      </c>
      <c r="F13" s="38" t="str">
        <f aca="false">B13&amp;"|"&amp;C13&amp;"|"&amp;D13</f>
        <v>12|G|A</v>
      </c>
      <c r="G13" s="45" t="n">
        <f aca="false">INDEX('Transition Stepwise'!$J$2:$J$1137,MATCH(F13,'Transition Stepwise'!$E$2:$E$1137,0))</f>
        <v>0.142857142857143</v>
      </c>
      <c r="H13" s="45" t="n">
        <f aca="false">INDEX(Background!$D$12:$D$27,MATCH(C13&amp;D13,Background!$E$12:$E$27,0))</f>
        <v>0.164356435643564</v>
      </c>
      <c r="I13" s="49" t="n">
        <f aca="false">LN(G13/H13)</f>
        <v>-0.140192327576552</v>
      </c>
    </row>
    <row r="14" customFormat="false" ht="15" hidden="false" customHeight="true" outlineLevel="0" collapsed="false">
      <c r="A14" s="38" t="s">
        <v>40</v>
      </c>
      <c r="B14" s="38" t="n">
        <v>13</v>
      </c>
      <c r="C14" s="38" t="s">
        <v>172</v>
      </c>
      <c r="D14" s="38" t="s">
        <v>172</v>
      </c>
      <c r="E14" s="38" t="s">
        <v>875</v>
      </c>
      <c r="F14" s="38" t="str">
        <f aca="false">B14&amp;"|"&amp;C14&amp;"|"&amp;D14</f>
        <v>13|A|A</v>
      </c>
      <c r="G14" s="45" t="n">
        <f aca="false">INDEX('Transition Stepwise'!$J$2:$J$1137,MATCH(F14,'Transition Stepwise'!$E$2:$E$1137,0))</f>
        <v>0.764705882352941</v>
      </c>
      <c r="H14" s="45" t="n">
        <f aca="false">INDEX(Background!$D$12:$D$27,MATCH(C14&amp;D14,Background!$E$12:$E$27,0))</f>
        <v>0.219568567026194</v>
      </c>
      <c r="I14" s="49" t="n">
        <f aca="false">LN(G14/H14)</f>
        <v>1.24782673040071</v>
      </c>
    </row>
    <row r="15" customFormat="false" ht="15" hidden="false" customHeight="true" outlineLevel="0" collapsed="false">
      <c r="A15" s="38" t="s">
        <v>40</v>
      </c>
      <c r="B15" s="38" t="n">
        <v>14</v>
      </c>
      <c r="C15" s="38" t="s">
        <v>172</v>
      </c>
      <c r="D15" s="38" t="s">
        <v>172</v>
      </c>
      <c r="E15" s="38" t="s">
        <v>875</v>
      </c>
      <c r="F15" s="38" t="str">
        <f aca="false">B15&amp;"|"&amp;C15&amp;"|"&amp;D15</f>
        <v>14|A|A</v>
      </c>
      <c r="G15" s="45" t="n">
        <f aca="false">INDEX('Transition Stepwise'!$J$2:$J$1137,MATCH(F15,'Transition Stepwise'!$E$2:$E$1137,0))</f>
        <v>0.165</v>
      </c>
      <c r="H15" s="45" t="n">
        <f aca="false">INDEX(Background!$D$12:$D$27,MATCH(C15&amp;D15,Background!$E$12:$E$27,0))</f>
        <v>0.219568567026194</v>
      </c>
      <c r="I15" s="49" t="n">
        <f aca="false">LN(G15/H15)</f>
        <v>-0.285719088086172</v>
      </c>
    </row>
    <row r="16" customFormat="false" ht="15" hidden="false" customHeight="true" outlineLevel="0" collapsed="false">
      <c r="A16" s="38" t="s">
        <v>40</v>
      </c>
      <c r="B16" s="38" t="n">
        <v>15</v>
      </c>
      <c r="C16" s="38" t="s">
        <v>172</v>
      </c>
      <c r="D16" s="38" t="s">
        <v>176</v>
      </c>
      <c r="E16" s="40" t="s">
        <v>876</v>
      </c>
      <c r="F16" s="38"/>
      <c r="G16" s="38"/>
      <c r="H16" s="38"/>
      <c r="I16" s="38"/>
    </row>
    <row r="17" customFormat="false" ht="15" hidden="false" customHeight="true" outlineLevel="0" collapsed="false">
      <c r="A17" s="38" t="s">
        <v>40</v>
      </c>
      <c r="B17" s="38" t="n">
        <v>16</v>
      </c>
      <c r="C17" s="38" t="s">
        <v>176</v>
      </c>
      <c r="D17" s="38" t="s">
        <v>170</v>
      </c>
      <c r="E17" s="40" t="s">
        <v>876</v>
      </c>
      <c r="F17" s="38"/>
      <c r="G17" s="38"/>
      <c r="H17" s="38"/>
      <c r="I17" s="38"/>
    </row>
    <row r="18" customFormat="false" ht="15" hidden="false" customHeight="true" outlineLevel="0" collapsed="false">
      <c r="A18" s="38" t="s">
        <v>40</v>
      </c>
      <c r="B18" s="38" t="n">
        <v>17</v>
      </c>
      <c r="C18" s="38" t="s">
        <v>170</v>
      </c>
      <c r="D18" s="38" t="s">
        <v>169</v>
      </c>
      <c r="E18" s="38" t="s">
        <v>875</v>
      </c>
      <c r="F18" s="38" t="str">
        <f aca="false">B18&amp;"|"&amp;C18&amp;"|"&amp;D18</f>
        <v>17|C|G</v>
      </c>
      <c r="G18" s="45" t="n">
        <f aca="false">INDEX('Transition Stepwise'!$J$2:$J$1137,MATCH(F18,'Transition Stepwise'!$E$2:$E$1137,0))</f>
        <v>0.955223880597015</v>
      </c>
      <c r="H18" s="45" t="n">
        <f aca="false">INDEX(Background!$D$12:$D$27,MATCH(C18&amp;D18,Background!$E$12:$E$27,0))</f>
        <v>0.296413502109705</v>
      </c>
      <c r="I18" s="49" t="n">
        <f aca="false">LN(G18/H18)</f>
        <v>1.17019029688998</v>
      </c>
    </row>
    <row r="19" customFormat="false" ht="15" hidden="false" customHeight="true" outlineLevel="0" collapsed="false">
      <c r="A19" s="38" t="s">
        <v>40</v>
      </c>
      <c r="B19" s="38" t="n">
        <v>18</v>
      </c>
      <c r="C19" s="38" t="s">
        <v>169</v>
      </c>
      <c r="D19" s="38" t="s">
        <v>169</v>
      </c>
      <c r="E19" s="38" t="s">
        <v>875</v>
      </c>
      <c r="F19" s="38" t="str">
        <f aca="false">B19&amp;"|"&amp;C19&amp;"|"&amp;D19</f>
        <v>18|G|G</v>
      </c>
      <c r="G19" s="45" t="n">
        <f aca="false">INDEX('Transition Stepwise'!$J$2:$J$1137,MATCH(F19,'Transition Stepwise'!$E$2:$E$1137,0))</f>
        <v>0.975247524752475</v>
      </c>
      <c r="H19" s="45" t="n">
        <f aca="false">INDEX(Background!$D$12:$D$27,MATCH(C19&amp;D19,Background!$E$12:$E$27,0))</f>
        <v>0.344774477447745</v>
      </c>
      <c r="I19" s="49" t="n">
        <f aca="false">LN(G19/H19)</f>
        <v>1.03980079559234</v>
      </c>
    </row>
    <row r="20" customFormat="false" ht="15" hidden="false" customHeight="true" outlineLevel="0" collapsed="false">
      <c r="A20" s="38" t="s">
        <v>40</v>
      </c>
      <c r="B20" s="38" t="n">
        <v>19</v>
      </c>
      <c r="C20" s="38" t="s">
        <v>169</v>
      </c>
      <c r="D20" s="38" t="s">
        <v>172</v>
      </c>
      <c r="E20" s="38" t="s">
        <v>875</v>
      </c>
      <c r="F20" s="38" t="str">
        <f aca="false">B20&amp;"|"&amp;C20&amp;"|"&amp;D20</f>
        <v>19|G|A</v>
      </c>
      <c r="G20" s="45" t="n">
        <f aca="false">INDEX('Transition Stepwise'!$J$2:$J$1137,MATCH(F20,'Transition Stepwise'!$E$2:$E$1137,0))</f>
        <v>0.09</v>
      </c>
      <c r="H20" s="45" t="n">
        <f aca="false">INDEX(Background!$D$12:$D$27,MATCH(C20&amp;D20,Background!$E$12:$E$27,0))</f>
        <v>0.164356435643564</v>
      </c>
      <c r="I20" s="49" t="n">
        <f aca="false">LN(G20/H20)</f>
        <v>-0.60222778717311</v>
      </c>
    </row>
    <row r="21" customFormat="false" ht="15" hidden="false" customHeight="true" outlineLevel="0" collapsed="false">
      <c r="A21" s="38" t="s">
        <v>40</v>
      </c>
      <c r="B21" s="38" t="n">
        <v>20</v>
      </c>
      <c r="C21" s="38" t="s">
        <v>172</v>
      </c>
      <c r="D21" s="38" t="s">
        <v>171</v>
      </c>
      <c r="E21" s="38" t="s">
        <v>875</v>
      </c>
      <c r="F21" s="38" t="str">
        <f aca="false">B21&amp;"|"&amp;C21&amp;"|"&amp;D21</f>
        <v>20|A|U</v>
      </c>
      <c r="G21" s="45" t="n">
        <f aca="false">INDEX('Transition Stepwise'!$J$2:$J$1137,MATCH(F21,'Transition Stepwise'!$E$2:$E$1137,0))</f>
        <v>0.0952380952380952</v>
      </c>
      <c r="H21" s="45" t="n">
        <f aca="false">INDEX(Background!$D$12:$D$27,MATCH(C21&amp;D21,Background!$E$12:$E$27,0))</f>
        <v>0.194530046224961</v>
      </c>
      <c r="I21" s="49" t="n">
        <f aca="false">LN(G21/H21)</f>
        <v>-0.714206608614857</v>
      </c>
    </row>
    <row r="22" customFormat="false" ht="15" hidden="false" customHeight="true" outlineLevel="0" collapsed="false">
      <c r="A22" s="38" t="s">
        <v>40</v>
      </c>
      <c r="B22" s="38" t="n">
        <v>21</v>
      </c>
      <c r="C22" s="38" t="s">
        <v>171</v>
      </c>
      <c r="D22" s="38" t="s">
        <v>171</v>
      </c>
      <c r="E22" s="38" t="s">
        <v>875</v>
      </c>
      <c r="F22" s="38" t="str">
        <f aca="false">B22&amp;"|"&amp;C22&amp;"|"&amp;D22</f>
        <v>21|U|U</v>
      </c>
      <c r="G22" s="45" t="n">
        <f aca="false">INDEX('Transition Stepwise'!$J$2:$J$1137,MATCH(F22,'Transition Stepwise'!$E$2:$E$1137,0))</f>
        <v>0.285714285714286</v>
      </c>
      <c r="H22" s="45" t="n">
        <f aca="false">INDEX(Background!$D$12:$D$27,MATCH(C22&amp;D22,Background!$E$12:$E$27,0))</f>
        <v>0.220480320213476</v>
      </c>
      <c r="I22" s="49" t="n">
        <f aca="false">LN(G22/H22)</f>
        <v>0.259183870315489</v>
      </c>
    </row>
    <row r="23" customFormat="false" ht="15" hidden="false" customHeight="true" outlineLevel="0" collapsed="false">
      <c r="A23" s="38" t="s">
        <v>40</v>
      </c>
      <c r="B23" s="38" t="n">
        <v>22</v>
      </c>
      <c r="C23" s="38" t="s">
        <v>171</v>
      </c>
      <c r="D23" s="38" t="s">
        <v>170</v>
      </c>
      <c r="E23" s="38" t="s">
        <v>875</v>
      </c>
      <c r="F23" s="38" t="str">
        <f aca="false">B23&amp;"|"&amp;C23&amp;"|"&amp;D23</f>
        <v>22|U|C</v>
      </c>
      <c r="G23" s="45" t="n">
        <f aca="false">INDEX('Transition Stepwise'!$J$2:$J$1137,MATCH(F23,'Transition Stepwise'!$E$2:$E$1137,0))</f>
        <v>0.333333333333333</v>
      </c>
      <c r="H23" s="45" t="n">
        <f aca="false">INDEX(Background!$D$12:$D$27,MATCH(C23&amp;D23,Background!$E$12:$E$27,0))</f>
        <v>0.377251501000667</v>
      </c>
      <c r="I23" s="49" t="n">
        <f aca="false">LN(G23/H23)</f>
        <v>-0.123769086121687</v>
      </c>
    </row>
    <row r="24" customFormat="false" ht="15" hidden="false" customHeight="true" outlineLevel="0" collapsed="false">
      <c r="A24" s="38" t="s">
        <v>40</v>
      </c>
      <c r="B24" s="38" t="n">
        <v>23</v>
      </c>
      <c r="C24" s="38" t="s">
        <v>170</v>
      </c>
      <c r="D24" s="38" t="s">
        <v>172</v>
      </c>
      <c r="E24" s="38" t="s">
        <v>875</v>
      </c>
      <c r="F24" s="38" t="str">
        <f aca="false">B24&amp;"|"&amp;C24&amp;"|"&amp;D24</f>
        <v>23|C|A</v>
      </c>
      <c r="G24" s="45" t="n">
        <f aca="false">INDEX('Transition Stepwise'!$J$2:$J$1137,MATCH(F24,'Transition Stepwise'!$E$2:$E$1137,0))</f>
        <v>0.285714285714286</v>
      </c>
      <c r="H24" s="45" t="n">
        <f aca="false">INDEX(Background!$D$12:$D$27,MATCH(C24&amp;D24,Background!$E$12:$E$27,0))</f>
        <v>0.194883966244726</v>
      </c>
      <c r="I24" s="49" t="n">
        <f aca="false">LN(G24/H24)</f>
        <v>0.382587973931343</v>
      </c>
    </row>
    <row r="25" customFormat="false" ht="15" hidden="false" customHeight="true" outlineLevel="0" collapsed="false">
      <c r="A25" s="38" t="s">
        <v>40</v>
      </c>
      <c r="B25" s="38" t="n">
        <v>24</v>
      </c>
      <c r="C25" s="38" t="s">
        <v>172</v>
      </c>
      <c r="D25" s="38" t="s">
        <v>171</v>
      </c>
      <c r="E25" s="38" t="s">
        <v>875</v>
      </c>
      <c r="F25" s="38" t="str">
        <f aca="false">B25&amp;"|"&amp;C25&amp;"|"&amp;D25</f>
        <v>24|A|U</v>
      </c>
      <c r="G25" s="45" t="n">
        <f aca="false">INDEX('Transition Stepwise'!$J$2:$J$1137,MATCH(F25,'Transition Stepwise'!$E$2:$E$1137,0))</f>
        <v>0.268292682926829</v>
      </c>
      <c r="H25" s="45" t="n">
        <f aca="false">INDEX(Background!$D$12:$D$27,MATCH(C25&amp;D25,Background!$E$12:$E$27,0))</f>
        <v>0.194530046224961</v>
      </c>
      <c r="I25" s="49" t="n">
        <f aca="false">LN(G25/H25)</f>
        <v>0.321491854642684</v>
      </c>
    </row>
    <row r="26" customFormat="false" ht="15" hidden="false" customHeight="true" outlineLevel="0" collapsed="false">
      <c r="A26" s="38" t="s">
        <v>40</v>
      </c>
      <c r="B26" s="38" t="n">
        <v>25</v>
      </c>
      <c r="C26" s="38" t="s">
        <v>171</v>
      </c>
      <c r="D26" s="38" t="s">
        <v>170</v>
      </c>
      <c r="E26" s="38" t="s">
        <v>875</v>
      </c>
      <c r="F26" s="38" t="str">
        <f aca="false">B26&amp;"|"&amp;C26&amp;"|"&amp;D26</f>
        <v>25|U|C</v>
      </c>
      <c r="G26" s="45" t="n">
        <f aca="false">INDEX('Transition Stepwise'!$J$2:$J$1137,MATCH(F26,'Transition Stepwise'!$E$2:$E$1137,0))</f>
        <v>0.166666666666667</v>
      </c>
      <c r="H26" s="45" t="n">
        <f aca="false">INDEX(Background!$D$12:$D$27,MATCH(C26&amp;D26,Background!$E$12:$E$27,0))</f>
        <v>0.377251501000667</v>
      </c>
      <c r="I26" s="49" t="n">
        <f aca="false">LN(G26/H26)</f>
        <v>-0.816916266681633</v>
      </c>
    </row>
    <row r="27" customFormat="false" ht="15" hidden="false" customHeight="true" outlineLevel="0" collapsed="false">
      <c r="A27" s="38" t="s">
        <v>40</v>
      </c>
      <c r="B27" s="38" t="n">
        <v>26</v>
      </c>
      <c r="C27" s="38" t="s">
        <v>170</v>
      </c>
      <c r="D27" s="38" t="s">
        <v>171</v>
      </c>
      <c r="E27" s="38" t="s">
        <v>875</v>
      </c>
      <c r="F27" s="38" t="str">
        <f aca="false">B27&amp;"|"&amp;C27&amp;"|"&amp;D27</f>
        <v>26|C|U</v>
      </c>
      <c r="G27" s="45" t="n">
        <f aca="false">INDEX('Transition Stepwise'!$J$2:$J$1137,MATCH(F27,'Transition Stepwise'!$E$2:$E$1137,0))</f>
        <v>0.333333333333333</v>
      </c>
      <c r="H27" s="45" t="n">
        <f aca="false">INDEX(Background!$D$12:$D$27,MATCH(C27&amp;D27,Background!$E$12:$E$27,0))</f>
        <v>0.196466244725738</v>
      </c>
      <c r="I27" s="49" t="n">
        <f aca="false">LN(G27/H27)</f>
        <v>0.528652356327243</v>
      </c>
    </row>
    <row r="28" customFormat="false" ht="15" hidden="false" customHeight="true" outlineLevel="0" collapsed="false">
      <c r="A28" s="38" t="s">
        <v>40</v>
      </c>
      <c r="B28" s="38" t="n">
        <v>27</v>
      </c>
      <c r="C28" s="38" t="s">
        <v>171</v>
      </c>
      <c r="D28" s="38" t="s">
        <v>169</v>
      </c>
      <c r="E28" s="38" t="s">
        <v>875</v>
      </c>
      <c r="F28" s="38" t="str">
        <f aca="false">B28&amp;"|"&amp;C28&amp;"|"&amp;D28</f>
        <v>27|U|G</v>
      </c>
      <c r="G28" s="45" t="n">
        <f aca="false">INDEX('Transition Stepwise'!$J$2:$J$1137,MATCH(F28,'Transition Stepwise'!$E$2:$E$1137,0))</f>
        <v>0.109090909090909</v>
      </c>
      <c r="H28" s="45" t="n">
        <f aca="false">INDEX(Background!$D$12:$D$27,MATCH(C28&amp;D28,Background!$E$12:$E$27,0))</f>
        <v>0.221480987324883</v>
      </c>
      <c r="I28" s="49" t="n">
        <f aca="false">LN(G28/H28)</f>
        <v>-0.708155186818307</v>
      </c>
    </row>
    <row r="29" customFormat="false" ht="15" hidden="false" customHeight="true" outlineLevel="0" collapsed="false">
      <c r="A29" s="38" t="s">
        <v>40</v>
      </c>
      <c r="B29" s="38" t="n">
        <v>28</v>
      </c>
      <c r="C29" s="38" t="s">
        <v>169</v>
      </c>
      <c r="D29" s="38" t="s">
        <v>171</v>
      </c>
      <c r="E29" s="38" t="s">
        <v>875</v>
      </c>
      <c r="F29" s="38" t="str">
        <f aca="false">B29&amp;"|"&amp;C29&amp;"|"&amp;D29</f>
        <v>28|G|U</v>
      </c>
      <c r="G29" s="45" t="n">
        <f aca="false">INDEX('Transition Stepwise'!$J$2:$J$1137,MATCH(F29,'Transition Stepwise'!$E$2:$E$1137,0))</f>
        <v>0.0769230769230769</v>
      </c>
      <c r="H29" s="45" t="n">
        <f aca="false">INDEX(Background!$D$12:$D$27,MATCH(C29&amp;D29,Background!$E$12:$E$27,0))</f>
        <v>0.234763476347635</v>
      </c>
      <c r="I29" s="49" t="n">
        <f aca="false">LN(G29/H29)</f>
        <v>-1.11577260215171</v>
      </c>
    </row>
    <row r="30" customFormat="false" ht="15" hidden="false" customHeight="true" outlineLevel="0" collapsed="false">
      <c r="A30" s="38" t="s">
        <v>40</v>
      </c>
      <c r="B30" s="38" t="n">
        <v>29</v>
      </c>
      <c r="C30" s="38" t="s">
        <v>171</v>
      </c>
      <c r="D30" s="38" t="s">
        <v>172</v>
      </c>
      <c r="E30" s="38" t="s">
        <v>875</v>
      </c>
      <c r="F30" s="38" t="str">
        <f aca="false">B30&amp;"|"&amp;C30&amp;"|"&amp;D30</f>
        <v>29|U|A</v>
      </c>
      <c r="G30" s="45" t="n">
        <f aca="false">INDEX('Transition Stepwise'!$J$2:$J$1137,MATCH(F30,'Transition Stepwise'!$E$2:$E$1137,0))</f>
        <v>0.0169491525423729</v>
      </c>
      <c r="H30" s="45" t="n">
        <f aca="false">INDEX(Background!$D$12:$D$27,MATCH(C30&amp;D30,Background!$E$12:$E$27,0))</f>
        <v>0.180787191460974</v>
      </c>
      <c r="I30" s="49" t="n">
        <f aca="false">LN(G30/H30)</f>
        <v>-2.36710276668282</v>
      </c>
    </row>
    <row r="31" customFormat="false" ht="15" hidden="false" customHeight="true" outlineLevel="0" collapsed="false">
      <c r="A31" s="38" t="s">
        <v>40</v>
      </c>
      <c r="B31" s="38" t="n">
        <v>30</v>
      </c>
      <c r="C31" s="38" t="s">
        <v>172</v>
      </c>
      <c r="D31" s="38" t="s">
        <v>172</v>
      </c>
      <c r="E31" s="38" t="s">
        <v>875</v>
      </c>
      <c r="F31" s="38" t="str">
        <f aca="false">B31&amp;"|"&amp;C31&amp;"|"&amp;D31</f>
        <v>30|A|A</v>
      </c>
      <c r="G31" s="45" t="n">
        <f aca="false">INDEX('Transition Stepwise'!$J$2:$J$1137,MATCH(F31,'Transition Stepwise'!$E$2:$E$1137,0))</f>
        <v>0.25</v>
      </c>
      <c r="H31" s="45" t="n">
        <f aca="false">INDEX(Background!$D$12:$D$27,MATCH(C31&amp;D31,Background!$E$12:$E$27,0))</f>
        <v>0.219568567026194</v>
      </c>
      <c r="I31" s="49" t="n">
        <f aca="false">LN(G31/H31)</f>
        <v>0.129796355875494</v>
      </c>
    </row>
    <row r="32" customFormat="false" ht="15" hidden="false" customHeight="true" outlineLevel="0" collapsed="false">
      <c r="A32" s="38" t="s">
        <v>40</v>
      </c>
      <c r="B32" s="38" t="n">
        <v>31</v>
      </c>
      <c r="C32" s="38" t="s">
        <v>172</v>
      </c>
      <c r="D32" s="38" t="s">
        <v>171</v>
      </c>
      <c r="E32" s="38" t="s">
        <v>875</v>
      </c>
      <c r="F32" s="38" t="str">
        <f aca="false">B32&amp;"|"&amp;C32&amp;"|"&amp;D32</f>
        <v>31|A|U</v>
      </c>
      <c r="G32" s="45" t="n">
        <f aca="false">INDEX('Transition Stepwise'!$J$2:$J$1137,MATCH(F32,'Transition Stepwise'!$E$2:$E$1137,0))</f>
        <v>0.137931034482759</v>
      </c>
      <c r="H32" s="45" t="n">
        <f aca="false">INDEX(Background!$D$12:$D$27,MATCH(C32&amp;D32,Background!$E$12:$E$27,0))</f>
        <v>0.194530046224961</v>
      </c>
      <c r="I32" s="49" t="n">
        <f aca="false">LN(G32/H32)</f>
        <v>-0.343832820317963</v>
      </c>
    </row>
    <row r="33" customFormat="false" ht="15" hidden="false" customHeight="true" outlineLevel="0" collapsed="false">
      <c r="A33" s="38" t="s">
        <v>40</v>
      </c>
      <c r="B33" s="38" t="n">
        <v>32</v>
      </c>
      <c r="C33" s="38" t="s">
        <v>171</v>
      </c>
      <c r="D33" s="38" t="s">
        <v>171</v>
      </c>
      <c r="E33" s="38" t="s">
        <v>875</v>
      </c>
      <c r="F33" s="38" t="str">
        <f aca="false">B33&amp;"|"&amp;C33&amp;"|"&amp;D33</f>
        <v>32|U|U</v>
      </c>
      <c r="G33" s="45" t="n">
        <f aca="false">INDEX('Transition Stepwise'!$J$2:$J$1137,MATCH(F33,'Transition Stepwise'!$E$2:$E$1137,0))</f>
        <v>0.936507936507937</v>
      </c>
      <c r="H33" s="45" t="n">
        <f aca="false">INDEX(Background!$D$12:$D$27,MATCH(C33&amp;D33,Background!$E$12:$E$27,0))</f>
        <v>0.220480320213476</v>
      </c>
      <c r="I33" s="49" t="n">
        <f aca="false">LN(G33/H33)</f>
        <v>1.44634955632504</v>
      </c>
    </row>
    <row r="34" customFormat="false" ht="15" hidden="false" customHeight="true" outlineLevel="0" collapsed="false">
      <c r="A34" s="38" t="s">
        <v>40</v>
      </c>
      <c r="B34" s="38" t="n">
        <v>33</v>
      </c>
      <c r="C34" s="38" t="s">
        <v>171</v>
      </c>
      <c r="D34" s="38" t="s">
        <v>171</v>
      </c>
      <c r="E34" s="38" t="s">
        <v>875</v>
      </c>
      <c r="F34" s="38" t="str">
        <f aca="false">B34&amp;"|"&amp;C34&amp;"|"&amp;D34</f>
        <v>33|U|U</v>
      </c>
      <c r="G34" s="45" t="n">
        <f aca="false">INDEX('Transition Stepwise'!$J$2:$J$1137,MATCH(F34,'Transition Stepwise'!$E$2:$E$1137,0))</f>
        <v>0.293532338308458</v>
      </c>
      <c r="H34" s="45" t="n">
        <f aca="false">INDEX(Background!$D$12:$D$27,MATCH(C34&amp;D34,Background!$E$12:$E$27,0))</f>
        <v>0.220480320213476</v>
      </c>
      <c r="I34" s="49" t="n">
        <f aca="false">LN(G34/H34)</f>
        <v>0.2861793746575</v>
      </c>
    </row>
    <row r="35" customFormat="false" ht="15" hidden="false" customHeight="true" outlineLevel="0" collapsed="false">
      <c r="A35" s="38" t="s">
        <v>40</v>
      </c>
      <c r="B35" s="38" t="n">
        <v>34</v>
      </c>
      <c r="C35" s="38" t="s">
        <v>171</v>
      </c>
      <c r="D35" s="38" t="s">
        <v>171</v>
      </c>
      <c r="E35" s="38" t="s">
        <v>875</v>
      </c>
      <c r="F35" s="38" t="str">
        <f aca="false">B35&amp;"|"&amp;C35&amp;"|"&amp;D35</f>
        <v>34|U|U</v>
      </c>
      <c r="G35" s="45" t="n">
        <f aca="false">INDEX('Transition Stepwise'!$J$2:$J$1137,MATCH(F35,'Transition Stepwise'!$E$2:$E$1137,0))</f>
        <v>0.17741935483871</v>
      </c>
      <c r="H35" s="45" t="n">
        <f aca="false">INDEX(Background!$D$12:$D$27,MATCH(C35&amp;D35,Background!$E$12:$E$27,0))</f>
        <v>0.220480320213476</v>
      </c>
      <c r="I35" s="49" t="n">
        <f aca="false">LN(G35/H35)</f>
        <v>-0.217292273435864</v>
      </c>
    </row>
    <row r="36" customFormat="false" ht="15" hidden="false" customHeight="true" outlineLevel="0" collapsed="false">
      <c r="A36" s="38" t="s">
        <v>40</v>
      </c>
      <c r="B36" s="38" t="n">
        <v>35</v>
      </c>
      <c r="C36" s="38" t="s">
        <v>171</v>
      </c>
      <c r="D36" s="38" t="s">
        <v>172</v>
      </c>
      <c r="E36" s="38" t="s">
        <v>875</v>
      </c>
      <c r="F36" s="38" t="str">
        <f aca="false">B36&amp;"|"&amp;C36&amp;"|"&amp;D36</f>
        <v>35|U|A</v>
      </c>
      <c r="G36" s="45" t="n">
        <f aca="false">INDEX('Transition Stepwise'!$J$2:$J$1137,MATCH(F36,'Transition Stepwise'!$E$2:$E$1137,0))</f>
        <v>0.177777777777778</v>
      </c>
      <c r="H36" s="45" t="n">
        <f aca="false">INDEX(Background!$D$12:$D$27,MATCH(C36&amp;D36,Background!$E$12:$E$27,0))</f>
        <v>0.180787191460974</v>
      </c>
      <c r="I36" s="49" t="n">
        <f aca="false">LN(G36/H36)</f>
        <v>-0.016786270867587</v>
      </c>
    </row>
    <row r="37" customFormat="false" ht="15" hidden="false" customHeight="true" outlineLevel="0" collapsed="false">
      <c r="A37" s="38" t="s">
        <v>40</v>
      </c>
      <c r="B37" s="38" t="n">
        <v>36</v>
      </c>
      <c r="C37" s="38" t="s">
        <v>172</v>
      </c>
      <c r="D37" s="38" t="s">
        <v>172</v>
      </c>
      <c r="E37" s="38" t="s">
        <v>875</v>
      </c>
      <c r="F37" s="38" t="str">
        <f aca="false">B37&amp;"|"&amp;C37&amp;"|"&amp;D37</f>
        <v>36|A|A</v>
      </c>
      <c r="G37" s="45" t="n">
        <f aca="false">INDEX('Transition Stepwise'!$J$2:$J$1137,MATCH(F37,'Transition Stepwise'!$E$2:$E$1137,0))</f>
        <v>0.553191489361702</v>
      </c>
      <c r="H37" s="45" t="n">
        <f aca="false">INDEX(Background!$D$12:$D$27,MATCH(C37&amp;D37,Background!$E$12:$E$27,0))</f>
        <v>0.219568567026194</v>
      </c>
      <c r="I37" s="49" t="n">
        <f aca="false">LN(G37/H37)</f>
        <v>0.924039653306808</v>
      </c>
    </row>
    <row r="38" customFormat="false" ht="15" hidden="false" customHeight="true" outlineLevel="0" collapsed="false">
      <c r="A38" s="38" t="s">
        <v>40</v>
      </c>
      <c r="B38" s="38" t="n">
        <v>37</v>
      </c>
      <c r="C38" s="38" t="s">
        <v>172</v>
      </c>
      <c r="D38" s="38" t="s">
        <v>172</v>
      </c>
      <c r="E38" s="38" t="s">
        <v>875</v>
      </c>
      <c r="F38" s="38" t="str">
        <f aca="false">B38&amp;"|"&amp;C38&amp;"|"&amp;D38</f>
        <v>37|A|A</v>
      </c>
      <c r="G38" s="45" t="n">
        <f aca="false">INDEX('Transition Stepwise'!$J$2:$J$1137,MATCH(F38,'Transition Stepwise'!$E$2:$E$1137,0))</f>
        <v>0.746753246753247</v>
      </c>
      <c r="H38" s="45" t="n">
        <f aca="false">INDEX(Background!$D$12:$D$27,MATCH(C38&amp;D38,Background!$E$12:$E$27,0))</f>
        <v>0.219568567026194</v>
      </c>
      <c r="I38" s="49" t="n">
        <f aca="false">LN(G38/H38)</f>
        <v>1.22407024294501</v>
      </c>
    </row>
    <row r="39" customFormat="false" ht="15" hidden="false" customHeight="true" outlineLevel="0" collapsed="false">
      <c r="A39" s="38" t="s">
        <v>40</v>
      </c>
      <c r="B39" s="38" t="n">
        <v>38</v>
      </c>
      <c r="C39" s="38" t="s">
        <v>172</v>
      </c>
      <c r="D39" s="38" t="s">
        <v>171</v>
      </c>
      <c r="E39" s="38" t="s">
        <v>875</v>
      </c>
      <c r="F39" s="38" t="str">
        <f aca="false">B39&amp;"|"&amp;C39&amp;"|"&amp;D39</f>
        <v>38|A|U</v>
      </c>
      <c r="G39" s="45" t="n">
        <f aca="false">INDEX('Transition Stepwise'!$J$2:$J$1137,MATCH(F39,'Transition Stepwise'!$E$2:$E$1137,0))</f>
        <v>0.34</v>
      </c>
      <c r="H39" s="45" t="n">
        <f aca="false">INDEX(Background!$D$12:$D$27,MATCH(C39&amp;D39,Background!$E$12:$E$27,0))</f>
        <v>0.194530046224961</v>
      </c>
      <c r="I39" s="49" t="n">
        <f aca="false">LN(G39/H39)</f>
        <v>0.558358987176691</v>
      </c>
    </row>
    <row r="40" customFormat="false" ht="15" hidden="false" customHeight="true" outlineLevel="0" collapsed="false">
      <c r="A40" s="38" t="s">
        <v>40</v>
      </c>
      <c r="B40" s="38" t="n">
        <v>39</v>
      </c>
      <c r="C40" s="38" t="s">
        <v>171</v>
      </c>
      <c r="D40" s="38" t="s">
        <v>171</v>
      </c>
      <c r="E40" s="38" t="s">
        <v>875</v>
      </c>
      <c r="F40" s="38" t="str">
        <f aca="false">B40&amp;"|"&amp;C40&amp;"|"&amp;D40</f>
        <v>39|U|U</v>
      </c>
      <c r="G40" s="45" t="n">
        <f aca="false">INDEX('Transition Stepwise'!$J$2:$J$1137,MATCH(F40,'Transition Stepwise'!$E$2:$E$1137,0))</f>
        <v>0.0317460317460317</v>
      </c>
      <c r="H40" s="45" t="n">
        <f aca="false">INDEX(Background!$D$12:$D$27,MATCH(C40&amp;D40,Background!$E$12:$E$27,0))</f>
        <v>0.220480320213476</v>
      </c>
      <c r="I40" s="49" t="n">
        <f aca="false">LN(G40/H40)</f>
        <v>-1.93804070702073</v>
      </c>
    </row>
    <row r="41" customFormat="false" ht="15" hidden="false" customHeight="true" outlineLevel="0" collapsed="false">
      <c r="A41" s="38" t="s">
        <v>40</v>
      </c>
      <c r="B41" s="38" t="n">
        <v>40</v>
      </c>
      <c r="C41" s="38" t="s">
        <v>171</v>
      </c>
      <c r="D41" s="38" t="s">
        <v>172</v>
      </c>
      <c r="E41" s="38" t="s">
        <v>875</v>
      </c>
      <c r="F41" s="38" t="str">
        <f aca="false">B41&amp;"|"&amp;C41&amp;"|"&amp;D41</f>
        <v>40|U|A</v>
      </c>
      <c r="G41" s="45" t="n">
        <f aca="false">INDEX('Transition Stepwise'!$J$2:$J$1137,MATCH(F41,'Transition Stepwise'!$E$2:$E$1137,0))</f>
        <v>0.25</v>
      </c>
      <c r="H41" s="45" t="n">
        <f aca="false">INDEX(Background!$D$12:$D$27,MATCH(C41&amp;D41,Background!$E$12:$E$27,0))</f>
        <v>0.180787191460974</v>
      </c>
      <c r="I41" s="49" t="n">
        <f aca="false">LN(G41/H41)</f>
        <v>0.324140316103006</v>
      </c>
    </row>
    <row r="42" customFormat="false" ht="15" hidden="false" customHeight="true" outlineLevel="0" collapsed="false">
      <c r="A42" s="38" t="s">
        <v>40</v>
      </c>
      <c r="B42" s="38" t="n">
        <v>41</v>
      </c>
      <c r="C42" s="38" t="s">
        <v>172</v>
      </c>
      <c r="D42" s="38" t="s">
        <v>170</v>
      </c>
      <c r="E42" s="38" t="s">
        <v>875</v>
      </c>
      <c r="F42" s="38" t="str">
        <f aca="false">B42&amp;"|"&amp;C42&amp;"|"&amp;D42</f>
        <v>41|A|C</v>
      </c>
      <c r="G42" s="45" t="n">
        <f aca="false">INDEX('Transition Stepwise'!$J$2:$J$1137,MATCH(F42,'Transition Stepwise'!$E$2:$E$1137,0))</f>
        <v>0.0344827586206897</v>
      </c>
      <c r="H42" s="45" t="n">
        <f aca="false">INDEX(Background!$D$12:$D$27,MATCH(C42&amp;D42,Background!$E$12:$E$27,0))</f>
        <v>0.161016949152542</v>
      </c>
      <c r="I42" s="49" t="n">
        <f aca="false">LN(G42/H42)</f>
        <v>-1.54105018468725</v>
      </c>
    </row>
    <row r="43" customFormat="false" ht="15" hidden="false" customHeight="true" outlineLevel="0" collapsed="false">
      <c r="A43" s="38" t="s">
        <v>40</v>
      </c>
      <c r="B43" s="38" t="n">
        <v>42</v>
      </c>
      <c r="C43" s="38" t="s">
        <v>170</v>
      </c>
      <c r="D43" s="38" t="s">
        <v>172</v>
      </c>
      <c r="E43" s="38" t="s">
        <v>875</v>
      </c>
      <c r="F43" s="38" t="str">
        <f aca="false">B43&amp;"|"&amp;C43&amp;"|"&amp;D43</f>
        <v>42|C|A</v>
      </c>
      <c r="G43" s="45" t="n">
        <f aca="false">INDEX('Transition Stepwise'!$J$2:$J$1137,MATCH(F43,'Transition Stepwise'!$E$2:$E$1137,0))</f>
        <v>0.25</v>
      </c>
      <c r="H43" s="45" t="n">
        <f aca="false">INDEX(Background!$D$12:$D$27,MATCH(C43&amp;D43,Background!$E$12:$E$27,0))</f>
        <v>0.194883966244726</v>
      </c>
      <c r="I43" s="49" t="n">
        <f aca="false">LN(G43/H43)</f>
        <v>0.24905658130682</v>
      </c>
    </row>
    <row r="44" customFormat="false" ht="15" hidden="false" customHeight="true" outlineLevel="0" collapsed="false">
      <c r="A44" s="38" t="s">
        <v>40</v>
      </c>
      <c r="B44" s="38" t="n">
        <v>43</v>
      </c>
      <c r="C44" s="38" t="s">
        <v>172</v>
      </c>
      <c r="D44" s="38" t="s">
        <v>169</v>
      </c>
      <c r="E44" s="38" t="s">
        <v>875</v>
      </c>
      <c r="F44" s="38" t="str">
        <f aca="false">B44&amp;"|"&amp;C44&amp;"|"&amp;D44</f>
        <v>43|A|G</v>
      </c>
      <c r="G44" s="45" t="n">
        <f aca="false">INDEX('Transition Stepwise'!$J$2:$J$1137,MATCH(F44,'Transition Stepwise'!$E$2:$E$1137,0))</f>
        <v>0.285714285714286</v>
      </c>
      <c r="H44" s="45" t="n">
        <f aca="false">INDEX(Background!$D$12:$D$27,MATCH(C44&amp;D44,Background!$E$12:$E$27,0))</f>
        <v>0.424884437596302</v>
      </c>
      <c r="I44" s="49" t="n">
        <f aca="false">LN(G44/H44)</f>
        <v>-0.39682490992489</v>
      </c>
    </row>
    <row r="45" customFormat="false" ht="15" hidden="false" customHeight="true" outlineLevel="0" collapsed="false">
      <c r="A45" s="38" t="s">
        <v>40</v>
      </c>
      <c r="B45" s="38" t="n">
        <v>44</v>
      </c>
      <c r="C45" s="38" t="s">
        <v>169</v>
      </c>
      <c r="D45" s="38" t="s">
        <v>171</v>
      </c>
      <c r="E45" s="38" t="s">
        <v>875</v>
      </c>
      <c r="F45" s="38" t="str">
        <f aca="false">B45&amp;"|"&amp;C45&amp;"|"&amp;D45</f>
        <v>44|G|U</v>
      </c>
      <c r="G45" s="45" t="n">
        <f aca="false">INDEX('Transition Stepwise'!$J$2:$J$1137,MATCH(F45,'Transition Stepwise'!$E$2:$E$1137,0))</f>
        <v>0.16</v>
      </c>
      <c r="H45" s="45" t="n">
        <f aca="false">INDEX(Background!$D$12:$D$27,MATCH(C45&amp;D45,Background!$E$12:$E$27,0))</f>
        <v>0.234763476347635</v>
      </c>
      <c r="I45" s="49" t="n">
        <f aca="false">LN(G45/H45)</f>
        <v>-0.383404708438484</v>
      </c>
    </row>
    <row r="46" customFormat="false" ht="15" hidden="false" customHeight="true" outlineLevel="0" collapsed="false">
      <c r="A46" s="38" t="s">
        <v>40</v>
      </c>
      <c r="B46" s="38" t="n">
        <v>45</v>
      </c>
      <c r="C46" s="38" t="s">
        <v>171</v>
      </c>
      <c r="D46" s="38" t="s">
        <v>176</v>
      </c>
      <c r="E46" s="40" t="s">
        <v>876</v>
      </c>
      <c r="F46" s="38"/>
      <c r="G46" s="38"/>
      <c r="H46" s="38"/>
      <c r="I46" s="38"/>
    </row>
    <row r="47" customFormat="false" ht="15" hidden="false" customHeight="true" outlineLevel="0" collapsed="false">
      <c r="A47" s="38" t="s">
        <v>40</v>
      </c>
      <c r="B47" s="38" t="n">
        <v>46</v>
      </c>
      <c r="C47" s="38" t="s">
        <v>176</v>
      </c>
      <c r="D47" s="38" t="s">
        <v>171</v>
      </c>
      <c r="E47" s="40" t="s">
        <v>876</v>
      </c>
      <c r="F47" s="38"/>
      <c r="G47" s="38"/>
      <c r="H47" s="38"/>
      <c r="I47" s="38"/>
    </row>
    <row r="48" customFormat="false" ht="15" hidden="false" customHeight="true" outlineLevel="0" collapsed="false">
      <c r="A48" s="38" t="s">
        <v>40</v>
      </c>
      <c r="B48" s="38" t="n">
        <v>47</v>
      </c>
      <c r="C48" s="38" t="s">
        <v>171</v>
      </c>
      <c r="D48" s="38" t="s">
        <v>171</v>
      </c>
      <c r="E48" s="38" t="s">
        <v>875</v>
      </c>
      <c r="F48" s="38" t="str">
        <f aca="false">B48&amp;"|"&amp;C48&amp;"|"&amp;D48</f>
        <v>47|U|U</v>
      </c>
      <c r="G48" s="45" t="n">
        <f aca="false">INDEX('Transition Stepwise'!$J$2:$J$1137,MATCH(F48,'Transition Stepwise'!$E$2:$E$1137,0))</f>
        <v>0.123188405797101</v>
      </c>
      <c r="H48" s="45" t="n">
        <f aca="false">INDEX(Background!$D$12:$D$27,MATCH(C48&amp;D48,Background!$E$12:$E$27,0))</f>
        <v>0.220480320213476</v>
      </c>
      <c r="I48" s="49" t="n">
        <f aca="false">LN(G48/H48)</f>
        <v>-0.582093502290132</v>
      </c>
    </row>
    <row r="49" customFormat="false" ht="15" hidden="false" customHeight="true" outlineLevel="0" collapsed="false">
      <c r="A49" s="38" t="s">
        <v>40</v>
      </c>
      <c r="B49" s="38" t="n">
        <v>48</v>
      </c>
      <c r="C49" s="38" t="s">
        <v>171</v>
      </c>
      <c r="D49" s="38" t="s">
        <v>171</v>
      </c>
      <c r="E49" s="38" t="s">
        <v>875</v>
      </c>
      <c r="F49" s="38" t="str">
        <f aca="false">B49&amp;"|"&amp;C49&amp;"|"&amp;D49</f>
        <v>48|U|U</v>
      </c>
      <c r="G49" s="45" t="n">
        <f aca="false">INDEX('Transition Stepwise'!$J$2:$J$1137,MATCH(F49,'Transition Stepwise'!$E$2:$E$1137,0))</f>
        <v>0.0909090909090909</v>
      </c>
      <c r="H49" s="45" t="n">
        <f aca="false">INDEX(Background!$D$12:$D$27,MATCH(C49&amp;D49,Background!$E$12:$E$27,0))</f>
        <v>0.220480320213476</v>
      </c>
      <c r="I49" s="49" t="n">
        <f aca="false">LN(G49/H49)</f>
        <v>-0.885948433987514</v>
      </c>
    </row>
    <row r="50" customFormat="false" ht="15" hidden="false" customHeight="true" outlineLevel="0" collapsed="false">
      <c r="A50" s="38" t="s">
        <v>40</v>
      </c>
      <c r="B50" s="38" t="n">
        <v>49</v>
      </c>
      <c r="C50" s="38" t="s">
        <v>171</v>
      </c>
      <c r="D50" s="38" t="s">
        <v>172</v>
      </c>
      <c r="E50" s="38" t="s">
        <v>875</v>
      </c>
      <c r="F50" s="38" t="str">
        <f aca="false">B50&amp;"|"&amp;C50&amp;"|"&amp;D50</f>
        <v>49|U|A</v>
      </c>
      <c r="G50" s="45" t="n">
        <f aca="false">INDEX('Transition Stepwise'!$J$2:$J$1137,MATCH(F50,'Transition Stepwise'!$E$2:$E$1137,0))</f>
        <v>0.2</v>
      </c>
      <c r="H50" s="45" t="n">
        <f aca="false">INDEX(Background!$D$12:$D$27,MATCH(C50&amp;D50,Background!$E$12:$E$27,0))</f>
        <v>0.180787191460974</v>
      </c>
      <c r="I50" s="49" t="n">
        <f aca="false">LN(G50/H50)</f>
        <v>0.100996764788796</v>
      </c>
    </row>
    <row r="51" customFormat="false" ht="15" hidden="false" customHeight="true" outlineLevel="0" collapsed="false">
      <c r="A51" s="38" t="s">
        <v>40</v>
      </c>
      <c r="B51" s="38" t="n">
        <v>50</v>
      </c>
      <c r="C51" s="38" t="s">
        <v>172</v>
      </c>
      <c r="D51" s="38" t="s">
        <v>169</v>
      </c>
      <c r="E51" s="38" t="s">
        <v>875</v>
      </c>
      <c r="F51" s="38" t="str">
        <f aca="false">B51&amp;"|"&amp;C51&amp;"|"&amp;D51</f>
        <v>50|A|G</v>
      </c>
      <c r="G51" s="45" t="n">
        <f aca="false">INDEX('Transition Stepwise'!$J$2:$J$1137,MATCH(F51,'Transition Stepwise'!$E$2:$E$1137,0))</f>
        <v>0.62962962962963</v>
      </c>
      <c r="H51" s="45" t="n">
        <f aca="false">INDEX(Background!$D$12:$D$27,MATCH(C51&amp;D51,Background!$E$12:$E$27,0))</f>
        <v>0.424884437596302</v>
      </c>
      <c r="I51" s="49" t="n">
        <f aca="false">LN(G51/H51)</f>
        <v>0.393314536622365</v>
      </c>
    </row>
    <row r="52" customFormat="false" ht="15" hidden="false" customHeight="true" outlineLevel="0" collapsed="false">
      <c r="A52" s="38" t="s">
        <v>40</v>
      </c>
      <c r="B52" s="38" t="n">
        <v>51</v>
      </c>
      <c r="C52" s="38" t="s">
        <v>169</v>
      </c>
      <c r="D52" s="38" t="s">
        <v>169</v>
      </c>
      <c r="E52" s="38" t="s">
        <v>875</v>
      </c>
      <c r="F52" s="38" t="str">
        <f aca="false">B52&amp;"|"&amp;C52&amp;"|"&amp;D52</f>
        <v>51|G|G</v>
      </c>
      <c r="G52" s="45" t="n">
        <f aca="false">INDEX('Transition Stepwise'!$J$2:$J$1137,MATCH(F52,'Transition Stepwise'!$E$2:$E$1137,0))</f>
        <v>0.786407766990291</v>
      </c>
      <c r="H52" s="45" t="n">
        <f aca="false">INDEX(Background!$D$12:$D$27,MATCH(C52&amp;D52,Background!$E$12:$E$27,0))</f>
        <v>0.344774477447745</v>
      </c>
      <c r="I52" s="49" t="n">
        <f aca="false">LN(G52/H52)</f>
        <v>0.824584930698362</v>
      </c>
    </row>
    <row r="53" customFormat="false" ht="15" hidden="false" customHeight="true" outlineLevel="0" collapsed="false">
      <c r="A53" s="38" t="s">
        <v>40</v>
      </c>
      <c r="B53" s="38" t="n">
        <v>52</v>
      </c>
      <c r="C53" s="38" t="s">
        <v>169</v>
      </c>
      <c r="D53" s="38" t="s">
        <v>169</v>
      </c>
      <c r="E53" s="38" t="s">
        <v>875</v>
      </c>
      <c r="F53" s="38" t="str">
        <f aca="false">B53&amp;"|"&amp;C53&amp;"|"&amp;D53</f>
        <v>52|G|G</v>
      </c>
      <c r="G53" s="45" t="n">
        <f aca="false">INDEX('Transition Stepwise'!$J$2:$J$1137,MATCH(F53,'Transition Stepwise'!$E$2:$E$1137,0))</f>
        <v>0.964912280701754</v>
      </c>
      <c r="H53" s="45" t="n">
        <f aca="false">INDEX(Background!$D$12:$D$27,MATCH(C53&amp;D53,Background!$E$12:$E$27,0))</f>
        <v>0.344774477447745</v>
      </c>
      <c r="I53" s="49" t="n">
        <f aca="false">LN(G53/H53)</f>
        <v>1.02914668165348</v>
      </c>
    </row>
    <row r="54" customFormat="false" ht="15" hidden="false" customHeight="true" outlineLevel="0" collapsed="false">
      <c r="A54" s="38" t="s">
        <v>40</v>
      </c>
      <c r="B54" s="38" t="n">
        <v>53</v>
      </c>
      <c r="C54" s="38" t="s">
        <v>169</v>
      </c>
      <c r="D54" s="38" t="s">
        <v>172</v>
      </c>
      <c r="E54" s="38" t="s">
        <v>875</v>
      </c>
      <c r="F54" s="38" t="str">
        <f aca="false">B54&amp;"|"&amp;C54&amp;"|"&amp;D54</f>
        <v>53|G|A</v>
      </c>
      <c r="G54" s="45" t="n">
        <f aca="false">INDEX('Transition Stepwise'!$J$2:$J$1137,MATCH(F54,'Transition Stepwise'!$E$2:$E$1137,0))</f>
        <v>0.0150753768844221</v>
      </c>
      <c r="H54" s="45" t="n">
        <f aca="false">INDEX(Background!$D$12:$D$27,MATCH(C54&amp;D54,Background!$E$12:$E$27,0))</f>
        <v>0.164356435643564</v>
      </c>
      <c r="I54" s="49" t="n">
        <f aca="false">LN(G54/H54)</f>
        <v>-2.38897471457762</v>
      </c>
    </row>
    <row r="55" customFormat="false" ht="15" hidden="false" customHeight="true" outlineLevel="0" collapsed="false">
      <c r="A55" s="38" t="s">
        <v>40</v>
      </c>
      <c r="B55" s="38" t="n">
        <v>54</v>
      </c>
      <c r="C55" s="38" t="s">
        <v>172</v>
      </c>
      <c r="D55" s="38" t="s">
        <v>171</v>
      </c>
      <c r="E55" s="38" t="s">
        <v>875</v>
      </c>
      <c r="F55" s="38" t="str">
        <f aca="false">B55&amp;"|"&amp;C55&amp;"|"&amp;D55</f>
        <v>54|A|U</v>
      </c>
      <c r="G55" s="45" t="n">
        <f aca="false">INDEX('Transition Stepwise'!$J$2:$J$1137,MATCH(F55,'Transition Stepwise'!$E$2:$E$1137,0))</f>
        <v>0.5</v>
      </c>
      <c r="H55" s="45" t="n">
        <f aca="false">INDEX(Background!$D$12:$D$27,MATCH(C55&amp;D55,Background!$E$12:$E$27,0))</f>
        <v>0.194530046224961</v>
      </c>
      <c r="I55" s="49" t="n">
        <f aca="false">LN(G55/H55)</f>
        <v>0.944021467988676</v>
      </c>
    </row>
    <row r="56" customFormat="false" ht="15" hidden="false" customHeight="true" outlineLevel="0" collapsed="false">
      <c r="A56" s="38" t="s">
        <v>40</v>
      </c>
      <c r="B56" s="38" t="n">
        <v>55</v>
      </c>
      <c r="C56" s="38" t="s">
        <v>171</v>
      </c>
      <c r="D56" s="38" t="s">
        <v>170</v>
      </c>
      <c r="E56" s="38" t="s">
        <v>875</v>
      </c>
      <c r="F56" s="38" t="str">
        <f aca="false">B56&amp;"|"&amp;C56&amp;"|"&amp;D56</f>
        <v>55|U|C</v>
      </c>
      <c r="G56" s="45" t="n">
        <f aca="false">INDEX('Transition Stepwise'!$J$2:$J$1137,MATCH(F56,'Transition Stepwise'!$E$2:$E$1137,0))</f>
        <v>0.975</v>
      </c>
      <c r="H56" s="45" t="n">
        <f aca="false">INDEX(Background!$D$12:$D$27,MATCH(C56&amp;D56,Background!$E$12:$E$27,0))</f>
        <v>0.377251501000667</v>
      </c>
      <c r="I56" s="49" t="n">
        <f aca="false">LN(G56/H56)</f>
        <v>0.949525394562133</v>
      </c>
    </row>
    <row r="57" customFormat="false" ht="15" hidden="false" customHeight="true" outlineLevel="0" collapsed="false">
      <c r="A57" s="38" t="s">
        <v>40</v>
      </c>
      <c r="B57" s="38" t="n">
        <v>56</v>
      </c>
      <c r="C57" s="38" t="s">
        <v>170</v>
      </c>
      <c r="D57" s="38" t="s">
        <v>170</v>
      </c>
      <c r="E57" s="38" t="s">
        <v>875</v>
      </c>
      <c r="F57" s="38" t="str">
        <f aca="false">B57&amp;"|"&amp;C57&amp;"|"&amp;D57</f>
        <v>56|C|C</v>
      </c>
      <c r="G57" s="45" t="n">
        <f aca="false">INDEX('Transition Stepwise'!$J$2:$J$1137,MATCH(F57,'Transition Stepwise'!$E$2:$E$1137,0))</f>
        <v>0.0050251256281407</v>
      </c>
      <c r="H57" s="45" t="n">
        <f aca="false">INDEX(Background!$D$12:$D$27,MATCH(C57&amp;D57,Background!$E$12:$E$27,0))</f>
        <v>0.312236286919831</v>
      </c>
      <c r="I57" s="49" t="n">
        <f aca="false">LN(G57/H57)</f>
        <v>-4.12930977679353</v>
      </c>
    </row>
    <row r="58" customFormat="false" ht="15" hidden="false" customHeight="true" outlineLevel="0" collapsed="false">
      <c r="A58" s="38" t="s">
        <v>40</v>
      </c>
      <c r="B58" s="38" t="n">
        <v>57</v>
      </c>
      <c r="C58" s="38" t="s">
        <v>170</v>
      </c>
      <c r="D58" s="38" t="s">
        <v>171</v>
      </c>
      <c r="E58" s="38" t="s">
        <v>875</v>
      </c>
      <c r="F58" s="38" t="str">
        <f aca="false">B58&amp;"|"&amp;C58&amp;"|"&amp;D58</f>
        <v>57|C|U</v>
      </c>
      <c r="G58" s="45" t="n">
        <f aca="false">INDEX('Transition Stepwise'!$J$2:$J$1137,MATCH(F58,'Transition Stepwise'!$E$2:$E$1137,0))</f>
        <v>0.25</v>
      </c>
      <c r="H58" s="45" t="n">
        <f aca="false">INDEX(Background!$D$12:$D$27,MATCH(C58&amp;D58,Background!$E$12:$E$27,0))</f>
        <v>0.196466244725738</v>
      </c>
      <c r="I58" s="49" t="n">
        <f aca="false">LN(G58/H58)</f>
        <v>0.240970283875462</v>
      </c>
    </row>
    <row r="59" customFormat="false" ht="15" hidden="false" customHeight="true" outlineLevel="0" collapsed="false">
      <c r="A59" s="38" t="s">
        <v>40</v>
      </c>
      <c r="B59" s="38" t="n">
        <v>58</v>
      </c>
      <c r="C59" s="38" t="s">
        <v>171</v>
      </c>
      <c r="D59" s="38" t="s">
        <v>171</v>
      </c>
      <c r="E59" s="38" t="s">
        <v>875</v>
      </c>
      <c r="F59" s="38" t="str">
        <f aca="false">B59&amp;"|"&amp;C59&amp;"|"&amp;D59</f>
        <v>58|U|U</v>
      </c>
      <c r="G59" s="45" t="n">
        <f aca="false">INDEX('Transition Stepwise'!$J$2:$J$1137,MATCH(F59,'Transition Stepwise'!$E$2:$E$1137,0))</f>
        <v>0.2</v>
      </c>
      <c r="H59" s="45" t="n">
        <f aca="false">INDEX(Background!$D$12:$D$27,MATCH(C59&amp;D59,Background!$E$12:$E$27,0))</f>
        <v>0.220480320213476</v>
      </c>
      <c r="I59" s="49" t="n">
        <f aca="false">LN(G59/H59)</f>
        <v>-0.0974910736232437</v>
      </c>
    </row>
    <row r="60" customFormat="false" ht="15" hidden="false" customHeight="true" outlineLevel="0" collapsed="false">
      <c r="A60" s="38" t="s">
        <v>40</v>
      </c>
      <c r="B60" s="38" t="n">
        <v>59</v>
      </c>
      <c r="C60" s="38" t="s">
        <v>171</v>
      </c>
      <c r="D60" s="38" t="s">
        <v>169</v>
      </c>
      <c r="E60" s="38" t="s">
        <v>875</v>
      </c>
      <c r="F60" s="38" t="str">
        <f aca="false">B60&amp;"|"&amp;C60&amp;"|"&amp;D60</f>
        <v>59|U|G</v>
      </c>
      <c r="G60" s="45" t="n">
        <f aca="false">INDEX('Transition Stepwise'!$J$2:$J$1137,MATCH(F60,'Transition Stepwise'!$E$2:$E$1137,0))</f>
        <v>0.0185185185185185</v>
      </c>
      <c r="H60" s="45" t="n">
        <f aca="false">INDEX(Background!$D$12:$D$27,MATCH(C60&amp;D60,Background!$E$12:$E$27,0))</f>
        <v>0.221480987324883</v>
      </c>
      <c r="I60" s="49" t="n">
        <f aca="false">LN(G60/H60)</f>
        <v>-2.48156551737817</v>
      </c>
    </row>
    <row r="61" customFormat="false" ht="15" hidden="false" customHeight="true" outlineLevel="0" collapsed="false">
      <c r="A61" s="38" t="s">
        <v>40</v>
      </c>
      <c r="B61" s="38" t="n">
        <v>60</v>
      </c>
      <c r="C61" s="38" t="s">
        <v>169</v>
      </c>
      <c r="D61" s="38" t="s">
        <v>170</v>
      </c>
      <c r="E61" s="38" t="s">
        <v>875</v>
      </c>
      <c r="F61" s="38" t="str">
        <f aca="false">B61&amp;"|"&amp;C61&amp;"|"&amp;D61</f>
        <v>60|G|C</v>
      </c>
      <c r="G61" s="45" t="n">
        <f aca="false">INDEX('Transition Stepwise'!$J$2:$J$1137,MATCH(F61,'Transition Stepwise'!$E$2:$E$1137,0))</f>
        <v>0.333333333333333</v>
      </c>
      <c r="H61" s="45" t="n">
        <f aca="false">INDEX(Background!$D$12:$D$27,MATCH(C61&amp;D61,Background!$E$12:$E$27,0))</f>
        <v>0.256105610561056</v>
      </c>
      <c r="I61" s="49" t="n">
        <f aca="false">LN(G61/H61)</f>
        <v>0.263553089652086</v>
      </c>
    </row>
    <row r="62" customFormat="false" ht="15" hidden="false" customHeight="true" outlineLevel="0" collapsed="false">
      <c r="A62" s="38" t="s">
        <v>40</v>
      </c>
      <c r="B62" s="38" t="n">
        <v>61</v>
      </c>
      <c r="C62" s="38" t="s">
        <v>170</v>
      </c>
      <c r="D62" s="38" t="s">
        <v>171</v>
      </c>
      <c r="E62" s="38" t="s">
        <v>875</v>
      </c>
      <c r="F62" s="38" t="str">
        <f aca="false">B62&amp;"|"&amp;C62&amp;"|"&amp;D62</f>
        <v>61|C|U</v>
      </c>
      <c r="G62" s="45" t="n">
        <f aca="false">INDEX('Transition Stepwise'!$J$2:$J$1137,MATCH(F62,'Transition Stepwise'!$E$2:$E$1137,0))</f>
        <v>0.129353233830846</v>
      </c>
      <c r="H62" s="45" t="n">
        <f aca="false">INDEX(Background!$D$12:$D$27,MATCH(C62&amp;D62,Background!$E$12:$E$27,0))</f>
        <v>0.196466244725738</v>
      </c>
      <c r="I62" s="49" t="n">
        <f aca="false">LN(G62/H62)</f>
        <v>-0.417943725042241</v>
      </c>
    </row>
    <row r="63" customFormat="false" ht="15" hidden="false" customHeight="true" outlineLevel="0" collapsed="false">
      <c r="A63" s="38" t="s">
        <v>40</v>
      </c>
      <c r="B63" s="38" t="n">
        <v>62</v>
      </c>
      <c r="C63" s="38" t="s">
        <v>171</v>
      </c>
      <c r="D63" s="38" t="s">
        <v>171</v>
      </c>
      <c r="E63" s="38" t="s">
        <v>875</v>
      </c>
      <c r="F63" s="38" t="str">
        <f aca="false">B63&amp;"|"&amp;C63&amp;"|"&amp;D63</f>
        <v>62|U|U</v>
      </c>
      <c r="G63" s="45" t="n">
        <f aca="false">INDEX('Transition Stepwise'!$J$2:$J$1137,MATCH(F63,'Transition Stepwise'!$E$2:$E$1137,0))</f>
        <v>0.1</v>
      </c>
      <c r="H63" s="45" t="n">
        <f aca="false">INDEX(Background!$D$12:$D$27,MATCH(C63&amp;D63,Background!$E$12:$E$27,0))</f>
        <v>0.220480320213476</v>
      </c>
      <c r="I63" s="49" t="n">
        <f aca="false">LN(G63/H63)</f>
        <v>-0.790638254183189</v>
      </c>
    </row>
    <row r="64" customFormat="false" ht="15" hidden="false" customHeight="true" outlineLevel="0" collapsed="false">
      <c r="A64" s="38" t="s">
        <v>40</v>
      </c>
      <c r="B64" s="38" t="n">
        <v>63</v>
      </c>
      <c r="C64" s="38" t="s">
        <v>171</v>
      </c>
      <c r="D64" s="38" t="s">
        <v>171</v>
      </c>
      <c r="E64" s="38" t="s">
        <v>875</v>
      </c>
      <c r="F64" s="38" t="str">
        <f aca="false">B64&amp;"|"&amp;C64&amp;"|"&amp;D64</f>
        <v>63|U|U</v>
      </c>
      <c r="G64" s="45" t="n">
        <f aca="false">INDEX('Transition Stepwise'!$J$2:$J$1137,MATCH(F64,'Transition Stepwise'!$E$2:$E$1137,0))</f>
        <v>0.138888888888889</v>
      </c>
      <c r="H64" s="45" t="n">
        <f aca="false">INDEX(Background!$D$12:$D$27,MATCH(C64&amp;D64,Background!$E$12:$E$27,0))</f>
        <v>0.220480320213476</v>
      </c>
      <c r="I64" s="49" t="n">
        <f aca="false">LN(G64/H64)</f>
        <v>-0.462134187211153</v>
      </c>
    </row>
    <row r="65" customFormat="false" ht="15" hidden="false" customHeight="true" outlineLevel="0" collapsed="false">
      <c r="A65" s="38" t="s">
        <v>40</v>
      </c>
      <c r="B65" s="38" t="n">
        <v>64</v>
      </c>
      <c r="C65" s="38" t="s">
        <v>171</v>
      </c>
      <c r="D65" s="38" t="s">
        <v>172</v>
      </c>
      <c r="E65" s="38" t="s">
        <v>875</v>
      </c>
      <c r="F65" s="38" t="str">
        <f aca="false">B65&amp;"|"&amp;C65&amp;"|"&amp;D65</f>
        <v>64|U|A</v>
      </c>
      <c r="G65" s="45" t="n">
        <f aca="false">INDEX('Transition Stepwise'!$J$2:$J$1137,MATCH(F65,'Transition Stepwise'!$E$2:$E$1137,0))</f>
        <v>0.0810810810810811</v>
      </c>
      <c r="H65" s="45" t="n">
        <f aca="false">INDEX(Background!$D$12:$D$27,MATCH(C65&amp;D65,Background!$E$12:$E$27,0))</f>
        <v>0.180787191460974</v>
      </c>
      <c r="I65" s="49" t="n">
        <f aca="false">LN(G65/H65)</f>
        <v>-0.801870946753218</v>
      </c>
    </row>
    <row r="66" customFormat="false" ht="15" hidden="false" customHeight="true" outlineLevel="0" collapsed="false">
      <c r="A66" s="38" t="s">
        <v>40</v>
      </c>
      <c r="B66" s="38" t="n">
        <v>65</v>
      </c>
      <c r="C66" s="38" t="s">
        <v>172</v>
      </c>
      <c r="D66" s="38" t="s">
        <v>170</v>
      </c>
      <c r="E66" s="38" t="s">
        <v>875</v>
      </c>
      <c r="F66" s="38" t="str">
        <f aca="false">B66&amp;"|"&amp;C66&amp;"|"&amp;D66</f>
        <v>65|A|C</v>
      </c>
      <c r="G66" s="45" t="n">
        <f aca="false">INDEX('Transition Stepwise'!$J$2:$J$1137,MATCH(F66,'Transition Stepwise'!$E$2:$E$1137,0))</f>
        <v>0.230769230769231</v>
      </c>
      <c r="H66" s="45" t="n">
        <f aca="false">INDEX(Background!$D$12:$D$27,MATCH(C66&amp;D66,Background!$E$12:$E$27,0))</f>
        <v>0.161016949152542</v>
      </c>
      <c r="I66" s="49" t="n">
        <f aca="false">LN(G66/H66)</f>
        <v>0.359908576505797</v>
      </c>
    </row>
    <row r="67" customFormat="false" ht="15" hidden="false" customHeight="true" outlineLevel="0" collapsed="false">
      <c r="A67" s="38" t="s">
        <v>40</v>
      </c>
      <c r="B67" s="38" t="n">
        <v>66</v>
      </c>
      <c r="C67" s="38" t="s">
        <v>170</v>
      </c>
      <c r="D67" s="38" t="s">
        <v>171</v>
      </c>
      <c r="E67" s="38" t="s">
        <v>875</v>
      </c>
      <c r="F67" s="38" t="str">
        <f aca="false">B67&amp;"|"&amp;C67&amp;"|"&amp;D67</f>
        <v>66|C|U</v>
      </c>
      <c r="G67" s="45" t="n">
        <f aca="false">INDEX('Transition Stepwise'!$J$2:$J$1137,MATCH(F67,'Transition Stepwise'!$E$2:$E$1137,0))</f>
        <v>0.155963302752294</v>
      </c>
      <c r="H67" s="45" t="n">
        <f aca="false">INDEX(Background!$D$12:$D$27,MATCH(C67&amp;D67,Background!$E$12:$E$27,0))</f>
        <v>0.196466244725738</v>
      </c>
      <c r="I67" s="49" t="n">
        <f aca="false">LN(G67/H67)</f>
        <v>-0.230869893177575</v>
      </c>
    </row>
    <row r="68" customFormat="false" ht="15" hidden="false" customHeight="true" outlineLevel="0" collapsed="false">
      <c r="A68" s="38" t="s">
        <v>40</v>
      </c>
      <c r="B68" s="38" t="n">
        <v>67</v>
      </c>
      <c r="C68" s="38" t="s">
        <v>171</v>
      </c>
      <c r="D68" s="38" t="s">
        <v>171</v>
      </c>
      <c r="E68" s="38" t="s">
        <v>875</v>
      </c>
      <c r="F68" s="38" t="str">
        <f aca="false">B68&amp;"|"&amp;C68&amp;"|"&amp;D68</f>
        <v>67|U|U</v>
      </c>
      <c r="G68" s="45" t="n">
        <f aca="false">INDEX('Transition Stepwise'!$J$2:$J$1137,MATCH(F68,'Transition Stepwise'!$E$2:$E$1137,0))</f>
        <v>0.238095238095238</v>
      </c>
      <c r="H68" s="45" t="n">
        <f aca="false">INDEX(Background!$D$12:$D$27,MATCH(C68&amp;D68,Background!$E$12:$E$27,0))</f>
        <v>0.220480320213476</v>
      </c>
      <c r="I68" s="49" t="n">
        <f aca="false">LN(G68/H68)</f>
        <v>0.076862313521534</v>
      </c>
    </row>
    <row r="69" customFormat="false" ht="15" hidden="false" customHeight="true" outlineLevel="0" collapsed="false">
      <c r="A69" s="38" t="s">
        <v>40</v>
      </c>
      <c r="B69" s="38" t="n">
        <v>68</v>
      </c>
      <c r="C69" s="38" t="s">
        <v>171</v>
      </c>
      <c r="D69" s="38" t="s">
        <v>171</v>
      </c>
      <c r="E69" s="38" t="s">
        <v>875</v>
      </c>
      <c r="F69" s="38" t="str">
        <f aca="false">B69&amp;"|"&amp;C69&amp;"|"&amp;D69</f>
        <v>68|U|U</v>
      </c>
      <c r="G69" s="45" t="n">
        <f aca="false">INDEX('Transition Stepwise'!$J$2:$J$1137,MATCH(F69,'Transition Stepwise'!$E$2:$E$1137,0))</f>
        <v>0.153846153846154</v>
      </c>
      <c r="H69" s="45" t="n">
        <f aca="false">INDEX(Background!$D$12:$D$27,MATCH(C69&amp;D69,Background!$E$12:$E$27,0))</f>
        <v>0.220480320213476</v>
      </c>
      <c r="I69" s="49" t="n">
        <f aca="false">LN(G69/H69)</f>
        <v>-0.359855338090735</v>
      </c>
    </row>
    <row r="70" customFormat="false" ht="15" hidden="false" customHeight="true" outlineLevel="0" collapsed="false">
      <c r="A70" s="38" t="s">
        <v>40</v>
      </c>
      <c r="B70" s="38" t="n">
        <v>69</v>
      </c>
      <c r="C70" s="38" t="s">
        <v>171</v>
      </c>
      <c r="D70" s="38" t="s">
        <v>171</v>
      </c>
      <c r="E70" s="38" t="s">
        <v>875</v>
      </c>
      <c r="F70" s="38" t="str">
        <f aca="false">B70&amp;"|"&amp;C70&amp;"|"&amp;D70</f>
        <v>69|U|U</v>
      </c>
      <c r="G70" s="45" t="n">
        <f aca="false">INDEX('Transition Stepwise'!$J$2:$J$1137,MATCH(F70,'Transition Stepwise'!$E$2:$E$1137,0))</f>
        <v>0.15</v>
      </c>
      <c r="H70" s="45" t="n">
        <f aca="false">INDEX(Background!$D$12:$D$27,MATCH(C70&amp;D70,Background!$E$12:$E$27,0))</f>
        <v>0.220480320213476</v>
      </c>
      <c r="I70" s="49" t="n">
        <f aca="false">LN(G70/H70)</f>
        <v>-0.385173146075025</v>
      </c>
    </row>
    <row r="71" customFormat="false" ht="15" hidden="false" customHeight="true" outlineLevel="0" collapsed="false">
      <c r="A71" s="38" t="s">
        <v>40</v>
      </c>
      <c r="B71" s="38" t="n">
        <v>70</v>
      </c>
      <c r="C71" s="38" t="s">
        <v>171</v>
      </c>
      <c r="D71" s="38" t="s">
        <v>172</v>
      </c>
      <c r="E71" s="38" t="s">
        <v>875</v>
      </c>
      <c r="F71" s="38" t="str">
        <f aca="false">B71&amp;"|"&amp;C71&amp;"|"&amp;D71</f>
        <v>70|U|A</v>
      </c>
      <c r="G71" s="45" t="n">
        <f aca="false">INDEX('Transition Stepwise'!$J$2:$J$1137,MATCH(F71,'Transition Stepwise'!$E$2:$E$1137,0))</f>
        <v>0.0294117647058824</v>
      </c>
      <c r="H71" s="45" t="n">
        <f aca="false">INDEX(Background!$D$12:$D$27,MATCH(C71&amp;D71,Background!$E$12:$E$27,0))</f>
        <v>0.180787191460974</v>
      </c>
      <c r="I71" s="49" t="n">
        <f aca="false">LN(G71/H71)</f>
        <v>-1.81592584739326</v>
      </c>
    </row>
    <row r="72" customFormat="false" ht="15" hidden="false" customHeight="true" outlineLevel="0" collapsed="false">
      <c r="A72" s="38" t="s">
        <v>40</v>
      </c>
      <c r="B72" s="38" t="n">
        <v>71</v>
      </c>
      <c r="C72" s="38" t="s">
        <v>172</v>
      </c>
      <c r="D72" s="38" t="s">
        <v>171</v>
      </c>
      <c r="E72" s="38" t="s">
        <v>875</v>
      </c>
      <c r="F72" s="38" t="str">
        <f aca="false">B72&amp;"|"&amp;C72&amp;"|"&amp;D72</f>
        <v>71|A|U</v>
      </c>
      <c r="G72" s="45" t="n">
        <f aca="false">INDEX('Transition Stepwise'!$J$2:$J$1137,MATCH(F72,'Transition Stepwise'!$E$2:$E$1137,0))</f>
        <v>0.111111111111111</v>
      </c>
      <c r="H72" s="45" t="n">
        <f aca="false">INDEX(Background!$D$12:$D$27,MATCH(C72&amp;D72,Background!$E$12:$E$27,0))</f>
        <v>0.194530046224961</v>
      </c>
      <c r="I72" s="49" t="n">
        <f aca="false">LN(G72/H72)</f>
        <v>-0.560055928787599</v>
      </c>
    </row>
    <row r="73" customFormat="false" ht="15" hidden="false" customHeight="true" outlineLevel="0" collapsed="false">
      <c r="A73" s="38" t="s">
        <v>36</v>
      </c>
      <c r="B73" s="38" t="n">
        <v>1</v>
      </c>
      <c r="C73" s="38" t="s">
        <v>169</v>
      </c>
      <c r="D73" s="38" t="s">
        <v>169</v>
      </c>
      <c r="E73" s="38" t="s">
        <v>875</v>
      </c>
      <c r="F73" s="38" t="str">
        <f aca="false">B73&amp;"|"&amp;C73&amp;"|"&amp;D73</f>
        <v>1|G|G</v>
      </c>
      <c r="G73" s="45" t="n">
        <f aca="false">INDEX('Transition Stepwise'!$J$2:$J$1137,MATCH(F73,'Transition Stepwise'!$E$2:$E$1137,0))</f>
        <v>0.474358974358974</v>
      </c>
      <c r="H73" s="45" t="n">
        <f aca="false">INDEX(Background!$D$12:$D$27,MATCH(C73&amp;D73,Background!$E$12:$E$27,0))</f>
        <v>0.344774477447745</v>
      </c>
      <c r="I73" s="49" t="n">
        <f aca="false">LN(G73/H73)</f>
        <v>0.319073850210191</v>
      </c>
    </row>
    <row r="74" customFormat="false" ht="15" hidden="false" customHeight="true" outlineLevel="0" collapsed="false">
      <c r="A74" s="38" t="s">
        <v>36</v>
      </c>
      <c r="B74" s="38" t="n">
        <v>2</v>
      </c>
      <c r="C74" s="38" t="s">
        <v>169</v>
      </c>
      <c r="D74" s="38" t="s">
        <v>169</v>
      </c>
      <c r="E74" s="38" t="s">
        <v>875</v>
      </c>
      <c r="F74" s="38" t="str">
        <f aca="false">B74&amp;"|"&amp;C74&amp;"|"&amp;D74</f>
        <v>2|G|G</v>
      </c>
      <c r="G74" s="45" t="n">
        <f aca="false">INDEX('Transition Stepwise'!$J$2:$J$1137,MATCH(F74,'Transition Stepwise'!$E$2:$E$1137,0))</f>
        <v>0.568807339449541</v>
      </c>
      <c r="H74" s="45" t="n">
        <f aca="false">INDEX(Background!$D$12:$D$27,MATCH(C74&amp;D74,Background!$E$12:$E$27,0))</f>
        <v>0.344774477447745</v>
      </c>
      <c r="I74" s="49" t="n">
        <f aca="false">LN(G74/H74)</f>
        <v>0.500651267071506</v>
      </c>
    </row>
    <row r="75" customFormat="false" ht="15" hidden="false" customHeight="true" outlineLevel="0" collapsed="false">
      <c r="A75" s="38" t="s">
        <v>36</v>
      </c>
      <c r="B75" s="38" t="n">
        <v>3</v>
      </c>
      <c r="C75" s="38" t="s">
        <v>169</v>
      </c>
      <c r="D75" s="38" t="s">
        <v>172</v>
      </c>
      <c r="E75" s="38" t="s">
        <v>875</v>
      </c>
      <c r="F75" s="38" t="str">
        <f aca="false">B75&amp;"|"&amp;C75&amp;"|"&amp;D75</f>
        <v>3|G|A</v>
      </c>
      <c r="G75" s="45" t="n">
        <f aca="false">INDEX('Transition Stepwise'!$J$2:$J$1137,MATCH(F75,'Transition Stepwise'!$E$2:$E$1137,0))</f>
        <v>0.0786516853932584</v>
      </c>
      <c r="H75" s="45" t="n">
        <f aca="false">INDEX(Background!$D$12:$D$27,MATCH(C75&amp;D75,Background!$E$12:$E$27,0))</f>
        <v>0.164356435643564</v>
      </c>
      <c r="I75" s="49" t="n">
        <f aca="false">LN(G75/H75)</f>
        <v>-0.737008399198065</v>
      </c>
    </row>
    <row r="76" customFormat="false" ht="15" hidden="false" customHeight="true" outlineLevel="0" collapsed="false">
      <c r="A76" s="38" t="s">
        <v>36</v>
      </c>
      <c r="B76" s="38" t="n">
        <v>4</v>
      </c>
      <c r="C76" s="38" t="s">
        <v>172</v>
      </c>
      <c r="D76" s="38" t="s">
        <v>169</v>
      </c>
      <c r="E76" s="38" t="s">
        <v>875</v>
      </c>
      <c r="F76" s="38" t="str">
        <f aca="false">B76&amp;"|"&amp;C76&amp;"|"&amp;D76</f>
        <v>4|A|G</v>
      </c>
      <c r="G76" s="45" t="n">
        <f aca="false">INDEX('Transition Stepwise'!$J$2:$J$1137,MATCH(F76,'Transition Stepwise'!$E$2:$E$1137,0))</f>
        <v>0.421052631578947</v>
      </c>
      <c r="H76" s="45" t="n">
        <f aca="false">INDEX(Background!$D$12:$D$27,MATCH(C76&amp;D76,Background!$E$12:$E$27,0))</f>
        <v>0.424884437596302</v>
      </c>
      <c r="I76" s="49" t="n">
        <f aca="false">LN(G76/H76)</f>
        <v>-0.00905937891612643</v>
      </c>
    </row>
    <row r="77" customFormat="false" ht="15" hidden="false" customHeight="true" outlineLevel="0" collapsed="false">
      <c r="A77" s="38" t="s">
        <v>36</v>
      </c>
      <c r="B77" s="38" t="n">
        <v>5</v>
      </c>
      <c r="C77" s="38" t="s">
        <v>169</v>
      </c>
      <c r="D77" s="38" t="s">
        <v>169</v>
      </c>
      <c r="E77" s="38" t="s">
        <v>875</v>
      </c>
      <c r="F77" s="38" t="str">
        <f aca="false">B77&amp;"|"&amp;C77&amp;"|"&amp;D77</f>
        <v>5|G|G</v>
      </c>
      <c r="G77" s="45" t="n">
        <f aca="false">INDEX('Transition Stepwise'!$J$2:$J$1137,MATCH(F77,'Transition Stepwise'!$E$2:$E$1137,0))</f>
        <v>0.301369863013699</v>
      </c>
      <c r="H77" s="45" t="n">
        <f aca="false">INDEX(Background!$D$12:$D$27,MATCH(C77&amp;D77,Background!$E$12:$E$27,0))</f>
        <v>0.344774477447745</v>
      </c>
      <c r="I77" s="49" t="n">
        <f aca="false">LN(G77/H77)</f>
        <v>-0.134552223534517</v>
      </c>
    </row>
    <row r="78" customFormat="false" ht="15" hidden="false" customHeight="true" outlineLevel="0" collapsed="false">
      <c r="A78" s="38" t="s">
        <v>36</v>
      </c>
      <c r="B78" s="38" t="n">
        <v>6</v>
      </c>
      <c r="C78" s="38" t="s">
        <v>169</v>
      </c>
      <c r="D78" s="38" t="s">
        <v>171</v>
      </c>
      <c r="E78" s="38" t="s">
        <v>875</v>
      </c>
      <c r="F78" s="38" t="str">
        <f aca="false">B78&amp;"|"&amp;C78&amp;"|"&amp;D78</f>
        <v>6|G|U</v>
      </c>
      <c r="G78" s="45" t="n">
        <f aca="false">INDEX('Transition Stepwise'!$J$2:$J$1137,MATCH(F78,'Transition Stepwise'!$E$2:$E$1137,0))</f>
        <v>0.269230769230769</v>
      </c>
      <c r="H78" s="45" t="n">
        <f aca="false">INDEX(Background!$D$12:$D$27,MATCH(C78&amp;D78,Background!$E$12:$E$27,0))</f>
        <v>0.234763476347635</v>
      </c>
      <c r="I78" s="49" t="n">
        <f aca="false">LN(G78/H78)</f>
        <v>0.136990366343657</v>
      </c>
    </row>
    <row r="79" customFormat="false" ht="15" hidden="false" customHeight="true" outlineLevel="0" collapsed="false">
      <c r="A79" s="38" t="s">
        <v>36</v>
      </c>
      <c r="B79" s="38" t="n">
        <v>7</v>
      </c>
      <c r="C79" s="38" t="s">
        <v>171</v>
      </c>
      <c r="D79" s="38" t="s">
        <v>171</v>
      </c>
      <c r="E79" s="38" t="s">
        <v>875</v>
      </c>
      <c r="F79" s="38" t="str">
        <f aca="false">B79&amp;"|"&amp;C79&amp;"|"&amp;D79</f>
        <v>7|U|U</v>
      </c>
      <c r="G79" s="45" t="n">
        <f aca="false">INDEX('Transition Stepwise'!$J$2:$J$1137,MATCH(F79,'Transition Stepwise'!$E$2:$E$1137,0))</f>
        <v>0.9375</v>
      </c>
      <c r="H79" s="45" t="n">
        <f aca="false">INDEX(Background!$D$12:$D$27,MATCH(C79&amp;D79,Background!$E$12:$E$27,0))</f>
        <v>0.220480320213476</v>
      </c>
      <c r="I79" s="49" t="n">
        <f aca="false">LN(G79/H79)</f>
        <v>1.44740831767329</v>
      </c>
    </row>
    <row r="80" customFormat="false" ht="15" hidden="false" customHeight="true" outlineLevel="0" collapsed="false">
      <c r="A80" s="38" t="s">
        <v>36</v>
      </c>
      <c r="B80" s="38" t="n">
        <v>8</v>
      </c>
      <c r="C80" s="38" t="s">
        <v>171</v>
      </c>
      <c r="D80" s="38" t="s">
        <v>171</v>
      </c>
      <c r="E80" s="38" t="s">
        <v>875</v>
      </c>
      <c r="F80" s="38" t="str">
        <f aca="false">B80&amp;"|"&amp;C80&amp;"|"&amp;D80</f>
        <v>8|U|U</v>
      </c>
      <c r="G80" s="45" t="n">
        <f aca="false">INDEX('Transition Stepwise'!$J$2:$J$1137,MATCH(F80,'Transition Stepwise'!$E$2:$E$1137,0))</f>
        <v>0.005</v>
      </c>
      <c r="H80" s="45" t="n">
        <f aca="false">INDEX(Background!$D$12:$D$27,MATCH(C80&amp;D80,Background!$E$12:$E$27,0))</f>
        <v>0.220480320213476</v>
      </c>
      <c r="I80" s="49" t="n">
        <f aca="false">LN(G80/H80)</f>
        <v>-3.78637052773718</v>
      </c>
    </row>
    <row r="81" customFormat="false" ht="15" hidden="false" customHeight="true" outlineLevel="0" collapsed="false">
      <c r="A81" s="38" t="s">
        <v>36</v>
      </c>
      <c r="B81" s="38" t="n">
        <v>9</v>
      </c>
      <c r="C81" s="38" t="s">
        <v>171</v>
      </c>
      <c r="D81" s="38" t="s">
        <v>169</v>
      </c>
      <c r="E81" s="38" t="s">
        <v>875</v>
      </c>
      <c r="F81" s="38" t="str">
        <f aca="false">B81&amp;"|"&amp;C81&amp;"|"&amp;D81</f>
        <v>9|U|G</v>
      </c>
      <c r="G81" s="45" t="n">
        <f aca="false">INDEX('Transition Stepwise'!$J$2:$J$1137,MATCH(F81,'Transition Stepwise'!$E$2:$E$1137,0))</f>
        <v>0.25</v>
      </c>
      <c r="H81" s="45" t="n">
        <f aca="false">INDEX(Background!$D$12:$D$27,MATCH(C81&amp;D81,Background!$E$12:$E$27,0))</f>
        <v>0.221480987324883</v>
      </c>
      <c r="I81" s="49" t="n">
        <f aca="false">LN(G81/H81)</f>
        <v>0.121124168066218</v>
      </c>
    </row>
    <row r="82" customFormat="false" ht="15" hidden="false" customHeight="true" outlineLevel="0" collapsed="false">
      <c r="A82" s="38" t="s">
        <v>36</v>
      </c>
      <c r="B82" s="38" t="n">
        <v>10</v>
      </c>
      <c r="C82" s="38" t="s">
        <v>169</v>
      </c>
      <c r="D82" s="38" t="s">
        <v>172</v>
      </c>
      <c r="E82" s="38" t="s">
        <v>875</v>
      </c>
      <c r="F82" s="38" t="str">
        <f aca="false">B82&amp;"|"&amp;C82&amp;"|"&amp;D82</f>
        <v>10|G|A</v>
      </c>
      <c r="G82" s="45" t="n">
        <f aca="false">INDEX('Transition Stepwise'!$J$2:$J$1137,MATCH(F82,'Transition Stepwise'!$E$2:$E$1137,0))</f>
        <v>0.041025641025641</v>
      </c>
      <c r="H82" s="45" t="n">
        <f aca="false">INDEX(Background!$D$12:$D$27,MATCH(C82&amp;D82,Background!$E$12:$E$27,0))</f>
        <v>0.164356435643564</v>
      </c>
      <c r="I82" s="49" t="n">
        <f aca="false">LN(G82/H82)</f>
        <v>-1.38784019540515</v>
      </c>
    </row>
    <row r="83" customFormat="false" ht="15" hidden="false" customHeight="true" outlineLevel="0" collapsed="false">
      <c r="A83" s="38" t="s">
        <v>36</v>
      </c>
      <c r="B83" s="38" t="n">
        <v>11</v>
      </c>
      <c r="C83" s="38" t="s">
        <v>172</v>
      </c>
      <c r="D83" s="38" t="s">
        <v>171</v>
      </c>
      <c r="E83" s="38" t="s">
        <v>875</v>
      </c>
      <c r="F83" s="38" t="str">
        <f aca="false">B83&amp;"|"&amp;C83&amp;"|"&amp;D83</f>
        <v>11|A|U</v>
      </c>
      <c r="G83" s="45" t="n">
        <f aca="false">INDEX('Transition Stepwise'!$J$2:$J$1137,MATCH(F83,'Transition Stepwise'!$E$2:$E$1137,0))</f>
        <v>0.363636363636364</v>
      </c>
      <c r="H83" s="45" t="n">
        <f aca="false">INDEX(Background!$D$12:$D$27,MATCH(C83&amp;D83,Background!$E$12:$E$27,0))</f>
        <v>0.194530046224961</v>
      </c>
      <c r="I83" s="49" t="n">
        <f aca="false">LN(G83/H83)</f>
        <v>0.625567736870141</v>
      </c>
    </row>
    <row r="84" customFormat="false" ht="15" hidden="false" customHeight="true" outlineLevel="0" collapsed="false">
      <c r="A84" s="38" t="s">
        <v>36</v>
      </c>
      <c r="B84" s="38" t="n">
        <v>12</v>
      </c>
      <c r="C84" s="38" t="s">
        <v>171</v>
      </c>
      <c r="D84" s="38" t="s">
        <v>170</v>
      </c>
      <c r="E84" s="38" t="s">
        <v>875</v>
      </c>
      <c r="F84" s="38" t="str">
        <f aca="false">B84&amp;"|"&amp;C84&amp;"|"&amp;D84</f>
        <v>12|U|C</v>
      </c>
      <c r="G84" s="45" t="n">
        <f aca="false">INDEX('Transition Stepwise'!$J$2:$J$1137,MATCH(F84,'Transition Stepwise'!$E$2:$E$1137,0))</f>
        <v>0.869918699186992</v>
      </c>
      <c r="H84" s="45" t="n">
        <f aca="false">INDEX(Background!$D$12:$D$27,MATCH(C84&amp;D84,Background!$E$12:$E$27,0))</f>
        <v>0.377251501000667</v>
      </c>
      <c r="I84" s="49" t="n">
        <f aca="false">LN(G84/H84)</f>
        <v>0.835487681635911</v>
      </c>
    </row>
    <row r="85" customFormat="false" ht="15" hidden="false" customHeight="true" outlineLevel="0" collapsed="false">
      <c r="A85" s="38" t="s">
        <v>36</v>
      </c>
      <c r="B85" s="38" t="n">
        <v>13</v>
      </c>
      <c r="C85" s="38" t="s">
        <v>170</v>
      </c>
      <c r="D85" s="38" t="s">
        <v>169</v>
      </c>
      <c r="E85" s="38" t="s">
        <v>875</v>
      </c>
      <c r="F85" s="38" t="str">
        <f aca="false">B85&amp;"|"&amp;C85&amp;"|"&amp;D85</f>
        <v>13|C|G</v>
      </c>
      <c r="G85" s="45" t="n">
        <f aca="false">INDEX('Transition Stepwise'!$J$2:$J$1137,MATCH(F85,'Transition Stepwise'!$E$2:$E$1137,0))</f>
        <v>0.0075187969924812</v>
      </c>
      <c r="H85" s="45" t="n">
        <f aca="false">INDEX(Background!$D$12:$D$27,MATCH(C85&amp;D85,Background!$E$12:$E$27,0))</f>
        <v>0.296413502109705</v>
      </c>
      <c r="I85" s="49" t="n">
        <f aca="false">LN(G85/H85)</f>
        <v>-3.67434929530048</v>
      </c>
    </row>
    <row r="86" customFormat="false" ht="15" hidden="false" customHeight="true" outlineLevel="0" collapsed="false">
      <c r="A86" s="38" t="s">
        <v>36</v>
      </c>
      <c r="B86" s="38" t="n">
        <v>14</v>
      </c>
      <c r="C86" s="38" t="s">
        <v>169</v>
      </c>
      <c r="D86" s="38" t="s">
        <v>169</v>
      </c>
      <c r="E86" s="38" t="s">
        <v>875</v>
      </c>
      <c r="F86" s="38" t="str">
        <f aca="false">B86&amp;"|"&amp;C86&amp;"|"&amp;D86</f>
        <v>14|G|G</v>
      </c>
      <c r="G86" s="45" t="n">
        <f aca="false">INDEX('Transition Stepwise'!$J$2:$J$1137,MATCH(F86,'Transition Stepwise'!$E$2:$E$1137,0))</f>
        <v>0.2</v>
      </c>
      <c r="H86" s="45" t="n">
        <f aca="false">INDEX(Background!$D$12:$D$27,MATCH(C86&amp;D86,Background!$E$12:$E$27,0))</f>
        <v>0.344774477447745</v>
      </c>
      <c r="I86" s="49" t="n">
        <f aca="false">LN(G86/H86)</f>
        <v>-0.544573148178542</v>
      </c>
    </row>
    <row r="87" customFormat="false" ht="15" hidden="false" customHeight="true" outlineLevel="0" collapsed="false">
      <c r="A87" s="38" t="s">
        <v>36</v>
      </c>
      <c r="B87" s="38" t="n">
        <v>15</v>
      </c>
      <c r="C87" s="38" t="s">
        <v>169</v>
      </c>
      <c r="D87" s="38" t="s">
        <v>172</v>
      </c>
      <c r="E87" s="38" t="s">
        <v>875</v>
      </c>
      <c r="F87" s="38" t="str">
        <f aca="false">B87&amp;"|"&amp;C87&amp;"|"&amp;D87</f>
        <v>15|G|A</v>
      </c>
      <c r="G87" s="45" t="n">
        <f aca="false">INDEX('Transition Stepwise'!$J$2:$J$1137,MATCH(F87,'Transition Stepwise'!$E$2:$E$1137,0))</f>
        <v>0.0256410256410256</v>
      </c>
      <c r="H87" s="45" t="n">
        <f aca="false">INDEX(Background!$D$12:$D$27,MATCH(C87&amp;D87,Background!$E$12:$E$27,0))</f>
        <v>0.164356435643564</v>
      </c>
      <c r="I87" s="49" t="n">
        <f aca="false">LN(G87/H87)</f>
        <v>-1.85784382465088</v>
      </c>
    </row>
    <row r="88" customFormat="false" ht="15" hidden="false" customHeight="true" outlineLevel="0" collapsed="false">
      <c r="A88" s="38" t="s">
        <v>36</v>
      </c>
      <c r="B88" s="38" t="n">
        <v>16</v>
      </c>
      <c r="C88" s="38" t="s">
        <v>172</v>
      </c>
      <c r="D88" s="38" t="s">
        <v>170</v>
      </c>
      <c r="E88" s="38" t="s">
        <v>875</v>
      </c>
      <c r="F88" s="38" t="str">
        <f aca="false">B88&amp;"|"&amp;C88&amp;"|"&amp;D88</f>
        <v>16|A|C</v>
      </c>
      <c r="G88" s="45" t="n">
        <f aca="false">INDEX('Transition Stepwise'!$J$2:$J$1137,MATCH(F88,'Transition Stepwise'!$E$2:$E$1137,0))</f>
        <v>0.285714285714286</v>
      </c>
      <c r="H88" s="45" t="n">
        <f aca="false">INDEX(Background!$D$12:$D$27,MATCH(C88&amp;D88,Background!$E$12:$E$27,0))</f>
        <v>0.161016949152542</v>
      </c>
      <c r="I88" s="49" t="n">
        <f aca="false">LN(G88/H88)</f>
        <v>0.573482676803856</v>
      </c>
    </row>
    <row r="89" customFormat="false" ht="15" hidden="false" customHeight="true" outlineLevel="0" collapsed="false">
      <c r="A89" s="38" t="s">
        <v>36</v>
      </c>
      <c r="B89" s="38" t="n">
        <v>17</v>
      </c>
      <c r="C89" s="38" t="s">
        <v>170</v>
      </c>
      <c r="D89" s="38" t="s">
        <v>169</v>
      </c>
      <c r="E89" s="38" t="s">
        <v>875</v>
      </c>
      <c r="F89" s="38" t="str">
        <f aca="false">B89&amp;"|"&amp;C89&amp;"|"&amp;D89</f>
        <v>17|C|G</v>
      </c>
      <c r="G89" s="45" t="n">
        <f aca="false">INDEX('Transition Stepwise'!$J$2:$J$1137,MATCH(F89,'Transition Stepwise'!$E$2:$E$1137,0))</f>
        <v>0.955223880597015</v>
      </c>
      <c r="H89" s="45" t="n">
        <f aca="false">INDEX(Background!$D$12:$D$27,MATCH(C89&amp;D89,Background!$E$12:$E$27,0))</f>
        <v>0.296413502109705</v>
      </c>
      <c r="I89" s="49" t="n">
        <f aca="false">LN(G89/H89)</f>
        <v>1.17019029688998</v>
      </c>
    </row>
    <row r="90" customFormat="false" ht="15" hidden="false" customHeight="true" outlineLevel="0" collapsed="false">
      <c r="A90" s="38" t="s">
        <v>36</v>
      </c>
      <c r="B90" s="38" t="n">
        <v>18</v>
      </c>
      <c r="C90" s="38" t="s">
        <v>169</v>
      </c>
      <c r="D90" s="38" t="s">
        <v>169</v>
      </c>
      <c r="E90" s="38" t="s">
        <v>875</v>
      </c>
      <c r="F90" s="38" t="str">
        <f aca="false">B90&amp;"|"&amp;C90&amp;"|"&amp;D90</f>
        <v>18|G|G</v>
      </c>
      <c r="G90" s="45" t="n">
        <f aca="false">INDEX('Transition Stepwise'!$J$2:$J$1137,MATCH(F90,'Transition Stepwise'!$E$2:$E$1137,0))</f>
        <v>0.975247524752475</v>
      </c>
      <c r="H90" s="45" t="n">
        <f aca="false">INDEX(Background!$D$12:$D$27,MATCH(C90&amp;D90,Background!$E$12:$E$27,0))</f>
        <v>0.344774477447745</v>
      </c>
      <c r="I90" s="49" t="n">
        <f aca="false">LN(G90/H90)</f>
        <v>1.03980079559234</v>
      </c>
    </row>
    <row r="91" customFormat="false" ht="15" hidden="false" customHeight="true" outlineLevel="0" collapsed="false">
      <c r="A91" s="38" t="s">
        <v>36</v>
      </c>
      <c r="B91" s="38" t="n">
        <v>19</v>
      </c>
      <c r="C91" s="38" t="s">
        <v>169</v>
      </c>
      <c r="D91" s="38" t="s">
        <v>169</v>
      </c>
      <c r="E91" s="38" t="s">
        <v>875</v>
      </c>
      <c r="F91" s="38" t="str">
        <f aca="false">B91&amp;"|"&amp;C91&amp;"|"&amp;D91</f>
        <v>19|G|G</v>
      </c>
      <c r="G91" s="45" t="n">
        <f aca="false">INDEX('Transition Stepwise'!$J$2:$J$1137,MATCH(F91,'Transition Stepwise'!$E$2:$E$1137,0))</f>
        <v>0.095</v>
      </c>
      <c r="H91" s="45" t="n">
        <f aca="false">INDEX(Background!$D$12:$D$27,MATCH(C91&amp;D91,Background!$E$12:$E$27,0))</f>
        <v>0.344774477447745</v>
      </c>
      <c r="I91" s="49" t="n">
        <f aca="false">LN(G91/H91)</f>
        <v>-1.28901362312604</v>
      </c>
    </row>
    <row r="92" customFormat="false" ht="15" hidden="false" customHeight="true" outlineLevel="0" collapsed="false">
      <c r="A92" s="38" t="s">
        <v>36</v>
      </c>
      <c r="B92" s="38" t="n">
        <v>20</v>
      </c>
      <c r="C92" s="38" t="s">
        <v>169</v>
      </c>
      <c r="D92" s="38" t="s">
        <v>169</v>
      </c>
      <c r="E92" s="38" t="s">
        <v>875</v>
      </c>
      <c r="F92" s="38" t="str">
        <f aca="false">B92&amp;"|"&amp;C92&amp;"|"&amp;D92</f>
        <v>20|G|G</v>
      </c>
      <c r="G92" s="45" t="n">
        <f aca="false">INDEX('Transition Stepwise'!$J$2:$J$1137,MATCH(F92,'Transition Stepwise'!$E$2:$E$1137,0))</f>
        <v>0.0454545454545455</v>
      </c>
      <c r="H92" s="45" t="n">
        <f aca="false">INDEX(Background!$D$12:$D$27,MATCH(C92&amp;D92,Background!$E$12:$E$27,0))</f>
        <v>0.344774477447745</v>
      </c>
      <c r="I92" s="49" t="n">
        <f aca="false">LN(G92/H92)</f>
        <v>-2.02617768910276</v>
      </c>
    </row>
    <row r="93" customFormat="false" ht="15" hidden="false" customHeight="true" outlineLevel="0" collapsed="false">
      <c r="A93" s="38" t="s">
        <v>36</v>
      </c>
      <c r="B93" s="38" t="n">
        <v>21</v>
      </c>
      <c r="C93" s="38" t="s">
        <v>169</v>
      </c>
      <c r="D93" s="38" t="s">
        <v>169</v>
      </c>
      <c r="E93" s="38" t="s">
        <v>875</v>
      </c>
      <c r="F93" s="38" t="str">
        <f aca="false">B93&amp;"|"&amp;C93&amp;"|"&amp;D93</f>
        <v>21|G|G</v>
      </c>
      <c r="G93" s="45" t="n">
        <f aca="false">INDEX('Transition Stepwise'!$J$2:$J$1137,MATCH(F93,'Transition Stepwise'!$E$2:$E$1137,0))</f>
        <v>0.0909090909090909</v>
      </c>
      <c r="H93" s="45" t="n">
        <f aca="false">INDEX(Background!$D$12:$D$27,MATCH(C93&amp;D93,Background!$E$12:$E$27,0))</f>
        <v>0.344774477447745</v>
      </c>
      <c r="I93" s="49" t="n">
        <f aca="false">LN(G93/H93)</f>
        <v>-1.33303050854281</v>
      </c>
    </row>
    <row r="94" customFormat="false" ht="15" hidden="false" customHeight="true" outlineLevel="0" collapsed="false">
      <c r="A94" s="38" t="s">
        <v>36</v>
      </c>
      <c r="B94" s="38" t="n">
        <v>22</v>
      </c>
      <c r="C94" s="38" t="s">
        <v>169</v>
      </c>
      <c r="D94" s="38" t="s">
        <v>172</v>
      </c>
      <c r="E94" s="38" t="s">
        <v>875</v>
      </c>
      <c r="F94" s="38" t="str">
        <f aca="false">B94&amp;"|"&amp;C94&amp;"|"&amp;D94</f>
        <v>22|G|A</v>
      </c>
      <c r="G94" s="45" t="n">
        <f aca="false">INDEX('Transition Stepwise'!$J$2:$J$1137,MATCH(F94,'Transition Stepwise'!$E$2:$E$1137,0))</f>
        <v>0.77027027027027</v>
      </c>
      <c r="H94" s="45" t="n">
        <f aca="false">INDEX(Background!$D$12:$D$27,MATCH(C94&amp;D94,Background!$E$12:$E$27,0))</f>
        <v>0.164356435643564</v>
      </c>
      <c r="I94" s="49" t="n">
        <f aca="false">LN(G94/H94)</f>
        <v>1.54470399610914</v>
      </c>
    </row>
    <row r="95" customFormat="false" ht="15" hidden="false" customHeight="true" outlineLevel="0" collapsed="false">
      <c r="A95" s="38" t="s">
        <v>36</v>
      </c>
      <c r="B95" s="38" t="n">
        <v>23</v>
      </c>
      <c r="C95" s="38" t="s">
        <v>172</v>
      </c>
      <c r="D95" s="38" t="s">
        <v>172</v>
      </c>
      <c r="E95" s="38" t="s">
        <v>875</v>
      </c>
      <c r="F95" s="38" t="str">
        <f aca="false">B95&amp;"|"&amp;C95&amp;"|"&amp;D95</f>
        <v>23|A|A</v>
      </c>
      <c r="G95" s="45" t="n">
        <f aca="false">INDEX('Transition Stepwise'!$J$2:$J$1137,MATCH(F95,'Transition Stepwise'!$E$2:$E$1137,0))</f>
        <v>0.0967741935483871</v>
      </c>
      <c r="H95" s="45" t="n">
        <f aca="false">INDEX(Background!$D$12:$D$27,MATCH(C95&amp;D95,Background!$E$12:$E$27,0))</f>
        <v>0.219568567026194</v>
      </c>
      <c r="I95" s="49" t="n">
        <f aca="false">LN(G95/H95)</f>
        <v>-0.819284198821652</v>
      </c>
    </row>
    <row r="96" customFormat="false" ht="15" hidden="false" customHeight="true" outlineLevel="0" collapsed="false">
      <c r="A96" s="38" t="s">
        <v>36</v>
      </c>
      <c r="B96" s="38" t="n">
        <v>24</v>
      </c>
      <c r="C96" s="38" t="s">
        <v>172</v>
      </c>
      <c r="D96" s="38" t="s">
        <v>171</v>
      </c>
      <c r="E96" s="38" t="s">
        <v>875</v>
      </c>
      <c r="F96" s="38" t="str">
        <f aca="false">B96&amp;"|"&amp;C96&amp;"|"&amp;D96</f>
        <v>24|A|U</v>
      </c>
      <c r="G96" s="45" t="n">
        <f aca="false">INDEX('Transition Stepwise'!$J$2:$J$1137,MATCH(F96,'Transition Stepwise'!$E$2:$E$1137,0))</f>
        <v>0.268292682926829</v>
      </c>
      <c r="H96" s="45" t="n">
        <f aca="false">INDEX(Background!$D$12:$D$27,MATCH(C96&amp;D96,Background!$E$12:$E$27,0))</f>
        <v>0.194530046224961</v>
      </c>
      <c r="I96" s="49" t="n">
        <f aca="false">LN(G96/H96)</f>
        <v>0.321491854642684</v>
      </c>
    </row>
    <row r="97" customFormat="false" ht="15" hidden="false" customHeight="true" outlineLevel="0" collapsed="false">
      <c r="A97" s="38" t="s">
        <v>36</v>
      </c>
      <c r="B97" s="38" t="n">
        <v>25</v>
      </c>
      <c r="C97" s="38" t="s">
        <v>171</v>
      </c>
      <c r="D97" s="38" t="s">
        <v>171</v>
      </c>
      <c r="E97" s="38" t="s">
        <v>875</v>
      </c>
      <c r="F97" s="38" t="str">
        <f aca="false">B97&amp;"|"&amp;C97&amp;"|"&amp;D97</f>
        <v>25|U|U</v>
      </c>
      <c r="G97" s="45" t="n">
        <f aca="false">INDEX('Transition Stepwise'!$J$2:$J$1137,MATCH(F97,'Transition Stepwise'!$E$2:$E$1137,0))</f>
        <v>0.166666666666667</v>
      </c>
      <c r="H97" s="45" t="n">
        <f aca="false">INDEX(Background!$D$12:$D$27,MATCH(C97&amp;D97,Background!$E$12:$E$27,0))</f>
        <v>0.220480320213476</v>
      </c>
      <c r="I97" s="49" t="n">
        <f aca="false">LN(G97/H97)</f>
        <v>-0.279812630417198</v>
      </c>
    </row>
    <row r="98" customFormat="false" ht="15" hidden="false" customHeight="true" outlineLevel="0" collapsed="false">
      <c r="A98" s="38" t="s">
        <v>36</v>
      </c>
      <c r="B98" s="38" t="n">
        <v>26</v>
      </c>
      <c r="C98" s="38" t="s">
        <v>171</v>
      </c>
      <c r="D98" s="38" t="s">
        <v>171</v>
      </c>
      <c r="E98" s="38" t="s">
        <v>875</v>
      </c>
      <c r="F98" s="38" t="str">
        <f aca="false">B98&amp;"|"&amp;C98&amp;"|"&amp;D98</f>
        <v>26|U|U</v>
      </c>
      <c r="G98" s="45" t="n">
        <f aca="false">INDEX('Transition Stepwise'!$J$2:$J$1137,MATCH(F98,'Transition Stepwise'!$E$2:$E$1137,0))</f>
        <v>0.266666666666667</v>
      </c>
      <c r="H98" s="45" t="n">
        <f aca="false">INDEX(Background!$D$12:$D$27,MATCH(C98&amp;D98,Background!$E$12:$E$27,0))</f>
        <v>0.220480320213476</v>
      </c>
      <c r="I98" s="49" t="n">
        <f aca="false">LN(G98/H98)</f>
        <v>0.190190998828537</v>
      </c>
    </row>
    <row r="99" customFormat="false" ht="15" hidden="false" customHeight="true" outlineLevel="0" collapsed="false">
      <c r="A99" s="38" t="s">
        <v>36</v>
      </c>
      <c r="B99" s="38" t="n">
        <v>27</v>
      </c>
      <c r="C99" s="38" t="s">
        <v>171</v>
      </c>
      <c r="D99" s="38" t="s">
        <v>171</v>
      </c>
      <c r="E99" s="38" t="s">
        <v>875</v>
      </c>
      <c r="F99" s="38" t="str">
        <f aca="false">B99&amp;"|"&amp;C99&amp;"|"&amp;D99</f>
        <v>27|U|U</v>
      </c>
      <c r="G99" s="45" t="n">
        <f aca="false">INDEX('Transition Stepwise'!$J$2:$J$1137,MATCH(F99,'Transition Stepwise'!$E$2:$E$1137,0))</f>
        <v>0.327272727272727</v>
      </c>
      <c r="H99" s="45" t="n">
        <f aca="false">INDEX(Background!$D$12:$D$27,MATCH(C99&amp;D99,Background!$E$12:$E$27,0))</f>
        <v>0.220480320213476</v>
      </c>
      <c r="I99" s="49" t="n">
        <f aca="false">LN(G99/H99)</f>
        <v>0.39498541147455</v>
      </c>
    </row>
    <row r="100" customFormat="false" ht="15" hidden="false" customHeight="true" outlineLevel="0" collapsed="false">
      <c r="A100" s="38" t="s">
        <v>36</v>
      </c>
      <c r="B100" s="38" t="n">
        <v>28</v>
      </c>
      <c r="C100" s="38" t="s">
        <v>171</v>
      </c>
      <c r="D100" s="38" t="s">
        <v>171</v>
      </c>
      <c r="E100" s="38" t="s">
        <v>875</v>
      </c>
      <c r="F100" s="38" t="str">
        <f aca="false">B100&amp;"|"&amp;C100&amp;"|"&amp;D100</f>
        <v>28|U|U</v>
      </c>
      <c r="G100" s="45" t="n">
        <f aca="false">INDEX('Transition Stepwise'!$J$2:$J$1137,MATCH(F100,'Transition Stepwise'!$E$2:$E$1137,0))</f>
        <v>0.277777777777778</v>
      </c>
      <c r="H100" s="45" t="n">
        <f aca="false">INDEX(Background!$D$12:$D$27,MATCH(C100&amp;D100,Background!$E$12:$E$27,0))</f>
        <v>0.220480320213476</v>
      </c>
      <c r="I100" s="49" t="n">
        <f aca="false">LN(G100/H100)</f>
        <v>0.231012993348792</v>
      </c>
    </row>
    <row r="101" customFormat="false" ht="15" hidden="false" customHeight="true" outlineLevel="0" collapsed="false">
      <c r="A101" s="38" t="s">
        <v>36</v>
      </c>
      <c r="B101" s="38" t="n">
        <v>29</v>
      </c>
      <c r="C101" s="38" t="s">
        <v>171</v>
      </c>
      <c r="D101" s="38" t="s">
        <v>171</v>
      </c>
      <c r="E101" s="38" t="s">
        <v>875</v>
      </c>
      <c r="F101" s="38" t="str">
        <f aca="false">B101&amp;"|"&amp;C101&amp;"|"&amp;D101</f>
        <v>29|U|U</v>
      </c>
      <c r="G101" s="45" t="n">
        <f aca="false">INDEX('Transition Stepwise'!$J$2:$J$1137,MATCH(F101,'Transition Stepwise'!$E$2:$E$1137,0))</f>
        <v>0.0169491525423729</v>
      </c>
      <c r="H101" s="45" t="n">
        <f aca="false">INDEX(Background!$D$12:$D$27,MATCH(C101&amp;D101,Background!$E$12:$E$27,0))</f>
        <v>0.220480320213476</v>
      </c>
      <c r="I101" s="49" t="n">
        <f aca="false">LN(G101/H101)</f>
        <v>-2.56559060509486</v>
      </c>
    </row>
    <row r="102" customFormat="false" ht="15" hidden="false" customHeight="true" outlineLevel="0" collapsed="false">
      <c r="A102" s="38" t="s">
        <v>36</v>
      </c>
      <c r="B102" s="38" t="n">
        <v>30</v>
      </c>
      <c r="C102" s="38" t="s">
        <v>171</v>
      </c>
      <c r="D102" s="38" t="s">
        <v>169</v>
      </c>
      <c r="E102" s="38" t="s">
        <v>875</v>
      </c>
      <c r="F102" s="38" t="str">
        <f aca="false">B102&amp;"|"&amp;C102&amp;"|"&amp;D102</f>
        <v>30|U|G</v>
      </c>
      <c r="G102" s="45" t="n">
        <f aca="false">INDEX('Transition Stepwise'!$J$2:$J$1137,MATCH(F102,'Transition Stepwise'!$E$2:$E$1137,0))</f>
        <v>0.454545454545455</v>
      </c>
      <c r="H102" s="45" t="n">
        <f aca="false">INDEX(Background!$D$12:$D$27,MATCH(C102&amp;D102,Background!$E$12:$E$27,0))</f>
        <v>0.221480987324883</v>
      </c>
      <c r="I102" s="49" t="n">
        <f aca="false">LN(G102/H102)</f>
        <v>0.718961168821839</v>
      </c>
    </row>
    <row r="103" customFormat="false" ht="15" hidden="false" customHeight="true" outlineLevel="0" collapsed="false">
      <c r="A103" s="38" t="s">
        <v>36</v>
      </c>
      <c r="B103" s="38" t="n">
        <v>31</v>
      </c>
      <c r="C103" s="38" t="s">
        <v>169</v>
      </c>
      <c r="D103" s="38" t="s">
        <v>169</v>
      </c>
      <c r="E103" s="38" t="s">
        <v>875</v>
      </c>
      <c r="F103" s="38" t="str">
        <f aca="false">B103&amp;"|"&amp;C103&amp;"|"&amp;D103</f>
        <v>31|G|G</v>
      </c>
      <c r="G103" s="45" t="n">
        <f aca="false">INDEX('Transition Stepwise'!$J$2:$J$1137,MATCH(F103,'Transition Stepwise'!$E$2:$E$1137,0))</f>
        <v>0.0172413793103448</v>
      </c>
      <c r="H103" s="45" t="n">
        <f aca="false">INDEX(Background!$D$12:$D$27,MATCH(C103&amp;D103,Background!$E$12:$E$27,0))</f>
        <v>0.344774477447745</v>
      </c>
      <c r="I103" s="49" t="n">
        <f aca="false">LN(G103/H103)</f>
        <v>-2.99557824629086</v>
      </c>
    </row>
    <row r="104" customFormat="false" ht="15" hidden="false" customHeight="true" outlineLevel="0" collapsed="false">
      <c r="A104" s="38" t="s">
        <v>36</v>
      </c>
      <c r="B104" s="38" t="n">
        <v>32</v>
      </c>
      <c r="C104" s="38" t="s">
        <v>169</v>
      </c>
      <c r="D104" s="38" t="s">
        <v>171</v>
      </c>
      <c r="E104" s="38" t="s">
        <v>875</v>
      </c>
      <c r="F104" s="38" t="str">
        <f aca="false">B104&amp;"|"&amp;C104&amp;"|"&amp;D104</f>
        <v>32|G|U</v>
      </c>
      <c r="G104" s="45" t="n">
        <f aca="false">INDEX('Transition Stepwise'!$J$2:$J$1137,MATCH(F104,'Transition Stepwise'!$E$2:$E$1137,0))</f>
        <v>0.25</v>
      </c>
      <c r="H104" s="45" t="n">
        <f aca="false">INDEX(Background!$D$12:$D$27,MATCH(C104&amp;D104,Background!$E$12:$E$27,0))</f>
        <v>0.234763476347635</v>
      </c>
      <c r="I104" s="49" t="n">
        <f aca="false">LN(G104/H104)</f>
        <v>0.0628823941899354</v>
      </c>
    </row>
    <row r="105" customFormat="false" ht="15" hidden="false" customHeight="true" outlineLevel="0" collapsed="false">
      <c r="A105" s="38" t="s">
        <v>36</v>
      </c>
      <c r="B105" s="38" t="n">
        <v>33</v>
      </c>
      <c r="C105" s="38" t="s">
        <v>171</v>
      </c>
      <c r="D105" s="38" t="s">
        <v>171</v>
      </c>
      <c r="E105" s="38" t="s">
        <v>875</v>
      </c>
      <c r="F105" s="38" t="str">
        <f aca="false">B105&amp;"|"&amp;C105&amp;"|"&amp;D105</f>
        <v>33|U|U</v>
      </c>
      <c r="G105" s="45" t="n">
        <f aca="false">INDEX('Transition Stepwise'!$J$2:$J$1137,MATCH(F105,'Transition Stepwise'!$E$2:$E$1137,0))</f>
        <v>0.293532338308458</v>
      </c>
      <c r="H105" s="45" t="n">
        <f aca="false">INDEX(Background!$D$12:$D$27,MATCH(C105&amp;D105,Background!$E$12:$E$27,0))</f>
        <v>0.220480320213476</v>
      </c>
      <c r="I105" s="49" t="n">
        <f aca="false">LN(G105/H105)</f>
        <v>0.2861793746575</v>
      </c>
    </row>
    <row r="106" customFormat="false" ht="15" hidden="false" customHeight="true" outlineLevel="0" collapsed="false">
      <c r="A106" s="38" t="s">
        <v>36</v>
      </c>
      <c r="B106" s="38" t="n">
        <v>34</v>
      </c>
      <c r="C106" s="38" t="s">
        <v>171</v>
      </c>
      <c r="D106" s="38" t="s">
        <v>171</v>
      </c>
      <c r="E106" s="38" t="s">
        <v>875</v>
      </c>
      <c r="F106" s="38" t="str">
        <f aca="false">B106&amp;"|"&amp;C106&amp;"|"&amp;D106</f>
        <v>34|U|U</v>
      </c>
      <c r="G106" s="45" t="n">
        <f aca="false">INDEX('Transition Stepwise'!$J$2:$J$1137,MATCH(F106,'Transition Stepwise'!$E$2:$E$1137,0))</f>
        <v>0.17741935483871</v>
      </c>
      <c r="H106" s="45" t="n">
        <f aca="false">INDEX(Background!$D$12:$D$27,MATCH(C106&amp;D106,Background!$E$12:$E$27,0))</f>
        <v>0.220480320213476</v>
      </c>
      <c r="I106" s="49" t="n">
        <f aca="false">LN(G106/H106)</f>
        <v>-0.217292273435864</v>
      </c>
    </row>
    <row r="107" customFormat="false" ht="15" hidden="false" customHeight="true" outlineLevel="0" collapsed="false">
      <c r="A107" s="38" t="s">
        <v>36</v>
      </c>
      <c r="B107" s="38" t="n">
        <v>35</v>
      </c>
      <c r="C107" s="38" t="s">
        <v>171</v>
      </c>
      <c r="D107" s="38" t="s">
        <v>172</v>
      </c>
      <c r="E107" s="38" t="s">
        <v>875</v>
      </c>
      <c r="F107" s="38" t="str">
        <f aca="false">B107&amp;"|"&amp;C107&amp;"|"&amp;D107</f>
        <v>35|U|A</v>
      </c>
      <c r="G107" s="45" t="n">
        <f aca="false">INDEX('Transition Stepwise'!$J$2:$J$1137,MATCH(F107,'Transition Stepwise'!$E$2:$E$1137,0))</f>
        <v>0.177777777777778</v>
      </c>
      <c r="H107" s="45" t="n">
        <f aca="false">INDEX(Background!$D$12:$D$27,MATCH(C107&amp;D107,Background!$E$12:$E$27,0))</f>
        <v>0.180787191460974</v>
      </c>
      <c r="I107" s="49" t="n">
        <f aca="false">LN(G107/H107)</f>
        <v>-0.016786270867587</v>
      </c>
    </row>
    <row r="108" customFormat="false" ht="15" hidden="false" customHeight="true" outlineLevel="0" collapsed="false">
      <c r="A108" s="38" t="s">
        <v>36</v>
      </c>
      <c r="B108" s="38" t="n">
        <v>36</v>
      </c>
      <c r="C108" s="38" t="s">
        <v>172</v>
      </c>
      <c r="D108" s="38" t="s">
        <v>169</v>
      </c>
      <c r="E108" s="38" t="s">
        <v>875</v>
      </c>
      <c r="F108" s="38" t="str">
        <f aca="false">B108&amp;"|"&amp;C108&amp;"|"&amp;D108</f>
        <v>36|A|G</v>
      </c>
      <c r="G108" s="45" t="n">
        <f aca="false">INDEX('Transition Stepwise'!$J$2:$J$1137,MATCH(F108,'Transition Stepwise'!$E$2:$E$1137,0))</f>
        <v>0.382978723404255</v>
      </c>
      <c r="H108" s="45" t="n">
        <f aca="false">INDEX(Background!$D$12:$D$27,MATCH(C108&amp;D108,Background!$E$12:$E$27,0))</f>
        <v>0.424884437596302</v>
      </c>
      <c r="I108" s="49" t="n">
        <f aca="false">LN(G108/H108)</f>
        <v>-0.103837785243416</v>
      </c>
    </row>
    <row r="109" customFormat="false" ht="15" hidden="false" customHeight="true" outlineLevel="0" collapsed="false">
      <c r="A109" s="38" t="s">
        <v>36</v>
      </c>
      <c r="B109" s="38" t="n">
        <v>37</v>
      </c>
      <c r="C109" s="38" t="s">
        <v>169</v>
      </c>
      <c r="D109" s="38" t="s">
        <v>171</v>
      </c>
      <c r="E109" s="38" t="s">
        <v>875</v>
      </c>
      <c r="F109" s="38" t="str">
        <f aca="false">B109&amp;"|"&amp;C109&amp;"|"&amp;D109</f>
        <v>37|G|U</v>
      </c>
      <c r="G109" s="45" t="n">
        <f aca="false">INDEX('Transition Stepwise'!$J$2:$J$1137,MATCH(F109,'Transition Stepwise'!$E$2:$E$1137,0))</f>
        <v>0.192307692307692</v>
      </c>
      <c r="H109" s="45" t="n">
        <f aca="false">INDEX(Background!$D$12:$D$27,MATCH(C109&amp;D109,Background!$E$12:$E$27,0))</f>
        <v>0.234763476347635</v>
      </c>
      <c r="I109" s="49" t="n">
        <f aca="false">LN(G109/H109)</f>
        <v>-0.199481870277556</v>
      </c>
    </row>
    <row r="110" customFormat="false" ht="15" hidden="false" customHeight="true" outlineLevel="0" collapsed="false">
      <c r="A110" s="38" t="s">
        <v>36</v>
      </c>
      <c r="B110" s="38" t="n">
        <v>38</v>
      </c>
      <c r="C110" s="38" t="s">
        <v>171</v>
      </c>
      <c r="D110" s="38" t="s">
        <v>170</v>
      </c>
      <c r="E110" s="38" t="s">
        <v>875</v>
      </c>
      <c r="F110" s="38" t="str">
        <f aca="false">B110&amp;"|"&amp;C110&amp;"|"&amp;D110</f>
        <v>38|U|C</v>
      </c>
      <c r="G110" s="45" t="n">
        <f aca="false">INDEX('Transition Stepwise'!$J$2:$J$1137,MATCH(F110,'Transition Stepwise'!$E$2:$E$1137,0))</f>
        <v>0.185185185185185</v>
      </c>
      <c r="H110" s="45" t="n">
        <f aca="false">INDEX(Background!$D$12:$D$27,MATCH(C110&amp;D110,Background!$E$12:$E$27,0))</f>
        <v>0.377251501000667</v>
      </c>
      <c r="I110" s="49" t="n">
        <f aca="false">LN(G110/H110)</f>
        <v>-0.711555751023806</v>
      </c>
    </row>
    <row r="111" customFormat="false" ht="15" hidden="false" customHeight="true" outlineLevel="0" collapsed="false">
      <c r="A111" s="38" t="s">
        <v>36</v>
      </c>
      <c r="B111" s="38" t="n">
        <v>39</v>
      </c>
      <c r="C111" s="38" t="s">
        <v>170</v>
      </c>
      <c r="D111" s="38" t="s">
        <v>172</v>
      </c>
      <c r="E111" s="38" t="s">
        <v>875</v>
      </c>
      <c r="F111" s="38" t="str">
        <f aca="false">B111&amp;"|"&amp;C111&amp;"|"&amp;D111</f>
        <v>39|C|A</v>
      </c>
      <c r="G111" s="45" t="n">
        <f aca="false">INDEX('Transition Stepwise'!$J$2:$J$1137,MATCH(F111,'Transition Stepwise'!$E$2:$E$1137,0))</f>
        <v>0.0185185185185185</v>
      </c>
      <c r="H111" s="45" t="n">
        <f aca="false">INDEX(Background!$D$12:$D$27,MATCH(C111&amp;D111,Background!$E$12:$E$27,0))</f>
        <v>0.194883966244726</v>
      </c>
      <c r="I111" s="49" t="n">
        <f aca="false">LN(G111/H111)</f>
        <v>-2.35363310413756</v>
      </c>
    </row>
    <row r="112" customFormat="false" ht="15" hidden="false" customHeight="true" outlineLevel="0" collapsed="false">
      <c r="A112" s="38" t="s">
        <v>36</v>
      </c>
      <c r="B112" s="38" t="n">
        <v>40</v>
      </c>
      <c r="C112" s="38" t="s">
        <v>172</v>
      </c>
      <c r="D112" s="38" t="s">
        <v>169</v>
      </c>
      <c r="E112" s="38" t="s">
        <v>875</v>
      </c>
      <c r="F112" s="38" t="str">
        <f aca="false">B112&amp;"|"&amp;C112&amp;"|"&amp;D112</f>
        <v>40|A|G</v>
      </c>
      <c r="G112" s="45" t="n">
        <f aca="false">INDEX('Transition Stepwise'!$J$2:$J$1137,MATCH(F112,'Transition Stepwise'!$E$2:$E$1137,0))</f>
        <v>0.2</v>
      </c>
      <c r="H112" s="45" t="n">
        <f aca="false">INDEX(Background!$D$12:$D$27,MATCH(C112&amp;D112,Background!$E$12:$E$27,0))</f>
        <v>0.424884437596302</v>
      </c>
      <c r="I112" s="49" t="n">
        <f aca="false">LN(G112/H112)</f>
        <v>-0.753499853863622</v>
      </c>
    </row>
    <row r="113" customFormat="false" ht="15" hidden="false" customHeight="true" outlineLevel="0" collapsed="false">
      <c r="A113" s="38" t="s">
        <v>36</v>
      </c>
      <c r="B113" s="38" t="n">
        <v>41</v>
      </c>
      <c r="C113" s="38" t="s">
        <v>169</v>
      </c>
      <c r="D113" s="38" t="s">
        <v>169</v>
      </c>
      <c r="E113" s="38" t="s">
        <v>875</v>
      </c>
      <c r="F113" s="38" t="str">
        <f aca="false">B113&amp;"|"&amp;C113&amp;"|"&amp;D113</f>
        <v>41|G|G</v>
      </c>
      <c r="G113" s="45" t="n">
        <f aca="false">INDEX('Transition Stepwise'!$J$2:$J$1137,MATCH(F113,'Transition Stepwise'!$E$2:$E$1137,0))</f>
        <v>0.282051282051282</v>
      </c>
      <c r="H113" s="45" t="n">
        <f aca="false">INDEX(Background!$D$12:$D$27,MATCH(C113&amp;D113,Background!$E$12:$E$27,0))</f>
        <v>0.344774477447745</v>
      </c>
      <c r="I113" s="49" t="n">
        <f aca="false">LN(G113/H113)</f>
        <v>-0.200801609075717</v>
      </c>
    </row>
    <row r="114" customFormat="false" ht="15" hidden="false" customHeight="true" outlineLevel="0" collapsed="false">
      <c r="A114" s="38" t="s">
        <v>36</v>
      </c>
      <c r="B114" s="38" t="n">
        <v>42</v>
      </c>
      <c r="C114" s="38" t="s">
        <v>169</v>
      </c>
      <c r="D114" s="38" t="s">
        <v>172</v>
      </c>
      <c r="E114" s="38" t="s">
        <v>875</v>
      </c>
      <c r="F114" s="38" t="str">
        <f aca="false">B114&amp;"|"&amp;C114&amp;"|"&amp;D114</f>
        <v>42|G|A</v>
      </c>
      <c r="G114" s="45" t="n">
        <f aca="false">INDEX('Transition Stepwise'!$J$2:$J$1137,MATCH(F114,'Transition Stepwise'!$E$2:$E$1137,0))</f>
        <v>0.238532110091743</v>
      </c>
      <c r="H114" s="45" t="n">
        <f aca="false">INDEX(Background!$D$12:$D$27,MATCH(C114&amp;D114,Background!$E$12:$E$27,0))</f>
        <v>0.164356435643564</v>
      </c>
      <c r="I114" s="49" t="n">
        <f aca="false">LN(G114/H114)</f>
        <v>0.3724664772711</v>
      </c>
    </row>
    <row r="115" customFormat="false" ht="15" hidden="false" customHeight="true" outlineLevel="0" collapsed="false">
      <c r="A115" s="38" t="s">
        <v>36</v>
      </c>
      <c r="B115" s="38" t="n">
        <v>43</v>
      </c>
      <c r="C115" s="38" t="s">
        <v>172</v>
      </c>
      <c r="D115" s="38" t="s">
        <v>172</v>
      </c>
      <c r="E115" s="38" t="s">
        <v>875</v>
      </c>
      <c r="F115" s="38" t="str">
        <f aca="false">B115&amp;"|"&amp;C115&amp;"|"&amp;D115</f>
        <v>43|A|A</v>
      </c>
      <c r="G115" s="45" t="n">
        <f aca="false">INDEX('Transition Stepwise'!$J$2:$J$1137,MATCH(F115,'Transition Stepwise'!$E$2:$E$1137,0))</f>
        <v>0.469387755102041</v>
      </c>
      <c r="H115" s="45" t="n">
        <f aca="false">INDEX(Background!$D$12:$D$27,MATCH(C115&amp;D115,Background!$E$12:$E$27,0))</f>
        <v>0.219568567026194</v>
      </c>
      <c r="I115" s="49" t="n">
        <f aca="false">LN(G115/H115)</f>
        <v>0.759764634813908</v>
      </c>
    </row>
    <row r="116" customFormat="false" ht="15" hidden="false" customHeight="true" outlineLevel="0" collapsed="false">
      <c r="A116" s="38" t="s">
        <v>36</v>
      </c>
      <c r="B116" s="38" t="n">
        <v>44</v>
      </c>
      <c r="C116" s="38" t="s">
        <v>172</v>
      </c>
      <c r="D116" s="38" t="s">
        <v>171</v>
      </c>
      <c r="E116" s="38" t="s">
        <v>875</v>
      </c>
      <c r="F116" s="38" t="str">
        <f aca="false">B116&amp;"|"&amp;C116&amp;"|"&amp;D116</f>
        <v>44|A|U</v>
      </c>
      <c r="G116" s="45" t="n">
        <f aca="false">INDEX('Transition Stepwise'!$J$2:$J$1137,MATCH(F116,'Transition Stepwise'!$E$2:$E$1137,0))</f>
        <v>0.0980392156862745</v>
      </c>
      <c r="H116" s="45" t="n">
        <f aca="false">INDEX(Background!$D$12:$D$27,MATCH(C116&amp;D116,Background!$E$12:$E$27,0))</f>
        <v>0.194530046224961</v>
      </c>
      <c r="I116" s="49" t="n">
        <f aca="false">LN(G116/H116)</f>
        <v>-0.685219071741605</v>
      </c>
    </row>
    <row r="117" customFormat="false" ht="15" hidden="false" customHeight="true" outlineLevel="0" collapsed="false">
      <c r="A117" s="38" t="s">
        <v>36</v>
      </c>
      <c r="B117" s="38" t="n">
        <v>45</v>
      </c>
      <c r="C117" s="38" t="s">
        <v>171</v>
      </c>
      <c r="D117" s="38" t="s">
        <v>176</v>
      </c>
      <c r="E117" s="40" t="s">
        <v>876</v>
      </c>
      <c r="F117" s="38"/>
      <c r="G117" s="38"/>
      <c r="H117" s="38"/>
      <c r="I117" s="38"/>
    </row>
    <row r="118" customFormat="false" ht="15" hidden="false" customHeight="true" outlineLevel="0" collapsed="false">
      <c r="A118" s="38" t="s">
        <v>36</v>
      </c>
      <c r="B118" s="38" t="n">
        <v>46</v>
      </c>
      <c r="C118" s="38" t="s">
        <v>176</v>
      </c>
      <c r="D118" s="38" t="s">
        <v>176</v>
      </c>
      <c r="E118" s="40" t="s">
        <v>876</v>
      </c>
      <c r="F118" s="38"/>
      <c r="G118" s="38"/>
      <c r="H118" s="38"/>
      <c r="I118" s="38"/>
    </row>
    <row r="119" customFormat="false" ht="15" hidden="false" customHeight="true" outlineLevel="0" collapsed="false">
      <c r="A119" s="38" t="s">
        <v>36</v>
      </c>
      <c r="B119" s="38" t="n">
        <v>47</v>
      </c>
      <c r="C119" s="38" t="s">
        <v>176</v>
      </c>
      <c r="D119" s="38" t="s">
        <v>171</v>
      </c>
      <c r="E119" s="40" t="s">
        <v>876</v>
      </c>
      <c r="F119" s="38"/>
      <c r="G119" s="38"/>
      <c r="H119" s="38"/>
      <c r="I119" s="38"/>
    </row>
    <row r="120" customFormat="false" ht="15" hidden="false" customHeight="true" outlineLevel="0" collapsed="false">
      <c r="A120" s="38" t="s">
        <v>36</v>
      </c>
      <c r="B120" s="38" t="n">
        <v>48</v>
      </c>
      <c r="C120" s="38" t="s">
        <v>171</v>
      </c>
      <c r="D120" s="38" t="s">
        <v>171</v>
      </c>
      <c r="E120" s="38" t="s">
        <v>875</v>
      </c>
      <c r="F120" s="38" t="str">
        <f aca="false">B120&amp;"|"&amp;C120&amp;"|"&amp;D120</f>
        <v>48|U|U</v>
      </c>
      <c r="G120" s="45" t="n">
        <f aca="false">INDEX('Transition Stepwise'!$J$2:$J$1137,MATCH(F120,'Transition Stepwise'!$E$2:$E$1137,0))</f>
        <v>0.0909090909090909</v>
      </c>
      <c r="H120" s="45" t="n">
        <f aca="false">INDEX(Background!$D$12:$D$27,MATCH(C120&amp;D120,Background!$E$12:$E$27,0))</f>
        <v>0.220480320213476</v>
      </c>
      <c r="I120" s="49" t="n">
        <f aca="false">LN(G120/H120)</f>
        <v>-0.885948433987514</v>
      </c>
    </row>
    <row r="121" customFormat="false" ht="15" hidden="false" customHeight="true" outlineLevel="0" collapsed="false">
      <c r="A121" s="38" t="s">
        <v>36</v>
      </c>
      <c r="B121" s="38" t="n">
        <v>49</v>
      </c>
      <c r="C121" s="38" t="s">
        <v>171</v>
      </c>
      <c r="D121" s="38" t="s">
        <v>170</v>
      </c>
      <c r="E121" s="38" t="s">
        <v>875</v>
      </c>
      <c r="F121" s="38" t="str">
        <f aca="false">B121&amp;"|"&amp;C121&amp;"|"&amp;D121</f>
        <v>49|U|C</v>
      </c>
      <c r="G121" s="45" t="n">
        <f aca="false">INDEX('Transition Stepwise'!$J$2:$J$1137,MATCH(F121,'Transition Stepwise'!$E$2:$E$1137,0))</f>
        <v>0.4</v>
      </c>
      <c r="H121" s="45" t="n">
        <f aca="false">INDEX(Background!$D$12:$D$27,MATCH(C121&amp;D121,Background!$E$12:$E$27,0))</f>
        <v>0.377251501000667</v>
      </c>
      <c r="I121" s="49" t="n">
        <f aca="false">LN(G121/H121)</f>
        <v>0.0585524706722676</v>
      </c>
    </row>
    <row r="122" customFormat="false" ht="15" hidden="false" customHeight="true" outlineLevel="0" collapsed="false">
      <c r="A122" s="38" t="s">
        <v>36</v>
      </c>
      <c r="B122" s="38" t="n">
        <v>50</v>
      </c>
      <c r="C122" s="38" t="s">
        <v>170</v>
      </c>
      <c r="D122" s="38" t="s">
        <v>171</v>
      </c>
      <c r="E122" s="38" t="s">
        <v>875</v>
      </c>
      <c r="F122" s="38" t="str">
        <f aca="false">B122&amp;"|"&amp;C122&amp;"|"&amp;D122</f>
        <v>50|C|U</v>
      </c>
      <c r="G122" s="45" t="n">
        <f aca="false">INDEX('Transition Stepwise'!$J$2:$J$1137,MATCH(F122,'Transition Stepwise'!$E$2:$E$1137,0))</f>
        <v>0.175824175824176</v>
      </c>
      <c r="H122" s="45" t="n">
        <f aca="false">INDEX(Background!$D$12:$D$27,MATCH(C122&amp;D122,Background!$E$12:$E$27,0))</f>
        <v>0.196466244725738</v>
      </c>
      <c r="I122" s="49" t="n">
        <f aca="false">LN(G122/H122)</f>
        <v>-0.111006139281716</v>
      </c>
    </row>
    <row r="123" customFormat="false" ht="15" hidden="false" customHeight="true" outlineLevel="0" collapsed="false">
      <c r="A123" s="38" t="s">
        <v>36</v>
      </c>
      <c r="B123" s="38" t="n">
        <v>51</v>
      </c>
      <c r="C123" s="38" t="s">
        <v>171</v>
      </c>
      <c r="D123" s="38" t="s">
        <v>169</v>
      </c>
      <c r="E123" s="38" t="s">
        <v>875</v>
      </c>
      <c r="F123" s="38" t="str">
        <f aca="false">B123&amp;"|"&amp;C123&amp;"|"&amp;D123</f>
        <v>51|U|G</v>
      </c>
      <c r="G123" s="45" t="n">
        <f aca="false">INDEX('Transition Stepwise'!$J$2:$J$1137,MATCH(F123,'Transition Stepwise'!$E$2:$E$1137,0))</f>
        <v>0.852941176470588</v>
      </c>
      <c r="H123" s="45" t="n">
        <f aca="false">INDEX(Background!$D$12:$D$27,MATCH(C123&amp;D123,Background!$E$12:$E$27,0))</f>
        <v>0.221480987324883</v>
      </c>
      <c r="I123" s="49" t="n">
        <f aca="false">LN(G123/H123)</f>
        <v>1.34835383455642</v>
      </c>
    </row>
    <row r="124" customFormat="false" ht="15" hidden="false" customHeight="true" outlineLevel="0" collapsed="false">
      <c r="A124" s="38" t="s">
        <v>36</v>
      </c>
      <c r="B124" s="38" t="n">
        <v>52</v>
      </c>
      <c r="C124" s="38" t="s">
        <v>169</v>
      </c>
      <c r="D124" s="38" t="s">
        <v>169</v>
      </c>
      <c r="E124" s="38" t="s">
        <v>875</v>
      </c>
      <c r="F124" s="38" t="str">
        <f aca="false">B124&amp;"|"&amp;C124&amp;"|"&amp;D124</f>
        <v>52|G|G</v>
      </c>
      <c r="G124" s="45" t="n">
        <f aca="false">INDEX('Transition Stepwise'!$J$2:$J$1137,MATCH(F124,'Transition Stepwise'!$E$2:$E$1137,0))</f>
        <v>0.964912280701754</v>
      </c>
      <c r="H124" s="45" t="n">
        <f aca="false">INDEX(Background!$D$12:$D$27,MATCH(C124&amp;D124,Background!$E$12:$E$27,0))</f>
        <v>0.344774477447745</v>
      </c>
      <c r="I124" s="49" t="n">
        <f aca="false">LN(G124/H124)</f>
        <v>1.02914668165348</v>
      </c>
    </row>
    <row r="125" customFormat="false" ht="15" hidden="false" customHeight="true" outlineLevel="0" collapsed="false">
      <c r="A125" s="38" t="s">
        <v>36</v>
      </c>
      <c r="B125" s="38" t="n">
        <v>53</v>
      </c>
      <c r="C125" s="38" t="s">
        <v>169</v>
      </c>
      <c r="D125" s="38" t="s">
        <v>171</v>
      </c>
      <c r="E125" s="38" t="s">
        <v>875</v>
      </c>
      <c r="F125" s="38" t="str">
        <f aca="false">B125&amp;"|"&amp;C125&amp;"|"&amp;D125</f>
        <v>53|G|U</v>
      </c>
      <c r="G125" s="45" t="n">
        <f aca="false">INDEX('Transition Stepwise'!$J$2:$J$1137,MATCH(F125,'Transition Stepwise'!$E$2:$E$1137,0))</f>
        <v>0.974874371859297</v>
      </c>
      <c r="H125" s="45" t="n">
        <f aca="false">INDEX(Background!$D$12:$D$27,MATCH(C125&amp;D125,Background!$E$12:$E$27,0))</f>
        <v>0.234763476347635</v>
      </c>
      <c r="I125" s="49" t="n">
        <f aca="false">LN(G125/H125)</f>
        <v>1.42373008964866</v>
      </c>
    </row>
    <row r="126" customFormat="false" ht="15" hidden="false" customHeight="true" outlineLevel="0" collapsed="false">
      <c r="A126" s="38" t="s">
        <v>36</v>
      </c>
      <c r="B126" s="38" t="n">
        <v>54</v>
      </c>
      <c r="C126" s="38" t="s">
        <v>171</v>
      </c>
      <c r="D126" s="38" t="s">
        <v>171</v>
      </c>
      <c r="E126" s="38" t="s">
        <v>875</v>
      </c>
      <c r="F126" s="38" t="str">
        <f aca="false">B126&amp;"|"&amp;C126&amp;"|"&amp;D126</f>
        <v>54|U|U</v>
      </c>
      <c r="G126" s="45" t="n">
        <f aca="false">INDEX('Transition Stepwise'!$J$2:$J$1137,MATCH(F126,'Transition Stepwise'!$E$2:$E$1137,0))</f>
        <v>0.970149253731343</v>
      </c>
      <c r="H126" s="45" t="n">
        <f aca="false">INDEX(Background!$D$12:$D$27,MATCH(C126&amp;D126,Background!$E$12:$E$27,0))</f>
        <v>0.220480320213476</v>
      </c>
      <c r="I126" s="49" t="n">
        <f aca="false">LN(G126/H126)</f>
        <v>1.48164148931553</v>
      </c>
    </row>
    <row r="127" customFormat="false" ht="15" hidden="false" customHeight="true" outlineLevel="0" collapsed="false">
      <c r="A127" s="38" t="s">
        <v>36</v>
      </c>
      <c r="B127" s="38" t="n">
        <v>55</v>
      </c>
      <c r="C127" s="38" t="s">
        <v>171</v>
      </c>
      <c r="D127" s="38" t="s">
        <v>170</v>
      </c>
      <c r="E127" s="38" t="s">
        <v>875</v>
      </c>
      <c r="F127" s="38" t="str">
        <f aca="false">B127&amp;"|"&amp;C127&amp;"|"&amp;D127</f>
        <v>55|U|C</v>
      </c>
      <c r="G127" s="45" t="n">
        <f aca="false">INDEX('Transition Stepwise'!$J$2:$J$1137,MATCH(F127,'Transition Stepwise'!$E$2:$E$1137,0))</f>
        <v>0.975</v>
      </c>
      <c r="H127" s="45" t="n">
        <f aca="false">INDEX(Background!$D$12:$D$27,MATCH(C127&amp;D127,Background!$E$12:$E$27,0))</f>
        <v>0.377251501000667</v>
      </c>
      <c r="I127" s="49" t="n">
        <f aca="false">LN(G127/H127)</f>
        <v>0.949525394562133</v>
      </c>
    </row>
    <row r="128" customFormat="false" ht="15" hidden="false" customHeight="true" outlineLevel="0" collapsed="false">
      <c r="A128" s="38" t="s">
        <v>36</v>
      </c>
      <c r="B128" s="38" t="n">
        <v>56</v>
      </c>
      <c r="C128" s="38" t="s">
        <v>170</v>
      </c>
      <c r="D128" s="38" t="s">
        <v>171</v>
      </c>
      <c r="E128" s="38" t="s">
        <v>875</v>
      </c>
      <c r="F128" s="38" t="str">
        <f aca="false">B128&amp;"|"&amp;C128&amp;"|"&amp;D128</f>
        <v>56|C|U</v>
      </c>
      <c r="G128" s="45" t="n">
        <f aca="false">INDEX('Transition Stepwise'!$J$2:$J$1137,MATCH(F128,'Transition Stepwise'!$E$2:$E$1137,0))</f>
        <v>0.0050251256281407</v>
      </c>
      <c r="H128" s="45" t="n">
        <f aca="false">INDEX(Background!$D$12:$D$27,MATCH(C128&amp;D128,Background!$E$12:$E$27,0))</f>
        <v>0.196466244725738</v>
      </c>
      <c r="I128" s="49" t="n">
        <f aca="false">LN(G128/H128)</f>
        <v>-3.66604017972914</v>
      </c>
    </row>
    <row r="129" customFormat="false" ht="15" hidden="false" customHeight="true" outlineLevel="0" collapsed="false">
      <c r="A129" s="38" t="s">
        <v>36</v>
      </c>
      <c r="B129" s="38" t="n">
        <v>57</v>
      </c>
      <c r="C129" s="38" t="s">
        <v>171</v>
      </c>
      <c r="D129" s="38" t="s">
        <v>171</v>
      </c>
      <c r="E129" s="38" t="s">
        <v>875</v>
      </c>
      <c r="F129" s="38" t="str">
        <f aca="false">B129&amp;"|"&amp;C129&amp;"|"&amp;D129</f>
        <v>57|U|U</v>
      </c>
      <c r="G129" s="45" t="n">
        <f aca="false">INDEX('Transition Stepwise'!$J$2:$J$1137,MATCH(F129,'Transition Stepwise'!$E$2:$E$1137,0))</f>
        <v>0.2</v>
      </c>
      <c r="H129" s="45" t="n">
        <f aca="false">INDEX(Background!$D$12:$D$27,MATCH(C129&amp;D129,Background!$E$12:$E$27,0))</f>
        <v>0.220480320213476</v>
      </c>
      <c r="I129" s="49" t="n">
        <f aca="false">LN(G129/H129)</f>
        <v>-0.0974910736232437</v>
      </c>
    </row>
    <row r="130" customFormat="false" ht="15" hidden="false" customHeight="true" outlineLevel="0" collapsed="false">
      <c r="A130" s="38" t="s">
        <v>36</v>
      </c>
      <c r="B130" s="38" t="n">
        <v>58</v>
      </c>
      <c r="C130" s="38" t="s">
        <v>171</v>
      </c>
      <c r="D130" s="38" t="s">
        <v>169</v>
      </c>
      <c r="E130" s="38" t="s">
        <v>875</v>
      </c>
      <c r="F130" s="38" t="str">
        <f aca="false">B130&amp;"|"&amp;C130&amp;"|"&amp;D130</f>
        <v>58|U|G</v>
      </c>
      <c r="G130" s="45" t="n">
        <f aca="false">INDEX('Transition Stepwise'!$J$2:$J$1137,MATCH(F130,'Transition Stepwise'!$E$2:$E$1137,0))</f>
        <v>0.2</v>
      </c>
      <c r="H130" s="45" t="n">
        <f aca="false">INDEX(Background!$D$12:$D$27,MATCH(C130&amp;D130,Background!$E$12:$E$27,0))</f>
        <v>0.221480987324883</v>
      </c>
      <c r="I130" s="49" t="n">
        <f aca="false">LN(G130/H130)</f>
        <v>-0.102019383247991</v>
      </c>
    </row>
    <row r="131" customFormat="false" ht="15" hidden="false" customHeight="true" outlineLevel="0" collapsed="false">
      <c r="A131" s="38" t="s">
        <v>36</v>
      </c>
      <c r="B131" s="38" t="n">
        <v>59</v>
      </c>
      <c r="C131" s="38" t="s">
        <v>169</v>
      </c>
      <c r="D131" s="38" t="s">
        <v>171</v>
      </c>
      <c r="E131" s="38" t="s">
        <v>875</v>
      </c>
      <c r="F131" s="38" t="str">
        <f aca="false">B131&amp;"|"&amp;C131&amp;"|"&amp;D131</f>
        <v>59|G|U</v>
      </c>
      <c r="G131" s="45" t="n">
        <f aca="false">INDEX('Transition Stepwise'!$J$2:$J$1137,MATCH(F131,'Transition Stepwise'!$E$2:$E$1137,0))</f>
        <v>0.82</v>
      </c>
      <c r="H131" s="45" t="n">
        <f aca="false">INDEX(Background!$D$12:$D$27,MATCH(C131&amp;D131,Background!$E$12:$E$27,0))</f>
        <v>0.234763476347635</v>
      </c>
      <c r="I131" s="49" t="n">
        <f aca="false">LN(G131/H131)</f>
        <v>1.25072581658599</v>
      </c>
    </row>
    <row r="132" customFormat="false" ht="15" hidden="false" customHeight="true" outlineLevel="0" collapsed="false">
      <c r="A132" s="38" t="s">
        <v>36</v>
      </c>
      <c r="B132" s="38" t="n">
        <v>60</v>
      </c>
      <c r="C132" s="38" t="s">
        <v>171</v>
      </c>
      <c r="D132" s="38" t="s">
        <v>170</v>
      </c>
      <c r="E132" s="38" t="s">
        <v>875</v>
      </c>
      <c r="F132" s="38" t="str">
        <f aca="false">B132&amp;"|"&amp;C132&amp;"|"&amp;D132</f>
        <v>60|U|C</v>
      </c>
      <c r="G132" s="45" t="n">
        <f aca="false">INDEX('Transition Stepwise'!$J$2:$J$1137,MATCH(F132,'Transition Stepwise'!$E$2:$E$1137,0))</f>
        <v>0.975</v>
      </c>
      <c r="H132" s="45" t="n">
        <f aca="false">INDEX(Background!$D$12:$D$27,MATCH(C132&amp;D132,Background!$E$12:$E$27,0))</f>
        <v>0.377251501000667</v>
      </c>
      <c r="I132" s="49" t="n">
        <f aca="false">LN(G132/H132)</f>
        <v>0.949525394562133</v>
      </c>
    </row>
    <row r="133" customFormat="false" ht="15" hidden="false" customHeight="true" outlineLevel="0" collapsed="false">
      <c r="A133" s="38" t="s">
        <v>36</v>
      </c>
      <c r="B133" s="38" t="n">
        <v>61</v>
      </c>
      <c r="C133" s="38" t="s">
        <v>170</v>
      </c>
      <c r="D133" s="38" t="s">
        <v>171</v>
      </c>
      <c r="E133" s="38" t="s">
        <v>875</v>
      </c>
      <c r="F133" s="38" t="str">
        <f aca="false">B133&amp;"|"&amp;C133&amp;"|"&amp;D133</f>
        <v>61|C|U</v>
      </c>
      <c r="G133" s="45" t="n">
        <f aca="false">INDEX('Transition Stepwise'!$J$2:$J$1137,MATCH(F133,'Transition Stepwise'!$E$2:$E$1137,0))</f>
        <v>0.129353233830846</v>
      </c>
      <c r="H133" s="45" t="n">
        <f aca="false">INDEX(Background!$D$12:$D$27,MATCH(C133&amp;D133,Background!$E$12:$E$27,0))</f>
        <v>0.196466244725738</v>
      </c>
      <c r="I133" s="49" t="n">
        <f aca="false">LN(G133/H133)</f>
        <v>-0.417943725042241</v>
      </c>
    </row>
    <row r="134" customFormat="false" ht="15" hidden="false" customHeight="true" outlineLevel="0" collapsed="false">
      <c r="A134" s="38" t="s">
        <v>36</v>
      </c>
      <c r="B134" s="38" t="n">
        <v>62</v>
      </c>
      <c r="C134" s="38" t="s">
        <v>171</v>
      </c>
      <c r="D134" s="38" t="s">
        <v>169</v>
      </c>
      <c r="E134" s="38" t="s">
        <v>875</v>
      </c>
      <c r="F134" s="38" t="str">
        <f aca="false">B134&amp;"|"&amp;C134&amp;"|"&amp;D134</f>
        <v>62|U|G</v>
      </c>
      <c r="G134" s="45" t="n">
        <f aca="false">INDEX('Transition Stepwise'!$J$2:$J$1137,MATCH(F134,'Transition Stepwise'!$E$2:$E$1137,0))</f>
        <v>0.266666666666667</v>
      </c>
      <c r="H134" s="45" t="n">
        <f aca="false">INDEX(Background!$D$12:$D$27,MATCH(C134&amp;D134,Background!$E$12:$E$27,0))</f>
        <v>0.221480987324883</v>
      </c>
      <c r="I134" s="49" t="n">
        <f aca="false">LN(G134/H134)</f>
        <v>0.18566268920379</v>
      </c>
    </row>
    <row r="135" customFormat="false" ht="15" hidden="false" customHeight="true" outlineLevel="0" collapsed="false">
      <c r="A135" s="38" t="s">
        <v>36</v>
      </c>
      <c r="B135" s="38" t="n">
        <v>63</v>
      </c>
      <c r="C135" s="38" t="s">
        <v>169</v>
      </c>
      <c r="D135" s="38" t="s">
        <v>169</v>
      </c>
      <c r="E135" s="38" t="s">
        <v>875</v>
      </c>
      <c r="F135" s="38" t="str">
        <f aca="false">B135&amp;"|"&amp;C135&amp;"|"&amp;D135</f>
        <v>63|G|G</v>
      </c>
      <c r="G135" s="45" t="n">
        <f aca="false">INDEX('Transition Stepwise'!$J$2:$J$1137,MATCH(F135,'Transition Stepwise'!$E$2:$E$1137,0))</f>
        <v>0.519230769230769</v>
      </c>
      <c r="H135" s="45" t="n">
        <f aca="false">INDEX(Background!$D$12:$D$27,MATCH(C135&amp;D135,Background!$E$12:$E$27,0))</f>
        <v>0.344774477447745</v>
      </c>
      <c r="I135" s="49" t="n">
        <f aca="false">LN(G135/H135)</f>
        <v>0.40945791167846</v>
      </c>
    </row>
    <row r="136" customFormat="false" ht="15" hidden="false" customHeight="true" outlineLevel="0" collapsed="false">
      <c r="A136" s="38" t="s">
        <v>36</v>
      </c>
      <c r="B136" s="38" t="n">
        <v>64</v>
      </c>
      <c r="C136" s="38" t="s">
        <v>169</v>
      </c>
      <c r="D136" s="38" t="s">
        <v>172</v>
      </c>
      <c r="E136" s="38" t="s">
        <v>875</v>
      </c>
      <c r="F136" s="38" t="str">
        <f aca="false">B136&amp;"|"&amp;C136&amp;"|"&amp;D136</f>
        <v>64|G|A</v>
      </c>
      <c r="G136" s="45" t="n">
        <f aca="false">INDEX('Transition Stepwise'!$J$2:$J$1137,MATCH(F136,'Transition Stepwise'!$E$2:$E$1137,0))</f>
        <v>0.03125</v>
      </c>
      <c r="H136" s="45" t="n">
        <f aca="false">INDEX(Background!$D$12:$D$27,MATCH(C136&amp;D136,Background!$E$12:$E$27,0))</f>
        <v>0.164356435643564</v>
      </c>
      <c r="I136" s="49" t="n">
        <f aca="false">LN(G136/H136)</f>
        <v>-1.66001808132096</v>
      </c>
    </row>
    <row r="137" customFormat="false" ht="15" hidden="false" customHeight="true" outlineLevel="0" collapsed="false">
      <c r="A137" s="38" t="s">
        <v>36</v>
      </c>
      <c r="B137" s="38" t="n">
        <v>65</v>
      </c>
      <c r="C137" s="38" t="s">
        <v>172</v>
      </c>
      <c r="D137" s="38" t="s">
        <v>169</v>
      </c>
      <c r="E137" s="38" t="s">
        <v>875</v>
      </c>
      <c r="F137" s="38" t="str">
        <f aca="false">B137&amp;"|"&amp;C137&amp;"|"&amp;D137</f>
        <v>65|A|G</v>
      </c>
      <c r="G137" s="45" t="n">
        <f aca="false">INDEX('Transition Stepwise'!$J$2:$J$1137,MATCH(F137,'Transition Stepwise'!$E$2:$E$1137,0))</f>
        <v>0.0769230769230769</v>
      </c>
      <c r="H137" s="45" t="n">
        <f aca="false">INDEX(Background!$D$12:$D$27,MATCH(C137&amp;D137,Background!$E$12:$E$27,0))</f>
        <v>0.424884437596302</v>
      </c>
      <c r="I137" s="49" t="n">
        <f aca="false">LN(G137/H137)</f>
        <v>-1.70901129889106</v>
      </c>
    </row>
    <row r="138" customFormat="false" ht="15" hidden="false" customHeight="true" outlineLevel="0" collapsed="false">
      <c r="A138" s="38" t="s">
        <v>36</v>
      </c>
      <c r="B138" s="38" t="n">
        <v>66</v>
      </c>
      <c r="C138" s="38" t="s">
        <v>169</v>
      </c>
      <c r="D138" s="38" t="s">
        <v>171</v>
      </c>
      <c r="E138" s="38" t="s">
        <v>875</v>
      </c>
      <c r="F138" s="38" t="str">
        <f aca="false">B138&amp;"|"&amp;C138&amp;"|"&amp;D138</f>
        <v>66|G|U</v>
      </c>
      <c r="G138" s="45" t="n">
        <f aca="false">INDEX('Transition Stepwise'!$J$2:$J$1137,MATCH(F138,'Transition Stepwise'!$E$2:$E$1137,0))</f>
        <v>0.166666666666667</v>
      </c>
      <c r="H138" s="45" t="n">
        <f aca="false">INDEX(Background!$D$12:$D$27,MATCH(C138&amp;D138,Background!$E$12:$E$27,0))</f>
        <v>0.234763476347635</v>
      </c>
      <c r="I138" s="49" t="n">
        <f aca="false">LN(G138/H138)</f>
        <v>-0.342582713918229</v>
      </c>
    </row>
    <row r="139" customFormat="false" ht="15" hidden="false" customHeight="true" outlineLevel="0" collapsed="false">
      <c r="A139" s="38" t="s">
        <v>36</v>
      </c>
      <c r="B139" s="38" t="n">
        <v>67</v>
      </c>
      <c r="C139" s="38" t="s">
        <v>171</v>
      </c>
      <c r="D139" s="38" t="s">
        <v>171</v>
      </c>
      <c r="E139" s="38" t="s">
        <v>875</v>
      </c>
      <c r="F139" s="38" t="str">
        <f aca="false">B139&amp;"|"&amp;C139&amp;"|"&amp;D139</f>
        <v>67|U|U</v>
      </c>
      <c r="G139" s="45" t="n">
        <f aca="false">INDEX('Transition Stepwise'!$J$2:$J$1137,MATCH(F139,'Transition Stepwise'!$E$2:$E$1137,0))</f>
        <v>0.238095238095238</v>
      </c>
      <c r="H139" s="45" t="n">
        <f aca="false">INDEX(Background!$D$12:$D$27,MATCH(C139&amp;D139,Background!$E$12:$E$27,0))</f>
        <v>0.220480320213476</v>
      </c>
      <c r="I139" s="49" t="n">
        <f aca="false">LN(G139/H139)</f>
        <v>0.076862313521534</v>
      </c>
    </row>
    <row r="140" customFormat="false" ht="15" hidden="false" customHeight="true" outlineLevel="0" collapsed="false">
      <c r="A140" s="38" t="s">
        <v>36</v>
      </c>
      <c r="B140" s="38" t="n">
        <v>68</v>
      </c>
      <c r="C140" s="38" t="s">
        <v>171</v>
      </c>
      <c r="D140" s="38" t="s">
        <v>171</v>
      </c>
      <c r="E140" s="38" t="s">
        <v>875</v>
      </c>
      <c r="F140" s="38" t="str">
        <f aca="false">B140&amp;"|"&amp;C140&amp;"|"&amp;D140</f>
        <v>68|U|U</v>
      </c>
      <c r="G140" s="45" t="n">
        <f aca="false">INDEX('Transition Stepwise'!$J$2:$J$1137,MATCH(F140,'Transition Stepwise'!$E$2:$E$1137,0))</f>
        <v>0.153846153846154</v>
      </c>
      <c r="H140" s="45" t="n">
        <f aca="false">INDEX(Background!$D$12:$D$27,MATCH(C140&amp;D140,Background!$E$12:$E$27,0))</f>
        <v>0.220480320213476</v>
      </c>
      <c r="I140" s="49" t="n">
        <f aca="false">LN(G140/H140)</f>
        <v>-0.359855338090735</v>
      </c>
    </row>
    <row r="141" customFormat="false" ht="15" hidden="false" customHeight="true" outlineLevel="0" collapsed="false">
      <c r="A141" s="38" t="s">
        <v>36</v>
      </c>
      <c r="B141" s="38" t="n">
        <v>69</v>
      </c>
      <c r="C141" s="38" t="s">
        <v>171</v>
      </c>
      <c r="D141" s="38" t="s">
        <v>170</v>
      </c>
      <c r="E141" s="38" t="s">
        <v>875</v>
      </c>
      <c r="F141" s="38" t="str">
        <f aca="false">B141&amp;"|"&amp;C141&amp;"|"&amp;D141</f>
        <v>69|U|C</v>
      </c>
      <c r="G141" s="45" t="n">
        <f aca="false">INDEX('Transition Stepwise'!$J$2:$J$1137,MATCH(F141,'Transition Stepwise'!$E$2:$E$1137,0))</f>
        <v>0.45</v>
      </c>
      <c r="H141" s="45" t="n">
        <f aca="false">INDEX(Background!$D$12:$D$27,MATCH(C141&amp;D141,Background!$E$12:$E$27,0))</f>
        <v>0.377251501000667</v>
      </c>
      <c r="I141" s="49" t="n">
        <f aca="false">LN(G141/H141)</f>
        <v>0.176335506328651</v>
      </c>
    </row>
    <row r="142" customFormat="false" ht="15" hidden="false" customHeight="true" outlineLevel="0" collapsed="false">
      <c r="A142" s="38" t="s">
        <v>36</v>
      </c>
      <c r="B142" s="38" t="n">
        <v>70</v>
      </c>
      <c r="C142" s="38" t="s">
        <v>170</v>
      </c>
      <c r="D142" s="38" t="s">
        <v>171</v>
      </c>
      <c r="E142" s="38" t="s">
        <v>875</v>
      </c>
      <c r="F142" s="38" t="str">
        <f aca="false">B142&amp;"|"&amp;C142&amp;"|"&amp;D142</f>
        <v>70|C|U</v>
      </c>
      <c r="G142" s="45" t="n">
        <f aca="false">INDEX('Transition Stepwise'!$J$2:$J$1137,MATCH(F142,'Transition Stepwise'!$E$2:$E$1137,0))</f>
        <v>0.0266666666666667</v>
      </c>
      <c r="H142" s="45" t="n">
        <f aca="false">INDEX(Background!$D$12:$D$27,MATCH(C142&amp;D142,Background!$E$12:$E$27,0))</f>
        <v>0.196466244725738</v>
      </c>
      <c r="I142" s="49" t="n">
        <f aca="false">LN(G142/H142)</f>
        <v>-1.99707628798101</v>
      </c>
    </row>
    <row r="143" customFormat="false" ht="15" hidden="false" customHeight="true" outlineLevel="0" collapsed="false">
      <c r="A143" s="38" t="s">
        <v>36</v>
      </c>
      <c r="B143" s="38" t="n">
        <v>71</v>
      </c>
      <c r="C143" s="38" t="s">
        <v>171</v>
      </c>
      <c r="D143" s="38" t="s">
        <v>171</v>
      </c>
      <c r="E143" s="38" t="s">
        <v>875</v>
      </c>
      <c r="F143" s="38" t="str">
        <f aca="false">B143&amp;"|"&amp;C143&amp;"|"&amp;D143</f>
        <v>71|U|U</v>
      </c>
      <c r="G143" s="45" t="n">
        <f aca="false">INDEX('Transition Stepwise'!$J$2:$J$1137,MATCH(F143,'Transition Stepwise'!$E$2:$E$1137,0))</f>
        <v>0.0769230769230769</v>
      </c>
      <c r="H143" s="45" t="n">
        <f aca="false">INDEX(Background!$D$12:$D$27,MATCH(C143&amp;D143,Background!$E$12:$E$27,0))</f>
        <v>0.220480320213476</v>
      </c>
      <c r="I143" s="49" t="n">
        <f aca="false">LN(G143/H143)</f>
        <v>-1.05300251865068</v>
      </c>
    </row>
    <row r="144" customFormat="false" ht="15" hidden="false" customHeight="true" outlineLevel="0" collapsed="false">
      <c r="A144" s="38" t="s">
        <v>41</v>
      </c>
      <c r="B144" s="38" t="n">
        <v>1</v>
      </c>
      <c r="C144" s="38" t="s">
        <v>170</v>
      </c>
      <c r="D144" s="38" t="s">
        <v>171</v>
      </c>
      <c r="E144" s="38" t="s">
        <v>875</v>
      </c>
      <c r="F144" s="38" t="str">
        <f aca="false">B144&amp;"|"&amp;C144&amp;"|"&amp;D144</f>
        <v>1|C|U</v>
      </c>
      <c r="G144" s="45" t="n">
        <f aca="false">INDEX('Transition Stepwise'!$J$2:$J$1137,MATCH(F144,'Transition Stepwise'!$E$2:$E$1137,0))</f>
        <v>0.08</v>
      </c>
      <c r="H144" s="45" t="n">
        <f aca="false">INDEX(Background!$D$12:$D$27,MATCH(C144&amp;D144,Background!$E$12:$E$27,0))</f>
        <v>0.196466244725738</v>
      </c>
      <c r="I144" s="49" t="n">
        <f aca="false">LN(G144/H144)</f>
        <v>-0.898463999312902</v>
      </c>
    </row>
    <row r="145" customFormat="false" ht="15" hidden="false" customHeight="true" outlineLevel="0" collapsed="false">
      <c r="A145" s="38" t="s">
        <v>41</v>
      </c>
      <c r="B145" s="38" t="n">
        <v>2</v>
      </c>
      <c r="C145" s="38" t="s">
        <v>171</v>
      </c>
      <c r="D145" s="38" t="s">
        <v>171</v>
      </c>
      <c r="E145" s="38" t="s">
        <v>875</v>
      </c>
      <c r="F145" s="38" t="str">
        <f aca="false">B145&amp;"|"&amp;C145&amp;"|"&amp;D145</f>
        <v>2|U|U</v>
      </c>
      <c r="G145" s="45" t="n">
        <f aca="false">INDEX('Transition Stepwise'!$J$2:$J$1137,MATCH(F145,'Transition Stepwise'!$E$2:$E$1137,0))</f>
        <v>0.2</v>
      </c>
      <c r="H145" s="45" t="n">
        <f aca="false">INDEX(Background!$D$12:$D$27,MATCH(C145&amp;D145,Background!$E$12:$E$27,0))</f>
        <v>0.220480320213476</v>
      </c>
      <c r="I145" s="49" t="n">
        <f aca="false">LN(G145/H145)</f>
        <v>-0.0974910736232437</v>
      </c>
    </row>
    <row r="146" customFormat="false" ht="15" hidden="false" customHeight="true" outlineLevel="0" collapsed="false">
      <c r="A146" s="38" t="s">
        <v>41</v>
      </c>
      <c r="B146" s="38" t="n">
        <v>3</v>
      </c>
      <c r="C146" s="38" t="s">
        <v>171</v>
      </c>
      <c r="D146" s="38" t="s">
        <v>171</v>
      </c>
      <c r="E146" s="38" t="s">
        <v>875</v>
      </c>
      <c r="F146" s="38" t="str">
        <f aca="false">B146&amp;"|"&amp;C146&amp;"|"&amp;D146</f>
        <v>3|U|U</v>
      </c>
      <c r="G146" s="45" t="n">
        <f aca="false">INDEX('Transition Stepwise'!$J$2:$J$1137,MATCH(F146,'Transition Stepwise'!$E$2:$E$1137,0))</f>
        <v>0.259259259259259</v>
      </c>
      <c r="H146" s="45" t="n">
        <f aca="false">INDEX(Background!$D$12:$D$27,MATCH(C146&amp;D146,Background!$E$12:$E$27,0))</f>
        <v>0.220480320213476</v>
      </c>
      <c r="I146" s="49" t="n">
        <f aca="false">LN(G146/H146)</f>
        <v>0.162020121861841</v>
      </c>
    </row>
    <row r="147" customFormat="false" ht="15" hidden="false" customHeight="true" outlineLevel="0" collapsed="false">
      <c r="A147" s="38" t="s">
        <v>41</v>
      </c>
      <c r="B147" s="38" t="n">
        <v>4</v>
      </c>
      <c r="C147" s="38" t="s">
        <v>171</v>
      </c>
      <c r="D147" s="38" t="s">
        <v>170</v>
      </c>
      <c r="E147" s="38" t="s">
        <v>875</v>
      </c>
      <c r="F147" s="38" t="str">
        <f aca="false">B147&amp;"|"&amp;C147&amp;"|"&amp;D147</f>
        <v>4|U|C</v>
      </c>
      <c r="G147" s="45" t="n">
        <f aca="false">INDEX('Transition Stepwise'!$J$2:$J$1137,MATCH(F147,'Transition Stepwise'!$E$2:$E$1137,0))</f>
        <v>0.5</v>
      </c>
      <c r="H147" s="45" t="n">
        <f aca="false">INDEX(Background!$D$12:$D$27,MATCH(C147&amp;D147,Background!$E$12:$E$27,0))</f>
        <v>0.377251501000667</v>
      </c>
      <c r="I147" s="49" t="n">
        <f aca="false">LN(G147/H147)</f>
        <v>0.281696021986477</v>
      </c>
    </row>
    <row r="148" customFormat="false" ht="15" hidden="false" customHeight="true" outlineLevel="0" collapsed="false">
      <c r="A148" s="38" t="s">
        <v>41</v>
      </c>
      <c r="B148" s="38" t="n">
        <v>5</v>
      </c>
      <c r="C148" s="38" t="s">
        <v>170</v>
      </c>
      <c r="D148" s="38" t="s">
        <v>171</v>
      </c>
      <c r="E148" s="38" t="s">
        <v>875</v>
      </c>
      <c r="F148" s="38" t="str">
        <f aca="false">B148&amp;"|"&amp;C148&amp;"|"&amp;D148</f>
        <v>5|C|U</v>
      </c>
      <c r="G148" s="45" t="n">
        <f aca="false">INDEX('Transition Stepwise'!$J$2:$J$1137,MATCH(F148,'Transition Stepwise'!$E$2:$E$1137,0))</f>
        <v>0.204819277108434</v>
      </c>
      <c r="H148" s="45" t="n">
        <f aca="false">INDEX(Background!$D$12:$D$27,MATCH(C148&amp;D148,Background!$E$12:$E$27,0))</f>
        <v>0.196466244725738</v>
      </c>
      <c r="I148" s="49" t="n">
        <f aca="false">LN(G148/H148)</f>
        <v>0.0416373812549709</v>
      </c>
    </row>
    <row r="149" customFormat="false" ht="15" hidden="false" customHeight="true" outlineLevel="0" collapsed="false">
      <c r="A149" s="38" t="s">
        <v>41</v>
      </c>
      <c r="B149" s="38" t="n">
        <v>6</v>
      </c>
      <c r="C149" s="38" t="s">
        <v>171</v>
      </c>
      <c r="D149" s="38" t="s">
        <v>171</v>
      </c>
      <c r="E149" s="38" t="s">
        <v>875</v>
      </c>
      <c r="F149" s="38" t="str">
        <f aca="false">B149&amp;"|"&amp;C149&amp;"|"&amp;D149</f>
        <v>6|U|U</v>
      </c>
      <c r="G149" s="45" t="n">
        <f aca="false">INDEX('Transition Stepwise'!$J$2:$J$1137,MATCH(F149,'Transition Stepwise'!$E$2:$E$1137,0))</f>
        <v>0.0892857142857143</v>
      </c>
      <c r="H149" s="45" t="n">
        <f aca="false">INDEX(Background!$D$12:$D$27,MATCH(C149&amp;D149,Background!$E$12:$E$27,0))</f>
        <v>0.220480320213476</v>
      </c>
      <c r="I149" s="49" t="n">
        <f aca="false">LN(G149/H149)</f>
        <v>-0.903966939490192</v>
      </c>
    </row>
    <row r="150" customFormat="false" ht="15" hidden="false" customHeight="true" outlineLevel="0" collapsed="false">
      <c r="A150" s="38" t="s">
        <v>41</v>
      </c>
      <c r="B150" s="38" t="n">
        <v>7</v>
      </c>
      <c r="C150" s="38" t="s">
        <v>171</v>
      </c>
      <c r="D150" s="38" t="s">
        <v>171</v>
      </c>
      <c r="E150" s="38" t="s">
        <v>875</v>
      </c>
      <c r="F150" s="38" t="str">
        <f aca="false">B150&amp;"|"&amp;C150&amp;"|"&amp;D150</f>
        <v>7|U|U</v>
      </c>
      <c r="G150" s="45" t="n">
        <f aca="false">INDEX('Transition Stepwise'!$J$2:$J$1137,MATCH(F150,'Transition Stepwise'!$E$2:$E$1137,0))</f>
        <v>0.9375</v>
      </c>
      <c r="H150" s="45" t="n">
        <f aca="false">INDEX(Background!$D$12:$D$27,MATCH(C150&amp;D150,Background!$E$12:$E$27,0))</f>
        <v>0.220480320213476</v>
      </c>
      <c r="I150" s="49" t="n">
        <f aca="false">LN(G150/H150)</f>
        <v>1.44740831767329</v>
      </c>
    </row>
    <row r="151" customFormat="false" ht="15" hidden="false" customHeight="true" outlineLevel="0" collapsed="false">
      <c r="A151" s="38" t="s">
        <v>41</v>
      </c>
      <c r="B151" s="38" t="n">
        <v>8</v>
      </c>
      <c r="C151" s="38" t="s">
        <v>171</v>
      </c>
      <c r="D151" s="38" t="s">
        <v>172</v>
      </c>
      <c r="E151" s="38" t="s">
        <v>875</v>
      </c>
      <c r="F151" s="38" t="str">
        <f aca="false">B151&amp;"|"&amp;C151&amp;"|"&amp;D151</f>
        <v>8|U|A</v>
      </c>
      <c r="G151" s="45" t="n">
        <f aca="false">INDEX('Transition Stepwise'!$J$2:$J$1137,MATCH(F151,'Transition Stepwise'!$E$2:$E$1137,0))</f>
        <v>0.65</v>
      </c>
      <c r="H151" s="45" t="n">
        <f aca="false">INDEX(Background!$D$12:$D$27,MATCH(C151&amp;D151,Background!$E$12:$E$27,0))</f>
        <v>0.180787191460974</v>
      </c>
      <c r="I151" s="49" t="n">
        <f aca="false">LN(G151/H151)</f>
        <v>1.27965176113044</v>
      </c>
    </row>
    <row r="152" customFormat="false" ht="15" hidden="false" customHeight="true" outlineLevel="0" collapsed="false">
      <c r="A152" s="38" t="s">
        <v>41</v>
      </c>
      <c r="B152" s="38" t="n">
        <v>9</v>
      </c>
      <c r="C152" s="38" t="s">
        <v>172</v>
      </c>
      <c r="D152" s="38" t="s">
        <v>172</v>
      </c>
      <c r="E152" s="38" t="s">
        <v>875</v>
      </c>
      <c r="F152" s="38" t="str">
        <f aca="false">B152&amp;"|"&amp;C152&amp;"|"&amp;D152</f>
        <v>9|A|A</v>
      </c>
      <c r="G152" s="45" t="n">
        <f aca="false">INDEX('Transition Stepwise'!$J$2:$J$1137,MATCH(F152,'Transition Stepwise'!$E$2:$E$1137,0))</f>
        <v>0.00746268656716418</v>
      </c>
      <c r="H152" s="45" t="n">
        <f aca="false">INDEX(Background!$D$12:$D$27,MATCH(C152&amp;D152,Background!$E$12:$E$27,0))</f>
        <v>0.219568567026194</v>
      </c>
      <c r="I152" s="49" t="n">
        <f aca="false">LN(G152/H152)</f>
        <v>-3.38174908295553</v>
      </c>
    </row>
    <row r="153" customFormat="false" ht="15" hidden="false" customHeight="true" outlineLevel="0" collapsed="false">
      <c r="A153" s="38" t="s">
        <v>41</v>
      </c>
      <c r="B153" s="38" t="n">
        <v>10</v>
      </c>
      <c r="C153" s="38" t="s">
        <v>172</v>
      </c>
      <c r="D153" s="38" t="s">
        <v>172</v>
      </c>
      <c r="E153" s="38" t="s">
        <v>875</v>
      </c>
      <c r="F153" s="38" t="str">
        <f aca="false">B153&amp;"|"&amp;C153&amp;"|"&amp;D153</f>
        <v>10|A|A</v>
      </c>
      <c r="G153" s="45" t="n">
        <f aca="false">INDEX('Transition Stepwise'!$J$2:$J$1137,MATCH(F153,'Transition Stepwise'!$E$2:$E$1137,0))</f>
        <v>0.25</v>
      </c>
      <c r="H153" s="45" t="n">
        <f aca="false">INDEX(Background!$D$12:$D$27,MATCH(C153&amp;D153,Background!$E$12:$E$27,0))</f>
        <v>0.219568567026194</v>
      </c>
      <c r="I153" s="49" t="n">
        <f aca="false">LN(G153/H153)</f>
        <v>0.129796355875494</v>
      </c>
    </row>
    <row r="154" customFormat="false" ht="15" hidden="false" customHeight="true" outlineLevel="0" collapsed="false">
      <c r="A154" s="38" t="s">
        <v>41</v>
      </c>
      <c r="B154" s="38" t="n">
        <v>11</v>
      </c>
      <c r="C154" s="38" t="s">
        <v>172</v>
      </c>
      <c r="D154" s="38" t="s">
        <v>171</v>
      </c>
      <c r="E154" s="38" t="s">
        <v>875</v>
      </c>
      <c r="F154" s="38" t="str">
        <f aca="false">B154&amp;"|"&amp;C154&amp;"|"&amp;D154</f>
        <v>11|A|U</v>
      </c>
      <c r="G154" s="45" t="n">
        <f aca="false">INDEX('Transition Stepwise'!$J$2:$J$1137,MATCH(F154,'Transition Stepwise'!$E$2:$E$1137,0))</f>
        <v>0.363636363636364</v>
      </c>
      <c r="H154" s="45" t="n">
        <f aca="false">INDEX(Background!$D$12:$D$27,MATCH(C154&amp;D154,Background!$E$12:$E$27,0))</f>
        <v>0.194530046224961</v>
      </c>
      <c r="I154" s="49" t="n">
        <f aca="false">LN(G154/H154)</f>
        <v>0.625567736870141</v>
      </c>
    </row>
    <row r="155" customFormat="false" ht="15" hidden="false" customHeight="true" outlineLevel="0" collapsed="false">
      <c r="A155" s="38" t="s">
        <v>41</v>
      </c>
      <c r="B155" s="38" t="n">
        <v>12</v>
      </c>
      <c r="C155" s="38" t="s">
        <v>171</v>
      </c>
      <c r="D155" s="38" t="s">
        <v>172</v>
      </c>
      <c r="E155" s="38" t="s">
        <v>875</v>
      </c>
      <c r="F155" s="38" t="str">
        <f aca="false">B155&amp;"|"&amp;C155&amp;"|"&amp;D155</f>
        <v>12|U|A</v>
      </c>
      <c r="G155" s="45" t="n">
        <f aca="false">INDEX('Transition Stepwise'!$J$2:$J$1137,MATCH(F155,'Transition Stepwise'!$E$2:$E$1137,0))</f>
        <v>0.016260162601626</v>
      </c>
      <c r="H155" s="45" t="n">
        <f aca="false">INDEX(Background!$D$12:$D$27,MATCH(C155&amp;D155,Background!$E$12:$E$27,0))</f>
        <v>0.180787191460974</v>
      </c>
      <c r="I155" s="49" t="n">
        <f aca="false">LN(G155/H155)</f>
        <v>-2.40860249758958</v>
      </c>
    </row>
    <row r="156" customFormat="false" ht="15" hidden="false" customHeight="true" outlineLevel="0" collapsed="false">
      <c r="A156" s="38" t="s">
        <v>41</v>
      </c>
      <c r="B156" s="38" t="n">
        <v>13</v>
      </c>
      <c r="C156" s="38" t="s">
        <v>172</v>
      </c>
      <c r="D156" s="38" t="s">
        <v>172</v>
      </c>
      <c r="E156" s="38" t="s">
        <v>875</v>
      </c>
      <c r="F156" s="38" t="str">
        <f aca="false">B156&amp;"|"&amp;C156&amp;"|"&amp;D156</f>
        <v>13|A|A</v>
      </c>
      <c r="G156" s="45" t="n">
        <f aca="false">INDEX('Transition Stepwise'!$J$2:$J$1137,MATCH(F156,'Transition Stepwise'!$E$2:$E$1137,0))</f>
        <v>0.764705882352941</v>
      </c>
      <c r="H156" s="45" t="n">
        <f aca="false">INDEX(Background!$D$12:$D$27,MATCH(C156&amp;D156,Background!$E$12:$E$27,0))</f>
        <v>0.219568567026194</v>
      </c>
      <c r="I156" s="49" t="n">
        <f aca="false">LN(G156/H156)</f>
        <v>1.24782673040071</v>
      </c>
    </row>
    <row r="157" customFormat="false" ht="15" hidden="false" customHeight="true" outlineLevel="0" collapsed="false">
      <c r="A157" s="38" t="s">
        <v>41</v>
      </c>
      <c r="B157" s="38" t="n">
        <v>14</v>
      </c>
      <c r="C157" s="38" t="s">
        <v>172</v>
      </c>
      <c r="D157" s="38" t="s">
        <v>172</v>
      </c>
      <c r="E157" s="38" t="s">
        <v>875</v>
      </c>
      <c r="F157" s="38" t="str">
        <f aca="false">B157&amp;"|"&amp;C157&amp;"|"&amp;D157</f>
        <v>14|A|A</v>
      </c>
      <c r="G157" s="45" t="n">
        <f aca="false">INDEX('Transition Stepwise'!$J$2:$J$1137,MATCH(F157,'Transition Stepwise'!$E$2:$E$1137,0))</f>
        <v>0.165</v>
      </c>
      <c r="H157" s="45" t="n">
        <f aca="false">INDEX(Background!$D$12:$D$27,MATCH(C157&amp;D157,Background!$E$12:$E$27,0))</f>
        <v>0.219568567026194</v>
      </c>
      <c r="I157" s="49" t="n">
        <f aca="false">LN(G157/H157)</f>
        <v>-0.285719088086172</v>
      </c>
    </row>
    <row r="158" customFormat="false" ht="15" hidden="false" customHeight="true" outlineLevel="0" collapsed="false">
      <c r="A158" s="38" t="s">
        <v>41</v>
      </c>
      <c r="B158" s="38" t="n">
        <v>15</v>
      </c>
      <c r="C158" s="38" t="s">
        <v>172</v>
      </c>
      <c r="D158" s="38" t="s">
        <v>176</v>
      </c>
      <c r="E158" s="40" t="s">
        <v>876</v>
      </c>
      <c r="F158" s="38"/>
      <c r="G158" s="38"/>
      <c r="H158" s="38"/>
      <c r="I158" s="38"/>
    </row>
    <row r="159" customFormat="false" ht="15" hidden="false" customHeight="true" outlineLevel="0" collapsed="false">
      <c r="A159" s="38" t="s">
        <v>41</v>
      </c>
      <c r="B159" s="38" t="n">
        <v>16</v>
      </c>
      <c r="C159" s="38" t="s">
        <v>176</v>
      </c>
      <c r="D159" s="38" t="s">
        <v>172</v>
      </c>
      <c r="E159" s="40" t="s">
        <v>876</v>
      </c>
      <c r="F159" s="38"/>
      <c r="G159" s="38"/>
      <c r="H159" s="38"/>
      <c r="I159" s="38"/>
    </row>
    <row r="160" customFormat="false" ht="15" hidden="false" customHeight="true" outlineLevel="0" collapsed="false">
      <c r="A160" s="38" t="s">
        <v>41</v>
      </c>
      <c r="B160" s="38" t="n">
        <v>17</v>
      </c>
      <c r="C160" s="38" t="s">
        <v>172</v>
      </c>
      <c r="D160" s="38" t="s">
        <v>169</v>
      </c>
      <c r="E160" s="38" t="s">
        <v>875</v>
      </c>
      <c r="F160" s="38" t="str">
        <f aca="false">B160&amp;"|"&amp;C160&amp;"|"&amp;D160</f>
        <v>17|A|G</v>
      </c>
      <c r="G160" s="45" t="n">
        <f aca="false">INDEX('Transition Stepwise'!$J$2:$J$1137,MATCH(F160,'Transition Stepwise'!$E$2:$E$1137,0))</f>
        <v>0.75</v>
      </c>
      <c r="H160" s="45" t="n">
        <f aca="false">INDEX(Background!$D$12:$D$27,MATCH(C160&amp;D160,Background!$E$12:$E$27,0))</f>
        <v>0.424884437596302</v>
      </c>
      <c r="I160" s="49" t="n">
        <f aca="false">LN(G160/H160)</f>
        <v>0.568255986118697</v>
      </c>
    </row>
    <row r="161" customFormat="false" ht="15" hidden="false" customHeight="true" outlineLevel="0" collapsed="false">
      <c r="A161" s="38" t="s">
        <v>41</v>
      </c>
      <c r="B161" s="38" t="n">
        <v>18</v>
      </c>
      <c r="C161" s="38" t="s">
        <v>169</v>
      </c>
      <c r="D161" s="38" t="s">
        <v>169</v>
      </c>
      <c r="E161" s="38" t="s">
        <v>875</v>
      </c>
      <c r="F161" s="38" t="str">
        <f aca="false">B161&amp;"|"&amp;C161&amp;"|"&amp;D161</f>
        <v>18|G|G</v>
      </c>
      <c r="G161" s="45" t="n">
        <f aca="false">INDEX('Transition Stepwise'!$J$2:$J$1137,MATCH(F161,'Transition Stepwise'!$E$2:$E$1137,0))</f>
        <v>0.975247524752475</v>
      </c>
      <c r="H161" s="45" t="n">
        <f aca="false">INDEX(Background!$D$12:$D$27,MATCH(C161&amp;D161,Background!$E$12:$E$27,0))</f>
        <v>0.344774477447745</v>
      </c>
      <c r="I161" s="49" t="n">
        <f aca="false">LN(G161/H161)</f>
        <v>1.03980079559234</v>
      </c>
    </row>
    <row r="162" customFormat="false" ht="15" hidden="false" customHeight="true" outlineLevel="0" collapsed="false">
      <c r="A162" s="38" t="s">
        <v>41</v>
      </c>
      <c r="B162" s="38" t="n">
        <v>19</v>
      </c>
      <c r="C162" s="38" t="s">
        <v>169</v>
      </c>
      <c r="D162" s="38" t="s">
        <v>172</v>
      </c>
      <c r="E162" s="38" t="s">
        <v>875</v>
      </c>
      <c r="F162" s="38" t="str">
        <f aca="false">B162&amp;"|"&amp;C162&amp;"|"&amp;D162</f>
        <v>19|G|A</v>
      </c>
      <c r="G162" s="45" t="n">
        <f aca="false">INDEX('Transition Stepwise'!$J$2:$J$1137,MATCH(F162,'Transition Stepwise'!$E$2:$E$1137,0))</f>
        <v>0.09</v>
      </c>
      <c r="H162" s="45" t="n">
        <f aca="false">INDEX(Background!$D$12:$D$27,MATCH(C162&amp;D162,Background!$E$12:$E$27,0))</f>
        <v>0.164356435643564</v>
      </c>
      <c r="I162" s="49" t="n">
        <f aca="false">LN(G162/H162)</f>
        <v>-0.60222778717311</v>
      </c>
    </row>
    <row r="163" customFormat="false" ht="15" hidden="false" customHeight="true" outlineLevel="0" collapsed="false">
      <c r="A163" s="38" t="s">
        <v>41</v>
      </c>
      <c r="B163" s="38" t="n">
        <v>20</v>
      </c>
      <c r="C163" s="38" t="s">
        <v>172</v>
      </c>
      <c r="D163" s="38" t="s">
        <v>170</v>
      </c>
      <c r="E163" s="38" t="s">
        <v>875</v>
      </c>
      <c r="F163" s="38" t="str">
        <f aca="false">B163&amp;"|"&amp;C163&amp;"|"&amp;D163</f>
        <v>20|A|C</v>
      </c>
      <c r="G163" s="45" t="n">
        <f aca="false">INDEX('Transition Stepwise'!$J$2:$J$1137,MATCH(F163,'Transition Stepwise'!$E$2:$E$1137,0))</f>
        <v>0.0476190476190476</v>
      </c>
      <c r="H163" s="45" t="n">
        <f aca="false">INDEX(Background!$D$12:$D$27,MATCH(C163&amp;D163,Background!$E$12:$E$27,0))</f>
        <v>0.161016949152542</v>
      </c>
      <c r="I163" s="49" t="n">
        <f aca="false">LN(G163/H163)</f>
        <v>-1.2182767924242</v>
      </c>
    </row>
    <row r="164" customFormat="false" ht="15" hidden="false" customHeight="true" outlineLevel="0" collapsed="false">
      <c r="A164" s="38" t="s">
        <v>41</v>
      </c>
      <c r="B164" s="38" t="n">
        <v>21</v>
      </c>
      <c r="C164" s="38" t="s">
        <v>170</v>
      </c>
      <c r="D164" s="38" t="s">
        <v>171</v>
      </c>
      <c r="E164" s="38" t="s">
        <v>875</v>
      </c>
      <c r="F164" s="38" t="str">
        <f aca="false">B164&amp;"|"&amp;C164&amp;"|"&amp;D164</f>
        <v>21|C|U</v>
      </c>
      <c r="G164" s="45" t="n">
        <f aca="false">INDEX('Transition Stepwise'!$J$2:$J$1137,MATCH(F164,'Transition Stepwise'!$E$2:$E$1137,0))</f>
        <v>0.125</v>
      </c>
      <c r="H164" s="45" t="n">
        <f aca="false">INDEX(Background!$D$12:$D$27,MATCH(C164&amp;D164,Background!$E$12:$E$27,0))</f>
        <v>0.196466244725738</v>
      </c>
      <c r="I164" s="49" t="n">
        <f aca="false">LN(G164/H164)</f>
        <v>-0.452176896684483</v>
      </c>
    </row>
    <row r="165" customFormat="false" ht="15" hidden="false" customHeight="true" outlineLevel="0" collapsed="false">
      <c r="A165" s="38" t="s">
        <v>41</v>
      </c>
      <c r="B165" s="38" t="n">
        <v>22</v>
      </c>
      <c r="C165" s="38" t="s">
        <v>171</v>
      </c>
      <c r="D165" s="38" t="s">
        <v>172</v>
      </c>
      <c r="E165" s="38" t="s">
        <v>875</v>
      </c>
      <c r="F165" s="38" t="str">
        <f aca="false">B165&amp;"|"&amp;C165&amp;"|"&amp;D165</f>
        <v>22|U|A</v>
      </c>
      <c r="G165" s="45" t="n">
        <f aca="false">INDEX('Transition Stepwise'!$J$2:$J$1137,MATCH(F165,'Transition Stepwise'!$E$2:$E$1137,0))</f>
        <v>0.111111111111111</v>
      </c>
      <c r="H165" s="45" t="n">
        <f aca="false">INDEX(Background!$D$12:$D$27,MATCH(C165&amp;D165,Background!$E$12:$E$27,0))</f>
        <v>0.180787191460974</v>
      </c>
      <c r="I165" s="49" t="n">
        <f aca="false">LN(G165/H165)</f>
        <v>-0.486789900113323</v>
      </c>
    </row>
    <row r="166" customFormat="false" ht="15" hidden="false" customHeight="true" outlineLevel="0" collapsed="false">
      <c r="A166" s="38" t="s">
        <v>41</v>
      </c>
      <c r="B166" s="38" t="n">
        <v>23</v>
      </c>
      <c r="C166" s="38" t="s">
        <v>172</v>
      </c>
      <c r="D166" s="38" t="s">
        <v>171</v>
      </c>
      <c r="E166" s="38" t="s">
        <v>875</v>
      </c>
      <c r="F166" s="38" t="str">
        <f aca="false">B166&amp;"|"&amp;C166&amp;"|"&amp;D166</f>
        <v>23|A|U</v>
      </c>
      <c r="G166" s="45" t="n">
        <f aca="false">INDEX('Transition Stepwise'!$J$2:$J$1137,MATCH(F166,'Transition Stepwise'!$E$2:$E$1137,0))</f>
        <v>0.032258064516129</v>
      </c>
      <c r="H166" s="45" t="n">
        <f aca="false">INDEX(Background!$D$12:$D$27,MATCH(C166&amp;D166,Background!$E$12:$E$27,0))</f>
        <v>0.194530046224961</v>
      </c>
      <c r="I166" s="49" t="n">
        <f aca="false">LN(G166/H166)</f>
        <v>-1.79681855593653</v>
      </c>
    </row>
    <row r="167" customFormat="false" ht="15" hidden="false" customHeight="true" outlineLevel="0" collapsed="false">
      <c r="A167" s="38" t="s">
        <v>41</v>
      </c>
      <c r="B167" s="38" t="n">
        <v>24</v>
      </c>
      <c r="C167" s="38" t="s">
        <v>171</v>
      </c>
      <c r="D167" s="38" t="s">
        <v>171</v>
      </c>
      <c r="E167" s="38" t="s">
        <v>875</v>
      </c>
      <c r="F167" s="38" t="str">
        <f aca="false">B167&amp;"|"&amp;C167&amp;"|"&amp;D167</f>
        <v>24|U|U</v>
      </c>
      <c r="G167" s="45" t="n">
        <f aca="false">INDEX('Transition Stepwise'!$J$2:$J$1137,MATCH(F167,'Transition Stepwise'!$E$2:$E$1137,0))</f>
        <v>0.0909090909090909</v>
      </c>
      <c r="H167" s="45" t="n">
        <f aca="false">INDEX(Background!$D$12:$D$27,MATCH(C167&amp;D167,Background!$E$12:$E$27,0))</f>
        <v>0.220480320213476</v>
      </c>
      <c r="I167" s="49" t="n">
        <f aca="false">LN(G167/H167)</f>
        <v>-0.885948433987514</v>
      </c>
    </row>
    <row r="168" customFormat="false" ht="15" hidden="false" customHeight="true" outlineLevel="0" collapsed="false">
      <c r="A168" s="38" t="s">
        <v>41</v>
      </c>
      <c r="B168" s="38" t="n">
        <v>25</v>
      </c>
      <c r="C168" s="38" t="s">
        <v>171</v>
      </c>
      <c r="D168" s="38" t="s">
        <v>170</v>
      </c>
      <c r="E168" s="38" t="s">
        <v>875</v>
      </c>
      <c r="F168" s="38" t="str">
        <f aca="false">B168&amp;"|"&amp;C168&amp;"|"&amp;D168</f>
        <v>25|U|C</v>
      </c>
      <c r="G168" s="45" t="n">
        <f aca="false">INDEX('Transition Stepwise'!$J$2:$J$1137,MATCH(F168,'Transition Stepwise'!$E$2:$E$1137,0))</f>
        <v>0.166666666666667</v>
      </c>
      <c r="H168" s="45" t="n">
        <f aca="false">INDEX(Background!$D$12:$D$27,MATCH(C168&amp;D168,Background!$E$12:$E$27,0))</f>
        <v>0.377251501000667</v>
      </c>
      <c r="I168" s="49" t="n">
        <f aca="false">LN(G168/H168)</f>
        <v>-0.816916266681633</v>
      </c>
    </row>
    <row r="169" customFormat="false" ht="15" hidden="false" customHeight="true" outlineLevel="0" collapsed="false">
      <c r="A169" s="38" t="s">
        <v>41</v>
      </c>
      <c r="B169" s="38" t="n">
        <v>26</v>
      </c>
      <c r="C169" s="38" t="s">
        <v>170</v>
      </c>
      <c r="D169" s="38" t="s">
        <v>171</v>
      </c>
      <c r="E169" s="38" t="s">
        <v>875</v>
      </c>
      <c r="F169" s="38" t="str">
        <f aca="false">B169&amp;"|"&amp;C169&amp;"|"&amp;D169</f>
        <v>26|C|U</v>
      </c>
      <c r="G169" s="45" t="n">
        <f aca="false">INDEX('Transition Stepwise'!$J$2:$J$1137,MATCH(F169,'Transition Stepwise'!$E$2:$E$1137,0))</f>
        <v>0.333333333333333</v>
      </c>
      <c r="H169" s="45" t="n">
        <f aca="false">INDEX(Background!$D$12:$D$27,MATCH(C169&amp;D169,Background!$E$12:$E$27,0))</f>
        <v>0.196466244725738</v>
      </c>
      <c r="I169" s="49" t="n">
        <f aca="false">LN(G169/H169)</f>
        <v>0.528652356327243</v>
      </c>
    </row>
    <row r="170" customFormat="false" ht="15" hidden="false" customHeight="true" outlineLevel="0" collapsed="false">
      <c r="A170" s="38" t="s">
        <v>41</v>
      </c>
      <c r="B170" s="38" t="n">
        <v>27</v>
      </c>
      <c r="C170" s="38" t="s">
        <v>171</v>
      </c>
      <c r="D170" s="38" t="s">
        <v>170</v>
      </c>
      <c r="E170" s="38" t="s">
        <v>875</v>
      </c>
      <c r="F170" s="38" t="str">
        <f aca="false">B170&amp;"|"&amp;C170&amp;"|"&amp;D170</f>
        <v>27|U|C</v>
      </c>
      <c r="G170" s="45" t="n">
        <f aca="false">INDEX('Transition Stepwise'!$J$2:$J$1137,MATCH(F170,'Transition Stepwise'!$E$2:$E$1137,0))</f>
        <v>0.490909090909091</v>
      </c>
      <c r="H170" s="45" t="n">
        <f aca="false">INDEX(Background!$D$12:$D$27,MATCH(C170&amp;D170,Background!$E$12:$E$27,0))</f>
        <v>0.377251501000667</v>
      </c>
      <c r="I170" s="49" t="n">
        <f aca="false">LN(G170/H170)</f>
        <v>0.263346883318281</v>
      </c>
    </row>
    <row r="171" customFormat="false" ht="15" hidden="false" customHeight="true" outlineLevel="0" collapsed="false">
      <c r="A171" s="38" t="s">
        <v>41</v>
      </c>
      <c r="B171" s="38" t="n">
        <v>28</v>
      </c>
      <c r="C171" s="38" t="s">
        <v>170</v>
      </c>
      <c r="D171" s="38" t="s">
        <v>172</v>
      </c>
      <c r="E171" s="38" t="s">
        <v>875</v>
      </c>
      <c r="F171" s="38" t="str">
        <f aca="false">B171&amp;"|"&amp;C171&amp;"|"&amp;D171</f>
        <v>28|C|A</v>
      </c>
      <c r="G171" s="45" t="n">
        <f aca="false">INDEX('Transition Stepwise'!$J$2:$J$1137,MATCH(F171,'Transition Stepwise'!$E$2:$E$1137,0))</f>
        <v>0.177570093457944</v>
      </c>
      <c r="H171" s="45" t="n">
        <f aca="false">INDEX(Background!$D$12:$D$27,MATCH(C171&amp;D171,Background!$E$12:$E$27,0))</f>
        <v>0.194883966244726</v>
      </c>
      <c r="I171" s="49" t="n">
        <f aca="false">LN(G171/H171)</f>
        <v>-0.0930389128687551</v>
      </c>
    </row>
    <row r="172" customFormat="false" ht="15" hidden="false" customHeight="true" outlineLevel="0" collapsed="false">
      <c r="A172" s="38" t="s">
        <v>41</v>
      </c>
      <c r="B172" s="38" t="n">
        <v>29</v>
      </c>
      <c r="C172" s="38" t="s">
        <v>172</v>
      </c>
      <c r="D172" s="38" t="s">
        <v>172</v>
      </c>
      <c r="E172" s="38" t="s">
        <v>875</v>
      </c>
      <c r="F172" s="38" t="str">
        <f aca="false">B172&amp;"|"&amp;C172&amp;"|"&amp;D172</f>
        <v>29|A|A</v>
      </c>
      <c r="G172" s="45" t="n">
        <f aca="false">INDEX('Transition Stepwise'!$J$2:$J$1137,MATCH(F172,'Transition Stepwise'!$E$2:$E$1137,0))</f>
        <v>0.0277777777777778</v>
      </c>
      <c r="H172" s="45" t="n">
        <f aca="false">INDEX(Background!$D$12:$D$27,MATCH(C172&amp;D172,Background!$E$12:$E$27,0))</f>
        <v>0.219568567026194</v>
      </c>
      <c r="I172" s="49" t="n">
        <f aca="false">LN(G172/H172)</f>
        <v>-2.06742822146073</v>
      </c>
    </row>
    <row r="173" customFormat="false" ht="15" hidden="false" customHeight="true" outlineLevel="0" collapsed="false">
      <c r="A173" s="38" t="s">
        <v>41</v>
      </c>
      <c r="B173" s="38" t="n">
        <v>30</v>
      </c>
      <c r="C173" s="38" t="s">
        <v>172</v>
      </c>
      <c r="D173" s="38" t="s">
        <v>172</v>
      </c>
      <c r="E173" s="38" t="s">
        <v>875</v>
      </c>
      <c r="F173" s="38" t="str">
        <f aca="false">B173&amp;"|"&amp;C173&amp;"|"&amp;D173</f>
        <v>30|A|A</v>
      </c>
      <c r="G173" s="45" t="n">
        <f aca="false">INDEX('Transition Stepwise'!$J$2:$J$1137,MATCH(F173,'Transition Stepwise'!$E$2:$E$1137,0))</f>
        <v>0.25</v>
      </c>
      <c r="H173" s="45" t="n">
        <f aca="false">INDEX(Background!$D$12:$D$27,MATCH(C173&amp;D173,Background!$E$12:$E$27,0))</f>
        <v>0.219568567026194</v>
      </c>
      <c r="I173" s="49" t="n">
        <f aca="false">LN(G173/H173)</f>
        <v>0.129796355875494</v>
      </c>
    </row>
    <row r="174" customFormat="false" ht="15" hidden="false" customHeight="true" outlineLevel="0" collapsed="false">
      <c r="A174" s="38" t="s">
        <v>41</v>
      </c>
      <c r="B174" s="38" t="n">
        <v>31</v>
      </c>
      <c r="C174" s="38" t="s">
        <v>172</v>
      </c>
      <c r="D174" s="38" t="s">
        <v>172</v>
      </c>
      <c r="E174" s="38" t="s">
        <v>875</v>
      </c>
      <c r="F174" s="38" t="str">
        <f aca="false">B174&amp;"|"&amp;C174&amp;"|"&amp;D174</f>
        <v>31|A|A</v>
      </c>
      <c r="G174" s="45" t="n">
        <f aca="false">INDEX('Transition Stepwise'!$J$2:$J$1137,MATCH(F174,'Transition Stepwise'!$E$2:$E$1137,0))</f>
        <v>0.0172413793103448</v>
      </c>
      <c r="H174" s="45" t="n">
        <f aca="false">INDEX(Background!$D$12:$D$27,MATCH(C174&amp;D174,Background!$E$12:$E$27,0))</f>
        <v>0.219568567026194</v>
      </c>
      <c r="I174" s="49" t="n">
        <f aca="false">LN(G174/H174)</f>
        <v>-2.54435229355103</v>
      </c>
    </row>
    <row r="175" customFormat="false" ht="15" hidden="false" customHeight="true" outlineLevel="0" collapsed="false">
      <c r="A175" s="38" t="s">
        <v>41</v>
      </c>
      <c r="B175" s="38" t="n">
        <v>32</v>
      </c>
      <c r="C175" s="38" t="s">
        <v>172</v>
      </c>
      <c r="D175" s="38" t="s">
        <v>170</v>
      </c>
      <c r="E175" s="38" t="s">
        <v>875</v>
      </c>
      <c r="F175" s="38" t="str">
        <f aca="false">B175&amp;"|"&amp;C175&amp;"|"&amp;D175</f>
        <v>32|A|C</v>
      </c>
      <c r="G175" s="45" t="n">
        <f aca="false">INDEX('Transition Stepwise'!$J$2:$J$1137,MATCH(F175,'Transition Stepwise'!$E$2:$E$1137,0))</f>
        <v>0.1</v>
      </c>
      <c r="H175" s="45" t="n">
        <f aca="false">INDEX(Background!$D$12:$D$27,MATCH(C175&amp;D175,Background!$E$12:$E$27,0))</f>
        <v>0.161016949152542</v>
      </c>
      <c r="I175" s="49" t="n">
        <f aca="false">LN(G175/H175)</f>
        <v>-0.476339447694821</v>
      </c>
    </row>
    <row r="176" customFormat="false" ht="15" hidden="false" customHeight="true" outlineLevel="0" collapsed="false">
      <c r="A176" s="38" t="s">
        <v>41</v>
      </c>
      <c r="B176" s="38" t="n">
        <v>33</v>
      </c>
      <c r="C176" s="38" t="s">
        <v>170</v>
      </c>
      <c r="D176" s="38" t="s">
        <v>171</v>
      </c>
      <c r="E176" s="38" t="s">
        <v>875</v>
      </c>
      <c r="F176" s="38" t="str">
        <f aca="false">B176&amp;"|"&amp;C176&amp;"|"&amp;D176</f>
        <v>33|C|U</v>
      </c>
      <c r="G176" s="45" t="n">
        <f aca="false">INDEX('Transition Stepwise'!$J$2:$J$1137,MATCH(F176,'Transition Stepwise'!$E$2:$E$1137,0))</f>
        <v>0.2</v>
      </c>
      <c r="H176" s="45" t="n">
        <f aca="false">INDEX(Background!$D$12:$D$27,MATCH(C176&amp;D176,Background!$E$12:$E$27,0))</f>
        <v>0.196466244725738</v>
      </c>
      <c r="I176" s="49" t="n">
        <f aca="false">LN(G176/H176)</f>
        <v>0.0178267325612525</v>
      </c>
    </row>
    <row r="177" customFormat="false" ht="15" hidden="false" customHeight="true" outlineLevel="0" collapsed="false">
      <c r="A177" s="38" t="s">
        <v>41</v>
      </c>
      <c r="B177" s="38" t="n">
        <v>34</v>
      </c>
      <c r="C177" s="38" t="s">
        <v>171</v>
      </c>
      <c r="D177" s="38" t="s">
        <v>171</v>
      </c>
      <c r="E177" s="38" t="s">
        <v>875</v>
      </c>
      <c r="F177" s="38" t="str">
        <f aca="false">B177&amp;"|"&amp;C177&amp;"|"&amp;D177</f>
        <v>34|U|U</v>
      </c>
      <c r="G177" s="45" t="n">
        <f aca="false">INDEX('Transition Stepwise'!$J$2:$J$1137,MATCH(F177,'Transition Stepwise'!$E$2:$E$1137,0))</f>
        <v>0.17741935483871</v>
      </c>
      <c r="H177" s="45" t="n">
        <f aca="false">INDEX(Background!$D$12:$D$27,MATCH(C177&amp;D177,Background!$E$12:$E$27,0))</f>
        <v>0.220480320213476</v>
      </c>
      <c r="I177" s="49" t="n">
        <f aca="false">LN(G177/H177)</f>
        <v>-0.217292273435864</v>
      </c>
    </row>
    <row r="178" customFormat="false" ht="15" hidden="false" customHeight="true" outlineLevel="0" collapsed="false">
      <c r="A178" s="38" t="s">
        <v>41</v>
      </c>
      <c r="B178" s="38" t="n">
        <v>35</v>
      </c>
      <c r="C178" s="38" t="s">
        <v>171</v>
      </c>
      <c r="D178" s="38" t="s">
        <v>172</v>
      </c>
      <c r="E178" s="38" t="s">
        <v>875</v>
      </c>
      <c r="F178" s="38" t="str">
        <f aca="false">B178&amp;"|"&amp;C178&amp;"|"&amp;D178</f>
        <v>35|U|A</v>
      </c>
      <c r="G178" s="45" t="n">
        <f aca="false">INDEX('Transition Stepwise'!$J$2:$J$1137,MATCH(F178,'Transition Stepwise'!$E$2:$E$1137,0))</f>
        <v>0.177777777777778</v>
      </c>
      <c r="H178" s="45" t="n">
        <f aca="false">INDEX(Background!$D$12:$D$27,MATCH(C178&amp;D178,Background!$E$12:$E$27,0))</f>
        <v>0.180787191460974</v>
      </c>
      <c r="I178" s="49" t="n">
        <f aca="false">LN(G178/H178)</f>
        <v>-0.016786270867587</v>
      </c>
    </row>
    <row r="179" customFormat="false" ht="15" hidden="false" customHeight="true" outlineLevel="0" collapsed="false">
      <c r="A179" s="38" t="s">
        <v>41</v>
      </c>
      <c r="B179" s="38" t="n">
        <v>36</v>
      </c>
      <c r="C179" s="38" t="s">
        <v>172</v>
      </c>
      <c r="D179" s="38" t="s">
        <v>171</v>
      </c>
      <c r="E179" s="38" t="s">
        <v>875</v>
      </c>
      <c r="F179" s="38" t="str">
        <f aca="false">B179&amp;"|"&amp;C179&amp;"|"&amp;D179</f>
        <v>36|A|U</v>
      </c>
      <c r="G179" s="45" t="n">
        <f aca="false">INDEX('Transition Stepwise'!$J$2:$J$1137,MATCH(F179,'Transition Stepwise'!$E$2:$E$1137,0))</f>
        <v>0.0212765957446809</v>
      </c>
      <c r="H179" s="45" t="n">
        <f aca="false">INDEX(Background!$D$12:$D$27,MATCH(C179&amp;D179,Background!$E$12:$E$27,0))</f>
        <v>0.194530046224961</v>
      </c>
      <c r="I179" s="49" t="n">
        <f aca="false">LN(G179/H179)</f>
        <v>-2.21297895316144</v>
      </c>
    </row>
    <row r="180" customFormat="false" ht="15" hidden="false" customHeight="true" outlineLevel="0" collapsed="false">
      <c r="A180" s="38" t="s">
        <v>41</v>
      </c>
      <c r="B180" s="38" t="n">
        <v>37</v>
      </c>
      <c r="C180" s="38" t="s">
        <v>171</v>
      </c>
      <c r="D180" s="38" t="s">
        <v>171</v>
      </c>
      <c r="E180" s="38" t="s">
        <v>875</v>
      </c>
      <c r="F180" s="38" t="str">
        <f aca="false">B180&amp;"|"&amp;C180&amp;"|"&amp;D180</f>
        <v>37|U|U</v>
      </c>
      <c r="G180" s="45" t="n">
        <f aca="false">INDEX('Transition Stepwise'!$J$2:$J$1137,MATCH(F180,'Transition Stepwise'!$E$2:$E$1137,0))</f>
        <v>0.25</v>
      </c>
      <c r="H180" s="45" t="n">
        <f aca="false">INDEX(Background!$D$12:$D$27,MATCH(C180&amp;D180,Background!$E$12:$E$27,0))</f>
        <v>0.220480320213476</v>
      </c>
      <c r="I180" s="49" t="n">
        <f aca="false">LN(G180/H180)</f>
        <v>0.125652477690966</v>
      </c>
    </row>
    <row r="181" customFormat="false" ht="15" hidden="false" customHeight="true" outlineLevel="0" collapsed="false">
      <c r="A181" s="38" t="s">
        <v>41</v>
      </c>
      <c r="B181" s="38" t="n">
        <v>38</v>
      </c>
      <c r="C181" s="38" t="s">
        <v>171</v>
      </c>
      <c r="D181" s="38" t="s">
        <v>171</v>
      </c>
      <c r="E181" s="38" t="s">
        <v>875</v>
      </c>
      <c r="F181" s="38" t="str">
        <f aca="false">B181&amp;"|"&amp;C181&amp;"|"&amp;D181</f>
        <v>38|U|U</v>
      </c>
      <c r="G181" s="45" t="n">
        <f aca="false">INDEX('Transition Stepwise'!$J$2:$J$1137,MATCH(F181,'Transition Stepwise'!$E$2:$E$1137,0))</f>
        <v>0.148148148148148</v>
      </c>
      <c r="H181" s="45" t="n">
        <f aca="false">INDEX(Background!$D$12:$D$27,MATCH(C181&amp;D181,Background!$E$12:$E$27,0))</f>
        <v>0.220480320213476</v>
      </c>
      <c r="I181" s="49" t="n">
        <f aca="false">LN(G181/H181)</f>
        <v>-0.397595666073582</v>
      </c>
    </row>
    <row r="182" customFormat="false" ht="15" hidden="false" customHeight="true" outlineLevel="0" collapsed="false">
      <c r="A182" s="38" t="s">
        <v>41</v>
      </c>
      <c r="B182" s="38" t="n">
        <v>39</v>
      </c>
      <c r="C182" s="38" t="s">
        <v>171</v>
      </c>
      <c r="D182" s="38" t="s">
        <v>171</v>
      </c>
      <c r="E182" s="38" t="s">
        <v>875</v>
      </c>
      <c r="F182" s="38" t="str">
        <f aca="false">B182&amp;"|"&amp;C182&amp;"|"&amp;D182</f>
        <v>39|U|U</v>
      </c>
      <c r="G182" s="45" t="n">
        <f aca="false">INDEX('Transition Stepwise'!$J$2:$J$1137,MATCH(F182,'Transition Stepwise'!$E$2:$E$1137,0))</f>
        <v>0.0317460317460317</v>
      </c>
      <c r="H182" s="45" t="n">
        <f aca="false">INDEX(Background!$D$12:$D$27,MATCH(C182&amp;D182,Background!$E$12:$E$27,0))</f>
        <v>0.220480320213476</v>
      </c>
      <c r="I182" s="49" t="n">
        <f aca="false">LN(G182/H182)</f>
        <v>-1.93804070702073</v>
      </c>
    </row>
    <row r="183" customFormat="false" ht="15" hidden="false" customHeight="true" outlineLevel="0" collapsed="false">
      <c r="A183" s="38" t="s">
        <v>41</v>
      </c>
      <c r="B183" s="38" t="n">
        <v>40</v>
      </c>
      <c r="C183" s="38" t="s">
        <v>171</v>
      </c>
      <c r="D183" s="38" t="s">
        <v>171</v>
      </c>
      <c r="E183" s="38" t="s">
        <v>875</v>
      </c>
      <c r="F183" s="38" t="str">
        <f aca="false">B183&amp;"|"&amp;C183&amp;"|"&amp;D183</f>
        <v>40|U|U</v>
      </c>
      <c r="G183" s="45" t="n">
        <f aca="false">INDEX('Transition Stepwise'!$J$2:$J$1137,MATCH(F183,'Transition Stepwise'!$E$2:$E$1137,0))</f>
        <v>0.0833333333333333</v>
      </c>
      <c r="H183" s="45" t="n">
        <f aca="false">INDEX(Background!$D$12:$D$27,MATCH(C183&amp;D183,Background!$E$12:$E$27,0))</f>
        <v>0.220480320213476</v>
      </c>
      <c r="I183" s="49" t="n">
        <f aca="false">LN(G183/H183)</f>
        <v>-0.972959810977144</v>
      </c>
    </row>
    <row r="184" customFormat="false" ht="15" hidden="false" customHeight="true" outlineLevel="0" collapsed="false">
      <c r="A184" s="38" t="s">
        <v>41</v>
      </c>
      <c r="B184" s="38" t="n">
        <v>41</v>
      </c>
      <c r="C184" s="38" t="s">
        <v>171</v>
      </c>
      <c r="D184" s="38" t="s">
        <v>170</v>
      </c>
      <c r="E184" s="38" t="s">
        <v>875</v>
      </c>
      <c r="F184" s="38" t="str">
        <f aca="false">B184&amp;"|"&amp;C184&amp;"|"&amp;D184</f>
        <v>41|U|C</v>
      </c>
      <c r="G184" s="45" t="n">
        <f aca="false">INDEX('Transition Stepwise'!$J$2:$J$1137,MATCH(F184,'Transition Stepwise'!$E$2:$E$1137,0))</f>
        <v>0.162162162162162</v>
      </c>
      <c r="H184" s="45" t="n">
        <f aca="false">INDEX(Background!$D$12:$D$27,MATCH(C184&amp;D184,Background!$E$12:$E$27,0))</f>
        <v>0.377251501000667</v>
      </c>
      <c r="I184" s="49" t="n">
        <f aca="false">LN(G184/H184)</f>
        <v>-0.844315240869747</v>
      </c>
    </row>
    <row r="185" customFormat="false" ht="15" hidden="false" customHeight="true" outlineLevel="0" collapsed="false">
      <c r="A185" s="38" t="s">
        <v>41</v>
      </c>
      <c r="B185" s="38" t="n">
        <v>42</v>
      </c>
      <c r="C185" s="38" t="s">
        <v>170</v>
      </c>
      <c r="D185" s="38" t="s">
        <v>172</v>
      </c>
      <c r="E185" s="38" t="s">
        <v>875</v>
      </c>
      <c r="F185" s="38" t="str">
        <f aca="false">B185&amp;"|"&amp;C185&amp;"|"&amp;D185</f>
        <v>42|C|A</v>
      </c>
      <c r="G185" s="45" t="n">
        <f aca="false">INDEX('Transition Stepwise'!$J$2:$J$1137,MATCH(F185,'Transition Stepwise'!$E$2:$E$1137,0))</f>
        <v>0.25</v>
      </c>
      <c r="H185" s="45" t="n">
        <f aca="false">INDEX(Background!$D$12:$D$27,MATCH(C185&amp;D185,Background!$E$12:$E$27,0))</f>
        <v>0.194883966244726</v>
      </c>
      <c r="I185" s="49" t="n">
        <f aca="false">LN(G185/H185)</f>
        <v>0.24905658130682</v>
      </c>
    </row>
    <row r="186" customFormat="false" ht="15" hidden="false" customHeight="true" outlineLevel="0" collapsed="false">
      <c r="A186" s="38" t="s">
        <v>41</v>
      </c>
      <c r="B186" s="38" t="n">
        <v>43</v>
      </c>
      <c r="C186" s="38" t="s">
        <v>172</v>
      </c>
      <c r="D186" s="38" t="s">
        <v>172</v>
      </c>
      <c r="E186" s="38" t="s">
        <v>875</v>
      </c>
      <c r="F186" s="38" t="str">
        <f aca="false">B186&amp;"|"&amp;C186&amp;"|"&amp;D186</f>
        <v>43|A|A</v>
      </c>
      <c r="G186" s="45" t="n">
        <f aca="false">INDEX('Transition Stepwise'!$J$2:$J$1137,MATCH(F186,'Transition Stepwise'!$E$2:$E$1137,0))</f>
        <v>0.469387755102041</v>
      </c>
      <c r="H186" s="45" t="n">
        <f aca="false">INDEX(Background!$D$12:$D$27,MATCH(C186&amp;D186,Background!$E$12:$E$27,0))</f>
        <v>0.219568567026194</v>
      </c>
      <c r="I186" s="49" t="n">
        <f aca="false">LN(G186/H186)</f>
        <v>0.759764634813908</v>
      </c>
    </row>
    <row r="187" customFormat="false" ht="15" hidden="false" customHeight="true" outlineLevel="0" collapsed="false">
      <c r="A187" s="38" t="s">
        <v>41</v>
      </c>
      <c r="B187" s="38" t="n">
        <v>44</v>
      </c>
      <c r="C187" s="38" t="s">
        <v>172</v>
      </c>
      <c r="D187" s="38" t="s">
        <v>171</v>
      </c>
      <c r="E187" s="38" t="s">
        <v>875</v>
      </c>
      <c r="F187" s="38" t="str">
        <f aca="false">B187&amp;"|"&amp;C187&amp;"|"&amp;D187</f>
        <v>44|A|U</v>
      </c>
      <c r="G187" s="45" t="n">
        <f aca="false">INDEX('Transition Stepwise'!$J$2:$J$1137,MATCH(F187,'Transition Stepwise'!$E$2:$E$1137,0))</f>
        <v>0.0980392156862745</v>
      </c>
      <c r="H187" s="45" t="n">
        <f aca="false">INDEX(Background!$D$12:$D$27,MATCH(C187&amp;D187,Background!$E$12:$E$27,0))</f>
        <v>0.194530046224961</v>
      </c>
      <c r="I187" s="49" t="n">
        <f aca="false">LN(G187/H187)</f>
        <v>-0.685219071741605</v>
      </c>
    </row>
    <row r="188" customFormat="false" ht="15" hidden="false" customHeight="true" outlineLevel="0" collapsed="false">
      <c r="A188" s="38" t="s">
        <v>41</v>
      </c>
      <c r="B188" s="38" t="n">
        <v>45</v>
      </c>
      <c r="C188" s="38" t="s">
        <v>171</v>
      </c>
      <c r="D188" s="38" t="s">
        <v>172</v>
      </c>
      <c r="E188" s="38" t="s">
        <v>875</v>
      </c>
      <c r="F188" s="38" t="str">
        <f aca="false">B188&amp;"|"&amp;C188&amp;"|"&amp;D188</f>
        <v>45|U|A</v>
      </c>
      <c r="G188" s="45" t="n">
        <f aca="false">INDEX('Transition Stepwise'!$J$2:$J$1137,MATCH(F188,'Transition Stepwise'!$E$2:$E$1137,0))</f>
        <v>0.08</v>
      </c>
      <c r="H188" s="45" t="n">
        <f aca="false">INDEX(Background!$D$12:$D$27,MATCH(C188&amp;D188,Background!$E$12:$E$27,0))</f>
        <v>0.180787191460974</v>
      </c>
      <c r="I188" s="49" t="n">
        <f aca="false">LN(G188/H188)</f>
        <v>-0.815293967085359</v>
      </c>
    </row>
    <row r="189" customFormat="false" ht="15" hidden="false" customHeight="true" outlineLevel="0" collapsed="false">
      <c r="A189" s="38" t="s">
        <v>41</v>
      </c>
      <c r="B189" s="38" t="n">
        <v>46</v>
      </c>
      <c r="C189" s="38" t="s">
        <v>172</v>
      </c>
      <c r="D189" s="38" t="s">
        <v>171</v>
      </c>
      <c r="E189" s="38" t="s">
        <v>875</v>
      </c>
      <c r="F189" s="38" t="str">
        <f aca="false">B189&amp;"|"&amp;C189&amp;"|"&amp;D189</f>
        <v>46|A|U</v>
      </c>
      <c r="G189" s="45" t="n">
        <f aca="false">INDEX('Transition Stepwise'!$J$2:$J$1137,MATCH(F189,'Transition Stepwise'!$E$2:$E$1137,0))</f>
        <v>0.65</v>
      </c>
      <c r="H189" s="45" t="n">
        <f aca="false">INDEX(Background!$D$12:$D$27,MATCH(C189&amp;D189,Background!$E$12:$E$27,0))</f>
        <v>0.194530046224961</v>
      </c>
      <c r="I189" s="49" t="n">
        <f aca="false">LN(G189/H189)</f>
        <v>1.20638573245617</v>
      </c>
    </row>
    <row r="190" customFormat="false" ht="15" hidden="false" customHeight="true" outlineLevel="0" collapsed="false">
      <c r="A190" s="38" t="s">
        <v>41</v>
      </c>
      <c r="B190" s="38" t="n">
        <v>47</v>
      </c>
      <c r="C190" s="38" t="s">
        <v>171</v>
      </c>
      <c r="D190" s="38" t="s">
        <v>171</v>
      </c>
      <c r="E190" s="38" t="s">
        <v>875</v>
      </c>
      <c r="F190" s="38" t="str">
        <f aca="false">B190&amp;"|"&amp;C190&amp;"|"&amp;D190</f>
        <v>47|U|U</v>
      </c>
      <c r="G190" s="45" t="n">
        <f aca="false">INDEX('Transition Stepwise'!$J$2:$J$1137,MATCH(F190,'Transition Stepwise'!$E$2:$E$1137,0))</f>
        <v>0.123188405797101</v>
      </c>
      <c r="H190" s="45" t="n">
        <f aca="false">INDEX(Background!$D$12:$D$27,MATCH(C190&amp;D190,Background!$E$12:$E$27,0))</f>
        <v>0.220480320213476</v>
      </c>
      <c r="I190" s="49" t="n">
        <f aca="false">LN(G190/H190)</f>
        <v>-0.582093502290132</v>
      </c>
    </row>
    <row r="191" customFormat="false" ht="15" hidden="false" customHeight="true" outlineLevel="0" collapsed="false">
      <c r="A191" s="38" t="s">
        <v>41</v>
      </c>
      <c r="B191" s="38" t="n">
        <v>48</v>
      </c>
      <c r="C191" s="38" t="s">
        <v>171</v>
      </c>
      <c r="D191" s="38" t="s">
        <v>169</v>
      </c>
      <c r="E191" s="38" t="s">
        <v>875</v>
      </c>
      <c r="F191" s="38" t="str">
        <f aca="false">B191&amp;"|"&amp;C191&amp;"|"&amp;D191</f>
        <v>48|U|G</v>
      </c>
      <c r="G191" s="45" t="n">
        <f aca="false">INDEX('Transition Stepwise'!$J$2:$J$1137,MATCH(F191,'Transition Stepwise'!$E$2:$E$1137,0))</f>
        <v>0.515151515151515</v>
      </c>
      <c r="H191" s="45" t="n">
        <f aca="false">INDEX(Background!$D$12:$D$27,MATCH(C191&amp;D191,Background!$E$12:$E$27,0))</f>
        <v>0.221480987324883</v>
      </c>
      <c r="I191" s="49" t="n">
        <f aca="false">LN(G191/H191)</f>
        <v>0.844124311775845</v>
      </c>
    </row>
    <row r="192" customFormat="false" ht="15" hidden="false" customHeight="true" outlineLevel="0" collapsed="false">
      <c r="A192" s="38" t="s">
        <v>41</v>
      </c>
      <c r="B192" s="38" t="n">
        <v>49</v>
      </c>
      <c r="C192" s="38" t="s">
        <v>169</v>
      </c>
      <c r="D192" s="38" t="s">
        <v>170</v>
      </c>
      <c r="E192" s="38" t="s">
        <v>875</v>
      </c>
      <c r="F192" s="38" t="str">
        <f aca="false">B192&amp;"|"&amp;C192&amp;"|"&amp;D192</f>
        <v>49|G|C</v>
      </c>
      <c r="G192" s="45" t="n">
        <f aca="false">INDEX('Transition Stepwise'!$J$2:$J$1137,MATCH(F192,'Transition Stepwise'!$E$2:$E$1137,0))</f>
        <v>0.326923076923077</v>
      </c>
      <c r="H192" s="45" t="n">
        <f aca="false">INDEX(Background!$D$12:$D$27,MATCH(C192&amp;D192,Background!$E$12:$E$27,0))</f>
        <v>0.256105610561056</v>
      </c>
      <c r="I192" s="49" t="n">
        <f aca="false">LN(G192/H192)</f>
        <v>0.244135003794985</v>
      </c>
    </row>
    <row r="193" customFormat="false" ht="15" hidden="false" customHeight="true" outlineLevel="0" collapsed="false">
      <c r="A193" s="38" t="s">
        <v>41</v>
      </c>
      <c r="B193" s="38" t="n">
        <v>50</v>
      </c>
      <c r="C193" s="38" t="s">
        <v>170</v>
      </c>
      <c r="D193" s="38" t="s">
        <v>170</v>
      </c>
      <c r="E193" s="38" t="s">
        <v>875</v>
      </c>
      <c r="F193" s="38" t="str">
        <f aca="false">B193&amp;"|"&amp;C193&amp;"|"&amp;D193</f>
        <v>50|C|C</v>
      </c>
      <c r="G193" s="45" t="n">
        <f aca="false">INDEX('Transition Stepwise'!$J$2:$J$1137,MATCH(F193,'Transition Stepwise'!$E$2:$E$1137,0))</f>
        <v>0.208791208791209</v>
      </c>
      <c r="H193" s="45" t="n">
        <f aca="false">INDEX(Background!$D$12:$D$27,MATCH(C193&amp;D193,Background!$E$12:$E$27,0))</f>
        <v>0.312236286919831</v>
      </c>
      <c r="I193" s="49" t="n">
        <f aca="false">LN(G193/H193)</f>
        <v>-0.402425479419448</v>
      </c>
    </row>
    <row r="194" customFormat="false" ht="15" hidden="false" customHeight="true" outlineLevel="0" collapsed="false">
      <c r="A194" s="38" t="s">
        <v>41</v>
      </c>
      <c r="B194" s="38" t="n">
        <v>51</v>
      </c>
      <c r="C194" s="38" t="s">
        <v>170</v>
      </c>
      <c r="D194" s="38" t="s">
        <v>171</v>
      </c>
      <c r="E194" s="38" t="s">
        <v>875</v>
      </c>
      <c r="F194" s="38" t="str">
        <f aca="false">B194&amp;"|"&amp;C194&amp;"|"&amp;D194</f>
        <v>51|C|U</v>
      </c>
      <c r="G194" s="45" t="n">
        <f aca="false">INDEX('Transition Stepwise'!$J$2:$J$1137,MATCH(F194,'Transition Stepwise'!$E$2:$E$1137,0))</f>
        <v>0.0222222222222222</v>
      </c>
      <c r="H194" s="45" t="n">
        <f aca="false">INDEX(Background!$D$12:$D$27,MATCH(C194&amp;D194,Background!$E$12:$E$27,0))</f>
        <v>0.196466244725738</v>
      </c>
      <c r="I194" s="49" t="n">
        <f aca="false">LN(G194/H194)</f>
        <v>-2.17939784477497</v>
      </c>
    </row>
    <row r="195" customFormat="false" ht="15" hidden="false" customHeight="true" outlineLevel="0" collapsed="false">
      <c r="A195" s="38" t="s">
        <v>41</v>
      </c>
      <c r="B195" s="38" t="n">
        <v>52</v>
      </c>
      <c r="C195" s="38" t="s">
        <v>171</v>
      </c>
      <c r="D195" s="38" t="s">
        <v>169</v>
      </c>
      <c r="E195" s="38" t="s">
        <v>875</v>
      </c>
      <c r="F195" s="38" t="str">
        <f aca="false">B195&amp;"|"&amp;C195&amp;"|"&amp;D195</f>
        <v>52|U|G</v>
      </c>
      <c r="G195" s="45" t="n">
        <f aca="false">INDEX('Transition Stepwise'!$J$2:$J$1137,MATCH(F195,'Transition Stepwise'!$E$2:$E$1137,0))</f>
        <v>0.5</v>
      </c>
      <c r="H195" s="45" t="n">
        <f aca="false">INDEX(Background!$D$12:$D$27,MATCH(C195&amp;D195,Background!$E$12:$E$27,0))</f>
        <v>0.221480987324883</v>
      </c>
      <c r="I195" s="49" t="n">
        <f aca="false">LN(G195/H195)</f>
        <v>0.814271348626164</v>
      </c>
    </row>
    <row r="196" customFormat="false" ht="15" hidden="false" customHeight="true" outlineLevel="0" collapsed="false">
      <c r="A196" s="38" t="s">
        <v>41</v>
      </c>
      <c r="B196" s="38" t="n">
        <v>53</v>
      </c>
      <c r="C196" s="38" t="s">
        <v>169</v>
      </c>
      <c r="D196" s="38" t="s">
        <v>172</v>
      </c>
      <c r="E196" s="38" t="s">
        <v>875</v>
      </c>
      <c r="F196" s="38" t="str">
        <f aca="false">B196&amp;"|"&amp;C196&amp;"|"&amp;D196</f>
        <v>53|G|A</v>
      </c>
      <c r="G196" s="45" t="n">
        <f aca="false">INDEX('Transition Stepwise'!$J$2:$J$1137,MATCH(F196,'Transition Stepwise'!$E$2:$E$1137,0))</f>
        <v>0.0150753768844221</v>
      </c>
      <c r="H196" s="45" t="n">
        <f aca="false">INDEX(Background!$D$12:$D$27,MATCH(C196&amp;D196,Background!$E$12:$E$27,0))</f>
        <v>0.164356435643564</v>
      </c>
      <c r="I196" s="49" t="n">
        <f aca="false">LN(G196/H196)</f>
        <v>-2.38897471457762</v>
      </c>
    </row>
    <row r="197" customFormat="false" ht="15" hidden="false" customHeight="true" outlineLevel="0" collapsed="false">
      <c r="A197" s="38" t="s">
        <v>41</v>
      </c>
      <c r="B197" s="38" t="n">
        <v>54</v>
      </c>
      <c r="C197" s="38" t="s">
        <v>172</v>
      </c>
      <c r="D197" s="38" t="s">
        <v>171</v>
      </c>
      <c r="E197" s="38" t="s">
        <v>875</v>
      </c>
      <c r="F197" s="38" t="str">
        <f aca="false">B197&amp;"|"&amp;C197&amp;"|"&amp;D197</f>
        <v>54|A|U</v>
      </c>
      <c r="G197" s="45" t="n">
        <f aca="false">INDEX('Transition Stepwise'!$J$2:$J$1137,MATCH(F197,'Transition Stepwise'!$E$2:$E$1137,0))</f>
        <v>0.5</v>
      </c>
      <c r="H197" s="45" t="n">
        <f aca="false">INDEX(Background!$D$12:$D$27,MATCH(C197&amp;D197,Background!$E$12:$E$27,0))</f>
        <v>0.194530046224961</v>
      </c>
      <c r="I197" s="49" t="n">
        <f aca="false">LN(G197/H197)</f>
        <v>0.944021467988676</v>
      </c>
    </row>
    <row r="198" customFormat="false" ht="15" hidden="false" customHeight="true" outlineLevel="0" collapsed="false">
      <c r="A198" s="38" t="s">
        <v>41</v>
      </c>
      <c r="B198" s="38" t="n">
        <v>55</v>
      </c>
      <c r="C198" s="38" t="s">
        <v>171</v>
      </c>
      <c r="D198" s="38" t="s">
        <v>170</v>
      </c>
      <c r="E198" s="38" t="s">
        <v>875</v>
      </c>
      <c r="F198" s="38" t="str">
        <f aca="false">B198&amp;"|"&amp;C198&amp;"|"&amp;D198</f>
        <v>55|U|C</v>
      </c>
      <c r="G198" s="45" t="n">
        <f aca="false">INDEX('Transition Stepwise'!$J$2:$J$1137,MATCH(F198,'Transition Stepwise'!$E$2:$E$1137,0))</f>
        <v>0.975</v>
      </c>
      <c r="H198" s="45" t="n">
        <f aca="false">INDEX(Background!$D$12:$D$27,MATCH(C198&amp;D198,Background!$E$12:$E$27,0))</f>
        <v>0.377251501000667</v>
      </c>
      <c r="I198" s="49" t="n">
        <f aca="false">LN(G198/H198)</f>
        <v>0.949525394562133</v>
      </c>
    </row>
    <row r="199" customFormat="false" ht="15" hidden="false" customHeight="true" outlineLevel="0" collapsed="false">
      <c r="A199" s="38" t="s">
        <v>41</v>
      </c>
      <c r="B199" s="38" t="n">
        <v>56</v>
      </c>
      <c r="C199" s="38" t="s">
        <v>170</v>
      </c>
      <c r="D199" s="38" t="s">
        <v>170</v>
      </c>
      <c r="E199" s="38" t="s">
        <v>875</v>
      </c>
      <c r="F199" s="38" t="str">
        <f aca="false">B199&amp;"|"&amp;C199&amp;"|"&amp;D199</f>
        <v>56|C|C</v>
      </c>
      <c r="G199" s="45" t="n">
        <f aca="false">INDEX('Transition Stepwise'!$J$2:$J$1137,MATCH(F199,'Transition Stepwise'!$E$2:$E$1137,0))</f>
        <v>0.0050251256281407</v>
      </c>
      <c r="H199" s="45" t="n">
        <f aca="false">INDEX(Background!$D$12:$D$27,MATCH(C199&amp;D199,Background!$E$12:$E$27,0))</f>
        <v>0.312236286919831</v>
      </c>
      <c r="I199" s="49" t="n">
        <f aca="false">LN(G199/H199)</f>
        <v>-4.12930977679353</v>
      </c>
    </row>
    <row r="200" customFormat="false" ht="15" hidden="false" customHeight="true" outlineLevel="0" collapsed="false">
      <c r="A200" s="38" t="s">
        <v>41</v>
      </c>
      <c r="B200" s="38" t="n">
        <v>57</v>
      </c>
      <c r="C200" s="38" t="s">
        <v>170</v>
      </c>
      <c r="D200" s="38" t="s">
        <v>171</v>
      </c>
      <c r="E200" s="38" t="s">
        <v>875</v>
      </c>
      <c r="F200" s="38" t="str">
        <f aca="false">B200&amp;"|"&amp;C200&amp;"|"&amp;D200</f>
        <v>57|C|U</v>
      </c>
      <c r="G200" s="45" t="n">
        <f aca="false">INDEX('Transition Stepwise'!$J$2:$J$1137,MATCH(F200,'Transition Stepwise'!$E$2:$E$1137,0))</f>
        <v>0.25</v>
      </c>
      <c r="H200" s="45" t="n">
        <f aca="false">INDEX(Background!$D$12:$D$27,MATCH(C200&amp;D200,Background!$E$12:$E$27,0))</f>
        <v>0.196466244725738</v>
      </c>
      <c r="I200" s="49" t="n">
        <f aca="false">LN(G200/H200)</f>
        <v>0.240970283875462</v>
      </c>
    </row>
    <row r="201" customFormat="false" ht="15" hidden="false" customHeight="true" outlineLevel="0" collapsed="false">
      <c r="A201" s="38" t="s">
        <v>41</v>
      </c>
      <c r="B201" s="38" t="n">
        <v>58</v>
      </c>
      <c r="C201" s="38" t="s">
        <v>171</v>
      </c>
      <c r="D201" s="38" t="s">
        <v>170</v>
      </c>
      <c r="E201" s="38" t="s">
        <v>875</v>
      </c>
      <c r="F201" s="38" t="str">
        <f aca="false">B201&amp;"|"&amp;C201&amp;"|"&amp;D201</f>
        <v>58|U|C</v>
      </c>
      <c r="G201" s="45" t="n">
        <f aca="false">INDEX('Transition Stepwise'!$J$2:$J$1137,MATCH(F201,'Transition Stepwise'!$E$2:$E$1137,0))</f>
        <v>0.4</v>
      </c>
      <c r="H201" s="45" t="n">
        <f aca="false">INDEX(Background!$D$12:$D$27,MATCH(C201&amp;D201,Background!$E$12:$E$27,0))</f>
        <v>0.377251501000667</v>
      </c>
      <c r="I201" s="49" t="n">
        <f aca="false">LN(G201/H201)</f>
        <v>0.0585524706722676</v>
      </c>
    </row>
    <row r="202" customFormat="false" ht="15" hidden="false" customHeight="true" outlineLevel="0" collapsed="false">
      <c r="A202" s="38" t="s">
        <v>41</v>
      </c>
      <c r="B202" s="38" t="n">
        <v>59</v>
      </c>
      <c r="C202" s="38" t="s">
        <v>170</v>
      </c>
      <c r="D202" s="38" t="s">
        <v>171</v>
      </c>
      <c r="E202" s="38" t="s">
        <v>875</v>
      </c>
      <c r="F202" s="38" t="str">
        <f aca="false">B202&amp;"|"&amp;C202&amp;"|"&amp;D202</f>
        <v>59|C|U</v>
      </c>
      <c r="G202" s="45" t="n">
        <f aca="false">INDEX('Transition Stepwise'!$J$2:$J$1137,MATCH(F202,'Transition Stepwise'!$E$2:$E$1137,0))</f>
        <v>0.5625</v>
      </c>
      <c r="H202" s="45" t="n">
        <f aca="false">INDEX(Background!$D$12:$D$27,MATCH(C202&amp;D202,Background!$E$12:$E$27,0))</f>
        <v>0.196466244725738</v>
      </c>
      <c r="I202" s="49" t="n">
        <f aca="false">LN(G202/H202)</f>
        <v>1.05190050009179</v>
      </c>
    </row>
    <row r="203" customFormat="false" ht="15" hidden="false" customHeight="true" outlineLevel="0" collapsed="false">
      <c r="A203" s="38" t="s">
        <v>41</v>
      </c>
      <c r="B203" s="38" t="n">
        <v>60</v>
      </c>
      <c r="C203" s="38" t="s">
        <v>171</v>
      </c>
      <c r="D203" s="38" t="s">
        <v>170</v>
      </c>
      <c r="E203" s="38" t="s">
        <v>875</v>
      </c>
      <c r="F203" s="38" t="str">
        <f aca="false">B203&amp;"|"&amp;C203&amp;"|"&amp;D203</f>
        <v>60|U|C</v>
      </c>
      <c r="G203" s="45" t="n">
        <f aca="false">INDEX('Transition Stepwise'!$J$2:$J$1137,MATCH(F203,'Transition Stepwise'!$E$2:$E$1137,0))</f>
        <v>0.975</v>
      </c>
      <c r="H203" s="45" t="n">
        <f aca="false">INDEX(Background!$D$12:$D$27,MATCH(C203&amp;D203,Background!$E$12:$E$27,0))</f>
        <v>0.377251501000667</v>
      </c>
      <c r="I203" s="49" t="n">
        <f aca="false">LN(G203/H203)</f>
        <v>0.949525394562133</v>
      </c>
    </row>
    <row r="204" customFormat="false" ht="15" hidden="false" customHeight="true" outlineLevel="0" collapsed="false">
      <c r="A204" s="38" t="s">
        <v>41</v>
      </c>
      <c r="B204" s="38" t="n">
        <v>61</v>
      </c>
      <c r="C204" s="38" t="s">
        <v>170</v>
      </c>
      <c r="D204" s="38" t="s">
        <v>172</v>
      </c>
      <c r="E204" s="38" t="s">
        <v>875</v>
      </c>
      <c r="F204" s="38" t="str">
        <f aca="false">B204&amp;"|"&amp;C204&amp;"|"&amp;D204</f>
        <v>61|C|A</v>
      </c>
      <c r="G204" s="45" t="n">
        <f aca="false">INDEX('Transition Stepwise'!$J$2:$J$1137,MATCH(F204,'Transition Stepwise'!$E$2:$E$1137,0))</f>
        <v>0.0199004975124378</v>
      </c>
      <c r="H204" s="45" t="n">
        <f aca="false">INDEX(Background!$D$12:$D$27,MATCH(C204&amp;D204,Background!$E$12:$E$27,0))</f>
        <v>0.194883966244726</v>
      </c>
      <c r="I204" s="49" t="n">
        <f aca="false">LN(G204/H204)</f>
        <v>-2.28165960451247</v>
      </c>
    </row>
    <row r="205" customFormat="false" ht="15" hidden="false" customHeight="true" outlineLevel="0" collapsed="false">
      <c r="A205" s="38" t="s">
        <v>41</v>
      </c>
      <c r="B205" s="38" t="n">
        <v>62</v>
      </c>
      <c r="C205" s="38" t="s">
        <v>172</v>
      </c>
      <c r="D205" s="38" t="s">
        <v>169</v>
      </c>
      <c r="E205" s="38" t="s">
        <v>875</v>
      </c>
      <c r="F205" s="38" t="str">
        <f aca="false">B205&amp;"|"&amp;C205&amp;"|"&amp;D205</f>
        <v>62|A|G</v>
      </c>
      <c r="G205" s="45" t="n">
        <f aca="false">INDEX('Transition Stepwise'!$J$2:$J$1137,MATCH(F205,'Transition Stepwise'!$E$2:$E$1137,0))</f>
        <v>0.142857142857143</v>
      </c>
      <c r="H205" s="45" t="n">
        <f aca="false">INDEX(Background!$D$12:$D$27,MATCH(C205&amp;D205,Background!$E$12:$E$27,0))</f>
        <v>0.424884437596302</v>
      </c>
      <c r="I205" s="49" t="n">
        <f aca="false">LN(G205/H205)</f>
        <v>-1.08997209048484</v>
      </c>
    </row>
    <row r="206" customFormat="false" ht="15" hidden="false" customHeight="true" outlineLevel="0" collapsed="false">
      <c r="A206" s="38" t="s">
        <v>41</v>
      </c>
      <c r="B206" s="38" t="n">
        <v>63</v>
      </c>
      <c r="C206" s="38" t="s">
        <v>169</v>
      </c>
      <c r="D206" s="38" t="s">
        <v>169</v>
      </c>
      <c r="E206" s="38" t="s">
        <v>875</v>
      </c>
      <c r="F206" s="38" t="str">
        <f aca="false">B206&amp;"|"&amp;C206&amp;"|"&amp;D206</f>
        <v>63|G|G</v>
      </c>
      <c r="G206" s="45" t="n">
        <f aca="false">INDEX('Transition Stepwise'!$J$2:$J$1137,MATCH(F206,'Transition Stepwise'!$E$2:$E$1137,0))</f>
        <v>0.519230769230769</v>
      </c>
      <c r="H206" s="45" t="n">
        <f aca="false">INDEX(Background!$D$12:$D$27,MATCH(C206&amp;D206,Background!$E$12:$E$27,0))</f>
        <v>0.344774477447745</v>
      </c>
      <c r="I206" s="49" t="n">
        <f aca="false">LN(G206/H206)</f>
        <v>0.40945791167846</v>
      </c>
    </row>
    <row r="207" customFormat="false" ht="15" hidden="false" customHeight="true" outlineLevel="0" collapsed="false">
      <c r="A207" s="38" t="s">
        <v>41</v>
      </c>
      <c r="B207" s="38" t="n">
        <v>64</v>
      </c>
      <c r="C207" s="38" t="s">
        <v>169</v>
      </c>
      <c r="D207" s="38" t="s">
        <v>171</v>
      </c>
      <c r="E207" s="38" t="s">
        <v>875</v>
      </c>
      <c r="F207" s="38" t="str">
        <f aca="false">B207&amp;"|"&amp;C207&amp;"|"&amp;D207</f>
        <v>64|G|U</v>
      </c>
      <c r="G207" s="45" t="n">
        <f aca="false">INDEX('Transition Stepwise'!$J$2:$J$1137,MATCH(F207,'Transition Stepwise'!$E$2:$E$1137,0))</f>
        <v>0.333333333333333</v>
      </c>
      <c r="H207" s="45" t="n">
        <f aca="false">INDEX(Background!$D$12:$D$27,MATCH(C207&amp;D207,Background!$E$12:$E$27,0))</f>
        <v>0.234763476347635</v>
      </c>
      <c r="I207" s="49" t="n">
        <f aca="false">LN(G207/H207)</f>
        <v>0.350564466641716</v>
      </c>
    </row>
    <row r="208" customFormat="false" ht="15" hidden="false" customHeight="true" outlineLevel="0" collapsed="false">
      <c r="A208" s="38" t="s">
        <v>41</v>
      </c>
      <c r="B208" s="38" t="n">
        <v>65</v>
      </c>
      <c r="C208" s="38" t="s">
        <v>171</v>
      </c>
      <c r="D208" s="38" t="s">
        <v>169</v>
      </c>
      <c r="E208" s="38" t="s">
        <v>875</v>
      </c>
      <c r="F208" s="38" t="str">
        <f aca="false">B208&amp;"|"&amp;C208&amp;"|"&amp;D208</f>
        <v>65|U|G</v>
      </c>
      <c r="G208" s="45" t="n">
        <f aca="false">INDEX('Transition Stepwise'!$J$2:$J$1137,MATCH(F208,'Transition Stepwise'!$E$2:$E$1137,0))</f>
        <v>0.0136986301369863</v>
      </c>
      <c r="H208" s="45" t="n">
        <f aca="false">INDEX(Background!$D$12:$D$27,MATCH(C208&amp;D208,Background!$E$12:$E$27,0))</f>
        <v>0.221480987324883</v>
      </c>
      <c r="I208" s="49" t="n">
        <f aca="false">LN(G208/H208)</f>
        <v>-2.78304091196228</v>
      </c>
    </row>
    <row r="209" customFormat="false" ht="15" hidden="false" customHeight="true" outlineLevel="0" collapsed="false">
      <c r="A209" s="38" t="s">
        <v>41</v>
      </c>
      <c r="B209" s="38" t="n">
        <v>66</v>
      </c>
      <c r="C209" s="38" t="s">
        <v>169</v>
      </c>
      <c r="D209" s="38" t="s">
        <v>172</v>
      </c>
      <c r="E209" s="38" t="s">
        <v>875</v>
      </c>
      <c r="F209" s="38" t="str">
        <f aca="false">B209&amp;"|"&amp;C209&amp;"|"&amp;D209</f>
        <v>66|G|A</v>
      </c>
      <c r="G209" s="45" t="n">
        <f aca="false">INDEX('Transition Stepwise'!$J$2:$J$1137,MATCH(F209,'Transition Stepwise'!$E$2:$E$1137,0))</f>
        <v>0.166666666666667</v>
      </c>
      <c r="H209" s="45" t="n">
        <f aca="false">INDEX(Background!$D$12:$D$27,MATCH(C209&amp;D209,Background!$E$12:$E$27,0))</f>
        <v>0.164356435643564</v>
      </c>
      <c r="I209" s="49" t="n">
        <f aca="false">LN(G209/H209)</f>
        <v>0.0139583522507069</v>
      </c>
    </row>
    <row r="210" customFormat="false" ht="15" hidden="false" customHeight="true" outlineLevel="0" collapsed="false">
      <c r="A210" s="38" t="s">
        <v>41</v>
      </c>
      <c r="B210" s="38" t="n">
        <v>67</v>
      </c>
      <c r="C210" s="38" t="s">
        <v>172</v>
      </c>
      <c r="D210" s="38" t="s">
        <v>169</v>
      </c>
      <c r="E210" s="38" t="s">
        <v>875</v>
      </c>
      <c r="F210" s="38" t="str">
        <f aca="false">B210&amp;"|"&amp;C210&amp;"|"&amp;D210</f>
        <v>67|A|G</v>
      </c>
      <c r="G210" s="45" t="n">
        <f aca="false">INDEX('Transition Stepwise'!$J$2:$J$1137,MATCH(F210,'Transition Stepwise'!$E$2:$E$1137,0))</f>
        <v>0.311111111111111</v>
      </c>
      <c r="H210" s="45" t="n">
        <f aca="false">INDEX(Background!$D$12:$D$27,MATCH(C210&amp;D210,Background!$E$12:$E$27,0))</f>
        <v>0.424884437596302</v>
      </c>
      <c r="I210" s="49" t="n">
        <f aca="false">LN(G210/H210)</f>
        <v>-0.311667101584583</v>
      </c>
    </row>
    <row r="211" customFormat="false" ht="15" hidden="false" customHeight="true" outlineLevel="0" collapsed="false">
      <c r="A211" s="38" t="s">
        <v>41</v>
      </c>
      <c r="B211" s="38" t="n">
        <v>68</v>
      </c>
      <c r="C211" s="38" t="s">
        <v>169</v>
      </c>
      <c r="D211" s="38" t="s">
        <v>169</v>
      </c>
      <c r="E211" s="38" t="s">
        <v>875</v>
      </c>
      <c r="F211" s="38" t="str">
        <f aca="false">B211&amp;"|"&amp;C211&amp;"|"&amp;D211</f>
        <v>68|G|G</v>
      </c>
      <c r="G211" s="45" t="n">
        <f aca="false">INDEX('Transition Stepwise'!$J$2:$J$1137,MATCH(F211,'Transition Stepwise'!$E$2:$E$1137,0))</f>
        <v>0.54945054945055</v>
      </c>
      <c r="H211" s="45" t="n">
        <f aca="false">INDEX(Background!$D$12:$D$27,MATCH(C211&amp;D211,Background!$E$12:$E$27,0))</f>
        <v>0.344774477447745</v>
      </c>
      <c r="I211" s="49" t="n">
        <f aca="false">LN(G211/H211)</f>
        <v>0.466028263166855</v>
      </c>
    </row>
    <row r="212" customFormat="false" ht="15" hidden="false" customHeight="true" outlineLevel="0" collapsed="false">
      <c r="A212" s="38" t="s">
        <v>41</v>
      </c>
      <c r="B212" s="38" t="n">
        <v>69</v>
      </c>
      <c r="C212" s="38" t="s">
        <v>169</v>
      </c>
      <c r="D212" s="38" t="s">
        <v>169</v>
      </c>
      <c r="E212" s="38" t="s">
        <v>875</v>
      </c>
      <c r="F212" s="38" t="str">
        <f aca="false">B212&amp;"|"&amp;C212&amp;"|"&amp;D212</f>
        <v>69|G|G</v>
      </c>
      <c r="G212" s="45" t="n">
        <f aca="false">INDEX('Transition Stepwise'!$J$2:$J$1137,MATCH(F212,'Transition Stepwise'!$E$2:$E$1137,0))</f>
        <v>0.405405405405405</v>
      </c>
      <c r="H212" s="45" t="n">
        <f aca="false">INDEX(Background!$D$12:$D$27,MATCH(C212&amp;D212,Background!$E$12:$E$27,0))</f>
        <v>0.344774477447745</v>
      </c>
      <c r="I212" s="49" t="n">
        <f aca="false">LN(G212/H212)</f>
        <v>0.161997052713544</v>
      </c>
    </row>
    <row r="213" customFormat="false" ht="15" hidden="false" customHeight="true" outlineLevel="0" collapsed="false">
      <c r="A213" s="38" t="s">
        <v>41</v>
      </c>
      <c r="B213" s="38" t="n">
        <v>70</v>
      </c>
      <c r="C213" s="38" t="s">
        <v>169</v>
      </c>
      <c r="D213" s="38" t="s">
        <v>172</v>
      </c>
      <c r="E213" s="38" t="s">
        <v>875</v>
      </c>
      <c r="F213" s="38" t="str">
        <f aca="false">B213&amp;"|"&amp;C213&amp;"|"&amp;D213</f>
        <v>70|G|A</v>
      </c>
      <c r="G213" s="45" t="n">
        <f aca="false">INDEX('Transition Stepwise'!$J$2:$J$1137,MATCH(F213,'Transition Stepwise'!$E$2:$E$1137,0))</f>
        <v>0.0506329113924051</v>
      </c>
      <c r="H213" s="45" t="n">
        <f aca="false">INDEX(Background!$D$12:$D$27,MATCH(C213&amp;D213,Background!$E$12:$E$27,0))</f>
        <v>0.164356435643564</v>
      </c>
      <c r="I213" s="49" t="n">
        <f aca="false">LN(G213/H213)</f>
        <v>-1.17743566986837</v>
      </c>
    </row>
    <row r="214" customFormat="false" ht="15" hidden="false" customHeight="true" outlineLevel="0" collapsed="false">
      <c r="A214" s="38" t="s">
        <v>41</v>
      </c>
      <c r="B214" s="38" t="n">
        <v>71</v>
      </c>
      <c r="C214" s="38" t="s">
        <v>172</v>
      </c>
      <c r="D214" s="38" t="s">
        <v>169</v>
      </c>
      <c r="E214" s="38" t="s">
        <v>875</v>
      </c>
      <c r="F214" s="38" t="str">
        <f aca="false">B214&amp;"|"&amp;C214&amp;"|"&amp;D214</f>
        <v>71|A|G</v>
      </c>
      <c r="G214" s="45" t="n">
        <f aca="false">INDEX('Transition Stepwise'!$J$2:$J$1137,MATCH(F214,'Transition Stepwise'!$E$2:$E$1137,0))</f>
        <v>0.222222222222222</v>
      </c>
      <c r="H214" s="45" t="n">
        <f aca="false">INDEX(Background!$D$12:$D$27,MATCH(C214&amp;D214,Background!$E$12:$E$27,0))</f>
        <v>0.424884437596302</v>
      </c>
      <c r="I214" s="49" t="n">
        <f aca="false">LN(G214/H214)</f>
        <v>-0.648139338205796</v>
      </c>
    </row>
    <row r="215" customFormat="false" ht="15" hidden="false" customHeight="true" outlineLevel="0" collapsed="false">
      <c r="A215" s="38" t="s">
        <v>23</v>
      </c>
      <c r="B215" s="38" t="n">
        <v>1</v>
      </c>
      <c r="C215" s="38" t="s">
        <v>171</v>
      </c>
      <c r="D215" s="38" t="s">
        <v>170</v>
      </c>
      <c r="E215" s="38" t="s">
        <v>875</v>
      </c>
      <c r="F215" s="38" t="str">
        <f aca="false">B215&amp;"|"&amp;C215&amp;"|"&amp;D215</f>
        <v>1|U|C</v>
      </c>
      <c r="G215" s="45" t="n">
        <f aca="false">INDEX('Transition Stepwise'!$J$2:$J$1137,MATCH(F215,'Transition Stepwise'!$E$2:$E$1137,0))</f>
        <v>0.588235294117647</v>
      </c>
      <c r="H215" s="45" t="n">
        <f aca="false">INDEX(Background!$D$12:$D$27,MATCH(C215&amp;D215,Background!$E$12:$E$27,0))</f>
        <v>0.377251501000667</v>
      </c>
      <c r="I215" s="49" t="n">
        <f aca="false">LN(G215/H215)</f>
        <v>0.444214951484252</v>
      </c>
    </row>
    <row r="216" customFormat="false" ht="15" hidden="false" customHeight="true" outlineLevel="0" collapsed="false">
      <c r="A216" s="38" t="s">
        <v>23</v>
      </c>
      <c r="B216" s="38" t="n">
        <v>2</v>
      </c>
      <c r="C216" s="38" t="s">
        <v>170</v>
      </c>
      <c r="D216" s="38" t="s">
        <v>172</v>
      </c>
      <c r="E216" s="38" t="s">
        <v>875</v>
      </c>
      <c r="F216" s="38" t="str">
        <f aca="false">B216&amp;"|"&amp;C216&amp;"|"&amp;D216</f>
        <v>2|C|A</v>
      </c>
      <c r="G216" s="45" t="n">
        <f aca="false">INDEX('Transition Stepwise'!$J$2:$J$1137,MATCH(F216,'Transition Stepwise'!$E$2:$E$1137,0))</f>
        <v>0.0348837209302326</v>
      </c>
      <c r="H216" s="45" t="n">
        <f aca="false">INDEX(Background!$D$12:$D$27,MATCH(C216&amp;D216,Background!$E$12:$E$27,0))</f>
        <v>0.194883966244726</v>
      </c>
      <c r="I216" s="49" t="n">
        <f aca="false">LN(G216/H216)</f>
        <v>-1.72038406515869</v>
      </c>
    </row>
    <row r="217" customFormat="false" ht="15" hidden="false" customHeight="true" outlineLevel="0" collapsed="false">
      <c r="A217" s="38" t="s">
        <v>23</v>
      </c>
      <c r="B217" s="38" t="n">
        <v>3</v>
      </c>
      <c r="C217" s="38" t="s">
        <v>172</v>
      </c>
      <c r="D217" s="38" t="s">
        <v>172</v>
      </c>
      <c r="E217" s="38" t="s">
        <v>875</v>
      </c>
      <c r="F217" s="38" t="str">
        <f aca="false">B217&amp;"|"&amp;C217&amp;"|"&amp;D217</f>
        <v>3|A|A</v>
      </c>
      <c r="G217" s="45" t="n">
        <f aca="false">INDEX('Transition Stepwise'!$J$2:$J$1137,MATCH(F217,'Transition Stepwise'!$E$2:$E$1137,0))</f>
        <v>0.166666666666667</v>
      </c>
      <c r="H217" s="45" t="n">
        <f aca="false">INDEX(Background!$D$12:$D$27,MATCH(C217&amp;D217,Background!$E$12:$E$27,0))</f>
        <v>0.219568567026194</v>
      </c>
      <c r="I217" s="49" t="n">
        <f aca="false">LN(G217/H217)</f>
        <v>-0.27566875223267</v>
      </c>
    </row>
    <row r="218" customFormat="false" ht="15" hidden="false" customHeight="true" outlineLevel="0" collapsed="false">
      <c r="A218" s="38" t="s">
        <v>23</v>
      </c>
      <c r="B218" s="38" t="n">
        <v>4</v>
      </c>
      <c r="C218" s="38" t="s">
        <v>172</v>
      </c>
      <c r="D218" s="38" t="s">
        <v>170</v>
      </c>
      <c r="E218" s="38" t="s">
        <v>875</v>
      </c>
      <c r="F218" s="38" t="str">
        <f aca="false">B218&amp;"|"&amp;C218&amp;"|"&amp;D218</f>
        <v>4|A|C</v>
      </c>
      <c r="G218" s="45" t="n">
        <f aca="false">INDEX('Transition Stepwise'!$J$2:$J$1137,MATCH(F218,'Transition Stepwise'!$E$2:$E$1137,0))</f>
        <v>0.210526315789474</v>
      </c>
      <c r="H218" s="45" t="n">
        <f aca="false">INDEX(Background!$D$12:$D$27,MATCH(C218&amp;D218,Background!$E$12:$E$27,0))</f>
        <v>0.161016949152542</v>
      </c>
      <c r="I218" s="49" t="n">
        <f aca="false">LN(G218/H218)</f>
        <v>0.268101027252674</v>
      </c>
    </row>
    <row r="219" customFormat="false" ht="15" hidden="false" customHeight="true" outlineLevel="0" collapsed="false">
      <c r="A219" s="38" t="s">
        <v>23</v>
      </c>
      <c r="B219" s="38" t="n">
        <v>5</v>
      </c>
      <c r="C219" s="38" t="s">
        <v>170</v>
      </c>
      <c r="D219" s="38" t="s">
        <v>172</v>
      </c>
      <c r="E219" s="38" t="s">
        <v>875</v>
      </c>
      <c r="F219" s="38" t="str">
        <f aca="false">B219&amp;"|"&amp;C219&amp;"|"&amp;D219</f>
        <v>5|C|A</v>
      </c>
      <c r="G219" s="45" t="n">
        <f aca="false">INDEX('Transition Stepwise'!$J$2:$J$1137,MATCH(F219,'Transition Stepwise'!$E$2:$E$1137,0))</f>
        <v>0.156626506024096</v>
      </c>
      <c r="H219" s="45" t="n">
        <f aca="false">INDEX(Background!$D$12:$D$27,MATCH(C219&amp;D219,Background!$E$12:$E$27,0))</f>
        <v>0.194883966244726</v>
      </c>
      <c r="I219" s="49" t="n">
        <f aca="false">LN(G219/H219)</f>
        <v>-0.218540307908351</v>
      </c>
    </row>
    <row r="220" customFormat="false" ht="15" hidden="false" customHeight="true" outlineLevel="0" collapsed="false">
      <c r="A220" s="38" t="s">
        <v>23</v>
      </c>
      <c r="B220" s="38" t="n">
        <v>6</v>
      </c>
      <c r="C220" s="38" t="s">
        <v>172</v>
      </c>
      <c r="D220" s="38" t="s">
        <v>171</v>
      </c>
      <c r="E220" s="38" t="s">
        <v>875</v>
      </c>
      <c r="F220" s="38" t="str">
        <f aca="false">B220&amp;"|"&amp;C220&amp;"|"&amp;D220</f>
        <v>6|A|U</v>
      </c>
      <c r="G220" s="45" t="n">
        <f aca="false">INDEX('Transition Stepwise'!$J$2:$J$1137,MATCH(F220,'Transition Stepwise'!$E$2:$E$1137,0))</f>
        <v>0.289473684210526</v>
      </c>
      <c r="H220" s="45" t="n">
        <f aca="false">INDEX(Background!$D$12:$D$27,MATCH(C220&amp;D220,Background!$E$12:$E$27,0))</f>
        <v>0.194530046224961</v>
      </c>
      <c r="I220" s="49" t="n">
        <f aca="false">LN(G220/H220)</f>
        <v>0.397477761620606</v>
      </c>
    </row>
    <row r="221" customFormat="false" ht="15" hidden="false" customHeight="true" outlineLevel="0" collapsed="false">
      <c r="A221" s="38" t="s">
        <v>23</v>
      </c>
      <c r="B221" s="38" t="n">
        <v>7</v>
      </c>
      <c r="C221" s="38" t="s">
        <v>171</v>
      </c>
      <c r="D221" s="38" t="s">
        <v>171</v>
      </c>
      <c r="E221" s="38" t="s">
        <v>875</v>
      </c>
      <c r="F221" s="38" t="str">
        <f aca="false">B221&amp;"|"&amp;C221&amp;"|"&amp;D221</f>
        <v>7|U|U</v>
      </c>
      <c r="G221" s="45" t="n">
        <f aca="false">INDEX('Transition Stepwise'!$J$2:$J$1137,MATCH(F221,'Transition Stepwise'!$E$2:$E$1137,0))</f>
        <v>0.9375</v>
      </c>
      <c r="H221" s="45" t="n">
        <f aca="false">INDEX(Background!$D$12:$D$27,MATCH(C221&amp;D221,Background!$E$12:$E$27,0))</f>
        <v>0.220480320213476</v>
      </c>
      <c r="I221" s="49" t="n">
        <f aca="false">LN(G221/H221)</f>
        <v>1.44740831767329</v>
      </c>
    </row>
    <row r="222" customFormat="false" ht="15" hidden="false" customHeight="true" outlineLevel="0" collapsed="false">
      <c r="A222" s="38" t="s">
        <v>23</v>
      </c>
      <c r="B222" s="38" t="n">
        <v>8</v>
      </c>
      <c r="C222" s="38" t="s">
        <v>171</v>
      </c>
      <c r="D222" s="38" t="s">
        <v>172</v>
      </c>
      <c r="E222" s="38" t="s">
        <v>875</v>
      </c>
      <c r="F222" s="38" t="str">
        <f aca="false">B222&amp;"|"&amp;C222&amp;"|"&amp;D222</f>
        <v>8|U|A</v>
      </c>
      <c r="G222" s="45" t="n">
        <f aca="false">INDEX('Transition Stepwise'!$J$2:$J$1137,MATCH(F222,'Transition Stepwise'!$E$2:$E$1137,0))</f>
        <v>0.65</v>
      </c>
      <c r="H222" s="45" t="n">
        <f aca="false">INDEX(Background!$D$12:$D$27,MATCH(C222&amp;D222,Background!$E$12:$E$27,0))</f>
        <v>0.180787191460974</v>
      </c>
      <c r="I222" s="49" t="n">
        <f aca="false">LN(G222/H222)</f>
        <v>1.27965176113044</v>
      </c>
    </row>
    <row r="223" customFormat="false" ht="15" hidden="false" customHeight="true" outlineLevel="0" collapsed="false">
      <c r="A223" s="38" t="s">
        <v>23</v>
      </c>
      <c r="B223" s="38" t="n">
        <v>9</v>
      </c>
      <c r="C223" s="38" t="s">
        <v>172</v>
      </c>
      <c r="D223" s="38" t="s">
        <v>169</v>
      </c>
      <c r="E223" s="38" t="s">
        <v>875</v>
      </c>
      <c r="F223" s="38" t="str">
        <f aca="false">B223&amp;"|"&amp;C223&amp;"|"&amp;D223</f>
        <v>9|A|G</v>
      </c>
      <c r="G223" s="45" t="n">
        <f aca="false">INDEX('Transition Stepwise'!$J$2:$J$1137,MATCH(F223,'Transition Stepwise'!$E$2:$E$1137,0))</f>
        <v>0.962686567164179</v>
      </c>
      <c r="H223" s="45" t="n">
        <f aca="false">INDEX(Background!$D$12:$D$27,MATCH(C223&amp;D223,Background!$E$12:$E$27,0))</f>
        <v>0.424884437596302</v>
      </c>
      <c r="I223" s="49" t="n">
        <f aca="false">LN(G223/H223)</f>
        <v>0.817910662981239</v>
      </c>
    </row>
    <row r="224" customFormat="false" ht="15" hidden="false" customHeight="true" outlineLevel="0" collapsed="false">
      <c r="A224" s="38" t="s">
        <v>23</v>
      </c>
      <c r="B224" s="38" t="n">
        <v>10</v>
      </c>
      <c r="C224" s="38" t="s">
        <v>169</v>
      </c>
      <c r="D224" s="38" t="s">
        <v>169</v>
      </c>
      <c r="E224" s="38" t="s">
        <v>875</v>
      </c>
      <c r="F224" s="38" t="str">
        <f aca="false">B224&amp;"|"&amp;C224&amp;"|"&amp;D224</f>
        <v>10|G|G</v>
      </c>
      <c r="G224" s="45" t="n">
        <f aca="false">INDEX('Transition Stepwise'!$J$2:$J$1137,MATCH(F224,'Transition Stepwise'!$E$2:$E$1137,0))</f>
        <v>0.0307692307692308</v>
      </c>
      <c r="H224" s="45" t="n">
        <f aca="false">INDEX(Background!$D$12:$D$27,MATCH(C224&amp;D224,Background!$E$12:$E$27,0))</f>
        <v>0.344774477447745</v>
      </c>
      <c r="I224" s="49" t="n">
        <f aca="false">LN(G224/H224)</f>
        <v>-2.41637532508013</v>
      </c>
    </row>
    <row r="225" customFormat="false" ht="15" hidden="false" customHeight="true" outlineLevel="0" collapsed="false">
      <c r="A225" s="38" t="s">
        <v>23</v>
      </c>
      <c r="B225" s="38" t="n">
        <v>11</v>
      </c>
      <c r="C225" s="38" t="s">
        <v>169</v>
      </c>
      <c r="D225" s="38" t="s">
        <v>172</v>
      </c>
      <c r="E225" s="38" t="s">
        <v>875</v>
      </c>
      <c r="F225" s="38" t="str">
        <f aca="false">B225&amp;"|"&amp;C225&amp;"|"&amp;D225</f>
        <v>11|G|A</v>
      </c>
      <c r="G225" s="45" t="n">
        <f aca="false">INDEX('Transition Stepwise'!$J$2:$J$1137,MATCH(F225,'Transition Stepwise'!$E$2:$E$1137,0))</f>
        <v>0.3</v>
      </c>
      <c r="H225" s="45" t="n">
        <f aca="false">INDEX(Background!$D$12:$D$27,MATCH(C225&amp;D225,Background!$E$12:$E$27,0))</f>
        <v>0.164356435643564</v>
      </c>
      <c r="I225" s="49" t="n">
        <f aca="false">LN(G225/H225)</f>
        <v>0.601745017152826</v>
      </c>
    </row>
    <row r="226" customFormat="false" ht="15" hidden="false" customHeight="true" outlineLevel="0" collapsed="false">
      <c r="A226" s="38" t="s">
        <v>23</v>
      </c>
      <c r="B226" s="38" t="n">
        <v>12</v>
      </c>
      <c r="C226" s="38" t="s">
        <v>172</v>
      </c>
      <c r="D226" s="38" t="s">
        <v>171</v>
      </c>
      <c r="E226" s="38" t="s">
        <v>875</v>
      </c>
      <c r="F226" s="38" t="str">
        <f aca="false">B226&amp;"|"&amp;C226&amp;"|"&amp;D226</f>
        <v>12|A|U</v>
      </c>
      <c r="G226" s="45" t="n">
        <f aca="false">INDEX('Transition Stepwise'!$J$2:$J$1137,MATCH(F226,'Transition Stepwise'!$E$2:$E$1137,0))</f>
        <v>0.470588235294118</v>
      </c>
      <c r="H226" s="45" t="n">
        <f aca="false">INDEX(Background!$D$12:$D$27,MATCH(C226&amp;D226,Background!$E$12:$E$27,0))</f>
        <v>0.194530046224961</v>
      </c>
      <c r="I226" s="49" t="n">
        <f aca="false">LN(G226/H226)</f>
        <v>0.883396846172241</v>
      </c>
    </row>
    <row r="227" customFormat="false" ht="15" hidden="false" customHeight="true" outlineLevel="0" collapsed="false">
      <c r="A227" s="38" t="s">
        <v>23</v>
      </c>
      <c r="B227" s="38" t="n">
        <v>13</v>
      </c>
      <c r="C227" s="38" t="s">
        <v>171</v>
      </c>
      <c r="D227" s="38" t="s">
        <v>172</v>
      </c>
      <c r="E227" s="38" t="s">
        <v>875</v>
      </c>
      <c r="F227" s="38" t="str">
        <f aca="false">B227&amp;"|"&amp;C227&amp;"|"&amp;D227</f>
        <v>13|U|A</v>
      </c>
      <c r="G227" s="45" t="n">
        <f aca="false">INDEX('Transition Stepwise'!$J$2:$J$1137,MATCH(F227,'Transition Stepwise'!$E$2:$E$1137,0))</f>
        <v>0.928571428571429</v>
      </c>
      <c r="H227" s="45" t="n">
        <f aca="false">INDEX(Background!$D$12:$D$27,MATCH(C227&amp;D227,Background!$E$12:$E$27,0))</f>
        <v>0.180787191460974</v>
      </c>
      <c r="I227" s="49" t="n">
        <f aca="false">LN(G227/H227)</f>
        <v>1.63632670506918</v>
      </c>
    </row>
    <row r="228" customFormat="false" ht="15" hidden="false" customHeight="true" outlineLevel="0" collapsed="false">
      <c r="A228" s="38" t="s">
        <v>23</v>
      </c>
      <c r="B228" s="38" t="n">
        <v>14</v>
      </c>
      <c r="C228" s="38" t="s">
        <v>172</v>
      </c>
      <c r="D228" s="38" t="s">
        <v>169</v>
      </c>
      <c r="E228" s="38" t="s">
        <v>875</v>
      </c>
      <c r="F228" s="38" t="str">
        <f aca="false">B228&amp;"|"&amp;C228&amp;"|"&amp;D228</f>
        <v>14|A|G</v>
      </c>
      <c r="G228" s="45" t="n">
        <f aca="false">INDEX('Transition Stepwise'!$J$2:$J$1137,MATCH(F228,'Transition Stepwise'!$E$2:$E$1137,0))</f>
        <v>0.81</v>
      </c>
      <c r="H228" s="45" t="n">
        <f aca="false">INDEX(Background!$D$12:$D$27,MATCH(C228&amp;D228,Background!$E$12:$E$27,0))</f>
        <v>0.424884437596302</v>
      </c>
      <c r="I228" s="49" t="n">
        <f aca="false">LN(G228/H228)</f>
        <v>0.645217027254826</v>
      </c>
    </row>
    <row r="229" customFormat="false" ht="15" hidden="false" customHeight="true" outlineLevel="0" collapsed="false">
      <c r="A229" s="38" t="s">
        <v>23</v>
      </c>
      <c r="B229" s="38" t="n">
        <v>15</v>
      </c>
      <c r="C229" s="38" t="s">
        <v>169</v>
      </c>
      <c r="D229" s="38" t="s">
        <v>172</v>
      </c>
      <c r="E229" s="38" t="s">
        <v>875</v>
      </c>
      <c r="F229" s="38" t="str">
        <f aca="false">B229&amp;"|"&amp;C229&amp;"|"&amp;D229</f>
        <v>15|G|A</v>
      </c>
      <c r="G229" s="45" t="n">
        <f aca="false">INDEX('Transition Stepwise'!$J$2:$J$1137,MATCH(F229,'Transition Stepwise'!$E$2:$E$1137,0))</f>
        <v>0.0256410256410256</v>
      </c>
      <c r="H229" s="45" t="n">
        <f aca="false">INDEX(Background!$D$12:$D$27,MATCH(C229&amp;D229,Background!$E$12:$E$27,0))</f>
        <v>0.164356435643564</v>
      </c>
      <c r="I229" s="49" t="n">
        <f aca="false">LN(G229/H229)</f>
        <v>-1.85784382465088</v>
      </c>
    </row>
    <row r="230" customFormat="false" ht="15" hidden="false" customHeight="true" outlineLevel="0" collapsed="false">
      <c r="A230" s="38" t="s">
        <v>23</v>
      </c>
      <c r="B230" s="38" t="n">
        <v>16</v>
      </c>
      <c r="C230" s="38" t="s">
        <v>172</v>
      </c>
      <c r="D230" s="38" t="s">
        <v>171</v>
      </c>
      <c r="E230" s="38" t="s">
        <v>875</v>
      </c>
      <c r="F230" s="38" t="str">
        <f aca="false">B230&amp;"|"&amp;C230&amp;"|"&amp;D230</f>
        <v>16|A|U</v>
      </c>
      <c r="G230" s="45" t="n">
        <f aca="false">INDEX('Transition Stepwise'!$J$2:$J$1137,MATCH(F230,'Transition Stepwise'!$E$2:$E$1137,0))</f>
        <v>0.428571428571429</v>
      </c>
      <c r="H230" s="45" t="n">
        <f aca="false">INDEX(Background!$D$12:$D$27,MATCH(C230&amp;D230,Background!$E$12:$E$27,0))</f>
        <v>0.194530046224961</v>
      </c>
      <c r="I230" s="49" t="n">
        <f aca="false">LN(G230/H230)</f>
        <v>0.789870788161417</v>
      </c>
    </row>
    <row r="231" customFormat="false" ht="15" hidden="false" customHeight="true" outlineLevel="0" collapsed="false">
      <c r="A231" s="38" t="s">
        <v>23</v>
      </c>
      <c r="B231" s="38" t="n">
        <v>17</v>
      </c>
      <c r="C231" s="38" t="s">
        <v>171</v>
      </c>
      <c r="D231" s="38" t="s">
        <v>169</v>
      </c>
      <c r="E231" s="38" t="s">
        <v>875</v>
      </c>
      <c r="F231" s="38" t="str">
        <f aca="false">B231&amp;"|"&amp;C231&amp;"|"&amp;D231</f>
        <v>17|U|G</v>
      </c>
      <c r="G231" s="45" t="n">
        <f aca="false">INDEX('Transition Stepwise'!$J$2:$J$1137,MATCH(F231,'Transition Stepwise'!$E$2:$E$1137,0))</f>
        <v>0.974358974358974</v>
      </c>
      <c r="H231" s="45" t="n">
        <f aca="false">INDEX(Background!$D$12:$D$27,MATCH(C231&amp;D231,Background!$E$12:$E$27,0))</f>
        <v>0.221480987324883</v>
      </c>
      <c r="I231" s="49" t="n">
        <f aca="false">LN(G231/H231)</f>
        <v>1.48144304278285</v>
      </c>
    </row>
    <row r="232" customFormat="false" ht="15" hidden="false" customHeight="true" outlineLevel="0" collapsed="false">
      <c r="A232" s="38" t="s">
        <v>23</v>
      </c>
      <c r="B232" s="38" t="n">
        <v>18</v>
      </c>
      <c r="C232" s="38" t="s">
        <v>169</v>
      </c>
      <c r="D232" s="38" t="s">
        <v>169</v>
      </c>
      <c r="E232" s="38" t="s">
        <v>875</v>
      </c>
      <c r="F232" s="38" t="str">
        <f aca="false">B232&amp;"|"&amp;C232&amp;"|"&amp;D232</f>
        <v>18|G|G</v>
      </c>
      <c r="G232" s="45" t="n">
        <f aca="false">INDEX('Transition Stepwise'!$J$2:$J$1137,MATCH(F232,'Transition Stepwise'!$E$2:$E$1137,0))</f>
        <v>0.975247524752475</v>
      </c>
      <c r="H232" s="45" t="n">
        <f aca="false">INDEX(Background!$D$12:$D$27,MATCH(C232&amp;D232,Background!$E$12:$E$27,0))</f>
        <v>0.344774477447745</v>
      </c>
      <c r="I232" s="49" t="n">
        <f aca="false">LN(G232/H232)</f>
        <v>1.03980079559234</v>
      </c>
    </row>
    <row r="233" customFormat="false" ht="15" hidden="false" customHeight="true" outlineLevel="0" collapsed="false">
      <c r="A233" s="38" t="s">
        <v>23</v>
      </c>
      <c r="B233" s="38" t="n">
        <v>19</v>
      </c>
      <c r="C233" s="38" t="s">
        <v>169</v>
      </c>
      <c r="D233" s="38" t="s">
        <v>170</v>
      </c>
      <c r="E233" s="38" t="s">
        <v>875</v>
      </c>
      <c r="F233" s="38" t="str">
        <f aca="false">B233&amp;"|"&amp;C233&amp;"|"&amp;D233</f>
        <v>19|G|C</v>
      </c>
      <c r="G233" s="45" t="n">
        <f aca="false">INDEX('Transition Stepwise'!$J$2:$J$1137,MATCH(F233,'Transition Stepwise'!$E$2:$E$1137,0))</f>
        <v>0.23</v>
      </c>
      <c r="H233" s="45" t="n">
        <f aca="false">INDEX(Background!$D$12:$D$27,MATCH(C233&amp;D233,Background!$E$12:$E$27,0))</f>
        <v>0.256105610561056</v>
      </c>
      <c r="I233" s="49" t="n">
        <f aca="false">LN(G233/H233)</f>
        <v>-0.107510591738746</v>
      </c>
    </row>
    <row r="234" customFormat="false" ht="15" hidden="false" customHeight="true" outlineLevel="0" collapsed="false">
      <c r="A234" s="38" t="s">
        <v>23</v>
      </c>
      <c r="B234" s="38" t="n">
        <v>20</v>
      </c>
      <c r="C234" s="38" t="s">
        <v>170</v>
      </c>
      <c r="D234" s="38" t="s">
        <v>171</v>
      </c>
      <c r="E234" s="38" t="s">
        <v>875</v>
      </c>
      <c r="F234" s="38" t="str">
        <f aca="false">B234&amp;"|"&amp;C234&amp;"|"&amp;D234</f>
        <v>20|C|U</v>
      </c>
      <c r="G234" s="45" t="n">
        <f aca="false">INDEX('Transition Stepwise'!$J$2:$J$1137,MATCH(F234,'Transition Stepwise'!$E$2:$E$1137,0))</f>
        <v>0.102040816326531</v>
      </c>
      <c r="H234" s="45" t="n">
        <f aca="false">INDEX(Background!$D$12:$D$27,MATCH(C234&amp;D234,Background!$E$12:$E$27,0))</f>
        <v>0.196466244725738</v>
      </c>
      <c r="I234" s="49" t="n">
        <f aca="false">LN(G234/H234)</f>
        <v>-0.655117740681173</v>
      </c>
    </row>
    <row r="235" customFormat="false" ht="15" hidden="false" customHeight="true" outlineLevel="0" collapsed="false">
      <c r="A235" s="38" t="s">
        <v>23</v>
      </c>
      <c r="B235" s="38" t="n">
        <v>21</v>
      </c>
      <c r="C235" s="38" t="s">
        <v>171</v>
      </c>
      <c r="D235" s="38" t="s">
        <v>171</v>
      </c>
      <c r="E235" s="38" t="s">
        <v>875</v>
      </c>
      <c r="F235" s="38" t="str">
        <f aca="false">B235&amp;"|"&amp;C235&amp;"|"&amp;D235</f>
        <v>21|U|U</v>
      </c>
      <c r="G235" s="45" t="n">
        <f aca="false">INDEX('Transition Stepwise'!$J$2:$J$1137,MATCH(F235,'Transition Stepwise'!$E$2:$E$1137,0))</f>
        <v>0.285714285714286</v>
      </c>
      <c r="H235" s="45" t="n">
        <f aca="false">INDEX(Background!$D$12:$D$27,MATCH(C235&amp;D235,Background!$E$12:$E$27,0))</f>
        <v>0.220480320213476</v>
      </c>
      <c r="I235" s="49" t="n">
        <f aca="false">LN(G235/H235)</f>
        <v>0.259183870315489</v>
      </c>
    </row>
    <row r="236" customFormat="false" ht="15" hidden="false" customHeight="true" outlineLevel="0" collapsed="false">
      <c r="A236" s="38" t="s">
        <v>23</v>
      </c>
      <c r="B236" s="38" t="n">
        <v>22</v>
      </c>
      <c r="C236" s="38" t="s">
        <v>171</v>
      </c>
      <c r="D236" s="38" t="s">
        <v>171</v>
      </c>
      <c r="E236" s="38" t="s">
        <v>875</v>
      </c>
      <c r="F236" s="38" t="str">
        <f aca="false">B236&amp;"|"&amp;C236&amp;"|"&amp;D236</f>
        <v>22|U|U</v>
      </c>
      <c r="G236" s="45" t="n">
        <f aca="false">INDEX('Transition Stepwise'!$J$2:$J$1137,MATCH(F236,'Transition Stepwise'!$E$2:$E$1137,0))</f>
        <v>0.333333333333333</v>
      </c>
      <c r="H236" s="45" t="n">
        <f aca="false">INDEX(Background!$D$12:$D$27,MATCH(C236&amp;D236,Background!$E$12:$E$27,0))</f>
        <v>0.220480320213476</v>
      </c>
      <c r="I236" s="49" t="n">
        <f aca="false">LN(G236/H236)</f>
        <v>0.413334550142747</v>
      </c>
    </row>
    <row r="237" customFormat="false" ht="15" hidden="false" customHeight="true" outlineLevel="0" collapsed="false">
      <c r="A237" s="38" t="s">
        <v>23</v>
      </c>
      <c r="B237" s="38" t="n">
        <v>23</v>
      </c>
      <c r="C237" s="38" t="s">
        <v>171</v>
      </c>
      <c r="D237" s="38" t="s">
        <v>170</v>
      </c>
      <c r="E237" s="38" t="s">
        <v>875</v>
      </c>
      <c r="F237" s="38" t="str">
        <f aca="false">B237&amp;"|"&amp;C237&amp;"|"&amp;D237</f>
        <v>23|U|C</v>
      </c>
      <c r="G237" s="45" t="n">
        <f aca="false">INDEX('Transition Stepwise'!$J$2:$J$1137,MATCH(F237,'Transition Stepwise'!$E$2:$E$1137,0))</f>
        <v>0.1875</v>
      </c>
      <c r="H237" s="45" t="n">
        <f aca="false">INDEX(Background!$D$12:$D$27,MATCH(C237&amp;D237,Background!$E$12:$E$27,0))</f>
        <v>0.377251501000667</v>
      </c>
      <c r="I237" s="49" t="n">
        <f aca="false">LN(G237/H237)</f>
        <v>-0.699133231025249</v>
      </c>
    </row>
    <row r="238" customFormat="false" ht="15" hidden="false" customHeight="true" outlineLevel="0" collapsed="false">
      <c r="A238" s="38" t="s">
        <v>23</v>
      </c>
      <c r="B238" s="38" t="n">
        <v>24</v>
      </c>
      <c r="C238" s="38" t="s">
        <v>170</v>
      </c>
      <c r="D238" s="38" t="s">
        <v>170</v>
      </c>
      <c r="E238" s="38" t="s">
        <v>875</v>
      </c>
      <c r="F238" s="38" t="str">
        <f aca="false">B238&amp;"|"&amp;C238&amp;"|"&amp;D238</f>
        <v>24|C|C</v>
      </c>
      <c r="G238" s="45" t="n">
        <f aca="false">INDEX('Transition Stepwise'!$J$2:$J$1137,MATCH(F238,'Transition Stepwise'!$E$2:$E$1137,0))</f>
        <v>0.5</v>
      </c>
      <c r="H238" s="45" t="n">
        <f aca="false">INDEX(Background!$D$12:$D$27,MATCH(C238&amp;D238,Background!$E$12:$E$27,0))</f>
        <v>0.312236286919831</v>
      </c>
      <c r="I238" s="49" t="n">
        <f aca="false">LN(G238/H238)</f>
        <v>0.470847867371016</v>
      </c>
    </row>
    <row r="239" customFormat="false" ht="15" hidden="false" customHeight="true" outlineLevel="0" collapsed="false">
      <c r="A239" s="38" t="s">
        <v>23</v>
      </c>
      <c r="B239" s="38" t="n">
        <v>25</v>
      </c>
      <c r="C239" s="38" t="s">
        <v>170</v>
      </c>
      <c r="D239" s="38" t="s">
        <v>171</v>
      </c>
      <c r="E239" s="38" t="s">
        <v>875</v>
      </c>
      <c r="F239" s="38" t="str">
        <f aca="false">B239&amp;"|"&amp;C239&amp;"|"&amp;D239</f>
        <v>25|C|U</v>
      </c>
      <c r="G239" s="45" t="n">
        <f aca="false">INDEX('Transition Stepwise'!$J$2:$J$1137,MATCH(F239,'Transition Stepwise'!$E$2:$E$1137,0))</f>
        <v>0.0552486187845304</v>
      </c>
      <c r="H239" s="45" t="n">
        <f aca="false">INDEX(Background!$D$12:$D$27,MATCH(C239&amp;D239,Background!$E$12:$E$27,0))</f>
        <v>0.196466244725738</v>
      </c>
      <c r="I239" s="49" t="n">
        <f aca="false">LN(G239/H239)</f>
        <v>-1.26864729327643</v>
      </c>
    </row>
    <row r="240" customFormat="false" ht="15" hidden="false" customHeight="true" outlineLevel="0" collapsed="false">
      <c r="A240" s="38" t="s">
        <v>23</v>
      </c>
      <c r="B240" s="38" t="n">
        <v>26</v>
      </c>
      <c r="C240" s="38" t="s">
        <v>171</v>
      </c>
      <c r="D240" s="38" t="s">
        <v>171</v>
      </c>
      <c r="E240" s="38" t="s">
        <v>875</v>
      </c>
      <c r="F240" s="38" t="str">
        <f aca="false">B240&amp;"|"&amp;C240&amp;"|"&amp;D240</f>
        <v>26|U|U</v>
      </c>
      <c r="G240" s="45" t="n">
        <f aca="false">INDEX('Transition Stepwise'!$J$2:$J$1137,MATCH(F240,'Transition Stepwise'!$E$2:$E$1137,0))</f>
        <v>0.266666666666667</v>
      </c>
      <c r="H240" s="45" t="n">
        <f aca="false">INDEX(Background!$D$12:$D$27,MATCH(C240&amp;D240,Background!$E$12:$E$27,0))</f>
        <v>0.220480320213476</v>
      </c>
      <c r="I240" s="49" t="n">
        <f aca="false">LN(G240/H240)</f>
        <v>0.190190998828537</v>
      </c>
    </row>
    <row r="241" customFormat="false" ht="15" hidden="false" customHeight="true" outlineLevel="0" collapsed="false">
      <c r="A241" s="38" t="s">
        <v>23</v>
      </c>
      <c r="B241" s="38" t="n">
        <v>27</v>
      </c>
      <c r="C241" s="38" t="s">
        <v>171</v>
      </c>
      <c r="D241" s="38" t="s">
        <v>171</v>
      </c>
      <c r="E241" s="38" t="s">
        <v>875</v>
      </c>
      <c r="F241" s="38" t="str">
        <f aca="false">B241&amp;"|"&amp;C241&amp;"|"&amp;D241</f>
        <v>27|U|U</v>
      </c>
      <c r="G241" s="45" t="n">
        <f aca="false">INDEX('Transition Stepwise'!$J$2:$J$1137,MATCH(F241,'Transition Stepwise'!$E$2:$E$1137,0))</f>
        <v>0.327272727272727</v>
      </c>
      <c r="H241" s="45" t="n">
        <f aca="false">INDEX(Background!$D$12:$D$27,MATCH(C241&amp;D241,Background!$E$12:$E$27,0))</f>
        <v>0.220480320213476</v>
      </c>
      <c r="I241" s="49" t="n">
        <f aca="false">LN(G241/H241)</f>
        <v>0.39498541147455</v>
      </c>
    </row>
    <row r="242" customFormat="false" ht="15" hidden="false" customHeight="true" outlineLevel="0" collapsed="false">
      <c r="A242" s="38" t="s">
        <v>23</v>
      </c>
      <c r="B242" s="38" t="n">
        <v>28</v>
      </c>
      <c r="C242" s="38" t="s">
        <v>171</v>
      </c>
      <c r="D242" s="38" t="s">
        <v>170</v>
      </c>
      <c r="E242" s="38" t="s">
        <v>875</v>
      </c>
      <c r="F242" s="38" t="str">
        <f aca="false">B242&amp;"|"&amp;C242&amp;"|"&amp;D242</f>
        <v>28|U|C</v>
      </c>
      <c r="G242" s="45" t="n">
        <f aca="false">INDEX('Transition Stepwise'!$J$2:$J$1137,MATCH(F242,'Transition Stepwise'!$E$2:$E$1137,0))</f>
        <v>0.259259259259259</v>
      </c>
      <c r="H242" s="45" t="n">
        <f aca="false">INDEX(Background!$D$12:$D$27,MATCH(C242&amp;D242,Background!$E$12:$E$27,0))</f>
        <v>0.377251501000667</v>
      </c>
      <c r="I242" s="49" t="n">
        <f aca="false">LN(G242/H242)</f>
        <v>-0.375083514402593</v>
      </c>
    </row>
    <row r="243" customFormat="false" ht="15" hidden="false" customHeight="true" outlineLevel="0" collapsed="false">
      <c r="A243" s="38" t="s">
        <v>23</v>
      </c>
      <c r="B243" s="38" t="n">
        <v>29</v>
      </c>
      <c r="C243" s="38" t="s">
        <v>170</v>
      </c>
      <c r="D243" s="38" t="s">
        <v>171</v>
      </c>
      <c r="E243" s="38" t="s">
        <v>875</v>
      </c>
      <c r="F243" s="38" t="str">
        <f aca="false">B243&amp;"|"&amp;C243&amp;"|"&amp;D243</f>
        <v>29|C|U</v>
      </c>
      <c r="G243" s="45" t="n">
        <f aca="false">INDEX('Transition Stepwise'!$J$2:$J$1137,MATCH(F243,'Transition Stepwise'!$E$2:$E$1137,0))</f>
        <v>0.0512820512820513</v>
      </c>
      <c r="H243" s="45" t="n">
        <f aca="false">INDEX(Background!$D$12:$D$27,MATCH(C243&amp;D243,Background!$E$12:$E$27,0))</f>
        <v>0.196466244725738</v>
      </c>
      <c r="I243" s="49" t="n">
        <f aca="false">LN(G243/H243)</f>
        <v>-1.34314982057435</v>
      </c>
    </row>
    <row r="244" customFormat="false" ht="15" hidden="false" customHeight="true" outlineLevel="0" collapsed="false">
      <c r="A244" s="38" t="s">
        <v>23</v>
      </c>
      <c r="B244" s="38" t="n">
        <v>30</v>
      </c>
      <c r="C244" s="38" t="s">
        <v>171</v>
      </c>
      <c r="D244" s="38" t="s">
        <v>171</v>
      </c>
      <c r="E244" s="38" t="s">
        <v>875</v>
      </c>
      <c r="F244" s="38" t="str">
        <f aca="false">B244&amp;"|"&amp;C244&amp;"|"&amp;D244</f>
        <v>30|U|U</v>
      </c>
      <c r="G244" s="45" t="n">
        <f aca="false">INDEX('Transition Stepwise'!$J$2:$J$1137,MATCH(F244,'Transition Stepwise'!$E$2:$E$1137,0))</f>
        <v>0.0909090909090909</v>
      </c>
      <c r="H244" s="45" t="n">
        <f aca="false">INDEX(Background!$D$12:$D$27,MATCH(C244&amp;D244,Background!$E$12:$E$27,0))</f>
        <v>0.220480320213476</v>
      </c>
      <c r="I244" s="49" t="n">
        <f aca="false">LN(G244/H244)</f>
        <v>-0.885948433987514</v>
      </c>
    </row>
    <row r="245" customFormat="false" ht="15" hidden="false" customHeight="true" outlineLevel="0" collapsed="false">
      <c r="A245" s="38" t="s">
        <v>23</v>
      </c>
      <c r="B245" s="38" t="n">
        <v>31</v>
      </c>
      <c r="C245" s="38" t="s">
        <v>171</v>
      </c>
      <c r="D245" s="38" t="s">
        <v>171</v>
      </c>
      <c r="E245" s="38" t="s">
        <v>875</v>
      </c>
      <c r="F245" s="38" t="str">
        <f aca="false">B245&amp;"|"&amp;C245&amp;"|"&amp;D245</f>
        <v>31|U|U</v>
      </c>
      <c r="G245" s="45" t="n">
        <f aca="false">INDEX('Transition Stepwise'!$J$2:$J$1137,MATCH(F245,'Transition Stepwise'!$E$2:$E$1137,0))</f>
        <v>0.130434782608696</v>
      </c>
      <c r="H245" s="45" t="n">
        <f aca="false">INDEX(Background!$D$12:$D$27,MATCH(C245&amp;D245,Background!$E$12:$E$27,0))</f>
        <v>0.220480320213476</v>
      </c>
      <c r="I245" s="49" t="n">
        <f aca="false">LN(G245/H245)</f>
        <v>-0.524935088450183</v>
      </c>
    </row>
    <row r="246" customFormat="false" ht="15" hidden="false" customHeight="true" outlineLevel="0" collapsed="false">
      <c r="A246" s="38" t="s">
        <v>23</v>
      </c>
      <c r="B246" s="38" t="n">
        <v>32</v>
      </c>
      <c r="C246" s="38" t="s">
        <v>171</v>
      </c>
      <c r="D246" s="38" t="s">
        <v>171</v>
      </c>
      <c r="E246" s="38" t="s">
        <v>875</v>
      </c>
      <c r="F246" s="38" t="str">
        <f aca="false">B246&amp;"|"&amp;C246&amp;"|"&amp;D246</f>
        <v>32|U|U</v>
      </c>
      <c r="G246" s="45" t="n">
        <f aca="false">INDEX('Transition Stepwise'!$J$2:$J$1137,MATCH(F246,'Transition Stepwise'!$E$2:$E$1137,0))</f>
        <v>0.936507936507937</v>
      </c>
      <c r="H246" s="45" t="n">
        <f aca="false">INDEX(Background!$D$12:$D$27,MATCH(C246&amp;D246,Background!$E$12:$E$27,0))</f>
        <v>0.220480320213476</v>
      </c>
      <c r="I246" s="49" t="n">
        <f aca="false">LN(G246/H246)</f>
        <v>1.44634955632504</v>
      </c>
    </row>
    <row r="247" customFormat="false" ht="15" hidden="false" customHeight="true" outlineLevel="0" collapsed="false">
      <c r="A247" s="38" t="s">
        <v>23</v>
      </c>
      <c r="B247" s="38" t="n">
        <v>33</v>
      </c>
      <c r="C247" s="38" t="s">
        <v>171</v>
      </c>
      <c r="D247" s="38" t="s">
        <v>170</v>
      </c>
      <c r="E247" s="38" t="s">
        <v>875</v>
      </c>
      <c r="F247" s="38" t="str">
        <f aca="false">B247&amp;"|"&amp;C247&amp;"|"&amp;D247</f>
        <v>33|U|C</v>
      </c>
      <c r="G247" s="45" t="n">
        <f aca="false">INDEX('Transition Stepwise'!$J$2:$J$1137,MATCH(F247,'Transition Stepwise'!$E$2:$E$1137,0))</f>
        <v>0.323383084577114</v>
      </c>
      <c r="H247" s="45" t="n">
        <f aca="false">INDEX(Background!$D$12:$D$27,MATCH(C247&amp;D247,Background!$E$12:$E$27,0))</f>
        <v>0.377251501000667</v>
      </c>
      <c r="I247" s="49" t="n">
        <f aca="false">LN(G247/H247)</f>
        <v>-0.154074435617016</v>
      </c>
    </row>
    <row r="248" customFormat="false" ht="15" hidden="false" customHeight="true" outlineLevel="0" collapsed="false">
      <c r="A248" s="38" t="s">
        <v>23</v>
      </c>
      <c r="B248" s="38" t="n">
        <v>34</v>
      </c>
      <c r="C248" s="38" t="s">
        <v>170</v>
      </c>
      <c r="D248" s="38" t="s">
        <v>171</v>
      </c>
      <c r="E248" s="38" t="s">
        <v>875</v>
      </c>
      <c r="F248" s="38" t="str">
        <f aca="false">B248&amp;"|"&amp;C248&amp;"|"&amp;D248</f>
        <v>34|C|U</v>
      </c>
      <c r="G248" s="45" t="n">
        <f aca="false">INDEX('Transition Stepwise'!$J$2:$J$1137,MATCH(F248,'Transition Stepwise'!$E$2:$E$1137,0))</f>
        <v>0.185714285714286</v>
      </c>
      <c r="H248" s="45" t="n">
        <f aca="false">INDEX(Background!$D$12:$D$27,MATCH(C248&amp;D248,Background!$E$12:$E$27,0))</f>
        <v>0.196466244725738</v>
      </c>
      <c r="I248" s="49" t="n">
        <f aca="false">LN(G248/H248)</f>
        <v>-0.0562812395924693</v>
      </c>
    </row>
    <row r="249" customFormat="false" ht="15" hidden="false" customHeight="true" outlineLevel="0" collapsed="false">
      <c r="A249" s="38" t="s">
        <v>23</v>
      </c>
      <c r="B249" s="38" t="n">
        <v>35</v>
      </c>
      <c r="C249" s="38" t="s">
        <v>171</v>
      </c>
      <c r="D249" s="38" t="s">
        <v>172</v>
      </c>
      <c r="E249" s="38" t="s">
        <v>875</v>
      </c>
      <c r="F249" s="38" t="str">
        <f aca="false">B249&amp;"|"&amp;C249&amp;"|"&amp;D249</f>
        <v>35|U|A</v>
      </c>
      <c r="G249" s="45" t="n">
        <f aca="false">INDEX('Transition Stepwise'!$J$2:$J$1137,MATCH(F249,'Transition Stepwise'!$E$2:$E$1137,0))</f>
        <v>0.177777777777778</v>
      </c>
      <c r="H249" s="45" t="n">
        <f aca="false">INDEX(Background!$D$12:$D$27,MATCH(C249&amp;D249,Background!$E$12:$E$27,0))</f>
        <v>0.180787191460974</v>
      </c>
      <c r="I249" s="49" t="n">
        <f aca="false">LN(G249/H249)</f>
        <v>-0.016786270867587</v>
      </c>
    </row>
    <row r="250" customFormat="false" ht="15" hidden="false" customHeight="true" outlineLevel="0" collapsed="false">
      <c r="A250" s="38" t="s">
        <v>23</v>
      </c>
      <c r="B250" s="38" t="n">
        <v>36</v>
      </c>
      <c r="C250" s="38" t="s">
        <v>172</v>
      </c>
      <c r="D250" s="38" t="s">
        <v>170</v>
      </c>
      <c r="E250" s="38" t="s">
        <v>875</v>
      </c>
      <c r="F250" s="38" t="str">
        <f aca="false">B250&amp;"|"&amp;C250&amp;"|"&amp;D250</f>
        <v>36|A|C</v>
      </c>
      <c r="G250" s="45" t="n">
        <f aca="false">INDEX('Transition Stepwise'!$J$2:$J$1137,MATCH(F250,'Transition Stepwise'!$E$2:$E$1137,0))</f>
        <v>0.0425531914893617</v>
      </c>
      <c r="H250" s="45" t="n">
        <f aca="false">INDEX(Background!$D$12:$D$27,MATCH(C250&amp;D250,Background!$E$12:$E$27,0))</f>
        <v>0.161016949152542</v>
      </c>
      <c r="I250" s="49" t="n">
        <f aca="false">LN(G250/H250)</f>
        <v>-1.33075477585089</v>
      </c>
    </row>
    <row r="251" customFormat="false" ht="15" hidden="false" customHeight="true" outlineLevel="0" collapsed="false">
      <c r="A251" s="38" t="s">
        <v>23</v>
      </c>
      <c r="B251" s="38" t="n">
        <v>37</v>
      </c>
      <c r="C251" s="38" t="s">
        <v>170</v>
      </c>
      <c r="D251" s="38" t="s">
        <v>169</v>
      </c>
      <c r="E251" s="38" t="s">
        <v>875</v>
      </c>
      <c r="F251" s="38" t="str">
        <f aca="false">B251&amp;"|"&amp;C251&amp;"|"&amp;D251</f>
        <v>37|C|G</v>
      </c>
      <c r="G251" s="45" t="n">
        <f aca="false">INDEX('Transition Stepwise'!$J$2:$J$1137,MATCH(F251,'Transition Stepwise'!$E$2:$E$1137,0))</f>
        <v>0.2</v>
      </c>
      <c r="H251" s="45" t="n">
        <f aca="false">INDEX(Background!$D$12:$D$27,MATCH(C251&amp;D251,Background!$E$12:$E$27,0))</f>
        <v>0.296413502109705</v>
      </c>
      <c r="I251" s="49" t="n">
        <f aca="false">LN(G251/H251)</f>
        <v>-0.393438079512824</v>
      </c>
    </row>
    <row r="252" customFormat="false" ht="15" hidden="false" customHeight="true" outlineLevel="0" collapsed="false">
      <c r="A252" s="38" t="s">
        <v>23</v>
      </c>
      <c r="B252" s="38" t="n">
        <v>38</v>
      </c>
      <c r="C252" s="38" t="s">
        <v>169</v>
      </c>
      <c r="D252" s="38" t="s">
        <v>169</v>
      </c>
      <c r="E252" s="38" t="s">
        <v>875</v>
      </c>
      <c r="F252" s="38" t="str">
        <f aca="false">B252&amp;"|"&amp;C252&amp;"|"&amp;D252</f>
        <v>38|G|G</v>
      </c>
      <c r="G252" s="45" t="n">
        <f aca="false">INDEX('Transition Stepwise'!$J$2:$J$1137,MATCH(F252,'Transition Stepwise'!$E$2:$E$1137,0))</f>
        <v>0.2</v>
      </c>
      <c r="H252" s="45" t="n">
        <f aca="false">INDEX(Background!$D$12:$D$27,MATCH(C252&amp;D252,Background!$E$12:$E$27,0))</f>
        <v>0.344774477447745</v>
      </c>
      <c r="I252" s="49" t="n">
        <f aca="false">LN(G252/H252)</f>
        <v>-0.544573148178542</v>
      </c>
    </row>
    <row r="253" customFormat="false" ht="15" hidden="false" customHeight="true" outlineLevel="0" collapsed="false">
      <c r="A253" s="38" t="s">
        <v>23</v>
      </c>
      <c r="B253" s="38" t="n">
        <v>39</v>
      </c>
      <c r="C253" s="38" t="s">
        <v>169</v>
      </c>
      <c r="D253" s="38" t="s">
        <v>172</v>
      </c>
      <c r="E253" s="38" t="s">
        <v>875</v>
      </c>
      <c r="F253" s="38" t="str">
        <f aca="false">B253&amp;"|"&amp;C253&amp;"|"&amp;D253</f>
        <v>39|G|A</v>
      </c>
      <c r="G253" s="45" t="n">
        <f aca="false">INDEX('Transition Stepwise'!$J$2:$J$1137,MATCH(F253,'Transition Stepwise'!$E$2:$E$1137,0))</f>
        <v>0.0131578947368421</v>
      </c>
      <c r="H253" s="45" t="n">
        <f aca="false">INDEX(Background!$D$12:$D$27,MATCH(C253&amp;D253,Background!$E$12:$E$27,0))</f>
        <v>0.164356435643564</v>
      </c>
      <c r="I253" s="49" t="n">
        <f aca="false">LN(G253/H253)</f>
        <v>-2.52501551880757</v>
      </c>
    </row>
    <row r="254" customFormat="false" ht="15" hidden="false" customHeight="true" outlineLevel="0" collapsed="false">
      <c r="A254" s="38" t="s">
        <v>23</v>
      </c>
      <c r="B254" s="38" t="n">
        <v>40</v>
      </c>
      <c r="C254" s="38" t="s">
        <v>172</v>
      </c>
      <c r="D254" s="38" t="s">
        <v>170</v>
      </c>
      <c r="E254" s="38" t="s">
        <v>875</v>
      </c>
      <c r="F254" s="38" t="str">
        <f aca="false">B254&amp;"|"&amp;C254&amp;"|"&amp;D254</f>
        <v>40|A|C</v>
      </c>
      <c r="G254" s="45" t="n">
        <f aca="false">INDEX('Transition Stepwise'!$J$2:$J$1137,MATCH(F254,'Transition Stepwise'!$E$2:$E$1137,0))</f>
        <v>0.4</v>
      </c>
      <c r="H254" s="45" t="n">
        <f aca="false">INDEX(Background!$D$12:$D$27,MATCH(C254&amp;D254,Background!$E$12:$E$27,0))</f>
        <v>0.161016949152542</v>
      </c>
      <c r="I254" s="49" t="n">
        <f aca="false">LN(G254/H254)</f>
        <v>0.909954913425069</v>
      </c>
    </row>
    <row r="255" customFormat="false" ht="15" hidden="false" customHeight="true" outlineLevel="0" collapsed="false">
      <c r="A255" s="38" t="s">
        <v>23</v>
      </c>
      <c r="B255" s="38" t="n">
        <v>41</v>
      </c>
      <c r="C255" s="38" t="s">
        <v>170</v>
      </c>
      <c r="D255" s="38" t="s">
        <v>172</v>
      </c>
      <c r="E255" s="38" t="s">
        <v>875</v>
      </c>
      <c r="F255" s="38" t="str">
        <f aca="false">B255&amp;"|"&amp;C255&amp;"|"&amp;D255</f>
        <v>41|C|A</v>
      </c>
      <c r="G255" s="45" t="n">
        <f aca="false">INDEX('Transition Stepwise'!$J$2:$J$1137,MATCH(F255,'Transition Stepwise'!$E$2:$E$1137,0))</f>
        <v>0.209876543209877</v>
      </c>
      <c r="H255" s="45" t="n">
        <f aca="false">INDEX(Background!$D$12:$D$27,MATCH(C255&amp;D255,Background!$E$12:$E$27,0))</f>
        <v>0.194883966244726</v>
      </c>
      <c r="I255" s="49" t="n">
        <f aca="false">LN(G255/H255)</f>
        <v>0.074115131810488</v>
      </c>
    </row>
    <row r="256" customFormat="false" ht="15" hidden="false" customHeight="true" outlineLevel="0" collapsed="false">
      <c r="A256" s="38" t="s">
        <v>23</v>
      </c>
      <c r="B256" s="38" t="n">
        <v>42</v>
      </c>
      <c r="C256" s="38" t="s">
        <v>172</v>
      </c>
      <c r="D256" s="38" t="s">
        <v>172</v>
      </c>
      <c r="E256" s="38" t="s">
        <v>875</v>
      </c>
      <c r="F256" s="38" t="str">
        <f aca="false">B256&amp;"|"&amp;C256&amp;"|"&amp;D256</f>
        <v>42|A|A</v>
      </c>
      <c r="G256" s="45" t="n">
        <f aca="false">INDEX('Transition Stepwise'!$J$2:$J$1137,MATCH(F256,'Transition Stepwise'!$E$2:$E$1137,0))</f>
        <v>0.269230769230769</v>
      </c>
      <c r="H256" s="45" t="n">
        <f aca="false">INDEX(Background!$D$12:$D$27,MATCH(C256&amp;D256,Background!$E$12:$E$27,0))</f>
        <v>0.219568567026194</v>
      </c>
      <c r="I256" s="49" t="n">
        <f aca="false">LN(G256/H256)</f>
        <v>0.203904328029216</v>
      </c>
    </row>
    <row r="257" customFormat="false" ht="15" hidden="false" customHeight="true" outlineLevel="0" collapsed="false">
      <c r="A257" s="38" t="s">
        <v>23</v>
      </c>
      <c r="B257" s="38" t="n">
        <v>43</v>
      </c>
      <c r="C257" s="38" t="s">
        <v>172</v>
      </c>
      <c r="D257" s="38" t="s">
        <v>171</v>
      </c>
      <c r="E257" s="38" t="s">
        <v>875</v>
      </c>
      <c r="F257" s="38" t="str">
        <f aca="false">B257&amp;"|"&amp;C257&amp;"|"&amp;D257</f>
        <v>43|A|U</v>
      </c>
      <c r="G257" s="45" t="n">
        <f aca="false">INDEX('Transition Stepwise'!$J$2:$J$1137,MATCH(F257,'Transition Stepwise'!$E$2:$E$1137,0))</f>
        <v>0.102040816326531</v>
      </c>
      <c r="H257" s="45" t="n">
        <f aca="false">INDEX(Background!$D$12:$D$27,MATCH(C257&amp;D257,Background!$E$12:$E$27,0))</f>
        <v>0.194530046224961</v>
      </c>
      <c r="I257" s="49" t="n">
        <f aca="false">LN(G257/H257)</f>
        <v>-0.645213737127906</v>
      </c>
    </row>
    <row r="258" customFormat="false" ht="15" hidden="false" customHeight="true" outlineLevel="0" collapsed="false">
      <c r="A258" s="38" t="s">
        <v>23</v>
      </c>
      <c r="B258" s="38" t="n">
        <v>44</v>
      </c>
      <c r="C258" s="38" t="s">
        <v>171</v>
      </c>
      <c r="D258" s="38" t="s">
        <v>169</v>
      </c>
      <c r="E258" s="38" t="s">
        <v>875</v>
      </c>
      <c r="F258" s="38" t="str">
        <f aca="false">B258&amp;"|"&amp;C258&amp;"|"&amp;D258</f>
        <v>44|U|G</v>
      </c>
      <c r="G258" s="45" t="n">
        <f aca="false">INDEX('Transition Stepwise'!$J$2:$J$1137,MATCH(F258,'Transition Stepwise'!$E$2:$E$1137,0))</f>
        <v>0.592592592592593</v>
      </c>
      <c r="H258" s="45" t="n">
        <f aca="false">INDEX(Background!$D$12:$D$27,MATCH(C258&amp;D258,Background!$E$12:$E$27,0))</f>
        <v>0.221480987324883</v>
      </c>
      <c r="I258" s="49" t="n">
        <f aca="false">LN(G258/H258)</f>
        <v>0.984170385421561</v>
      </c>
    </row>
    <row r="259" customFormat="false" ht="15" hidden="false" customHeight="true" outlineLevel="0" collapsed="false">
      <c r="A259" s="38" t="s">
        <v>23</v>
      </c>
      <c r="B259" s="38" t="n">
        <v>45</v>
      </c>
      <c r="C259" s="38" t="s">
        <v>169</v>
      </c>
      <c r="D259" s="38" t="s">
        <v>171</v>
      </c>
      <c r="E259" s="38" t="s">
        <v>875</v>
      </c>
      <c r="F259" s="38" t="str">
        <f aca="false">B259&amp;"|"&amp;C259&amp;"|"&amp;D259</f>
        <v>45|G|U</v>
      </c>
      <c r="G259" s="45" t="n">
        <f aca="false">INDEX('Transition Stepwise'!$J$2:$J$1137,MATCH(F259,'Transition Stepwise'!$E$2:$E$1137,0))</f>
        <v>0.0364963503649635</v>
      </c>
      <c r="H259" s="45" t="n">
        <f aca="false">INDEX(Background!$D$12:$D$27,MATCH(C259&amp;D259,Background!$E$12:$E$27,0))</f>
        <v>0.234763476347635</v>
      </c>
      <c r="I259" s="49" t="n">
        <f aca="false">LN(G259/H259)</f>
        <v>-1.8613662580842</v>
      </c>
    </row>
    <row r="260" customFormat="false" ht="15" hidden="false" customHeight="true" outlineLevel="0" collapsed="false">
      <c r="A260" s="38" t="s">
        <v>23</v>
      </c>
      <c r="B260" s="38" t="n">
        <v>46</v>
      </c>
      <c r="C260" s="38" t="s">
        <v>171</v>
      </c>
      <c r="D260" s="38" t="s">
        <v>171</v>
      </c>
      <c r="E260" s="38" t="s">
        <v>875</v>
      </c>
      <c r="F260" s="38" t="str">
        <f aca="false">B260&amp;"|"&amp;C260&amp;"|"&amp;D260</f>
        <v>46|U|U</v>
      </c>
      <c r="G260" s="45" t="n">
        <f aca="false">INDEX('Transition Stepwise'!$J$2:$J$1137,MATCH(F260,'Transition Stepwise'!$E$2:$E$1137,0))</f>
        <v>0.125</v>
      </c>
      <c r="H260" s="45" t="n">
        <f aca="false">INDEX(Background!$D$12:$D$27,MATCH(C260&amp;D260,Background!$E$12:$E$27,0))</f>
        <v>0.220480320213476</v>
      </c>
      <c r="I260" s="49" t="n">
        <f aca="false">LN(G260/H260)</f>
        <v>-0.567494702868979</v>
      </c>
    </row>
    <row r="261" customFormat="false" ht="15" hidden="false" customHeight="true" outlineLevel="0" collapsed="false">
      <c r="A261" s="38" t="s">
        <v>23</v>
      </c>
      <c r="B261" s="38" t="n">
        <v>47</v>
      </c>
      <c r="C261" s="38" t="s">
        <v>171</v>
      </c>
      <c r="D261" s="38" t="s">
        <v>171</v>
      </c>
      <c r="E261" s="38" t="s">
        <v>875</v>
      </c>
      <c r="F261" s="38" t="str">
        <f aca="false">B261&amp;"|"&amp;C261&amp;"|"&amp;D261</f>
        <v>47|U|U</v>
      </c>
      <c r="G261" s="45" t="n">
        <f aca="false">INDEX('Transition Stepwise'!$J$2:$J$1137,MATCH(F261,'Transition Stepwise'!$E$2:$E$1137,0))</f>
        <v>0.123188405797101</v>
      </c>
      <c r="H261" s="45" t="n">
        <f aca="false">INDEX(Background!$D$12:$D$27,MATCH(C261&amp;D261,Background!$E$12:$E$27,0))</f>
        <v>0.220480320213476</v>
      </c>
      <c r="I261" s="49" t="n">
        <f aca="false">LN(G261/H261)</f>
        <v>-0.582093502290132</v>
      </c>
    </row>
    <row r="262" customFormat="false" ht="15" hidden="false" customHeight="true" outlineLevel="0" collapsed="false">
      <c r="A262" s="38" t="s">
        <v>23</v>
      </c>
      <c r="B262" s="38" t="n">
        <v>48</v>
      </c>
      <c r="C262" s="38" t="s">
        <v>171</v>
      </c>
      <c r="D262" s="38" t="s">
        <v>170</v>
      </c>
      <c r="E262" s="38" t="s">
        <v>875</v>
      </c>
      <c r="F262" s="38" t="str">
        <f aca="false">B262&amp;"|"&amp;C262&amp;"|"&amp;D262</f>
        <v>48|U|C</v>
      </c>
      <c r="G262" s="45" t="n">
        <f aca="false">INDEX('Transition Stepwise'!$J$2:$J$1137,MATCH(F262,'Transition Stepwise'!$E$2:$E$1137,0))</f>
        <v>0.151515151515152</v>
      </c>
      <c r="H262" s="45" t="n">
        <f aca="false">INDEX(Background!$D$12:$D$27,MATCH(C262&amp;D262,Background!$E$12:$E$27,0))</f>
        <v>0.377251501000667</v>
      </c>
      <c r="I262" s="49" t="n">
        <f aca="false">LN(G262/H262)</f>
        <v>-0.912226446485957</v>
      </c>
    </row>
    <row r="263" customFormat="false" ht="15" hidden="false" customHeight="true" outlineLevel="0" collapsed="false">
      <c r="A263" s="38" t="s">
        <v>23</v>
      </c>
      <c r="B263" s="38" t="n">
        <v>49</v>
      </c>
      <c r="C263" s="38" t="s">
        <v>170</v>
      </c>
      <c r="D263" s="38" t="s">
        <v>169</v>
      </c>
      <c r="E263" s="38" t="s">
        <v>875</v>
      </c>
      <c r="F263" s="38" t="str">
        <f aca="false">B263&amp;"|"&amp;C263&amp;"|"&amp;D263</f>
        <v>49|C|G</v>
      </c>
      <c r="G263" s="45" t="n">
        <f aca="false">INDEX('Transition Stepwise'!$J$2:$J$1137,MATCH(F263,'Transition Stepwise'!$E$2:$E$1137,0))</f>
        <v>0.213114754098361</v>
      </c>
      <c r="H263" s="45" t="n">
        <f aca="false">INDEX(Background!$D$12:$D$27,MATCH(C263&amp;D263,Background!$E$12:$E$27,0))</f>
        <v>0.296413502109705</v>
      </c>
      <c r="I263" s="49" t="n">
        <f aca="false">LN(G263/H263)</f>
        <v>-0.329924673790498</v>
      </c>
    </row>
    <row r="264" customFormat="false" ht="15" hidden="false" customHeight="true" outlineLevel="0" collapsed="false">
      <c r="A264" s="38" t="s">
        <v>23</v>
      </c>
      <c r="B264" s="38" t="n">
        <v>50</v>
      </c>
      <c r="C264" s="38" t="s">
        <v>169</v>
      </c>
      <c r="D264" s="38" t="s">
        <v>169</v>
      </c>
      <c r="E264" s="38" t="s">
        <v>875</v>
      </c>
      <c r="F264" s="38" t="str">
        <f aca="false">B264&amp;"|"&amp;C264&amp;"|"&amp;D264</f>
        <v>50|G|G</v>
      </c>
      <c r="G264" s="45" t="n">
        <f aca="false">INDEX('Transition Stepwise'!$J$2:$J$1137,MATCH(F264,'Transition Stepwise'!$E$2:$E$1137,0))</f>
        <v>0.473684210526316</v>
      </c>
      <c r="H264" s="45" t="n">
        <f aca="false">INDEX(Background!$D$12:$D$27,MATCH(C264&amp;D264,Background!$E$12:$E$27,0))</f>
        <v>0.344774477447745</v>
      </c>
      <c r="I264" s="49" t="n">
        <f aca="false">LN(G264/H264)</f>
        <v>0.317650362425337</v>
      </c>
    </row>
    <row r="265" customFormat="false" ht="15" hidden="false" customHeight="true" outlineLevel="0" collapsed="false">
      <c r="A265" s="38" t="s">
        <v>23</v>
      </c>
      <c r="B265" s="38" t="n">
        <v>51</v>
      </c>
      <c r="C265" s="38" t="s">
        <v>169</v>
      </c>
      <c r="D265" s="38" t="s">
        <v>171</v>
      </c>
      <c r="E265" s="38" t="s">
        <v>875</v>
      </c>
      <c r="F265" s="38" t="str">
        <f aca="false">B265&amp;"|"&amp;C265&amp;"|"&amp;D265</f>
        <v>51|G|U</v>
      </c>
      <c r="G265" s="45" t="n">
        <f aca="false">INDEX('Transition Stepwise'!$J$2:$J$1137,MATCH(F265,'Transition Stepwise'!$E$2:$E$1137,0))</f>
        <v>0.0388349514563107</v>
      </c>
      <c r="H265" s="45" t="n">
        <f aca="false">INDEX(Background!$D$12:$D$27,MATCH(C265&amp;D265,Background!$E$12:$E$27,0))</f>
        <v>0.234763476347635</v>
      </c>
      <c r="I265" s="49" t="n">
        <f aca="false">LN(G265/H265)</f>
        <v>-1.79925787179992</v>
      </c>
    </row>
    <row r="266" customFormat="false" ht="15" hidden="false" customHeight="true" outlineLevel="0" collapsed="false">
      <c r="A266" s="38" t="s">
        <v>23</v>
      </c>
      <c r="B266" s="38" t="n">
        <v>52</v>
      </c>
      <c r="C266" s="38" t="s">
        <v>171</v>
      </c>
      <c r="D266" s="38" t="s">
        <v>169</v>
      </c>
      <c r="E266" s="38" t="s">
        <v>875</v>
      </c>
      <c r="F266" s="38" t="str">
        <f aca="false">B266&amp;"|"&amp;C266&amp;"|"&amp;D266</f>
        <v>52|U|G</v>
      </c>
      <c r="G266" s="45" t="n">
        <f aca="false">INDEX('Transition Stepwise'!$J$2:$J$1137,MATCH(F266,'Transition Stepwise'!$E$2:$E$1137,0))</f>
        <v>0.5</v>
      </c>
      <c r="H266" s="45" t="n">
        <f aca="false">INDEX(Background!$D$12:$D$27,MATCH(C266&amp;D266,Background!$E$12:$E$27,0))</f>
        <v>0.221480987324883</v>
      </c>
      <c r="I266" s="49" t="n">
        <f aca="false">LN(G266/H266)</f>
        <v>0.814271348626164</v>
      </c>
    </row>
    <row r="267" customFormat="false" ht="15" hidden="false" customHeight="true" outlineLevel="0" collapsed="false">
      <c r="A267" s="38" t="s">
        <v>23</v>
      </c>
      <c r="B267" s="38" t="n">
        <v>53</v>
      </c>
      <c r="C267" s="38" t="s">
        <v>169</v>
      </c>
      <c r="D267" s="38" t="s">
        <v>171</v>
      </c>
      <c r="E267" s="38" t="s">
        <v>875</v>
      </c>
      <c r="F267" s="38" t="str">
        <f aca="false">B267&amp;"|"&amp;C267&amp;"|"&amp;D267</f>
        <v>53|G|U</v>
      </c>
      <c r="G267" s="45" t="n">
        <f aca="false">INDEX('Transition Stepwise'!$J$2:$J$1137,MATCH(F267,'Transition Stepwise'!$E$2:$E$1137,0))</f>
        <v>0.974874371859297</v>
      </c>
      <c r="H267" s="45" t="n">
        <f aca="false">INDEX(Background!$D$12:$D$27,MATCH(C267&amp;D267,Background!$E$12:$E$27,0))</f>
        <v>0.234763476347635</v>
      </c>
      <c r="I267" s="49" t="n">
        <f aca="false">LN(G267/H267)</f>
        <v>1.42373008964866</v>
      </c>
    </row>
    <row r="268" customFormat="false" ht="15" hidden="false" customHeight="true" outlineLevel="0" collapsed="false">
      <c r="A268" s="38" t="s">
        <v>23</v>
      </c>
      <c r="B268" s="38" t="n">
        <v>54</v>
      </c>
      <c r="C268" s="38" t="s">
        <v>171</v>
      </c>
      <c r="D268" s="38" t="s">
        <v>171</v>
      </c>
      <c r="E268" s="38" t="s">
        <v>875</v>
      </c>
      <c r="F268" s="38" t="str">
        <f aca="false">B268&amp;"|"&amp;C268&amp;"|"&amp;D268</f>
        <v>54|U|U</v>
      </c>
      <c r="G268" s="45" t="n">
        <f aca="false">INDEX('Transition Stepwise'!$J$2:$J$1137,MATCH(F268,'Transition Stepwise'!$E$2:$E$1137,0))</f>
        <v>0.970149253731343</v>
      </c>
      <c r="H268" s="45" t="n">
        <f aca="false">INDEX(Background!$D$12:$D$27,MATCH(C268&amp;D268,Background!$E$12:$E$27,0))</f>
        <v>0.220480320213476</v>
      </c>
      <c r="I268" s="49" t="n">
        <f aca="false">LN(G268/H268)</f>
        <v>1.48164148931553</v>
      </c>
    </row>
    <row r="269" customFormat="false" ht="15" hidden="false" customHeight="true" outlineLevel="0" collapsed="false">
      <c r="A269" s="38" t="s">
        <v>23</v>
      </c>
      <c r="B269" s="38" t="n">
        <v>55</v>
      </c>
      <c r="C269" s="38" t="s">
        <v>171</v>
      </c>
      <c r="D269" s="38" t="s">
        <v>170</v>
      </c>
      <c r="E269" s="38" t="s">
        <v>875</v>
      </c>
      <c r="F269" s="38" t="str">
        <f aca="false">B269&amp;"|"&amp;C269&amp;"|"&amp;D269</f>
        <v>55|U|C</v>
      </c>
      <c r="G269" s="45" t="n">
        <f aca="false">INDEX('Transition Stepwise'!$J$2:$J$1137,MATCH(F269,'Transition Stepwise'!$E$2:$E$1137,0))</f>
        <v>0.975</v>
      </c>
      <c r="H269" s="45" t="n">
        <f aca="false">INDEX(Background!$D$12:$D$27,MATCH(C269&amp;D269,Background!$E$12:$E$27,0))</f>
        <v>0.377251501000667</v>
      </c>
      <c r="I269" s="49" t="n">
        <f aca="false">LN(G269/H269)</f>
        <v>0.949525394562133</v>
      </c>
    </row>
    <row r="270" customFormat="false" ht="15" hidden="false" customHeight="true" outlineLevel="0" collapsed="false">
      <c r="A270" s="38" t="s">
        <v>23</v>
      </c>
      <c r="B270" s="38" t="n">
        <v>56</v>
      </c>
      <c r="C270" s="38" t="s">
        <v>170</v>
      </c>
      <c r="D270" s="38" t="s">
        <v>169</v>
      </c>
      <c r="E270" s="38" t="s">
        <v>875</v>
      </c>
      <c r="F270" s="38" t="str">
        <f aca="false">B270&amp;"|"&amp;C270&amp;"|"&amp;D270</f>
        <v>56|C|G</v>
      </c>
      <c r="G270" s="45" t="n">
        <f aca="false">INDEX('Transition Stepwise'!$J$2:$J$1137,MATCH(F270,'Transition Stepwise'!$E$2:$E$1137,0))</f>
        <v>0.608040201005025</v>
      </c>
      <c r="H270" s="45" t="n">
        <f aca="false">INDEX(Background!$D$12:$D$27,MATCH(C270&amp;D270,Background!$E$12:$E$27,0))</f>
        <v>0.296413502109705</v>
      </c>
      <c r="I270" s="49" t="n">
        <f aca="false">LN(G270/H270)</f>
        <v>0.718485553793525</v>
      </c>
    </row>
    <row r="271" customFormat="false" ht="15" hidden="false" customHeight="true" outlineLevel="0" collapsed="false">
      <c r="A271" s="38" t="s">
        <v>23</v>
      </c>
      <c r="B271" s="38" t="n">
        <v>57</v>
      </c>
      <c r="C271" s="38" t="s">
        <v>169</v>
      </c>
      <c r="D271" s="38" t="s">
        <v>172</v>
      </c>
      <c r="E271" s="38" t="s">
        <v>875</v>
      </c>
      <c r="F271" s="38" t="str">
        <f aca="false">B271&amp;"|"&amp;C271&amp;"|"&amp;D271</f>
        <v>57|G|A</v>
      </c>
      <c r="G271" s="45" t="n">
        <f aca="false">INDEX('Transition Stepwise'!$J$2:$J$1137,MATCH(F271,'Transition Stepwise'!$E$2:$E$1137,0))</f>
        <v>0.976</v>
      </c>
      <c r="H271" s="45" t="n">
        <f aca="false">INDEX(Background!$D$12:$D$27,MATCH(C271&amp;D271,Background!$E$12:$E$27,0))</f>
        <v>0.164356435643564</v>
      </c>
      <c r="I271" s="49" t="n">
        <f aca="false">LN(G271/H271)</f>
        <v>1.78142512890972</v>
      </c>
    </row>
    <row r="272" customFormat="false" ht="15" hidden="false" customHeight="true" outlineLevel="0" collapsed="false">
      <c r="A272" s="38" t="s">
        <v>23</v>
      </c>
      <c r="B272" s="38" t="n">
        <v>58</v>
      </c>
      <c r="C272" s="38" t="s">
        <v>172</v>
      </c>
      <c r="D272" s="38" t="s">
        <v>171</v>
      </c>
      <c r="E272" s="38" t="s">
        <v>875</v>
      </c>
      <c r="F272" s="38" t="str">
        <f aca="false">B272&amp;"|"&amp;C272&amp;"|"&amp;D272</f>
        <v>58|A|U</v>
      </c>
      <c r="G272" s="45" t="n">
        <f aca="false">INDEX('Transition Stepwise'!$J$2:$J$1137,MATCH(F272,'Transition Stepwise'!$E$2:$E$1137,0))</f>
        <v>0.253731343283582</v>
      </c>
      <c r="H272" s="45" t="n">
        <f aca="false">INDEX(Background!$D$12:$D$27,MATCH(C272&amp;D272,Background!$E$12:$E$27,0))</f>
        <v>0.194530046224961</v>
      </c>
      <c r="I272" s="49" t="n">
        <f aca="false">LN(G272/H272)</f>
        <v>0.265689373213871</v>
      </c>
    </row>
    <row r="273" customFormat="false" ht="15" hidden="false" customHeight="true" outlineLevel="0" collapsed="false">
      <c r="A273" s="38" t="s">
        <v>23</v>
      </c>
      <c r="B273" s="38" t="n">
        <v>59</v>
      </c>
      <c r="C273" s="38" t="s">
        <v>171</v>
      </c>
      <c r="D273" s="38" t="s">
        <v>170</v>
      </c>
      <c r="E273" s="38" t="s">
        <v>875</v>
      </c>
      <c r="F273" s="38" t="str">
        <f aca="false">B273&amp;"|"&amp;C273&amp;"|"&amp;D273</f>
        <v>59|U|C</v>
      </c>
      <c r="G273" s="45" t="n">
        <f aca="false">INDEX('Transition Stepwise'!$J$2:$J$1137,MATCH(F273,'Transition Stepwise'!$E$2:$E$1137,0))</f>
        <v>0.425925925925926</v>
      </c>
      <c r="H273" s="45" t="n">
        <f aca="false">INDEX(Background!$D$12:$D$27,MATCH(C273&amp;D273,Background!$E$12:$E$27,0))</f>
        <v>0.377251501000667</v>
      </c>
      <c r="I273" s="49" t="n">
        <f aca="false">LN(G273/H273)</f>
        <v>0.121353371911298</v>
      </c>
    </row>
    <row r="274" customFormat="false" ht="15" hidden="false" customHeight="true" outlineLevel="0" collapsed="false">
      <c r="A274" s="38" t="s">
        <v>23</v>
      </c>
      <c r="B274" s="38" t="n">
        <v>60</v>
      </c>
      <c r="C274" s="38" t="s">
        <v>170</v>
      </c>
      <c r="D274" s="38" t="s">
        <v>170</v>
      </c>
      <c r="E274" s="38" t="s">
        <v>875</v>
      </c>
      <c r="F274" s="38" t="str">
        <f aca="false">B274&amp;"|"&amp;C274&amp;"|"&amp;D274</f>
        <v>60|C|C</v>
      </c>
      <c r="G274" s="45" t="n">
        <f aca="false">INDEX('Transition Stepwise'!$J$2:$J$1137,MATCH(F274,'Transition Stepwise'!$E$2:$E$1137,0))</f>
        <v>0.931818181818182</v>
      </c>
      <c r="H274" s="45" t="n">
        <f aca="false">INDEX(Background!$D$12:$D$27,MATCH(C274&amp;D274,Background!$E$12:$E$27,0))</f>
        <v>0.312236286919831</v>
      </c>
      <c r="I274" s="49" t="n">
        <f aca="false">LN(G274/H274)</f>
        <v>1.09337748071701</v>
      </c>
    </row>
    <row r="275" customFormat="false" ht="15" hidden="false" customHeight="true" outlineLevel="0" collapsed="false">
      <c r="A275" s="38" t="s">
        <v>23</v>
      </c>
      <c r="B275" s="38" t="n">
        <v>61</v>
      </c>
      <c r="C275" s="38" t="s">
        <v>170</v>
      </c>
      <c r="D275" s="38" t="s">
        <v>172</v>
      </c>
      <c r="E275" s="38" t="s">
        <v>875</v>
      </c>
      <c r="F275" s="38" t="str">
        <f aca="false">B275&amp;"|"&amp;C275&amp;"|"&amp;D275</f>
        <v>61|C|A</v>
      </c>
      <c r="G275" s="45" t="n">
        <f aca="false">INDEX('Transition Stepwise'!$J$2:$J$1137,MATCH(F275,'Transition Stepwise'!$E$2:$E$1137,0))</f>
        <v>0.0199004975124378</v>
      </c>
      <c r="H275" s="45" t="n">
        <f aca="false">INDEX(Background!$D$12:$D$27,MATCH(C275&amp;D275,Background!$E$12:$E$27,0))</f>
        <v>0.194883966244726</v>
      </c>
      <c r="I275" s="49" t="n">
        <f aca="false">LN(G275/H275)</f>
        <v>-2.28165960451247</v>
      </c>
    </row>
    <row r="276" customFormat="false" ht="15" hidden="false" customHeight="true" outlineLevel="0" collapsed="false">
      <c r="A276" s="38" t="s">
        <v>23</v>
      </c>
      <c r="B276" s="38" t="n">
        <v>62</v>
      </c>
      <c r="C276" s="38" t="s">
        <v>172</v>
      </c>
      <c r="D276" s="38" t="s">
        <v>170</v>
      </c>
      <c r="E276" s="38" t="s">
        <v>875</v>
      </c>
      <c r="F276" s="38" t="str">
        <f aca="false">B276&amp;"|"&amp;C276&amp;"|"&amp;D276</f>
        <v>62|A|C</v>
      </c>
      <c r="G276" s="45" t="n">
        <f aca="false">INDEX('Transition Stepwise'!$J$2:$J$1137,MATCH(F276,'Transition Stepwise'!$E$2:$E$1137,0))</f>
        <v>0.571428571428571</v>
      </c>
      <c r="H276" s="45" t="n">
        <f aca="false">INDEX(Background!$D$12:$D$27,MATCH(C276&amp;D276,Background!$E$12:$E$27,0))</f>
        <v>0.161016949152542</v>
      </c>
      <c r="I276" s="49" t="n">
        <f aca="false">LN(G276/H276)</f>
        <v>1.2666298573638</v>
      </c>
    </row>
    <row r="277" customFormat="false" ht="15" hidden="false" customHeight="true" outlineLevel="0" collapsed="false">
      <c r="A277" s="38" t="s">
        <v>23</v>
      </c>
      <c r="B277" s="38" t="n">
        <v>63</v>
      </c>
      <c r="C277" s="38" t="s">
        <v>170</v>
      </c>
      <c r="D277" s="38" t="s">
        <v>170</v>
      </c>
      <c r="E277" s="38" t="s">
        <v>875</v>
      </c>
      <c r="F277" s="38" t="str">
        <f aca="false">B277&amp;"|"&amp;C277&amp;"|"&amp;D277</f>
        <v>63|C|C</v>
      </c>
      <c r="G277" s="45" t="n">
        <f aca="false">INDEX('Transition Stepwise'!$J$2:$J$1137,MATCH(F277,'Transition Stepwise'!$E$2:$E$1137,0))</f>
        <v>0.188118811881188</v>
      </c>
      <c r="H277" s="45" t="n">
        <f aca="false">INDEX(Background!$D$12:$D$27,MATCH(C277&amp;D277,Background!$E$12:$E$27,0))</f>
        <v>0.312236286919831</v>
      </c>
      <c r="I277" s="49" t="n">
        <f aca="false">LN(G277/H277)</f>
        <v>-0.506686489743858</v>
      </c>
    </row>
    <row r="278" customFormat="false" ht="15" hidden="false" customHeight="true" outlineLevel="0" collapsed="false">
      <c r="A278" s="38" t="s">
        <v>23</v>
      </c>
      <c r="B278" s="38" t="n">
        <v>64</v>
      </c>
      <c r="C278" s="38" t="s">
        <v>170</v>
      </c>
      <c r="D278" s="38" t="s">
        <v>169</v>
      </c>
      <c r="E278" s="38" t="s">
        <v>875</v>
      </c>
      <c r="F278" s="38" t="str">
        <f aca="false">B278&amp;"|"&amp;C278&amp;"|"&amp;D278</f>
        <v>64|C|G</v>
      </c>
      <c r="G278" s="45" t="n">
        <f aca="false">INDEX('Transition Stepwise'!$J$2:$J$1137,MATCH(F278,'Transition Stepwise'!$E$2:$E$1137,0))</f>
        <v>0.260869565217391</v>
      </c>
      <c r="H278" s="45" t="n">
        <f aca="false">INDEX(Background!$D$12:$D$27,MATCH(C278&amp;D278,Background!$E$12:$E$27,0))</f>
        <v>0.296413502109705</v>
      </c>
      <c r="I278" s="49" t="n">
        <f aca="false">LN(G278/H278)</f>
        <v>-0.127734913779819</v>
      </c>
    </row>
    <row r="279" customFormat="false" ht="15" hidden="false" customHeight="true" outlineLevel="0" collapsed="false">
      <c r="A279" s="38" t="s">
        <v>23</v>
      </c>
      <c r="B279" s="38" t="n">
        <v>65</v>
      </c>
      <c r="C279" s="38" t="s">
        <v>169</v>
      </c>
      <c r="D279" s="38" t="s">
        <v>169</v>
      </c>
      <c r="E279" s="38" t="s">
        <v>875</v>
      </c>
      <c r="F279" s="38" t="str">
        <f aca="false">B279&amp;"|"&amp;C279&amp;"|"&amp;D279</f>
        <v>65|G|G</v>
      </c>
      <c r="G279" s="45" t="n">
        <f aca="false">INDEX('Transition Stepwise'!$J$2:$J$1137,MATCH(F279,'Transition Stepwise'!$E$2:$E$1137,0))</f>
        <v>0.0327868852459016</v>
      </c>
      <c r="H279" s="45" t="n">
        <f aca="false">INDEX(Background!$D$12:$D$27,MATCH(C279&amp;D279,Background!$E$12:$E$27,0))</f>
        <v>0.344774477447745</v>
      </c>
      <c r="I279" s="49" t="n">
        <f aca="false">LN(G279/H279)</f>
        <v>-2.35286191935781</v>
      </c>
    </row>
    <row r="280" customFormat="false" ht="15" hidden="false" customHeight="true" outlineLevel="0" collapsed="false">
      <c r="A280" s="38" t="s">
        <v>23</v>
      </c>
      <c r="B280" s="38" t="n">
        <v>66</v>
      </c>
      <c r="C280" s="38" t="s">
        <v>169</v>
      </c>
      <c r="D280" s="38" t="s">
        <v>171</v>
      </c>
      <c r="E280" s="38" t="s">
        <v>875</v>
      </c>
      <c r="F280" s="38" t="str">
        <f aca="false">B280&amp;"|"&amp;C280&amp;"|"&amp;D280</f>
        <v>66|G|U</v>
      </c>
      <c r="G280" s="45" t="n">
        <f aca="false">INDEX('Transition Stepwise'!$J$2:$J$1137,MATCH(F280,'Transition Stepwise'!$E$2:$E$1137,0))</f>
        <v>0.166666666666667</v>
      </c>
      <c r="H280" s="45" t="n">
        <f aca="false">INDEX(Background!$D$12:$D$27,MATCH(C280&amp;D280,Background!$E$12:$E$27,0))</f>
        <v>0.234763476347635</v>
      </c>
      <c r="I280" s="49" t="n">
        <f aca="false">LN(G280/H280)</f>
        <v>-0.342582713918229</v>
      </c>
    </row>
    <row r="281" customFormat="false" ht="15" hidden="false" customHeight="true" outlineLevel="0" collapsed="false">
      <c r="A281" s="38" t="s">
        <v>23</v>
      </c>
      <c r="B281" s="38" t="n">
        <v>67</v>
      </c>
      <c r="C281" s="38" t="s">
        <v>171</v>
      </c>
      <c r="D281" s="38" t="s">
        <v>169</v>
      </c>
      <c r="E281" s="38" t="s">
        <v>875</v>
      </c>
      <c r="F281" s="38" t="str">
        <f aca="false">B281&amp;"|"&amp;C281&amp;"|"&amp;D281</f>
        <v>67|U|G</v>
      </c>
      <c r="G281" s="45" t="n">
        <f aca="false">INDEX('Transition Stepwise'!$J$2:$J$1137,MATCH(F281,'Transition Stepwise'!$E$2:$E$1137,0))</f>
        <v>0.285714285714286</v>
      </c>
      <c r="H281" s="45" t="n">
        <f aca="false">INDEX(Background!$D$12:$D$27,MATCH(C281&amp;D281,Background!$E$12:$E$27,0))</f>
        <v>0.221480987324883</v>
      </c>
      <c r="I281" s="49" t="n">
        <f aca="false">LN(G281/H281)</f>
        <v>0.254655560690741</v>
      </c>
    </row>
    <row r="282" customFormat="false" ht="15" hidden="false" customHeight="true" outlineLevel="0" collapsed="false">
      <c r="A282" s="38" t="s">
        <v>23</v>
      </c>
      <c r="B282" s="38" t="n">
        <v>68</v>
      </c>
      <c r="C282" s="38" t="s">
        <v>169</v>
      </c>
      <c r="D282" s="38" t="s">
        <v>171</v>
      </c>
      <c r="E282" s="38" t="s">
        <v>875</v>
      </c>
      <c r="F282" s="38" t="str">
        <f aca="false">B282&amp;"|"&amp;C282&amp;"|"&amp;D282</f>
        <v>68|G|U</v>
      </c>
      <c r="G282" s="45" t="n">
        <f aca="false">INDEX('Transition Stepwise'!$J$2:$J$1137,MATCH(F282,'Transition Stepwise'!$E$2:$E$1137,0))</f>
        <v>0.043956043956044</v>
      </c>
      <c r="H282" s="45" t="n">
        <f aca="false">INDEX(Background!$D$12:$D$27,MATCH(C282&amp;D282,Background!$E$12:$E$27,0))</f>
        <v>0.234763476347635</v>
      </c>
      <c r="I282" s="49" t="n">
        <f aca="false">LN(G282/H282)</f>
        <v>-1.67538839008713</v>
      </c>
    </row>
    <row r="283" customFormat="false" ht="15" hidden="false" customHeight="true" outlineLevel="0" collapsed="false">
      <c r="A283" s="38" t="s">
        <v>23</v>
      </c>
      <c r="B283" s="38" t="n">
        <v>69</v>
      </c>
      <c r="C283" s="38" t="s">
        <v>171</v>
      </c>
      <c r="D283" s="38" t="s">
        <v>171</v>
      </c>
      <c r="E283" s="38" t="s">
        <v>875</v>
      </c>
      <c r="F283" s="38" t="str">
        <f aca="false">B283&amp;"|"&amp;C283&amp;"|"&amp;D283</f>
        <v>69|U|U</v>
      </c>
      <c r="G283" s="45" t="n">
        <f aca="false">INDEX('Transition Stepwise'!$J$2:$J$1137,MATCH(F283,'Transition Stepwise'!$E$2:$E$1137,0))</f>
        <v>0.15</v>
      </c>
      <c r="H283" s="45" t="n">
        <f aca="false">INDEX(Background!$D$12:$D$27,MATCH(C283&amp;D283,Background!$E$12:$E$27,0))</f>
        <v>0.220480320213476</v>
      </c>
      <c r="I283" s="49" t="n">
        <f aca="false">LN(G283/H283)</f>
        <v>-0.385173146075025</v>
      </c>
    </row>
    <row r="284" customFormat="false" ht="15" hidden="false" customHeight="true" outlineLevel="0" collapsed="false">
      <c r="A284" s="38" t="s">
        <v>23</v>
      </c>
      <c r="B284" s="38" t="n">
        <v>70</v>
      </c>
      <c r="C284" s="38" t="s">
        <v>171</v>
      </c>
      <c r="D284" s="38" t="s">
        <v>169</v>
      </c>
      <c r="E284" s="38" t="s">
        <v>875</v>
      </c>
      <c r="F284" s="38" t="str">
        <f aca="false">B284&amp;"|"&amp;C284&amp;"|"&amp;D284</f>
        <v>70|U|G</v>
      </c>
      <c r="G284" s="45" t="n">
        <f aca="false">INDEX('Transition Stepwise'!$J$2:$J$1137,MATCH(F284,'Transition Stepwise'!$E$2:$E$1137,0))</f>
        <v>0.0882352941176471</v>
      </c>
      <c r="H284" s="45" t="n">
        <f aca="false">INDEX(Background!$D$12:$D$27,MATCH(C284&amp;D284,Background!$E$12:$E$27,0))</f>
        <v>0.221480987324883</v>
      </c>
      <c r="I284" s="49" t="n">
        <f aca="false">LN(G284/H284)</f>
        <v>-0.920329706761943</v>
      </c>
    </row>
    <row r="285" customFormat="false" ht="15" hidden="false" customHeight="true" outlineLevel="0" collapsed="false">
      <c r="A285" s="38" t="s">
        <v>23</v>
      </c>
      <c r="B285" s="38" t="n">
        <v>71</v>
      </c>
      <c r="C285" s="38" t="s">
        <v>169</v>
      </c>
      <c r="D285" s="38" t="s">
        <v>169</v>
      </c>
      <c r="E285" s="38" t="s">
        <v>875</v>
      </c>
      <c r="F285" s="38" t="str">
        <f aca="false">B285&amp;"|"&amp;C285&amp;"|"&amp;D285</f>
        <v>71|G|G</v>
      </c>
      <c r="G285" s="45" t="n">
        <f aca="false">INDEX('Transition Stepwise'!$J$2:$J$1137,MATCH(F285,'Transition Stepwise'!$E$2:$E$1137,0))</f>
        <v>0.0581395348837209</v>
      </c>
      <c r="H285" s="45" t="n">
        <f aca="false">INDEX(Background!$D$12:$D$27,MATCH(C285&amp;D285,Background!$E$12:$E$27,0))</f>
        <v>0.344774477447745</v>
      </c>
      <c r="I285" s="49" t="n">
        <f aca="false">LN(G285/H285)</f>
        <v>-1.78004461956385</v>
      </c>
    </row>
    <row r="286" customFormat="false" ht="15" hidden="false" customHeight="true" outlineLevel="0" collapsed="false">
      <c r="A286" s="38" t="s">
        <v>27</v>
      </c>
      <c r="B286" s="38" t="n">
        <v>1</v>
      </c>
      <c r="C286" s="38" t="s">
        <v>171</v>
      </c>
      <c r="D286" s="38" t="s">
        <v>170</v>
      </c>
      <c r="E286" s="38" t="s">
        <v>875</v>
      </c>
      <c r="F286" s="38" t="str">
        <f aca="false">B286&amp;"|"&amp;C286&amp;"|"&amp;D286</f>
        <v>1|U|C</v>
      </c>
      <c r="G286" s="45" t="n">
        <f aca="false">INDEX('Transition Stepwise'!$J$2:$J$1137,MATCH(F286,'Transition Stepwise'!$E$2:$E$1137,0))</f>
        <v>0.588235294117647</v>
      </c>
      <c r="H286" s="45" t="n">
        <f aca="false">INDEX(Background!$D$12:$D$27,MATCH(C286&amp;D286,Background!$E$12:$E$27,0))</f>
        <v>0.377251501000667</v>
      </c>
      <c r="I286" s="49" t="n">
        <f aca="false">LN(G286/H286)</f>
        <v>0.444214951484252</v>
      </c>
    </row>
    <row r="287" customFormat="false" ht="15" hidden="false" customHeight="true" outlineLevel="0" collapsed="false">
      <c r="A287" s="38" t="s">
        <v>27</v>
      </c>
      <c r="B287" s="38" t="n">
        <v>2</v>
      </c>
      <c r="C287" s="38" t="s">
        <v>170</v>
      </c>
      <c r="D287" s="38" t="s">
        <v>172</v>
      </c>
      <c r="E287" s="38" t="s">
        <v>875</v>
      </c>
      <c r="F287" s="38" t="str">
        <f aca="false">B287&amp;"|"&amp;C287&amp;"|"&amp;D287</f>
        <v>2|C|A</v>
      </c>
      <c r="G287" s="45" t="n">
        <f aca="false">INDEX('Transition Stepwise'!$J$2:$J$1137,MATCH(F287,'Transition Stepwise'!$E$2:$E$1137,0))</f>
        <v>0.0348837209302326</v>
      </c>
      <c r="H287" s="45" t="n">
        <f aca="false">INDEX(Background!$D$12:$D$27,MATCH(C287&amp;D287,Background!$E$12:$E$27,0))</f>
        <v>0.194883966244726</v>
      </c>
      <c r="I287" s="49" t="n">
        <f aca="false">LN(G287/H287)</f>
        <v>-1.72038406515869</v>
      </c>
    </row>
    <row r="288" customFormat="false" ht="15" hidden="false" customHeight="true" outlineLevel="0" collapsed="false">
      <c r="A288" s="38" t="s">
        <v>27</v>
      </c>
      <c r="B288" s="38" t="n">
        <v>3</v>
      </c>
      <c r="C288" s="38" t="s">
        <v>172</v>
      </c>
      <c r="D288" s="38" t="s">
        <v>172</v>
      </c>
      <c r="E288" s="38" t="s">
        <v>875</v>
      </c>
      <c r="F288" s="38" t="str">
        <f aca="false">B288&amp;"|"&amp;C288&amp;"|"&amp;D288</f>
        <v>3|A|A</v>
      </c>
      <c r="G288" s="45" t="n">
        <f aca="false">INDEX('Transition Stepwise'!$J$2:$J$1137,MATCH(F288,'Transition Stepwise'!$E$2:$E$1137,0))</f>
        <v>0.166666666666667</v>
      </c>
      <c r="H288" s="45" t="n">
        <f aca="false">INDEX(Background!$D$12:$D$27,MATCH(C288&amp;D288,Background!$E$12:$E$27,0))</f>
        <v>0.219568567026194</v>
      </c>
      <c r="I288" s="49" t="n">
        <f aca="false">LN(G288/H288)</f>
        <v>-0.27566875223267</v>
      </c>
    </row>
    <row r="289" customFormat="false" ht="15" hidden="false" customHeight="true" outlineLevel="0" collapsed="false">
      <c r="A289" s="38" t="s">
        <v>27</v>
      </c>
      <c r="B289" s="38" t="n">
        <v>4</v>
      </c>
      <c r="C289" s="38" t="s">
        <v>172</v>
      </c>
      <c r="D289" s="38" t="s">
        <v>170</v>
      </c>
      <c r="E289" s="38" t="s">
        <v>875</v>
      </c>
      <c r="F289" s="38" t="str">
        <f aca="false">B289&amp;"|"&amp;C289&amp;"|"&amp;D289</f>
        <v>4|A|C</v>
      </c>
      <c r="G289" s="45" t="n">
        <f aca="false">INDEX('Transition Stepwise'!$J$2:$J$1137,MATCH(F289,'Transition Stepwise'!$E$2:$E$1137,0))</f>
        <v>0.210526315789474</v>
      </c>
      <c r="H289" s="45" t="n">
        <f aca="false">INDEX(Background!$D$12:$D$27,MATCH(C289&amp;D289,Background!$E$12:$E$27,0))</f>
        <v>0.161016949152542</v>
      </c>
      <c r="I289" s="49" t="n">
        <f aca="false">LN(G289/H289)</f>
        <v>0.268101027252674</v>
      </c>
    </row>
    <row r="290" customFormat="false" ht="15" hidden="false" customHeight="true" outlineLevel="0" collapsed="false">
      <c r="A290" s="38" t="s">
        <v>27</v>
      </c>
      <c r="B290" s="38" t="n">
        <v>5</v>
      </c>
      <c r="C290" s="38" t="s">
        <v>170</v>
      </c>
      <c r="D290" s="38" t="s">
        <v>172</v>
      </c>
      <c r="E290" s="38" t="s">
        <v>875</v>
      </c>
      <c r="F290" s="38" t="str">
        <f aca="false">B290&amp;"|"&amp;C290&amp;"|"&amp;D290</f>
        <v>5|C|A</v>
      </c>
      <c r="G290" s="45" t="n">
        <f aca="false">INDEX('Transition Stepwise'!$J$2:$J$1137,MATCH(F290,'Transition Stepwise'!$E$2:$E$1137,0))</f>
        <v>0.156626506024096</v>
      </c>
      <c r="H290" s="45" t="n">
        <f aca="false">INDEX(Background!$D$12:$D$27,MATCH(C290&amp;D290,Background!$E$12:$E$27,0))</f>
        <v>0.194883966244726</v>
      </c>
      <c r="I290" s="49" t="n">
        <f aca="false">LN(G290/H290)</f>
        <v>-0.218540307908351</v>
      </c>
    </row>
    <row r="291" customFormat="false" ht="15" hidden="false" customHeight="true" outlineLevel="0" collapsed="false">
      <c r="A291" s="38" t="s">
        <v>27</v>
      </c>
      <c r="B291" s="38" t="n">
        <v>6</v>
      </c>
      <c r="C291" s="38" t="s">
        <v>172</v>
      </c>
      <c r="D291" s="38" t="s">
        <v>171</v>
      </c>
      <c r="E291" s="38" t="s">
        <v>875</v>
      </c>
      <c r="F291" s="38" t="str">
        <f aca="false">B291&amp;"|"&amp;C291&amp;"|"&amp;D291</f>
        <v>6|A|U</v>
      </c>
      <c r="G291" s="45" t="n">
        <f aca="false">INDEX('Transition Stepwise'!$J$2:$J$1137,MATCH(F291,'Transition Stepwise'!$E$2:$E$1137,0))</f>
        <v>0.289473684210526</v>
      </c>
      <c r="H291" s="45" t="n">
        <f aca="false">INDEX(Background!$D$12:$D$27,MATCH(C291&amp;D291,Background!$E$12:$E$27,0))</f>
        <v>0.194530046224961</v>
      </c>
      <c r="I291" s="49" t="n">
        <f aca="false">LN(G291/H291)</f>
        <v>0.397477761620606</v>
      </c>
    </row>
    <row r="292" customFormat="false" ht="15" hidden="false" customHeight="true" outlineLevel="0" collapsed="false">
      <c r="A292" s="38" t="s">
        <v>27</v>
      </c>
      <c r="B292" s="38" t="n">
        <v>7</v>
      </c>
      <c r="C292" s="38" t="s">
        <v>171</v>
      </c>
      <c r="D292" s="38" t="s">
        <v>171</v>
      </c>
      <c r="E292" s="38" t="s">
        <v>875</v>
      </c>
      <c r="F292" s="38" t="str">
        <f aca="false">B292&amp;"|"&amp;C292&amp;"|"&amp;D292</f>
        <v>7|U|U</v>
      </c>
      <c r="G292" s="45" t="n">
        <f aca="false">INDEX('Transition Stepwise'!$J$2:$J$1137,MATCH(F292,'Transition Stepwise'!$E$2:$E$1137,0))</f>
        <v>0.9375</v>
      </c>
      <c r="H292" s="45" t="n">
        <f aca="false">INDEX(Background!$D$12:$D$27,MATCH(C292&amp;D292,Background!$E$12:$E$27,0))</f>
        <v>0.220480320213476</v>
      </c>
      <c r="I292" s="49" t="n">
        <f aca="false">LN(G292/H292)</f>
        <v>1.44740831767329</v>
      </c>
    </row>
    <row r="293" customFormat="false" ht="15" hidden="false" customHeight="true" outlineLevel="0" collapsed="false">
      <c r="A293" s="38" t="s">
        <v>27</v>
      </c>
      <c r="B293" s="38" t="n">
        <v>8</v>
      </c>
      <c r="C293" s="38" t="s">
        <v>171</v>
      </c>
      <c r="D293" s="38" t="s">
        <v>172</v>
      </c>
      <c r="E293" s="38" t="s">
        <v>875</v>
      </c>
      <c r="F293" s="38" t="str">
        <f aca="false">B293&amp;"|"&amp;C293&amp;"|"&amp;D293</f>
        <v>8|U|A</v>
      </c>
      <c r="G293" s="45" t="n">
        <f aca="false">INDEX('Transition Stepwise'!$J$2:$J$1137,MATCH(F293,'Transition Stepwise'!$E$2:$E$1137,0))</f>
        <v>0.65</v>
      </c>
      <c r="H293" s="45" t="n">
        <f aca="false">INDEX(Background!$D$12:$D$27,MATCH(C293&amp;D293,Background!$E$12:$E$27,0))</f>
        <v>0.180787191460974</v>
      </c>
      <c r="I293" s="49" t="n">
        <f aca="false">LN(G293/H293)</f>
        <v>1.27965176113044</v>
      </c>
    </row>
    <row r="294" customFormat="false" ht="15" hidden="false" customHeight="true" outlineLevel="0" collapsed="false">
      <c r="A294" s="38" t="s">
        <v>27</v>
      </c>
      <c r="B294" s="38" t="n">
        <v>9</v>
      </c>
      <c r="C294" s="38" t="s">
        <v>172</v>
      </c>
      <c r="D294" s="38" t="s">
        <v>169</v>
      </c>
      <c r="E294" s="38" t="s">
        <v>875</v>
      </c>
      <c r="F294" s="38" t="str">
        <f aca="false">B294&amp;"|"&amp;C294&amp;"|"&amp;D294</f>
        <v>9|A|G</v>
      </c>
      <c r="G294" s="45" t="n">
        <f aca="false">INDEX('Transition Stepwise'!$J$2:$J$1137,MATCH(F294,'Transition Stepwise'!$E$2:$E$1137,0))</f>
        <v>0.962686567164179</v>
      </c>
      <c r="H294" s="45" t="n">
        <f aca="false">INDEX(Background!$D$12:$D$27,MATCH(C294&amp;D294,Background!$E$12:$E$27,0))</f>
        <v>0.424884437596302</v>
      </c>
      <c r="I294" s="49" t="n">
        <f aca="false">LN(G294/H294)</f>
        <v>0.817910662981239</v>
      </c>
    </row>
    <row r="295" customFormat="false" ht="15" hidden="false" customHeight="true" outlineLevel="0" collapsed="false">
      <c r="A295" s="38" t="s">
        <v>27</v>
      </c>
      <c r="B295" s="38" t="n">
        <v>10</v>
      </c>
      <c r="C295" s="38" t="s">
        <v>169</v>
      </c>
      <c r="D295" s="38" t="s">
        <v>169</v>
      </c>
      <c r="E295" s="38" t="s">
        <v>875</v>
      </c>
      <c r="F295" s="38" t="str">
        <f aca="false">B295&amp;"|"&amp;C295&amp;"|"&amp;D295</f>
        <v>10|G|G</v>
      </c>
      <c r="G295" s="45" t="n">
        <f aca="false">INDEX('Transition Stepwise'!$J$2:$J$1137,MATCH(F295,'Transition Stepwise'!$E$2:$E$1137,0))</f>
        <v>0.0307692307692308</v>
      </c>
      <c r="H295" s="45" t="n">
        <f aca="false">INDEX(Background!$D$12:$D$27,MATCH(C295&amp;D295,Background!$E$12:$E$27,0))</f>
        <v>0.344774477447745</v>
      </c>
      <c r="I295" s="49" t="n">
        <f aca="false">LN(G295/H295)</f>
        <v>-2.41637532508013</v>
      </c>
    </row>
    <row r="296" customFormat="false" ht="15" hidden="false" customHeight="true" outlineLevel="0" collapsed="false">
      <c r="A296" s="38" t="s">
        <v>27</v>
      </c>
      <c r="B296" s="38" t="n">
        <v>11</v>
      </c>
      <c r="C296" s="38" t="s">
        <v>169</v>
      </c>
      <c r="D296" s="38" t="s">
        <v>172</v>
      </c>
      <c r="E296" s="38" t="s">
        <v>875</v>
      </c>
      <c r="F296" s="38" t="str">
        <f aca="false">B296&amp;"|"&amp;C296&amp;"|"&amp;D296</f>
        <v>11|G|A</v>
      </c>
      <c r="G296" s="45" t="n">
        <f aca="false">INDEX('Transition Stepwise'!$J$2:$J$1137,MATCH(F296,'Transition Stepwise'!$E$2:$E$1137,0))</f>
        <v>0.3</v>
      </c>
      <c r="H296" s="45" t="n">
        <f aca="false">INDEX(Background!$D$12:$D$27,MATCH(C296&amp;D296,Background!$E$12:$E$27,0))</f>
        <v>0.164356435643564</v>
      </c>
      <c r="I296" s="49" t="n">
        <f aca="false">LN(G296/H296)</f>
        <v>0.601745017152826</v>
      </c>
    </row>
    <row r="297" customFormat="false" ht="15" hidden="false" customHeight="true" outlineLevel="0" collapsed="false">
      <c r="A297" s="38" t="s">
        <v>27</v>
      </c>
      <c r="B297" s="38" t="n">
        <v>12</v>
      </c>
      <c r="C297" s="38" t="s">
        <v>172</v>
      </c>
      <c r="D297" s="38" t="s">
        <v>171</v>
      </c>
      <c r="E297" s="38" t="s">
        <v>875</v>
      </c>
      <c r="F297" s="38" t="str">
        <f aca="false">B297&amp;"|"&amp;C297&amp;"|"&amp;D297</f>
        <v>12|A|U</v>
      </c>
      <c r="G297" s="45" t="n">
        <f aca="false">INDEX('Transition Stepwise'!$J$2:$J$1137,MATCH(F297,'Transition Stepwise'!$E$2:$E$1137,0))</f>
        <v>0.470588235294118</v>
      </c>
      <c r="H297" s="45" t="n">
        <f aca="false">INDEX(Background!$D$12:$D$27,MATCH(C297&amp;D297,Background!$E$12:$E$27,0))</f>
        <v>0.194530046224961</v>
      </c>
      <c r="I297" s="49" t="n">
        <f aca="false">LN(G297/H297)</f>
        <v>0.883396846172241</v>
      </c>
    </row>
    <row r="298" customFormat="false" ht="15" hidden="false" customHeight="true" outlineLevel="0" collapsed="false">
      <c r="A298" s="38" t="s">
        <v>27</v>
      </c>
      <c r="B298" s="38" t="n">
        <v>13</v>
      </c>
      <c r="C298" s="38" t="s">
        <v>171</v>
      </c>
      <c r="D298" s="38" t="s">
        <v>172</v>
      </c>
      <c r="E298" s="38" t="s">
        <v>875</v>
      </c>
      <c r="F298" s="38" t="str">
        <f aca="false">B298&amp;"|"&amp;C298&amp;"|"&amp;D298</f>
        <v>13|U|A</v>
      </c>
      <c r="G298" s="45" t="n">
        <f aca="false">INDEX('Transition Stepwise'!$J$2:$J$1137,MATCH(F298,'Transition Stepwise'!$E$2:$E$1137,0))</f>
        <v>0.928571428571429</v>
      </c>
      <c r="H298" s="45" t="n">
        <f aca="false">INDEX(Background!$D$12:$D$27,MATCH(C298&amp;D298,Background!$E$12:$E$27,0))</f>
        <v>0.180787191460974</v>
      </c>
      <c r="I298" s="49" t="n">
        <f aca="false">LN(G298/H298)</f>
        <v>1.63632670506918</v>
      </c>
    </row>
    <row r="299" customFormat="false" ht="15" hidden="false" customHeight="true" outlineLevel="0" collapsed="false">
      <c r="A299" s="38" t="s">
        <v>27</v>
      </c>
      <c r="B299" s="38" t="n">
        <v>14</v>
      </c>
      <c r="C299" s="38" t="s">
        <v>172</v>
      </c>
      <c r="D299" s="38" t="s">
        <v>169</v>
      </c>
      <c r="E299" s="38" t="s">
        <v>875</v>
      </c>
      <c r="F299" s="38" t="str">
        <f aca="false">B299&amp;"|"&amp;C299&amp;"|"&amp;D299</f>
        <v>14|A|G</v>
      </c>
      <c r="G299" s="45" t="n">
        <f aca="false">INDEX('Transition Stepwise'!$J$2:$J$1137,MATCH(F299,'Transition Stepwise'!$E$2:$E$1137,0))</f>
        <v>0.81</v>
      </c>
      <c r="H299" s="45" t="n">
        <f aca="false">INDEX(Background!$D$12:$D$27,MATCH(C299&amp;D299,Background!$E$12:$E$27,0))</f>
        <v>0.424884437596302</v>
      </c>
      <c r="I299" s="49" t="n">
        <f aca="false">LN(G299/H299)</f>
        <v>0.645217027254826</v>
      </c>
    </row>
    <row r="300" customFormat="false" ht="15" hidden="false" customHeight="true" outlineLevel="0" collapsed="false">
      <c r="A300" s="38" t="s">
        <v>27</v>
      </c>
      <c r="B300" s="38" t="n">
        <v>15</v>
      </c>
      <c r="C300" s="38" t="s">
        <v>169</v>
      </c>
      <c r="D300" s="38" t="s">
        <v>172</v>
      </c>
      <c r="E300" s="38" t="s">
        <v>875</v>
      </c>
      <c r="F300" s="38" t="str">
        <f aca="false">B300&amp;"|"&amp;C300&amp;"|"&amp;D300</f>
        <v>15|G|A</v>
      </c>
      <c r="G300" s="45" t="n">
        <f aca="false">INDEX('Transition Stepwise'!$J$2:$J$1137,MATCH(F300,'Transition Stepwise'!$E$2:$E$1137,0))</f>
        <v>0.0256410256410256</v>
      </c>
      <c r="H300" s="45" t="n">
        <f aca="false">INDEX(Background!$D$12:$D$27,MATCH(C300&amp;D300,Background!$E$12:$E$27,0))</f>
        <v>0.164356435643564</v>
      </c>
      <c r="I300" s="49" t="n">
        <f aca="false">LN(G300/H300)</f>
        <v>-1.85784382465088</v>
      </c>
    </row>
    <row r="301" customFormat="false" ht="15" hidden="false" customHeight="true" outlineLevel="0" collapsed="false">
      <c r="A301" s="38" t="s">
        <v>27</v>
      </c>
      <c r="B301" s="38" t="n">
        <v>16</v>
      </c>
      <c r="C301" s="38" t="s">
        <v>172</v>
      </c>
      <c r="D301" s="38" t="s">
        <v>171</v>
      </c>
      <c r="E301" s="38" t="s">
        <v>875</v>
      </c>
      <c r="F301" s="38" t="str">
        <f aca="false">B301&amp;"|"&amp;C301&amp;"|"&amp;D301</f>
        <v>16|A|U</v>
      </c>
      <c r="G301" s="45" t="n">
        <f aca="false">INDEX('Transition Stepwise'!$J$2:$J$1137,MATCH(F301,'Transition Stepwise'!$E$2:$E$1137,0))</f>
        <v>0.428571428571429</v>
      </c>
      <c r="H301" s="45" t="n">
        <f aca="false">INDEX(Background!$D$12:$D$27,MATCH(C301&amp;D301,Background!$E$12:$E$27,0))</f>
        <v>0.194530046224961</v>
      </c>
      <c r="I301" s="49" t="n">
        <f aca="false">LN(G301/H301)</f>
        <v>0.789870788161417</v>
      </c>
    </row>
    <row r="302" customFormat="false" ht="15" hidden="false" customHeight="true" outlineLevel="0" collapsed="false">
      <c r="A302" s="38" t="s">
        <v>27</v>
      </c>
      <c r="B302" s="38" t="n">
        <v>17</v>
      </c>
      <c r="C302" s="38" t="s">
        <v>171</v>
      </c>
      <c r="D302" s="38" t="s">
        <v>169</v>
      </c>
      <c r="E302" s="38" t="s">
        <v>875</v>
      </c>
      <c r="F302" s="38" t="str">
        <f aca="false">B302&amp;"|"&amp;C302&amp;"|"&amp;D302</f>
        <v>17|U|G</v>
      </c>
      <c r="G302" s="45" t="n">
        <f aca="false">INDEX('Transition Stepwise'!$J$2:$J$1137,MATCH(F302,'Transition Stepwise'!$E$2:$E$1137,0))</f>
        <v>0.974358974358974</v>
      </c>
      <c r="H302" s="45" t="n">
        <f aca="false">INDEX(Background!$D$12:$D$27,MATCH(C302&amp;D302,Background!$E$12:$E$27,0))</f>
        <v>0.221480987324883</v>
      </c>
      <c r="I302" s="49" t="n">
        <f aca="false">LN(G302/H302)</f>
        <v>1.48144304278285</v>
      </c>
    </row>
    <row r="303" customFormat="false" ht="15" hidden="false" customHeight="true" outlineLevel="0" collapsed="false">
      <c r="A303" s="38" t="s">
        <v>27</v>
      </c>
      <c r="B303" s="38" t="n">
        <v>18</v>
      </c>
      <c r="C303" s="38" t="s">
        <v>169</v>
      </c>
      <c r="D303" s="38" t="s">
        <v>169</v>
      </c>
      <c r="E303" s="38" t="s">
        <v>875</v>
      </c>
      <c r="F303" s="38" t="str">
        <f aca="false">B303&amp;"|"&amp;C303&amp;"|"&amp;D303</f>
        <v>18|G|G</v>
      </c>
      <c r="G303" s="45" t="n">
        <f aca="false">INDEX('Transition Stepwise'!$J$2:$J$1137,MATCH(F303,'Transition Stepwise'!$E$2:$E$1137,0))</f>
        <v>0.975247524752475</v>
      </c>
      <c r="H303" s="45" t="n">
        <f aca="false">INDEX(Background!$D$12:$D$27,MATCH(C303&amp;D303,Background!$E$12:$E$27,0))</f>
        <v>0.344774477447745</v>
      </c>
      <c r="I303" s="49" t="n">
        <f aca="false">LN(G303/H303)</f>
        <v>1.03980079559234</v>
      </c>
    </row>
    <row r="304" customFormat="false" ht="15" hidden="false" customHeight="true" outlineLevel="0" collapsed="false">
      <c r="A304" s="38" t="s">
        <v>27</v>
      </c>
      <c r="B304" s="38" t="n">
        <v>19</v>
      </c>
      <c r="C304" s="38" t="s">
        <v>169</v>
      </c>
      <c r="D304" s="38" t="s">
        <v>170</v>
      </c>
      <c r="E304" s="38" t="s">
        <v>875</v>
      </c>
      <c r="F304" s="38" t="str">
        <f aca="false">B304&amp;"|"&amp;C304&amp;"|"&amp;D304</f>
        <v>19|G|C</v>
      </c>
      <c r="G304" s="45" t="n">
        <f aca="false">INDEX('Transition Stepwise'!$J$2:$J$1137,MATCH(F304,'Transition Stepwise'!$E$2:$E$1137,0))</f>
        <v>0.23</v>
      </c>
      <c r="H304" s="45" t="n">
        <f aca="false">INDEX(Background!$D$12:$D$27,MATCH(C304&amp;D304,Background!$E$12:$E$27,0))</f>
        <v>0.256105610561056</v>
      </c>
      <c r="I304" s="49" t="n">
        <f aca="false">LN(G304/H304)</f>
        <v>-0.107510591738746</v>
      </c>
    </row>
    <row r="305" customFormat="false" ht="15" hidden="false" customHeight="true" outlineLevel="0" collapsed="false">
      <c r="A305" s="38" t="s">
        <v>27</v>
      </c>
      <c r="B305" s="38" t="n">
        <v>20</v>
      </c>
      <c r="C305" s="38" t="s">
        <v>170</v>
      </c>
      <c r="D305" s="38" t="s">
        <v>171</v>
      </c>
      <c r="E305" s="38" t="s">
        <v>875</v>
      </c>
      <c r="F305" s="38" t="str">
        <f aca="false">B305&amp;"|"&amp;C305&amp;"|"&amp;D305</f>
        <v>20|C|U</v>
      </c>
      <c r="G305" s="45" t="n">
        <f aca="false">INDEX('Transition Stepwise'!$J$2:$J$1137,MATCH(F305,'Transition Stepwise'!$E$2:$E$1137,0))</f>
        <v>0.102040816326531</v>
      </c>
      <c r="H305" s="45" t="n">
        <f aca="false">INDEX(Background!$D$12:$D$27,MATCH(C305&amp;D305,Background!$E$12:$E$27,0))</f>
        <v>0.196466244725738</v>
      </c>
      <c r="I305" s="49" t="n">
        <f aca="false">LN(G305/H305)</f>
        <v>-0.655117740681173</v>
      </c>
    </row>
    <row r="306" customFormat="false" ht="15" hidden="false" customHeight="true" outlineLevel="0" collapsed="false">
      <c r="A306" s="38" t="s">
        <v>27</v>
      </c>
      <c r="B306" s="38" t="n">
        <v>21</v>
      </c>
      <c r="C306" s="38" t="s">
        <v>171</v>
      </c>
      <c r="D306" s="38" t="s">
        <v>171</v>
      </c>
      <c r="E306" s="38" t="s">
        <v>875</v>
      </c>
      <c r="F306" s="38" t="str">
        <f aca="false">B306&amp;"|"&amp;C306&amp;"|"&amp;D306</f>
        <v>21|U|U</v>
      </c>
      <c r="G306" s="45" t="n">
        <f aca="false">INDEX('Transition Stepwise'!$J$2:$J$1137,MATCH(F306,'Transition Stepwise'!$E$2:$E$1137,0))</f>
        <v>0.285714285714286</v>
      </c>
      <c r="H306" s="45" t="n">
        <f aca="false">INDEX(Background!$D$12:$D$27,MATCH(C306&amp;D306,Background!$E$12:$E$27,0))</f>
        <v>0.220480320213476</v>
      </c>
      <c r="I306" s="49" t="n">
        <f aca="false">LN(G306/H306)</f>
        <v>0.259183870315489</v>
      </c>
    </row>
    <row r="307" customFormat="false" ht="15" hidden="false" customHeight="true" outlineLevel="0" collapsed="false">
      <c r="A307" s="38" t="s">
        <v>27</v>
      </c>
      <c r="B307" s="38" t="n">
        <v>22</v>
      </c>
      <c r="C307" s="38" t="s">
        <v>171</v>
      </c>
      <c r="D307" s="38" t="s">
        <v>171</v>
      </c>
      <c r="E307" s="38" t="s">
        <v>875</v>
      </c>
      <c r="F307" s="38" t="str">
        <f aca="false">B307&amp;"|"&amp;C307&amp;"|"&amp;D307</f>
        <v>22|U|U</v>
      </c>
      <c r="G307" s="45" t="n">
        <f aca="false">INDEX('Transition Stepwise'!$J$2:$J$1137,MATCH(F307,'Transition Stepwise'!$E$2:$E$1137,0))</f>
        <v>0.333333333333333</v>
      </c>
      <c r="H307" s="45" t="n">
        <f aca="false">INDEX(Background!$D$12:$D$27,MATCH(C307&amp;D307,Background!$E$12:$E$27,0))</f>
        <v>0.220480320213476</v>
      </c>
      <c r="I307" s="49" t="n">
        <f aca="false">LN(G307/H307)</f>
        <v>0.413334550142747</v>
      </c>
    </row>
    <row r="308" customFormat="false" ht="15" hidden="false" customHeight="true" outlineLevel="0" collapsed="false">
      <c r="A308" s="38" t="s">
        <v>27</v>
      </c>
      <c r="B308" s="38" t="n">
        <v>23</v>
      </c>
      <c r="C308" s="38" t="s">
        <v>171</v>
      </c>
      <c r="D308" s="38" t="s">
        <v>170</v>
      </c>
      <c r="E308" s="38" t="s">
        <v>875</v>
      </c>
      <c r="F308" s="38" t="str">
        <f aca="false">B308&amp;"|"&amp;C308&amp;"|"&amp;D308</f>
        <v>23|U|C</v>
      </c>
      <c r="G308" s="45" t="n">
        <f aca="false">INDEX('Transition Stepwise'!$J$2:$J$1137,MATCH(F308,'Transition Stepwise'!$E$2:$E$1137,0))</f>
        <v>0.1875</v>
      </c>
      <c r="H308" s="45" t="n">
        <f aca="false">INDEX(Background!$D$12:$D$27,MATCH(C308&amp;D308,Background!$E$12:$E$27,0))</f>
        <v>0.377251501000667</v>
      </c>
      <c r="I308" s="49" t="n">
        <f aca="false">LN(G308/H308)</f>
        <v>-0.699133231025249</v>
      </c>
    </row>
    <row r="309" customFormat="false" ht="15" hidden="false" customHeight="true" outlineLevel="0" collapsed="false">
      <c r="A309" s="38" t="s">
        <v>27</v>
      </c>
      <c r="B309" s="38" t="n">
        <v>24</v>
      </c>
      <c r="C309" s="38" t="s">
        <v>170</v>
      </c>
      <c r="D309" s="38" t="s">
        <v>170</v>
      </c>
      <c r="E309" s="38" t="s">
        <v>875</v>
      </c>
      <c r="F309" s="38" t="str">
        <f aca="false">B309&amp;"|"&amp;C309&amp;"|"&amp;D309</f>
        <v>24|C|C</v>
      </c>
      <c r="G309" s="45" t="n">
        <f aca="false">INDEX('Transition Stepwise'!$J$2:$J$1137,MATCH(F309,'Transition Stepwise'!$E$2:$E$1137,0))</f>
        <v>0.5</v>
      </c>
      <c r="H309" s="45" t="n">
        <f aca="false">INDEX(Background!$D$12:$D$27,MATCH(C309&amp;D309,Background!$E$12:$E$27,0))</f>
        <v>0.312236286919831</v>
      </c>
      <c r="I309" s="49" t="n">
        <f aca="false">LN(G309/H309)</f>
        <v>0.470847867371016</v>
      </c>
    </row>
    <row r="310" customFormat="false" ht="15" hidden="false" customHeight="true" outlineLevel="0" collapsed="false">
      <c r="A310" s="38" t="s">
        <v>27</v>
      </c>
      <c r="B310" s="38" t="n">
        <v>25</v>
      </c>
      <c r="C310" s="38" t="s">
        <v>170</v>
      </c>
      <c r="D310" s="38" t="s">
        <v>171</v>
      </c>
      <c r="E310" s="38" t="s">
        <v>875</v>
      </c>
      <c r="F310" s="38" t="str">
        <f aca="false">B310&amp;"|"&amp;C310&amp;"|"&amp;D310</f>
        <v>25|C|U</v>
      </c>
      <c r="G310" s="45" t="n">
        <f aca="false">INDEX('Transition Stepwise'!$J$2:$J$1137,MATCH(F310,'Transition Stepwise'!$E$2:$E$1137,0))</f>
        <v>0.0552486187845304</v>
      </c>
      <c r="H310" s="45" t="n">
        <f aca="false">INDEX(Background!$D$12:$D$27,MATCH(C310&amp;D310,Background!$E$12:$E$27,0))</f>
        <v>0.196466244725738</v>
      </c>
      <c r="I310" s="49" t="n">
        <f aca="false">LN(G310/H310)</f>
        <v>-1.26864729327643</v>
      </c>
    </row>
    <row r="311" customFormat="false" ht="15" hidden="false" customHeight="true" outlineLevel="0" collapsed="false">
      <c r="A311" s="38" t="s">
        <v>27</v>
      </c>
      <c r="B311" s="38" t="n">
        <v>26</v>
      </c>
      <c r="C311" s="38" t="s">
        <v>171</v>
      </c>
      <c r="D311" s="38" t="s">
        <v>171</v>
      </c>
      <c r="E311" s="38" t="s">
        <v>875</v>
      </c>
      <c r="F311" s="38" t="str">
        <f aca="false">B311&amp;"|"&amp;C311&amp;"|"&amp;D311</f>
        <v>26|U|U</v>
      </c>
      <c r="G311" s="45" t="n">
        <f aca="false">INDEX('Transition Stepwise'!$J$2:$J$1137,MATCH(F311,'Transition Stepwise'!$E$2:$E$1137,0))</f>
        <v>0.266666666666667</v>
      </c>
      <c r="H311" s="45" t="n">
        <f aca="false">INDEX(Background!$D$12:$D$27,MATCH(C311&amp;D311,Background!$E$12:$E$27,0))</f>
        <v>0.220480320213476</v>
      </c>
      <c r="I311" s="49" t="n">
        <f aca="false">LN(G311/H311)</f>
        <v>0.190190998828537</v>
      </c>
    </row>
    <row r="312" customFormat="false" ht="15" hidden="false" customHeight="true" outlineLevel="0" collapsed="false">
      <c r="A312" s="38" t="s">
        <v>27</v>
      </c>
      <c r="B312" s="38" t="n">
        <v>27</v>
      </c>
      <c r="C312" s="38" t="s">
        <v>171</v>
      </c>
      <c r="D312" s="38" t="s">
        <v>171</v>
      </c>
      <c r="E312" s="38" t="s">
        <v>875</v>
      </c>
      <c r="F312" s="38" t="str">
        <f aca="false">B312&amp;"|"&amp;C312&amp;"|"&amp;D312</f>
        <v>27|U|U</v>
      </c>
      <c r="G312" s="45" t="n">
        <f aca="false">INDEX('Transition Stepwise'!$J$2:$J$1137,MATCH(F312,'Transition Stepwise'!$E$2:$E$1137,0))</f>
        <v>0.327272727272727</v>
      </c>
      <c r="H312" s="45" t="n">
        <f aca="false">INDEX(Background!$D$12:$D$27,MATCH(C312&amp;D312,Background!$E$12:$E$27,0))</f>
        <v>0.220480320213476</v>
      </c>
      <c r="I312" s="49" t="n">
        <f aca="false">LN(G312/H312)</f>
        <v>0.39498541147455</v>
      </c>
    </row>
    <row r="313" customFormat="false" ht="15" hidden="false" customHeight="true" outlineLevel="0" collapsed="false">
      <c r="A313" s="38" t="s">
        <v>27</v>
      </c>
      <c r="B313" s="38" t="n">
        <v>28</v>
      </c>
      <c r="C313" s="38" t="s">
        <v>171</v>
      </c>
      <c r="D313" s="38" t="s">
        <v>170</v>
      </c>
      <c r="E313" s="38" t="s">
        <v>875</v>
      </c>
      <c r="F313" s="38" t="str">
        <f aca="false">B313&amp;"|"&amp;C313&amp;"|"&amp;D313</f>
        <v>28|U|C</v>
      </c>
      <c r="G313" s="45" t="n">
        <f aca="false">INDEX('Transition Stepwise'!$J$2:$J$1137,MATCH(F313,'Transition Stepwise'!$E$2:$E$1137,0))</f>
        <v>0.259259259259259</v>
      </c>
      <c r="H313" s="45" t="n">
        <f aca="false">INDEX(Background!$D$12:$D$27,MATCH(C313&amp;D313,Background!$E$12:$E$27,0))</f>
        <v>0.377251501000667</v>
      </c>
      <c r="I313" s="49" t="n">
        <f aca="false">LN(G313/H313)</f>
        <v>-0.375083514402593</v>
      </c>
    </row>
    <row r="314" customFormat="false" ht="15" hidden="false" customHeight="true" outlineLevel="0" collapsed="false">
      <c r="A314" s="38" t="s">
        <v>27</v>
      </c>
      <c r="B314" s="38" t="n">
        <v>29</v>
      </c>
      <c r="C314" s="38" t="s">
        <v>170</v>
      </c>
      <c r="D314" s="38" t="s">
        <v>171</v>
      </c>
      <c r="E314" s="38" t="s">
        <v>875</v>
      </c>
      <c r="F314" s="38" t="str">
        <f aca="false">B314&amp;"|"&amp;C314&amp;"|"&amp;D314</f>
        <v>29|C|U</v>
      </c>
      <c r="G314" s="45" t="n">
        <f aca="false">INDEX('Transition Stepwise'!$J$2:$J$1137,MATCH(F314,'Transition Stepwise'!$E$2:$E$1137,0))</f>
        <v>0.0512820512820513</v>
      </c>
      <c r="H314" s="45" t="n">
        <f aca="false">INDEX(Background!$D$12:$D$27,MATCH(C314&amp;D314,Background!$E$12:$E$27,0))</f>
        <v>0.196466244725738</v>
      </c>
      <c r="I314" s="49" t="n">
        <f aca="false">LN(G314/H314)</f>
        <v>-1.34314982057435</v>
      </c>
    </row>
    <row r="315" customFormat="false" ht="15" hidden="false" customHeight="true" outlineLevel="0" collapsed="false">
      <c r="A315" s="38" t="s">
        <v>27</v>
      </c>
      <c r="B315" s="38" t="n">
        <v>30</v>
      </c>
      <c r="C315" s="38" t="s">
        <v>171</v>
      </c>
      <c r="D315" s="38" t="s">
        <v>171</v>
      </c>
      <c r="E315" s="38" t="s">
        <v>875</v>
      </c>
      <c r="F315" s="38" t="str">
        <f aca="false">B315&amp;"|"&amp;C315&amp;"|"&amp;D315</f>
        <v>30|U|U</v>
      </c>
      <c r="G315" s="45" t="n">
        <f aca="false">INDEX('Transition Stepwise'!$J$2:$J$1137,MATCH(F315,'Transition Stepwise'!$E$2:$E$1137,0))</f>
        <v>0.0909090909090909</v>
      </c>
      <c r="H315" s="45" t="n">
        <f aca="false">INDEX(Background!$D$12:$D$27,MATCH(C315&amp;D315,Background!$E$12:$E$27,0))</f>
        <v>0.220480320213476</v>
      </c>
      <c r="I315" s="49" t="n">
        <f aca="false">LN(G315/H315)</f>
        <v>-0.885948433987514</v>
      </c>
    </row>
    <row r="316" customFormat="false" ht="15" hidden="false" customHeight="true" outlineLevel="0" collapsed="false">
      <c r="A316" s="38" t="s">
        <v>27</v>
      </c>
      <c r="B316" s="38" t="n">
        <v>31</v>
      </c>
      <c r="C316" s="38" t="s">
        <v>171</v>
      </c>
      <c r="D316" s="38" t="s">
        <v>171</v>
      </c>
      <c r="E316" s="38" t="s">
        <v>875</v>
      </c>
      <c r="F316" s="38" t="str">
        <f aca="false">B316&amp;"|"&amp;C316&amp;"|"&amp;D316</f>
        <v>31|U|U</v>
      </c>
      <c r="G316" s="45" t="n">
        <f aca="false">INDEX('Transition Stepwise'!$J$2:$J$1137,MATCH(F316,'Transition Stepwise'!$E$2:$E$1137,0))</f>
        <v>0.130434782608696</v>
      </c>
      <c r="H316" s="45" t="n">
        <f aca="false">INDEX(Background!$D$12:$D$27,MATCH(C316&amp;D316,Background!$E$12:$E$27,0))</f>
        <v>0.220480320213476</v>
      </c>
      <c r="I316" s="49" t="n">
        <f aca="false">LN(G316/H316)</f>
        <v>-0.524935088450183</v>
      </c>
    </row>
    <row r="317" customFormat="false" ht="15" hidden="false" customHeight="true" outlineLevel="0" collapsed="false">
      <c r="A317" s="38" t="s">
        <v>27</v>
      </c>
      <c r="B317" s="38" t="n">
        <v>32</v>
      </c>
      <c r="C317" s="38" t="s">
        <v>171</v>
      </c>
      <c r="D317" s="38" t="s">
        <v>171</v>
      </c>
      <c r="E317" s="38" t="s">
        <v>875</v>
      </c>
      <c r="F317" s="38" t="str">
        <f aca="false">B317&amp;"|"&amp;C317&amp;"|"&amp;D317</f>
        <v>32|U|U</v>
      </c>
      <c r="G317" s="45" t="n">
        <f aca="false">INDEX('Transition Stepwise'!$J$2:$J$1137,MATCH(F317,'Transition Stepwise'!$E$2:$E$1137,0))</f>
        <v>0.936507936507937</v>
      </c>
      <c r="H317" s="45" t="n">
        <f aca="false">INDEX(Background!$D$12:$D$27,MATCH(C317&amp;D317,Background!$E$12:$E$27,0))</f>
        <v>0.220480320213476</v>
      </c>
      <c r="I317" s="49" t="n">
        <f aca="false">LN(G317/H317)</f>
        <v>1.44634955632504</v>
      </c>
    </row>
    <row r="318" customFormat="false" ht="15" hidden="false" customHeight="true" outlineLevel="0" collapsed="false">
      <c r="A318" s="38" t="s">
        <v>27</v>
      </c>
      <c r="B318" s="38" t="n">
        <v>33</v>
      </c>
      <c r="C318" s="38" t="s">
        <v>171</v>
      </c>
      <c r="D318" s="38" t="s">
        <v>170</v>
      </c>
      <c r="E318" s="38" t="s">
        <v>875</v>
      </c>
      <c r="F318" s="38" t="str">
        <f aca="false">B318&amp;"|"&amp;C318&amp;"|"&amp;D318</f>
        <v>33|U|C</v>
      </c>
      <c r="G318" s="45" t="n">
        <f aca="false">INDEX('Transition Stepwise'!$J$2:$J$1137,MATCH(F318,'Transition Stepwise'!$E$2:$E$1137,0))</f>
        <v>0.323383084577114</v>
      </c>
      <c r="H318" s="45" t="n">
        <f aca="false">INDEX(Background!$D$12:$D$27,MATCH(C318&amp;D318,Background!$E$12:$E$27,0))</f>
        <v>0.377251501000667</v>
      </c>
      <c r="I318" s="49" t="n">
        <f aca="false">LN(G318/H318)</f>
        <v>-0.154074435617016</v>
      </c>
    </row>
    <row r="319" customFormat="false" ht="15" hidden="false" customHeight="true" outlineLevel="0" collapsed="false">
      <c r="A319" s="38" t="s">
        <v>27</v>
      </c>
      <c r="B319" s="38" t="n">
        <v>34</v>
      </c>
      <c r="C319" s="38" t="s">
        <v>170</v>
      </c>
      <c r="D319" s="38" t="s">
        <v>171</v>
      </c>
      <c r="E319" s="38" t="s">
        <v>875</v>
      </c>
      <c r="F319" s="38" t="str">
        <f aca="false">B319&amp;"|"&amp;C319&amp;"|"&amp;D319</f>
        <v>34|C|U</v>
      </c>
      <c r="G319" s="45" t="n">
        <f aca="false">INDEX('Transition Stepwise'!$J$2:$J$1137,MATCH(F319,'Transition Stepwise'!$E$2:$E$1137,0))</f>
        <v>0.185714285714286</v>
      </c>
      <c r="H319" s="45" t="n">
        <f aca="false">INDEX(Background!$D$12:$D$27,MATCH(C319&amp;D319,Background!$E$12:$E$27,0))</f>
        <v>0.196466244725738</v>
      </c>
      <c r="I319" s="49" t="n">
        <f aca="false">LN(G319/H319)</f>
        <v>-0.0562812395924693</v>
      </c>
    </row>
    <row r="320" customFormat="false" ht="15" hidden="false" customHeight="true" outlineLevel="0" collapsed="false">
      <c r="A320" s="38" t="s">
        <v>27</v>
      </c>
      <c r="B320" s="38" t="n">
        <v>35</v>
      </c>
      <c r="C320" s="38" t="s">
        <v>171</v>
      </c>
      <c r="D320" s="38" t="s">
        <v>172</v>
      </c>
      <c r="E320" s="38" t="s">
        <v>875</v>
      </c>
      <c r="F320" s="38" t="str">
        <f aca="false">B320&amp;"|"&amp;C320&amp;"|"&amp;D320</f>
        <v>35|U|A</v>
      </c>
      <c r="G320" s="45" t="n">
        <f aca="false">INDEX('Transition Stepwise'!$J$2:$J$1137,MATCH(F320,'Transition Stepwise'!$E$2:$E$1137,0))</f>
        <v>0.177777777777778</v>
      </c>
      <c r="H320" s="45" t="n">
        <f aca="false">INDEX(Background!$D$12:$D$27,MATCH(C320&amp;D320,Background!$E$12:$E$27,0))</f>
        <v>0.180787191460974</v>
      </c>
      <c r="I320" s="49" t="n">
        <f aca="false">LN(G320/H320)</f>
        <v>-0.016786270867587</v>
      </c>
    </row>
    <row r="321" customFormat="false" ht="15" hidden="false" customHeight="true" outlineLevel="0" collapsed="false">
      <c r="A321" s="38" t="s">
        <v>27</v>
      </c>
      <c r="B321" s="38" t="n">
        <v>36</v>
      </c>
      <c r="C321" s="38" t="s">
        <v>172</v>
      </c>
      <c r="D321" s="38" t="s">
        <v>170</v>
      </c>
      <c r="E321" s="38" t="s">
        <v>875</v>
      </c>
      <c r="F321" s="38" t="str">
        <f aca="false">B321&amp;"|"&amp;C321&amp;"|"&amp;D321</f>
        <v>36|A|C</v>
      </c>
      <c r="G321" s="45" t="n">
        <f aca="false">INDEX('Transition Stepwise'!$J$2:$J$1137,MATCH(F321,'Transition Stepwise'!$E$2:$E$1137,0))</f>
        <v>0.0425531914893617</v>
      </c>
      <c r="H321" s="45" t="n">
        <f aca="false">INDEX(Background!$D$12:$D$27,MATCH(C321&amp;D321,Background!$E$12:$E$27,0))</f>
        <v>0.161016949152542</v>
      </c>
      <c r="I321" s="49" t="n">
        <f aca="false">LN(G321/H321)</f>
        <v>-1.33075477585089</v>
      </c>
    </row>
    <row r="322" customFormat="false" ht="15" hidden="false" customHeight="true" outlineLevel="0" collapsed="false">
      <c r="A322" s="38" t="s">
        <v>27</v>
      </c>
      <c r="B322" s="38" t="n">
        <v>37</v>
      </c>
      <c r="C322" s="38" t="s">
        <v>170</v>
      </c>
      <c r="D322" s="38" t="s">
        <v>172</v>
      </c>
      <c r="E322" s="38" t="s">
        <v>875</v>
      </c>
      <c r="F322" s="38" t="str">
        <f aca="false">B322&amp;"|"&amp;C322&amp;"|"&amp;D322</f>
        <v>37|C|A</v>
      </c>
      <c r="G322" s="45" t="n">
        <f aca="false">INDEX('Transition Stepwise'!$J$2:$J$1137,MATCH(F322,'Transition Stepwise'!$E$2:$E$1137,0))</f>
        <v>0.4</v>
      </c>
      <c r="H322" s="45" t="n">
        <f aca="false">INDEX(Background!$D$12:$D$27,MATCH(C322&amp;D322,Background!$E$12:$E$27,0))</f>
        <v>0.194883966244726</v>
      </c>
      <c r="I322" s="49" t="n">
        <f aca="false">LN(G322/H322)</f>
        <v>0.719060210552556</v>
      </c>
    </row>
    <row r="323" customFormat="false" ht="15" hidden="false" customHeight="true" outlineLevel="0" collapsed="false">
      <c r="A323" s="38" t="s">
        <v>27</v>
      </c>
      <c r="B323" s="38" t="n">
        <v>38</v>
      </c>
      <c r="C323" s="38" t="s">
        <v>172</v>
      </c>
      <c r="D323" s="38" t="s">
        <v>169</v>
      </c>
      <c r="E323" s="38" t="s">
        <v>875</v>
      </c>
      <c r="F323" s="38" t="str">
        <f aca="false">B323&amp;"|"&amp;C323&amp;"|"&amp;D323</f>
        <v>38|A|G</v>
      </c>
      <c r="G323" s="45" t="n">
        <f aca="false">INDEX('Transition Stepwise'!$J$2:$J$1137,MATCH(F323,'Transition Stepwise'!$E$2:$E$1137,0))</f>
        <v>0.286666666666667</v>
      </c>
      <c r="H323" s="45" t="n">
        <f aca="false">INDEX(Background!$D$12:$D$27,MATCH(C323&amp;D323,Background!$E$12:$E$27,0))</f>
        <v>0.424884437596302</v>
      </c>
      <c r="I323" s="49" t="n">
        <f aca="false">LN(G323/H323)</f>
        <v>-0.393497119832215</v>
      </c>
    </row>
    <row r="324" customFormat="false" ht="15" hidden="false" customHeight="true" outlineLevel="0" collapsed="false">
      <c r="A324" s="38" t="s">
        <v>27</v>
      </c>
      <c r="B324" s="38" t="n">
        <v>39</v>
      </c>
      <c r="C324" s="38" t="s">
        <v>169</v>
      </c>
      <c r="D324" s="38" t="s">
        <v>169</v>
      </c>
      <c r="E324" s="38" t="s">
        <v>875</v>
      </c>
      <c r="F324" s="38" t="str">
        <f aca="false">B324&amp;"|"&amp;C324&amp;"|"&amp;D324</f>
        <v>39|G|G</v>
      </c>
      <c r="G324" s="45" t="n">
        <f aca="false">INDEX('Transition Stepwise'!$J$2:$J$1137,MATCH(F324,'Transition Stepwise'!$E$2:$E$1137,0))</f>
        <v>0.381578947368421</v>
      </c>
      <c r="H324" s="45" t="n">
        <f aca="false">INDEX(Background!$D$12:$D$27,MATCH(C324&amp;D324,Background!$E$12:$E$27,0))</f>
        <v>0.344774477447745</v>
      </c>
      <c r="I324" s="49" t="n">
        <f aca="false">LN(G324/H324)</f>
        <v>0.101427253955701</v>
      </c>
    </row>
    <row r="325" customFormat="false" ht="15" hidden="false" customHeight="true" outlineLevel="0" collapsed="false">
      <c r="A325" s="38" t="s">
        <v>27</v>
      </c>
      <c r="B325" s="38" t="n">
        <v>40</v>
      </c>
      <c r="C325" s="38" t="s">
        <v>169</v>
      </c>
      <c r="D325" s="38" t="s">
        <v>172</v>
      </c>
      <c r="E325" s="38" t="s">
        <v>875</v>
      </c>
      <c r="F325" s="38" t="str">
        <f aca="false">B325&amp;"|"&amp;C325&amp;"|"&amp;D325</f>
        <v>40|G|A</v>
      </c>
      <c r="G325" s="45" t="n">
        <f aca="false">INDEX('Transition Stepwise'!$J$2:$J$1137,MATCH(F325,'Transition Stepwise'!$E$2:$E$1137,0))</f>
        <v>0.372549019607843</v>
      </c>
      <c r="H325" s="45" t="n">
        <f aca="false">INDEX(Background!$D$12:$D$27,MATCH(C325&amp;D325,Background!$E$12:$E$27,0))</f>
        <v>0.164356435643564</v>
      </c>
      <c r="I325" s="49" t="n">
        <f aca="false">LN(G325/H325)</f>
        <v>0.818331167920877</v>
      </c>
    </row>
    <row r="326" customFormat="false" ht="15" hidden="false" customHeight="true" outlineLevel="0" collapsed="false">
      <c r="A326" s="38" t="s">
        <v>27</v>
      </c>
      <c r="B326" s="38" t="n">
        <v>41</v>
      </c>
      <c r="C326" s="38" t="s">
        <v>172</v>
      </c>
      <c r="D326" s="38" t="s">
        <v>172</v>
      </c>
      <c r="E326" s="38" t="s">
        <v>875</v>
      </c>
      <c r="F326" s="38" t="str">
        <f aca="false">B326&amp;"|"&amp;C326&amp;"|"&amp;D326</f>
        <v>41|A|A</v>
      </c>
      <c r="G326" s="45" t="n">
        <f aca="false">INDEX('Transition Stepwise'!$J$2:$J$1137,MATCH(F326,'Transition Stepwise'!$E$2:$E$1137,0))</f>
        <v>0.258620689655172</v>
      </c>
      <c r="H326" s="45" t="n">
        <f aca="false">INDEX(Background!$D$12:$D$27,MATCH(C326&amp;D326,Background!$E$12:$E$27,0))</f>
        <v>0.219568567026194</v>
      </c>
      <c r="I326" s="49" t="n">
        <f aca="false">LN(G326/H326)</f>
        <v>0.163697907551176</v>
      </c>
    </row>
    <row r="327" customFormat="false" ht="15" hidden="false" customHeight="true" outlineLevel="0" collapsed="false">
      <c r="A327" s="38" t="s">
        <v>27</v>
      </c>
      <c r="B327" s="38" t="n">
        <v>42</v>
      </c>
      <c r="C327" s="38" t="s">
        <v>172</v>
      </c>
      <c r="D327" s="38" t="s">
        <v>169</v>
      </c>
      <c r="E327" s="38" t="s">
        <v>875</v>
      </c>
      <c r="F327" s="38" t="str">
        <f aca="false">B327&amp;"|"&amp;C327&amp;"|"&amp;D327</f>
        <v>42|A|G</v>
      </c>
      <c r="G327" s="45" t="n">
        <f aca="false">INDEX('Transition Stepwise'!$J$2:$J$1137,MATCH(F327,'Transition Stepwise'!$E$2:$E$1137,0))</f>
        <v>0.596153846153846</v>
      </c>
      <c r="H327" s="45" t="n">
        <f aca="false">INDEX(Background!$D$12:$D$27,MATCH(C327&amp;D327,Background!$E$12:$E$27,0))</f>
        <v>0.424884437596302</v>
      </c>
      <c r="I327" s="49" t="n">
        <f aca="false">LN(G327/H327)</f>
        <v>0.338681544474197</v>
      </c>
    </row>
    <row r="328" customFormat="false" ht="15" hidden="false" customHeight="true" outlineLevel="0" collapsed="false">
      <c r="A328" s="38" t="s">
        <v>27</v>
      </c>
      <c r="B328" s="38" t="n">
        <v>43</v>
      </c>
      <c r="C328" s="38" t="s">
        <v>169</v>
      </c>
      <c r="D328" s="38" t="s">
        <v>169</v>
      </c>
      <c r="E328" s="38" t="s">
        <v>875</v>
      </c>
      <c r="F328" s="38" t="str">
        <f aca="false">B328&amp;"|"&amp;C328&amp;"|"&amp;D328</f>
        <v>43|G|G</v>
      </c>
      <c r="G328" s="45" t="n">
        <f aca="false">INDEX('Transition Stepwise'!$J$2:$J$1137,MATCH(F328,'Transition Stepwise'!$E$2:$E$1137,0))</f>
        <v>0.203883495145631</v>
      </c>
      <c r="H328" s="45" t="n">
        <f aca="false">INDEX(Background!$D$12:$D$27,MATCH(C328&amp;D328,Background!$E$12:$E$27,0))</f>
        <v>0.344774477447745</v>
      </c>
      <c r="I328" s="49" t="n">
        <f aca="false">LN(G328/H328)</f>
        <v>-0.525341786250654</v>
      </c>
    </row>
    <row r="329" customFormat="false" ht="15" hidden="false" customHeight="true" outlineLevel="0" collapsed="false">
      <c r="A329" s="38" t="s">
        <v>27</v>
      </c>
      <c r="B329" s="38" t="n">
        <v>44</v>
      </c>
      <c r="C329" s="38" t="s">
        <v>169</v>
      </c>
      <c r="D329" s="38" t="s">
        <v>170</v>
      </c>
      <c r="E329" s="38" t="s">
        <v>875</v>
      </c>
      <c r="F329" s="38" t="str">
        <f aca="false">B329&amp;"|"&amp;C329&amp;"|"&amp;D329</f>
        <v>44|G|C</v>
      </c>
      <c r="G329" s="45" t="n">
        <f aca="false">INDEX('Transition Stepwise'!$J$2:$J$1137,MATCH(F329,'Transition Stepwise'!$E$2:$E$1137,0))</f>
        <v>0.04</v>
      </c>
      <c r="H329" s="45" t="n">
        <f aca="false">INDEX(Background!$D$12:$D$27,MATCH(C329&amp;D329,Background!$E$12:$E$27,0))</f>
        <v>0.256105610561056</v>
      </c>
      <c r="I329" s="49" t="n">
        <f aca="false">LN(G329/H329)</f>
        <v>-1.856710446548</v>
      </c>
    </row>
    <row r="330" customFormat="false" ht="15" hidden="false" customHeight="true" outlineLevel="0" collapsed="false">
      <c r="A330" s="38" t="s">
        <v>27</v>
      </c>
      <c r="B330" s="38" t="n">
        <v>45</v>
      </c>
      <c r="C330" s="38" t="s">
        <v>170</v>
      </c>
      <c r="D330" s="38" t="s">
        <v>171</v>
      </c>
      <c r="E330" s="38" t="s">
        <v>875</v>
      </c>
      <c r="F330" s="38" t="str">
        <f aca="false">B330&amp;"|"&amp;C330&amp;"|"&amp;D330</f>
        <v>45|C|U</v>
      </c>
      <c r="G330" s="45" t="n">
        <f aca="false">INDEX('Transition Stepwise'!$J$2:$J$1137,MATCH(F330,'Transition Stepwise'!$E$2:$E$1137,0))</f>
        <v>0.222222222222222</v>
      </c>
      <c r="H330" s="45" t="n">
        <f aca="false">INDEX(Background!$D$12:$D$27,MATCH(C330&amp;D330,Background!$E$12:$E$27,0))</f>
        <v>0.196466244725738</v>
      </c>
      <c r="I330" s="49" t="n">
        <f aca="false">LN(G330/H330)</f>
        <v>0.123187248219079</v>
      </c>
    </row>
    <row r="331" customFormat="false" ht="15" hidden="false" customHeight="true" outlineLevel="0" collapsed="false">
      <c r="A331" s="38" t="s">
        <v>27</v>
      </c>
      <c r="B331" s="38" t="n">
        <v>46</v>
      </c>
      <c r="C331" s="38" t="s">
        <v>171</v>
      </c>
      <c r="D331" s="38" t="s">
        <v>169</v>
      </c>
      <c r="E331" s="38" t="s">
        <v>875</v>
      </c>
      <c r="F331" s="38" t="str">
        <f aca="false">B331&amp;"|"&amp;C331&amp;"|"&amp;D331</f>
        <v>46|U|G</v>
      </c>
      <c r="G331" s="45" t="n">
        <f aca="false">INDEX('Transition Stepwise'!$J$2:$J$1137,MATCH(F331,'Transition Stepwise'!$E$2:$E$1137,0))</f>
        <v>0.25</v>
      </c>
      <c r="H331" s="45" t="n">
        <f aca="false">INDEX(Background!$D$12:$D$27,MATCH(C331&amp;D331,Background!$E$12:$E$27,0))</f>
        <v>0.221480987324883</v>
      </c>
      <c r="I331" s="49" t="n">
        <f aca="false">LN(G331/H331)</f>
        <v>0.121124168066218</v>
      </c>
    </row>
    <row r="332" customFormat="false" ht="15" hidden="false" customHeight="true" outlineLevel="0" collapsed="false">
      <c r="A332" s="38" t="s">
        <v>27</v>
      </c>
      <c r="B332" s="38" t="n">
        <v>47</v>
      </c>
      <c r="C332" s="38" t="s">
        <v>169</v>
      </c>
      <c r="D332" s="38" t="s">
        <v>171</v>
      </c>
      <c r="E332" s="38" t="s">
        <v>875</v>
      </c>
      <c r="F332" s="38" t="str">
        <f aca="false">B332&amp;"|"&amp;C332&amp;"|"&amp;D332</f>
        <v>47|G|U</v>
      </c>
      <c r="G332" s="45" t="n">
        <f aca="false">INDEX('Transition Stepwise'!$J$2:$J$1137,MATCH(F332,'Transition Stepwise'!$E$2:$E$1137,0))</f>
        <v>0.45</v>
      </c>
      <c r="H332" s="45" t="n">
        <f aca="false">INDEX(Background!$D$12:$D$27,MATCH(C332&amp;D332,Background!$E$12:$E$27,0))</f>
        <v>0.234763476347635</v>
      </c>
      <c r="I332" s="49" t="n">
        <f aca="false">LN(G332/H332)</f>
        <v>0.650669059092054</v>
      </c>
    </row>
    <row r="333" customFormat="false" ht="15" hidden="false" customHeight="true" outlineLevel="0" collapsed="false">
      <c r="A333" s="38" t="s">
        <v>27</v>
      </c>
      <c r="B333" s="38" t="n">
        <v>48</v>
      </c>
      <c r="C333" s="38" t="s">
        <v>171</v>
      </c>
      <c r="D333" s="38" t="s">
        <v>170</v>
      </c>
      <c r="E333" s="38" t="s">
        <v>875</v>
      </c>
      <c r="F333" s="38" t="str">
        <f aca="false">B333&amp;"|"&amp;C333&amp;"|"&amp;D333</f>
        <v>48|U|C</v>
      </c>
      <c r="G333" s="45" t="n">
        <f aca="false">INDEX('Transition Stepwise'!$J$2:$J$1137,MATCH(F333,'Transition Stepwise'!$E$2:$E$1137,0))</f>
        <v>0.151515151515152</v>
      </c>
      <c r="H333" s="45" t="n">
        <f aca="false">INDEX(Background!$D$12:$D$27,MATCH(C333&amp;D333,Background!$E$12:$E$27,0))</f>
        <v>0.377251501000667</v>
      </c>
      <c r="I333" s="49" t="n">
        <f aca="false">LN(G333/H333)</f>
        <v>-0.912226446485957</v>
      </c>
    </row>
    <row r="334" customFormat="false" ht="15" hidden="false" customHeight="true" outlineLevel="0" collapsed="false">
      <c r="A334" s="38" t="s">
        <v>27</v>
      </c>
      <c r="B334" s="38" t="n">
        <v>49</v>
      </c>
      <c r="C334" s="38" t="s">
        <v>170</v>
      </c>
      <c r="D334" s="38" t="s">
        <v>172</v>
      </c>
      <c r="E334" s="38" t="s">
        <v>875</v>
      </c>
      <c r="F334" s="38" t="str">
        <f aca="false">B334&amp;"|"&amp;C334&amp;"|"&amp;D334</f>
        <v>49|C|A</v>
      </c>
      <c r="G334" s="45" t="n">
        <f aca="false">INDEX('Transition Stepwise'!$J$2:$J$1137,MATCH(F334,'Transition Stepwise'!$E$2:$E$1137,0))</f>
        <v>0.0655737704918033</v>
      </c>
      <c r="H334" s="45" t="n">
        <f aca="false">INDEX(Background!$D$12:$D$27,MATCH(C334&amp;D334,Background!$E$12:$E$27,0))</f>
        <v>0.194883966244726</v>
      </c>
      <c r="I334" s="49" t="n">
        <f aca="false">LN(G334/H334)</f>
        <v>-1.08922856062671</v>
      </c>
    </row>
    <row r="335" customFormat="false" ht="15" hidden="false" customHeight="true" outlineLevel="0" collapsed="false">
      <c r="A335" s="38" t="s">
        <v>27</v>
      </c>
      <c r="B335" s="38" t="n">
        <v>50</v>
      </c>
      <c r="C335" s="38" t="s">
        <v>172</v>
      </c>
      <c r="D335" s="38" t="s">
        <v>169</v>
      </c>
      <c r="E335" s="38" t="s">
        <v>875</v>
      </c>
      <c r="F335" s="38" t="str">
        <f aca="false">B335&amp;"|"&amp;C335&amp;"|"&amp;D335</f>
        <v>50|A|G</v>
      </c>
      <c r="G335" s="45" t="n">
        <f aca="false">INDEX('Transition Stepwise'!$J$2:$J$1137,MATCH(F335,'Transition Stepwise'!$E$2:$E$1137,0))</f>
        <v>0.62962962962963</v>
      </c>
      <c r="H335" s="45" t="n">
        <f aca="false">INDEX(Background!$D$12:$D$27,MATCH(C335&amp;D335,Background!$E$12:$E$27,0))</f>
        <v>0.424884437596302</v>
      </c>
      <c r="I335" s="49" t="n">
        <f aca="false">LN(G335/H335)</f>
        <v>0.393314536622365</v>
      </c>
    </row>
    <row r="336" customFormat="false" ht="15" hidden="false" customHeight="true" outlineLevel="0" collapsed="false">
      <c r="A336" s="38" t="s">
        <v>27</v>
      </c>
      <c r="B336" s="38" t="n">
        <v>51</v>
      </c>
      <c r="C336" s="38" t="s">
        <v>169</v>
      </c>
      <c r="D336" s="38" t="s">
        <v>169</v>
      </c>
      <c r="E336" s="38" t="s">
        <v>875</v>
      </c>
      <c r="F336" s="38" t="str">
        <f aca="false">B336&amp;"|"&amp;C336&amp;"|"&amp;D336</f>
        <v>51|G|G</v>
      </c>
      <c r="G336" s="45" t="n">
        <f aca="false">INDEX('Transition Stepwise'!$J$2:$J$1137,MATCH(F336,'Transition Stepwise'!$E$2:$E$1137,0))</f>
        <v>0.786407766990291</v>
      </c>
      <c r="H336" s="45" t="n">
        <f aca="false">INDEX(Background!$D$12:$D$27,MATCH(C336&amp;D336,Background!$E$12:$E$27,0))</f>
        <v>0.344774477447745</v>
      </c>
      <c r="I336" s="49" t="n">
        <f aca="false">LN(G336/H336)</f>
        <v>0.824584930698362</v>
      </c>
    </row>
    <row r="337" customFormat="false" ht="15" hidden="false" customHeight="true" outlineLevel="0" collapsed="false">
      <c r="A337" s="38" t="s">
        <v>27</v>
      </c>
      <c r="B337" s="38" t="n">
        <v>52</v>
      </c>
      <c r="C337" s="38" t="s">
        <v>169</v>
      </c>
      <c r="D337" s="38" t="s">
        <v>169</v>
      </c>
      <c r="E337" s="38" t="s">
        <v>875</v>
      </c>
      <c r="F337" s="38" t="str">
        <f aca="false">B337&amp;"|"&amp;C337&amp;"|"&amp;D337</f>
        <v>52|G|G</v>
      </c>
      <c r="G337" s="45" t="n">
        <f aca="false">INDEX('Transition Stepwise'!$J$2:$J$1137,MATCH(F337,'Transition Stepwise'!$E$2:$E$1137,0))</f>
        <v>0.964912280701754</v>
      </c>
      <c r="H337" s="45" t="n">
        <f aca="false">INDEX(Background!$D$12:$D$27,MATCH(C337&amp;D337,Background!$E$12:$E$27,0))</f>
        <v>0.344774477447745</v>
      </c>
      <c r="I337" s="49" t="n">
        <f aca="false">LN(G337/H337)</f>
        <v>1.02914668165348</v>
      </c>
    </row>
    <row r="338" customFormat="false" ht="15" hidden="false" customHeight="true" outlineLevel="0" collapsed="false">
      <c r="A338" s="38" t="s">
        <v>27</v>
      </c>
      <c r="B338" s="38" t="n">
        <v>53</v>
      </c>
      <c r="C338" s="38" t="s">
        <v>169</v>
      </c>
      <c r="D338" s="38" t="s">
        <v>172</v>
      </c>
      <c r="E338" s="38" t="s">
        <v>875</v>
      </c>
      <c r="F338" s="38" t="str">
        <f aca="false">B338&amp;"|"&amp;C338&amp;"|"&amp;D338</f>
        <v>53|G|A</v>
      </c>
      <c r="G338" s="45" t="n">
        <f aca="false">INDEX('Transition Stepwise'!$J$2:$J$1137,MATCH(F338,'Transition Stepwise'!$E$2:$E$1137,0))</f>
        <v>0.0150753768844221</v>
      </c>
      <c r="H338" s="45" t="n">
        <f aca="false">INDEX(Background!$D$12:$D$27,MATCH(C338&amp;D338,Background!$E$12:$E$27,0))</f>
        <v>0.164356435643564</v>
      </c>
      <c r="I338" s="49" t="n">
        <f aca="false">LN(G338/H338)</f>
        <v>-2.38897471457762</v>
      </c>
    </row>
    <row r="339" customFormat="false" ht="15" hidden="false" customHeight="true" outlineLevel="0" collapsed="false">
      <c r="A339" s="38" t="s">
        <v>27</v>
      </c>
      <c r="B339" s="38" t="n">
        <v>54</v>
      </c>
      <c r="C339" s="38" t="s">
        <v>172</v>
      </c>
      <c r="D339" s="38" t="s">
        <v>170</v>
      </c>
      <c r="E339" s="38" t="s">
        <v>875</v>
      </c>
      <c r="F339" s="38" t="str">
        <f aca="false">B339&amp;"|"&amp;C339&amp;"|"&amp;D339</f>
        <v>54|A|C</v>
      </c>
      <c r="G339" s="45" t="n">
        <f aca="false">INDEX('Transition Stepwise'!$J$2:$J$1137,MATCH(F339,'Transition Stepwise'!$E$2:$E$1137,0))</f>
        <v>0.166666666666667</v>
      </c>
      <c r="H339" s="45" t="n">
        <f aca="false">INDEX(Background!$D$12:$D$27,MATCH(C339&amp;D339,Background!$E$12:$E$27,0))</f>
        <v>0.161016949152542</v>
      </c>
      <c r="I339" s="49" t="n">
        <f aca="false">LN(G339/H339)</f>
        <v>0.0344861760711694</v>
      </c>
    </row>
    <row r="340" customFormat="false" ht="15" hidden="false" customHeight="true" outlineLevel="0" collapsed="false">
      <c r="A340" s="38" t="s">
        <v>27</v>
      </c>
      <c r="B340" s="38" t="n">
        <v>55</v>
      </c>
      <c r="C340" s="38" t="s">
        <v>170</v>
      </c>
      <c r="D340" s="38" t="s">
        <v>170</v>
      </c>
      <c r="E340" s="38" t="s">
        <v>875</v>
      </c>
      <c r="F340" s="38" t="str">
        <f aca="false">B340&amp;"|"&amp;C340&amp;"|"&amp;D340</f>
        <v>55|C|C</v>
      </c>
      <c r="G340" s="45" t="n">
        <f aca="false">INDEX('Transition Stepwise'!$J$2:$J$1137,MATCH(F340,'Transition Stepwise'!$E$2:$E$1137,0))</f>
        <v>0.2</v>
      </c>
      <c r="H340" s="45" t="n">
        <f aca="false">INDEX(Background!$D$12:$D$27,MATCH(C340&amp;D340,Background!$E$12:$E$27,0))</f>
        <v>0.312236286919831</v>
      </c>
      <c r="I340" s="49" t="n">
        <f aca="false">LN(G340/H340)</f>
        <v>-0.445442864503139</v>
      </c>
    </row>
    <row r="341" customFormat="false" ht="15" hidden="false" customHeight="true" outlineLevel="0" collapsed="false">
      <c r="A341" s="38" t="s">
        <v>27</v>
      </c>
      <c r="B341" s="38" t="n">
        <v>56</v>
      </c>
      <c r="C341" s="38" t="s">
        <v>170</v>
      </c>
      <c r="D341" s="38" t="s">
        <v>171</v>
      </c>
      <c r="E341" s="38" t="s">
        <v>875</v>
      </c>
      <c r="F341" s="38" t="str">
        <f aca="false">B341&amp;"|"&amp;C341&amp;"|"&amp;D341</f>
        <v>56|C|U</v>
      </c>
      <c r="G341" s="45" t="n">
        <f aca="false">INDEX('Transition Stepwise'!$J$2:$J$1137,MATCH(F341,'Transition Stepwise'!$E$2:$E$1137,0))</f>
        <v>0.0050251256281407</v>
      </c>
      <c r="H341" s="45" t="n">
        <f aca="false">INDEX(Background!$D$12:$D$27,MATCH(C341&amp;D341,Background!$E$12:$E$27,0))</f>
        <v>0.196466244725738</v>
      </c>
      <c r="I341" s="49" t="n">
        <f aca="false">LN(G341/H341)</f>
        <v>-3.66604017972914</v>
      </c>
    </row>
    <row r="342" customFormat="false" ht="15" hidden="false" customHeight="true" outlineLevel="0" collapsed="false">
      <c r="A342" s="38" t="s">
        <v>27</v>
      </c>
      <c r="B342" s="38" t="n">
        <v>57</v>
      </c>
      <c r="C342" s="38" t="s">
        <v>171</v>
      </c>
      <c r="D342" s="38" t="s">
        <v>170</v>
      </c>
      <c r="E342" s="38" t="s">
        <v>875</v>
      </c>
      <c r="F342" s="38" t="str">
        <f aca="false">B342&amp;"|"&amp;C342&amp;"|"&amp;D342</f>
        <v>57|U|C</v>
      </c>
      <c r="G342" s="45" t="n">
        <f aca="false">INDEX('Transition Stepwise'!$J$2:$J$1137,MATCH(F342,'Transition Stepwise'!$E$2:$E$1137,0))</f>
        <v>0.4</v>
      </c>
      <c r="H342" s="45" t="n">
        <f aca="false">INDEX(Background!$D$12:$D$27,MATCH(C342&amp;D342,Background!$E$12:$E$27,0))</f>
        <v>0.377251501000667</v>
      </c>
      <c r="I342" s="49" t="n">
        <f aca="false">LN(G342/H342)</f>
        <v>0.0585524706722676</v>
      </c>
    </row>
    <row r="343" customFormat="false" ht="15" hidden="false" customHeight="true" outlineLevel="0" collapsed="false">
      <c r="A343" s="38" t="s">
        <v>27</v>
      </c>
      <c r="B343" s="38" t="n">
        <v>58</v>
      </c>
      <c r="C343" s="38" t="s">
        <v>170</v>
      </c>
      <c r="D343" s="38" t="s">
        <v>171</v>
      </c>
      <c r="E343" s="38" t="s">
        <v>875</v>
      </c>
      <c r="F343" s="38" t="str">
        <f aca="false">B343&amp;"|"&amp;C343&amp;"|"&amp;D343</f>
        <v>58|C|U</v>
      </c>
      <c r="G343" s="45" t="n">
        <f aca="false">INDEX('Transition Stepwise'!$J$2:$J$1137,MATCH(F343,'Transition Stepwise'!$E$2:$E$1137,0))</f>
        <v>0.2</v>
      </c>
      <c r="H343" s="45" t="n">
        <f aca="false">INDEX(Background!$D$12:$D$27,MATCH(C343&amp;D343,Background!$E$12:$E$27,0))</f>
        <v>0.196466244725738</v>
      </c>
      <c r="I343" s="49" t="n">
        <f aca="false">LN(G343/H343)</f>
        <v>0.0178267325612525</v>
      </c>
    </row>
    <row r="344" customFormat="false" ht="15" hidden="false" customHeight="true" outlineLevel="0" collapsed="false">
      <c r="A344" s="38" t="s">
        <v>27</v>
      </c>
      <c r="B344" s="38" t="n">
        <v>59</v>
      </c>
      <c r="C344" s="38" t="s">
        <v>171</v>
      </c>
      <c r="D344" s="38" t="s">
        <v>169</v>
      </c>
      <c r="E344" s="38" t="s">
        <v>875</v>
      </c>
      <c r="F344" s="38" t="str">
        <f aca="false">B344&amp;"|"&amp;C344&amp;"|"&amp;D344</f>
        <v>59|U|G</v>
      </c>
      <c r="G344" s="45" t="n">
        <f aca="false">INDEX('Transition Stepwise'!$J$2:$J$1137,MATCH(F344,'Transition Stepwise'!$E$2:$E$1137,0))</f>
        <v>0.0185185185185185</v>
      </c>
      <c r="H344" s="45" t="n">
        <f aca="false">INDEX(Background!$D$12:$D$27,MATCH(C344&amp;D344,Background!$E$12:$E$27,0))</f>
        <v>0.221480987324883</v>
      </c>
      <c r="I344" s="49" t="n">
        <f aca="false">LN(G344/H344)</f>
        <v>-2.48156551737817</v>
      </c>
    </row>
    <row r="345" customFormat="false" ht="15" hidden="false" customHeight="true" outlineLevel="0" collapsed="false">
      <c r="A345" s="38" t="s">
        <v>27</v>
      </c>
      <c r="B345" s="38" t="n">
        <v>60</v>
      </c>
      <c r="C345" s="38" t="s">
        <v>169</v>
      </c>
      <c r="D345" s="38" t="s">
        <v>170</v>
      </c>
      <c r="E345" s="38" t="s">
        <v>875</v>
      </c>
      <c r="F345" s="38" t="str">
        <f aca="false">B345&amp;"|"&amp;C345&amp;"|"&amp;D345</f>
        <v>60|G|C</v>
      </c>
      <c r="G345" s="45" t="n">
        <f aca="false">INDEX('Transition Stepwise'!$J$2:$J$1137,MATCH(F345,'Transition Stepwise'!$E$2:$E$1137,0))</f>
        <v>0.333333333333333</v>
      </c>
      <c r="H345" s="45" t="n">
        <f aca="false">INDEX(Background!$D$12:$D$27,MATCH(C345&amp;D345,Background!$E$12:$E$27,0))</f>
        <v>0.256105610561056</v>
      </c>
      <c r="I345" s="49" t="n">
        <f aca="false">LN(G345/H345)</f>
        <v>0.263553089652086</v>
      </c>
    </row>
    <row r="346" customFormat="false" ht="15" hidden="false" customHeight="true" outlineLevel="0" collapsed="false">
      <c r="A346" s="38" t="s">
        <v>27</v>
      </c>
      <c r="B346" s="38" t="n">
        <v>61</v>
      </c>
      <c r="C346" s="38" t="s">
        <v>170</v>
      </c>
      <c r="D346" s="38" t="s">
        <v>170</v>
      </c>
      <c r="E346" s="38" t="s">
        <v>875</v>
      </c>
      <c r="F346" s="38" t="str">
        <f aca="false">B346&amp;"|"&amp;C346&amp;"|"&amp;D346</f>
        <v>61|C|C</v>
      </c>
      <c r="G346" s="45" t="n">
        <f aca="false">INDEX('Transition Stepwise'!$J$2:$J$1137,MATCH(F346,'Transition Stepwise'!$E$2:$E$1137,0))</f>
        <v>0.835820895522388</v>
      </c>
      <c r="H346" s="45" t="n">
        <f aca="false">INDEX(Background!$D$12:$D$27,MATCH(C346&amp;D346,Background!$E$12:$E$27,0))</f>
        <v>0.312236286919831</v>
      </c>
      <c r="I346" s="49" t="n">
        <f aca="false">LN(G346/H346)</f>
        <v>0.984654119275145</v>
      </c>
    </row>
    <row r="347" customFormat="false" ht="15" hidden="false" customHeight="true" outlineLevel="0" collapsed="false">
      <c r="A347" s="38" t="s">
        <v>27</v>
      </c>
      <c r="B347" s="38" t="n">
        <v>62</v>
      </c>
      <c r="C347" s="38" t="s">
        <v>170</v>
      </c>
      <c r="D347" s="38" t="s">
        <v>171</v>
      </c>
      <c r="E347" s="38" t="s">
        <v>875</v>
      </c>
      <c r="F347" s="38" t="str">
        <f aca="false">B347&amp;"|"&amp;C347&amp;"|"&amp;D347</f>
        <v>62|C|U</v>
      </c>
      <c r="G347" s="45" t="n">
        <f aca="false">INDEX('Transition Stepwise'!$J$2:$J$1137,MATCH(F347,'Transition Stepwise'!$E$2:$E$1137,0))</f>
        <v>0.180232558139535</v>
      </c>
      <c r="H347" s="45" t="n">
        <f aca="false">INDEX(Background!$D$12:$D$27,MATCH(C347&amp;D347,Background!$E$12:$E$27,0))</f>
        <v>0.196466244725738</v>
      </c>
      <c r="I347" s="49" t="n">
        <f aca="false">LN(G347/H347)</f>
        <v>-0.086242627332954</v>
      </c>
    </row>
    <row r="348" customFormat="false" ht="15" hidden="false" customHeight="true" outlineLevel="0" collapsed="false">
      <c r="A348" s="38" t="s">
        <v>27</v>
      </c>
      <c r="B348" s="38" t="n">
        <v>63</v>
      </c>
      <c r="C348" s="38" t="s">
        <v>171</v>
      </c>
      <c r="D348" s="38" t="s">
        <v>171</v>
      </c>
      <c r="E348" s="38" t="s">
        <v>875</v>
      </c>
      <c r="F348" s="38" t="str">
        <f aca="false">B348&amp;"|"&amp;C348&amp;"|"&amp;D348</f>
        <v>63|U|U</v>
      </c>
      <c r="G348" s="45" t="n">
        <f aca="false">INDEX('Transition Stepwise'!$J$2:$J$1137,MATCH(F348,'Transition Stepwise'!$E$2:$E$1137,0))</f>
        <v>0.138888888888889</v>
      </c>
      <c r="H348" s="45" t="n">
        <f aca="false">INDEX(Background!$D$12:$D$27,MATCH(C348&amp;D348,Background!$E$12:$E$27,0))</f>
        <v>0.220480320213476</v>
      </c>
      <c r="I348" s="49" t="n">
        <f aca="false">LN(G348/H348)</f>
        <v>-0.462134187211153</v>
      </c>
    </row>
    <row r="349" customFormat="false" ht="15" hidden="false" customHeight="true" outlineLevel="0" collapsed="false">
      <c r="A349" s="38" t="s">
        <v>27</v>
      </c>
      <c r="B349" s="38" t="n">
        <v>64</v>
      </c>
      <c r="C349" s="38" t="s">
        <v>171</v>
      </c>
      <c r="D349" s="38" t="s">
        <v>169</v>
      </c>
      <c r="E349" s="38" t="s">
        <v>875</v>
      </c>
      <c r="F349" s="38" t="str">
        <f aca="false">B349&amp;"|"&amp;C349&amp;"|"&amp;D349</f>
        <v>64|U|G</v>
      </c>
      <c r="G349" s="45" t="n">
        <f aca="false">INDEX('Transition Stepwise'!$J$2:$J$1137,MATCH(F349,'Transition Stepwise'!$E$2:$E$1137,0))</f>
        <v>0.135135135135135</v>
      </c>
      <c r="H349" s="45" t="n">
        <f aca="false">INDEX(Background!$D$12:$D$27,MATCH(C349&amp;D349,Background!$E$12:$E$27,0))</f>
        <v>0.221480987324883</v>
      </c>
      <c r="I349" s="49" t="n">
        <f aca="false">LN(G349/H349)</f>
        <v>-0.494061471024015</v>
      </c>
    </row>
    <row r="350" customFormat="false" ht="15" hidden="false" customHeight="true" outlineLevel="0" collapsed="false">
      <c r="A350" s="38" t="s">
        <v>27</v>
      </c>
      <c r="B350" s="38" t="n">
        <v>65</v>
      </c>
      <c r="C350" s="38" t="s">
        <v>169</v>
      </c>
      <c r="D350" s="38" t="s">
        <v>172</v>
      </c>
      <c r="E350" s="38" t="s">
        <v>875</v>
      </c>
      <c r="F350" s="38" t="str">
        <f aca="false">B350&amp;"|"&amp;C350&amp;"|"&amp;D350</f>
        <v>65|G|A</v>
      </c>
      <c r="G350" s="45" t="n">
        <f aca="false">INDEX('Transition Stepwise'!$J$2:$J$1137,MATCH(F350,'Transition Stepwise'!$E$2:$E$1137,0))</f>
        <v>0.163934426229508</v>
      </c>
      <c r="H350" s="45" t="n">
        <f aca="false">INDEX(Background!$D$12:$D$27,MATCH(C350&amp;D350,Background!$E$12:$E$27,0))</f>
        <v>0.164356435643564</v>
      </c>
      <c r="I350" s="49" t="n">
        <f aca="false">LN(G350/H350)</f>
        <v>-0.00257094970050376</v>
      </c>
    </row>
    <row r="351" customFormat="false" ht="15" hidden="false" customHeight="true" outlineLevel="0" collapsed="false">
      <c r="A351" s="38" t="s">
        <v>27</v>
      </c>
      <c r="B351" s="38" t="n">
        <v>66</v>
      </c>
      <c r="C351" s="38" t="s">
        <v>172</v>
      </c>
      <c r="D351" s="38" t="s">
        <v>171</v>
      </c>
      <c r="E351" s="38" t="s">
        <v>875</v>
      </c>
      <c r="F351" s="38" t="str">
        <f aca="false">B351&amp;"|"&amp;C351&amp;"|"&amp;D351</f>
        <v>66|A|U</v>
      </c>
      <c r="G351" s="45" t="n">
        <f aca="false">INDEX('Transition Stepwise'!$J$2:$J$1137,MATCH(F351,'Transition Stepwise'!$E$2:$E$1137,0))</f>
        <v>0.25531914893617</v>
      </c>
      <c r="H351" s="45" t="n">
        <f aca="false">INDEX(Background!$D$12:$D$27,MATCH(C351&amp;D351,Background!$E$12:$E$27,0))</f>
        <v>0.194530046224961</v>
      </c>
      <c r="I351" s="49" t="n">
        <f aca="false">LN(G351/H351)</f>
        <v>0.271927696626562</v>
      </c>
    </row>
    <row r="352" customFormat="false" ht="15" hidden="false" customHeight="true" outlineLevel="0" collapsed="false">
      <c r="A352" s="38" t="s">
        <v>27</v>
      </c>
      <c r="B352" s="38" t="n">
        <v>67</v>
      </c>
      <c r="C352" s="38" t="s">
        <v>171</v>
      </c>
      <c r="D352" s="38" t="s">
        <v>169</v>
      </c>
      <c r="E352" s="38" t="s">
        <v>875</v>
      </c>
      <c r="F352" s="38" t="str">
        <f aca="false">B352&amp;"|"&amp;C352&amp;"|"&amp;D352</f>
        <v>67|U|G</v>
      </c>
      <c r="G352" s="45" t="n">
        <f aca="false">INDEX('Transition Stepwise'!$J$2:$J$1137,MATCH(F352,'Transition Stepwise'!$E$2:$E$1137,0))</f>
        <v>0.285714285714286</v>
      </c>
      <c r="H352" s="45" t="n">
        <f aca="false">INDEX(Background!$D$12:$D$27,MATCH(C352&amp;D352,Background!$E$12:$E$27,0))</f>
        <v>0.221480987324883</v>
      </c>
      <c r="I352" s="49" t="n">
        <f aca="false">LN(G352/H352)</f>
        <v>0.254655560690741</v>
      </c>
    </row>
    <row r="353" customFormat="false" ht="15" hidden="false" customHeight="true" outlineLevel="0" collapsed="false">
      <c r="A353" s="38" t="s">
        <v>27</v>
      </c>
      <c r="B353" s="38" t="n">
        <v>68</v>
      </c>
      <c r="C353" s="38" t="s">
        <v>169</v>
      </c>
      <c r="D353" s="38" t="s">
        <v>171</v>
      </c>
      <c r="E353" s="38" t="s">
        <v>875</v>
      </c>
      <c r="F353" s="38" t="str">
        <f aca="false">B353&amp;"|"&amp;C353&amp;"|"&amp;D353</f>
        <v>68|G|U</v>
      </c>
      <c r="G353" s="45" t="n">
        <f aca="false">INDEX('Transition Stepwise'!$J$2:$J$1137,MATCH(F353,'Transition Stepwise'!$E$2:$E$1137,0))</f>
        <v>0.043956043956044</v>
      </c>
      <c r="H353" s="45" t="n">
        <f aca="false">INDEX(Background!$D$12:$D$27,MATCH(C353&amp;D353,Background!$E$12:$E$27,0))</f>
        <v>0.234763476347635</v>
      </c>
      <c r="I353" s="49" t="n">
        <f aca="false">LN(G353/H353)</f>
        <v>-1.67538839008713</v>
      </c>
    </row>
    <row r="354" customFormat="false" ht="15" hidden="false" customHeight="true" outlineLevel="0" collapsed="false">
      <c r="A354" s="38" t="s">
        <v>27</v>
      </c>
      <c r="B354" s="38" t="n">
        <v>69</v>
      </c>
      <c r="C354" s="38" t="s">
        <v>171</v>
      </c>
      <c r="D354" s="38" t="s">
        <v>171</v>
      </c>
      <c r="E354" s="38" t="s">
        <v>875</v>
      </c>
      <c r="F354" s="38" t="str">
        <f aca="false">B354&amp;"|"&amp;C354&amp;"|"&amp;D354</f>
        <v>69|U|U</v>
      </c>
      <c r="G354" s="45" t="n">
        <f aca="false">INDEX('Transition Stepwise'!$J$2:$J$1137,MATCH(F354,'Transition Stepwise'!$E$2:$E$1137,0))</f>
        <v>0.15</v>
      </c>
      <c r="H354" s="45" t="n">
        <f aca="false">INDEX(Background!$D$12:$D$27,MATCH(C354&amp;D354,Background!$E$12:$E$27,0))</f>
        <v>0.220480320213476</v>
      </c>
      <c r="I354" s="49" t="n">
        <f aca="false">LN(G354/H354)</f>
        <v>-0.385173146075025</v>
      </c>
    </row>
    <row r="355" customFormat="false" ht="15" hidden="false" customHeight="true" outlineLevel="0" collapsed="false">
      <c r="A355" s="38" t="s">
        <v>27</v>
      </c>
      <c r="B355" s="38" t="n">
        <v>70</v>
      </c>
      <c r="C355" s="38" t="s">
        <v>171</v>
      </c>
      <c r="D355" s="38" t="s">
        <v>169</v>
      </c>
      <c r="E355" s="38" t="s">
        <v>875</v>
      </c>
      <c r="F355" s="38" t="str">
        <f aca="false">B355&amp;"|"&amp;C355&amp;"|"&amp;D355</f>
        <v>70|U|G</v>
      </c>
      <c r="G355" s="45" t="n">
        <f aca="false">INDEX('Transition Stepwise'!$J$2:$J$1137,MATCH(F355,'Transition Stepwise'!$E$2:$E$1137,0))</f>
        <v>0.0882352941176471</v>
      </c>
      <c r="H355" s="45" t="n">
        <f aca="false">INDEX(Background!$D$12:$D$27,MATCH(C355&amp;D355,Background!$E$12:$E$27,0))</f>
        <v>0.221480987324883</v>
      </c>
      <c r="I355" s="49" t="n">
        <f aca="false">LN(G355/H355)</f>
        <v>-0.920329706761943</v>
      </c>
    </row>
    <row r="356" customFormat="false" ht="15" hidden="false" customHeight="true" outlineLevel="0" collapsed="false">
      <c r="A356" s="38" t="s">
        <v>27</v>
      </c>
      <c r="B356" s="38" t="n">
        <v>71</v>
      </c>
      <c r="C356" s="38" t="s">
        <v>169</v>
      </c>
      <c r="D356" s="38" t="s">
        <v>169</v>
      </c>
      <c r="E356" s="38" t="s">
        <v>875</v>
      </c>
      <c r="F356" s="38" t="str">
        <f aca="false">B356&amp;"|"&amp;C356&amp;"|"&amp;D356</f>
        <v>71|G|G</v>
      </c>
      <c r="G356" s="45" t="n">
        <f aca="false">INDEX('Transition Stepwise'!$J$2:$J$1137,MATCH(F356,'Transition Stepwise'!$E$2:$E$1137,0))</f>
        <v>0.0581395348837209</v>
      </c>
      <c r="H356" s="45" t="n">
        <f aca="false">INDEX(Background!$D$12:$D$27,MATCH(C356&amp;D356,Background!$E$12:$E$27,0))</f>
        <v>0.344774477447745</v>
      </c>
      <c r="I356" s="49" t="n">
        <f aca="false">LN(G356/H356)</f>
        <v>-1.78004461956385</v>
      </c>
    </row>
    <row r="357" customFormat="false" ht="15" hidden="false" customHeight="true" outlineLevel="0" collapsed="false">
      <c r="A357" s="38" t="s">
        <v>31</v>
      </c>
      <c r="B357" s="38" t="n">
        <v>1</v>
      </c>
      <c r="C357" s="38" t="s">
        <v>170</v>
      </c>
      <c r="D357" s="38" t="s">
        <v>171</v>
      </c>
      <c r="E357" s="38" t="s">
        <v>875</v>
      </c>
      <c r="F357" s="38" t="str">
        <f aca="false">B357&amp;"|"&amp;C357&amp;"|"&amp;D357</f>
        <v>1|C|U</v>
      </c>
      <c r="G357" s="45" t="n">
        <f aca="false">INDEX('Transition Stepwise'!$J$2:$J$1137,MATCH(F357,'Transition Stepwise'!$E$2:$E$1137,0))</f>
        <v>0.08</v>
      </c>
      <c r="H357" s="45" t="n">
        <f aca="false">INDEX(Background!$D$12:$D$27,MATCH(C357&amp;D357,Background!$E$12:$E$27,0))</f>
        <v>0.196466244725738</v>
      </c>
      <c r="I357" s="49" t="n">
        <f aca="false">LN(G357/H357)</f>
        <v>-0.898463999312902</v>
      </c>
    </row>
    <row r="358" customFormat="false" ht="15" hidden="false" customHeight="true" outlineLevel="0" collapsed="false">
      <c r="A358" s="38" t="s">
        <v>31</v>
      </c>
      <c r="B358" s="38" t="n">
        <v>2</v>
      </c>
      <c r="C358" s="38" t="s">
        <v>171</v>
      </c>
      <c r="D358" s="38" t="s">
        <v>169</v>
      </c>
      <c r="E358" s="38" t="s">
        <v>875</v>
      </c>
      <c r="F358" s="38" t="str">
        <f aca="false">B358&amp;"|"&amp;C358&amp;"|"&amp;D358</f>
        <v>2|U|G</v>
      </c>
      <c r="G358" s="45" t="n">
        <f aca="false">INDEX('Transition Stepwise'!$J$2:$J$1137,MATCH(F358,'Transition Stepwise'!$E$2:$E$1137,0))</f>
        <v>0.2</v>
      </c>
      <c r="H358" s="45" t="n">
        <f aca="false">INDEX(Background!$D$12:$D$27,MATCH(C358&amp;D358,Background!$E$12:$E$27,0))</f>
        <v>0.221480987324883</v>
      </c>
      <c r="I358" s="49" t="n">
        <f aca="false">LN(G358/H358)</f>
        <v>-0.102019383247991</v>
      </c>
    </row>
    <row r="359" customFormat="false" ht="15" hidden="false" customHeight="true" outlineLevel="0" collapsed="false">
      <c r="A359" s="38" t="s">
        <v>31</v>
      </c>
      <c r="B359" s="38" t="n">
        <v>3</v>
      </c>
      <c r="C359" s="38" t="s">
        <v>169</v>
      </c>
      <c r="D359" s="38" t="s">
        <v>172</v>
      </c>
      <c r="E359" s="38" t="s">
        <v>875</v>
      </c>
      <c r="F359" s="38" t="str">
        <f aca="false">B359&amp;"|"&amp;C359&amp;"|"&amp;D359</f>
        <v>3|G|A</v>
      </c>
      <c r="G359" s="45" t="n">
        <f aca="false">INDEX('Transition Stepwise'!$J$2:$J$1137,MATCH(F359,'Transition Stepwise'!$E$2:$E$1137,0))</f>
        <v>0.0786516853932584</v>
      </c>
      <c r="H359" s="45" t="n">
        <f aca="false">INDEX(Background!$D$12:$D$27,MATCH(C359&amp;D359,Background!$E$12:$E$27,0))</f>
        <v>0.164356435643564</v>
      </c>
      <c r="I359" s="49" t="n">
        <f aca="false">LN(G359/H359)</f>
        <v>-0.737008399198065</v>
      </c>
    </row>
    <row r="360" customFormat="false" ht="15" hidden="false" customHeight="true" outlineLevel="0" collapsed="false">
      <c r="A360" s="38" t="s">
        <v>31</v>
      </c>
      <c r="B360" s="38" t="n">
        <v>4</v>
      </c>
      <c r="C360" s="38" t="s">
        <v>172</v>
      </c>
      <c r="D360" s="38" t="s">
        <v>169</v>
      </c>
      <c r="E360" s="38" t="s">
        <v>875</v>
      </c>
      <c r="F360" s="38" t="str">
        <f aca="false">B360&amp;"|"&amp;C360&amp;"|"&amp;D360</f>
        <v>4|A|G</v>
      </c>
      <c r="G360" s="45" t="n">
        <f aca="false">INDEX('Transition Stepwise'!$J$2:$J$1137,MATCH(F360,'Transition Stepwise'!$E$2:$E$1137,0))</f>
        <v>0.421052631578947</v>
      </c>
      <c r="H360" s="45" t="n">
        <f aca="false">INDEX(Background!$D$12:$D$27,MATCH(C360&amp;D360,Background!$E$12:$E$27,0))</f>
        <v>0.424884437596302</v>
      </c>
      <c r="I360" s="49" t="n">
        <f aca="false">LN(G360/H360)</f>
        <v>-0.00905937891612643</v>
      </c>
    </row>
    <row r="361" customFormat="false" ht="15" hidden="false" customHeight="true" outlineLevel="0" collapsed="false">
      <c r="A361" s="38" t="s">
        <v>31</v>
      </c>
      <c r="B361" s="38" t="n">
        <v>5</v>
      </c>
      <c r="C361" s="38" t="s">
        <v>169</v>
      </c>
      <c r="D361" s="38" t="s">
        <v>169</v>
      </c>
      <c r="E361" s="38" t="s">
        <v>875</v>
      </c>
      <c r="F361" s="38" t="str">
        <f aca="false">B361&amp;"|"&amp;C361&amp;"|"&amp;D361</f>
        <v>5|G|G</v>
      </c>
      <c r="G361" s="45" t="n">
        <f aca="false">INDEX('Transition Stepwise'!$J$2:$J$1137,MATCH(F361,'Transition Stepwise'!$E$2:$E$1137,0))</f>
        <v>0.301369863013699</v>
      </c>
      <c r="H361" s="45" t="n">
        <f aca="false">INDEX(Background!$D$12:$D$27,MATCH(C361&amp;D361,Background!$E$12:$E$27,0))</f>
        <v>0.344774477447745</v>
      </c>
      <c r="I361" s="49" t="n">
        <f aca="false">LN(G361/H361)</f>
        <v>-0.134552223534517</v>
      </c>
    </row>
    <row r="362" customFormat="false" ht="15" hidden="false" customHeight="true" outlineLevel="0" collapsed="false">
      <c r="A362" s="38" t="s">
        <v>31</v>
      </c>
      <c r="B362" s="38" t="n">
        <v>6</v>
      </c>
      <c r="C362" s="38" t="s">
        <v>169</v>
      </c>
      <c r="D362" s="38" t="s">
        <v>169</v>
      </c>
      <c r="E362" s="38" t="s">
        <v>875</v>
      </c>
      <c r="F362" s="38" t="str">
        <f aca="false">B362&amp;"|"&amp;C362&amp;"|"&amp;D362</f>
        <v>6|G|G</v>
      </c>
      <c r="G362" s="45" t="n">
        <f aca="false">INDEX('Transition Stepwise'!$J$2:$J$1137,MATCH(F362,'Transition Stepwise'!$E$2:$E$1137,0))</f>
        <v>0.461538461538462</v>
      </c>
      <c r="H362" s="45" t="n">
        <f aca="false">INDEX(Background!$D$12:$D$27,MATCH(C362&amp;D362,Background!$E$12:$E$27,0))</f>
        <v>0.344774477447745</v>
      </c>
      <c r="I362" s="49" t="n">
        <f aca="false">LN(G362/H362)</f>
        <v>0.291674876022077</v>
      </c>
    </row>
    <row r="363" customFormat="false" ht="15" hidden="false" customHeight="true" outlineLevel="0" collapsed="false">
      <c r="A363" s="38" t="s">
        <v>31</v>
      </c>
      <c r="B363" s="38" t="n">
        <v>7</v>
      </c>
      <c r="C363" s="38" t="s">
        <v>169</v>
      </c>
      <c r="D363" s="38" t="s">
        <v>171</v>
      </c>
      <c r="E363" s="38" t="s">
        <v>875</v>
      </c>
      <c r="F363" s="38" t="str">
        <f aca="false">B363&amp;"|"&amp;C363&amp;"|"&amp;D363</f>
        <v>7|G|U</v>
      </c>
      <c r="G363" s="45" t="n">
        <f aca="false">INDEX('Transition Stepwise'!$J$2:$J$1137,MATCH(F363,'Transition Stepwise'!$E$2:$E$1137,0))</f>
        <v>0.963302752293578</v>
      </c>
      <c r="H363" s="45" t="n">
        <f aca="false">INDEX(Background!$D$12:$D$27,MATCH(C363&amp;D363,Background!$E$12:$E$27,0))</f>
        <v>0.234763476347635</v>
      </c>
      <c r="I363" s="49" t="n">
        <f aca="false">LN(G363/H363)</f>
        <v>1.41178922323821</v>
      </c>
    </row>
    <row r="364" customFormat="false" ht="15" hidden="false" customHeight="true" outlineLevel="0" collapsed="false">
      <c r="A364" s="38" t="s">
        <v>31</v>
      </c>
      <c r="B364" s="38" t="n">
        <v>8</v>
      </c>
      <c r="C364" s="38" t="s">
        <v>171</v>
      </c>
      <c r="D364" s="38" t="s">
        <v>171</v>
      </c>
      <c r="E364" s="38" t="s">
        <v>875</v>
      </c>
      <c r="F364" s="38" t="str">
        <f aca="false">B364&amp;"|"&amp;C364&amp;"|"&amp;D364</f>
        <v>8|U|U</v>
      </c>
      <c r="G364" s="45" t="n">
        <f aca="false">INDEX('Transition Stepwise'!$J$2:$J$1137,MATCH(F364,'Transition Stepwise'!$E$2:$E$1137,0))</f>
        <v>0.005</v>
      </c>
      <c r="H364" s="45" t="n">
        <f aca="false">INDEX(Background!$D$12:$D$27,MATCH(C364&amp;D364,Background!$E$12:$E$27,0))</f>
        <v>0.220480320213476</v>
      </c>
      <c r="I364" s="49" t="n">
        <f aca="false">LN(G364/H364)</f>
        <v>-3.78637052773718</v>
      </c>
    </row>
    <row r="365" customFormat="false" ht="15" hidden="false" customHeight="true" outlineLevel="0" collapsed="false">
      <c r="A365" s="38" t="s">
        <v>31</v>
      </c>
      <c r="B365" s="38" t="n">
        <v>9</v>
      </c>
      <c r="C365" s="38" t="s">
        <v>171</v>
      </c>
      <c r="D365" s="38" t="s">
        <v>169</v>
      </c>
      <c r="E365" s="38" t="s">
        <v>875</v>
      </c>
      <c r="F365" s="38" t="str">
        <f aca="false">B365&amp;"|"&amp;C365&amp;"|"&amp;D365</f>
        <v>9|U|G</v>
      </c>
      <c r="G365" s="45" t="n">
        <f aca="false">INDEX('Transition Stepwise'!$J$2:$J$1137,MATCH(F365,'Transition Stepwise'!$E$2:$E$1137,0))</f>
        <v>0.25</v>
      </c>
      <c r="H365" s="45" t="n">
        <f aca="false">INDEX(Background!$D$12:$D$27,MATCH(C365&amp;D365,Background!$E$12:$E$27,0))</f>
        <v>0.221480987324883</v>
      </c>
      <c r="I365" s="49" t="n">
        <f aca="false">LN(G365/H365)</f>
        <v>0.121124168066218</v>
      </c>
    </row>
    <row r="366" customFormat="false" ht="15" hidden="false" customHeight="true" outlineLevel="0" collapsed="false">
      <c r="A366" s="38" t="s">
        <v>31</v>
      </c>
      <c r="B366" s="38" t="n">
        <v>10</v>
      </c>
      <c r="C366" s="38" t="s">
        <v>169</v>
      </c>
      <c r="D366" s="38" t="s">
        <v>170</v>
      </c>
      <c r="E366" s="38" t="s">
        <v>875</v>
      </c>
      <c r="F366" s="38" t="str">
        <f aca="false">B366&amp;"|"&amp;C366&amp;"|"&amp;D366</f>
        <v>10|G|C</v>
      </c>
      <c r="G366" s="45" t="n">
        <f aca="false">INDEX('Transition Stepwise'!$J$2:$J$1137,MATCH(F366,'Transition Stepwise'!$E$2:$E$1137,0))</f>
        <v>0.723076923076923</v>
      </c>
      <c r="H366" s="45" t="n">
        <f aca="false">INDEX(Background!$D$12:$D$27,MATCH(C366&amp;D366,Background!$E$12:$E$27,0))</f>
        <v>0.256105610561056</v>
      </c>
      <c r="I366" s="49" t="n">
        <f aca="false">LN(G366/H366)</f>
        <v>1.03792571013462</v>
      </c>
    </row>
    <row r="367" customFormat="false" ht="15" hidden="false" customHeight="true" outlineLevel="0" collapsed="false">
      <c r="A367" s="38" t="s">
        <v>31</v>
      </c>
      <c r="B367" s="38" t="n">
        <v>11</v>
      </c>
      <c r="C367" s="38" t="s">
        <v>170</v>
      </c>
      <c r="D367" s="38" t="s">
        <v>170</v>
      </c>
      <c r="E367" s="38" t="s">
        <v>875</v>
      </c>
      <c r="F367" s="38" t="str">
        <f aca="false">B367&amp;"|"&amp;C367&amp;"|"&amp;D367</f>
        <v>11|C|C</v>
      </c>
      <c r="G367" s="45" t="n">
        <f aca="false">INDEX('Transition Stepwise'!$J$2:$J$1137,MATCH(F367,'Transition Stepwise'!$E$2:$E$1137,0))</f>
        <v>0.12</v>
      </c>
      <c r="H367" s="45" t="n">
        <f aca="false">INDEX(Background!$D$12:$D$27,MATCH(C367&amp;D367,Background!$E$12:$E$27,0))</f>
        <v>0.312236286919831</v>
      </c>
      <c r="I367" s="49" t="n">
        <f aca="false">LN(G367/H367)</f>
        <v>-0.95626848826913</v>
      </c>
    </row>
    <row r="368" customFormat="false" ht="15" hidden="false" customHeight="true" outlineLevel="0" collapsed="false">
      <c r="A368" s="38" t="s">
        <v>31</v>
      </c>
      <c r="B368" s="38" t="n">
        <v>12</v>
      </c>
      <c r="C368" s="38" t="s">
        <v>170</v>
      </c>
      <c r="D368" s="38" t="s">
        <v>172</v>
      </c>
      <c r="E368" s="38" t="s">
        <v>875</v>
      </c>
      <c r="F368" s="38" t="str">
        <f aca="false">B368&amp;"|"&amp;C368&amp;"|"&amp;D368</f>
        <v>12|C|A</v>
      </c>
      <c r="G368" s="45" t="n">
        <f aca="false">INDEX('Transition Stepwise'!$J$2:$J$1137,MATCH(F368,'Transition Stepwise'!$E$2:$E$1137,0))</f>
        <v>0.242424242424242</v>
      </c>
      <c r="H368" s="45" t="n">
        <f aca="false">INDEX(Background!$D$12:$D$27,MATCH(C368&amp;D368,Background!$E$12:$E$27,0))</f>
        <v>0.194883966244726</v>
      </c>
      <c r="I368" s="49" t="n">
        <f aca="false">LN(G368/H368)</f>
        <v>0.218284922640066</v>
      </c>
    </row>
    <row r="369" customFormat="false" ht="15" hidden="false" customHeight="true" outlineLevel="0" collapsed="false">
      <c r="A369" s="38" t="s">
        <v>31</v>
      </c>
      <c r="B369" s="38" t="n">
        <v>13</v>
      </c>
      <c r="C369" s="38" t="s">
        <v>172</v>
      </c>
      <c r="D369" s="38" t="s">
        <v>169</v>
      </c>
      <c r="E369" s="38" t="s">
        <v>875</v>
      </c>
      <c r="F369" s="38" t="str">
        <f aca="false">B369&amp;"|"&amp;C369&amp;"|"&amp;D369</f>
        <v>13|A|G</v>
      </c>
      <c r="G369" s="45" t="n">
        <f aca="false">INDEX('Transition Stepwise'!$J$2:$J$1137,MATCH(F369,'Transition Stepwise'!$E$2:$E$1137,0))</f>
        <v>0.117647058823529</v>
      </c>
      <c r="H369" s="45" t="n">
        <f aca="false">INDEX(Background!$D$12:$D$27,MATCH(C369&amp;D369,Background!$E$12:$E$27,0))</f>
        <v>0.424884437596302</v>
      </c>
      <c r="I369" s="49" t="n">
        <f aca="false">LN(G369/H369)</f>
        <v>-1.28412810492579</v>
      </c>
    </row>
    <row r="370" customFormat="false" ht="15" hidden="false" customHeight="true" outlineLevel="0" collapsed="false">
      <c r="A370" s="38" t="s">
        <v>31</v>
      </c>
      <c r="B370" s="38" t="n">
        <v>14</v>
      </c>
      <c r="C370" s="38" t="s">
        <v>169</v>
      </c>
      <c r="D370" s="38" t="s">
        <v>172</v>
      </c>
      <c r="E370" s="38" t="s">
        <v>875</v>
      </c>
      <c r="F370" s="38" t="str">
        <f aca="false">B370&amp;"|"&amp;C370&amp;"|"&amp;D370</f>
        <v>14|G|A</v>
      </c>
      <c r="G370" s="45" t="n">
        <f aca="false">INDEX('Transition Stepwise'!$J$2:$J$1137,MATCH(F370,'Transition Stepwise'!$E$2:$E$1137,0))</f>
        <v>0.2</v>
      </c>
      <c r="H370" s="45" t="n">
        <f aca="false">INDEX(Background!$D$12:$D$27,MATCH(C370&amp;D370,Background!$E$12:$E$27,0))</f>
        <v>0.164356435643564</v>
      </c>
      <c r="I370" s="49" t="n">
        <f aca="false">LN(G370/H370)</f>
        <v>0.196279909044662</v>
      </c>
    </row>
    <row r="371" customFormat="false" ht="15" hidden="false" customHeight="true" outlineLevel="0" collapsed="false">
      <c r="A371" s="38" t="s">
        <v>31</v>
      </c>
      <c r="B371" s="38" t="n">
        <v>15</v>
      </c>
      <c r="C371" s="38" t="s">
        <v>172</v>
      </c>
      <c r="D371" s="38" t="s">
        <v>176</v>
      </c>
      <c r="E371" s="40" t="s">
        <v>876</v>
      </c>
      <c r="F371" s="38"/>
      <c r="G371" s="38"/>
      <c r="H371" s="38"/>
      <c r="I371" s="38"/>
    </row>
    <row r="372" customFormat="false" ht="15" hidden="false" customHeight="true" outlineLevel="0" collapsed="false">
      <c r="A372" s="38" t="s">
        <v>31</v>
      </c>
      <c r="B372" s="38" t="n">
        <v>16</v>
      </c>
      <c r="C372" s="38" t="s">
        <v>176</v>
      </c>
      <c r="D372" s="38" t="s">
        <v>169</v>
      </c>
      <c r="E372" s="40" t="s">
        <v>876</v>
      </c>
      <c r="F372" s="38"/>
      <c r="G372" s="38"/>
      <c r="H372" s="38"/>
      <c r="I372" s="38"/>
    </row>
    <row r="373" customFormat="false" ht="15" hidden="false" customHeight="true" outlineLevel="0" collapsed="false">
      <c r="A373" s="38" t="s">
        <v>31</v>
      </c>
      <c r="B373" s="38" t="n">
        <v>17</v>
      </c>
      <c r="C373" s="38" t="s">
        <v>169</v>
      </c>
      <c r="D373" s="38" t="s">
        <v>169</v>
      </c>
      <c r="E373" s="38" t="s">
        <v>875</v>
      </c>
      <c r="F373" s="38" t="str">
        <f aca="false">B373&amp;"|"&amp;C373&amp;"|"&amp;D373</f>
        <v>17|G|G</v>
      </c>
      <c r="G373" s="45" t="n">
        <f aca="false">INDEX('Transition Stepwise'!$J$2:$J$1137,MATCH(F373,'Transition Stepwise'!$E$2:$E$1137,0))</f>
        <v>0.75</v>
      </c>
      <c r="H373" s="45" t="n">
        <f aca="false">INDEX(Background!$D$12:$D$27,MATCH(C373&amp;D373,Background!$E$12:$E$27,0))</f>
        <v>0.344774477447745</v>
      </c>
      <c r="I373" s="49" t="n">
        <f aca="false">LN(G373/H373)</f>
        <v>0.777182691803778</v>
      </c>
    </row>
    <row r="374" customFormat="false" ht="15" hidden="false" customHeight="true" outlineLevel="0" collapsed="false">
      <c r="A374" s="38" t="s">
        <v>31</v>
      </c>
      <c r="B374" s="38" t="n">
        <v>18</v>
      </c>
      <c r="C374" s="38" t="s">
        <v>169</v>
      </c>
      <c r="D374" s="38" t="s">
        <v>169</v>
      </c>
      <c r="E374" s="38" t="s">
        <v>875</v>
      </c>
      <c r="F374" s="38" t="str">
        <f aca="false">B374&amp;"|"&amp;C374&amp;"|"&amp;D374</f>
        <v>18|G|G</v>
      </c>
      <c r="G374" s="45" t="n">
        <f aca="false">INDEX('Transition Stepwise'!$J$2:$J$1137,MATCH(F374,'Transition Stepwise'!$E$2:$E$1137,0))</f>
        <v>0.975247524752475</v>
      </c>
      <c r="H374" s="45" t="n">
        <f aca="false">INDEX(Background!$D$12:$D$27,MATCH(C374&amp;D374,Background!$E$12:$E$27,0))</f>
        <v>0.344774477447745</v>
      </c>
      <c r="I374" s="49" t="n">
        <f aca="false">LN(G374/H374)</f>
        <v>1.03980079559234</v>
      </c>
    </row>
    <row r="375" customFormat="false" ht="15" hidden="false" customHeight="true" outlineLevel="0" collapsed="false">
      <c r="A375" s="38" t="s">
        <v>31</v>
      </c>
      <c r="B375" s="38" t="n">
        <v>19</v>
      </c>
      <c r="C375" s="38" t="s">
        <v>169</v>
      </c>
      <c r="D375" s="38" t="s">
        <v>172</v>
      </c>
      <c r="E375" s="38" t="s">
        <v>875</v>
      </c>
      <c r="F375" s="38" t="str">
        <f aca="false">B375&amp;"|"&amp;C375&amp;"|"&amp;D375</f>
        <v>19|G|A</v>
      </c>
      <c r="G375" s="45" t="n">
        <f aca="false">INDEX('Transition Stepwise'!$J$2:$J$1137,MATCH(F375,'Transition Stepwise'!$E$2:$E$1137,0))</f>
        <v>0.09</v>
      </c>
      <c r="H375" s="45" t="n">
        <f aca="false">INDEX(Background!$D$12:$D$27,MATCH(C375&amp;D375,Background!$E$12:$E$27,0))</f>
        <v>0.164356435643564</v>
      </c>
      <c r="I375" s="49" t="n">
        <f aca="false">LN(G375/H375)</f>
        <v>-0.60222778717311</v>
      </c>
    </row>
    <row r="376" customFormat="false" ht="15" hidden="false" customHeight="true" outlineLevel="0" collapsed="false">
      <c r="A376" s="38" t="s">
        <v>31</v>
      </c>
      <c r="B376" s="38" t="n">
        <v>20</v>
      </c>
      <c r="C376" s="38" t="s">
        <v>172</v>
      </c>
      <c r="D376" s="38" t="s">
        <v>171</v>
      </c>
      <c r="E376" s="38" t="s">
        <v>875</v>
      </c>
      <c r="F376" s="38" t="str">
        <f aca="false">B376&amp;"|"&amp;C376&amp;"|"&amp;D376</f>
        <v>20|A|U</v>
      </c>
      <c r="G376" s="45" t="n">
        <f aca="false">INDEX('Transition Stepwise'!$J$2:$J$1137,MATCH(F376,'Transition Stepwise'!$E$2:$E$1137,0))</f>
        <v>0.0952380952380952</v>
      </c>
      <c r="H376" s="45" t="n">
        <f aca="false">INDEX(Background!$D$12:$D$27,MATCH(C376&amp;D376,Background!$E$12:$E$27,0))</f>
        <v>0.194530046224961</v>
      </c>
      <c r="I376" s="49" t="n">
        <f aca="false">LN(G376/H376)</f>
        <v>-0.714206608614857</v>
      </c>
    </row>
    <row r="377" customFormat="false" ht="15" hidden="false" customHeight="true" outlineLevel="0" collapsed="false">
      <c r="A377" s="38" t="s">
        <v>31</v>
      </c>
      <c r="B377" s="38" t="n">
        <v>21</v>
      </c>
      <c r="C377" s="38" t="s">
        <v>171</v>
      </c>
      <c r="D377" s="38" t="s">
        <v>171</v>
      </c>
      <c r="E377" s="38" t="s">
        <v>875</v>
      </c>
      <c r="F377" s="38" t="str">
        <f aca="false">B377&amp;"|"&amp;C377&amp;"|"&amp;D377</f>
        <v>21|U|U</v>
      </c>
      <c r="G377" s="45" t="n">
        <f aca="false">INDEX('Transition Stepwise'!$J$2:$J$1137,MATCH(F377,'Transition Stepwise'!$E$2:$E$1137,0))</f>
        <v>0.285714285714286</v>
      </c>
      <c r="H377" s="45" t="n">
        <f aca="false">INDEX(Background!$D$12:$D$27,MATCH(C377&amp;D377,Background!$E$12:$E$27,0))</f>
        <v>0.220480320213476</v>
      </c>
      <c r="I377" s="49" t="n">
        <f aca="false">LN(G377/H377)</f>
        <v>0.259183870315489</v>
      </c>
    </row>
    <row r="378" customFormat="false" ht="15" hidden="false" customHeight="true" outlineLevel="0" collapsed="false">
      <c r="A378" s="38" t="s">
        <v>31</v>
      </c>
      <c r="B378" s="38" t="n">
        <v>22</v>
      </c>
      <c r="C378" s="38" t="s">
        <v>171</v>
      </c>
      <c r="D378" s="38" t="s">
        <v>169</v>
      </c>
      <c r="E378" s="38" t="s">
        <v>875</v>
      </c>
      <c r="F378" s="38" t="str">
        <f aca="false">B378&amp;"|"&amp;C378&amp;"|"&amp;D378</f>
        <v>22|U|G</v>
      </c>
      <c r="G378" s="45" t="n">
        <f aca="false">INDEX('Transition Stepwise'!$J$2:$J$1137,MATCH(F378,'Transition Stepwise'!$E$2:$E$1137,0))</f>
        <v>0.222222222222222</v>
      </c>
      <c r="H378" s="45" t="n">
        <f aca="false">INDEX(Background!$D$12:$D$27,MATCH(C378&amp;D378,Background!$E$12:$E$27,0))</f>
        <v>0.221480987324883</v>
      </c>
      <c r="I378" s="49" t="n">
        <f aca="false">LN(G378/H378)</f>
        <v>0.00334113240983513</v>
      </c>
    </row>
    <row r="379" customFormat="false" ht="15" hidden="false" customHeight="true" outlineLevel="0" collapsed="false">
      <c r="A379" s="38" t="s">
        <v>31</v>
      </c>
      <c r="B379" s="38" t="n">
        <v>23</v>
      </c>
      <c r="C379" s="38" t="s">
        <v>169</v>
      </c>
      <c r="D379" s="38" t="s">
        <v>172</v>
      </c>
      <c r="E379" s="38" t="s">
        <v>875</v>
      </c>
      <c r="F379" s="38" t="str">
        <f aca="false">B379&amp;"|"&amp;C379&amp;"|"&amp;D379</f>
        <v>23|G|A</v>
      </c>
      <c r="G379" s="45" t="n">
        <f aca="false">INDEX('Transition Stepwise'!$J$2:$J$1137,MATCH(F379,'Transition Stepwise'!$E$2:$E$1137,0))</f>
        <v>0.333333333333333</v>
      </c>
      <c r="H379" s="45" t="n">
        <f aca="false">INDEX(Background!$D$12:$D$27,MATCH(C379&amp;D379,Background!$E$12:$E$27,0))</f>
        <v>0.164356435643564</v>
      </c>
      <c r="I379" s="49" t="n">
        <f aca="false">LN(G379/H379)</f>
        <v>0.707105532810652</v>
      </c>
    </row>
    <row r="380" customFormat="false" ht="15" hidden="false" customHeight="true" outlineLevel="0" collapsed="false">
      <c r="A380" s="38" t="s">
        <v>31</v>
      </c>
      <c r="B380" s="38" t="n">
        <v>24</v>
      </c>
      <c r="C380" s="38" t="s">
        <v>172</v>
      </c>
      <c r="D380" s="38" t="s">
        <v>171</v>
      </c>
      <c r="E380" s="38" t="s">
        <v>875</v>
      </c>
      <c r="F380" s="38" t="str">
        <f aca="false">B380&amp;"|"&amp;C380&amp;"|"&amp;D380</f>
        <v>24|A|U</v>
      </c>
      <c r="G380" s="45" t="n">
        <f aca="false">INDEX('Transition Stepwise'!$J$2:$J$1137,MATCH(F380,'Transition Stepwise'!$E$2:$E$1137,0))</f>
        <v>0.268292682926829</v>
      </c>
      <c r="H380" s="45" t="n">
        <f aca="false">INDEX(Background!$D$12:$D$27,MATCH(C380&amp;D380,Background!$E$12:$E$27,0))</f>
        <v>0.194530046224961</v>
      </c>
      <c r="I380" s="49" t="n">
        <f aca="false">LN(G380/H380)</f>
        <v>0.321491854642684</v>
      </c>
    </row>
    <row r="381" customFormat="false" ht="15" hidden="false" customHeight="true" outlineLevel="0" collapsed="false">
      <c r="A381" s="38" t="s">
        <v>31</v>
      </c>
      <c r="B381" s="38" t="n">
        <v>25</v>
      </c>
      <c r="C381" s="38" t="s">
        <v>171</v>
      </c>
      <c r="D381" s="38" t="s">
        <v>172</v>
      </c>
      <c r="E381" s="38" t="s">
        <v>875</v>
      </c>
      <c r="F381" s="38" t="str">
        <f aca="false">B381&amp;"|"&amp;C381&amp;"|"&amp;D381</f>
        <v>25|U|A</v>
      </c>
      <c r="G381" s="45" t="n">
        <f aca="false">INDEX('Transition Stepwise'!$J$2:$J$1137,MATCH(F381,'Transition Stepwise'!$E$2:$E$1137,0))</f>
        <v>0.166666666666667</v>
      </c>
      <c r="H381" s="45" t="n">
        <f aca="false">INDEX(Background!$D$12:$D$27,MATCH(C381&amp;D381,Background!$E$12:$E$27,0))</f>
        <v>0.180787191460974</v>
      </c>
      <c r="I381" s="49" t="n">
        <f aca="false">LN(G381/H381)</f>
        <v>-0.0813247920051584</v>
      </c>
    </row>
    <row r="382" customFormat="false" ht="15" hidden="false" customHeight="true" outlineLevel="0" collapsed="false">
      <c r="A382" s="38" t="s">
        <v>31</v>
      </c>
      <c r="B382" s="38" t="n">
        <v>26</v>
      </c>
      <c r="C382" s="38" t="s">
        <v>172</v>
      </c>
      <c r="D382" s="38" t="s">
        <v>170</v>
      </c>
      <c r="E382" s="38" t="s">
        <v>875</v>
      </c>
      <c r="F382" s="38" t="str">
        <f aca="false">B382&amp;"|"&amp;C382&amp;"|"&amp;D382</f>
        <v>26|A|C</v>
      </c>
      <c r="G382" s="45" t="n">
        <f aca="false">INDEX('Transition Stepwise'!$J$2:$J$1137,MATCH(F382,'Transition Stepwise'!$E$2:$E$1137,0))</f>
        <v>0.367816091954023</v>
      </c>
      <c r="H382" s="45" t="n">
        <f aca="false">INDEX(Background!$D$12:$D$27,MATCH(C382&amp;D382,Background!$E$12:$E$27,0))</f>
        <v>0.161016949152542</v>
      </c>
      <c r="I382" s="49" t="n">
        <f aca="false">LN(G382/H382)</f>
        <v>0.826073429444367</v>
      </c>
    </row>
    <row r="383" customFormat="false" ht="15" hidden="false" customHeight="true" outlineLevel="0" collapsed="false">
      <c r="A383" s="38" t="s">
        <v>31</v>
      </c>
      <c r="B383" s="38" t="n">
        <v>27</v>
      </c>
      <c r="C383" s="38" t="s">
        <v>170</v>
      </c>
      <c r="D383" s="38" t="s">
        <v>170</v>
      </c>
      <c r="E383" s="38" t="s">
        <v>875</v>
      </c>
      <c r="F383" s="38" t="str">
        <f aca="false">B383&amp;"|"&amp;C383&amp;"|"&amp;D383</f>
        <v>27|C|C</v>
      </c>
      <c r="G383" s="45" t="n">
        <f aca="false">INDEX('Transition Stepwise'!$J$2:$J$1137,MATCH(F383,'Transition Stepwise'!$E$2:$E$1137,0))</f>
        <v>0.412371134020619</v>
      </c>
      <c r="H383" s="45" t="n">
        <f aca="false">INDEX(Background!$D$12:$D$27,MATCH(C383&amp;D383,Background!$E$12:$E$27,0))</f>
        <v>0.312236286919831</v>
      </c>
      <c r="I383" s="49" t="n">
        <f aca="false">LN(G383/H383)</f>
        <v>0.278163523541515</v>
      </c>
    </row>
    <row r="384" customFormat="false" ht="15" hidden="false" customHeight="true" outlineLevel="0" collapsed="false">
      <c r="A384" s="38" t="s">
        <v>31</v>
      </c>
      <c r="B384" s="38" t="n">
        <v>28</v>
      </c>
      <c r="C384" s="38" t="s">
        <v>170</v>
      </c>
      <c r="D384" s="38" t="s">
        <v>169</v>
      </c>
      <c r="E384" s="38" t="s">
        <v>875</v>
      </c>
      <c r="F384" s="38" t="str">
        <f aca="false">B384&amp;"|"&amp;C384&amp;"|"&amp;D384</f>
        <v>28|C|G</v>
      </c>
      <c r="G384" s="45" t="n">
        <f aca="false">INDEX('Transition Stepwise'!$J$2:$J$1137,MATCH(F384,'Transition Stepwise'!$E$2:$E$1137,0))</f>
        <v>0.448598130841122</v>
      </c>
      <c r="H384" s="45" t="n">
        <f aca="false">INDEX(Background!$D$12:$D$27,MATCH(C384&amp;D384,Background!$E$12:$E$27,0))</f>
        <v>0.296413502109705</v>
      </c>
      <c r="I384" s="49" t="n">
        <f aca="false">LN(G384/H384)</f>
        <v>0.414372009367261</v>
      </c>
    </row>
    <row r="385" customFormat="false" ht="15" hidden="false" customHeight="true" outlineLevel="0" collapsed="false">
      <c r="A385" s="38" t="s">
        <v>31</v>
      </c>
      <c r="B385" s="38" t="n">
        <v>29</v>
      </c>
      <c r="C385" s="38" t="s">
        <v>169</v>
      </c>
      <c r="D385" s="38" t="s">
        <v>170</v>
      </c>
      <c r="E385" s="38" t="s">
        <v>875</v>
      </c>
      <c r="F385" s="38" t="str">
        <f aca="false">B385&amp;"|"&amp;C385&amp;"|"&amp;D385</f>
        <v>29|G|C</v>
      </c>
      <c r="G385" s="45" t="n">
        <f aca="false">INDEX('Transition Stepwise'!$J$2:$J$1137,MATCH(F385,'Transition Stepwise'!$E$2:$E$1137,0))</f>
        <v>0.135802469135802</v>
      </c>
      <c r="H385" s="45" t="n">
        <f aca="false">INDEX(Background!$D$12:$D$27,MATCH(C385&amp;D385,Background!$E$12:$E$27,0))</f>
        <v>0.256105610561056</v>
      </c>
      <c r="I385" s="49" t="n">
        <f aca="false">LN(G385/H385)</f>
        <v>-0.634388503553872</v>
      </c>
    </row>
    <row r="386" customFormat="false" ht="15" hidden="false" customHeight="true" outlineLevel="0" collapsed="false">
      <c r="A386" s="38" t="s">
        <v>31</v>
      </c>
      <c r="B386" s="38" t="n">
        <v>30</v>
      </c>
      <c r="C386" s="38" t="s">
        <v>170</v>
      </c>
      <c r="D386" s="38" t="s">
        <v>171</v>
      </c>
      <c r="E386" s="38" t="s">
        <v>875</v>
      </c>
      <c r="F386" s="38" t="str">
        <f aca="false">B386&amp;"|"&amp;C386&amp;"|"&amp;D386</f>
        <v>30|C|U</v>
      </c>
      <c r="G386" s="45" t="n">
        <f aca="false">INDEX('Transition Stepwise'!$J$2:$J$1137,MATCH(F386,'Transition Stepwise'!$E$2:$E$1137,0))</f>
        <v>0.0652173913043478</v>
      </c>
      <c r="H386" s="45" t="n">
        <f aca="false">INDEX(Background!$D$12:$D$27,MATCH(C386&amp;D386,Background!$E$12:$E$27,0))</f>
        <v>0.196466244725738</v>
      </c>
      <c r="I386" s="49" t="n">
        <f aca="false">LN(G386/H386)</f>
        <v>-1.10276446282563</v>
      </c>
    </row>
    <row r="387" customFormat="false" ht="15" hidden="false" customHeight="true" outlineLevel="0" collapsed="false">
      <c r="A387" s="38" t="s">
        <v>31</v>
      </c>
      <c r="B387" s="38" t="n">
        <v>31</v>
      </c>
      <c r="C387" s="38" t="s">
        <v>171</v>
      </c>
      <c r="D387" s="38" t="s">
        <v>171</v>
      </c>
      <c r="E387" s="38" t="s">
        <v>875</v>
      </c>
      <c r="F387" s="38" t="str">
        <f aca="false">B387&amp;"|"&amp;C387&amp;"|"&amp;D387</f>
        <v>31|U|U</v>
      </c>
      <c r="G387" s="45" t="n">
        <f aca="false">INDEX('Transition Stepwise'!$J$2:$J$1137,MATCH(F387,'Transition Stepwise'!$E$2:$E$1137,0))</f>
        <v>0.130434782608696</v>
      </c>
      <c r="H387" s="45" t="n">
        <f aca="false">INDEX(Background!$D$12:$D$27,MATCH(C387&amp;D387,Background!$E$12:$E$27,0))</f>
        <v>0.220480320213476</v>
      </c>
      <c r="I387" s="49" t="n">
        <f aca="false">LN(G387/H387)</f>
        <v>-0.524935088450183</v>
      </c>
    </row>
    <row r="388" customFormat="false" ht="15" hidden="false" customHeight="true" outlineLevel="0" collapsed="false">
      <c r="A388" s="38" t="s">
        <v>31</v>
      </c>
      <c r="B388" s="38" t="n">
        <v>32</v>
      </c>
      <c r="C388" s="38" t="s">
        <v>171</v>
      </c>
      <c r="D388" s="38" t="s">
        <v>170</v>
      </c>
      <c r="E388" s="38" t="s">
        <v>875</v>
      </c>
      <c r="F388" s="38" t="str">
        <f aca="false">B388&amp;"|"&amp;C388&amp;"|"&amp;D388</f>
        <v>32|U|C</v>
      </c>
      <c r="G388" s="45" t="n">
        <f aca="false">INDEX('Transition Stepwise'!$J$2:$J$1137,MATCH(F388,'Transition Stepwise'!$E$2:$E$1137,0))</f>
        <v>0.0158730158730159</v>
      </c>
      <c r="H388" s="45" t="n">
        <f aca="false">INDEX(Background!$D$12:$D$27,MATCH(C388&amp;D388,Background!$E$12:$E$27,0))</f>
        <v>0.377251501000667</v>
      </c>
      <c r="I388" s="49" t="n">
        <f aca="false">LN(G388/H388)</f>
        <v>-3.16829152384511</v>
      </c>
    </row>
    <row r="389" customFormat="false" ht="15" hidden="false" customHeight="true" outlineLevel="0" collapsed="false">
      <c r="A389" s="38" t="s">
        <v>31</v>
      </c>
      <c r="B389" s="38" t="n">
        <v>33</v>
      </c>
      <c r="C389" s="38" t="s">
        <v>170</v>
      </c>
      <c r="D389" s="38" t="s">
        <v>170</v>
      </c>
      <c r="E389" s="38" t="s">
        <v>875</v>
      </c>
      <c r="F389" s="38" t="str">
        <f aca="false">B389&amp;"|"&amp;C389&amp;"|"&amp;D389</f>
        <v>33|C|C</v>
      </c>
      <c r="G389" s="45" t="n">
        <f aca="false">INDEX('Transition Stepwise'!$J$2:$J$1137,MATCH(F389,'Transition Stepwise'!$E$2:$E$1137,0))</f>
        <v>0.4</v>
      </c>
      <c r="H389" s="45" t="n">
        <f aca="false">INDEX(Background!$D$12:$D$27,MATCH(C389&amp;D389,Background!$E$12:$E$27,0))</f>
        <v>0.312236286919831</v>
      </c>
      <c r="I389" s="49" t="n">
        <f aca="false">LN(G389/H389)</f>
        <v>0.247704316056806</v>
      </c>
    </row>
    <row r="390" customFormat="false" ht="15" hidden="false" customHeight="true" outlineLevel="0" collapsed="false">
      <c r="A390" s="38" t="s">
        <v>31</v>
      </c>
      <c r="B390" s="38" t="n">
        <v>34</v>
      </c>
      <c r="C390" s="38" t="s">
        <v>170</v>
      </c>
      <c r="D390" s="38" t="s">
        <v>171</v>
      </c>
      <c r="E390" s="38" t="s">
        <v>875</v>
      </c>
      <c r="F390" s="38" t="str">
        <f aca="false">B390&amp;"|"&amp;C390&amp;"|"&amp;D390</f>
        <v>34|C|U</v>
      </c>
      <c r="G390" s="45" t="n">
        <f aca="false">INDEX('Transition Stepwise'!$J$2:$J$1137,MATCH(F390,'Transition Stepwise'!$E$2:$E$1137,0))</f>
        <v>0.185714285714286</v>
      </c>
      <c r="H390" s="45" t="n">
        <f aca="false">INDEX(Background!$D$12:$D$27,MATCH(C390&amp;D390,Background!$E$12:$E$27,0))</f>
        <v>0.196466244725738</v>
      </c>
      <c r="I390" s="49" t="n">
        <f aca="false">LN(G390/H390)</f>
        <v>-0.0562812395924693</v>
      </c>
    </row>
    <row r="391" customFormat="false" ht="15" hidden="false" customHeight="true" outlineLevel="0" collapsed="false">
      <c r="A391" s="38" t="s">
        <v>31</v>
      </c>
      <c r="B391" s="38" t="n">
        <v>35</v>
      </c>
      <c r="C391" s="38" t="s">
        <v>171</v>
      </c>
      <c r="D391" s="38" t="s">
        <v>172</v>
      </c>
      <c r="E391" s="38" t="s">
        <v>875</v>
      </c>
      <c r="F391" s="38" t="str">
        <f aca="false">B391&amp;"|"&amp;C391&amp;"|"&amp;D391</f>
        <v>35|U|A</v>
      </c>
      <c r="G391" s="45" t="n">
        <f aca="false">INDEX('Transition Stepwise'!$J$2:$J$1137,MATCH(F391,'Transition Stepwise'!$E$2:$E$1137,0))</f>
        <v>0.177777777777778</v>
      </c>
      <c r="H391" s="45" t="n">
        <f aca="false">INDEX(Background!$D$12:$D$27,MATCH(C391&amp;D391,Background!$E$12:$E$27,0))</f>
        <v>0.180787191460974</v>
      </c>
      <c r="I391" s="49" t="n">
        <f aca="false">LN(G391/H391)</f>
        <v>-0.016786270867587</v>
      </c>
    </row>
    <row r="392" customFormat="false" ht="15" hidden="false" customHeight="true" outlineLevel="0" collapsed="false">
      <c r="A392" s="38" t="s">
        <v>31</v>
      </c>
      <c r="B392" s="38" t="n">
        <v>36</v>
      </c>
      <c r="C392" s="38" t="s">
        <v>172</v>
      </c>
      <c r="D392" s="38" t="s">
        <v>169</v>
      </c>
      <c r="E392" s="38" t="s">
        <v>875</v>
      </c>
      <c r="F392" s="38" t="str">
        <f aca="false">B392&amp;"|"&amp;C392&amp;"|"&amp;D392</f>
        <v>36|A|G</v>
      </c>
      <c r="G392" s="45" t="n">
        <f aca="false">INDEX('Transition Stepwise'!$J$2:$J$1137,MATCH(F392,'Transition Stepwise'!$E$2:$E$1137,0))</f>
        <v>0.382978723404255</v>
      </c>
      <c r="H392" s="45" t="n">
        <f aca="false">INDEX(Background!$D$12:$D$27,MATCH(C392&amp;D392,Background!$E$12:$E$27,0))</f>
        <v>0.424884437596302</v>
      </c>
      <c r="I392" s="49" t="n">
        <f aca="false">LN(G392/H392)</f>
        <v>-0.103837785243416</v>
      </c>
    </row>
    <row r="393" customFormat="false" ht="15" hidden="false" customHeight="true" outlineLevel="0" collapsed="false">
      <c r="A393" s="38" t="s">
        <v>31</v>
      </c>
      <c r="B393" s="38" t="n">
        <v>37</v>
      </c>
      <c r="C393" s="38" t="s">
        <v>169</v>
      </c>
      <c r="D393" s="38" t="s">
        <v>169</v>
      </c>
      <c r="E393" s="38" t="s">
        <v>875</v>
      </c>
      <c r="F393" s="38" t="str">
        <f aca="false">B393&amp;"|"&amp;C393&amp;"|"&amp;D393</f>
        <v>37|G|G</v>
      </c>
      <c r="G393" s="45" t="n">
        <f aca="false">INDEX('Transition Stepwise'!$J$2:$J$1137,MATCH(F393,'Transition Stepwise'!$E$2:$E$1137,0))</f>
        <v>0.0384615384615385</v>
      </c>
      <c r="H393" s="45" t="n">
        <f aca="false">INDEX(Background!$D$12:$D$27,MATCH(C393&amp;D393,Background!$E$12:$E$27,0))</f>
        <v>0.344774477447745</v>
      </c>
      <c r="I393" s="49" t="n">
        <f aca="false">LN(G393/H393)</f>
        <v>-2.19323177376592</v>
      </c>
    </row>
    <row r="394" customFormat="false" ht="15" hidden="false" customHeight="true" outlineLevel="0" collapsed="false">
      <c r="A394" s="38" t="s">
        <v>31</v>
      </c>
      <c r="B394" s="38" t="n">
        <v>38</v>
      </c>
      <c r="C394" s="38" t="s">
        <v>169</v>
      </c>
      <c r="D394" s="38" t="s">
        <v>169</v>
      </c>
      <c r="E394" s="38" t="s">
        <v>875</v>
      </c>
      <c r="F394" s="38" t="str">
        <f aca="false">B394&amp;"|"&amp;C394&amp;"|"&amp;D394</f>
        <v>38|G|G</v>
      </c>
      <c r="G394" s="45" t="n">
        <f aca="false">INDEX('Transition Stepwise'!$J$2:$J$1137,MATCH(F394,'Transition Stepwise'!$E$2:$E$1137,0))</f>
        <v>0.2</v>
      </c>
      <c r="H394" s="45" t="n">
        <f aca="false">INDEX(Background!$D$12:$D$27,MATCH(C394&amp;D394,Background!$E$12:$E$27,0))</f>
        <v>0.344774477447745</v>
      </c>
      <c r="I394" s="49" t="n">
        <f aca="false">LN(G394/H394)</f>
        <v>-0.544573148178542</v>
      </c>
    </row>
    <row r="395" customFormat="false" ht="15" hidden="false" customHeight="true" outlineLevel="0" collapsed="false">
      <c r="A395" s="38" t="s">
        <v>31</v>
      </c>
      <c r="B395" s="38" t="n">
        <v>39</v>
      </c>
      <c r="C395" s="38" t="s">
        <v>169</v>
      </c>
      <c r="D395" s="38" t="s">
        <v>169</v>
      </c>
      <c r="E395" s="38" t="s">
        <v>875</v>
      </c>
      <c r="F395" s="38" t="str">
        <f aca="false">B395&amp;"|"&amp;C395&amp;"|"&amp;D395</f>
        <v>39|G|G</v>
      </c>
      <c r="G395" s="45" t="n">
        <f aca="false">INDEX('Transition Stepwise'!$J$2:$J$1137,MATCH(F395,'Transition Stepwise'!$E$2:$E$1137,0))</f>
        <v>0.381578947368421</v>
      </c>
      <c r="H395" s="45" t="n">
        <f aca="false">INDEX(Background!$D$12:$D$27,MATCH(C395&amp;D395,Background!$E$12:$E$27,0))</f>
        <v>0.344774477447745</v>
      </c>
      <c r="I395" s="49" t="n">
        <f aca="false">LN(G395/H395)</f>
        <v>0.101427253955701</v>
      </c>
    </row>
    <row r="396" customFormat="false" ht="15" hidden="false" customHeight="true" outlineLevel="0" collapsed="false">
      <c r="A396" s="38" t="s">
        <v>31</v>
      </c>
      <c r="B396" s="38" t="n">
        <v>40</v>
      </c>
      <c r="C396" s="38" t="s">
        <v>169</v>
      </c>
      <c r="D396" s="38" t="s">
        <v>171</v>
      </c>
      <c r="E396" s="38" t="s">
        <v>875</v>
      </c>
      <c r="F396" s="38" t="str">
        <f aca="false">B396&amp;"|"&amp;C396&amp;"|"&amp;D396</f>
        <v>40|G|U</v>
      </c>
      <c r="G396" s="45" t="n">
        <f aca="false">INDEX('Transition Stepwise'!$J$2:$J$1137,MATCH(F396,'Transition Stepwise'!$E$2:$E$1137,0))</f>
        <v>0.176470588235294</v>
      </c>
      <c r="H396" s="45" t="n">
        <f aca="false">INDEX(Background!$D$12:$D$27,MATCH(C396&amp;D396,Background!$E$12:$E$27,0))</f>
        <v>0.234763476347635</v>
      </c>
      <c r="I396" s="49" t="n">
        <f aca="false">LN(G396/H396)</f>
        <v>-0.28542430007828</v>
      </c>
    </row>
    <row r="397" customFormat="false" ht="15" hidden="false" customHeight="true" outlineLevel="0" collapsed="false">
      <c r="A397" s="38" t="s">
        <v>31</v>
      </c>
      <c r="B397" s="38" t="n">
        <v>41</v>
      </c>
      <c r="C397" s="38" t="s">
        <v>171</v>
      </c>
      <c r="D397" s="38" t="s">
        <v>169</v>
      </c>
      <c r="E397" s="38" t="s">
        <v>875</v>
      </c>
      <c r="F397" s="38" t="str">
        <f aca="false">B397&amp;"|"&amp;C397&amp;"|"&amp;D397</f>
        <v>41|U|G</v>
      </c>
      <c r="G397" s="45" t="n">
        <f aca="false">INDEX('Transition Stepwise'!$J$2:$J$1137,MATCH(F397,'Transition Stepwise'!$E$2:$E$1137,0))</f>
        <v>0.513513513513514</v>
      </c>
      <c r="H397" s="45" t="n">
        <f aca="false">INDEX(Background!$D$12:$D$27,MATCH(C397&amp;D397,Background!$E$12:$E$27,0))</f>
        <v>0.221480987324883</v>
      </c>
      <c r="I397" s="49" t="n">
        <f aca="false">LN(G397/H397)</f>
        <v>0.840939595708325</v>
      </c>
    </row>
    <row r="398" customFormat="false" ht="15" hidden="false" customHeight="true" outlineLevel="0" collapsed="false">
      <c r="A398" s="38" t="s">
        <v>31</v>
      </c>
      <c r="B398" s="38" t="n">
        <v>42</v>
      </c>
      <c r="C398" s="38" t="s">
        <v>169</v>
      </c>
      <c r="D398" s="38" t="s">
        <v>169</v>
      </c>
      <c r="E398" s="38" t="s">
        <v>875</v>
      </c>
      <c r="F398" s="38" t="str">
        <f aca="false">B398&amp;"|"&amp;C398&amp;"|"&amp;D398</f>
        <v>42|G|G</v>
      </c>
      <c r="G398" s="45" t="n">
        <f aca="false">INDEX('Transition Stepwise'!$J$2:$J$1137,MATCH(F398,'Transition Stepwise'!$E$2:$E$1137,0))</f>
        <v>0.394495412844037</v>
      </c>
      <c r="H398" s="45" t="n">
        <f aca="false">INDEX(Background!$D$12:$D$27,MATCH(C398&amp;D398,Background!$E$12:$E$27,0))</f>
        <v>0.344774477447745</v>
      </c>
      <c r="I398" s="49" t="n">
        <f aca="false">LN(G398/H398)</f>
        <v>0.134716997719977</v>
      </c>
    </row>
    <row r="399" customFormat="false" ht="15" hidden="false" customHeight="true" outlineLevel="0" collapsed="false">
      <c r="A399" s="38" t="s">
        <v>31</v>
      </c>
      <c r="B399" s="38" t="n">
        <v>43</v>
      </c>
      <c r="C399" s="38" t="s">
        <v>169</v>
      </c>
      <c r="D399" s="38" t="s">
        <v>170</v>
      </c>
      <c r="E399" s="38" t="s">
        <v>875</v>
      </c>
      <c r="F399" s="38" t="str">
        <f aca="false">B399&amp;"|"&amp;C399&amp;"|"&amp;D399</f>
        <v>43|G|C</v>
      </c>
      <c r="G399" s="45" t="n">
        <f aca="false">INDEX('Transition Stepwise'!$J$2:$J$1137,MATCH(F399,'Transition Stepwise'!$E$2:$E$1137,0))</f>
        <v>0.135922330097087</v>
      </c>
      <c r="H399" s="45" t="n">
        <f aca="false">INDEX(Background!$D$12:$D$27,MATCH(C399&amp;D399,Background!$E$12:$E$27,0))</f>
        <v>0.256105610561056</v>
      </c>
      <c r="I399" s="49" t="n">
        <f aca="false">LN(G399/H399)</f>
        <v>-0.633506280294181</v>
      </c>
    </row>
    <row r="400" customFormat="false" ht="15" hidden="false" customHeight="true" outlineLevel="0" collapsed="false">
      <c r="A400" s="38" t="s">
        <v>31</v>
      </c>
      <c r="B400" s="38" t="n">
        <v>44</v>
      </c>
      <c r="C400" s="38" t="s">
        <v>170</v>
      </c>
      <c r="D400" s="38" t="s">
        <v>170</v>
      </c>
      <c r="E400" s="38" t="s">
        <v>875</v>
      </c>
      <c r="F400" s="38" t="str">
        <f aca="false">B400&amp;"|"&amp;C400&amp;"|"&amp;D400</f>
        <v>44|C|C</v>
      </c>
      <c r="G400" s="45" t="n">
        <f aca="false">INDEX('Transition Stepwise'!$J$2:$J$1137,MATCH(F400,'Transition Stepwise'!$E$2:$E$1137,0))</f>
        <v>0.0588235294117647</v>
      </c>
      <c r="H400" s="45" t="n">
        <f aca="false">INDEX(Background!$D$12:$D$27,MATCH(C400&amp;D400,Background!$E$12:$E$27,0))</f>
        <v>0.312236286919831</v>
      </c>
      <c r="I400" s="49" t="n">
        <f aca="false">LN(G400/H400)</f>
        <v>-1.66921829612525</v>
      </c>
    </row>
    <row r="401" customFormat="false" ht="15" hidden="false" customHeight="true" outlineLevel="0" collapsed="false">
      <c r="A401" s="38" t="s">
        <v>31</v>
      </c>
      <c r="B401" s="38" t="n">
        <v>45</v>
      </c>
      <c r="C401" s="38" t="s">
        <v>170</v>
      </c>
      <c r="D401" s="38" t="s">
        <v>169</v>
      </c>
      <c r="E401" s="38" t="s">
        <v>875</v>
      </c>
      <c r="F401" s="38" t="str">
        <f aca="false">B401&amp;"|"&amp;C401&amp;"|"&amp;D401</f>
        <v>45|C|G</v>
      </c>
      <c r="G401" s="45" t="n">
        <f aca="false">INDEX('Transition Stepwise'!$J$2:$J$1137,MATCH(F401,'Transition Stepwise'!$E$2:$E$1137,0))</f>
        <v>0.444444444444444</v>
      </c>
      <c r="H401" s="45" t="n">
        <f aca="false">INDEX(Background!$D$12:$D$27,MATCH(C401&amp;D401,Background!$E$12:$E$27,0))</f>
        <v>0.296413502109705</v>
      </c>
      <c r="I401" s="49" t="n">
        <f aca="false">LN(G401/H401)</f>
        <v>0.405069616704947</v>
      </c>
    </row>
    <row r="402" customFormat="false" ht="15" hidden="false" customHeight="true" outlineLevel="0" collapsed="false">
      <c r="A402" s="38" t="s">
        <v>31</v>
      </c>
      <c r="B402" s="38" t="n">
        <v>46</v>
      </c>
      <c r="C402" s="38" t="s">
        <v>169</v>
      </c>
      <c r="D402" s="38" t="s">
        <v>169</v>
      </c>
      <c r="E402" s="38" t="s">
        <v>875</v>
      </c>
      <c r="F402" s="38" t="str">
        <f aca="false">B402&amp;"|"&amp;C402&amp;"|"&amp;D402</f>
        <v>46|G|G</v>
      </c>
      <c r="G402" s="45" t="n">
        <f aca="false">INDEX('Transition Stepwise'!$J$2:$J$1137,MATCH(F402,'Transition Stepwise'!$E$2:$E$1137,0))</f>
        <v>0.0357142857142857</v>
      </c>
      <c r="H402" s="45" t="n">
        <f aca="false">INDEX(Background!$D$12:$D$27,MATCH(C402&amp;D402,Background!$E$12:$E$27,0))</f>
        <v>0.344774477447745</v>
      </c>
      <c r="I402" s="49" t="n">
        <f aca="false">LN(G402/H402)</f>
        <v>-2.26733974591965</v>
      </c>
    </row>
    <row r="403" customFormat="false" ht="15" hidden="false" customHeight="true" outlineLevel="0" collapsed="false">
      <c r="A403" s="38" t="s">
        <v>31</v>
      </c>
      <c r="B403" s="38" t="n">
        <v>47</v>
      </c>
      <c r="C403" s="38" t="s">
        <v>169</v>
      </c>
      <c r="D403" s="38" t="s">
        <v>171</v>
      </c>
      <c r="E403" s="38" t="s">
        <v>875</v>
      </c>
      <c r="F403" s="38" t="str">
        <f aca="false">B403&amp;"|"&amp;C403&amp;"|"&amp;D403</f>
        <v>47|G|U</v>
      </c>
      <c r="G403" s="45" t="n">
        <f aca="false">INDEX('Transition Stepwise'!$J$2:$J$1137,MATCH(F403,'Transition Stepwise'!$E$2:$E$1137,0))</f>
        <v>0.45</v>
      </c>
      <c r="H403" s="45" t="n">
        <f aca="false">INDEX(Background!$D$12:$D$27,MATCH(C403&amp;D403,Background!$E$12:$E$27,0))</f>
        <v>0.234763476347635</v>
      </c>
      <c r="I403" s="49" t="n">
        <f aca="false">LN(G403/H403)</f>
        <v>0.650669059092054</v>
      </c>
    </row>
    <row r="404" customFormat="false" ht="15" hidden="false" customHeight="true" outlineLevel="0" collapsed="false">
      <c r="A404" s="38" t="s">
        <v>31</v>
      </c>
      <c r="B404" s="38" t="n">
        <v>48</v>
      </c>
      <c r="C404" s="38" t="s">
        <v>171</v>
      </c>
      <c r="D404" s="38" t="s">
        <v>172</v>
      </c>
      <c r="E404" s="38" t="s">
        <v>875</v>
      </c>
      <c r="F404" s="38" t="str">
        <f aca="false">B404&amp;"|"&amp;C404&amp;"|"&amp;D404</f>
        <v>48|U|A</v>
      </c>
      <c r="G404" s="45" t="n">
        <f aca="false">INDEX('Transition Stepwise'!$J$2:$J$1137,MATCH(F404,'Transition Stepwise'!$E$2:$E$1137,0))</f>
        <v>0.242424242424242</v>
      </c>
      <c r="H404" s="45" t="n">
        <f aca="false">INDEX(Background!$D$12:$D$27,MATCH(C404&amp;D404,Background!$E$12:$E$27,0))</f>
        <v>0.180787191460974</v>
      </c>
      <c r="I404" s="49" t="n">
        <f aca="false">LN(G404/H404)</f>
        <v>0.293368657436252</v>
      </c>
    </row>
    <row r="405" customFormat="false" ht="15" hidden="false" customHeight="true" outlineLevel="0" collapsed="false">
      <c r="A405" s="38" t="s">
        <v>31</v>
      </c>
      <c r="B405" s="38" t="n">
        <v>49</v>
      </c>
      <c r="C405" s="38" t="s">
        <v>172</v>
      </c>
      <c r="D405" s="38" t="s">
        <v>172</v>
      </c>
      <c r="E405" s="38" t="s">
        <v>875</v>
      </c>
      <c r="F405" s="38" t="str">
        <f aca="false">B405&amp;"|"&amp;C405&amp;"|"&amp;D405</f>
        <v>49|A|A</v>
      </c>
      <c r="G405" s="45" t="n">
        <f aca="false">INDEX('Transition Stepwise'!$J$2:$J$1137,MATCH(F405,'Transition Stepwise'!$E$2:$E$1137,0))</f>
        <v>0.0857142857142857</v>
      </c>
      <c r="H405" s="45" t="n">
        <f aca="false">INDEX(Background!$D$12:$D$27,MATCH(C405&amp;D405,Background!$E$12:$E$27,0))</f>
        <v>0.219568567026194</v>
      </c>
      <c r="I405" s="49" t="n">
        <f aca="false">LN(G405/H405)</f>
        <v>-0.940645055825919</v>
      </c>
    </row>
    <row r="406" customFormat="false" ht="15" hidden="false" customHeight="true" outlineLevel="0" collapsed="false">
      <c r="A406" s="38" t="s">
        <v>31</v>
      </c>
      <c r="B406" s="38" t="n">
        <v>50</v>
      </c>
      <c r="C406" s="38" t="s">
        <v>172</v>
      </c>
      <c r="D406" s="38" t="s">
        <v>169</v>
      </c>
      <c r="E406" s="38" t="s">
        <v>875</v>
      </c>
      <c r="F406" s="38" t="str">
        <f aca="false">B406&amp;"|"&amp;C406&amp;"|"&amp;D406</f>
        <v>50|A|G</v>
      </c>
      <c r="G406" s="45" t="n">
        <f aca="false">INDEX('Transition Stepwise'!$J$2:$J$1137,MATCH(F406,'Transition Stepwise'!$E$2:$E$1137,0))</f>
        <v>0.62962962962963</v>
      </c>
      <c r="H406" s="45" t="n">
        <f aca="false">INDEX(Background!$D$12:$D$27,MATCH(C406&amp;D406,Background!$E$12:$E$27,0))</f>
        <v>0.424884437596302</v>
      </c>
      <c r="I406" s="49" t="n">
        <f aca="false">LN(G406/H406)</f>
        <v>0.393314536622365</v>
      </c>
    </row>
    <row r="407" customFormat="false" ht="15" hidden="false" customHeight="true" outlineLevel="0" collapsed="false">
      <c r="A407" s="38" t="s">
        <v>31</v>
      </c>
      <c r="B407" s="38" t="n">
        <v>51</v>
      </c>
      <c r="C407" s="38" t="s">
        <v>169</v>
      </c>
      <c r="D407" s="38" t="s">
        <v>169</v>
      </c>
      <c r="E407" s="38" t="s">
        <v>875</v>
      </c>
      <c r="F407" s="38" t="str">
        <f aca="false">B407&amp;"|"&amp;C407&amp;"|"&amp;D407</f>
        <v>51|G|G</v>
      </c>
      <c r="G407" s="45" t="n">
        <f aca="false">INDEX('Transition Stepwise'!$J$2:$J$1137,MATCH(F407,'Transition Stepwise'!$E$2:$E$1137,0))</f>
        <v>0.786407766990291</v>
      </c>
      <c r="H407" s="45" t="n">
        <f aca="false">INDEX(Background!$D$12:$D$27,MATCH(C407&amp;D407,Background!$E$12:$E$27,0))</f>
        <v>0.344774477447745</v>
      </c>
      <c r="I407" s="49" t="n">
        <f aca="false">LN(G407/H407)</f>
        <v>0.824584930698362</v>
      </c>
    </row>
    <row r="408" customFormat="false" ht="15" hidden="false" customHeight="true" outlineLevel="0" collapsed="false">
      <c r="A408" s="38" t="s">
        <v>31</v>
      </c>
      <c r="B408" s="38" t="n">
        <v>52</v>
      </c>
      <c r="C408" s="38" t="s">
        <v>169</v>
      </c>
      <c r="D408" s="38" t="s">
        <v>169</v>
      </c>
      <c r="E408" s="38" t="s">
        <v>875</v>
      </c>
      <c r="F408" s="38" t="str">
        <f aca="false">B408&amp;"|"&amp;C408&amp;"|"&amp;D408</f>
        <v>52|G|G</v>
      </c>
      <c r="G408" s="45" t="n">
        <f aca="false">INDEX('Transition Stepwise'!$J$2:$J$1137,MATCH(F408,'Transition Stepwise'!$E$2:$E$1137,0))</f>
        <v>0.964912280701754</v>
      </c>
      <c r="H408" s="45" t="n">
        <f aca="false">INDEX(Background!$D$12:$D$27,MATCH(C408&amp;D408,Background!$E$12:$E$27,0))</f>
        <v>0.344774477447745</v>
      </c>
      <c r="I408" s="49" t="n">
        <f aca="false">LN(G408/H408)</f>
        <v>1.02914668165348</v>
      </c>
    </row>
    <row r="409" customFormat="false" ht="15" hidden="false" customHeight="true" outlineLevel="0" collapsed="false">
      <c r="A409" s="38" t="s">
        <v>31</v>
      </c>
      <c r="B409" s="38" t="n">
        <v>53</v>
      </c>
      <c r="C409" s="38" t="s">
        <v>169</v>
      </c>
      <c r="D409" s="38" t="s">
        <v>171</v>
      </c>
      <c r="E409" s="38" t="s">
        <v>875</v>
      </c>
      <c r="F409" s="38" t="str">
        <f aca="false">B409&amp;"|"&amp;C409&amp;"|"&amp;D409</f>
        <v>53|G|U</v>
      </c>
      <c r="G409" s="45" t="n">
        <f aca="false">INDEX('Transition Stepwise'!$J$2:$J$1137,MATCH(F409,'Transition Stepwise'!$E$2:$E$1137,0))</f>
        <v>0.974874371859297</v>
      </c>
      <c r="H409" s="45" t="n">
        <f aca="false">INDEX(Background!$D$12:$D$27,MATCH(C409&amp;D409,Background!$E$12:$E$27,0))</f>
        <v>0.234763476347635</v>
      </c>
      <c r="I409" s="49" t="n">
        <f aca="false">LN(G409/H409)</f>
        <v>1.42373008964866</v>
      </c>
    </row>
    <row r="410" customFormat="false" ht="15" hidden="false" customHeight="true" outlineLevel="0" collapsed="false">
      <c r="A410" s="38" t="s">
        <v>31</v>
      </c>
      <c r="B410" s="38" t="n">
        <v>54</v>
      </c>
      <c r="C410" s="38" t="s">
        <v>171</v>
      </c>
      <c r="D410" s="38" t="s">
        <v>171</v>
      </c>
      <c r="E410" s="38" t="s">
        <v>875</v>
      </c>
      <c r="F410" s="38" t="str">
        <f aca="false">B410&amp;"|"&amp;C410&amp;"|"&amp;D410</f>
        <v>54|U|U</v>
      </c>
      <c r="G410" s="45" t="n">
        <f aca="false">INDEX('Transition Stepwise'!$J$2:$J$1137,MATCH(F410,'Transition Stepwise'!$E$2:$E$1137,0))</f>
        <v>0.970149253731343</v>
      </c>
      <c r="H410" s="45" t="n">
        <f aca="false">INDEX(Background!$D$12:$D$27,MATCH(C410&amp;D410,Background!$E$12:$E$27,0))</f>
        <v>0.220480320213476</v>
      </c>
      <c r="I410" s="49" t="n">
        <f aca="false">LN(G410/H410)</f>
        <v>1.48164148931553</v>
      </c>
    </row>
    <row r="411" customFormat="false" ht="15" hidden="false" customHeight="true" outlineLevel="0" collapsed="false">
      <c r="A411" s="38" t="s">
        <v>31</v>
      </c>
      <c r="B411" s="38" t="n">
        <v>55</v>
      </c>
      <c r="C411" s="38" t="s">
        <v>171</v>
      </c>
      <c r="D411" s="38" t="s">
        <v>170</v>
      </c>
      <c r="E411" s="38" t="s">
        <v>875</v>
      </c>
      <c r="F411" s="38" t="str">
        <f aca="false">B411&amp;"|"&amp;C411&amp;"|"&amp;D411</f>
        <v>55|U|C</v>
      </c>
      <c r="G411" s="45" t="n">
        <f aca="false">INDEX('Transition Stepwise'!$J$2:$J$1137,MATCH(F411,'Transition Stepwise'!$E$2:$E$1137,0))</f>
        <v>0.975</v>
      </c>
      <c r="H411" s="45" t="n">
        <f aca="false">INDEX(Background!$D$12:$D$27,MATCH(C411&amp;D411,Background!$E$12:$E$27,0))</f>
        <v>0.377251501000667</v>
      </c>
      <c r="I411" s="49" t="n">
        <f aca="false">LN(G411/H411)</f>
        <v>0.949525394562133</v>
      </c>
    </row>
    <row r="412" customFormat="false" ht="15" hidden="false" customHeight="true" outlineLevel="0" collapsed="false">
      <c r="A412" s="38" t="s">
        <v>31</v>
      </c>
      <c r="B412" s="38" t="n">
        <v>56</v>
      </c>
      <c r="C412" s="38" t="s">
        <v>170</v>
      </c>
      <c r="D412" s="38" t="s">
        <v>170</v>
      </c>
      <c r="E412" s="38" t="s">
        <v>875</v>
      </c>
      <c r="F412" s="38" t="str">
        <f aca="false">B412&amp;"|"&amp;C412&amp;"|"&amp;D412</f>
        <v>56|C|C</v>
      </c>
      <c r="G412" s="45" t="n">
        <f aca="false">INDEX('Transition Stepwise'!$J$2:$J$1137,MATCH(F412,'Transition Stepwise'!$E$2:$E$1137,0))</f>
        <v>0.0050251256281407</v>
      </c>
      <c r="H412" s="45" t="n">
        <f aca="false">INDEX(Background!$D$12:$D$27,MATCH(C412&amp;D412,Background!$E$12:$E$27,0))</f>
        <v>0.312236286919831</v>
      </c>
      <c r="I412" s="49" t="n">
        <f aca="false">LN(G412/H412)</f>
        <v>-4.12930977679353</v>
      </c>
    </row>
    <row r="413" customFormat="false" ht="15" hidden="false" customHeight="true" outlineLevel="0" collapsed="false">
      <c r="A413" s="38" t="s">
        <v>31</v>
      </c>
      <c r="B413" s="38" t="n">
        <v>57</v>
      </c>
      <c r="C413" s="38" t="s">
        <v>170</v>
      </c>
      <c r="D413" s="38" t="s">
        <v>172</v>
      </c>
      <c r="E413" s="38" t="s">
        <v>875</v>
      </c>
      <c r="F413" s="38" t="str">
        <f aca="false">B413&amp;"|"&amp;C413&amp;"|"&amp;D413</f>
        <v>57|C|A</v>
      </c>
      <c r="G413" s="45" t="n">
        <f aca="false">INDEX('Transition Stepwise'!$J$2:$J$1137,MATCH(F413,'Transition Stepwise'!$E$2:$E$1137,0))</f>
        <v>0.25</v>
      </c>
      <c r="H413" s="45" t="n">
        <f aca="false">INDEX(Background!$D$12:$D$27,MATCH(C413&amp;D413,Background!$E$12:$E$27,0))</f>
        <v>0.194883966244726</v>
      </c>
      <c r="I413" s="49" t="n">
        <f aca="false">LN(G413/H413)</f>
        <v>0.24905658130682</v>
      </c>
    </row>
    <row r="414" customFormat="false" ht="15" hidden="false" customHeight="true" outlineLevel="0" collapsed="false">
      <c r="A414" s="38" t="s">
        <v>31</v>
      </c>
      <c r="B414" s="38" t="n">
        <v>58</v>
      </c>
      <c r="C414" s="38" t="s">
        <v>172</v>
      </c>
      <c r="D414" s="38" t="s">
        <v>170</v>
      </c>
      <c r="E414" s="38" t="s">
        <v>875</v>
      </c>
      <c r="F414" s="38" t="str">
        <f aca="false">B414&amp;"|"&amp;C414&amp;"|"&amp;D414</f>
        <v>58|A|C</v>
      </c>
      <c r="G414" s="45" t="n">
        <f aca="false">INDEX('Transition Stepwise'!$J$2:$J$1137,MATCH(F414,'Transition Stepwise'!$E$2:$E$1137,0))</f>
        <v>0.054726368159204</v>
      </c>
      <c r="H414" s="45" t="n">
        <f aca="false">INDEX(Background!$D$12:$D$27,MATCH(C414&amp;D414,Background!$E$12:$E$27,0))</f>
        <v>0.161016949152542</v>
      </c>
      <c r="I414" s="49" t="n">
        <f aca="false">LN(G414/H414)</f>
        <v>-1.07916398996148</v>
      </c>
    </row>
    <row r="415" customFormat="false" ht="15" hidden="false" customHeight="true" outlineLevel="0" collapsed="false">
      <c r="A415" s="38" t="s">
        <v>31</v>
      </c>
      <c r="B415" s="38" t="n">
        <v>59</v>
      </c>
      <c r="C415" s="38" t="s">
        <v>170</v>
      </c>
      <c r="D415" s="38" t="s">
        <v>171</v>
      </c>
      <c r="E415" s="38" t="s">
        <v>875</v>
      </c>
      <c r="F415" s="38" t="str">
        <f aca="false">B415&amp;"|"&amp;C415&amp;"|"&amp;D415</f>
        <v>59|C|U</v>
      </c>
      <c r="G415" s="45" t="n">
        <f aca="false">INDEX('Transition Stepwise'!$J$2:$J$1137,MATCH(F415,'Transition Stepwise'!$E$2:$E$1137,0))</f>
        <v>0.5625</v>
      </c>
      <c r="H415" s="45" t="n">
        <f aca="false">INDEX(Background!$D$12:$D$27,MATCH(C415&amp;D415,Background!$E$12:$E$27,0))</f>
        <v>0.196466244725738</v>
      </c>
      <c r="I415" s="49" t="n">
        <f aca="false">LN(G415/H415)</f>
        <v>1.05190050009179</v>
      </c>
    </row>
    <row r="416" customFormat="false" ht="15" hidden="false" customHeight="true" outlineLevel="0" collapsed="false">
      <c r="A416" s="38" t="s">
        <v>31</v>
      </c>
      <c r="B416" s="38" t="n">
        <v>60</v>
      </c>
      <c r="C416" s="38" t="s">
        <v>171</v>
      </c>
      <c r="D416" s="38" t="s">
        <v>170</v>
      </c>
      <c r="E416" s="38" t="s">
        <v>875</v>
      </c>
      <c r="F416" s="38" t="str">
        <f aca="false">B416&amp;"|"&amp;C416&amp;"|"&amp;D416</f>
        <v>60|U|C</v>
      </c>
      <c r="G416" s="45" t="n">
        <f aca="false">INDEX('Transition Stepwise'!$J$2:$J$1137,MATCH(F416,'Transition Stepwise'!$E$2:$E$1137,0))</f>
        <v>0.975</v>
      </c>
      <c r="H416" s="45" t="n">
        <f aca="false">INDEX(Background!$D$12:$D$27,MATCH(C416&amp;D416,Background!$E$12:$E$27,0))</f>
        <v>0.377251501000667</v>
      </c>
      <c r="I416" s="49" t="n">
        <f aca="false">LN(G416/H416)</f>
        <v>0.949525394562133</v>
      </c>
    </row>
    <row r="417" customFormat="false" ht="15" hidden="false" customHeight="true" outlineLevel="0" collapsed="false">
      <c r="A417" s="38" t="s">
        <v>31</v>
      </c>
      <c r="B417" s="38" t="n">
        <v>61</v>
      </c>
      <c r="C417" s="38" t="s">
        <v>170</v>
      </c>
      <c r="D417" s="38" t="s">
        <v>171</v>
      </c>
      <c r="E417" s="38" t="s">
        <v>875</v>
      </c>
      <c r="F417" s="38" t="str">
        <f aca="false">B417&amp;"|"&amp;C417&amp;"|"&amp;D417</f>
        <v>61|C|U</v>
      </c>
      <c r="G417" s="45" t="n">
        <f aca="false">INDEX('Transition Stepwise'!$J$2:$J$1137,MATCH(F417,'Transition Stepwise'!$E$2:$E$1137,0))</f>
        <v>0.129353233830846</v>
      </c>
      <c r="H417" s="45" t="n">
        <f aca="false">INDEX(Background!$D$12:$D$27,MATCH(C417&amp;D417,Background!$E$12:$E$27,0))</f>
        <v>0.196466244725738</v>
      </c>
      <c r="I417" s="49" t="n">
        <f aca="false">LN(G417/H417)</f>
        <v>-0.417943725042241</v>
      </c>
    </row>
    <row r="418" customFormat="false" ht="15" hidden="false" customHeight="true" outlineLevel="0" collapsed="false">
      <c r="A418" s="38" t="s">
        <v>31</v>
      </c>
      <c r="B418" s="38" t="n">
        <v>62</v>
      </c>
      <c r="C418" s="38" t="s">
        <v>171</v>
      </c>
      <c r="D418" s="38" t="s">
        <v>171</v>
      </c>
      <c r="E418" s="38" t="s">
        <v>875</v>
      </c>
      <c r="F418" s="38" t="str">
        <f aca="false">B418&amp;"|"&amp;C418&amp;"|"&amp;D418</f>
        <v>62|U|U</v>
      </c>
      <c r="G418" s="45" t="n">
        <f aca="false">INDEX('Transition Stepwise'!$J$2:$J$1137,MATCH(F418,'Transition Stepwise'!$E$2:$E$1137,0))</f>
        <v>0.1</v>
      </c>
      <c r="H418" s="45" t="n">
        <f aca="false">INDEX(Background!$D$12:$D$27,MATCH(C418&amp;D418,Background!$E$12:$E$27,0))</f>
        <v>0.220480320213476</v>
      </c>
      <c r="I418" s="49" t="n">
        <f aca="false">LN(G418/H418)</f>
        <v>-0.790638254183189</v>
      </c>
    </row>
    <row r="419" customFormat="false" ht="15" hidden="false" customHeight="true" outlineLevel="0" collapsed="false">
      <c r="A419" s="38" t="s">
        <v>31</v>
      </c>
      <c r="B419" s="38" t="n">
        <v>63</v>
      </c>
      <c r="C419" s="38" t="s">
        <v>171</v>
      </c>
      <c r="D419" s="38" t="s">
        <v>171</v>
      </c>
      <c r="E419" s="38" t="s">
        <v>875</v>
      </c>
      <c r="F419" s="38" t="str">
        <f aca="false">B419&amp;"|"&amp;C419&amp;"|"&amp;D419</f>
        <v>63|U|U</v>
      </c>
      <c r="G419" s="45" t="n">
        <f aca="false">INDEX('Transition Stepwise'!$J$2:$J$1137,MATCH(F419,'Transition Stepwise'!$E$2:$E$1137,0))</f>
        <v>0.138888888888889</v>
      </c>
      <c r="H419" s="45" t="n">
        <f aca="false">INDEX(Background!$D$12:$D$27,MATCH(C419&amp;D419,Background!$E$12:$E$27,0))</f>
        <v>0.220480320213476</v>
      </c>
      <c r="I419" s="49" t="n">
        <f aca="false">LN(G419/H419)</f>
        <v>-0.462134187211153</v>
      </c>
    </row>
    <row r="420" customFormat="false" ht="15" hidden="false" customHeight="true" outlineLevel="0" collapsed="false">
      <c r="A420" s="38" t="s">
        <v>31</v>
      </c>
      <c r="B420" s="38" t="n">
        <v>64</v>
      </c>
      <c r="C420" s="38" t="s">
        <v>171</v>
      </c>
      <c r="D420" s="38" t="s">
        <v>171</v>
      </c>
      <c r="E420" s="38" t="s">
        <v>875</v>
      </c>
      <c r="F420" s="38" t="str">
        <f aca="false">B420&amp;"|"&amp;C420&amp;"|"&amp;D420</f>
        <v>64|U|U</v>
      </c>
      <c r="G420" s="45" t="n">
        <f aca="false">INDEX('Transition Stepwise'!$J$2:$J$1137,MATCH(F420,'Transition Stepwise'!$E$2:$E$1137,0))</f>
        <v>0.297297297297297</v>
      </c>
      <c r="H420" s="45" t="n">
        <f aca="false">INDEX(Background!$D$12:$D$27,MATCH(C420&amp;D420,Background!$E$12:$E$27,0))</f>
        <v>0.220480320213476</v>
      </c>
      <c r="I420" s="49" t="n">
        <f aca="false">LN(G420/H420)</f>
        <v>0.298924198965003</v>
      </c>
    </row>
    <row r="421" customFormat="false" ht="15" hidden="false" customHeight="true" outlineLevel="0" collapsed="false">
      <c r="A421" s="38" t="s">
        <v>31</v>
      </c>
      <c r="B421" s="38" t="n">
        <v>65</v>
      </c>
      <c r="C421" s="38" t="s">
        <v>171</v>
      </c>
      <c r="D421" s="38" t="s">
        <v>172</v>
      </c>
      <c r="E421" s="38" t="s">
        <v>875</v>
      </c>
      <c r="F421" s="38" t="str">
        <f aca="false">B421&amp;"|"&amp;C421&amp;"|"&amp;D421</f>
        <v>65|U|A</v>
      </c>
      <c r="G421" s="45" t="n">
        <f aca="false">INDEX('Transition Stepwise'!$J$2:$J$1137,MATCH(F421,'Transition Stepwise'!$E$2:$E$1137,0))</f>
        <v>0.315068493150685</v>
      </c>
      <c r="H421" s="45" t="n">
        <f aca="false">INDEX(Background!$D$12:$D$27,MATCH(C421&amp;D421,Background!$E$12:$E$27,0))</f>
        <v>0.180787191460974</v>
      </c>
      <c r="I421" s="49" t="n">
        <f aca="false">LN(G421/H421)</f>
        <v>0.555469452003655</v>
      </c>
    </row>
    <row r="422" customFormat="false" ht="15" hidden="false" customHeight="true" outlineLevel="0" collapsed="false">
      <c r="A422" s="38" t="s">
        <v>31</v>
      </c>
      <c r="B422" s="38" t="n">
        <v>66</v>
      </c>
      <c r="C422" s="38" t="s">
        <v>172</v>
      </c>
      <c r="D422" s="38" t="s">
        <v>170</v>
      </c>
      <c r="E422" s="38" t="s">
        <v>875</v>
      </c>
      <c r="F422" s="38" t="str">
        <f aca="false">B422&amp;"|"&amp;C422&amp;"|"&amp;D422</f>
        <v>66|A|C</v>
      </c>
      <c r="G422" s="45" t="n">
        <f aca="false">INDEX('Transition Stepwise'!$J$2:$J$1137,MATCH(F422,'Transition Stepwise'!$E$2:$E$1137,0))</f>
        <v>0.297872340425532</v>
      </c>
      <c r="H422" s="45" t="n">
        <f aca="false">INDEX(Background!$D$12:$D$27,MATCH(C422&amp;D422,Background!$E$12:$E$27,0))</f>
        <v>0.161016949152542</v>
      </c>
      <c r="I422" s="49" t="n">
        <f aca="false">LN(G422/H422)</f>
        <v>0.615155373204424</v>
      </c>
    </row>
    <row r="423" customFormat="false" ht="15" hidden="false" customHeight="true" outlineLevel="0" collapsed="false">
      <c r="A423" s="38" t="s">
        <v>31</v>
      </c>
      <c r="B423" s="38" t="n">
        <v>67</v>
      </c>
      <c r="C423" s="38" t="s">
        <v>170</v>
      </c>
      <c r="D423" s="38" t="s">
        <v>171</v>
      </c>
      <c r="E423" s="38" t="s">
        <v>875</v>
      </c>
      <c r="F423" s="38" t="str">
        <f aca="false">B423&amp;"|"&amp;C423&amp;"|"&amp;D423</f>
        <v>67|C|U</v>
      </c>
      <c r="G423" s="45" t="n">
        <f aca="false">INDEX('Transition Stepwise'!$J$2:$J$1137,MATCH(F423,'Transition Stepwise'!$E$2:$E$1137,0))</f>
        <v>0.142857142857143</v>
      </c>
      <c r="H423" s="45" t="n">
        <f aca="false">INDEX(Background!$D$12:$D$27,MATCH(C423&amp;D423,Background!$E$12:$E$27,0))</f>
        <v>0.196466244725738</v>
      </c>
      <c r="I423" s="49" t="n">
        <f aca="false">LN(G423/H423)</f>
        <v>-0.31864550405996</v>
      </c>
    </row>
    <row r="424" customFormat="false" ht="15" hidden="false" customHeight="true" outlineLevel="0" collapsed="false">
      <c r="A424" s="38" t="s">
        <v>31</v>
      </c>
      <c r="B424" s="38" t="n">
        <v>68</v>
      </c>
      <c r="C424" s="38" t="s">
        <v>171</v>
      </c>
      <c r="D424" s="38" t="s">
        <v>171</v>
      </c>
      <c r="E424" s="38" t="s">
        <v>875</v>
      </c>
      <c r="F424" s="38" t="str">
        <f aca="false">B424&amp;"|"&amp;C424&amp;"|"&amp;D424</f>
        <v>68|U|U</v>
      </c>
      <c r="G424" s="45" t="n">
        <f aca="false">INDEX('Transition Stepwise'!$J$2:$J$1137,MATCH(F424,'Transition Stepwise'!$E$2:$E$1137,0))</f>
        <v>0.153846153846154</v>
      </c>
      <c r="H424" s="45" t="n">
        <f aca="false">INDEX(Background!$D$12:$D$27,MATCH(C424&amp;D424,Background!$E$12:$E$27,0))</f>
        <v>0.220480320213476</v>
      </c>
      <c r="I424" s="49" t="n">
        <f aca="false">LN(G424/H424)</f>
        <v>-0.359855338090735</v>
      </c>
    </row>
    <row r="425" customFormat="false" ht="15" hidden="false" customHeight="true" outlineLevel="0" collapsed="false">
      <c r="A425" s="38" t="s">
        <v>31</v>
      </c>
      <c r="B425" s="38" t="n">
        <v>69</v>
      </c>
      <c r="C425" s="38" t="s">
        <v>171</v>
      </c>
      <c r="D425" s="38" t="s">
        <v>170</v>
      </c>
      <c r="E425" s="38" t="s">
        <v>875</v>
      </c>
      <c r="F425" s="38" t="str">
        <f aca="false">B425&amp;"|"&amp;C425&amp;"|"&amp;D425</f>
        <v>69|U|C</v>
      </c>
      <c r="G425" s="45" t="n">
        <f aca="false">INDEX('Transition Stepwise'!$J$2:$J$1137,MATCH(F425,'Transition Stepwise'!$E$2:$E$1137,0))</f>
        <v>0.45</v>
      </c>
      <c r="H425" s="45" t="n">
        <f aca="false">INDEX(Background!$D$12:$D$27,MATCH(C425&amp;D425,Background!$E$12:$E$27,0))</f>
        <v>0.377251501000667</v>
      </c>
      <c r="I425" s="49" t="n">
        <f aca="false">LN(G425/H425)</f>
        <v>0.176335506328651</v>
      </c>
    </row>
    <row r="426" customFormat="false" ht="15" hidden="false" customHeight="true" outlineLevel="0" collapsed="false">
      <c r="A426" s="38" t="s">
        <v>31</v>
      </c>
      <c r="B426" s="38" t="n">
        <v>70</v>
      </c>
      <c r="C426" s="38" t="s">
        <v>170</v>
      </c>
      <c r="D426" s="38" t="s">
        <v>172</v>
      </c>
      <c r="E426" s="38" t="s">
        <v>875</v>
      </c>
      <c r="F426" s="38" t="str">
        <f aca="false">B426&amp;"|"&amp;C426&amp;"|"&amp;D426</f>
        <v>70|C|A</v>
      </c>
      <c r="G426" s="45" t="n">
        <f aca="false">INDEX('Transition Stepwise'!$J$2:$J$1137,MATCH(F426,'Transition Stepwise'!$E$2:$E$1137,0))</f>
        <v>0.0266666666666667</v>
      </c>
      <c r="H426" s="45" t="n">
        <f aca="false">INDEX(Background!$D$12:$D$27,MATCH(C426&amp;D426,Background!$E$12:$E$27,0))</f>
        <v>0.194883966244726</v>
      </c>
      <c r="I426" s="49" t="n">
        <f aca="false">LN(G426/H426)</f>
        <v>-1.98898999054965</v>
      </c>
    </row>
    <row r="427" customFormat="false" ht="15" hidden="false" customHeight="true" outlineLevel="0" collapsed="false">
      <c r="A427" s="38" t="s">
        <v>31</v>
      </c>
      <c r="B427" s="38" t="n">
        <v>71</v>
      </c>
      <c r="C427" s="38" t="s">
        <v>172</v>
      </c>
      <c r="D427" s="38" t="s">
        <v>169</v>
      </c>
      <c r="E427" s="38" t="s">
        <v>875</v>
      </c>
      <c r="F427" s="38" t="str">
        <f aca="false">B427&amp;"|"&amp;C427&amp;"|"&amp;D427</f>
        <v>71|A|G</v>
      </c>
      <c r="G427" s="45" t="n">
        <f aca="false">INDEX('Transition Stepwise'!$J$2:$J$1137,MATCH(F427,'Transition Stepwise'!$E$2:$E$1137,0))</f>
        <v>0.222222222222222</v>
      </c>
      <c r="H427" s="45" t="n">
        <f aca="false">INDEX(Background!$D$12:$D$27,MATCH(C427&amp;D427,Background!$E$12:$E$27,0))</f>
        <v>0.424884437596302</v>
      </c>
      <c r="I427" s="49" t="n">
        <f aca="false">LN(G427/H427)</f>
        <v>-0.648139338205796</v>
      </c>
    </row>
    <row r="428" customFormat="false" ht="15" hidden="false" customHeight="true" outlineLevel="0" collapsed="false">
      <c r="A428" s="38" t="s">
        <v>42</v>
      </c>
      <c r="B428" s="38" t="n">
        <v>1</v>
      </c>
      <c r="C428" s="38" t="s">
        <v>171</v>
      </c>
      <c r="D428" s="38" t="s">
        <v>169</v>
      </c>
      <c r="E428" s="38" t="s">
        <v>875</v>
      </c>
      <c r="F428" s="38" t="str">
        <f aca="false">B428&amp;"|"&amp;C428&amp;"|"&amp;D428</f>
        <v>1|U|G</v>
      </c>
      <c r="G428" s="45" t="n">
        <f aca="false">INDEX('Transition Stepwise'!$J$2:$J$1137,MATCH(F428,'Transition Stepwise'!$E$2:$E$1137,0))</f>
        <v>0.294117647058824</v>
      </c>
      <c r="H428" s="45" t="n">
        <f aca="false">INDEX(Background!$D$12:$D$27,MATCH(C428&amp;D428,Background!$E$12:$E$27,0))</f>
        <v>0.221480987324883</v>
      </c>
      <c r="I428" s="49" t="n">
        <f aca="false">LN(G428/H428)</f>
        <v>0.283643097563994</v>
      </c>
    </row>
    <row r="429" customFormat="false" ht="15" hidden="false" customHeight="true" outlineLevel="0" collapsed="false">
      <c r="A429" s="38" t="s">
        <v>42</v>
      </c>
      <c r="B429" s="38" t="n">
        <v>2</v>
      </c>
      <c r="C429" s="38" t="s">
        <v>169</v>
      </c>
      <c r="D429" s="38" t="s">
        <v>169</v>
      </c>
      <c r="E429" s="38" t="s">
        <v>875</v>
      </c>
      <c r="F429" s="38" t="str">
        <f aca="false">B429&amp;"|"&amp;C429&amp;"|"&amp;D429</f>
        <v>2|G|G</v>
      </c>
      <c r="G429" s="45" t="n">
        <f aca="false">INDEX('Transition Stepwise'!$J$2:$J$1137,MATCH(F429,'Transition Stepwise'!$E$2:$E$1137,0))</f>
        <v>0.568807339449541</v>
      </c>
      <c r="H429" s="45" t="n">
        <f aca="false">INDEX(Background!$D$12:$D$27,MATCH(C429&amp;D429,Background!$E$12:$E$27,0))</f>
        <v>0.344774477447745</v>
      </c>
      <c r="I429" s="49" t="n">
        <f aca="false">LN(G429/H429)</f>
        <v>0.500651267071506</v>
      </c>
    </row>
    <row r="430" customFormat="false" ht="15" hidden="false" customHeight="true" outlineLevel="0" collapsed="false">
      <c r="A430" s="38" t="s">
        <v>42</v>
      </c>
      <c r="B430" s="38" t="n">
        <v>3</v>
      </c>
      <c r="C430" s="38" t="s">
        <v>169</v>
      </c>
      <c r="D430" s="38" t="s">
        <v>171</v>
      </c>
      <c r="E430" s="38" t="s">
        <v>875</v>
      </c>
      <c r="F430" s="38" t="str">
        <f aca="false">B430&amp;"|"&amp;C430&amp;"|"&amp;D430</f>
        <v>3|G|U</v>
      </c>
      <c r="G430" s="45" t="n">
        <f aca="false">INDEX('Transition Stepwise'!$J$2:$J$1137,MATCH(F430,'Transition Stepwise'!$E$2:$E$1137,0))</f>
        <v>0.134831460674157</v>
      </c>
      <c r="H430" s="45" t="n">
        <f aca="false">INDEX(Background!$D$12:$D$27,MATCH(C430&amp;D430,Background!$E$12:$E$27,0))</f>
        <v>0.234763476347635</v>
      </c>
      <c r="I430" s="49" t="n">
        <f aca="false">LN(G430/H430)</f>
        <v>-0.554552964634314</v>
      </c>
    </row>
    <row r="431" customFormat="false" ht="15" hidden="false" customHeight="true" outlineLevel="0" collapsed="false">
      <c r="A431" s="38" t="s">
        <v>42</v>
      </c>
      <c r="B431" s="38" t="n">
        <v>4</v>
      </c>
      <c r="C431" s="38" t="s">
        <v>171</v>
      </c>
      <c r="D431" s="38" t="s">
        <v>170</v>
      </c>
      <c r="E431" s="38" t="s">
        <v>875</v>
      </c>
      <c r="F431" s="38" t="str">
        <f aca="false">B431&amp;"|"&amp;C431&amp;"|"&amp;D431</f>
        <v>4|U|C</v>
      </c>
      <c r="G431" s="45" t="n">
        <f aca="false">INDEX('Transition Stepwise'!$J$2:$J$1137,MATCH(F431,'Transition Stepwise'!$E$2:$E$1137,0))</f>
        <v>0.5</v>
      </c>
      <c r="H431" s="45" t="n">
        <f aca="false">INDEX(Background!$D$12:$D$27,MATCH(C431&amp;D431,Background!$E$12:$E$27,0))</f>
        <v>0.377251501000667</v>
      </c>
      <c r="I431" s="49" t="n">
        <f aca="false">LN(G431/H431)</f>
        <v>0.281696021986477</v>
      </c>
    </row>
    <row r="432" customFormat="false" ht="15" hidden="false" customHeight="true" outlineLevel="0" collapsed="false">
      <c r="A432" s="38" t="s">
        <v>42</v>
      </c>
      <c r="B432" s="38" t="n">
        <v>5</v>
      </c>
      <c r="C432" s="38" t="s">
        <v>170</v>
      </c>
      <c r="D432" s="38" t="s">
        <v>170</v>
      </c>
      <c r="E432" s="38" t="s">
        <v>875</v>
      </c>
      <c r="F432" s="38" t="str">
        <f aca="false">B432&amp;"|"&amp;C432&amp;"|"&amp;D432</f>
        <v>5|C|C</v>
      </c>
      <c r="G432" s="45" t="n">
        <f aca="false">INDEX('Transition Stepwise'!$J$2:$J$1137,MATCH(F432,'Transition Stepwise'!$E$2:$E$1137,0))</f>
        <v>0.457831325301205</v>
      </c>
      <c r="H432" s="45" t="n">
        <f aca="false">INDEX(Background!$D$12:$D$27,MATCH(C432&amp;D432,Background!$E$12:$E$27,0))</f>
        <v>0.312236286919831</v>
      </c>
      <c r="I432" s="49" t="n">
        <f aca="false">LN(G432/H432)</f>
        <v>0.382740599860749</v>
      </c>
    </row>
    <row r="433" customFormat="false" ht="15" hidden="false" customHeight="true" outlineLevel="0" collapsed="false">
      <c r="A433" s="38" t="s">
        <v>42</v>
      </c>
      <c r="B433" s="38" t="n">
        <v>6</v>
      </c>
      <c r="C433" s="38" t="s">
        <v>170</v>
      </c>
      <c r="D433" s="38" t="s">
        <v>172</v>
      </c>
      <c r="E433" s="38" t="s">
        <v>875</v>
      </c>
      <c r="F433" s="38" t="str">
        <f aca="false">B433&amp;"|"&amp;C433&amp;"|"&amp;D433</f>
        <v>6|C|A</v>
      </c>
      <c r="G433" s="45" t="n">
        <f aca="false">INDEX('Transition Stepwise'!$J$2:$J$1137,MATCH(F433,'Transition Stepwise'!$E$2:$E$1137,0))</f>
        <v>0.130434782608696</v>
      </c>
      <c r="H433" s="45" t="n">
        <f aca="false">INDEX(Background!$D$12:$D$27,MATCH(C433&amp;D433,Background!$E$12:$E$27,0))</f>
        <v>0.194883966244726</v>
      </c>
      <c r="I433" s="49" t="n">
        <f aca="false">LN(G433/H433)</f>
        <v>-0.401530984834329</v>
      </c>
    </row>
    <row r="434" customFormat="false" ht="15" hidden="false" customHeight="true" outlineLevel="0" collapsed="false">
      <c r="A434" s="38" t="s">
        <v>42</v>
      </c>
      <c r="B434" s="38" t="n">
        <v>7</v>
      </c>
      <c r="C434" s="38" t="s">
        <v>172</v>
      </c>
      <c r="D434" s="38" t="s">
        <v>171</v>
      </c>
      <c r="E434" s="38" t="s">
        <v>875</v>
      </c>
      <c r="F434" s="38" t="str">
        <f aca="false">B434&amp;"|"&amp;C434&amp;"|"&amp;D434</f>
        <v>7|A|U</v>
      </c>
      <c r="G434" s="45" t="n">
        <f aca="false">INDEX('Transition Stepwise'!$J$2:$J$1137,MATCH(F434,'Transition Stepwise'!$E$2:$E$1137,0))</f>
        <v>0.92156862745098</v>
      </c>
      <c r="H434" s="45" t="n">
        <f aca="false">INDEX(Background!$D$12:$D$27,MATCH(C434&amp;D434,Background!$E$12:$E$27,0))</f>
        <v>0.194530046224961</v>
      </c>
      <c r="I434" s="49" t="n">
        <f aca="false">LN(G434/H434)</f>
        <v>1.55549061753435</v>
      </c>
    </row>
    <row r="435" customFormat="false" ht="15" hidden="false" customHeight="true" outlineLevel="0" collapsed="false">
      <c r="A435" s="38" t="s">
        <v>42</v>
      </c>
      <c r="B435" s="38" t="n">
        <v>8</v>
      </c>
      <c r="C435" s="38" t="s">
        <v>171</v>
      </c>
      <c r="D435" s="38" t="s">
        <v>171</v>
      </c>
      <c r="E435" s="38" t="s">
        <v>875</v>
      </c>
      <c r="F435" s="38" t="str">
        <f aca="false">B435&amp;"|"&amp;C435&amp;"|"&amp;D435</f>
        <v>8|U|U</v>
      </c>
      <c r="G435" s="45" t="n">
        <f aca="false">INDEX('Transition Stepwise'!$J$2:$J$1137,MATCH(F435,'Transition Stepwise'!$E$2:$E$1137,0))</f>
        <v>0.005</v>
      </c>
      <c r="H435" s="45" t="n">
        <f aca="false">INDEX(Background!$D$12:$D$27,MATCH(C435&amp;D435,Background!$E$12:$E$27,0))</f>
        <v>0.220480320213476</v>
      </c>
      <c r="I435" s="49" t="n">
        <f aca="false">LN(G435/H435)</f>
        <v>-3.78637052773718</v>
      </c>
    </row>
    <row r="436" customFormat="false" ht="15" hidden="false" customHeight="true" outlineLevel="0" collapsed="false">
      <c r="A436" s="38" t="s">
        <v>42</v>
      </c>
      <c r="B436" s="38" t="n">
        <v>9</v>
      </c>
      <c r="C436" s="38" t="s">
        <v>171</v>
      </c>
      <c r="D436" s="38" t="s">
        <v>171</v>
      </c>
      <c r="E436" s="38" t="s">
        <v>875</v>
      </c>
      <c r="F436" s="38" t="str">
        <f aca="false">B436&amp;"|"&amp;C436&amp;"|"&amp;D436</f>
        <v>9|U|U</v>
      </c>
      <c r="G436" s="45" t="n">
        <f aca="false">INDEX('Transition Stepwise'!$J$2:$J$1137,MATCH(F436,'Transition Stepwise'!$E$2:$E$1137,0))</f>
        <v>0.25</v>
      </c>
      <c r="H436" s="45" t="n">
        <f aca="false">INDEX(Background!$D$12:$D$27,MATCH(C436&amp;D436,Background!$E$12:$E$27,0))</f>
        <v>0.220480320213476</v>
      </c>
      <c r="I436" s="49" t="n">
        <f aca="false">LN(G436/H436)</f>
        <v>0.125652477690966</v>
      </c>
    </row>
    <row r="437" customFormat="false" ht="15" hidden="false" customHeight="true" outlineLevel="0" collapsed="false">
      <c r="A437" s="38" t="s">
        <v>42</v>
      </c>
      <c r="B437" s="38" t="n">
        <v>10</v>
      </c>
      <c r="C437" s="38" t="s">
        <v>171</v>
      </c>
      <c r="D437" s="38" t="s">
        <v>171</v>
      </c>
      <c r="E437" s="38" t="s">
        <v>875</v>
      </c>
      <c r="F437" s="38" t="str">
        <f aca="false">B437&amp;"|"&amp;C437&amp;"|"&amp;D437</f>
        <v>10|U|U</v>
      </c>
      <c r="G437" s="45" t="n">
        <f aca="false">INDEX('Transition Stepwise'!$J$2:$J$1137,MATCH(F437,'Transition Stepwise'!$E$2:$E$1137,0))</f>
        <v>0.25</v>
      </c>
      <c r="H437" s="45" t="n">
        <f aca="false">INDEX(Background!$D$12:$D$27,MATCH(C437&amp;D437,Background!$E$12:$E$27,0))</f>
        <v>0.220480320213476</v>
      </c>
      <c r="I437" s="49" t="n">
        <f aca="false">LN(G437/H437)</f>
        <v>0.125652477690966</v>
      </c>
    </row>
    <row r="438" customFormat="false" ht="15" hidden="false" customHeight="true" outlineLevel="0" collapsed="false">
      <c r="A438" s="38" t="s">
        <v>42</v>
      </c>
      <c r="B438" s="38" t="n">
        <v>11</v>
      </c>
      <c r="C438" s="38" t="s">
        <v>171</v>
      </c>
      <c r="D438" s="38" t="s">
        <v>171</v>
      </c>
      <c r="E438" s="38" t="s">
        <v>875</v>
      </c>
      <c r="F438" s="38" t="str">
        <f aca="false">B438&amp;"|"&amp;C438&amp;"|"&amp;D438</f>
        <v>11|U|U</v>
      </c>
      <c r="G438" s="45" t="n">
        <f aca="false">INDEX('Transition Stepwise'!$J$2:$J$1137,MATCH(F438,'Transition Stepwise'!$E$2:$E$1137,0))</f>
        <v>0.272727272727273</v>
      </c>
      <c r="H438" s="45" t="n">
        <f aca="false">INDEX(Background!$D$12:$D$27,MATCH(C438&amp;D438,Background!$E$12:$E$27,0))</f>
        <v>0.220480320213476</v>
      </c>
      <c r="I438" s="49" t="n">
        <f aca="false">LN(G438/H438)</f>
        <v>0.212663854680596</v>
      </c>
    </row>
    <row r="439" customFormat="false" ht="15" hidden="false" customHeight="true" outlineLevel="0" collapsed="false">
      <c r="A439" s="38" t="s">
        <v>42</v>
      </c>
      <c r="B439" s="38" t="n">
        <v>12</v>
      </c>
      <c r="C439" s="38" t="s">
        <v>171</v>
      </c>
      <c r="D439" s="38" t="s">
        <v>170</v>
      </c>
      <c r="E439" s="38" t="s">
        <v>875</v>
      </c>
      <c r="F439" s="38" t="str">
        <f aca="false">B439&amp;"|"&amp;C439&amp;"|"&amp;D439</f>
        <v>12|U|C</v>
      </c>
      <c r="G439" s="45" t="n">
        <f aca="false">INDEX('Transition Stepwise'!$J$2:$J$1137,MATCH(F439,'Transition Stepwise'!$E$2:$E$1137,0))</f>
        <v>0.869918699186992</v>
      </c>
      <c r="H439" s="45" t="n">
        <f aca="false">INDEX(Background!$D$12:$D$27,MATCH(C439&amp;D439,Background!$E$12:$E$27,0))</f>
        <v>0.377251501000667</v>
      </c>
      <c r="I439" s="49" t="n">
        <f aca="false">LN(G439/H439)</f>
        <v>0.835487681635911</v>
      </c>
    </row>
    <row r="440" customFormat="false" ht="15" hidden="false" customHeight="true" outlineLevel="0" collapsed="false">
      <c r="A440" s="38" t="s">
        <v>42</v>
      </c>
      <c r="B440" s="38" t="n">
        <v>13</v>
      </c>
      <c r="C440" s="38" t="s">
        <v>170</v>
      </c>
      <c r="D440" s="38" t="s">
        <v>169</v>
      </c>
      <c r="E440" s="38" t="s">
        <v>875</v>
      </c>
      <c r="F440" s="38" t="str">
        <f aca="false">B440&amp;"|"&amp;C440&amp;"|"&amp;D440</f>
        <v>13|C|G</v>
      </c>
      <c r="G440" s="45" t="n">
        <f aca="false">INDEX('Transition Stepwise'!$J$2:$J$1137,MATCH(F440,'Transition Stepwise'!$E$2:$E$1137,0))</f>
        <v>0.0075187969924812</v>
      </c>
      <c r="H440" s="45" t="n">
        <f aca="false">INDEX(Background!$D$12:$D$27,MATCH(C440&amp;D440,Background!$E$12:$E$27,0))</f>
        <v>0.296413502109705</v>
      </c>
      <c r="I440" s="49" t="n">
        <f aca="false">LN(G440/H440)</f>
        <v>-3.67434929530048</v>
      </c>
    </row>
    <row r="441" customFormat="false" ht="15" hidden="false" customHeight="true" outlineLevel="0" collapsed="false">
      <c r="A441" s="38" t="s">
        <v>42</v>
      </c>
      <c r="B441" s="38" t="n">
        <v>14</v>
      </c>
      <c r="C441" s="38" t="s">
        <v>169</v>
      </c>
      <c r="D441" s="38" t="s">
        <v>169</v>
      </c>
      <c r="E441" s="38" t="s">
        <v>875</v>
      </c>
      <c r="F441" s="38" t="str">
        <f aca="false">B441&amp;"|"&amp;C441&amp;"|"&amp;D441</f>
        <v>14|G|G</v>
      </c>
      <c r="G441" s="45" t="n">
        <f aca="false">INDEX('Transition Stepwise'!$J$2:$J$1137,MATCH(F441,'Transition Stepwise'!$E$2:$E$1137,0))</f>
        <v>0.2</v>
      </c>
      <c r="H441" s="45" t="n">
        <f aca="false">INDEX(Background!$D$12:$D$27,MATCH(C441&amp;D441,Background!$E$12:$E$27,0))</f>
        <v>0.344774477447745</v>
      </c>
      <c r="I441" s="49" t="n">
        <f aca="false">LN(G441/H441)</f>
        <v>-0.544573148178542</v>
      </c>
    </row>
    <row r="442" customFormat="false" ht="15" hidden="false" customHeight="true" outlineLevel="0" collapsed="false">
      <c r="A442" s="38" t="s">
        <v>42</v>
      </c>
      <c r="B442" s="38" t="n">
        <v>15</v>
      </c>
      <c r="C442" s="38" t="s">
        <v>169</v>
      </c>
      <c r="D442" s="38" t="s">
        <v>170</v>
      </c>
      <c r="E442" s="38" t="s">
        <v>875</v>
      </c>
      <c r="F442" s="38" t="str">
        <f aca="false">B442&amp;"|"&amp;C442&amp;"|"&amp;D442</f>
        <v>15|G|C</v>
      </c>
      <c r="G442" s="45" t="n">
        <f aca="false">INDEX('Transition Stepwise'!$J$2:$J$1137,MATCH(F442,'Transition Stepwise'!$E$2:$E$1137,0))</f>
        <v>0.393162393162393</v>
      </c>
      <c r="H442" s="45" t="n">
        <f aca="false">INDEX(Background!$D$12:$D$27,MATCH(C442&amp;D442,Background!$E$12:$E$27,0))</f>
        <v>0.256105610561056</v>
      </c>
      <c r="I442" s="49" t="n">
        <f aca="false">LN(G442/H442)</f>
        <v>0.428632840011535</v>
      </c>
    </row>
    <row r="443" customFormat="false" ht="15" hidden="false" customHeight="true" outlineLevel="0" collapsed="false">
      <c r="A443" s="38" t="s">
        <v>42</v>
      </c>
      <c r="B443" s="38" t="n">
        <v>16</v>
      </c>
      <c r="C443" s="38" t="s">
        <v>170</v>
      </c>
      <c r="D443" s="38" t="s">
        <v>170</v>
      </c>
      <c r="E443" s="38" t="s">
        <v>875</v>
      </c>
      <c r="F443" s="38" t="str">
        <f aca="false">B443&amp;"|"&amp;C443&amp;"|"&amp;D443</f>
        <v>16|C|C</v>
      </c>
      <c r="G443" s="45" t="n">
        <f aca="false">INDEX('Transition Stepwise'!$J$2:$J$1137,MATCH(F443,'Transition Stepwise'!$E$2:$E$1137,0))</f>
        <v>0.46</v>
      </c>
      <c r="H443" s="45" t="n">
        <f aca="false">INDEX(Background!$D$12:$D$27,MATCH(C443&amp;D443,Background!$E$12:$E$27,0))</f>
        <v>0.312236286919831</v>
      </c>
      <c r="I443" s="49" t="n">
        <f aca="false">LN(G443/H443)</f>
        <v>0.387466258431965</v>
      </c>
    </row>
    <row r="444" customFormat="false" ht="15" hidden="false" customHeight="true" outlineLevel="0" collapsed="false">
      <c r="A444" s="38" t="s">
        <v>42</v>
      </c>
      <c r="B444" s="38" t="n">
        <v>17</v>
      </c>
      <c r="C444" s="38" t="s">
        <v>170</v>
      </c>
      <c r="D444" s="38" t="s">
        <v>169</v>
      </c>
      <c r="E444" s="38" t="s">
        <v>875</v>
      </c>
      <c r="F444" s="38" t="str">
        <f aca="false">B444&amp;"|"&amp;C444&amp;"|"&amp;D444</f>
        <v>17|C|G</v>
      </c>
      <c r="G444" s="45" t="n">
        <f aca="false">INDEX('Transition Stepwise'!$J$2:$J$1137,MATCH(F444,'Transition Stepwise'!$E$2:$E$1137,0))</f>
        <v>0.955223880597015</v>
      </c>
      <c r="H444" s="45" t="n">
        <f aca="false">INDEX(Background!$D$12:$D$27,MATCH(C444&amp;D444,Background!$E$12:$E$27,0))</f>
        <v>0.296413502109705</v>
      </c>
      <c r="I444" s="49" t="n">
        <f aca="false">LN(G444/H444)</f>
        <v>1.17019029688998</v>
      </c>
    </row>
    <row r="445" customFormat="false" ht="15" hidden="false" customHeight="true" outlineLevel="0" collapsed="false">
      <c r="A445" s="38" t="s">
        <v>42</v>
      </c>
      <c r="B445" s="38" t="n">
        <v>18</v>
      </c>
      <c r="C445" s="38" t="s">
        <v>169</v>
      </c>
      <c r="D445" s="38" t="s">
        <v>169</v>
      </c>
      <c r="E445" s="38" t="s">
        <v>875</v>
      </c>
      <c r="F445" s="38" t="str">
        <f aca="false">B445&amp;"|"&amp;C445&amp;"|"&amp;D445</f>
        <v>18|G|G</v>
      </c>
      <c r="G445" s="45" t="n">
        <f aca="false">INDEX('Transition Stepwise'!$J$2:$J$1137,MATCH(F445,'Transition Stepwise'!$E$2:$E$1137,0))</f>
        <v>0.975247524752475</v>
      </c>
      <c r="H445" s="45" t="n">
        <f aca="false">INDEX(Background!$D$12:$D$27,MATCH(C445&amp;D445,Background!$E$12:$E$27,0))</f>
        <v>0.344774477447745</v>
      </c>
      <c r="I445" s="49" t="n">
        <f aca="false">LN(G445/H445)</f>
        <v>1.03980079559234</v>
      </c>
    </row>
    <row r="446" customFormat="false" ht="15" hidden="false" customHeight="true" outlineLevel="0" collapsed="false">
      <c r="A446" s="38" t="s">
        <v>42</v>
      </c>
      <c r="B446" s="38" t="n">
        <v>19</v>
      </c>
      <c r="C446" s="38" t="s">
        <v>169</v>
      </c>
      <c r="D446" s="38" t="s">
        <v>170</v>
      </c>
      <c r="E446" s="38" t="s">
        <v>875</v>
      </c>
      <c r="F446" s="38" t="str">
        <f aca="false">B446&amp;"|"&amp;C446&amp;"|"&amp;D446</f>
        <v>19|G|C</v>
      </c>
      <c r="G446" s="45" t="n">
        <f aca="false">INDEX('Transition Stepwise'!$J$2:$J$1137,MATCH(F446,'Transition Stepwise'!$E$2:$E$1137,0))</f>
        <v>0.23</v>
      </c>
      <c r="H446" s="45" t="n">
        <f aca="false">INDEX(Background!$D$12:$D$27,MATCH(C446&amp;D446,Background!$E$12:$E$27,0))</f>
        <v>0.256105610561056</v>
      </c>
      <c r="I446" s="49" t="n">
        <f aca="false">LN(G446/H446)</f>
        <v>-0.107510591738746</v>
      </c>
    </row>
    <row r="447" customFormat="false" ht="15" hidden="false" customHeight="true" outlineLevel="0" collapsed="false">
      <c r="A447" s="38" t="s">
        <v>42</v>
      </c>
      <c r="B447" s="38" t="n">
        <v>20</v>
      </c>
      <c r="C447" s="38" t="s">
        <v>170</v>
      </c>
      <c r="D447" s="38" t="s">
        <v>169</v>
      </c>
      <c r="E447" s="38" t="s">
        <v>875</v>
      </c>
      <c r="F447" s="38" t="str">
        <f aca="false">B447&amp;"|"&amp;C447&amp;"|"&amp;D447</f>
        <v>20|C|G</v>
      </c>
      <c r="G447" s="45" t="n">
        <f aca="false">INDEX('Transition Stepwise'!$J$2:$J$1137,MATCH(F447,'Transition Stepwise'!$E$2:$E$1137,0))</f>
        <v>0.102040816326531</v>
      </c>
      <c r="H447" s="45" t="n">
        <f aca="false">INDEX(Background!$D$12:$D$27,MATCH(C447&amp;D447,Background!$E$12:$E$27,0))</f>
        <v>0.296413502109705</v>
      </c>
      <c r="I447" s="49" t="n">
        <f aca="false">LN(G447/H447)</f>
        <v>-1.06638255275525</v>
      </c>
    </row>
    <row r="448" customFormat="false" ht="15" hidden="false" customHeight="true" outlineLevel="0" collapsed="false">
      <c r="A448" s="38" t="s">
        <v>42</v>
      </c>
      <c r="B448" s="38" t="n">
        <v>21</v>
      </c>
      <c r="C448" s="38" t="s">
        <v>169</v>
      </c>
      <c r="D448" s="38" t="s">
        <v>169</v>
      </c>
      <c r="E448" s="38" t="s">
        <v>875</v>
      </c>
      <c r="F448" s="38" t="str">
        <f aca="false">B448&amp;"|"&amp;C448&amp;"|"&amp;D448</f>
        <v>21|G|G</v>
      </c>
      <c r="G448" s="45" t="n">
        <f aca="false">INDEX('Transition Stepwise'!$J$2:$J$1137,MATCH(F448,'Transition Stepwise'!$E$2:$E$1137,0))</f>
        <v>0.0909090909090909</v>
      </c>
      <c r="H448" s="45" t="n">
        <f aca="false">INDEX(Background!$D$12:$D$27,MATCH(C448&amp;D448,Background!$E$12:$E$27,0))</f>
        <v>0.344774477447745</v>
      </c>
      <c r="I448" s="49" t="n">
        <f aca="false">LN(G448/H448)</f>
        <v>-1.33303050854281</v>
      </c>
    </row>
    <row r="449" customFormat="false" ht="15" hidden="false" customHeight="true" outlineLevel="0" collapsed="false">
      <c r="A449" s="38" t="s">
        <v>42</v>
      </c>
      <c r="B449" s="38" t="n">
        <v>22</v>
      </c>
      <c r="C449" s="38" t="s">
        <v>169</v>
      </c>
      <c r="D449" s="38" t="s">
        <v>169</v>
      </c>
      <c r="E449" s="38" t="s">
        <v>875</v>
      </c>
      <c r="F449" s="38" t="str">
        <f aca="false">B449&amp;"|"&amp;C449&amp;"|"&amp;D449</f>
        <v>22|G|G</v>
      </c>
      <c r="G449" s="45" t="n">
        <f aca="false">INDEX('Transition Stepwise'!$J$2:$J$1137,MATCH(F449,'Transition Stepwise'!$E$2:$E$1137,0))</f>
        <v>0.0405405405405405</v>
      </c>
      <c r="H449" s="45" t="n">
        <f aca="false">INDEX(Background!$D$12:$D$27,MATCH(C449&amp;D449,Background!$E$12:$E$27,0))</f>
        <v>0.344774477447745</v>
      </c>
      <c r="I449" s="49" t="n">
        <f aca="false">LN(G449/H449)</f>
        <v>-2.1405880402805</v>
      </c>
    </row>
    <row r="450" customFormat="false" ht="15" hidden="false" customHeight="true" outlineLevel="0" collapsed="false">
      <c r="A450" s="38" t="s">
        <v>42</v>
      </c>
      <c r="B450" s="38" t="n">
        <v>23</v>
      </c>
      <c r="C450" s="38" t="s">
        <v>169</v>
      </c>
      <c r="D450" s="38" t="s">
        <v>172</v>
      </c>
      <c r="E450" s="38" t="s">
        <v>875</v>
      </c>
      <c r="F450" s="38" t="str">
        <f aca="false">B450&amp;"|"&amp;C450&amp;"|"&amp;D450</f>
        <v>23|G|A</v>
      </c>
      <c r="G450" s="45" t="n">
        <f aca="false">INDEX('Transition Stepwise'!$J$2:$J$1137,MATCH(F450,'Transition Stepwise'!$E$2:$E$1137,0))</f>
        <v>0.333333333333333</v>
      </c>
      <c r="H450" s="45" t="n">
        <f aca="false">INDEX(Background!$D$12:$D$27,MATCH(C450&amp;D450,Background!$E$12:$E$27,0))</f>
        <v>0.164356435643564</v>
      </c>
      <c r="I450" s="49" t="n">
        <f aca="false">LN(G450/H450)</f>
        <v>0.707105532810652</v>
      </c>
    </row>
    <row r="451" customFormat="false" ht="15" hidden="false" customHeight="true" outlineLevel="0" collapsed="false">
      <c r="A451" s="38" t="s">
        <v>42</v>
      </c>
      <c r="B451" s="38" t="n">
        <v>24</v>
      </c>
      <c r="C451" s="38" t="s">
        <v>172</v>
      </c>
      <c r="D451" s="38" t="s">
        <v>169</v>
      </c>
      <c r="E451" s="38" t="s">
        <v>875</v>
      </c>
      <c r="F451" s="38" t="str">
        <f aca="false">B451&amp;"|"&amp;C451&amp;"|"&amp;D451</f>
        <v>24|A|G</v>
      </c>
      <c r="G451" s="45" t="n">
        <f aca="false">INDEX('Transition Stepwise'!$J$2:$J$1137,MATCH(F451,'Transition Stepwise'!$E$2:$E$1137,0))</f>
        <v>0.024390243902439</v>
      </c>
      <c r="H451" s="45" t="n">
        <f aca="false">INDEX(Background!$D$12:$D$27,MATCH(C451&amp;D451,Background!$E$12:$E$27,0))</f>
        <v>0.424884437596302</v>
      </c>
      <c r="I451" s="49" t="n">
        <f aca="false">LN(G451/H451)</f>
        <v>-2.85763400813383</v>
      </c>
    </row>
    <row r="452" customFormat="false" ht="15" hidden="false" customHeight="true" outlineLevel="0" collapsed="false">
      <c r="A452" s="38" t="s">
        <v>42</v>
      </c>
      <c r="B452" s="38" t="n">
        <v>25</v>
      </c>
      <c r="C452" s="38" t="s">
        <v>169</v>
      </c>
      <c r="D452" s="38" t="s">
        <v>169</v>
      </c>
      <c r="E452" s="38" t="s">
        <v>875</v>
      </c>
      <c r="F452" s="38" t="str">
        <f aca="false">B452&amp;"|"&amp;C452&amp;"|"&amp;D452</f>
        <v>25|G|G</v>
      </c>
      <c r="G452" s="45" t="n">
        <f aca="false">INDEX('Transition Stepwise'!$J$2:$J$1137,MATCH(F452,'Transition Stepwise'!$E$2:$E$1137,0))</f>
        <v>0.272727272727273</v>
      </c>
      <c r="H452" s="45" t="n">
        <f aca="false">INDEX(Background!$D$12:$D$27,MATCH(C452&amp;D452,Background!$E$12:$E$27,0))</f>
        <v>0.344774477447745</v>
      </c>
      <c r="I452" s="49" t="n">
        <f aca="false">LN(G452/H452)</f>
        <v>-0.234418219874703</v>
      </c>
    </row>
    <row r="453" customFormat="false" ht="15" hidden="false" customHeight="true" outlineLevel="0" collapsed="false">
      <c r="A453" s="38" t="s">
        <v>42</v>
      </c>
      <c r="B453" s="38" t="n">
        <v>26</v>
      </c>
      <c r="C453" s="38" t="s">
        <v>169</v>
      </c>
      <c r="D453" s="38" t="s">
        <v>172</v>
      </c>
      <c r="E453" s="38" t="s">
        <v>875</v>
      </c>
      <c r="F453" s="38" t="str">
        <f aca="false">B453&amp;"|"&amp;C453&amp;"|"&amp;D453</f>
        <v>26|G|A</v>
      </c>
      <c r="G453" s="45" t="n">
        <f aca="false">INDEX('Transition Stepwise'!$J$2:$J$1137,MATCH(F453,'Transition Stepwise'!$E$2:$E$1137,0))</f>
        <v>0.0865384615384615</v>
      </c>
      <c r="H453" s="45" t="n">
        <f aca="false">INDEX(Background!$D$12:$D$27,MATCH(C453&amp;D453,Background!$E$12:$E$27,0))</f>
        <v>0.164356435643564</v>
      </c>
      <c r="I453" s="49" t="n">
        <f aca="false">LN(G453/H453)</f>
        <v>-0.641448500326392</v>
      </c>
    </row>
    <row r="454" customFormat="false" ht="15" hidden="false" customHeight="true" outlineLevel="0" collapsed="false">
      <c r="A454" s="38" t="s">
        <v>42</v>
      </c>
      <c r="B454" s="38" t="n">
        <v>27</v>
      </c>
      <c r="C454" s="38" t="s">
        <v>172</v>
      </c>
      <c r="D454" s="38" t="s">
        <v>169</v>
      </c>
      <c r="E454" s="38" t="s">
        <v>875</v>
      </c>
      <c r="F454" s="38" t="str">
        <f aca="false">B454&amp;"|"&amp;C454&amp;"|"&amp;D454</f>
        <v>27|A|G</v>
      </c>
      <c r="G454" s="45" t="n">
        <f aca="false">INDEX('Transition Stepwise'!$J$2:$J$1137,MATCH(F454,'Transition Stepwise'!$E$2:$E$1137,0))</f>
        <v>0.142857142857143</v>
      </c>
      <c r="H454" s="45" t="n">
        <f aca="false">INDEX(Background!$D$12:$D$27,MATCH(C454&amp;D454,Background!$E$12:$E$27,0))</f>
        <v>0.424884437596302</v>
      </c>
      <c r="I454" s="49" t="n">
        <f aca="false">LN(G454/H454)</f>
        <v>-1.08997209048484</v>
      </c>
    </row>
    <row r="455" customFormat="false" ht="15" hidden="false" customHeight="true" outlineLevel="0" collapsed="false">
      <c r="A455" s="38" t="s">
        <v>42</v>
      </c>
      <c r="B455" s="38" t="n">
        <v>28</v>
      </c>
      <c r="C455" s="38" t="s">
        <v>169</v>
      </c>
      <c r="D455" s="38" t="s">
        <v>172</v>
      </c>
      <c r="E455" s="38" t="s">
        <v>875</v>
      </c>
      <c r="F455" s="38" t="str">
        <f aca="false">B455&amp;"|"&amp;C455&amp;"|"&amp;D455</f>
        <v>28|G|A</v>
      </c>
      <c r="G455" s="45" t="n">
        <f aca="false">INDEX('Transition Stepwise'!$J$2:$J$1137,MATCH(F455,'Transition Stepwise'!$E$2:$E$1137,0))</f>
        <v>0.192307692307692</v>
      </c>
      <c r="H455" s="45" t="n">
        <f aca="false">INDEX(Background!$D$12:$D$27,MATCH(C455&amp;D455,Background!$E$12:$E$27,0))</f>
        <v>0.164356435643564</v>
      </c>
      <c r="I455" s="49" t="n">
        <f aca="false">LN(G455/H455)</f>
        <v>0.15705919589138</v>
      </c>
    </row>
    <row r="456" customFormat="false" ht="15" hidden="false" customHeight="true" outlineLevel="0" collapsed="false">
      <c r="A456" s="38" t="s">
        <v>42</v>
      </c>
      <c r="B456" s="38" t="n">
        <v>29</v>
      </c>
      <c r="C456" s="38" t="s">
        <v>172</v>
      </c>
      <c r="D456" s="38" t="s">
        <v>172</v>
      </c>
      <c r="E456" s="38" t="s">
        <v>875</v>
      </c>
      <c r="F456" s="38" t="str">
        <f aca="false">B456&amp;"|"&amp;C456&amp;"|"&amp;D456</f>
        <v>29|A|A</v>
      </c>
      <c r="G456" s="45" t="n">
        <f aca="false">INDEX('Transition Stepwise'!$J$2:$J$1137,MATCH(F456,'Transition Stepwise'!$E$2:$E$1137,0))</f>
        <v>0.0277777777777778</v>
      </c>
      <c r="H456" s="45" t="n">
        <f aca="false">INDEX(Background!$D$12:$D$27,MATCH(C456&amp;D456,Background!$E$12:$E$27,0))</f>
        <v>0.219568567026194</v>
      </c>
      <c r="I456" s="49" t="n">
        <f aca="false">LN(G456/H456)</f>
        <v>-2.06742822146073</v>
      </c>
    </row>
    <row r="457" customFormat="false" ht="15" hidden="false" customHeight="true" outlineLevel="0" collapsed="false">
      <c r="A457" s="38" t="s">
        <v>42</v>
      </c>
      <c r="B457" s="38" t="n">
        <v>30</v>
      </c>
      <c r="C457" s="38" t="s">
        <v>172</v>
      </c>
      <c r="D457" s="38" t="s">
        <v>172</v>
      </c>
      <c r="E457" s="38" t="s">
        <v>875</v>
      </c>
      <c r="F457" s="38" t="str">
        <f aca="false">B457&amp;"|"&amp;C457&amp;"|"&amp;D457</f>
        <v>30|A|A</v>
      </c>
      <c r="G457" s="45" t="n">
        <f aca="false">INDEX('Transition Stepwise'!$J$2:$J$1137,MATCH(F457,'Transition Stepwise'!$E$2:$E$1137,0))</f>
        <v>0.25</v>
      </c>
      <c r="H457" s="45" t="n">
        <f aca="false">INDEX(Background!$D$12:$D$27,MATCH(C457&amp;D457,Background!$E$12:$E$27,0))</f>
        <v>0.219568567026194</v>
      </c>
      <c r="I457" s="49" t="n">
        <f aca="false">LN(G457/H457)</f>
        <v>0.129796355875494</v>
      </c>
    </row>
    <row r="458" customFormat="false" ht="15" hidden="false" customHeight="true" outlineLevel="0" collapsed="false">
      <c r="A458" s="38" t="s">
        <v>42</v>
      </c>
      <c r="B458" s="38" t="n">
        <v>31</v>
      </c>
      <c r="C458" s="38" t="s">
        <v>172</v>
      </c>
      <c r="D458" s="38" t="s">
        <v>172</v>
      </c>
      <c r="E458" s="38" t="s">
        <v>875</v>
      </c>
      <c r="F458" s="38" t="str">
        <f aca="false">B458&amp;"|"&amp;C458&amp;"|"&amp;D458</f>
        <v>31|A|A</v>
      </c>
      <c r="G458" s="45" t="n">
        <f aca="false">INDEX('Transition Stepwise'!$J$2:$J$1137,MATCH(F458,'Transition Stepwise'!$E$2:$E$1137,0))</f>
        <v>0.0172413793103448</v>
      </c>
      <c r="H458" s="45" t="n">
        <f aca="false">INDEX(Background!$D$12:$D$27,MATCH(C458&amp;D458,Background!$E$12:$E$27,0))</f>
        <v>0.219568567026194</v>
      </c>
      <c r="I458" s="49" t="n">
        <f aca="false">LN(G458/H458)</f>
        <v>-2.54435229355103</v>
      </c>
    </row>
    <row r="459" customFormat="false" ht="15" hidden="false" customHeight="true" outlineLevel="0" collapsed="false">
      <c r="A459" s="38" t="s">
        <v>42</v>
      </c>
      <c r="B459" s="38" t="n">
        <v>32</v>
      </c>
      <c r="C459" s="38" t="s">
        <v>172</v>
      </c>
      <c r="D459" s="38" t="s">
        <v>171</v>
      </c>
      <c r="E459" s="38" t="s">
        <v>875</v>
      </c>
      <c r="F459" s="38" t="str">
        <f aca="false">B459&amp;"|"&amp;C459&amp;"|"&amp;D459</f>
        <v>32|A|U</v>
      </c>
      <c r="G459" s="45" t="n">
        <f aca="false">INDEX('Transition Stepwise'!$J$2:$J$1137,MATCH(F459,'Transition Stepwise'!$E$2:$E$1137,0))</f>
        <v>0.7</v>
      </c>
      <c r="H459" s="45" t="n">
        <f aca="false">INDEX(Background!$D$12:$D$27,MATCH(C459&amp;D459,Background!$E$12:$E$27,0))</f>
        <v>0.194530046224961</v>
      </c>
      <c r="I459" s="49" t="n">
        <f aca="false">LN(G459/H459)</f>
        <v>1.28049370460989</v>
      </c>
    </row>
    <row r="460" customFormat="false" ht="15" hidden="false" customHeight="true" outlineLevel="0" collapsed="false">
      <c r="A460" s="38" t="s">
        <v>42</v>
      </c>
      <c r="B460" s="38" t="n">
        <v>33</v>
      </c>
      <c r="C460" s="38" t="s">
        <v>171</v>
      </c>
      <c r="D460" s="38" t="s">
        <v>170</v>
      </c>
      <c r="E460" s="38" t="s">
        <v>875</v>
      </c>
      <c r="F460" s="38" t="str">
        <f aca="false">B460&amp;"|"&amp;C460&amp;"|"&amp;D460</f>
        <v>33|U|C</v>
      </c>
      <c r="G460" s="45" t="n">
        <f aca="false">INDEX('Transition Stepwise'!$J$2:$J$1137,MATCH(F460,'Transition Stepwise'!$E$2:$E$1137,0))</f>
        <v>0.323383084577114</v>
      </c>
      <c r="H460" s="45" t="n">
        <f aca="false">INDEX(Background!$D$12:$D$27,MATCH(C460&amp;D460,Background!$E$12:$E$27,0))</f>
        <v>0.377251501000667</v>
      </c>
      <c r="I460" s="49" t="n">
        <f aca="false">LN(G460/H460)</f>
        <v>-0.154074435617016</v>
      </c>
    </row>
    <row r="461" customFormat="false" ht="15" hidden="false" customHeight="true" outlineLevel="0" collapsed="false">
      <c r="A461" s="38" t="s">
        <v>42</v>
      </c>
      <c r="B461" s="38" t="n">
        <v>34</v>
      </c>
      <c r="C461" s="38" t="s">
        <v>170</v>
      </c>
      <c r="D461" s="38" t="s">
        <v>171</v>
      </c>
      <c r="E461" s="38" t="s">
        <v>875</v>
      </c>
      <c r="F461" s="38" t="str">
        <f aca="false">B461&amp;"|"&amp;C461&amp;"|"&amp;D461</f>
        <v>34|C|U</v>
      </c>
      <c r="G461" s="45" t="n">
        <f aca="false">INDEX('Transition Stepwise'!$J$2:$J$1137,MATCH(F461,'Transition Stepwise'!$E$2:$E$1137,0))</f>
        <v>0.185714285714286</v>
      </c>
      <c r="H461" s="45" t="n">
        <f aca="false">INDEX(Background!$D$12:$D$27,MATCH(C461&amp;D461,Background!$E$12:$E$27,0))</f>
        <v>0.196466244725738</v>
      </c>
      <c r="I461" s="49" t="n">
        <f aca="false">LN(G461/H461)</f>
        <v>-0.0562812395924693</v>
      </c>
    </row>
    <row r="462" customFormat="false" ht="15" hidden="false" customHeight="true" outlineLevel="0" collapsed="false">
      <c r="A462" s="38" t="s">
        <v>42</v>
      </c>
      <c r="B462" s="38" t="n">
        <v>35</v>
      </c>
      <c r="C462" s="38" t="s">
        <v>171</v>
      </c>
      <c r="D462" s="38" t="s">
        <v>172</v>
      </c>
      <c r="E462" s="38" t="s">
        <v>875</v>
      </c>
      <c r="F462" s="38" t="str">
        <f aca="false">B462&amp;"|"&amp;C462&amp;"|"&amp;D462</f>
        <v>35|U|A</v>
      </c>
      <c r="G462" s="45" t="n">
        <f aca="false">INDEX('Transition Stepwise'!$J$2:$J$1137,MATCH(F462,'Transition Stepwise'!$E$2:$E$1137,0))</f>
        <v>0.177777777777778</v>
      </c>
      <c r="H462" s="45" t="n">
        <f aca="false">INDEX(Background!$D$12:$D$27,MATCH(C462&amp;D462,Background!$E$12:$E$27,0))</f>
        <v>0.180787191460974</v>
      </c>
      <c r="I462" s="49" t="n">
        <f aca="false">LN(G462/H462)</f>
        <v>-0.016786270867587</v>
      </c>
    </row>
    <row r="463" customFormat="false" ht="15" hidden="false" customHeight="true" outlineLevel="0" collapsed="false">
      <c r="A463" s="38" t="s">
        <v>42</v>
      </c>
      <c r="B463" s="38" t="n">
        <v>36</v>
      </c>
      <c r="C463" s="38" t="s">
        <v>172</v>
      </c>
      <c r="D463" s="38" t="s">
        <v>169</v>
      </c>
      <c r="E463" s="38" t="s">
        <v>875</v>
      </c>
      <c r="F463" s="38" t="str">
        <f aca="false">B463&amp;"|"&amp;C463&amp;"|"&amp;D463</f>
        <v>36|A|G</v>
      </c>
      <c r="G463" s="45" t="n">
        <f aca="false">INDEX('Transition Stepwise'!$J$2:$J$1137,MATCH(F463,'Transition Stepwise'!$E$2:$E$1137,0))</f>
        <v>0.382978723404255</v>
      </c>
      <c r="H463" s="45" t="n">
        <f aca="false">INDEX(Background!$D$12:$D$27,MATCH(C463&amp;D463,Background!$E$12:$E$27,0))</f>
        <v>0.424884437596302</v>
      </c>
      <c r="I463" s="49" t="n">
        <f aca="false">LN(G463/H463)</f>
        <v>-0.103837785243416</v>
      </c>
    </row>
    <row r="464" customFormat="false" ht="15" hidden="false" customHeight="true" outlineLevel="0" collapsed="false">
      <c r="A464" s="38" t="s">
        <v>42</v>
      </c>
      <c r="B464" s="38" t="n">
        <v>37</v>
      </c>
      <c r="C464" s="38" t="s">
        <v>169</v>
      </c>
      <c r="D464" s="38" t="s">
        <v>169</v>
      </c>
      <c r="E464" s="38" t="s">
        <v>875</v>
      </c>
      <c r="F464" s="38" t="str">
        <f aca="false">B464&amp;"|"&amp;C464&amp;"|"&amp;D464</f>
        <v>37|G|G</v>
      </c>
      <c r="G464" s="45" t="n">
        <f aca="false">INDEX('Transition Stepwise'!$J$2:$J$1137,MATCH(F464,'Transition Stepwise'!$E$2:$E$1137,0))</f>
        <v>0.0384615384615385</v>
      </c>
      <c r="H464" s="45" t="n">
        <f aca="false">INDEX(Background!$D$12:$D$27,MATCH(C464&amp;D464,Background!$E$12:$E$27,0))</f>
        <v>0.344774477447745</v>
      </c>
      <c r="I464" s="49" t="n">
        <f aca="false">LN(G464/H464)</f>
        <v>-2.19323177376592</v>
      </c>
    </row>
    <row r="465" customFormat="false" ht="15" hidden="false" customHeight="true" outlineLevel="0" collapsed="false">
      <c r="A465" s="38" t="s">
        <v>42</v>
      </c>
      <c r="B465" s="38" t="n">
        <v>38</v>
      </c>
      <c r="C465" s="38" t="s">
        <v>169</v>
      </c>
      <c r="D465" s="38" t="s">
        <v>171</v>
      </c>
      <c r="E465" s="38" t="s">
        <v>875</v>
      </c>
      <c r="F465" s="38" t="str">
        <f aca="false">B465&amp;"|"&amp;C465&amp;"|"&amp;D465</f>
        <v>38|G|U</v>
      </c>
      <c r="G465" s="45" t="n">
        <f aca="false">INDEX('Transition Stepwise'!$J$2:$J$1137,MATCH(F465,'Transition Stepwise'!$E$2:$E$1137,0))</f>
        <v>0.4</v>
      </c>
      <c r="H465" s="45" t="n">
        <f aca="false">INDEX(Background!$D$12:$D$27,MATCH(C465&amp;D465,Background!$E$12:$E$27,0))</f>
        <v>0.234763476347635</v>
      </c>
      <c r="I465" s="49" t="n">
        <f aca="false">LN(G465/H465)</f>
        <v>0.532886023435671</v>
      </c>
    </row>
    <row r="466" customFormat="false" ht="15" hidden="false" customHeight="true" outlineLevel="0" collapsed="false">
      <c r="A466" s="38" t="s">
        <v>42</v>
      </c>
      <c r="B466" s="38" t="n">
        <v>39</v>
      </c>
      <c r="C466" s="38" t="s">
        <v>171</v>
      </c>
      <c r="D466" s="38" t="s">
        <v>171</v>
      </c>
      <c r="E466" s="38" t="s">
        <v>875</v>
      </c>
      <c r="F466" s="38" t="str">
        <f aca="false">B466&amp;"|"&amp;C466&amp;"|"&amp;D466</f>
        <v>39|U|U</v>
      </c>
      <c r="G466" s="45" t="n">
        <f aca="false">INDEX('Transition Stepwise'!$J$2:$J$1137,MATCH(F466,'Transition Stepwise'!$E$2:$E$1137,0))</f>
        <v>0.0317460317460317</v>
      </c>
      <c r="H466" s="45" t="n">
        <f aca="false">INDEX(Background!$D$12:$D$27,MATCH(C466&amp;D466,Background!$E$12:$E$27,0))</f>
        <v>0.220480320213476</v>
      </c>
      <c r="I466" s="49" t="n">
        <f aca="false">LN(G466/H466)</f>
        <v>-1.93804070702073</v>
      </c>
    </row>
    <row r="467" customFormat="false" ht="15" hidden="false" customHeight="true" outlineLevel="0" collapsed="false">
      <c r="A467" s="38" t="s">
        <v>42</v>
      </c>
      <c r="B467" s="38" t="n">
        <v>40</v>
      </c>
      <c r="C467" s="38" t="s">
        <v>171</v>
      </c>
      <c r="D467" s="38" t="s">
        <v>171</v>
      </c>
      <c r="E467" s="38" t="s">
        <v>875</v>
      </c>
      <c r="F467" s="38" t="str">
        <f aca="false">B467&amp;"|"&amp;C467&amp;"|"&amp;D467</f>
        <v>40|U|U</v>
      </c>
      <c r="G467" s="45" t="n">
        <f aca="false">INDEX('Transition Stepwise'!$J$2:$J$1137,MATCH(F467,'Transition Stepwise'!$E$2:$E$1137,0))</f>
        <v>0.0833333333333333</v>
      </c>
      <c r="H467" s="45" t="n">
        <f aca="false">INDEX(Background!$D$12:$D$27,MATCH(C467&amp;D467,Background!$E$12:$E$27,0))</f>
        <v>0.220480320213476</v>
      </c>
      <c r="I467" s="49" t="n">
        <f aca="false">LN(G467/H467)</f>
        <v>-0.972959810977144</v>
      </c>
    </row>
    <row r="468" customFormat="false" ht="15" hidden="false" customHeight="true" outlineLevel="0" collapsed="false">
      <c r="A468" s="38" t="s">
        <v>42</v>
      </c>
      <c r="B468" s="38" t="n">
        <v>41</v>
      </c>
      <c r="C468" s="38" t="s">
        <v>171</v>
      </c>
      <c r="D468" s="38" t="s">
        <v>170</v>
      </c>
      <c r="E468" s="38" t="s">
        <v>875</v>
      </c>
      <c r="F468" s="38" t="str">
        <f aca="false">B468&amp;"|"&amp;C468&amp;"|"&amp;D468</f>
        <v>41|U|C</v>
      </c>
      <c r="G468" s="45" t="n">
        <f aca="false">INDEX('Transition Stepwise'!$J$2:$J$1137,MATCH(F468,'Transition Stepwise'!$E$2:$E$1137,0))</f>
        <v>0.162162162162162</v>
      </c>
      <c r="H468" s="45" t="n">
        <f aca="false">INDEX(Background!$D$12:$D$27,MATCH(C468&amp;D468,Background!$E$12:$E$27,0))</f>
        <v>0.377251501000667</v>
      </c>
      <c r="I468" s="49" t="n">
        <f aca="false">LN(G468/H468)</f>
        <v>-0.844315240869747</v>
      </c>
    </row>
    <row r="469" customFormat="false" ht="15" hidden="false" customHeight="true" outlineLevel="0" collapsed="false">
      <c r="A469" s="38" t="s">
        <v>42</v>
      </c>
      <c r="B469" s="38" t="n">
        <v>42</v>
      </c>
      <c r="C469" s="38" t="s">
        <v>170</v>
      </c>
      <c r="D469" s="38" t="s">
        <v>171</v>
      </c>
      <c r="E469" s="38" t="s">
        <v>875</v>
      </c>
      <c r="F469" s="38" t="str">
        <f aca="false">B469&amp;"|"&amp;C469&amp;"|"&amp;D469</f>
        <v>42|C|U</v>
      </c>
      <c r="G469" s="45" t="n">
        <f aca="false">INDEX('Transition Stepwise'!$J$2:$J$1137,MATCH(F469,'Transition Stepwise'!$E$2:$E$1137,0))</f>
        <v>0.208333333333333</v>
      </c>
      <c r="H469" s="45" t="n">
        <f aca="false">INDEX(Background!$D$12:$D$27,MATCH(C469&amp;D469,Background!$E$12:$E$27,0))</f>
        <v>0.196466244725738</v>
      </c>
      <c r="I469" s="49" t="n">
        <f aca="false">LN(G469/H469)</f>
        <v>0.0586487270815077</v>
      </c>
    </row>
    <row r="470" customFormat="false" ht="15" hidden="false" customHeight="true" outlineLevel="0" collapsed="false">
      <c r="A470" s="38" t="s">
        <v>42</v>
      </c>
      <c r="B470" s="38" t="n">
        <v>43</v>
      </c>
      <c r="C470" s="38" t="s">
        <v>171</v>
      </c>
      <c r="D470" s="38" t="s">
        <v>170</v>
      </c>
      <c r="E470" s="38" t="s">
        <v>875</v>
      </c>
      <c r="F470" s="38" t="str">
        <f aca="false">B470&amp;"|"&amp;C470&amp;"|"&amp;D470</f>
        <v>43|U|C</v>
      </c>
      <c r="G470" s="45" t="n">
        <f aca="false">INDEX('Transition Stepwise'!$J$2:$J$1137,MATCH(F470,'Transition Stepwise'!$E$2:$E$1137,0))</f>
        <v>0.25</v>
      </c>
      <c r="H470" s="45" t="n">
        <f aca="false">INDEX(Background!$D$12:$D$27,MATCH(C470&amp;D470,Background!$E$12:$E$27,0))</f>
        <v>0.377251501000667</v>
      </c>
      <c r="I470" s="49" t="n">
        <f aca="false">LN(G470/H470)</f>
        <v>-0.411451158573468</v>
      </c>
    </row>
    <row r="471" customFormat="false" ht="15" hidden="false" customHeight="true" outlineLevel="0" collapsed="false">
      <c r="A471" s="38" t="s">
        <v>42</v>
      </c>
      <c r="B471" s="38" t="n">
        <v>44</v>
      </c>
      <c r="C471" s="38" t="s">
        <v>170</v>
      </c>
      <c r="D471" s="38" t="s">
        <v>169</v>
      </c>
      <c r="E471" s="38" t="s">
        <v>875</v>
      </c>
      <c r="F471" s="38" t="str">
        <f aca="false">B471&amp;"|"&amp;C471&amp;"|"&amp;D471</f>
        <v>44|C|G</v>
      </c>
      <c r="G471" s="45" t="n">
        <f aca="false">INDEX('Transition Stepwise'!$J$2:$J$1137,MATCH(F471,'Transition Stepwise'!$E$2:$E$1137,0))</f>
        <v>0.5</v>
      </c>
      <c r="H471" s="45" t="n">
        <f aca="false">INDEX(Background!$D$12:$D$27,MATCH(C471&amp;D471,Background!$E$12:$E$27,0))</f>
        <v>0.296413502109705</v>
      </c>
      <c r="I471" s="49" t="n">
        <f aca="false">LN(G471/H471)</f>
        <v>0.522852652361331</v>
      </c>
    </row>
    <row r="472" customFormat="false" ht="15" hidden="false" customHeight="true" outlineLevel="0" collapsed="false">
      <c r="A472" s="38" t="s">
        <v>42</v>
      </c>
      <c r="B472" s="38" t="n">
        <v>45</v>
      </c>
      <c r="C472" s="38" t="s">
        <v>169</v>
      </c>
      <c r="D472" s="38" t="s">
        <v>172</v>
      </c>
      <c r="E472" s="38" t="s">
        <v>875</v>
      </c>
      <c r="F472" s="38" t="str">
        <f aca="false">B472&amp;"|"&amp;C472&amp;"|"&amp;D472</f>
        <v>45|G|A</v>
      </c>
      <c r="G472" s="45" t="n">
        <f aca="false">INDEX('Transition Stepwise'!$J$2:$J$1137,MATCH(F472,'Transition Stepwise'!$E$2:$E$1137,0))</f>
        <v>0.116788321167883</v>
      </c>
      <c r="H472" s="45" t="n">
        <f aca="false">INDEX(Background!$D$12:$D$27,MATCH(C472&amp;D472,Background!$E$12:$E$27,0))</f>
        <v>0.164356435643564</v>
      </c>
      <c r="I472" s="49" t="n">
        <f aca="false">LN(G472/H472)</f>
        <v>-0.341674382109582</v>
      </c>
    </row>
    <row r="473" customFormat="false" ht="15" hidden="false" customHeight="true" outlineLevel="0" collapsed="false">
      <c r="A473" s="38" t="s">
        <v>42</v>
      </c>
      <c r="B473" s="38" t="n">
        <v>46</v>
      </c>
      <c r="C473" s="38" t="s">
        <v>172</v>
      </c>
      <c r="D473" s="38" t="s">
        <v>169</v>
      </c>
      <c r="E473" s="38" t="s">
        <v>875</v>
      </c>
      <c r="F473" s="38" t="str">
        <f aca="false">B473&amp;"|"&amp;C473&amp;"|"&amp;D473</f>
        <v>46|A|G</v>
      </c>
      <c r="G473" s="45" t="n">
        <f aca="false">INDEX('Transition Stepwise'!$J$2:$J$1137,MATCH(F473,'Transition Stepwise'!$E$2:$E$1137,0))</f>
        <v>0.1</v>
      </c>
      <c r="H473" s="45" t="n">
        <f aca="false">INDEX(Background!$D$12:$D$27,MATCH(C473&amp;D473,Background!$E$12:$E$27,0))</f>
        <v>0.424884437596302</v>
      </c>
      <c r="I473" s="49" t="n">
        <f aca="false">LN(G473/H473)</f>
        <v>-1.44664703442357</v>
      </c>
    </row>
    <row r="474" customFormat="false" ht="15" hidden="false" customHeight="true" outlineLevel="0" collapsed="false">
      <c r="A474" s="38" t="s">
        <v>42</v>
      </c>
      <c r="B474" s="38" t="n">
        <v>47</v>
      </c>
      <c r="C474" s="38" t="s">
        <v>169</v>
      </c>
      <c r="D474" s="38" t="s">
        <v>171</v>
      </c>
      <c r="E474" s="38" t="s">
        <v>875</v>
      </c>
      <c r="F474" s="38" t="str">
        <f aca="false">B474&amp;"|"&amp;C474&amp;"|"&amp;D474</f>
        <v>47|G|U</v>
      </c>
      <c r="G474" s="45" t="n">
        <f aca="false">INDEX('Transition Stepwise'!$J$2:$J$1137,MATCH(F474,'Transition Stepwise'!$E$2:$E$1137,0))</f>
        <v>0.45</v>
      </c>
      <c r="H474" s="45" t="n">
        <f aca="false">INDEX(Background!$D$12:$D$27,MATCH(C474&amp;D474,Background!$E$12:$E$27,0))</f>
        <v>0.234763476347635</v>
      </c>
      <c r="I474" s="49" t="n">
        <f aca="false">LN(G474/H474)</f>
        <v>0.650669059092054</v>
      </c>
    </row>
    <row r="475" customFormat="false" ht="15" hidden="false" customHeight="true" outlineLevel="0" collapsed="false">
      <c r="A475" s="38" t="s">
        <v>42</v>
      </c>
      <c r="B475" s="38" t="n">
        <v>48</v>
      </c>
      <c r="C475" s="38" t="s">
        <v>171</v>
      </c>
      <c r="D475" s="38" t="s">
        <v>170</v>
      </c>
      <c r="E475" s="38" t="s">
        <v>875</v>
      </c>
      <c r="F475" s="38" t="str">
        <f aca="false">B475&amp;"|"&amp;C475&amp;"|"&amp;D475</f>
        <v>48|U|C</v>
      </c>
      <c r="G475" s="45" t="n">
        <f aca="false">INDEX('Transition Stepwise'!$J$2:$J$1137,MATCH(F475,'Transition Stepwise'!$E$2:$E$1137,0))</f>
        <v>0.151515151515152</v>
      </c>
      <c r="H475" s="45" t="n">
        <f aca="false">INDEX(Background!$D$12:$D$27,MATCH(C475&amp;D475,Background!$E$12:$E$27,0))</f>
        <v>0.377251501000667</v>
      </c>
      <c r="I475" s="49" t="n">
        <f aca="false">LN(G475/H475)</f>
        <v>-0.912226446485957</v>
      </c>
    </row>
    <row r="476" customFormat="false" ht="15" hidden="false" customHeight="true" outlineLevel="0" collapsed="false">
      <c r="A476" s="38" t="s">
        <v>42</v>
      </c>
      <c r="B476" s="38" t="n">
        <v>49</v>
      </c>
      <c r="C476" s="38" t="s">
        <v>170</v>
      </c>
      <c r="D476" s="38" t="s">
        <v>171</v>
      </c>
      <c r="E476" s="38" t="s">
        <v>875</v>
      </c>
      <c r="F476" s="38" t="str">
        <f aca="false">B476&amp;"|"&amp;C476&amp;"|"&amp;D476</f>
        <v>49|C|U</v>
      </c>
      <c r="G476" s="45" t="n">
        <f aca="false">INDEX('Transition Stepwise'!$J$2:$J$1137,MATCH(F476,'Transition Stepwise'!$E$2:$E$1137,0))</f>
        <v>0.147540983606557</v>
      </c>
      <c r="H476" s="45" t="n">
        <f aca="false">INDEX(Background!$D$12:$D$27,MATCH(C476&amp;D476,Background!$E$12:$E$27,0))</f>
        <v>0.196466244725738</v>
      </c>
      <c r="I476" s="49" t="n">
        <f aca="false">LN(G476/H476)</f>
        <v>-0.286384641841739</v>
      </c>
    </row>
    <row r="477" customFormat="false" ht="15" hidden="false" customHeight="true" outlineLevel="0" collapsed="false">
      <c r="A477" s="38" t="s">
        <v>42</v>
      </c>
      <c r="B477" s="38" t="n">
        <v>50</v>
      </c>
      <c r="C477" s="38" t="s">
        <v>171</v>
      </c>
      <c r="D477" s="38" t="s">
        <v>171</v>
      </c>
      <c r="E477" s="38" t="s">
        <v>875</v>
      </c>
      <c r="F477" s="38" t="str">
        <f aca="false">B477&amp;"|"&amp;C477&amp;"|"&amp;D477</f>
        <v>50|U|U</v>
      </c>
      <c r="G477" s="45" t="n">
        <f aca="false">INDEX('Transition Stepwise'!$J$2:$J$1137,MATCH(F477,'Transition Stepwise'!$E$2:$E$1137,0))</f>
        <v>0.128205128205128</v>
      </c>
      <c r="H477" s="45" t="n">
        <f aca="false">INDEX(Background!$D$12:$D$27,MATCH(C477&amp;D477,Background!$E$12:$E$27,0))</f>
        <v>0.220480320213476</v>
      </c>
      <c r="I477" s="49" t="n">
        <f aca="false">LN(G477/H477)</f>
        <v>-0.542176894884689</v>
      </c>
    </row>
    <row r="478" customFormat="false" ht="15" hidden="false" customHeight="true" outlineLevel="0" collapsed="false">
      <c r="A478" s="38" t="s">
        <v>42</v>
      </c>
      <c r="B478" s="38" t="n">
        <v>51</v>
      </c>
      <c r="C478" s="38" t="s">
        <v>171</v>
      </c>
      <c r="D478" s="38" t="s">
        <v>171</v>
      </c>
      <c r="E478" s="38" t="s">
        <v>875</v>
      </c>
      <c r="F478" s="38" t="str">
        <f aca="false">B478&amp;"|"&amp;C478&amp;"|"&amp;D478</f>
        <v>51|U|U</v>
      </c>
      <c r="G478" s="45" t="n">
        <f aca="false">INDEX('Transition Stepwise'!$J$2:$J$1137,MATCH(F478,'Transition Stepwise'!$E$2:$E$1137,0))</f>
        <v>0.0588235294117647</v>
      </c>
      <c r="H478" s="45" t="n">
        <f aca="false">INDEX(Background!$D$12:$D$27,MATCH(C478&amp;D478,Background!$E$12:$E$27,0))</f>
        <v>0.220480320213476</v>
      </c>
      <c r="I478" s="49" t="n">
        <f aca="false">LN(G478/H478)</f>
        <v>-1.32126650524536</v>
      </c>
    </row>
    <row r="479" customFormat="false" ht="15" hidden="false" customHeight="true" outlineLevel="0" collapsed="false">
      <c r="A479" s="38" t="s">
        <v>42</v>
      </c>
      <c r="B479" s="38" t="n">
        <v>52</v>
      </c>
      <c r="C479" s="38" t="s">
        <v>171</v>
      </c>
      <c r="D479" s="38" t="s">
        <v>169</v>
      </c>
      <c r="E479" s="38" t="s">
        <v>875</v>
      </c>
      <c r="F479" s="38" t="str">
        <f aca="false">B479&amp;"|"&amp;C479&amp;"|"&amp;D479</f>
        <v>52|U|G</v>
      </c>
      <c r="G479" s="45" t="n">
        <f aca="false">INDEX('Transition Stepwise'!$J$2:$J$1137,MATCH(F479,'Transition Stepwise'!$E$2:$E$1137,0))</f>
        <v>0.5</v>
      </c>
      <c r="H479" s="45" t="n">
        <f aca="false">INDEX(Background!$D$12:$D$27,MATCH(C479&amp;D479,Background!$E$12:$E$27,0))</f>
        <v>0.221480987324883</v>
      </c>
      <c r="I479" s="49" t="n">
        <f aca="false">LN(G479/H479)</f>
        <v>0.814271348626164</v>
      </c>
    </row>
    <row r="480" customFormat="false" ht="15" hidden="false" customHeight="true" outlineLevel="0" collapsed="false">
      <c r="A480" s="38" t="s">
        <v>42</v>
      </c>
      <c r="B480" s="38" t="n">
        <v>53</v>
      </c>
      <c r="C480" s="38" t="s">
        <v>169</v>
      </c>
      <c r="D480" s="38" t="s">
        <v>172</v>
      </c>
      <c r="E480" s="38" t="s">
        <v>875</v>
      </c>
      <c r="F480" s="38" t="str">
        <f aca="false">B480&amp;"|"&amp;C480&amp;"|"&amp;D480</f>
        <v>53|G|A</v>
      </c>
      <c r="G480" s="45" t="n">
        <f aca="false">INDEX('Transition Stepwise'!$J$2:$J$1137,MATCH(F480,'Transition Stepwise'!$E$2:$E$1137,0))</f>
        <v>0.0150753768844221</v>
      </c>
      <c r="H480" s="45" t="n">
        <f aca="false">INDEX(Background!$D$12:$D$27,MATCH(C480&amp;D480,Background!$E$12:$E$27,0))</f>
        <v>0.164356435643564</v>
      </c>
      <c r="I480" s="49" t="n">
        <f aca="false">LN(G480/H480)</f>
        <v>-2.38897471457762</v>
      </c>
    </row>
    <row r="481" customFormat="false" ht="15" hidden="false" customHeight="true" outlineLevel="0" collapsed="false">
      <c r="A481" s="38" t="s">
        <v>42</v>
      </c>
      <c r="B481" s="38" t="n">
        <v>54</v>
      </c>
      <c r="C481" s="38" t="s">
        <v>172</v>
      </c>
      <c r="D481" s="38" t="s">
        <v>170</v>
      </c>
      <c r="E481" s="38" t="s">
        <v>875</v>
      </c>
      <c r="F481" s="38" t="str">
        <f aca="false">B481&amp;"|"&amp;C481&amp;"|"&amp;D481</f>
        <v>54|A|C</v>
      </c>
      <c r="G481" s="45" t="n">
        <f aca="false">INDEX('Transition Stepwise'!$J$2:$J$1137,MATCH(F481,'Transition Stepwise'!$E$2:$E$1137,0))</f>
        <v>0.166666666666667</v>
      </c>
      <c r="H481" s="45" t="n">
        <f aca="false">INDEX(Background!$D$12:$D$27,MATCH(C481&amp;D481,Background!$E$12:$E$27,0))</f>
        <v>0.161016949152542</v>
      </c>
      <c r="I481" s="49" t="n">
        <f aca="false">LN(G481/H481)</f>
        <v>0.0344861760711694</v>
      </c>
    </row>
    <row r="482" customFormat="false" ht="15" hidden="false" customHeight="true" outlineLevel="0" collapsed="false">
      <c r="A482" s="38" t="s">
        <v>42</v>
      </c>
      <c r="B482" s="38" t="n">
        <v>55</v>
      </c>
      <c r="C482" s="38" t="s">
        <v>170</v>
      </c>
      <c r="D482" s="38" t="s">
        <v>170</v>
      </c>
      <c r="E482" s="38" t="s">
        <v>875</v>
      </c>
      <c r="F482" s="38" t="str">
        <f aca="false">B482&amp;"|"&amp;C482&amp;"|"&amp;D482</f>
        <v>55|C|C</v>
      </c>
      <c r="G482" s="45" t="n">
        <f aca="false">INDEX('Transition Stepwise'!$J$2:$J$1137,MATCH(F482,'Transition Stepwise'!$E$2:$E$1137,0))</f>
        <v>0.2</v>
      </c>
      <c r="H482" s="45" t="n">
        <f aca="false">INDEX(Background!$D$12:$D$27,MATCH(C482&amp;D482,Background!$E$12:$E$27,0))</f>
        <v>0.312236286919831</v>
      </c>
      <c r="I482" s="49" t="n">
        <f aca="false">LN(G482/H482)</f>
        <v>-0.445442864503139</v>
      </c>
    </row>
    <row r="483" customFormat="false" ht="15" hidden="false" customHeight="true" outlineLevel="0" collapsed="false">
      <c r="A483" s="38" t="s">
        <v>42</v>
      </c>
      <c r="B483" s="38" t="n">
        <v>56</v>
      </c>
      <c r="C483" s="38" t="s">
        <v>170</v>
      </c>
      <c r="D483" s="38" t="s">
        <v>171</v>
      </c>
      <c r="E483" s="38" t="s">
        <v>875</v>
      </c>
      <c r="F483" s="38" t="str">
        <f aca="false">B483&amp;"|"&amp;C483&amp;"|"&amp;D483</f>
        <v>56|C|U</v>
      </c>
      <c r="G483" s="45" t="n">
        <f aca="false">INDEX('Transition Stepwise'!$J$2:$J$1137,MATCH(F483,'Transition Stepwise'!$E$2:$E$1137,0))</f>
        <v>0.0050251256281407</v>
      </c>
      <c r="H483" s="45" t="n">
        <f aca="false">INDEX(Background!$D$12:$D$27,MATCH(C483&amp;D483,Background!$E$12:$E$27,0))</f>
        <v>0.196466244725738</v>
      </c>
      <c r="I483" s="49" t="n">
        <f aca="false">LN(G483/H483)</f>
        <v>-3.66604017972914</v>
      </c>
    </row>
    <row r="484" customFormat="false" ht="15" hidden="false" customHeight="true" outlineLevel="0" collapsed="false">
      <c r="A484" s="38" t="s">
        <v>42</v>
      </c>
      <c r="B484" s="38" t="n">
        <v>57</v>
      </c>
      <c r="C484" s="38" t="s">
        <v>171</v>
      </c>
      <c r="D484" s="38" t="s">
        <v>171</v>
      </c>
      <c r="E484" s="38" t="s">
        <v>875</v>
      </c>
      <c r="F484" s="38" t="str">
        <f aca="false">B484&amp;"|"&amp;C484&amp;"|"&amp;D484</f>
        <v>57|U|U</v>
      </c>
      <c r="G484" s="45" t="n">
        <f aca="false">INDEX('Transition Stepwise'!$J$2:$J$1137,MATCH(F484,'Transition Stepwise'!$E$2:$E$1137,0))</f>
        <v>0.2</v>
      </c>
      <c r="H484" s="45" t="n">
        <f aca="false">INDEX(Background!$D$12:$D$27,MATCH(C484&amp;D484,Background!$E$12:$E$27,0))</f>
        <v>0.220480320213476</v>
      </c>
      <c r="I484" s="49" t="n">
        <f aca="false">LN(G484/H484)</f>
        <v>-0.0974910736232437</v>
      </c>
    </row>
    <row r="485" customFormat="false" ht="15" hidden="false" customHeight="true" outlineLevel="0" collapsed="false">
      <c r="A485" s="38" t="s">
        <v>42</v>
      </c>
      <c r="B485" s="38" t="n">
        <v>58</v>
      </c>
      <c r="C485" s="38" t="s">
        <v>171</v>
      </c>
      <c r="D485" s="38" t="s">
        <v>171</v>
      </c>
      <c r="E485" s="38" t="s">
        <v>875</v>
      </c>
      <c r="F485" s="38" t="str">
        <f aca="false">B485&amp;"|"&amp;C485&amp;"|"&amp;D485</f>
        <v>58|U|U</v>
      </c>
      <c r="G485" s="45" t="n">
        <f aca="false">INDEX('Transition Stepwise'!$J$2:$J$1137,MATCH(F485,'Transition Stepwise'!$E$2:$E$1137,0))</f>
        <v>0.2</v>
      </c>
      <c r="H485" s="45" t="n">
        <f aca="false">INDEX(Background!$D$12:$D$27,MATCH(C485&amp;D485,Background!$E$12:$E$27,0))</f>
        <v>0.220480320213476</v>
      </c>
      <c r="I485" s="49" t="n">
        <f aca="false">LN(G485/H485)</f>
        <v>-0.0974910736232437</v>
      </c>
    </row>
    <row r="486" customFormat="false" ht="15" hidden="false" customHeight="true" outlineLevel="0" collapsed="false">
      <c r="A486" s="38" t="s">
        <v>42</v>
      </c>
      <c r="B486" s="38" t="n">
        <v>59</v>
      </c>
      <c r="C486" s="38" t="s">
        <v>171</v>
      </c>
      <c r="D486" s="38" t="s">
        <v>171</v>
      </c>
      <c r="E486" s="38" t="s">
        <v>875</v>
      </c>
      <c r="F486" s="38" t="str">
        <f aca="false">B486&amp;"|"&amp;C486&amp;"|"&amp;D486</f>
        <v>59|U|U</v>
      </c>
      <c r="G486" s="45" t="n">
        <f aca="false">INDEX('Transition Stepwise'!$J$2:$J$1137,MATCH(F486,'Transition Stepwise'!$E$2:$E$1137,0))</f>
        <v>0.537037037037037</v>
      </c>
      <c r="H486" s="45" t="n">
        <f aca="false">INDEX(Background!$D$12:$D$27,MATCH(C486&amp;D486,Background!$E$12:$E$27,0))</f>
        <v>0.220480320213476</v>
      </c>
      <c r="I486" s="49" t="n">
        <f aca="false">LN(G486/H486)</f>
        <v>0.890258622233056</v>
      </c>
    </row>
    <row r="487" customFormat="false" ht="15" hidden="false" customHeight="true" outlineLevel="0" collapsed="false">
      <c r="A487" s="38" t="s">
        <v>42</v>
      </c>
      <c r="B487" s="38" t="n">
        <v>60</v>
      </c>
      <c r="C487" s="38" t="s">
        <v>171</v>
      </c>
      <c r="D487" s="38" t="s">
        <v>170</v>
      </c>
      <c r="E487" s="38" t="s">
        <v>875</v>
      </c>
      <c r="F487" s="38" t="str">
        <f aca="false">B487&amp;"|"&amp;C487&amp;"|"&amp;D487</f>
        <v>60|U|C</v>
      </c>
      <c r="G487" s="45" t="n">
        <f aca="false">INDEX('Transition Stepwise'!$J$2:$J$1137,MATCH(F487,'Transition Stepwise'!$E$2:$E$1137,0))</f>
        <v>0.975</v>
      </c>
      <c r="H487" s="45" t="n">
        <f aca="false">INDEX(Background!$D$12:$D$27,MATCH(C487&amp;D487,Background!$E$12:$E$27,0))</f>
        <v>0.377251501000667</v>
      </c>
      <c r="I487" s="49" t="n">
        <f aca="false">LN(G487/H487)</f>
        <v>0.949525394562133</v>
      </c>
    </row>
    <row r="488" customFormat="false" ht="15" hidden="false" customHeight="true" outlineLevel="0" collapsed="false">
      <c r="A488" s="38" t="s">
        <v>42</v>
      </c>
      <c r="B488" s="38" t="n">
        <v>61</v>
      </c>
      <c r="C488" s="38" t="s">
        <v>170</v>
      </c>
      <c r="D488" s="38" t="s">
        <v>172</v>
      </c>
      <c r="E488" s="38" t="s">
        <v>875</v>
      </c>
      <c r="F488" s="38" t="str">
        <f aca="false">B488&amp;"|"&amp;C488&amp;"|"&amp;D488</f>
        <v>61|C|A</v>
      </c>
      <c r="G488" s="45" t="n">
        <f aca="false">INDEX('Transition Stepwise'!$J$2:$J$1137,MATCH(F488,'Transition Stepwise'!$E$2:$E$1137,0))</f>
        <v>0.0199004975124378</v>
      </c>
      <c r="H488" s="45" t="n">
        <f aca="false">INDEX(Background!$D$12:$D$27,MATCH(C488&amp;D488,Background!$E$12:$E$27,0))</f>
        <v>0.194883966244726</v>
      </c>
      <c r="I488" s="49" t="n">
        <f aca="false">LN(G488/H488)</f>
        <v>-2.28165960451247</v>
      </c>
    </row>
    <row r="489" customFormat="false" ht="15" hidden="false" customHeight="true" outlineLevel="0" collapsed="false">
      <c r="A489" s="38" t="s">
        <v>42</v>
      </c>
      <c r="B489" s="38" t="n">
        <v>62</v>
      </c>
      <c r="C489" s="38" t="s">
        <v>172</v>
      </c>
      <c r="D489" s="38" t="s">
        <v>169</v>
      </c>
      <c r="E489" s="38" t="s">
        <v>875</v>
      </c>
      <c r="F489" s="38" t="str">
        <f aca="false">B489&amp;"|"&amp;C489&amp;"|"&amp;D489</f>
        <v>62|A|G</v>
      </c>
      <c r="G489" s="45" t="n">
        <f aca="false">INDEX('Transition Stepwise'!$J$2:$J$1137,MATCH(F489,'Transition Stepwise'!$E$2:$E$1137,0))</f>
        <v>0.142857142857143</v>
      </c>
      <c r="H489" s="45" t="n">
        <f aca="false">INDEX(Background!$D$12:$D$27,MATCH(C489&amp;D489,Background!$E$12:$E$27,0))</f>
        <v>0.424884437596302</v>
      </c>
      <c r="I489" s="49" t="n">
        <f aca="false">LN(G489/H489)</f>
        <v>-1.08997209048484</v>
      </c>
    </row>
    <row r="490" customFormat="false" ht="15" hidden="false" customHeight="true" outlineLevel="0" collapsed="false">
      <c r="A490" s="38" t="s">
        <v>42</v>
      </c>
      <c r="B490" s="38" t="n">
        <v>63</v>
      </c>
      <c r="C490" s="38" t="s">
        <v>169</v>
      </c>
      <c r="D490" s="38" t="s">
        <v>169</v>
      </c>
      <c r="E490" s="38" t="s">
        <v>875</v>
      </c>
      <c r="F490" s="38" t="str">
        <f aca="false">B490&amp;"|"&amp;C490&amp;"|"&amp;D490</f>
        <v>63|G|G</v>
      </c>
      <c r="G490" s="45" t="n">
        <f aca="false">INDEX('Transition Stepwise'!$J$2:$J$1137,MATCH(F490,'Transition Stepwise'!$E$2:$E$1137,0))</f>
        <v>0.519230769230769</v>
      </c>
      <c r="H490" s="45" t="n">
        <f aca="false">INDEX(Background!$D$12:$D$27,MATCH(C490&amp;D490,Background!$E$12:$E$27,0))</f>
        <v>0.344774477447745</v>
      </c>
      <c r="I490" s="49" t="n">
        <f aca="false">LN(G490/H490)</f>
        <v>0.40945791167846</v>
      </c>
    </row>
    <row r="491" customFormat="false" ht="15" hidden="false" customHeight="true" outlineLevel="0" collapsed="false">
      <c r="A491" s="38" t="s">
        <v>42</v>
      </c>
      <c r="B491" s="38" t="n">
        <v>64</v>
      </c>
      <c r="C491" s="38" t="s">
        <v>169</v>
      </c>
      <c r="D491" s="38" t="s">
        <v>172</v>
      </c>
      <c r="E491" s="38" t="s">
        <v>875</v>
      </c>
      <c r="F491" s="38" t="str">
        <f aca="false">B491&amp;"|"&amp;C491&amp;"|"&amp;D491</f>
        <v>64|G|A</v>
      </c>
      <c r="G491" s="45" t="n">
        <f aca="false">INDEX('Transition Stepwise'!$J$2:$J$1137,MATCH(F491,'Transition Stepwise'!$E$2:$E$1137,0))</f>
        <v>0.03125</v>
      </c>
      <c r="H491" s="45" t="n">
        <f aca="false">INDEX(Background!$D$12:$D$27,MATCH(C491&amp;D491,Background!$E$12:$E$27,0))</f>
        <v>0.164356435643564</v>
      </c>
      <c r="I491" s="49" t="n">
        <f aca="false">LN(G491/H491)</f>
        <v>-1.66001808132096</v>
      </c>
    </row>
    <row r="492" customFormat="false" ht="15" hidden="false" customHeight="true" outlineLevel="0" collapsed="false">
      <c r="A492" s="38" t="s">
        <v>42</v>
      </c>
      <c r="B492" s="38" t="n">
        <v>65</v>
      </c>
      <c r="C492" s="38" t="s">
        <v>172</v>
      </c>
      <c r="D492" s="38" t="s">
        <v>171</v>
      </c>
      <c r="E492" s="38" t="s">
        <v>875</v>
      </c>
      <c r="F492" s="38" t="str">
        <f aca="false">B492&amp;"|"&amp;C492&amp;"|"&amp;D492</f>
        <v>65|A|U</v>
      </c>
      <c r="G492" s="45" t="n">
        <f aca="false">INDEX('Transition Stepwise'!$J$2:$J$1137,MATCH(F492,'Transition Stepwise'!$E$2:$E$1137,0))</f>
        <v>0.538461538461538</v>
      </c>
      <c r="H492" s="45" t="n">
        <f aca="false">INDEX(Background!$D$12:$D$27,MATCH(C492&amp;D492,Background!$E$12:$E$27,0))</f>
        <v>0.194530046224961</v>
      </c>
      <c r="I492" s="49" t="n">
        <f aca="false">LN(G492/H492)</f>
        <v>1.0181294401424</v>
      </c>
    </row>
    <row r="493" customFormat="false" ht="15" hidden="false" customHeight="true" outlineLevel="0" collapsed="false">
      <c r="A493" s="38" t="s">
        <v>42</v>
      </c>
      <c r="B493" s="38" t="n">
        <v>66</v>
      </c>
      <c r="C493" s="38" t="s">
        <v>171</v>
      </c>
      <c r="D493" s="38" t="s">
        <v>169</v>
      </c>
      <c r="E493" s="38" t="s">
        <v>875</v>
      </c>
      <c r="F493" s="38" t="str">
        <f aca="false">B493&amp;"|"&amp;C493&amp;"|"&amp;D493</f>
        <v>66|U|G</v>
      </c>
      <c r="G493" s="45" t="n">
        <f aca="false">INDEX('Transition Stepwise'!$J$2:$J$1137,MATCH(F493,'Transition Stepwise'!$E$2:$E$1137,0))</f>
        <v>0.207547169811321</v>
      </c>
      <c r="H493" s="45" t="n">
        <f aca="false">INDEX(Background!$D$12:$D$27,MATCH(C493&amp;D493,Background!$E$12:$E$27,0))</f>
        <v>0.221480987324883</v>
      </c>
      <c r="I493" s="49" t="n">
        <f aca="false">LN(G493/H493)</f>
        <v>-0.064978111567642</v>
      </c>
    </row>
    <row r="494" customFormat="false" ht="15" hidden="false" customHeight="true" outlineLevel="0" collapsed="false">
      <c r="A494" s="38" t="s">
        <v>42</v>
      </c>
      <c r="B494" s="38" t="n">
        <v>67</v>
      </c>
      <c r="C494" s="38" t="s">
        <v>169</v>
      </c>
      <c r="D494" s="38" t="s">
        <v>170</v>
      </c>
      <c r="E494" s="38" t="s">
        <v>875</v>
      </c>
      <c r="F494" s="38" t="str">
        <f aca="false">B494&amp;"|"&amp;C494&amp;"|"&amp;D494</f>
        <v>67|G|C</v>
      </c>
      <c r="G494" s="45" t="n">
        <f aca="false">INDEX('Transition Stepwise'!$J$2:$J$1137,MATCH(F494,'Transition Stepwise'!$E$2:$E$1137,0))</f>
        <v>0.189873417721519</v>
      </c>
      <c r="H494" s="45" t="n">
        <f aca="false">INDEX(Background!$D$12:$D$27,MATCH(C494&amp;D494,Background!$E$12:$E$27,0))</f>
        <v>0.256105610561056</v>
      </c>
      <c r="I494" s="49" t="n">
        <f aca="false">LN(G494/H494)</f>
        <v>-0.299232273044615</v>
      </c>
    </row>
    <row r="495" customFormat="false" ht="15" hidden="false" customHeight="true" outlineLevel="0" collapsed="false">
      <c r="A495" s="38" t="s">
        <v>42</v>
      </c>
      <c r="B495" s="38" t="n">
        <v>68</v>
      </c>
      <c r="C495" s="38" t="s">
        <v>170</v>
      </c>
      <c r="D495" s="38" t="s">
        <v>172</v>
      </c>
      <c r="E495" s="38" t="s">
        <v>875</v>
      </c>
      <c r="F495" s="38" t="str">
        <f aca="false">B495&amp;"|"&amp;C495&amp;"|"&amp;D495</f>
        <v>68|C|A</v>
      </c>
      <c r="G495" s="45" t="n">
        <f aca="false">INDEX('Transition Stepwise'!$J$2:$J$1137,MATCH(F495,'Transition Stepwise'!$E$2:$E$1137,0))</f>
        <v>0.0757575757575758</v>
      </c>
      <c r="H495" s="45" t="n">
        <f aca="false">INDEX(Background!$D$12:$D$27,MATCH(C495&amp;D495,Background!$E$12:$E$27,0))</f>
        <v>0.194883966244726</v>
      </c>
      <c r="I495" s="49" t="n">
        <f aca="false">LN(G495/H495)</f>
        <v>-0.944865887165614</v>
      </c>
    </row>
    <row r="496" customFormat="false" ht="15" hidden="false" customHeight="true" outlineLevel="0" collapsed="false">
      <c r="A496" s="38" t="s">
        <v>42</v>
      </c>
      <c r="B496" s="38" t="n">
        <v>69</v>
      </c>
      <c r="C496" s="38" t="s">
        <v>172</v>
      </c>
      <c r="D496" s="38" t="s">
        <v>170</v>
      </c>
      <c r="E496" s="38" t="s">
        <v>875</v>
      </c>
      <c r="F496" s="38" t="str">
        <f aca="false">B496&amp;"|"&amp;C496&amp;"|"&amp;D496</f>
        <v>69|A|C</v>
      </c>
      <c r="G496" s="45" t="n">
        <f aca="false">INDEX('Transition Stepwise'!$J$2:$J$1137,MATCH(F496,'Transition Stepwise'!$E$2:$E$1137,0))</f>
        <v>0.379310344827586</v>
      </c>
      <c r="H496" s="45" t="n">
        <f aca="false">INDEX(Background!$D$12:$D$27,MATCH(C496&amp;D496,Background!$E$12:$E$27,0))</f>
        <v>0.161016949152542</v>
      </c>
      <c r="I496" s="49" t="n">
        <f aca="false">LN(G496/H496)</f>
        <v>0.856845088111121</v>
      </c>
    </row>
    <row r="497" customFormat="false" ht="15" hidden="false" customHeight="true" outlineLevel="0" collapsed="false">
      <c r="A497" s="38" t="s">
        <v>42</v>
      </c>
      <c r="B497" s="38" t="n">
        <v>70</v>
      </c>
      <c r="C497" s="38" t="s">
        <v>170</v>
      </c>
      <c r="D497" s="38" t="s">
        <v>171</v>
      </c>
      <c r="E497" s="38" t="s">
        <v>875</v>
      </c>
      <c r="F497" s="38" t="str">
        <f aca="false">B497&amp;"|"&amp;C497&amp;"|"&amp;D497</f>
        <v>70|C|U</v>
      </c>
      <c r="G497" s="45" t="n">
        <f aca="false">INDEX('Transition Stepwise'!$J$2:$J$1137,MATCH(F497,'Transition Stepwise'!$E$2:$E$1137,0))</f>
        <v>0.0266666666666667</v>
      </c>
      <c r="H497" s="45" t="n">
        <f aca="false">INDEX(Background!$D$12:$D$27,MATCH(C497&amp;D497,Background!$E$12:$E$27,0))</f>
        <v>0.196466244725738</v>
      </c>
      <c r="I497" s="49" t="n">
        <f aca="false">LN(G497/H497)</f>
        <v>-1.99707628798101</v>
      </c>
    </row>
    <row r="498" customFormat="false" ht="15" hidden="false" customHeight="true" outlineLevel="0" collapsed="false">
      <c r="A498" s="38" t="s">
        <v>42</v>
      </c>
      <c r="B498" s="38" t="n">
        <v>71</v>
      </c>
      <c r="C498" s="38" t="s">
        <v>171</v>
      </c>
      <c r="D498" s="38" t="s">
        <v>172</v>
      </c>
      <c r="E498" s="38" t="s">
        <v>875</v>
      </c>
      <c r="F498" s="38" t="str">
        <f aca="false">B498&amp;"|"&amp;C498&amp;"|"&amp;D498</f>
        <v>71|U|A</v>
      </c>
      <c r="G498" s="45" t="n">
        <f aca="false">INDEX('Transition Stepwise'!$J$2:$J$1137,MATCH(F498,'Transition Stepwise'!$E$2:$E$1137,0))</f>
        <v>0.0769230769230769</v>
      </c>
      <c r="H498" s="45" t="n">
        <f aca="false">INDEX(Background!$D$12:$D$27,MATCH(C498&amp;D498,Background!$E$12:$E$27,0))</f>
        <v>0.180787191460974</v>
      </c>
      <c r="I498" s="49" t="n">
        <f aca="false">LN(G498/H498)</f>
        <v>-0.85451468023864</v>
      </c>
    </row>
    <row r="499" customFormat="false" ht="15" hidden="false" customHeight="true" outlineLevel="0" collapsed="false">
      <c r="A499" s="38" t="s">
        <v>34</v>
      </c>
      <c r="B499" s="38" t="n">
        <v>1</v>
      </c>
      <c r="C499" s="38" t="s">
        <v>169</v>
      </c>
      <c r="D499" s="38" t="s">
        <v>171</v>
      </c>
      <c r="E499" s="38" t="s">
        <v>875</v>
      </c>
      <c r="F499" s="38" t="str">
        <f aca="false">B499&amp;"|"&amp;C499&amp;"|"&amp;D499</f>
        <v>1|G|U</v>
      </c>
      <c r="G499" s="45" t="n">
        <f aca="false">INDEX('Transition Stepwise'!$J$2:$J$1137,MATCH(F499,'Transition Stepwise'!$E$2:$E$1137,0))</f>
        <v>0.0384615384615385</v>
      </c>
      <c r="H499" s="45" t="n">
        <f aca="false">INDEX(Background!$D$12:$D$27,MATCH(C499&amp;D499,Background!$E$12:$E$27,0))</f>
        <v>0.234763476347635</v>
      </c>
      <c r="I499" s="49" t="n">
        <f aca="false">LN(G499/H499)</f>
        <v>-1.80891978271166</v>
      </c>
    </row>
    <row r="500" customFormat="false" ht="15" hidden="false" customHeight="true" outlineLevel="0" collapsed="false">
      <c r="A500" s="38" t="s">
        <v>34</v>
      </c>
      <c r="B500" s="38" t="n">
        <v>2</v>
      </c>
      <c r="C500" s="38" t="s">
        <v>171</v>
      </c>
      <c r="D500" s="38" t="s">
        <v>170</v>
      </c>
      <c r="E500" s="38" t="s">
        <v>875</v>
      </c>
      <c r="F500" s="38" t="str">
        <f aca="false">B500&amp;"|"&amp;C500&amp;"|"&amp;D500</f>
        <v>2|U|C</v>
      </c>
      <c r="G500" s="45" t="n">
        <f aca="false">INDEX('Transition Stepwise'!$J$2:$J$1137,MATCH(F500,'Transition Stepwise'!$E$2:$E$1137,0))</f>
        <v>0.5</v>
      </c>
      <c r="H500" s="45" t="n">
        <f aca="false">INDEX(Background!$D$12:$D$27,MATCH(C500&amp;D500,Background!$E$12:$E$27,0))</f>
        <v>0.377251501000667</v>
      </c>
      <c r="I500" s="49" t="n">
        <f aca="false">LN(G500/H500)</f>
        <v>0.281696021986477</v>
      </c>
    </row>
    <row r="501" customFormat="false" ht="15" hidden="false" customHeight="true" outlineLevel="0" collapsed="false">
      <c r="A501" s="38" t="s">
        <v>34</v>
      </c>
      <c r="B501" s="38" t="n">
        <v>3</v>
      </c>
      <c r="C501" s="38" t="s">
        <v>170</v>
      </c>
      <c r="D501" s="38" t="s">
        <v>172</v>
      </c>
      <c r="E501" s="38" t="s">
        <v>875</v>
      </c>
      <c r="F501" s="38" t="str">
        <f aca="false">B501&amp;"|"&amp;C501&amp;"|"&amp;D501</f>
        <v>3|C|A</v>
      </c>
      <c r="G501" s="45" t="n">
        <f aca="false">INDEX('Transition Stepwise'!$J$2:$J$1137,MATCH(F501,'Transition Stepwise'!$E$2:$E$1137,0))</f>
        <v>0.0987654320987654</v>
      </c>
      <c r="H501" s="45" t="n">
        <f aca="false">INDEX(Background!$D$12:$D$27,MATCH(C501&amp;D501,Background!$E$12:$E$27,0))</f>
        <v>0.194883966244726</v>
      </c>
      <c r="I501" s="49" t="n">
        <f aca="false">LN(G501/H501)</f>
        <v>-0.679656670565892</v>
      </c>
    </row>
    <row r="502" customFormat="false" ht="15" hidden="false" customHeight="true" outlineLevel="0" collapsed="false">
      <c r="A502" s="38" t="s">
        <v>34</v>
      </c>
      <c r="B502" s="38" t="n">
        <v>4</v>
      </c>
      <c r="C502" s="38" t="s">
        <v>172</v>
      </c>
      <c r="D502" s="38" t="s">
        <v>169</v>
      </c>
      <c r="E502" s="38" t="s">
        <v>875</v>
      </c>
      <c r="F502" s="38" t="str">
        <f aca="false">B502&amp;"|"&amp;C502&amp;"|"&amp;D502</f>
        <v>4|A|G</v>
      </c>
      <c r="G502" s="45" t="n">
        <f aca="false">INDEX('Transition Stepwise'!$J$2:$J$1137,MATCH(F502,'Transition Stepwise'!$E$2:$E$1137,0))</f>
        <v>0.421052631578947</v>
      </c>
      <c r="H502" s="45" t="n">
        <f aca="false">INDEX(Background!$D$12:$D$27,MATCH(C502&amp;D502,Background!$E$12:$E$27,0))</f>
        <v>0.424884437596302</v>
      </c>
      <c r="I502" s="49" t="n">
        <f aca="false">LN(G502/H502)</f>
        <v>-0.00905937891612643</v>
      </c>
    </row>
    <row r="503" customFormat="false" ht="15" hidden="false" customHeight="true" outlineLevel="0" collapsed="false">
      <c r="A503" s="38" t="s">
        <v>34</v>
      </c>
      <c r="B503" s="38" t="n">
        <v>5</v>
      </c>
      <c r="C503" s="38" t="s">
        <v>169</v>
      </c>
      <c r="D503" s="38" t="s">
        <v>169</v>
      </c>
      <c r="E503" s="38" t="s">
        <v>875</v>
      </c>
      <c r="F503" s="38" t="str">
        <f aca="false">B503&amp;"|"&amp;C503&amp;"|"&amp;D503</f>
        <v>5|G|G</v>
      </c>
      <c r="G503" s="45" t="n">
        <f aca="false">INDEX('Transition Stepwise'!$J$2:$J$1137,MATCH(F503,'Transition Stepwise'!$E$2:$E$1137,0))</f>
        <v>0.301369863013699</v>
      </c>
      <c r="H503" s="45" t="n">
        <f aca="false">INDEX(Background!$D$12:$D$27,MATCH(C503&amp;D503,Background!$E$12:$E$27,0))</f>
        <v>0.344774477447745</v>
      </c>
      <c r="I503" s="49" t="n">
        <f aca="false">LN(G503/H503)</f>
        <v>-0.134552223534517</v>
      </c>
    </row>
    <row r="504" customFormat="false" ht="15" hidden="false" customHeight="true" outlineLevel="0" collapsed="false">
      <c r="A504" s="38" t="s">
        <v>34</v>
      </c>
      <c r="B504" s="38" t="n">
        <v>6</v>
      </c>
      <c r="C504" s="38" t="s">
        <v>169</v>
      </c>
      <c r="D504" s="38" t="s">
        <v>169</v>
      </c>
      <c r="E504" s="38" t="s">
        <v>875</v>
      </c>
      <c r="F504" s="38" t="str">
        <f aca="false">B504&amp;"|"&amp;C504&amp;"|"&amp;D504</f>
        <v>6|G|G</v>
      </c>
      <c r="G504" s="45" t="n">
        <f aca="false">INDEX('Transition Stepwise'!$J$2:$J$1137,MATCH(F504,'Transition Stepwise'!$E$2:$E$1137,0))</f>
        <v>0.461538461538462</v>
      </c>
      <c r="H504" s="45" t="n">
        <f aca="false">INDEX(Background!$D$12:$D$27,MATCH(C504&amp;D504,Background!$E$12:$E$27,0))</f>
        <v>0.344774477447745</v>
      </c>
      <c r="I504" s="49" t="n">
        <f aca="false">LN(G504/H504)</f>
        <v>0.291674876022077</v>
      </c>
    </row>
    <row r="505" customFormat="false" ht="15" hidden="false" customHeight="true" outlineLevel="0" collapsed="false">
      <c r="A505" s="38" t="s">
        <v>34</v>
      </c>
      <c r="B505" s="38" t="n">
        <v>7</v>
      </c>
      <c r="C505" s="38" t="s">
        <v>169</v>
      </c>
      <c r="D505" s="38" t="s">
        <v>171</v>
      </c>
      <c r="E505" s="38" t="s">
        <v>875</v>
      </c>
      <c r="F505" s="38" t="str">
        <f aca="false">B505&amp;"|"&amp;C505&amp;"|"&amp;D505</f>
        <v>7|G|U</v>
      </c>
      <c r="G505" s="45" t="n">
        <f aca="false">INDEX('Transition Stepwise'!$J$2:$J$1137,MATCH(F505,'Transition Stepwise'!$E$2:$E$1137,0))</f>
        <v>0.963302752293578</v>
      </c>
      <c r="H505" s="45" t="n">
        <f aca="false">INDEX(Background!$D$12:$D$27,MATCH(C505&amp;D505,Background!$E$12:$E$27,0))</f>
        <v>0.234763476347635</v>
      </c>
      <c r="I505" s="49" t="n">
        <f aca="false">LN(G505/H505)</f>
        <v>1.41178922323821</v>
      </c>
    </row>
    <row r="506" customFormat="false" ht="15" hidden="false" customHeight="true" outlineLevel="0" collapsed="false">
      <c r="A506" s="38" t="s">
        <v>34</v>
      </c>
      <c r="B506" s="38" t="n">
        <v>8</v>
      </c>
      <c r="C506" s="38" t="s">
        <v>171</v>
      </c>
      <c r="D506" s="38" t="s">
        <v>170</v>
      </c>
      <c r="E506" s="38" t="s">
        <v>875</v>
      </c>
      <c r="F506" s="38" t="str">
        <f aca="false">B506&amp;"|"&amp;C506&amp;"|"&amp;D506</f>
        <v>8|U|C</v>
      </c>
      <c r="G506" s="45" t="n">
        <f aca="false">INDEX('Transition Stepwise'!$J$2:$J$1137,MATCH(F506,'Transition Stepwise'!$E$2:$E$1137,0))</f>
        <v>0.035</v>
      </c>
      <c r="H506" s="45" t="n">
        <f aca="false">INDEX(Background!$D$12:$D$27,MATCH(C506&amp;D506,Background!$E$12:$E$27,0))</f>
        <v>0.377251501000667</v>
      </c>
      <c r="I506" s="49" t="n">
        <f aca="false">LN(G506/H506)</f>
        <v>-2.3775640149463</v>
      </c>
    </row>
    <row r="507" customFormat="false" ht="15" hidden="false" customHeight="true" outlineLevel="0" collapsed="false">
      <c r="A507" s="38" t="s">
        <v>34</v>
      </c>
      <c r="B507" s="38" t="n">
        <v>9</v>
      </c>
      <c r="C507" s="38" t="s">
        <v>170</v>
      </c>
      <c r="D507" s="38" t="s">
        <v>172</v>
      </c>
      <c r="E507" s="38" t="s">
        <v>875</v>
      </c>
      <c r="F507" s="38" t="str">
        <f aca="false">B507&amp;"|"&amp;C507&amp;"|"&amp;D507</f>
        <v>9|C|A</v>
      </c>
      <c r="G507" s="45" t="n">
        <f aca="false">INDEX('Transition Stepwise'!$J$2:$J$1137,MATCH(F507,'Transition Stepwise'!$E$2:$E$1137,0))</f>
        <v>0.0909090909090909</v>
      </c>
      <c r="H507" s="45" t="n">
        <f aca="false">INDEX(Background!$D$12:$D$27,MATCH(C507&amp;D507,Background!$E$12:$E$27,0))</f>
        <v>0.194883966244726</v>
      </c>
      <c r="I507" s="49" t="n">
        <f aca="false">LN(G507/H507)</f>
        <v>-0.76254433037166</v>
      </c>
    </row>
    <row r="508" customFormat="false" ht="15" hidden="false" customHeight="true" outlineLevel="0" collapsed="false">
      <c r="A508" s="38" t="s">
        <v>34</v>
      </c>
      <c r="B508" s="38" t="n">
        <v>10</v>
      </c>
      <c r="C508" s="38" t="s">
        <v>172</v>
      </c>
      <c r="D508" s="38" t="s">
        <v>172</v>
      </c>
      <c r="E508" s="38" t="s">
        <v>875</v>
      </c>
      <c r="F508" s="38" t="str">
        <f aca="false">B508&amp;"|"&amp;C508&amp;"|"&amp;D508</f>
        <v>10|A|A</v>
      </c>
      <c r="G508" s="45" t="n">
        <f aca="false">INDEX('Transition Stepwise'!$J$2:$J$1137,MATCH(F508,'Transition Stepwise'!$E$2:$E$1137,0))</f>
        <v>0.25</v>
      </c>
      <c r="H508" s="45" t="n">
        <f aca="false">INDEX(Background!$D$12:$D$27,MATCH(C508&amp;D508,Background!$E$12:$E$27,0))</f>
        <v>0.219568567026194</v>
      </c>
      <c r="I508" s="49" t="n">
        <f aca="false">LN(G508/H508)</f>
        <v>0.129796355875494</v>
      </c>
    </row>
    <row r="509" customFormat="false" ht="15" hidden="false" customHeight="true" outlineLevel="0" collapsed="false">
      <c r="A509" s="38" t="s">
        <v>34</v>
      </c>
      <c r="B509" s="38" t="n">
        <v>11</v>
      </c>
      <c r="C509" s="38" t="s">
        <v>172</v>
      </c>
      <c r="D509" s="38" t="s">
        <v>169</v>
      </c>
      <c r="E509" s="38" t="s">
        <v>875</v>
      </c>
      <c r="F509" s="38" t="str">
        <f aca="false">B509&amp;"|"&amp;C509&amp;"|"&amp;D509</f>
        <v>11|A|G</v>
      </c>
      <c r="G509" s="45" t="n">
        <f aca="false">INDEX('Transition Stepwise'!$J$2:$J$1137,MATCH(F509,'Transition Stepwise'!$E$2:$E$1137,0))</f>
        <v>0.454545454545455</v>
      </c>
      <c r="H509" s="45" t="n">
        <f aca="false">INDEX(Background!$D$12:$D$27,MATCH(C509&amp;D509,Background!$E$12:$E$27,0))</f>
        <v>0.424884437596302</v>
      </c>
      <c r="I509" s="49" t="n">
        <f aca="false">LN(G509/H509)</f>
        <v>0.0674806982062079</v>
      </c>
    </row>
    <row r="510" customFormat="false" ht="15" hidden="false" customHeight="true" outlineLevel="0" collapsed="false">
      <c r="A510" s="38" t="s">
        <v>34</v>
      </c>
      <c r="B510" s="38" t="n">
        <v>12</v>
      </c>
      <c r="C510" s="38" t="s">
        <v>169</v>
      </c>
      <c r="D510" s="38" t="s">
        <v>172</v>
      </c>
      <c r="E510" s="38" t="s">
        <v>875</v>
      </c>
      <c r="F510" s="38" t="str">
        <f aca="false">B510&amp;"|"&amp;C510&amp;"|"&amp;D510</f>
        <v>12|G|A</v>
      </c>
      <c r="G510" s="45" t="n">
        <f aca="false">INDEX('Transition Stepwise'!$J$2:$J$1137,MATCH(F510,'Transition Stepwise'!$E$2:$E$1137,0))</f>
        <v>0.142857142857143</v>
      </c>
      <c r="H510" s="45" t="n">
        <f aca="false">INDEX(Background!$D$12:$D$27,MATCH(C510&amp;D510,Background!$E$12:$E$27,0))</f>
        <v>0.164356435643564</v>
      </c>
      <c r="I510" s="49" t="n">
        <f aca="false">LN(G510/H510)</f>
        <v>-0.140192327576552</v>
      </c>
    </row>
    <row r="511" customFormat="false" ht="15" hidden="false" customHeight="true" outlineLevel="0" collapsed="false">
      <c r="A511" s="38" t="s">
        <v>34</v>
      </c>
      <c r="B511" s="38" t="n">
        <v>13</v>
      </c>
      <c r="C511" s="38" t="s">
        <v>172</v>
      </c>
      <c r="D511" s="38" t="s">
        <v>172</v>
      </c>
      <c r="E511" s="38" t="s">
        <v>875</v>
      </c>
      <c r="F511" s="38" t="str">
        <f aca="false">B511&amp;"|"&amp;C511&amp;"|"&amp;D511</f>
        <v>13|A|A</v>
      </c>
      <c r="G511" s="45" t="n">
        <f aca="false">INDEX('Transition Stepwise'!$J$2:$J$1137,MATCH(F511,'Transition Stepwise'!$E$2:$E$1137,0))</f>
        <v>0.764705882352941</v>
      </c>
      <c r="H511" s="45" t="n">
        <f aca="false">INDEX(Background!$D$12:$D$27,MATCH(C511&amp;D511,Background!$E$12:$E$27,0))</f>
        <v>0.219568567026194</v>
      </c>
      <c r="I511" s="49" t="n">
        <f aca="false">LN(G511/H511)</f>
        <v>1.24782673040071</v>
      </c>
    </row>
    <row r="512" customFormat="false" ht="15" hidden="false" customHeight="true" outlineLevel="0" collapsed="false">
      <c r="A512" s="38" t="s">
        <v>34</v>
      </c>
      <c r="B512" s="38" t="n">
        <v>14</v>
      </c>
      <c r="C512" s="38" t="s">
        <v>172</v>
      </c>
      <c r="D512" s="38" t="s">
        <v>172</v>
      </c>
      <c r="E512" s="38" t="s">
        <v>875</v>
      </c>
      <c r="F512" s="38" t="str">
        <f aca="false">B512&amp;"|"&amp;C512&amp;"|"&amp;D512</f>
        <v>14|A|A</v>
      </c>
      <c r="G512" s="45" t="n">
        <f aca="false">INDEX('Transition Stepwise'!$J$2:$J$1137,MATCH(F512,'Transition Stepwise'!$E$2:$E$1137,0))</f>
        <v>0.165</v>
      </c>
      <c r="H512" s="45" t="n">
        <f aca="false">INDEX(Background!$D$12:$D$27,MATCH(C512&amp;D512,Background!$E$12:$E$27,0))</f>
        <v>0.219568567026194</v>
      </c>
      <c r="I512" s="49" t="n">
        <f aca="false">LN(G512/H512)</f>
        <v>-0.285719088086172</v>
      </c>
    </row>
    <row r="513" customFormat="false" ht="15" hidden="false" customHeight="true" outlineLevel="0" collapsed="false">
      <c r="A513" s="38" t="s">
        <v>34</v>
      </c>
      <c r="B513" s="38" t="n">
        <v>15</v>
      </c>
      <c r="C513" s="38" t="s">
        <v>172</v>
      </c>
      <c r="D513" s="38" t="s">
        <v>176</v>
      </c>
      <c r="E513" s="40" t="s">
        <v>876</v>
      </c>
      <c r="F513" s="38"/>
      <c r="G513" s="38"/>
      <c r="H513" s="38"/>
      <c r="I513" s="38"/>
    </row>
    <row r="514" customFormat="false" ht="15" hidden="false" customHeight="true" outlineLevel="0" collapsed="false">
      <c r="A514" s="38" t="s">
        <v>34</v>
      </c>
      <c r="B514" s="38" t="n">
        <v>16</v>
      </c>
      <c r="C514" s="38" t="s">
        <v>176</v>
      </c>
      <c r="D514" s="38" t="s">
        <v>171</v>
      </c>
      <c r="E514" s="40" t="s">
        <v>876</v>
      </c>
      <c r="F514" s="38"/>
      <c r="G514" s="38"/>
      <c r="H514" s="38"/>
      <c r="I514" s="38"/>
    </row>
    <row r="515" customFormat="false" ht="15" hidden="false" customHeight="true" outlineLevel="0" collapsed="false">
      <c r="A515" s="38" t="s">
        <v>34</v>
      </c>
      <c r="B515" s="38" t="n">
        <v>17</v>
      </c>
      <c r="C515" s="38" t="s">
        <v>171</v>
      </c>
      <c r="D515" s="38" t="s">
        <v>169</v>
      </c>
      <c r="E515" s="38" t="s">
        <v>875</v>
      </c>
      <c r="F515" s="38" t="str">
        <f aca="false">B515&amp;"|"&amp;C515&amp;"|"&amp;D515</f>
        <v>17|U|G</v>
      </c>
      <c r="G515" s="45" t="n">
        <f aca="false">INDEX('Transition Stepwise'!$J$2:$J$1137,MATCH(F515,'Transition Stepwise'!$E$2:$E$1137,0))</f>
        <v>0.974358974358974</v>
      </c>
      <c r="H515" s="45" t="n">
        <f aca="false">INDEX(Background!$D$12:$D$27,MATCH(C515&amp;D515,Background!$E$12:$E$27,0))</f>
        <v>0.221480987324883</v>
      </c>
      <c r="I515" s="49" t="n">
        <f aca="false">LN(G515/H515)</f>
        <v>1.48144304278285</v>
      </c>
    </row>
    <row r="516" customFormat="false" ht="15" hidden="false" customHeight="true" outlineLevel="0" collapsed="false">
      <c r="A516" s="38" t="s">
        <v>34</v>
      </c>
      <c r="B516" s="38" t="n">
        <v>18</v>
      </c>
      <c r="C516" s="38" t="s">
        <v>169</v>
      </c>
      <c r="D516" s="38" t="s">
        <v>169</v>
      </c>
      <c r="E516" s="38" t="s">
        <v>875</v>
      </c>
      <c r="F516" s="38" t="str">
        <f aca="false">B516&amp;"|"&amp;C516&amp;"|"&amp;D516</f>
        <v>18|G|G</v>
      </c>
      <c r="G516" s="45" t="n">
        <f aca="false">INDEX('Transition Stepwise'!$J$2:$J$1137,MATCH(F516,'Transition Stepwise'!$E$2:$E$1137,0))</f>
        <v>0.975247524752475</v>
      </c>
      <c r="H516" s="45" t="n">
        <f aca="false">INDEX(Background!$D$12:$D$27,MATCH(C516&amp;D516,Background!$E$12:$E$27,0))</f>
        <v>0.344774477447745</v>
      </c>
      <c r="I516" s="49" t="n">
        <f aca="false">LN(G516/H516)</f>
        <v>1.03980079559234</v>
      </c>
    </row>
    <row r="517" customFormat="false" ht="15" hidden="false" customHeight="true" outlineLevel="0" collapsed="false">
      <c r="A517" s="38" t="s">
        <v>34</v>
      </c>
      <c r="B517" s="38" t="n">
        <v>19</v>
      </c>
      <c r="C517" s="38" t="s">
        <v>169</v>
      </c>
      <c r="D517" s="38" t="s">
        <v>172</v>
      </c>
      <c r="E517" s="38" t="s">
        <v>875</v>
      </c>
      <c r="F517" s="38" t="str">
        <f aca="false">B517&amp;"|"&amp;C517&amp;"|"&amp;D517</f>
        <v>19|G|A</v>
      </c>
      <c r="G517" s="45" t="n">
        <f aca="false">INDEX('Transition Stepwise'!$J$2:$J$1137,MATCH(F517,'Transition Stepwise'!$E$2:$E$1137,0))</f>
        <v>0.09</v>
      </c>
      <c r="H517" s="45" t="n">
        <f aca="false">INDEX(Background!$D$12:$D$27,MATCH(C517&amp;D517,Background!$E$12:$E$27,0))</f>
        <v>0.164356435643564</v>
      </c>
      <c r="I517" s="49" t="n">
        <f aca="false">LN(G517/H517)</f>
        <v>-0.60222778717311</v>
      </c>
    </row>
    <row r="518" customFormat="false" ht="15" hidden="false" customHeight="true" outlineLevel="0" collapsed="false">
      <c r="A518" s="38" t="s">
        <v>34</v>
      </c>
      <c r="B518" s="38" t="n">
        <v>20</v>
      </c>
      <c r="C518" s="38" t="s">
        <v>172</v>
      </c>
      <c r="D518" s="38" t="s">
        <v>171</v>
      </c>
      <c r="E518" s="38" t="s">
        <v>875</v>
      </c>
      <c r="F518" s="38" t="str">
        <f aca="false">B518&amp;"|"&amp;C518&amp;"|"&amp;D518</f>
        <v>20|A|U</v>
      </c>
      <c r="G518" s="45" t="n">
        <f aca="false">INDEX('Transition Stepwise'!$J$2:$J$1137,MATCH(F518,'Transition Stepwise'!$E$2:$E$1137,0))</f>
        <v>0.0952380952380952</v>
      </c>
      <c r="H518" s="45" t="n">
        <f aca="false">INDEX(Background!$D$12:$D$27,MATCH(C518&amp;D518,Background!$E$12:$E$27,0))</f>
        <v>0.194530046224961</v>
      </c>
      <c r="I518" s="49" t="n">
        <f aca="false">LN(G518/H518)</f>
        <v>-0.714206608614857</v>
      </c>
    </row>
    <row r="519" customFormat="false" ht="15" hidden="false" customHeight="true" outlineLevel="0" collapsed="false">
      <c r="A519" s="38" t="s">
        <v>34</v>
      </c>
      <c r="B519" s="38" t="n">
        <v>21</v>
      </c>
      <c r="C519" s="38" t="s">
        <v>171</v>
      </c>
      <c r="D519" s="38" t="s">
        <v>171</v>
      </c>
      <c r="E519" s="38" t="s">
        <v>875</v>
      </c>
      <c r="F519" s="38" t="str">
        <f aca="false">B519&amp;"|"&amp;C519&amp;"|"&amp;D519</f>
        <v>21|U|U</v>
      </c>
      <c r="G519" s="45" t="n">
        <f aca="false">INDEX('Transition Stepwise'!$J$2:$J$1137,MATCH(F519,'Transition Stepwise'!$E$2:$E$1137,0))</f>
        <v>0.285714285714286</v>
      </c>
      <c r="H519" s="45" t="n">
        <f aca="false">INDEX(Background!$D$12:$D$27,MATCH(C519&amp;D519,Background!$E$12:$E$27,0))</f>
        <v>0.220480320213476</v>
      </c>
      <c r="I519" s="49" t="n">
        <f aca="false">LN(G519/H519)</f>
        <v>0.259183870315489</v>
      </c>
    </row>
    <row r="520" customFormat="false" ht="15" hidden="false" customHeight="true" outlineLevel="0" collapsed="false">
      <c r="A520" s="38" t="s">
        <v>34</v>
      </c>
      <c r="B520" s="38" t="n">
        <v>22</v>
      </c>
      <c r="C520" s="38" t="s">
        <v>171</v>
      </c>
      <c r="D520" s="38" t="s">
        <v>170</v>
      </c>
      <c r="E520" s="38" t="s">
        <v>875</v>
      </c>
      <c r="F520" s="38" t="str">
        <f aca="false">B520&amp;"|"&amp;C520&amp;"|"&amp;D520</f>
        <v>22|U|C</v>
      </c>
      <c r="G520" s="45" t="n">
        <f aca="false">INDEX('Transition Stepwise'!$J$2:$J$1137,MATCH(F520,'Transition Stepwise'!$E$2:$E$1137,0))</f>
        <v>0.333333333333333</v>
      </c>
      <c r="H520" s="45" t="n">
        <f aca="false">INDEX(Background!$D$12:$D$27,MATCH(C520&amp;D520,Background!$E$12:$E$27,0))</f>
        <v>0.377251501000667</v>
      </c>
      <c r="I520" s="49" t="n">
        <f aca="false">LN(G520/H520)</f>
        <v>-0.123769086121687</v>
      </c>
    </row>
    <row r="521" customFormat="false" ht="15" hidden="false" customHeight="true" outlineLevel="0" collapsed="false">
      <c r="A521" s="38" t="s">
        <v>34</v>
      </c>
      <c r="B521" s="38" t="n">
        <v>23</v>
      </c>
      <c r="C521" s="38" t="s">
        <v>170</v>
      </c>
      <c r="D521" s="38" t="s">
        <v>172</v>
      </c>
      <c r="E521" s="38" t="s">
        <v>875</v>
      </c>
      <c r="F521" s="38" t="str">
        <f aca="false">B521&amp;"|"&amp;C521&amp;"|"&amp;D521</f>
        <v>23|C|A</v>
      </c>
      <c r="G521" s="45" t="n">
        <f aca="false">INDEX('Transition Stepwise'!$J$2:$J$1137,MATCH(F521,'Transition Stepwise'!$E$2:$E$1137,0))</f>
        <v>0.285714285714286</v>
      </c>
      <c r="H521" s="45" t="n">
        <f aca="false">INDEX(Background!$D$12:$D$27,MATCH(C521&amp;D521,Background!$E$12:$E$27,0))</f>
        <v>0.194883966244726</v>
      </c>
      <c r="I521" s="49" t="n">
        <f aca="false">LN(G521/H521)</f>
        <v>0.382587973931343</v>
      </c>
    </row>
    <row r="522" customFormat="false" ht="15" hidden="false" customHeight="true" outlineLevel="0" collapsed="false">
      <c r="A522" s="38" t="s">
        <v>34</v>
      </c>
      <c r="B522" s="38" t="n">
        <v>24</v>
      </c>
      <c r="C522" s="38" t="s">
        <v>172</v>
      </c>
      <c r="D522" s="38" t="s">
        <v>171</v>
      </c>
      <c r="E522" s="38" t="s">
        <v>875</v>
      </c>
      <c r="F522" s="38" t="str">
        <f aca="false">B522&amp;"|"&amp;C522&amp;"|"&amp;D522</f>
        <v>24|A|U</v>
      </c>
      <c r="G522" s="45" t="n">
        <f aca="false">INDEX('Transition Stepwise'!$J$2:$J$1137,MATCH(F522,'Transition Stepwise'!$E$2:$E$1137,0))</f>
        <v>0.268292682926829</v>
      </c>
      <c r="H522" s="45" t="n">
        <f aca="false">INDEX(Background!$D$12:$D$27,MATCH(C522&amp;D522,Background!$E$12:$E$27,0))</f>
        <v>0.194530046224961</v>
      </c>
      <c r="I522" s="49" t="n">
        <f aca="false">LN(G522/H522)</f>
        <v>0.321491854642684</v>
      </c>
    </row>
    <row r="523" customFormat="false" ht="15" hidden="false" customHeight="true" outlineLevel="0" collapsed="false">
      <c r="A523" s="38" t="s">
        <v>34</v>
      </c>
      <c r="B523" s="38" t="n">
        <v>25</v>
      </c>
      <c r="C523" s="38" t="s">
        <v>171</v>
      </c>
      <c r="D523" s="38" t="s">
        <v>171</v>
      </c>
      <c r="E523" s="38" t="s">
        <v>875</v>
      </c>
      <c r="F523" s="38" t="str">
        <f aca="false">B523&amp;"|"&amp;C523&amp;"|"&amp;D523</f>
        <v>25|U|U</v>
      </c>
      <c r="G523" s="45" t="n">
        <f aca="false">INDEX('Transition Stepwise'!$J$2:$J$1137,MATCH(F523,'Transition Stepwise'!$E$2:$E$1137,0))</f>
        <v>0.166666666666667</v>
      </c>
      <c r="H523" s="45" t="n">
        <f aca="false">INDEX(Background!$D$12:$D$27,MATCH(C523&amp;D523,Background!$E$12:$E$27,0))</f>
        <v>0.220480320213476</v>
      </c>
      <c r="I523" s="49" t="n">
        <f aca="false">LN(G523/H523)</f>
        <v>-0.279812630417198</v>
      </c>
    </row>
    <row r="524" customFormat="false" ht="15" hidden="false" customHeight="true" outlineLevel="0" collapsed="false">
      <c r="A524" s="38" t="s">
        <v>34</v>
      </c>
      <c r="B524" s="38" t="n">
        <v>26</v>
      </c>
      <c r="C524" s="38" t="s">
        <v>171</v>
      </c>
      <c r="D524" s="38" t="s">
        <v>171</v>
      </c>
      <c r="E524" s="38" t="s">
        <v>875</v>
      </c>
      <c r="F524" s="38" t="str">
        <f aca="false">B524&amp;"|"&amp;C524&amp;"|"&amp;D524</f>
        <v>26|U|U</v>
      </c>
      <c r="G524" s="45" t="n">
        <f aca="false">INDEX('Transition Stepwise'!$J$2:$J$1137,MATCH(F524,'Transition Stepwise'!$E$2:$E$1137,0))</f>
        <v>0.266666666666667</v>
      </c>
      <c r="H524" s="45" t="n">
        <f aca="false">INDEX(Background!$D$12:$D$27,MATCH(C524&amp;D524,Background!$E$12:$E$27,0))</f>
        <v>0.220480320213476</v>
      </c>
      <c r="I524" s="49" t="n">
        <f aca="false">LN(G524/H524)</f>
        <v>0.190190998828537</v>
      </c>
    </row>
    <row r="525" customFormat="false" ht="15" hidden="false" customHeight="true" outlineLevel="0" collapsed="false">
      <c r="A525" s="38" t="s">
        <v>34</v>
      </c>
      <c r="B525" s="38" t="n">
        <v>27</v>
      </c>
      <c r="C525" s="38" t="s">
        <v>171</v>
      </c>
      <c r="D525" s="38" t="s">
        <v>169</v>
      </c>
      <c r="E525" s="38" t="s">
        <v>875</v>
      </c>
      <c r="F525" s="38" t="str">
        <f aca="false">B525&amp;"|"&amp;C525&amp;"|"&amp;D525</f>
        <v>27|U|G</v>
      </c>
      <c r="G525" s="45" t="n">
        <f aca="false">INDEX('Transition Stepwise'!$J$2:$J$1137,MATCH(F525,'Transition Stepwise'!$E$2:$E$1137,0))</f>
        <v>0.109090909090909</v>
      </c>
      <c r="H525" s="45" t="n">
        <f aca="false">INDEX(Background!$D$12:$D$27,MATCH(C525&amp;D525,Background!$E$12:$E$27,0))</f>
        <v>0.221480987324883</v>
      </c>
      <c r="I525" s="49" t="n">
        <f aca="false">LN(G525/H525)</f>
        <v>-0.708155186818307</v>
      </c>
    </row>
    <row r="526" customFormat="false" ht="15" hidden="false" customHeight="true" outlineLevel="0" collapsed="false">
      <c r="A526" s="38" t="s">
        <v>34</v>
      </c>
      <c r="B526" s="38" t="n">
        <v>28</v>
      </c>
      <c r="C526" s="38" t="s">
        <v>169</v>
      </c>
      <c r="D526" s="38" t="s">
        <v>171</v>
      </c>
      <c r="E526" s="38" t="s">
        <v>875</v>
      </c>
      <c r="F526" s="38" t="str">
        <f aca="false">B526&amp;"|"&amp;C526&amp;"|"&amp;D526</f>
        <v>28|G|U</v>
      </c>
      <c r="G526" s="45" t="n">
        <f aca="false">INDEX('Transition Stepwise'!$J$2:$J$1137,MATCH(F526,'Transition Stepwise'!$E$2:$E$1137,0))</f>
        <v>0.0769230769230769</v>
      </c>
      <c r="H526" s="45" t="n">
        <f aca="false">INDEX(Background!$D$12:$D$27,MATCH(C526&amp;D526,Background!$E$12:$E$27,0))</f>
        <v>0.234763476347635</v>
      </c>
      <c r="I526" s="49" t="n">
        <f aca="false">LN(G526/H526)</f>
        <v>-1.11577260215171</v>
      </c>
    </row>
    <row r="527" customFormat="false" ht="15" hidden="false" customHeight="true" outlineLevel="0" collapsed="false">
      <c r="A527" s="38" t="s">
        <v>34</v>
      </c>
      <c r="B527" s="38" t="n">
        <v>29</v>
      </c>
      <c r="C527" s="38" t="s">
        <v>171</v>
      </c>
      <c r="D527" s="38" t="s">
        <v>172</v>
      </c>
      <c r="E527" s="38" t="s">
        <v>875</v>
      </c>
      <c r="F527" s="38" t="str">
        <f aca="false">B527&amp;"|"&amp;C527&amp;"|"&amp;D527</f>
        <v>29|U|A</v>
      </c>
      <c r="G527" s="45" t="n">
        <f aca="false">INDEX('Transition Stepwise'!$J$2:$J$1137,MATCH(F527,'Transition Stepwise'!$E$2:$E$1137,0))</f>
        <v>0.0169491525423729</v>
      </c>
      <c r="H527" s="45" t="n">
        <f aca="false">INDEX(Background!$D$12:$D$27,MATCH(C527&amp;D527,Background!$E$12:$E$27,0))</f>
        <v>0.180787191460974</v>
      </c>
      <c r="I527" s="49" t="n">
        <f aca="false">LN(G527/H527)</f>
        <v>-2.36710276668282</v>
      </c>
    </row>
    <row r="528" customFormat="false" ht="15" hidden="false" customHeight="true" outlineLevel="0" collapsed="false">
      <c r="A528" s="38" t="s">
        <v>34</v>
      </c>
      <c r="B528" s="38" t="n">
        <v>30</v>
      </c>
      <c r="C528" s="38" t="s">
        <v>172</v>
      </c>
      <c r="D528" s="38" t="s">
        <v>169</v>
      </c>
      <c r="E528" s="38" t="s">
        <v>875</v>
      </c>
      <c r="F528" s="38" t="str">
        <f aca="false">B528&amp;"|"&amp;C528&amp;"|"&amp;D528</f>
        <v>30|A|G</v>
      </c>
      <c r="G528" s="45" t="n">
        <f aca="false">INDEX('Transition Stepwise'!$J$2:$J$1137,MATCH(F528,'Transition Stepwise'!$E$2:$E$1137,0))</f>
        <v>0.25</v>
      </c>
      <c r="H528" s="45" t="n">
        <f aca="false">INDEX(Background!$D$12:$D$27,MATCH(C528&amp;D528,Background!$E$12:$E$27,0))</f>
        <v>0.424884437596302</v>
      </c>
      <c r="I528" s="49" t="n">
        <f aca="false">LN(G528/H528)</f>
        <v>-0.530356302549413</v>
      </c>
    </row>
    <row r="529" customFormat="false" ht="15" hidden="false" customHeight="true" outlineLevel="0" collapsed="false">
      <c r="A529" s="38" t="s">
        <v>34</v>
      </c>
      <c r="B529" s="38" t="n">
        <v>31</v>
      </c>
      <c r="C529" s="38" t="s">
        <v>169</v>
      </c>
      <c r="D529" s="38" t="s">
        <v>171</v>
      </c>
      <c r="E529" s="38" t="s">
        <v>875</v>
      </c>
      <c r="F529" s="38" t="str">
        <f aca="false">B529&amp;"|"&amp;C529&amp;"|"&amp;D529</f>
        <v>31|G|U</v>
      </c>
      <c r="G529" s="45" t="n">
        <f aca="false">INDEX('Transition Stepwise'!$J$2:$J$1137,MATCH(F529,'Transition Stepwise'!$E$2:$E$1137,0))</f>
        <v>0.362068965517241</v>
      </c>
      <c r="H529" s="45" t="n">
        <f aca="false">INDEX(Background!$D$12:$D$27,MATCH(C529&amp;D529,Background!$E$12:$E$27,0))</f>
        <v>0.234763476347635</v>
      </c>
      <c r="I529" s="49" t="n">
        <f aca="false">LN(G529/H529)</f>
        <v>0.43325618248683</v>
      </c>
    </row>
    <row r="530" customFormat="false" ht="15" hidden="false" customHeight="true" outlineLevel="0" collapsed="false">
      <c r="A530" s="38" t="s">
        <v>34</v>
      </c>
      <c r="B530" s="38" t="n">
        <v>32</v>
      </c>
      <c r="C530" s="38" t="s">
        <v>171</v>
      </c>
      <c r="D530" s="38" t="s">
        <v>171</v>
      </c>
      <c r="E530" s="38" t="s">
        <v>875</v>
      </c>
      <c r="F530" s="38" t="str">
        <f aca="false">B530&amp;"|"&amp;C530&amp;"|"&amp;D530</f>
        <v>32|U|U</v>
      </c>
      <c r="G530" s="45" t="n">
        <f aca="false">INDEX('Transition Stepwise'!$J$2:$J$1137,MATCH(F530,'Transition Stepwise'!$E$2:$E$1137,0))</f>
        <v>0.936507936507937</v>
      </c>
      <c r="H530" s="45" t="n">
        <f aca="false">INDEX(Background!$D$12:$D$27,MATCH(C530&amp;D530,Background!$E$12:$E$27,0))</f>
        <v>0.220480320213476</v>
      </c>
      <c r="I530" s="49" t="n">
        <f aca="false">LN(G530/H530)</f>
        <v>1.44634955632504</v>
      </c>
    </row>
    <row r="531" customFormat="false" ht="15" hidden="false" customHeight="true" outlineLevel="0" collapsed="false">
      <c r="A531" s="38" t="s">
        <v>34</v>
      </c>
      <c r="B531" s="38" t="n">
        <v>33</v>
      </c>
      <c r="C531" s="38" t="s">
        <v>171</v>
      </c>
      <c r="D531" s="38" t="s">
        <v>171</v>
      </c>
      <c r="E531" s="38" t="s">
        <v>875</v>
      </c>
      <c r="F531" s="38" t="str">
        <f aca="false">B531&amp;"|"&amp;C531&amp;"|"&amp;D531</f>
        <v>33|U|U</v>
      </c>
      <c r="G531" s="45" t="n">
        <f aca="false">INDEX('Transition Stepwise'!$J$2:$J$1137,MATCH(F531,'Transition Stepwise'!$E$2:$E$1137,0))</f>
        <v>0.293532338308458</v>
      </c>
      <c r="H531" s="45" t="n">
        <f aca="false">INDEX(Background!$D$12:$D$27,MATCH(C531&amp;D531,Background!$E$12:$E$27,0))</f>
        <v>0.220480320213476</v>
      </c>
      <c r="I531" s="49" t="n">
        <f aca="false">LN(G531/H531)</f>
        <v>0.2861793746575</v>
      </c>
    </row>
    <row r="532" customFormat="false" ht="15" hidden="false" customHeight="true" outlineLevel="0" collapsed="false">
      <c r="A532" s="38" t="s">
        <v>34</v>
      </c>
      <c r="B532" s="38" t="n">
        <v>34</v>
      </c>
      <c r="C532" s="38" t="s">
        <v>171</v>
      </c>
      <c r="D532" s="38" t="s">
        <v>170</v>
      </c>
      <c r="E532" s="38" t="s">
        <v>875</v>
      </c>
      <c r="F532" s="38" t="str">
        <f aca="false">B532&amp;"|"&amp;C532&amp;"|"&amp;D532</f>
        <v>34|U|C</v>
      </c>
      <c r="G532" s="45" t="n">
        <f aca="false">INDEX('Transition Stepwise'!$J$2:$J$1137,MATCH(F532,'Transition Stepwise'!$E$2:$E$1137,0))</f>
        <v>0.225806451612903</v>
      </c>
      <c r="H532" s="45" t="n">
        <f aca="false">INDEX(Background!$D$12:$D$27,MATCH(C532&amp;D532,Background!$E$12:$E$27,0))</f>
        <v>0.377251501000667</v>
      </c>
      <c r="I532" s="49" t="n">
        <f aca="false">LN(G532/H532)</f>
        <v>-0.513233852883411</v>
      </c>
    </row>
    <row r="533" customFormat="false" ht="15" hidden="false" customHeight="true" outlineLevel="0" collapsed="false">
      <c r="A533" s="38" t="s">
        <v>34</v>
      </c>
      <c r="B533" s="38" t="n">
        <v>35</v>
      </c>
      <c r="C533" s="38" t="s">
        <v>170</v>
      </c>
      <c r="D533" s="38" t="s">
        <v>172</v>
      </c>
      <c r="E533" s="38" t="s">
        <v>875</v>
      </c>
      <c r="F533" s="38" t="str">
        <f aca="false">B533&amp;"|"&amp;C533&amp;"|"&amp;D533</f>
        <v>35|C|A</v>
      </c>
      <c r="G533" s="45" t="n">
        <f aca="false">INDEX('Transition Stepwise'!$J$2:$J$1137,MATCH(F533,'Transition Stepwise'!$E$2:$E$1137,0))</f>
        <v>0.42</v>
      </c>
      <c r="H533" s="45" t="n">
        <f aca="false">INDEX(Background!$D$12:$D$27,MATCH(C533&amp;D533,Background!$E$12:$E$27,0))</f>
        <v>0.194883966244726</v>
      </c>
      <c r="I533" s="49" t="n">
        <f aca="false">LN(G533/H533)</f>
        <v>0.767850374721988</v>
      </c>
    </row>
    <row r="534" customFormat="false" ht="15" hidden="false" customHeight="true" outlineLevel="0" collapsed="false">
      <c r="A534" s="38" t="s">
        <v>34</v>
      </c>
      <c r="B534" s="38" t="n">
        <v>36</v>
      </c>
      <c r="C534" s="38" t="s">
        <v>172</v>
      </c>
      <c r="D534" s="38" t="s">
        <v>172</v>
      </c>
      <c r="E534" s="38" t="s">
        <v>875</v>
      </c>
      <c r="F534" s="38" t="str">
        <f aca="false">B534&amp;"|"&amp;C534&amp;"|"&amp;D534</f>
        <v>36|A|A</v>
      </c>
      <c r="G534" s="45" t="n">
        <f aca="false">INDEX('Transition Stepwise'!$J$2:$J$1137,MATCH(F534,'Transition Stepwise'!$E$2:$E$1137,0))</f>
        <v>0.553191489361702</v>
      </c>
      <c r="H534" s="45" t="n">
        <f aca="false">INDEX(Background!$D$12:$D$27,MATCH(C534&amp;D534,Background!$E$12:$E$27,0))</f>
        <v>0.219568567026194</v>
      </c>
      <c r="I534" s="49" t="n">
        <f aca="false">LN(G534/H534)</f>
        <v>0.924039653306808</v>
      </c>
    </row>
    <row r="535" customFormat="false" ht="15" hidden="false" customHeight="true" outlineLevel="0" collapsed="false">
      <c r="A535" s="38" t="s">
        <v>34</v>
      </c>
      <c r="B535" s="38" t="n">
        <v>37</v>
      </c>
      <c r="C535" s="38" t="s">
        <v>172</v>
      </c>
      <c r="D535" s="38" t="s">
        <v>172</v>
      </c>
      <c r="E535" s="38" t="s">
        <v>875</v>
      </c>
      <c r="F535" s="38" t="str">
        <f aca="false">B535&amp;"|"&amp;C535&amp;"|"&amp;D535</f>
        <v>37|A|A</v>
      </c>
      <c r="G535" s="45" t="n">
        <f aca="false">INDEX('Transition Stepwise'!$J$2:$J$1137,MATCH(F535,'Transition Stepwise'!$E$2:$E$1137,0))</f>
        <v>0.746753246753247</v>
      </c>
      <c r="H535" s="45" t="n">
        <f aca="false">INDEX(Background!$D$12:$D$27,MATCH(C535&amp;D535,Background!$E$12:$E$27,0))</f>
        <v>0.219568567026194</v>
      </c>
      <c r="I535" s="49" t="n">
        <f aca="false">LN(G535/H535)</f>
        <v>1.22407024294501</v>
      </c>
    </row>
    <row r="536" customFormat="false" ht="15" hidden="false" customHeight="true" outlineLevel="0" collapsed="false">
      <c r="A536" s="38" t="s">
        <v>34</v>
      </c>
      <c r="B536" s="38" t="n">
        <v>38</v>
      </c>
      <c r="C536" s="38" t="s">
        <v>172</v>
      </c>
      <c r="D536" s="38" t="s">
        <v>171</v>
      </c>
      <c r="E536" s="38" t="s">
        <v>875</v>
      </c>
      <c r="F536" s="38" t="str">
        <f aca="false">B536&amp;"|"&amp;C536&amp;"|"&amp;D536</f>
        <v>38|A|U</v>
      </c>
      <c r="G536" s="45" t="n">
        <f aca="false">INDEX('Transition Stepwise'!$J$2:$J$1137,MATCH(F536,'Transition Stepwise'!$E$2:$E$1137,0))</f>
        <v>0.34</v>
      </c>
      <c r="H536" s="45" t="n">
        <f aca="false">INDEX(Background!$D$12:$D$27,MATCH(C536&amp;D536,Background!$E$12:$E$27,0))</f>
        <v>0.194530046224961</v>
      </c>
      <c r="I536" s="49" t="n">
        <f aca="false">LN(G536/H536)</f>
        <v>0.558358987176691</v>
      </c>
    </row>
    <row r="537" customFormat="false" ht="15" hidden="false" customHeight="true" outlineLevel="0" collapsed="false">
      <c r="A537" s="38" t="s">
        <v>34</v>
      </c>
      <c r="B537" s="38" t="n">
        <v>39</v>
      </c>
      <c r="C537" s="38" t="s">
        <v>171</v>
      </c>
      <c r="D537" s="38" t="s">
        <v>171</v>
      </c>
      <c r="E537" s="38" t="s">
        <v>875</v>
      </c>
      <c r="F537" s="38" t="str">
        <f aca="false">B537&amp;"|"&amp;C537&amp;"|"&amp;D537</f>
        <v>39|U|U</v>
      </c>
      <c r="G537" s="45" t="n">
        <f aca="false">INDEX('Transition Stepwise'!$J$2:$J$1137,MATCH(F537,'Transition Stepwise'!$E$2:$E$1137,0))</f>
        <v>0.0317460317460317</v>
      </c>
      <c r="H537" s="45" t="n">
        <f aca="false">INDEX(Background!$D$12:$D$27,MATCH(C537&amp;D537,Background!$E$12:$E$27,0))</f>
        <v>0.220480320213476</v>
      </c>
      <c r="I537" s="49" t="n">
        <f aca="false">LN(G537/H537)</f>
        <v>-1.93804070702073</v>
      </c>
    </row>
    <row r="538" customFormat="false" ht="15" hidden="false" customHeight="true" outlineLevel="0" collapsed="false">
      <c r="A538" s="38" t="s">
        <v>34</v>
      </c>
      <c r="B538" s="38" t="n">
        <v>40</v>
      </c>
      <c r="C538" s="38" t="s">
        <v>171</v>
      </c>
      <c r="D538" s="38" t="s">
        <v>172</v>
      </c>
      <c r="E538" s="38" t="s">
        <v>875</v>
      </c>
      <c r="F538" s="38" t="str">
        <f aca="false">B538&amp;"|"&amp;C538&amp;"|"&amp;D538</f>
        <v>40|U|A</v>
      </c>
      <c r="G538" s="45" t="n">
        <f aca="false">INDEX('Transition Stepwise'!$J$2:$J$1137,MATCH(F538,'Transition Stepwise'!$E$2:$E$1137,0))</f>
        <v>0.25</v>
      </c>
      <c r="H538" s="45" t="n">
        <f aca="false">INDEX(Background!$D$12:$D$27,MATCH(C538&amp;D538,Background!$E$12:$E$27,0))</f>
        <v>0.180787191460974</v>
      </c>
      <c r="I538" s="49" t="n">
        <f aca="false">LN(G538/H538)</f>
        <v>0.324140316103006</v>
      </c>
    </row>
    <row r="539" customFormat="false" ht="15" hidden="false" customHeight="true" outlineLevel="0" collapsed="false">
      <c r="A539" s="38" t="s">
        <v>34</v>
      </c>
      <c r="B539" s="38" t="n">
        <v>41</v>
      </c>
      <c r="C539" s="38" t="s">
        <v>172</v>
      </c>
      <c r="D539" s="38" t="s">
        <v>170</v>
      </c>
      <c r="E539" s="38" t="s">
        <v>875</v>
      </c>
      <c r="F539" s="38" t="str">
        <f aca="false">B539&amp;"|"&amp;C539&amp;"|"&amp;D539</f>
        <v>41|A|C</v>
      </c>
      <c r="G539" s="45" t="n">
        <f aca="false">INDEX('Transition Stepwise'!$J$2:$J$1137,MATCH(F539,'Transition Stepwise'!$E$2:$E$1137,0))</f>
        <v>0.0344827586206897</v>
      </c>
      <c r="H539" s="45" t="n">
        <f aca="false">INDEX(Background!$D$12:$D$27,MATCH(C539&amp;D539,Background!$E$12:$E$27,0))</f>
        <v>0.161016949152542</v>
      </c>
      <c r="I539" s="49" t="n">
        <f aca="false">LN(G539/H539)</f>
        <v>-1.54105018468725</v>
      </c>
    </row>
    <row r="540" customFormat="false" ht="15" hidden="false" customHeight="true" outlineLevel="0" collapsed="false">
      <c r="A540" s="38" t="s">
        <v>34</v>
      </c>
      <c r="B540" s="38" t="n">
        <v>42</v>
      </c>
      <c r="C540" s="38" t="s">
        <v>170</v>
      </c>
      <c r="D540" s="38" t="s">
        <v>172</v>
      </c>
      <c r="E540" s="38" t="s">
        <v>875</v>
      </c>
      <c r="F540" s="38" t="str">
        <f aca="false">B540&amp;"|"&amp;C540&amp;"|"&amp;D540</f>
        <v>42|C|A</v>
      </c>
      <c r="G540" s="45" t="n">
        <f aca="false">INDEX('Transition Stepwise'!$J$2:$J$1137,MATCH(F540,'Transition Stepwise'!$E$2:$E$1137,0))</f>
        <v>0.25</v>
      </c>
      <c r="H540" s="45" t="n">
        <f aca="false">INDEX(Background!$D$12:$D$27,MATCH(C540&amp;D540,Background!$E$12:$E$27,0))</f>
        <v>0.194883966244726</v>
      </c>
      <c r="I540" s="49" t="n">
        <f aca="false">LN(G540/H540)</f>
        <v>0.24905658130682</v>
      </c>
    </row>
    <row r="541" customFormat="false" ht="15" hidden="false" customHeight="true" outlineLevel="0" collapsed="false">
      <c r="A541" s="38" t="s">
        <v>34</v>
      </c>
      <c r="B541" s="38" t="n">
        <v>43</v>
      </c>
      <c r="C541" s="38" t="s">
        <v>172</v>
      </c>
      <c r="D541" s="38" t="s">
        <v>169</v>
      </c>
      <c r="E541" s="38" t="s">
        <v>875</v>
      </c>
      <c r="F541" s="38" t="str">
        <f aca="false">B541&amp;"|"&amp;C541&amp;"|"&amp;D541</f>
        <v>43|A|G</v>
      </c>
      <c r="G541" s="45" t="n">
        <f aca="false">INDEX('Transition Stepwise'!$J$2:$J$1137,MATCH(F541,'Transition Stepwise'!$E$2:$E$1137,0))</f>
        <v>0.285714285714286</v>
      </c>
      <c r="H541" s="45" t="n">
        <f aca="false">INDEX(Background!$D$12:$D$27,MATCH(C541&amp;D541,Background!$E$12:$E$27,0))</f>
        <v>0.424884437596302</v>
      </c>
      <c r="I541" s="49" t="n">
        <f aca="false">LN(G541/H541)</f>
        <v>-0.39682490992489</v>
      </c>
    </row>
    <row r="542" customFormat="false" ht="15" hidden="false" customHeight="true" outlineLevel="0" collapsed="false">
      <c r="A542" s="38" t="s">
        <v>34</v>
      </c>
      <c r="B542" s="38" t="n">
        <v>44</v>
      </c>
      <c r="C542" s="38" t="s">
        <v>169</v>
      </c>
      <c r="D542" s="38" t="s">
        <v>171</v>
      </c>
      <c r="E542" s="38" t="s">
        <v>875</v>
      </c>
      <c r="F542" s="38" t="str">
        <f aca="false">B542&amp;"|"&amp;C542&amp;"|"&amp;D542</f>
        <v>44|G|U</v>
      </c>
      <c r="G542" s="45" t="n">
        <f aca="false">INDEX('Transition Stepwise'!$J$2:$J$1137,MATCH(F542,'Transition Stepwise'!$E$2:$E$1137,0))</f>
        <v>0.16</v>
      </c>
      <c r="H542" s="45" t="n">
        <f aca="false">INDEX(Background!$D$12:$D$27,MATCH(C542&amp;D542,Background!$E$12:$E$27,0))</f>
        <v>0.234763476347635</v>
      </c>
      <c r="I542" s="49" t="n">
        <f aca="false">LN(G542/H542)</f>
        <v>-0.383404708438484</v>
      </c>
    </row>
    <row r="543" customFormat="false" ht="15" hidden="false" customHeight="true" outlineLevel="0" collapsed="false">
      <c r="A543" s="38" t="s">
        <v>34</v>
      </c>
      <c r="B543" s="38" t="n">
        <v>45</v>
      </c>
      <c r="C543" s="38" t="s">
        <v>171</v>
      </c>
      <c r="D543" s="38" t="s">
        <v>176</v>
      </c>
      <c r="E543" s="40" t="s">
        <v>876</v>
      </c>
      <c r="F543" s="38"/>
      <c r="G543" s="38"/>
      <c r="H543" s="38"/>
      <c r="I543" s="38"/>
    </row>
    <row r="544" customFormat="false" ht="15" hidden="false" customHeight="true" outlineLevel="0" collapsed="false">
      <c r="A544" s="38" t="s">
        <v>34</v>
      </c>
      <c r="B544" s="38" t="n">
        <v>46</v>
      </c>
      <c r="C544" s="38" t="s">
        <v>176</v>
      </c>
      <c r="D544" s="38" t="s">
        <v>171</v>
      </c>
      <c r="E544" s="40" t="s">
        <v>876</v>
      </c>
      <c r="F544" s="38"/>
      <c r="G544" s="38"/>
      <c r="H544" s="38"/>
      <c r="I544" s="38"/>
    </row>
    <row r="545" customFormat="false" ht="15" hidden="false" customHeight="true" outlineLevel="0" collapsed="false">
      <c r="A545" s="38" t="s">
        <v>34</v>
      </c>
      <c r="B545" s="38" t="n">
        <v>47</v>
      </c>
      <c r="C545" s="38" t="s">
        <v>171</v>
      </c>
      <c r="D545" s="38" t="s">
        <v>171</v>
      </c>
      <c r="E545" s="38" t="s">
        <v>875</v>
      </c>
      <c r="F545" s="38" t="str">
        <f aca="false">B545&amp;"|"&amp;C545&amp;"|"&amp;D545</f>
        <v>47|U|U</v>
      </c>
      <c r="G545" s="45" t="n">
        <f aca="false">INDEX('Transition Stepwise'!$J$2:$J$1137,MATCH(F545,'Transition Stepwise'!$E$2:$E$1137,0))</f>
        <v>0.123188405797101</v>
      </c>
      <c r="H545" s="45" t="n">
        <f aca="false">INDEX(Background!$D$12:$D$27,MATCH(C545&amp;D545,Background!$E$12:$E$27,0))</f>
        <v>0.220480320213476</v>
      </c>
      <c r="I545" s="49" t="n">
        <f aca="false">LN(G545/H545)</f>
        <v>-0.582093502290132</v>
      </c>
    </row>
    <row r="546" customFormat="false" ht="15" hidden="false" customHeight="true" outlineLevel="0" collapsed="false">
      <c r="A546" s="38" t="s">
        <v>34</v>
      </c>
      <c r="B546" s="38" t="n">
        <v>48</v>
      </c>
      <c r="C546" s="38" t="s">
        <v>171</v>
      </c>
      <c r="D546" s="38" t="s">
        <v>171</v>
      </c>
      <c r="E546" s="38" t="s">
        <v>875</v>
      </c>
      <c r="F546" s="38" t="str">
        <f aca="false">B546&amp;"|"&amp;C546&amp;"|"&amp;D546</f>
        <v>48|U|U</v>
      </c>
      <c r="G546" s="45" t="n">
        <f aca="false">INDEX('Transition Stepwise'!$J$2:$J$1137,MATCH(F546,'Transition Stepwise'!$E$2:$E$1137,0))</f>
        <v>0.0909090909090909</v>
      </c>
      <c r="H546" s="45" t="n">
        <f aca="false">INDEX(Background!$D$12:$D$27,MATCH(C546&amp;D546,Background!$E$12:$E$27,0))</f>
        <v>0.220480320213476</v>
      </c>
      <c r="I546" s="49" t="n">
        <f aca="false">LN(G546/H546)</f>
        <v>-0.885948433987514</v>
      </c>
    </row>
    <row r="547" customFormat="false" ht="15" hidden="false" customHeight="true" outlineLevel="0" collapsed="false">
      <c r="A547" s="38" t="s">
        <v>34</v>
      </c>
      <c r="B547" s="38" t="n">
        <v>49</v>
      </c>
      <c r="C547" s="38" t="s">
        <v>171</v>
      </c>
      <c r="D547" s="38" t="s">
        <v>172</v>
      </c>
      <c r="E547" s="38" t="s">
        <v>875</v>
      </c>
      <c r="F547" s="38" t="str">
        <f aca="false">B547&amp;"|"&amp;C547&amp;"|"&amp;D547</f>
        <v>49|U|A</v>
      </c>
      <c r="G547" s="45" t="n">
        <f aca="false">INDEX('Transition Stepwise'!$J$2:$J$1137,MATCH(F547,'Transition Stepwise'!$E$2:$E$1137,0))</f>
        <v>0.2</v>
      </c>
      <c r="H547" s="45" t="n">
        <f aca="false">INDEX(Background!$D$12:$D$27,MATCH(C547&amp;D547,Background!$E$12:$E$27,0))</f>
        <v>0.180787191460974</v>
      </c>
      <c r="I547" s="49" t="n">
        <f aca="false">LN(G547/H547)</f>
        <v>0.100996764788796</v>
      </c>
    </row>
    <row r="548" customFormat="false" ht="15" hidden="false" customHeight="true" outlineLevel="0" collapsed="false">
      <c r="A548" s="38" t="s">
        <v>34</v>
      </c>
      <c r="B548" s="38" t="n">
        <v>50</v>
      </c>
      <c r="C548" s="38" t="s">
        <v>172</v>
      </c>
      <c r="D548" s="38" t="s">
        <v>169</v>
      </c>
      <c r="E548" s="38" t="s">
        <v>875</v>
      </c>
      <c r="F548" s="38" t="str">
        <f aca="false">B548&amp;"|"&amp;C548&amp;"|"&amp;D548</f>
        <v>50|A|G</v>
      </c>
      <c r="G548" s="45" t="n">
        <f aca="false">INDEX('Transition Stepwise'!$J$2:$J$1137,MATCH(F548,'Transition Stepwise'!$E$2:$E$1137,0))</f>
        <v>0.62962962962963</v>
      </c>
      <c r="H548" s="45" t="n">
        <f aca="false">INDEX(Background!$D$12:$D$27,MATCH(C548&amp;D548,Background!$E$12:$E$27,0))</f>
        <v>0.424884437596302</v>
      </c>
      <c r="I548" s="49" t="n">
        <f aca="false">LN(G548/H548)</f>
        <v>0.393314536622365</v>
      </c>
    </row>
    <row r="549" customFormat="false" ht="15" hidden="false" customHeight="true" outlineLevel="0" collapsed="false">
      <c r="A549" s="38" t="s">
        <v>34</v>
      </c>
      <c r="B549" s="38" t="n">
        <v>51</v>
      </c>
      <c r="C549" s="38" t="s">
        <v>169</v>
      </c>
      <c r="D549" s="38" t="s">
        <v>169</v>
      </c>
      <c r="E549" s="38" t="s">
        <v>875</v>
      </c>
      <c r="F549" s="38" t="str">
        <f aca="false">B549&amp;"|"&amp;C549&amp;"|"&amp;D549</f>
        <v>51|G|G</v>
      </c>
      <c r="G549" s="45" t="n">
        <f aca="false">INDEX('Transition Stepwise'!$J$2:$J$1137,MATCH(F549,'Transition Stepwise'!$E$2:$E$1137,0))</f>
        <v>0.786407766990291</v>
      </c>
      <c r="H549" s="45" t="n">
        <f aca="false">INDEX(Background!$D$12:$D$27,MATCH(C549&amp;D549,Background!$E$12:$E$27,0))</f>
        <v>0.344774477447745</v>
      </c>
      <c r="I549" s="49" t="n">
        <f aca="false">LN(G549/H549)</f>
        <v>0.824584930698362</v>
      </c>
    </row>
    <row r="550" customFormat="false" ht="15" hidden="false" customHeight="true" outlineLevel="0" collapsed="false">
      <c r="A550" s="38" t="s">
        <v>34</v>
      </c>
      <c r="B550" s="38" t="n">
        <v>52</v>
      </c>
      <c r="C550" s="38" t="s">
        <v>169</v>
      </c>
      <c r="D550" s="38" t="s">
        <v>169</v>
      </c>
      <c r="E550" s="38" t="s">
        <v>875</v>
      </c>
      <c r="F550" s="38" t="str">
        <f aca="false">B550&amp;"|"&amp;C550&amp;"|"&amp;D550</f>
        <v>52|G|G</v>
      </c>
      <c r="G550" s="45" t="n">
        <f aca="false">INDEX('Transition Stepwise'!$J$2:$J$1137,MATCH(F550,'Transition Stepwise'!$E$2:$E$1137,0))</f>
        <v>0.964912280701754</v>
      </c>
      <c r="H550" s="45" t="n">
        <f aca="false">INDEX(Background!$D$12:$D$27,MATCH(C550&amp;D550,Background!$E$12:$E$27,0))</f>
        <v>0.344774477447745</v>
      </c>
      <c r="I550" s="49" t="n">
        <f aca="false">LN(G550/H550)</f>
        <v>1.02914668165348</v>
      </c>
    </row>
    <row r="551" customFormat="false" ht="15" hidden="false" customHeight="true" outlineLevel="0" collapsed="false">
      <c r="A551" s="38" t="s">
        <v>34</v>
      </c>
      <c r="B551" s="38" t="n">
        <v>53</v>
      </c>
      <c r="C551" s="38" t="s">
        <v>169</v>
      </c>
      <c r="D551" s="38" t="s">
        <v>172</v>
      </c>
      <c r="E551" s="38" t="s">
        <v>875</v>
      </c>
      <c r="F551" s="38" t="str">
        <f aca="false">B551&amp;"|"&amp;C551&amp;"|"&amp;D551</f>
        <v>53|G|A</v>
      </c>
      <c r="G551" s="45" t="n">
        <f aca="false">INDEX('Transition Stepwise'!$J$2:$J$1137,MATCH(F551,'Transition Stepwise'!$E$2:$E$1137,0))</f>
        <v>0.0150753768844221</v>
      </c>
      <c r="H551" s="45" t="n">
        <f aca="false">INDEX(Background!$D$12:$D$27,MATCH(C551&amp;D551,Background!$E$12:$E$27,0))</f>
        <v>0.164356435643564</v>
      </c>
      <c r="I551" s="49" t="n">
        <f aca="false">LN(G551/H551)</f>
        <v>-2.38897471457762</v>
      </c>
    </row>
    <row r="552" customFormat="false" ht="15" hidden="false" customHeight="true" outlineLevel="0" collapsed="false">
      <c r="A552" s="38" t="s">
        <v>34</v>
      </c>
      <c r="B552" s="38" t="n">
        <v>54</v>
      </c>
      <c r="C552" s="38" t="s">
        <v>172</v>
      </c>
      <c r="D552" s="38" t="s">
        <v>171</v>
      </c>
      <c r="E552" s="38" t="s">
        <v>875</v>
      </c>
      <c r="F552" s="38" t="str">
        <f aca="false">B552&amp;"|"&amp;C552&amp;"|"&amp;D552</f>
        <v>54|A|U</v>
      </c>
      <c r="G552" s="45" t="n">
        <f aca="false">INDEX('Transition Stepwise'!$J$2:$J$1137,MATCH(F552,'Transition Stepwise'!$E$2:$E$1137,0))</f>
        <v>0.5</v>
      </c>
      <c r="H552" s="45" t="n">
        <f aca="false">INDEX(Background!$D$12:$D$27,MATCH(C552&amp;D552,Background!$E$12:$E$27,0))</f>
        <v>0.194530046224961</v>
      </c>
      <c r="I552" s="49" t="n">
        <f aca="false">LN(G552/H552)</f>
        <v>0.944021467988676</v>
      </c>
    </row>
    <row r="553" customFormat="false" ht="15" hidden="false" customHeight="true" outlineLevel="0" collapsed="false">
      <c r="A553" s="38" t="s">
        <v>34</v>
      </c>
      <c r="B553" s="38" t="n">
        <v>55</v>
      </c>
      <c r="C553" s="38" t="s">
        <v>171</v>
      </c>
      <c r="D553" s="38" t="s">
        <v>170</v>
      </c>
      <c r="E553" s="38" t="s">
        <v>875</v>
      </c>
      <c r="F553" s="38" t="str">
        <f aca="false">B553&amp;"|"&amp;C553&amp;"|"&amp;D553</f>
        <v>55|U|C</v>
      </c>
      <c r="G553" s="45" t="n">
        <f aca="false">INDEX('Transition Stepwise'!$J$2:$J$1137,MATCH(F553,'Transition Stepwise'!$E$2:$E$1137,0))</f>
        <v>0.975</v>
      </c>
      <c r="H553" s="45" t="n">
        <f aca="false">INDEX(Background!$D$12:$D$27,MATCH(C553&amp;D553,Background!$E$12:$E$27,0))</f>
        <v>0.377251501000667</v>
      </c>
      <c r="I553" s="49" t="n">
        <f aca="false">LN(G553/H553)</f>
        <v>0.949525394562133</v>
      </c>
    </row>
    <row r="554" customFormat="false" ht="15" hidden="false" customHeight="true" outlineLevel="0" collapsed="false">
      <c r="A554" s="38" t="s">
        <v>34</v>
      </c>
      <c r="B554" s="38" t="n">
        <v>56</v>
      </c>
      <c r="C554" s="38" t="s">
        <v>170</v>
      </c>
      <c r="D554" s="38" t="s">
        <v>170</v>
      </c>
      <c r="E554" s="38" t="s">
        <v>875</v>
      </c>
      <c r="F554" s="38" t="str">
        <f aca="false">B554&amp;"|"&amp;C554&amp;"|"&amp;D554</f>
        <v>56|C|C</v>
      </c>
      <c r="G554" s="45" t="n">
        <f aca="false">INDEX('Transition Stepwise'!$J$2:$J$1137,MATCH(F554,'Transition Stepwise'!$E$2:$E$1137,0))</f>
        <v>0.0050251256281407</v>
      </c>
      <c r="H554" s="45" t="n">
        <f aca="false">INDEX(Background!$D$12:$D$27,MATCH(C554&amp;D554,Background!$E$12:$E$27,0))</f>
        <v>0.312236286919831</v>
      </c>
      <c r="I554" s="49" t="n">
        <f aca="false">LN(G554/H554)</f>
        <v>-4.12930977679353</v>
      </c>
    </row>
    <row r="555" customFormat="false" ht="15" hidden="false" customHeight="true" outlineLevel="0" collapsed="false">
      <c r="A555" s="38" t="s">
        <v>34</v>
      </c>
      <c r="B555" s="38" t="n">
        <v>57</v>
      </c>
      <c r="C555" s="38" t="s">
        <v>170</v>
      </c>
      <c r="D555" s="38" t="s">
        <v>171</v>
      </c>
      <c r="E555" s="38" t="s">
        <v>875</v>
      </c>
      <c r="F555" s="38" t="str">
        <f aca="false">B555&amp;"|"&amp;C555&amp;"|"&amp;D555</f>
        <v>57|C|U</v>
      </c>
      <c r="G555" s="45" t="n">
        <f aca="false">INDEX('Transition Stepwise'!$J$2:$J$1137,MATCH(F555,'Transition Stepwise'!$E$2:$E$1137,0))</f>
        <v>0.25</v>
      </c>
      <c r="H555" s="45" t="n">
        <f aca="false">INDEX(Background!$D$12:$D$27,MATCH(C555&amp;D555,Background!$E$12:$E$27,0))</f>
        <v>0.196466244725738</v>
      </c>
      <c r="I555" s="49" t="n">
        <f aca="false">LN(G555/H555)</f>
        <v>0.240970283875462</v>
      </c>
    </row>
    <row r="556" customFormat="false" ht="15" hidden="false" customHeight="true" outlineLevel="0" collapsed="false">
      <c r="A556" s="38" t="s">
        <v>34</v>
      </c>
      <c r="B556" s="38" t="n">
        <v>58</v>
      </c>
      <c r="C556" s="38" t="s">
        <v>171</v>
      </c>
      <c r="D556" s="38" t="s">
        <v>171</v>
      </c>
      <c r="E556" s="38" t="s">
        <v>875</v>
      </c>
      <c r="F556" s="38" t="str">
        <f aca="false">B556&amp;"|"&amp;C556&amp;"|"&amp;D556</f>
        <v>58|U|U</v>
      </c>
      <c r="G556" s="45" t="n">
        <f aca="false">INDEX('Transition Stepwise'!$J$2:$J$1137,MATCH(F556,'Transition Stepwise'!$E$2:$E$1137,0))</f>
        <v>0.2</v>
      </c>
      <c r="H556" s="45" t="n">
        <f aca="false">INDEX(Background!$D$12:$D$27,MATCH(C556&amp;D556,Background!$E$12:$E$27,0))</f>
        <v>0.220480320213476</v>
      </c>
      <c r="I556" s="49" t="n">
        <f aca="false">LN(G556/H556)</f>
        <v>-0.0974910736232437</v>
      </c>
    </row>
    <row r="557" customFormat="false" ht="15" hidden="false" customHeight="true" outlineLevel="0" collapsed="false">
      <c r="A557" s="38" t="s">
        <v>34</v>
      </c>
      <c r="B557" s="38" t="n">
        <v>59</v>
      </c>
      <c r="C557" s="38" t="s">
        <v>171</v>
      </c>
      <c r="D557" s="38" t="s">
        <v>169</v>
      </c>
      <c r="E557" s="38" t="s">
        <v>875</v>
      </c>
      <c r="F557" s="38" t="str">
        <f aca="false">B557&amp;"|"&amp;C557&amp;"|"&amp;D557</f>
        <v>59|U|G</v>
      </c>
      <c r="G557" s="45" t="n">
        <f aca="false">INDEX('Transition Stepwise'!$J$2:$J$1137,MATCH(F557,'Transition Stepwise'!$E$2:$E$1137,0))</f>
        <v>0.0185185185185185</v>
      </c>
      <c r="H557" s="45" t="n">
        <f aca="false">INDEX(Background!$D$12:$D$27,MATCH(C557&amp;D557,Background!$E$12:$E$27,0))</f>
        <v>0.221480987324883</v>
      </c>
      <c r="I557" s="49" t="n">
        <f aca="false">LN(G557/H557)</f>
        <v>-2.48156551737817</v>
      </c>
    </row>
    <row r="558" customFormat="false" ht="15" hidden="false" customHeight="true" outlineLevel="0" collapsed="false">
      <c r="A558" s="38" t="s">
        <v>34</v>
      </c>
      <c r="B558" s="38" t="n">
        <v>60</v>
      </c>
      <c r="C558" s="38" t="s">
        <v>169</v>
      </c>
      <c r="D558" s="38" t="s">
        <v>170</v>
      </c>
      <c r="E558" s="38" t="s">
        <v>875</v>
      </c>
      <c r="F558" s="38" t="str">
        <f aca="false">B558&amp;"|"&amp;C558&amp;"|"&amp;D558</f>
        <v>60|G|C</v>
      </c>
      <c r="G558" s="45" t="n">
        <f aca="false">INDEX('Transition Stepwise'!$J$2:$J$1137,MATCH(F558,'Transition Stepwise'!$E$2:$E$1137,0))</f>
        <v>0.333333333333333</v>
      </c>
      <c r="H558" s="45" t="n">
        <f aca="false">INDEX(Background!$D$12:$D$27,MATCH(C558&amp;D558,Background!$E$12:$E$27,0))</f>
        <v>0.256105610561056</v>
      </c>
      <c r="I558" s="49" t="n">
        <f aca="false">LN(G558/H558)</f>
        <v>0.263553089652086</v>
      </c>
    </row>
    <row r="559" customFormat="false" ht="15" hidden="false" customHeight="true" outlineLevel="0" collapsed="false">
      <c r="A559" s="38" t="s">
        <v>34</v>
      </c>
      <c r="B559" s="38" t="n">
        <v>61</v>
      </c>
      <c r="C559" s="38" t="s">
        <v>170</v>
      </c>
      <c r="D559" s="38" t="s">
        <v>171</v>
      </c>
      <c r="E559" s="38" t="s">
        <v>875</v>
      </c>
      <c r="F559" s="38" t="str">
        <f aca="false">B559&amp;"|"&amp;C559&amp;"|"&amp;D559</f>
        <v>61|C|U</v>
      </c>
      <c r="G559" s="45" t="n">
        <f aca="false">INDEX('Transition Stepwise'!$J$2:$J$1137,MATCH(F559,'Transition Stepwise'!$E$2:$E$1137,0))</f>
        <v>0.129353233830846</v>
      </c>
      <c r="H559" s="45" t="n">
        <f aca="false">INDEX(Background!$D$12:$D$27,MATCH(C559&amp;D559,Background!$E$12:$E$27,0))</f>
        <v>0.196466244725738</v>
      </c>
      <c r="I559" s="49" t="n">
        <f aca="false">LN(G559/H559)</f>
        <v>-0.417943725042241</v>
      </c>
    </row>
    <row r="560" customFormat="false" ht="15" hidden="false" customHeight="true" outlineLevel="0" collapsed="false">
      <c r="A560" s="38" t="s">
        <v>34</v>
      </c>
      <c r="B560" s="38" t="n">
        <v>62</v>
      </c>
      <c r="C560" s="38" t="s">
        <v>171</v>
      </c>
      <c r="D560" s="38" t="s">
        <v>171</v>
      </c>
      <c r="E560" s="38" t="s">
        <v>875</v>
      </c>
      <c r="F560" s="38" t="str">
        <f aca="false">B560&amp;"|"&amp;C560&amp;"|"&amp;D560</f>
        <v>62|U|U</v>
      </c>
      <c r="G560" s="45" t="n">
        <f aca="false">INDEX('Transition Stepwise'!$J$2:$J$1137,MATCH(F560,'Transition Stepwise'!$E$2:$E$1137,0))</f>
        <v>0.1</v>
      </c>
      <c r="H560" s="45" t="n">
        <f aca="false">INDEX(Background!$D$12:$D$27,MATCH(C560&amp;D560,Background!$E$12:$E$27,0))</f>
        <v>0.220480320213476</v>
      </c>
      <c r="I560" s="49" t="n">
        <f aca="false">LN(G560/H560)</f>
        <v>-0.790638254183189</v>
      </c>
    </row>
    <row r="561" customFormat="false" ht="15" hidden="false" customHeight="true" outlineLevel="0" collapsed="false">
      <c r="A561" s="38" t="s">
        <v>34</v>
      </c>
      <c r="B561" s="38" t="n">
        <v>63</v>
      </c>
      <c r="C561" s="38" t="s">
        <v>171</v>
      </c>
      <c r="D561" s="38" t="s">
        <v>171</v>
      </c>
      <c r="E561" s="38" t="s">
        <v>875</v>
      </c>
      <c r="F561" s="38" t="str">
        <f aca="false">B561&amp;"|"&amp;C561&amp;"|"&amp;D561</f>
        <v>63|U|U</v>
      </c>
      <c r="G561" s="45" t="n">
        <f aca="false">INDEX('Transition Stepwise'!$J$2:$J$1137,MATCH(F561,'Transition Stepwise'!$E$2:$E$1137,0))</f>
        <v>0.138888888888889</v>
      </c>
      <c r="H561" s="45" t="n">
        <f aca="false">INDEX(Background!$D$12:$D$27,MATCH(C561&amp;D561,Background!$E$12:$E$27,0))</f>
        <v>0.220480320213476</v>
      </c>
      <c r="I561" s="49" t="n">
        <f aca="false">LN(G561/H561)</f>
        <v>-0.462134187211153</v>
      </c>
    </row>
    <row r="562" customFormat="false" ht="15" hidden="false" customHeight="true" outlineLevel="0" collapsed="false">
      <c r="A562" s="38" t="s">
        <v>34</v>
      </c>
      <c r="B562" s="38" t="n">
        <v>64</v>
      </c>
      <c r="C562" s="38" t="s">
        <v>171</v>
      </c>
      <c r="D562" s="38" t="s">
        <v>172</v>
      </c>
      <c r="E562" s="38" t="s">
        <v>875</v>
      </c>
      <c r="F562" s="38" t="str">
        <f aca="false">B562&amp;"|"&amp;C562&amp;"|"&amp;D562</f>
        <v>64|U|A</v>
      </c>
      <c r="G562" s="45" t="n">
        <f aca="false">INDEX('Transition Stepwise'!$J$2:$J$1137,MATCH(F562,'Transition Stepwise'!$E$2:$E$1137,0))</f>
        <v>0.0810810810810811</v>
      </c>
      <c r="H562" s="45" t="n">
        <f aca="false">INDEX(Background!$D$12:$D$27,MATCH(C562&amp;D562,Background!$E$12:$E$27,0))</f>
        <v>0.180787191460974</v>
      </c>
      <c r="I562" s="49" t="n">
        <f aca="false">LN(G562/H562)</f>
        <v>-0.801870946753218</v>
      </c>
    </row>
    <row r="563" customFormat="false" ht="15" hidden="false" customHeight="true" outlineLevel="0" collapsed="false">
      <c r="A563" s="38" t="s">
        <v>34</v>
      </c>
      <c r="B563" s="38" t="n">
        <v>65</v>
      </c>
      <c r="C563" s="38" t="s">
        <v>172</v>
      </c>
      <c r="D563" s="38" t="s">
        <v>170</v>
      </c>
      <c r="E563" s="38" t="s">
        <v>875</v>
      </c>
      <c r="F563" s="38" t="str">
        <f aca="false">B563&amp;"|"&amp;C563&amp;"|"&amp;D563</f>
        <v>65|A|C</v>
      </c>
      <c r="G563" s="45" t="n">
        <f aca="false">INDEX('Transition Stepwise'!$J$2:$J$1137,MATCH(F563,'Transition Stepwise'!$E$2:$E$1137,0))</f>
        <v>0.230769230769231</v>
      </c>
      <c r="H563" s="45" t="n">
        <f aca="false">INDEX(Background!$D$12:$D$27,MATCH(C563&amp;D563,Background!$E$12:$E$27,0))</f>
        <v>0.161016949152542</v>
      </c>
      <c r="I563" s="49" t="n">
        <f aca="false">LN(G563/H563)</f>
        <v>0.359908576505797</v>
      </c>
    </row>
    <row r="564" customFormat="false" ht="15" hidden="false" customHeight="true" outlineLevel="0" collapsed="false">
      <c r="A564" s="38" t="s">
        <v>34</v>
      </c>
      <c r="B564" s="38" t="n">
        <v>66</v>
      </c>
      <c r="C564" s="38" t="s">
        <v>170</v>
      </c>
      <c r="D564" s="38" t="s">
        <v>171</v>
      </c>
      <c r="E564" s="38" t="s">
        <v>875</v>
      </c>
      <c r="F564" s="38" t="str">
        <f aca="false">B564&amp;"|"&amp;C564&amp;"|"&amp;D564</f>
        <v>66|C|U</v>
      </c>
      <c r="G564" s="45" t="n">
        <f aca="false">INDEX('Transition Stepwise'!$J$2:$J$1137,MATCH(F564,'Transition Stepwise'!$E$2:$E$1137,0))</f>
        <v>0.155963302752294</v>
      </c>
      <c r="H564" s="45" t="n">
        <f aca="false">INDEX(Background!$D$12:$D$27,MATCH(C564&amp;D564,Background!$E$12:$E$27,0))</f>
        <v>0.196466244725738</v>
      </c>
      <c r="I564" s="49" t="n">
        <f aca="false">LN(G564/H564)</f>
        <v>-0.230869893177575</v>
      </c>
    </row>
    <row r="565" customFormat="false" ht="15" hidden="false" customHeight="true" outlineLevel="0" collapsed="false">
      <c r="A565" s="38" t="s">
        <v>34</v>
      </c>
      <c r="B565" s="38" t="n">
        <v>67</v>
      </c>
      <c r="C565" s="38" t="s">
        <v>171</v>
      </c>
      <c r="D565" s="38" t="s">
        <v>171</v>
      </c>
      <c r="E565" s="38" t="s">
        <v>875</v>
      </c>
      <c r="F565" s="38" t="str">
        <f aca="false">B565&amp;"|"&amp;C565&amp;"|"&amp;D565</f>
        <v>67|U|U</v>
      </c>
      <c r="G565" s="45" t="n">
        <f aca="false">INDEX('Transition Stepwise'!$J$2:$J$1137,MATCH(F565,'Transition Stepwise'!$E$2:$E$1137,0))</f>
        <v>0.238095238095238</v>
      </c>
      <c r="H565" s="45" t="n">
        <f aca="false">INDEX(Background!$D$12:$D$27,MATCH(C565&amp;D565,Background!$E$12:$E$27,0))</f>
        <v>0.220480320213476</v>
      </c>
      <c r="I565" s="49" t="n">
        <f aca="false">LN(G565/H565)</f>
        <v>0.076862313521534</v>
      </c>
    </row>
    <row r="566" customFormat="false" ht="15" hidden="false" customHeight="true" outlineLevel="0" collapsed="false">
      <c r="A566" s="38" t="s">
        <v>34</v>
      </c>
      <c r="B566" s="38" t="n">
        <v>68</v>
      </c>
      <c r="C566" s="38" t="s">
        <v>171</v>
      </c>
      <c r="D566" s="38" t="s">
        <v>171</v>
      </c>
      <c r="E566" s="38" t="s">
        <v>875</v>
      </c>
      <c r="F566" s="38" t="str">
        <f aca="false">B566&amp;"|"&amp;C566&amp;"|"&amp;D566</f>
        <v>68|U|U</v>
      </c>
      <c r="G566" s="45" t="n">
        <f aca="false">INDEX('Transition Stepwise'!$J$2:$J$1137,MATCH(F566,'Transition Stepwise'!$E$2:$E$1137,0))</f>
        <v>0.153846153846154</v>
      </c>
      <c r="H566" s="45" t="n">
        <f aca="false">INDEX(Background!$D$12:$D$27,MATCH(C566&amp;D566,Background!$E$12:$E$27,0))</f>
        <v>0.220480320213476</v>
      </c>
      <c r="I566" s="49" t="n">
        <f aca="false">LN(G566/H566)</f>
        <v>-0.359855338090735</v>
      </c>
    </row>
    <row r="567" customFormat="false" ht="15" hidden="false" customHeight="true" outlineLevel="0" collapsed="false">
      <c r="A567" s="38" t="s">
        <v>34</v>
      </c>
      <c r="B567" s="38" t="n">
        <v>69</v>
      </c>
      <c r="C567" s="38" t="s">
        <v>171</v>
      </c>
      <c r="D567" s="38" t="s">
        <v>171</v>
      </c>
      <c r="E567" s="38" t="s">
        <v>875</v>
      </c>
      <c r="F567" s="38" t="str">
        <f aca="false">B567&amp;"|"&amp;C567&amp;"|"&amp;D567</f>
        <v>69|U|U</v>
      </c>
      <c r="G567" s="45" t="n">
        <f aca="false">INDEX('Transition Stepwise'!$J$2:$J$1137,MATCH(F567,'Transition Stepwise'!$E$2:$E$1137,0))</f>
        <v>0.15</v>
      </c>
      <c r="H567" s="45" t="n">
        <f aca="false">INDEX(Background!$D$12:$D$27,MATCH(C567&amp;D567,Background!$E$12:$E$27,0))</f>
        <v>0.220480320213476</v>
      </c>
      <c r="I567" s="49" t="n">
        <f aca="false">LN(G567/H567)</f>
        <v>-0.385173146075025</v>
      </c>
    </row>
    <row r="568" customFormat="false" ht="15" hidden="false" customHeight="true" outlineLevel="0" collapsed="false">
      <c r="A568" s="38" t="s">
        <v>34</v>
      </c>
      <c r="B568" s="38" t="n">
        <v>70</v>
      </c>
      <c r="C568" s="38" t="s">
        <v>171</v>
      </c>
      <c r="D568" s="38" t="s">
        <v>172</v>
      </c>
      <c r="E568" s="38" t="s">
        <v>875</v>
      </c>
      <c r="F568" s="38" t="str">
        <f aca="false">B568&amp;"|"&amp;C568&amp;"|"&amp;D568</f>
        <v>70|U|A</v>
      </c>
      <c r="G568" s="45" t="n">
        <f aca="false">INDEX('Transition Stepwise'!$J$2:$J$1137,MATCH(F568,'Transition Stepwise'!$E$2:$E$1137,0))</f>
        <v>0.0294117647058824</v>
      </c>
      <c r="H568" s="45" t="n">
        <f aca="false">INDEX(Background!$D$12:$D$27,MATCH(C568&amp;D568,Background!$E$12:$E$27,0))</f>
        <v>0.180787191460974</v>
      </c>
      <c r="I568" s="49" t="n">
        <f aca="false">LN(G568/H568)</f>
        <v>-1.81592584739326</v>
      </c>
    </row>
    <row r="569" customFormat="false" ht="15" hidden="false" customHeight="true" outlineLevel="0" collapsed="false">
      <c r="A569" s="38" t="s">
        <v>34</v>
      </c>
      <c r="B569" s="38" t="n">
        <v>71</v>
      </c>
      <c r="C569" s="38" t="s">
        <v>172</v>
      </c>
      <c r="D569" s="38" t="s">
        <v>171</v>
      </c>
      <c r="E569" s="38" t="s">
        <v>875</v>
      </c>
      <c r="F569" s="38" t="str">
        <f aca="false">B569&amp;"|"&amp;C569&amp;"|"&amp;D569</f>
        <v>71|A|U</v>
      </c>
      <c r="G569" s="45" t="n">
        <f aca="false">INDEX('Transition Stepwise'!$J$2:$J$1137,MATCH(F569,'Transition Stepwise'!$E$2:$E$1137,0))</f>
        <v>0.111111111111111</v>
      </c>
      <c r="H569" s="45" t="n">
        <f aca="false">INDEX(Background!$D$12:$D$27,MATCH(C569&amp;D569,Background!$E$12:$E$27,0))</f>
        <v>0.194530046224961</v>
      </c>
      <c r="I569" s="49" t="n">
        <f aca="false">LN(G569/H569)</f>
        <v>-0.560055928787599</v>
      </c>
    </row>
    <row r="570" customFormat="false" ht="15" hidden="false" customHeight="true" outlineLevel="0" collapsed="false">
      <c r="A570" s="38" t="s">
        <v>16</v>
      </c>
      <c r="B570" s="38" t="n">
        <v>1</v>
      </c>
      <c r="C570" s="38" t="s">
        <v>169</v>
      </c>
      <c r="D570" s="38" t="s">
        <v>170</v>
      </c>
      <c r="E570" s="38" t="s">
        <v>875</v>
      </c>
      <c r="F570" s="38" t="str">
        <f aca="false">B570&amp;"|"&amp;C570&amp;"|"&amp;D570</f>
        <v>1|G|C</v>
      </c>
      <c r="G570" s="45" t="n">
        <f aca="false">INDEX('Transition Stepwise'!$J$2:$J$1137,MATCH(F570,'Transition Stepwise'!$E$2:$E$1137,0))</f>
        <v>0.442307692307692</v>
      </c>
      <c r="H570" s="45" t="n">
        <f aca="false">INDEX(Background!$D$12:$D$27,MATCH(C570&amp;D570,Background!$E$12:$E$27,0))</f>
        <v>0.256105610561056</v>
      </c>
      <c r="I570" s="49" t="n">
        <f aca="false">LN(G570/H570)</f>
        <v>0.546415875667918</v>
      </c>
    </row>
    <row r="571" customFormat="false" ht="15" hidden="false" customHeight="true" outlineLevel="0" collapsed="false">
      <c r="A571" s="38" t="s">
        <v>16</v>
      </c>
      <c r="B571" s="38" t="n">
        <v>2</v>
      </c>
      <c r="C571" s="38" t="s">
        <v>170</v>
      </c>
      <c r="D571" s="38" t="s">
        <v>170</v>
      </c>
      <c r="E571" s="38" t="s">
        <v>875</v>
      </c>
      <c r="F571" s="38" t="str">
        <f aca="false">B571&amp;"|"&amp;C571&amp;"|"&amp;D571</f>
        <v>2|C|C</v>
      </c>
      <c r="G571" s="45" t="n">
        <f aca="false">INDEX('Transition Stepwise'!$J$2:$J$1137,MATCH(F571,'Transition Stepwise'!$E$2:$E$1137,0))</f>
        <v>0.523255813953488</v>
      </c>
      <c r="H571" s="45" t="n">
        <f aca="false">INDEX(Background!$D$12:$D$27,MATCH(C571&amp;D571,Background!$E$12:$E$27,0))</f>
        <v>0.312236286919831</v>
      </c>
      <c r="I571" s="49" t="n">
        <f aca="false">LN(G571/H571)</f>
        <v>0.516310241447774</v>
      </c>
    </row>
    <row r="572" customFormat="false" ht="15" hidden="false" customHeight="true" outlineLevel="0" collapsed="false">
      <c r="A572" s="38" t="s">
        <v>16</v>
      </c>
      <c r="B572" s="38" t="n">
        <v>3</v>
      </c>
      <c r="C572" s="38" t="s">
        <v>170</v>
      </c>
      <c r="D572" s="38" t="s">
        <v>170</v>
      </c>
      <c r="E572" s="38" t="s">
        <v>875</v>
      </c>
      <c r="F572" s="38" t="str">
        <f aca="false">B572&amp;"|"&amp;C572&amp;"|"&amp;D572</f>
        <v>3|C|C</v>
      </c>
      <c r="G572" s="45" t="n">
        <f aca="false">INDEX('Transition Stepwise'!$J$2:$J$1137,MATCH(F572,'Transition Stepwise'!$E$2:$E$1137,0))</f>
        <v>0.283950617283951</v>
      </c>
      <c r="H572" s="45" t="n">
        <f aca="false">INDEX(Background!$D$12:$D$27,MATCH(C572&amp;D572,Background!$E$12:$E$27,0))</f>
        <v>0.312236286919831</v>
      </c>
      <c r="I572" s="49" t="n">
        <f aca="false">LN(G572/H572)</f>
        <v>-0.0949598908123278</v>
      </c>
    </row>
    <row r="573" customFormat="false" ht="15" hidden="false" customHeight="true" outlineLevel="0" collapsed="false">
      <c r="A573" s="38" t="s">
        <v>16</v>
      </c>
      <c r="B573" s="38" t="n">
        <v>4</v>
      </c>
      <c r="C573" s="38" t="s">
        <v>170</v>
      </c>
      <c r="D573" s="38" t="s">
        <v>169</v>
      </c>
      <c r="E573" s="38" t="s">
        <v>875</v>
      </c>
      <c r="F573" s="38" t="str">
        <f aca="false">B573&amp;"|"&amp;C573&amp;"|"&amp;D573</f>
        <v>4|C|G</v>
      </c>
      <c r="G573" s="45" t="n">
        <f aca="false">INDEX('Transition Stepwise'!$J$2:$J$1137,MATCH(F573,'Transition Stepwise'!$E$2:$E$1137,0))</f>
        <v>0.215384615384615</v>
      </c>
      <c r="H573" s="45" t="n">
        <f aca="false">INDEX(Background!$D$12:$D$27,MATCH(C573&amp;D573,Background!$E$12:$E$27,0))</f>
        <v>0.296413502109705</v>
      </c>
      <c r="I573" s="49" t="n">
        <f aca="false">LN(G573/H573)</f>
        <v>-0.319330107359102</v>
      </c>
    </row>
    <row r="574" customFormat="false" ht="15" hidden="false" customHeight="true" outlineLevel="0" collapsed="false">
      <c r="A574" s="38" t="s">
        <v>16</v>
      </c>
      <c r="B574" s="38" t="n">
        <v>5</v>
      </c>
      <c r="C574" s="38" t="s">
        <v>169</v>
      </c>
      <c r="D574" s="38" t="s">
        <v>169</v>
      </c>
      <c r="E574" s="38" t="s">
        <v>875</v>
      </c>
      <c r="F574" s="38" t="str">
        <f aca="false">B574&amp;"|"&amp;C574&amp;"|"&amp;D574</f>
        <v>5|G|G</v>
      </c>
      <c r="G574" s="45" t="n">
        <f aca="false">INDEX('Transition Stepwise'!$J$2:$J$1137,MATCH(F574,'Transition Stepwise'!$E$2:$E$1137,0))</f>
        <v>0.301369863013699</v>
      </c>
      <c r="H574" s="45" t="n">
        <f aca="false">INDEX(Background!$D$12:$D$27,MATCH(C574&amp;D574,Background!$E$12:$E$27,0))</f>
        <v>0.344774477447745</v>
      </c>
      <c r="I574" s="49" t="n">
        <f aca="false">LN(G574/H574)</f>
        <v>-0.134552223534517</v>
      </c>
    </row>
    <row r="575" customFormat="false" ht="15" hidden="false" customHeight="true" outlineLevel="0" collapsed="false">
      <c r="A575" s="38" t="s">
        <v>16</v>
      </c>
      <c r="B575" s="38" t="n">
        <v>6</v>
      </c>
      <c r="C575" s="38" t="s">
        <v>169</v>
      </c>
      <c r="D575" s="38" t="s">
        <v>172</v>
      </c>
      <c r="E575" s="38" t="s">
        <v>875</v>
      </c>
      <c r="F575" s="38" t="str">
        <f aca="false">B575&amp;"|"&amp;C575&amp;"|"&amp;D575</f>
        <v>6|G|A</v>
      </c>
      <c r="G575" s="45" t="n">
        <f aca="false">INDEX('Transition Stepwise'!$J$2:$J$1137,MATCH(F575,'Transition Stepwise'!$E$2:$E$1137,0))</f>
        <v>0.230769230769231</v>
      </c>
      <c r="H575" s="45" t="n">
        <f aca="false">INDEX(Background!$D$12:$D$27,MATCH(C575&amp;D575,Background!$E$12:$E$27,0))</f>
        <v>0.164356435643564</v>
      </c>
      <c r="I575" s="49" t="n">
        <f aca="false">LN(G575/H575)</f>
        <v>0.339380752685335</v>
      </c>
    </row>
    <row r="576" customFormat="false" ht="15" hidden="false" customHeight="true" outlineLevel="0" collapsed="false">
      <c r="A576" s="38" t="s">
        <v>16</v>
      </c>
      <c r="B576" s="38" t="n">
        <v>7</v>
      </c>
      <c r="C576" s="38" t="s">
        <v>172</v>
      </c>
      <c r="D576" s="38" t="s">
        <v>171</v>
      </c>
      <c r="E576" s="38" t="s">
        <v>875</v>
      </c>
      <c r="F576" s="38" t="str">
        <f aca="false">B576&amp;"|"&amp;C576&amp;"|"&amp;D576</f>
        <v>7|A|U</v>
      </c>
      <c r="G576" s="45" t="n">
        <f aca="false">INDEX('Transition Stepwise'!$J$2:$J$1137,MATCH(F576,'Transition Stepwise'!$E$2:$E$1137,0))</f>
        <v>0.92156862745098</v>
      </c>
      <c r="H576" s="45" t="n">
        <f aca="false">INDEX(Background!$D$12:$D$27,MATCH(C576&amp;D576,Background!$E$12:$E$27,0))</f>
        <v>0.194530046224961</v>
      </c>
      <c r="I576" s="49" t="n">
        <f aca="false">LN(G576/H576)</f>
        <v>1.55549061753435</v>
      </c>
    </row>
    <row r="577" customFormat="false" ht="15" hidden="false" customHeight="true" outlineLevel="0" collapsed="false">
      <c r="A577" s="38" t="s">
        <v>16</v>
      </c>
      <c r="B577" s="38" t="n">
        <v>8</v>
      </c>
      <c r="C577" s="38" t="s">
        <v>171</v>
      </c>
      <c r="D577" s="38" t="s">
        <v>172</v>
      </c>
      <c r="E577" s="38" t="s">
        <v>875</v>
      </c>
      <c r="F577" s="38" t="str">
        <f aca="false">B577&amp;"|"&amp;C577&amp;"|"&amp;D577</f>
        <v>8|U|A</v>
      </c>
      <c r="G577" s="45" t="n">
        <f aca="false">INDEX('Transition Stepwise'!$J$2:$J$1137,MATCH(F577,'Transition Stepwise'!$E$2:$E$1137,0))</f>
        <v>0.65</v>
      </c>
      <c r="H577" s="45" t="n">
        <f aca="false">INDEX(Background!$D$12:$D$27,MATCH(C577&amp;D577,Background!$E$12:$E$27,0))</f>
        <v>0.180787191460974</v>
      </c>
      <c r="I577" s="49" t="n">
        <f aca="false">LN(G577/H577)</f>
        <v>1.27965176113044</v>
      </c>
    </row>
    <row r="578" customFormat="false" ht="15" hidden="false" customHeight="true" outlineLevel="0" collapsed="false">
      <c r="A578" s="38" t="s">
        <v>16</v>
      </c>
      <c r="B578" s="38" t="n">
        <v>9</v>
      </c>
      <c r="C578" s="38" t="s">
        <v>172</v>
      </c>
      <c r="D578" s="38" t="s">
        <v>169</v>
      </c>
      <c r="E578" s="38" t="s">
        <v>875</v>
      </c>
      <c r="F578" s="38" t="str">
        <f aca="false">B578&amp;"|"&amp;C578&amp;"|"&amp;D578</f>
        <v>9|A|G</v>
      </c>
      <c r="G578" s="45" t="n">
        <f aca="false">INDEX('Transition Stepwise'!$J$2:$J$1137,MATCH(F578,'Transition Stepwise'!$E$2:$E$1137,0))</f>
        <v>0.962686567164179</v>
      </c>
      <c r="H578" s="45" t="n">
        <f aca="false">INDEX(Background!$D$12:$D$27,MATCH(C578&amp;D578,Background!$E$12:$E$27,0))</f>
        <v>0.424884437596302</v>
      </c>
      <c r="I578" s="49" t="n">
        <f aca="false">LN(G578/H578)</f>
        <v>0.817910662981239</v>
      </c>
    </row>
    <row r="579" customFormat="false" ht="15" hidden="false" customHeight="true" outlineLevel="0" collapsed="false">
      <c r="A579" s="38" t="s">
        <v>16</v>
      </c>
      <c r="B579" s="38" t="n">
        <v>10</v>
      </c>
      <c r="C579" s="38" t="s">
        <v>169</v>
      </c>
      <c r="D579" s="38" t="s">
        <v>170</v>
      </c>
      <c r="E579" s="38" t="s">
        <v>875</v>
      </c>
      <c r="F579" s="38" t="str">
        <f aca="false">B579&amp;"|"&amp;C579&amp;"|"&amp;D579</f>
        <v>10|G|C</v>
      </c>
      <c r="G579" s="45" t="n">
        <f aca="false">INDEX('Transition Stepwise'!$J$2:$J$1137,MATCH(F579,'Transition Stepwise'!$E$2:$E$1137,0))</f>
        <v>0.723076923076923</v>
      </c>
      <c r="H579" s="45" t="n">
        <f aca="false">INDEX(Background!$D$12:$D$27,MATCH(C579&amp;D579,Background!$E$12:$E$27,0))</f>
        <v>0.256105610561056</v>
      </c>
      <c r="I579" s="49" t="n">
        <f aca="false">LN(G579/H579)</f>
        <v>1.03792571013462</v>
      </c>
    </row>
    <row r="580" customFormat="false" ht="15" hidden="false" customHeight="true" outlineLevel="0" collapsed="false">
      <c r="A580" s="38" t="s">
        <v>16</v>
      </c>
      <c r="B580" s="38" t="n">
        <v>11</v>
      </c>
      <c r="C580" s="38" t="s">
        <v>170</v>
      </c>
      <c r="D580" s="38" t="s">
        <v>170</v>
      </c>
      <c r="E580" s="38" t="s">
        <v>875</v>
      </c>
      <c r="F580" s="38" t="str">
        <f aca="false">B580&amp;"|"&amp;C580&amp;"|"&amp;D580</f>
        <v>11|C|C</v>
      </c>
      <c r="G580" s="45" t="n">
        <f aca="false">INDEX('Transition Stepwise'!$J$2:$J$1137,MATCH(F580,'Transition Stepwise'!$E$2:$E$1137,0))</f>
        <v>0.12</v>
      </c>
      <c r="H580" s="45" t="n">
        <f aca="false">INDEX(Background!$D$12:$D$27,MATCH(C580&amp;D580,Background!$E$12:$E$27,0))</f>
        <v>0.312236286919831</v>
      </c>
      <c r="I580" s="49" t="n">
        <f aca="false">LN(G580/H580)</f>
        <v>-0.95626848826913</v>
      </c>
    </row>
    <row r="581" customFormat="false" ht="15" hidden="false" customHeight="true" outlineLevel="0" collapsed="false">
      <c r="A581" s="38" t="s">
        <v>16</v>
      </c>
      <c r="B581" s="38" t="n">
        <v>12</v>
      </c>
      <c r="C581" s="38" t="s">
        <v>170</v>
      </c>
      <c r="D581" s="38" t="s">
        <v>171</v>
      </c>
      <c r="E581" s="38" t="s">
        <v>875</v>
      </c>
      <c r="F581" s="38" t="str">
        <f aca="false">B581&amp;"|"&amp;C581&amp;"|"&amp;D581</f>
        <v>12|C|U</v>
      </c>
      <c r="G581" s="45" t="n">
        <f aca="false">INDEX('Transition Stepwise'!$J$2:$J$1137,MATCH(F581,'Transition Stepwise'!$E$2:$E$1137,0))</f>
        <v>0.363636363636364</v>
      </c>
      <c r="H581" s="45" t="n">
        <f aca="false">INDEX(Background!$D$12:$D$27,MATCH(C581&amp;D581,Background!$E$12:$E$27,0))</f>
        <v>0.196466244725738</v>
      </c>
      <c r="I581" s="49" t="n">
        <f aca="false">LN(G581/H581)</f>
        <v>0.615663733316873</v>
      </c>
    </row>
    <row r="582" customFormat="false" ht="15" hidden="false" customHeight="true" outlineLevel="0" collapsed="false">
      <c r="A582" s="38" t="s">
        <v>16</v>
      </c>
      <c r="B582" s="38" t="n">
        <v>13</v>
      </c>
      <c r="C582" s="38" t="s">
        <v>171</v>
      </c>
      <c r="D582" s="38" t="s">
        <v>172</v>
      </c>
      <c r="E582" s="38" t="s">
        <v>875</v>
      </c>
      <c r="F582" s="38" t="str">
        <f aca="false">B582&amp;"|"&amp;C582&amp;"|"&amp;D582</f>
        <v>13|U|A</v>
      </c>
      <c r="G582" s="45" t="n">
        <f aca="false">INDEX('Transition Stepwise'!$J$2:$J$1137,MATCH(F582,'Transition Stepwise'!$E$2:$E$1137,0))</f>
        <v>0.928571428571429</v>
      </c>
      <c r="H582" s="45" t="n">
        <f aca="false">INDEX(Background!$D$12:$D$27,MATCH(C582&amp;D582,Background!$E$12:$E$27,0))</f>
        <v>0.180787191460974</v>
      </c>
      <c r="I582" s="49" t="n">
        <f aca="false">LN(G582/H582)</f>
        <v>1.63632670506918</v>
      </c>
    </row>
    <row r="583" customFormat="false" ht="15" hidden="false" customHeight="true" outlineLevel="0" collapsed="false">
      <c r="A583" s="38" t="s">
        <v>16</v>
      </c>
      <c r="B583" s="38" t="n">
        <v>14</v>
      </c>
      <c r="C583" s="38" t="s">
        <v>172</v>
      </c>
      <c r="D583" s="38" t="s">
        <v>169</v>
      </c>
      <c r="E583" s="38" t="s">
        <v>875</v>
      </c>
      <c r="F583" s="38" t="str">
        <f aca="false">B583&amp;"|"&amp;C583&amp;"|"&amp;D583</f>
        <v>14|A|G</v>
      </c>
      <c r="G583" s="45" t="n">
        <f aca="false">INDEX('Transition Stepwise'!$J$2:$J$1137,MATCH(F583,'Transition Stepwise'!$E$2:$E$1137,0))</f>
        <v>0.81</v>
      </c>
      <c r="H583" s="45" t="n">
        <f aca="false">INDEX(Background!$D$12:$D$27,MATCH(C583&amp;D583,Background!$E$12:$E$27,0))</f>
        <v>0.424884437596302</v>
      </c>
      <c r="I583" s="49" t="n">
        <f aca="false">LN(G583/H583)</f>
        <v>0.645217027254826</v>
      </c>
    </row>
    <row r="584" customFormat="false" ht="15" hidden="false" customHeight="true" outlineLevel="0" collapsed="false">
      <c r="A584" s="38" t="s">
        <v>16</v>
      </c>
      <c r="B584" s="38" t="n">
        <v>15</v>
      </c>
      <c r="C584" s="38" t="s">
        <v>169</v>
      </c>
      <c r="D584" s="38" t="s">
        <v>172</v>
      </c>
      <c r="E584" s="38" t="s">
        <v>875</v>
      </c>
      <c r="F584" s="38" t="str">
        <f aca="false">B584&amp;"|"&amp;C584&amp;"|"&amp;D584</f>
        <v>15|G|A</v>
      </c>
      <c r="G584" s="45" t="n">
        <f aca="false">INDEX('Transition Stepwise'!$J$2:$J$1137,MATCH(F584,'Transition Stepwise'!$E$2:$E$1137,0))</f>
        <v>0.0256410256410256</v>
      </c>
      <c r="H584" s="45" t="n">
        <f aca="false">INDEX(Background!$D$12:$D$27,MATCH(C584&amp;D584,Background!$E$12:$E$27,0))</f>
        <v>0.164356435643564</v>
      </c>
      <c r="I584" s="49" t="n">
        <f aca="false">LN(G584/H584)</f>
        <v>-1.85784382465088</v>
      </c>
    </row>
    <row r="585" customFormat="false" ht="15" hidden="false" customHeight="true" outlineLevel="0" collapsed="false">
      <c r="A585" s="38" t="s">
        <v>16</v>
      </c>
      <c r="B585" s="38" t="n">
        <v>16</v>
      </c>
      <c r="C585" s="38" t="s">
        <v>172</v>
      </c>
      <c r="D585" s="38" t="s">
        <v>171</v>
      </c>
      <c r="E585" s="38" t="s">
        <v>875</v>
      </c>
      <c r="F585" s="38" t="str">
        <f aca="false">B585&amp;"|"&amp;C585&amp;"|"&amp;D585</f>
        <v>16|A|U</v>
      </c>
      <c r="G585" s="45" t="n">
        <f aca="false">INDEX('Transition Stepwise'!$J$2:$J$1137,MATCH(F585,'Transition Stepwise'!$E$2:$E$1137,0))</f>
        <v>0.428571428571429</v>
      </c>
      <c r="H585" s="45" t="n">
        <f aca="false">INDEX(Background!$D$12:$D$27,MATCH(C585&amp;D585,Background!$E$12:$E$27,0))</f>
        <v>0.194530046224961</v>
      </c>
      <c r="I585" s="49" t="n">
        <f aca="false">LN(G585/H585)</f>
        <v>0.789870788161417</v>
      </c>
    </row>
    <row r="586" customFormat="false" ht="15" hidden="false" customHeight="true" outlineLevel="0" collapsed="false">
      <c r="A586" s="38" t="s">
        <v>16</v>
      </c>
      <c r="B586" s="38" t="n">
        <v>17</v>
      </c>
      <c r="C586" s="38" t="s">
        <v>171</v>
      </c>
      <c r="D586" s="38" t="s">
        <v>169</v>
      </c>
      <c r="E586" s="38" t="s">
        <v>875</v>
      </c>
      <c r="F586" s="38" t="str">
        <f aca="false">B586&amp;"|"&amp;C586&amp;"|"&amp;D586</f>
        <v>17|U|G</v>
      </c>
      <c r="G586" s="45" t="n">
        <f aca="false">INDEX('Transition Stepwise'!$J$2:$J$1137,MATCH(F586,'Transition Stepwise'!$E$2:$E$1137,0))</f>
        <v>0.974358974358974</v>
      </c>
      <c r="H586" s="45" t="n">
        <f aca="false">INDEX(Background!$D$12:$D$27,MATCH(C586&amp;D586,Background!$E$12:$E$27,0))</f>
        <v>0.221480987324883</v>
      </c>
      <c r="I586" s="49" t="n">
        <f aca="false">LN(G586/H586)</f>
        <v>1.48144304278285</v>
      </c>
    </row>
    <row r="587" customFormat="false" ht="15" hidden="false" customHeight="true" outlineLevel="0" collapsed="false">
      <c r="A587" s="38" t="s">
        <v>16</v>
      </c>
      <c r="B587" s="38" t="n">
        <v>18</v>
      </c>
      <c r="C587" s="38" t="s">
        <v>169</v>
      </c>
      <c r="D587" s="38" t="s">
        <v>169</v>
      </c>
      <c r="E587" s="38" t="s">
        <v>875</v>
      </c>
      <c r="F587" s="38" t="str">
        <f aca="false">B587&amp;"|"&amp;C587&amp;"|"&amp;D587</f>
        <v>18|G|G</v>
      </c>
      <c r="G587" s="45" t="n">
        <f aca="false">INDEX('Transition Stepwise'!$J$2:$J$1137,MATCH(F587,'Transition Stepwise'!$E$2:$E$1137,0))</f>
        <v>0.975247524752475</v>
      </c>
      <c r="H587" s="45" t="n">
        <f aca="false">INDEX(Background!$D$12:$D$27,MATCH(C587&amp;D587,Background!$E$12:$E$27,0))</f>
        <v>0.344774477447745</v>
      </c>
      <c r="I587" s="49" t="n">
        <f aca="false">LN(G587/H587)</f>
        <v>1.03980079559234</v>
      </c>
    </row>
    <row r="588" customFormat="false" ht="15" hidden="false" customHeight="true" outlineLevel="0" collapsed="false">
      <c r="A588" s="38" t="s">
        <v>16</v>
      </c>
      <c r="B588" s="38" t="n">
        <v>19</v>
      </c>
      <c r="C588" s="38" t="s">
        <v>169</v>
      </c>
      <c r="D588" s="38" t="s">
        <v>171</v>
      </c>
      <c r="E588" s="38" t="s">
        <v>875</v>
      </c>
      <c r="F588" s="38" t="str">
        <f aca="false">B588&amp;"|"&amp;C588&amp;"|"&amp;D588</f>
        <v>19|G|U</v>
      </c>
      <c r="G588" s="45" t="n">
        <f aca="false">INDEX('Transition Stepwise'!$J$2:$J$1137,MATCH(F588,'Transition Stepwise'!$E$2:$E$1137,0))</f>
        <v>0.585</v>
      </c>
      <c r="H588" s="45" t="n">
        <f aca="false">INDEX(Background!$D$12:$D$27,MATCH(C588&amp;D588,Background!$E$12:$E$27,0))</f>
        <v>0.234763476347635</v>
      </c>
      <c r="I588" s="49" t="n">
        <f aca="false">LN(G588/H588)</f>
        <v>0.913033323559545</v>
      </c>
    </row>
    <row r="589" customFormat="false" ht="15" hidden="false" customHeight="true" outlineLevel="0" collapsed="false">
      <c r="A589" s="38" t="s">
        <v>16</v>
      </c>
      <c r="B589" s="38" t="n">
        <v>20</v>
      </c>
      <c r="C589" s="38" t="s">
        <v>171</v>
      </c>
      <c r="D589" s="38" t="s">
        <v>171</v>
      </c>
      <c r="E589" s="38" t="s">
        <v>875</v>
      </c>
      <c r="F589" s="38" t="str">
        <f aca="false">B589&amp;"|"&amp;C589&amp;"|"&amp;D589</f>
        <v>20|U|U</v>
      </c>
      <c r="G589" s="45" t="n">
        <f aca="false">INDEX('Transition Stepwise'!$J$2:$J$1137,MATCH(F589,'Transition Stepwise'!$E$2:$E$1137,0))</f>
        <v>0.0491803278688525</v>
      </c>
      <c r="H589" s="45" t="n">
        <f aca="false">INDEX(Background!$D$12:$D$27,MATCH(C589&amp;D589,Background!$E$12:$E$27,0))</f>
        <v>0.220480320213476</v>
      </c>
      <c r="I589" s="49" t="n">
        <f aca="false">LN(G589/H589)</f>
        <v>-1.50031473669434</v>
      </c>
    </row>
    <row r="590" customFormat="false" ht="15" hidden="false" customHeight="true" outlineLevel="0" collapsed="false">
      <c r="A590" s="38" t="s">
        <v>16</v>
      </c>
      <c r="B590" s="38" t="n">
        <v>21</v>
      </c>
      <c r="C590" s="38" t="s">
        <v>171</v>
      </c>
      <c r="D590" s="38" t="s">
        <v>169</v>
      </c>
      <c r="E590" s="38" t="s">
        <v>875</v>
      </c>
      <c r="F590" s="38" t="str">
        <f aca="false">B590&amp;"|"&amp;C590&amp;"|"&amp;D590</f>
        <v>21|U|G</v>
      </c>
      <c r="G590" s="45" t="n">
        <f aca="false">INDEX('Transition Stepwise'!$J$2:$J$1137,MATCH(F590,'Transition Stepwise'!$E$2:$E$1137,0))</f>
        <v>0.357142857142857</v>
      </c>
      <c r="H590" s="45" t="n">
        <f aca="false">INDEX(Background!$D$12:$D$27,MATCH(C590&amp;D590,Background!$E$12:$E$27,0))</f>
        <v>0.221480987324883</v>
      </c>
      <c r="I590" s="49" t="n">
        <f aca="false">LN(G590/H590)</f>
        <v>0.477799112004951</v>
      </c>
    </row>
    <row r="591" customFormat="false" ht="15" hidden="false" customHeight="true" outlineLevel="0" collapsed="false">
      <c r="A591" s="38" t="s">
        <v>16</v>
      </c>
      <c r="B591" s="38" t="n">
        <v>22</v>
      </c>
      <c r="C591" s="38" t="s">
        <v>169</v>
      </c>
      <c r="D591" s="38" t="s">
        <v>169</v>
      </c>
      <c r="E591" s="38" t="s">
        <v>875</v>
      </c>
      <c r="F591" s="38" t="str">
        <f aca="false">B591&amp;"|"&amp;C591&amp;"|"&amp;D591</f>
        <v>22|G|G</v>
      </c>
      <c r="G591" s="45" t="n">
        <f aca="false">INDEX('Transition Stepwise'!$J$2:$J$1137,MATCH(F591,'Transition Stepwise'!$E$2:$E$1137,0))</f>
        <v>0.0405405405405405</v>
      </c>
      <c r="H591" s="45" t="n">
        <f aca="false">INDEX(Background!$D$12:$D$27,MATCH(C591&amp;D591,Background!$E$12:$E$27,0))</f>
        <v>0.344774477447745</v>
      </c>
      <c r="I591" s="49" t="n">
        <f aca="false">LN(G591/H591)</f>
        <v>-2.1405880402805</v>
      </c>
    </row>
    <row r="592" customFormat="false" ht="15" hidden="false" customHeight="true" outlineLevel="0" collapsed="false">
      <c r="A592" s="38" t="s">
        <v>16</v>
      </c>
      <c r="B592" s="38" t="n">
        <v>23</v>
      </c>
      <c r="C592" s="38" t="s">
        <v>169</v>
      </c>
      <c r="D592" s="38" t="s">
        <v>169</v>
      </c>
      <c r="E592" s="38" t="s">
        <v>875</v>
      </c>
      <c r="F592" s="38" t="str">
        <f aca="false">B592&amp;"|"&amp;C592&amp;"|"&amp;D592</f>
        <v>23|G|G</v>
      </c>
      <c r="G592" s="45" t="n">
        <f aca="false">INDEX('Transition Stepwise'!$J$2:$J$1137,MATCH(F592,'Transition Stepwise'!$E$2:$E$1137,0))</f>
        <v>0.606060606060606</v>
      </c>
      <c r="H592" s="45" t="n">
        <f aca="false">INDEX(Background!$D$12:$D$27,MATCH(C592&amp;D592,Background!$E$12:$E$27,0))</f>
        <v>0.344774477447745</v>
      </c>
      <c r="I592" s="49" t="n">
        <f aca="false">LN(G592/H592)</f>
        <v>0.564089476343069</v>
      </c>
    </row>
    <row r="593" customFormat="false" ht="15" hidden="false" customHeight="true" outlineLevel="0" collapsed="false">
      <c r="A593" s="38" t="s">
        <v>16</v>
      </c>
      <c r="B593" s="38" t="n">
        <v>24</v>
      </c>
      <c r="C593" s="38" t="s">
        <v>169</v>
      </c>
      <c r="D593" s="38" t="s">
        <v>169</v>
      </c>
      <c r="E593" s="38" t="s">
        <v>875</v>
      </c>
      <c r="F593" s="38" t="str">
        <f aca="false">B593&amp;"|"&amp;C593&amp;"|"&amp;D593</f>
        <v>24|G|G</v>
      </c>
      <c r="G593" s="45" t="n">
        <f aca="false">INDEX('Transition Stepwise'!$J$2:$J$1137,MATCH(F593,'Transition Stepwise'!$E$2:$E$1137,0))</f>
        <v>0.0457516339869281</v>
      </c>
      <c r="H593" s="45" t="n">
        <f aca="false">INDEX(Background!$D$12:$D$27,MATCH(C593&amp;D593,Background!$E$12:$E$27,0))</f>
        <v>0.344774477447745</v>
      </c>
      <c r="I593" s="49" t="n">
        <f aca="false">LN(G593/H593)</f>
        <v>-2.01966300808156</v>
      </c>
    </row>
    <row r="594" customFormat="false" ht="15" hidden="false" customHeight="true" outlineLevel="0" collapsed="false">
      <c r="A594" s="38" t="s">
        <v>16</v>
      </c>
      <c r="B594" s="38" t="n">
        <v>25</v>
      </c>
      <c r="C594" s="38" t="s">
        <v>169</v>
      </c>
      <c r="D594" s="38" t="s">
        <v>170</v>
      </c>
      <c r="E594" s="38" t="s">
        <v>875</v>
      </c>
      <c r="F594" s="38" t="str">
        <f aca="false">B594&amp;"|"&amp;C594&amp;"|"&amp;D594</f>
        <v>25|G|C</v>
      </c>
      <c r="G594" s="45" t="n">
        <f aca="false">INDEX('Transition Stepwise'!$J$2:$J$1137,MATCH(F594,'Transition Stepwise'!$E$2:$E$1137,0))</f>
        <v>0.0909090909090909</v>
      </c>
      <c r="H594" s="45" t="n">
        <f aca="false">INDEX(Background!$D$12:$D$27,MATCH(C594&amp;D594,Background!$E$12:$E$27,0))</f>
        <v>0.256105610561056</v>
      </c>
      <c r="I594" s="49" t="n">
        <f aca="false">LN(G594/H594)</f>
        <v>-1.03572989447817</v>
      </c>
    </row>
    <row r="595" customFormat="false" ht="15" hidden="false" customHeight="true" outlineLevel="0" collapsed="false">
      <c r="A595" s="38" t="s">
        <v>16</v>
      </c>
      <c r="B595" s="38" t="n">
        <v>26</v>
      </c>
      <c r="C595" s="38" t="s">
        <v>170</v>
      </c>
      <c r="D595" s="38" t="s">
        <v>169</v>
      </c>
      <c r="E595" s="38" t="s">
        <v>875</v>
      </c>
      <c r="F595" s="38" t="str">
        <f aca="false">B595&amp;"|"&amp;C595&amp;"|"&amp;D595</f>
        <v>26|C|G</v>
      </c>
      <c r="G595" s="45" t="n">
        <f aca="false">INDEX('Transition Stepwise'!$J$2:$J$1137,MATCH(F595,'Transition Stepwise'!$E$2:$E$1137,0))</f>
        <v>0.222222222222222</v>
      </c>
      <c r="H595" s="45" t="n">
        <f aca="false">INDEX(Background!$D$12:$D$27,MATCH(C595&amp;D595,Background!$E$12:$E$27,0))</f>
        <v>0.296413502109705</v>
      </c>
      <c r="I595" s="49" t="n">
        <f aca="false">LN(G595/H595)</f>
        <v>-0.288077563854998</v>
      </c>
    </row>
    <row r="596" customFormat="false" ht="15" hidden="false" customHeight="true" outlineLevel="0" collapsed="false">
      <c r="A596" s="38" t="s">
        <v>16</v>
      </c>
      <c r="B596" s="38" t="n">
        <v>27</v>
      </c>
      <c r="C596" s="38" t="s">
        <v>169</v>
      </c>
      <c r="D596" s="38" t="s">
        <v>170</v>
      </c>
      <c r="E596" s="38" t="s">
        <v>875</v>
      </c>
      <c r="F596" s="38" t="str">
        <f aca="false">B596&amp;"|"&amp;C596&amp;"|"&amp;D596</f>
        <v>27|G|C</v>
      </c>
      <c r="G596" s="45" t="n">
        <f aca="false">INDEX('Transition Stepwise'!$J$2:$J$1137,MATCH(F596,'Transition Stepwise'!$E$2:$E$1137,0))</f>
        <v>0.714285714285714</v>
      </c>
      <c r="H596" s="45" t="n">
        <f aca="false">INDEX(Background!$D$12:$D$27,MATCH(C596&amp;D596,Background!$E$12:$E$27,0))</f>
        <v>0.256105610561056</v>
      </c>
      <c r="I596" s="49" t="n">
        <f aca="false">LN(G596/H596)</f>
        <v>1.02569314169898</v>
      </c>
    </row>
    <row r="597" customFormat="false" ht="15" hidden="false" customHeight="true" outlineLevel="0" collapsed="false">
      <c r="A597" s="38" t="s">
        <v>16</v>
      </c>
      <c r="B597" s="38" t="n">
        <v>28</v>
      </c>
      <c r="C597" s="38" t="s">
        <v>170</v>
      </c>
      <c r="D597" s="38" t="s">
        <v>170</v>
      </c>
      <c r="E597" s="38" t="s">
        <v>875</v>
      </c>
      <c r="F597" s="38" t="str">
        <f aca="false">B597&amp;"|"&amp;C597&amp;"|"&amp;D597</f>
        <v>28|C|C</v>
      </c>
      <c r="G597" s="45" t="n">
        <f aca="false">INDEX('Transition Stepwise'!$J$2:$J$1137,MATCH(F597,'Transition Stepwise'!$E$2:$E$1137,0))</f>
        <v>0.0841121495327103</v>
      </c>
      <c r="H597" s="45" t="n">
        <f aca="false">INDEX(Background!$D$12:$D$27,MATCH(C597&amp;D597,Background!$E$12:$E$27,0))</f>
        <v>0.312236286919831</v>
      </c>
      <c r="I597" s="49" t="n">
        <f aca="false">LN(G597/H597)</f>
        <v>-1.31160920919473</v>
      </c>
    </row>
    <row r="598" customFormat="false" ht="15" hidden="false" customHeight="true" outlineLevel="0" collapsed="false">
      <c r="A598" s="38" t="s">
        <v>16</v>
      </c>
      <c r="B598" s="38" t="n">
        <v>29</v>
      </c>
      <c r="C598" s="38" t="s">
        <v>170</v>
      </c>
      <c r="D598" s="38" t="s">
        <v>172</v>
      </c>
      <c r="E598" s="38" t="s">
        <v>875</v>
      </c>
      <c r="F598" s="38" t="str">
        <f aca="false">B598&amp;"|"&amp;C598&amp;"|"&amp;D598</f>
        <v>29|C|A</v>
      </c>
      <c r="G598" s="45" t="n">
        <f aca="false">INDEX('Transition Stepwise'!$J$2:$J$1137,MATCH(F598,'Transition Stepwise'!$E$2:$E$1137,0))</f>
        <v>0.0256410256410256</v>
      </c>
      <c r="H598" s="45" t="n">
        <f aca="false">INDEX(Background!$D$12:$D$27,MATCH(C598&amp;D598,Background!$E$12:$E$27,0))</f>
        <v>0.194883966244726</v>
      </c>
      <c r="I598" s="49" t="n">
        <f aca="false">LN(G598/H598)</f>
        <v>-2.02821070370294</v>
      </c>
    </row>
    <row r="599" customFormat="false" ht="15" hidden="false" customHeight="true" outlineLevel="0" collapsed="false">
      <c r="A599" s="38" t="s">
        <v>16</v>
      </c>
      <c r="B599" s="38" t="n">
        <v>30</v>
      </c>
      <c r="C599" s="38" t="s">
        <v>172</v>
      </c>
      <c r="D599" s="38" t="s">
        <v>169</v>
      </c>
      <c r="E599" s="38" t="s">
        <v>875</v>
      </c>
      <c r="F599" s="38" t="str">
        <f aca="false">B599&amp;"|"&amp;C599&amp;"|"&amp;D599</f>
        <v>30|A|G</v>
      </c>
      <c r="G599" s="45" t="n">
        <f aca="false">INDEX('Transition Stepwise'!$J$2:$J$1137,MATCH(F599,'Transition Stepwise'!$E$2:$E$1137,0))</f>
        <v>0.25</v>
      </c>
      <c r="H599" s="45" t="n">
        <f aca="false">INDEX(Background!$D$12:$D$27,MATCH(C599&amp;D599,Background!$E$12:$E$27,0))</f>
        <v>0.424884437596302</v>
      </c>
      <c r="I599" s="49" t="n">
        <f aca="false">LN(G599/H599)</f>
        <v>-0.530356302549413</v>
      </c>
    </row>
    <row r="600" customFormat="false" ht="15" hidden="false" customHeight="true" outlineLevel="0" collapsed="false">
      <c r="A600" s="38" t="s">
        <v>16</v>
      </c>
      <c r="B600" s="38" t="n">
        <v>31</v>
      </c>
      <c r="C600" s="38" t="s">
        <v>169</v>
      </c>
      <c r="D600" s="38" t="s">
        <v>172</v>
      </c>
      <c r="E600" s="38" t="s">
        <v>875</v>
      </c>
      <c r="F600" s="38" t="str">
        <f aca="false">B600&amp;"|"&amp;C600&amp;"|"&amp;D600</f>
        <v>31|G|A</v>
      </c>
      <c r="G600" s="45" t="n">
        <f aca="false">INDEX('Transition Stepwise'!$J$2:$J$1137,MATCH(F600,'Transition Stepwise'!$E$2:$E$1137,0))</f>
        <v>0.0172413793103448</v>
      </c>
      <c r="H600" s="45" t="n">
        <f aca="false">INDEX(Background!$D$12:$D$27,MATCH(C600&amp;D600,Background!$E$12:$E$27,0))</f>
        <v>0.164356435643564</v>
      </c>
      <c r="I600" s="49" t="n">
        <f aca="false">LN(G600/H600)</f>
        <v>-2.25472518906766</v>
      </c>
    </row>
    <row r="601" customFormat="false" ht="15" hidden="false" customHeight="true" outlineLevel="0" collapsed="false">
      <c r="A601" s="38" t="s">
        <v>16</v>
      </c>
      <c r="B601" s="38" t="n">
        <v>32</v>
      </c>
      <c r="C601" s="38" t="s">
        <v>172</v>
      </c>
      <c r="D601" s="38" t="s">
        <v>170</v>
      </c>
      <c r="E601" s="38" t="s">
        <v>875</v>
      </c>
      <c r="F601" s="38" t="str">
        <f aca="false">B601&amp;"|"&amp;C601&amp;"|"&amp;D601</f>
        <v>32|A|C</v>
      </c>
      <c r="G601" s="45" t="n">
        <f aca="false">INDEX('Transition Stepwise'!$J$2:$J$1137,MATCH(F601,'Transition Stepwise'!$E$2:$E$1137,0))</f>
        <v>0.1</v>
      </c>
      <c r="H601" s="45" t="n">
        <f aca="false">INDEX(Background!$D$12:$D$27,MATCH(C601&amp;D601,Background!$E$12:$E$27,0))</f>
        <v>0.161016949152542</v>
      </c>
      <c r="I601" s="49" t="n">
        <f aca="false">LN(G601/H601)</f>
        <v>-0.476339447694821</v>
      </c>
    </row>
    <row r="602" customFormat="false" ht="15" hidden="false" customHeight="true" outlineLevel="0" collapsed="false">
      <c r="A602" s="38" t="s">
        <v>16</v>
      </c>
      <c r="B602" s="38" t="n">
        <v>33</v>
      </c>
      <c r="C602" s="38" t="s">
        <v>170</v>
      </c>
      <c r="D602" s="38" t="s">
        <v>171</v>
      </c>
      <c r="E602" s="38" t="s">
        <v>875</v>
      </c>
      <c r="F602" s="38" t="str">
        <f aca="false">B602&amp;"|"&amp;C602&amp;"|"&amp;D602</f>
        <v>33|C|U</v>
      </c>
      <c r="G602" s="45" t="n">
        <f aca="false">INDEX('Transition Stepwise'!$J$2:$J$1137,MATCH(F602,'Transition Stepwise'!$E$2:$E$1137,0))</f>
        <v>0.2</v>
      </c>
      <c r="H602" s="45" t="n">
        <f aca="false">INDEX(Background!$D$12:$D$27,MATCH(C602&amp;D602,Background!$E$12:$E$27,0))</f>
        <v>0.196466244725738</v>
      </c>
      <c r="I602" s="49" t="n">
        <f aca="false">LN(G602/H602)</f>
        <v>0.0178267325612525</v>
      </c>
    </row>
    <row r="603" customFormat="false" ht="15" hidden="false" customHeight="true" outlineLevel="0" collapsed="false">
      <c r="A603" s="38" t="s">
        <v>16</v>
      </c>
      <c r="B603" s="38" t="n">
        <v>34</v>
      </c>
      <c r="C603" s="38" t="s">
        <v>171</v>
      </c>
      <c r="D603" s="38" t="s">
        <v>170</v>
      </c>
      <c r="E603" s="38" t="s">
        <v>875</v>
      </c>
      <c r="F603" s="38" t="str">
        <f aca="false">B603&amp;"|"&amp;C603&amp;"|"&amp;D603</f>
        <v>34|U|C</v>
      </c>
      <c r="G603" s="45" t="n">
        <f aca="false">INDEX('Transition Stepwise'!$J$2:$J$1137,MATCH(F603,'Transition Stepwise'!$E$2:$E$1137,0))</f>
        <v>0.225806451612903</v>
      </c>
      <c r="H603" s="45" t="n">
        <f aca="false">INDEX(Background!$D$12:$D$27,MATCH(C603&amp;D603,Background!$E$12:$E$27,0))</f>
        <v>0.377251501000667</v>
      </c>
      <c r="I603" s="49" t="n">
        <f aca="false">LN(G603/H603)</f>
        <v>-0.513233852883411</v>
      </c>
    </row>
    <row r="604" customFormat="false" ht="15" hidden="false" customHeight="true" outlineLevel="0" collapsed="false">
      <c r="A604" s="38" t="s">
        <v>16</v>
      </c>
      <c r="B604" s="38" t="n">
        <v>35</v>
      </c>
      <c r="C604" s="38" t="s">
        <v>170</v>
      </c>
      <c r="D604" s="38" t="s">
        <v>172</v>
      </c>
      <c r="E604" s="38" t="s">
        <v>875</v>
      </c>
      <c r="F604" s="38" t="str">
        <f aca="false">B604&amp;"|"&amp;C604&amp;"|"&amp;D604</f>
        <v>35|C|A</v>
      </c>
      <c r="G604" s="45" t="n">
        <f aca="false">INDEX('Transition Stepwise'!$J$2:$J$1137,MATCH(F604,'Transition Stepwise'!$E$2:$E$1137,0))</f>
        <v>0.42</v>
      </c>
      <c r="H604" s="45" t="n">
        <f aca="false">INDEX(Background!$D$12:$D$27,MATCH(C604&amp;D604,Background!$E$12:$E$27,0))</f>
        <v>0.194883966244726</v>
      </c>
      <c r="I604" s="49" t="n">
        <f aca="false">LN(G604/H604)</f>
        <v>0.767850374721988</v>
      </c>
    </row>
    <row r="605" customFormat="false" ht="15" hidden="false" customHeight="true" outlineLevel="0" collapsed="false">
      <c r="A605" s="38" t="s">
        <v>16</v>
      </c>
      <c r="B605" s="38" t="n">
        <v>36</v>
      </c>
      <c r="C605" s="38" t="s">
        <v>172</v>
      </c>
      <c r="D605" s="38" t="s">
        <v>171</v>
      </c>
      <c r="E605" s="38" t="s">
        <v>875</v>
      </c>
      <c r="F605" s="38" t="str">
        <f aca="false">B605&amp;"|"&amp;C605&amp;"|"&amp;D605</f>
        <v>36|A|U</v>
      </c>
      <c r="G605" s="45" t="n">
        <f aca="false">INDEX('Transition Stepwise'!$J$2:$J$1137,MATCH(F605,'Transition Stepwise'!$E$2:$E$1137,0))</f>
        <v>0.0212765957446809</v>
      </c>
      <c r="H605" s="45" t="n">
        <f aca="false">INDEX(Background!$D$12:$D$27,MATCH(C605&amp;D605,Background!$E$12:$E$27,0))</f>
        <v>0.194530046224961</v>
      </c>
      <c r="I605" s="49" t="n">
        <f aca="false">LN(G605/H605)</f>
        <v>-2.21297895316144</v>
      </c>
    </row>
    <row r="606" customFormat="false" ht="15" hidden="false" customHeight="true" outlineLevel="0" collapsed="false">
      <c r="A606" s="38" t="s">
        <v>16</v>
      </c>
      <c r="B606" s="38" t="n">
        <v>37</v>
      </c>
      <c r="C606" s="38" t="s">
        <v>171</v>
      </c>
      <c r="D606" s="38" t="s">
        <v>171</v>
      </c>
      <c r="E606" s="38" t="s">
        <v>875</v>
      </c>
      <c r="F606" s="38" t="str">
        <f aca="false">B606&amp;"|"&amp;C606&amp;"|"&amp;D606</f>
        <v>37|U|U</v>
      </c>
      <c r="G606" s="45" t="n">
        <f aca="false">INDEX('Transition Stepwise'!$J$2:$J$1137,MATCH(F606,'Transition Stepwise'!$E$2:$E$1137,0))</f>
        <v>0.25</v>
      </c>
      <c r="H606" s="45" t="n">
        <f aca="false">INDEX(Background!$D$12:$D$27,MATCH(C606&amp;D606,Background!$E$12:$E$27,0))</f>
        <v>0.220480320213476</v>
      </c>
      <c r="I606" s="49" t="n">
        <f aca="false">LN(G606/H606)</f>
        <v>0.125652477690966</v>
      </c>
    </row>
    <row r="607" customFormat="false" ht="15" hidden="false" customHeight="true" outlineLevel="0" collapsed="false">
      <c r="A607" s="38" t="s">
        <v>16</v>
      </c>
      <c r="B607" s="38" t="n">
        <v>38</v>
      </c>
      <c r="C607" s="38" t="s">
        <v>171</v>
      </c>
      <c r="D607" s="38" t="s">
        <v>170</v>
      </c>
      <c r="E607" s="38" t="s">
        <v>875</v>
      </c>
      <c r="F607" s="38" t="str">
        <f aca="false">B607&amp;"|"&amp;C607&amp;"|"&amp;D607</f>
        <v>38|U|C</v>
      </c>
      <c r="G607" s="45" t="n">
        <f aca="false">INDEX('Transition Stepwise'!$J$2:$J$1137,MATCH(F607,'Transition Stepwise'!$E$2:$E$1137,0))</f>
        <v>0.185185185185185</v>
      </c>
      <c r="H607" s="45" t="n">
        <f aca="false">INDEX(Background!$D$12:$D$27,MATCH(C607&amp;D607,Background!$E$12:$E$27,0))</f>
        <v>0.377251501000667</v>
      </c>
      <c r="I607" s="49" t="n">
        <f aca="false">LN(G607/H607)</f>
        <v>-0.711555751023806</v>
      </c>
    </row>
    <row r="608" customFormat="false" ht="15" hidden="false" customHeight="true" outlineLevel="0" collapsed="false">
      <c r="A608" s="38" t="s">
        <v>16</v>
      </c>
      <c r="B608" s="38" t="n">
        <v>39</v>
      </c>
      <c r="C608" s="38" t="s">
        <v>170</v>
      </c>
      <c r="D608" s="38" t="s">
        <v>171</v>
      </c>
      <c r="E608" s="38" t="s">
        <v>875</v>
      </c>
      <c r="F608" s="38" t="str">
        <f aca="false">B608&amp;"|"&amp;C608&amp;"|"&amp;D608</f>
        <v>39|C|U</v>
      </c>
      <c r="G608" s="45" t="n">
        <f aca="false">INDEX('Transition Stepwise'!$J$2:$J$1137,MATCH(F608,'Transition Stepwise'!$E$2:$E$1137,0))</f>
        <v>0.0185185185185185</v>
      </c>
      <c r="H608" s="45" t="n">
        <f aca="false">INDEX(Background!$D$12:$D$27,MATCH(C608&amp;D608,Background!$E$12:$E$27,0))</f>
        <v>0.196466244725738</v>
      </c>
      <c r="I608" s="49" t="n">
        <f aca="false">LN(G608/H608)</f>
        <v>-2.36171940156892</v>
      </c>
    </row>
    <row r="609" customFormat="false" ht="15" hidden="false" customHeight="true" outlineLevel="0" collapsed="false">
      <c r="A609" s="38" t="s">
        <v>16</v>
      </c>
      <c r="B609" s="38" t="n">
        <v>40</v>
      </c>
      <c r="C609" s="38" t="s">
        <v>171</v>
      </c>
      <c r="D609" s="38" t="s">
        <v>169</v>
      </c>
      <c r="E609" s="38" t="s">
        <v>875</v>
      </c>
      <c r="F609" s="38" t="str">
        <f aca="false">B609&amp;"|"&amp;C609&amp;"|"&amp;D609</f>
        <v>40|U|G</v>
      </c>
      <c r="G609" s="45" t="n">
        <f aca="false">INDEX('Transition Stepwise'!$J$2:$J$1137,MATCH(F609,'Transition Stepwise'!$E$2:$E$1137,0))</f>
        <v>0.25</v>
      </c>
      <c r="H609" s="45" t="n">
        <f aca="false">INDEX(Background!$D$12:$D$27,MATCH(C609&amp;D609,Background!$E$12:$E$27,0))</f>
        <v>0.221480987324883</v>
      </c>
      <c r="I609" s="49" t="n">
        <f aca="false">LN(G609/H609)</f>
        <v>0.121124168066218</v>
      </c>
    </row>
    <row r="610" customFormat="false" ht="15" hidden="false" customHeight="true" outlineLevel="0" collapsed="false">
      <c r="A610" s="38" t="s">
        <v>16</v>
      </c>
      <c r="B610" s="38" t="n">
        <v>41</v>
      </c>
      <c r="C610" s="38" t="s">
        <v>169</v>
      </c>
      <c r="D610" s="38" t="s">
        <v>169</v>
      </c>
      <c r="E610" s="38" t="s">
        <v>875</v>
      </c>
      <c r="F610" s="38" t="str">
        <f aca="false">B610&amp;"|"&amp;C610&amp;"|"&amp;D610</f>
        <v>41|G|G</v>
      </c>
      <c r="G610" s="45" t="n">
        <f aca="false">INDEX('Transition Stepwise'!$J$2:$J$1137,MATCH(F610,'Transition Stepwise'!$E$2:$E$1137,0))</f>
        <v>0.282051282051282</v>
      </c>
      <c r="H610" s="45" t="n">
        <f aca="false">INDEX(Background!$D$12:$D$27,MATCH(C610&amp;D610,Background!$E$12:$E$27,0))</f>
        <v>0.344774477447745</v>
      </c>
      <c r="I610" s="49" t="n">
        <f aca="false">LN(G610/H610)</f>
        <v>-0.200801609075717</v>
      </c>
    </row>
    <row r="611" customFormat="false" ht="15" hidden="false" customHeight="true" outlineLevel="0" collapsed="false">
      <c r="A611" s="38" t="s">
        <v>16</v>
      </c>
      <c r="B611" s="38" t="n">
        <v>42</v>
      </c>
      <c r="C611" s="38" t="s">
        <v>169</v>
      </c>
      <c r="D611" s="38" t="s">
        <v>172</v>
      </c>
      <c r="E611" s="38" t="s">
        <v>875</v>
      </c>
      <c r="F611" s="38" t="str">
        <f aca="false">B611&amp;"|"&amp;C611&amp;"|"&amp;D611</f>
        <v>42|G|A</v>
      </c>
      <c r="G611" s="45" t="n">
        <f aca="false">INDEX('Transition Stepwise'!$J$2:$J$1137,MATCH(F611,'Transition Stepwise'!$E$2:$E$1137,0))</f>
        <v>0.238532110091743</v>
      </c>
      <c r="H611" s="45" t="n">
        <f aca="false">INDEX(Background!$D$12:$D$27,MATCH(C611&amp;D611,Background!$E$12:$E$27,0))</f>
        <v>0.164356435643564</v>
      </c>
      <c r="I611" s="49" t="n">
        <f aca="false">LN(G611/H611)</f>
        <v>0.3724664772711</v>
      </c>
    </row>
    <row r="612" customFormat="false" ht="15" hidden="false" customHeight="true" outlineLevel="0" collapsed="false">
      <c r="A612" s="38" t="s">
        <v>16</v>
      </c>
      <c r="B612" s="38" t="n">
        <v>43</v>
      </c>
      <c r="C612" s="38" t="s">
        <v>172</v>
      </c>
      <c r="D612" s="38" t="s">
        <v>169</v>
      </c>
      <c r="E612" s="38" t="s">
        <v>875</v>
      </c>
      <c r="F612" s="38" t="str">
        <f aca="false">B612&amp;"|"&amp;C612&amp;"|"&amp;D612</f>
        <v>43|A|G</v>
      </c>
      <c r="G612" s="45" t="n">
        <f aca="false">INDEX('Transition Stepwise'!$J$2:$J$1137,MATCH(F612,'Transition Stepwise'!$E$2:$E$1137,0))</f>
        <v>0.285714285714286</v>
      </c>
      <c r="H612" s="45" t="n">
        <f aca="false">INDEX(Background!$D$12:$D$27,MATCH(C612&amp;D612,Background!$E$12:$E$27,0))</f>
        <v>0.424884437596302</v>
      </c>
      <c r="I612" s="49" t="n">
        <f aca="false">LN(G612/H612)</f>
        <v>-0.39682490992489</v>
      </c>
    </row>
    <row r="613" customFormat="false" ht="15" hidden="false" customHeight="true" outlineLevel="0" collapsed="false">
      <c r="A613" s="38" t="s">
        <v>16</v>
      </c>
      <c r="B613" s="38" t="n">
        <v>44</v>
      </c>
      <c r="C613" s="38" t="s">
        <v>169</v>
      </c>
      <c r="D613" s="38" t="s">
        <v>169</v>
      </c>
      <c r="E613" s="38" t="s">
        <v>875</v>
      </c>
      <c r="F613" s="38" t="str">
        <f aca="false">B613&amp;"|"&amp;C613&amp;"|"&amp;D613</f>
        <v>44|G|G</v>
      </c>
      <c r="G613" s="45" t="n">
        <f aca="false">INDEX('Transition Stepwise'!$J$2:$J$1137,MATCH(F613,'Transition Stepwise'!$E$2:$E$1137,0))</f>
        <v>0.66</v>
      </c>
      <c r="H613" s="45" t="n">
        <f aca="false">INDEX(Background!$D$12:$D$27,MATCH(C613&amp;D613,Background!$E$12:$E$27,0))</f>
        <v>0.344774477447745</v>
      </c>
      <c r="I613" s="49" t="n">
        <f aca="false">LN(G613/H613)</f>
        <v>0.649349320293893</v>
      </c>
    </row>
    <row r="614" customFormat="false" ht="15" hidden="false" customHeight="true" outlineLevel="0" collapsed="false">
      <c r="A614" s="38" t="s">
        <v>16</v>
      </c>
      <c r="B614" s="38" t="n">
        <v>45</v>
      </c>
      <c r="C614" s="38" t="s">
        <v>169</v>
      </c>
      <c r="D614" s="38" t="s">
        <v>176</v>
      </c>
      <c r="E614" s="40" t="s">
        <v>876</v>
      </c>
      <c r="F614" s="38"/>
      <c r="G614" s="38"/>
      <c r="H614" s="38"/>
      <c r="I614" s="38"/>
    </row>
    <row r="615" customFormat="false" ht="15" hidden="false" customHeight="true" outlineLevel="0" collapsed="false">
      <c r="A615" s="38" t="s">
        <v>16</v>
      </c>
      <c r="B615" s="38" t="n">
        <v>46</v>
      </c>
      <c r="C615" s="38" t="s">
        <v>176</v>
      </c>
      <c r="D615" s="38" t="s">
        <v>171</v>
      </c>
      <c r="E615" s="40" t="s">
        <v>876</v>
      </c>
      <c r="F615" s="38"/>
      <c r="G615" s="38"/>
      <c r="H615" s="38"/>
      <c r="I615" s="38"/>
    </row>
    <row r="616" customFormat="false" ht="15" hidden="false" customHeight="true" outlineLevel="0" collapsed="false">
      <c r="A616" s="38" t="s">
        <v>16</v>
      </c>
      <c r="B616" s="38" t="n">
        <v>47</v>
      </c>
      <c r="C616" s="38" t="s">
        <v>171</v>
      </c>
      <c r="D616" s="38" t="s">
        <v>170</v>
      </c>
      <c r="E616" s="38" t="s">
        <v>875</v>
      </c>
      <c r="F616" s="38" t="str">
        <f aca="false">B616&amp;"|"&amp;C616&amp;"|"&amp;D616</f>
        <v>47|U|C</v>
      </c>
      <c r="G616" s="45" t="n">
        <f aca="false">INDEX('Transition Stepwise'!$J$2:$J$1137,MATCH(F616,'Transition Stepwise'!$E$2:$E$1137,0))</f>
        <v>0.855072463768116</v>
      </c>
      <c r="H616" s="45" t="n">
        <f aca="false">INDEX(Background!$D$12:$D$27,MATCH(C616&amp;D616,Background!$E$12:$E$27,0))</f>
        <v>0.377251501000667</v>
      </c>
      <c r="I616" s="49" t="n">
        <f aca="false">LN(G616/H616)</f>
        <v>0.818274141854883</v>
      </c>
    </row>
    <row r="617" customFormat="false" ht="15" hidden="false" customHeight="true" outlineLevel="0" collapsed="false">
      <c r="A617" s="38" t="s">
        <v>16</v>
      </c>
      <c r="B617" s="38" t="n">
        <v>48</v>
      </c>
      <c r="C617" s="38" t="s">
        <v>170</v>
      </c>
      <c r="D617" s="38" t="s">
        <v>169</v>
      </c>
      <c r="E617" s="38" t="s">
        <v>875</v>
      </c>
      <c r="F617" s="38" t="str">
        <f aca="false">B617&amp;"|"&amp;C617&amp;"|"&amp;D617</f>
        <v>48|C|G</v>
      </c>
      <c r="G617" s="45" t="n">
        <f aca="false">INDEX('Transition Stepwise'!$J$2:$J$1137,MATCH(F617,'Transition Stepwise'!$E$2:$E$1137,0))</f>
        <v>0.497076023391813</v>
      </c>
      <c r="H617" s="45" t="n">
        <f aca="false">INDEX(Background!$D$12:$D$27,MATCH(C617&amp;D617,Background!$E$12:$E$27,0))</f>
        <v>0.296413502109705</v>
      </c>
      <c r="I617" s="49" t="n">
        <f aca="false">LN(G617/H617)</f>
        <v>0.516987532908933</v>
      </c>
    </row>
    <row r="618" customFormat="false" ht="15" hidden="false" customHeight="true" outlineLevel="0" collapsed="false">
      <c r="A618" s="38" t="s">
        <v>16</v>
      </c>
      <c r="B618" s="38" t="n">
        <v>49</v>
      </c>
      <c r="C618" s="38" t="s">
        <v>169</v>
      </c>
      <c r="D618" s="38" t="s">
        <v>170</v>
      </c>
      <c r="E618" s="38" t="s">
        <v>875</v>
      </c>
      <c r="F618" s="38" t="str">
        <f aca="false">B618&amp;"|"&amp;C618&amp;"|"&amp;D618</f>
        <v>49|G|C</v>
      </c>
      <c r="G618" s="45" t="n">
        <f aca="false">INDEX('Transition Stepwise'!$J$2:$J$1137,MATCH(F618,'Transition Stepwise'!$E$2:$E$1137,0))</f>
        <v>0.326923076923077</v>
      </c>
      <c r="H618" s="45" t="n">
        <f aca="false">INDEX(Background!$D$12:$D$27,MATCH(C618&amp;D618,Background!$E$12:$E$27,0))</f>
        <v>0.256105610561056</v>
      </c>
      <c r="I618" s="49" t="n">
        <f aca="false">LN(G618/H618)</f>
        <v>0.244135003794985</v>
      </c>
    </row>
    <row r="619" customFormat="false" ht="15" hidden="false" customHeight="true" outlineLevel="0" collapsed="false">
      <c r="A619" s="38" t="s">
        <v>16</v>
      </c>
      <c r="B619" s="38" t="n">
        <v>50</v>
      </c>
      <c r="C619" s="38" t="s">
        <v>170</v>
      </c>
      <c r="D619" s="38" t="s">
        <v>169</v>
      </c>
      <c r="E619" s="38" t="s">
        <v>875</v>
      </c>
      <c r="F619" s="38" t="str">
        <f aca="false">B619&amp;"|"&amp;C619&amp;"|"&amp;D619</f>
        <v>50|C|G</v>
      </c>
      <c r="G619" s="45" t="n">
        <f aca="false">INDEX('Transition Stepwise'!$J$2:$J$1137,MATCH(F619,'Transition Stepwise'!$E$2:$E$1137,0))</f>
        <v>0.428571428571429</v>
      </c>
      <c r="H619" s="45" t="n">
        <f aca="false">INDEX(Background!$D$12:$D$27,MATCH(C619&amp;D619,Background!$E$12:$E$27,0))</f>
        <v>0.296413502109705</v>
      </c>
      <c r="I619" s="49" t="n">
        <f aca="false">LN(G619/H619)</f>
        <v>0.368701972534072</v>
      </c>
    </row>
    <row r="620" customFormat="false" ht="15" hidden="false" customHeight="true" outlineLevel="0" collapsed="false">
      <c r="A620" s="38" t="s">
        <v>16</v>
      </c>
      <c r="B620" s="38" t="n">
        <v>51</v>
      </c>
      <c r="C620" s="38" t="s">
        <v>169</v>
      </c>
      <c r="D620" s="38" t="s">
        <v>171</v>
      </c>
      <c r="E620" s="38" t="s">
        <v>875</v>
      </c>
      <c r="F620" s="38" t="str">
        <f aca="false">B620&amp;"|"&amp;C620&amp;"|"&amp;D620</f>
        <v>51|G|U</v>
      </c>
      <c r="G620" s="45" t="n">
        <f aca="false">INDEX('Transition Stepwise'!$J$2:$J$1137,MATCH(F620,'Transition Stepwise'!$E$2:$E$1137,0))</f>
        <v>0.0388349514563107</v>
      </c>
      <c r="H620" s="45" t="n">
        <f aca="false">INDEX(Background!$D$12:$D$27,MATCH(C620&amp;D620,Background!$E$12:$E$27,0))</f>
        <v>0.234763476347635</v>
      </c>
      <c r="I620" s="49" t="n">
        <f aca="false">LN(G620/H620)</f>
        <v>-1.79925787179992</v>
      </c>
    </row>
    <row r="621" customFormat="false" ht="15" hidden="false" customHeight="true" outlineLevel="0" collapsed="false">
      <c r="A621" s="38" t="s">
        <v>16</v>
      </c>
      <c r="B621" s="38" t="n">
        <v>52</v>
      </c>
      <c r="C621" s="38" t="s">
        <v>171</v>
      </c>
      <c r="D621" s="38" t="s">
        <v>169</v>
      </c>
      <c r="E621" s="38" t="s">
        <v>875</v>
      </c>
      <c r="F621" s="38" t="str">
        <f aca="false">B621&amp;"|"&amp;C621&amp;"|"&amp;D621</f>
        <v>52|U|G</v>
      </c>
      <c r="G621" s="45" t="n">
        <f aca="false">INDEX('Transition Stepwise'!$J$2:$J$1137,MATCH(F621,'Transition Stepwise'!$E$2:$E$1137,0))</f>
        <v>0.5</v>
      </c>
      <c r="H621" s="45" t="n">
        <f aca="false">INDEX(Background!$D$12:$D$27,MATCH(C621&amp;D621,Background!$E$12:$E$27,0))</f>
        <v>0.221480987324883</v>
      </c>
      <c r="I621" s="49" t="n">
        <f aca="false">LN(G621/H621)</f>
        <v>0.814271348626164</v>
      </c>
    </row>
    <row r="622" customFormat="false" ht="15" hidden="false" customHeight="true" outlineLevel="0" collapsed="false">
      <c r="A622" s="38" t="s">
        <v>16</v>
      </c>
      <c r="B622" s="38" t="n">
        <v>53</v>
      </c>
      <c r="C622" s="38" t="s">
        <v>169</v>
      </c>
      <c r="D622" s="38" t="s">
        <v>171</v>
      </c>
      <c r="E622" s="38" t="s">
        <v>875</v>
      </c>
      <c r="F622" s="38" t="str">
        <f aca="false">B622&amp;"|"&amp;C622&amp;"|"&amp;D622</f>
        <v>53|G|U</v>
      </c>
      <c r="G622" s="45" t="n">
        <f aca="false">INDEX('Transition Stepwise'!$J$2:$J$1137,MATCH(F622,'Transition Stepwise'!$E$2:$E$1137,0))</f>
        <v>0.974874371859297</v>
      </c>
      <c r="H622" s="45" t="n">
        <f aca="false">INDEX(Background!$D$12:$D$27,MATCH(C622&amp;D622,Background!$E$12:$E$27,0))</f>
        <v>0.234763476347635</v>
      </c>
      <c r="I622" s="49" t="n">
        <f aca="false">LN(G622/H622)</f>
        <v>1.42373008964866</v>
      </c>
    </row>
    <row r="623" customFormat="false" ht="15" hidden="false" customHeight="true" outlineLevel="0" collapsed="false">
      <c r="A623" s="38" t="s">
        <v>16</v>
      </c>
      <c r="B623" s="38" t="n">
        <v>54</v>
      </c>
      <c r="C623" s="38" t="s">
        <v>171</v>
      </c>
      <c r="D623" s="38" t="s">
        <v>171</v>
      </c>
      <c r="E623" s="38" t="s">
        <v>875</v>
      </c>
      <c r="F623" s="38" t="str">
        <f aca="false">B623&amp;"|"&amp;C623&amp;"|"&amp;D623</f>
        <v>54|U|U</v>
      </c>
      <c r="G623" s="45" t="n">
        <f aca="false">INDEX('Transition Stepwise'!$J$2:$J$1137,MATCH(F623,'Transition Stepwise'!$E$2:$E$1137,0))</f>
        <v>0.970149253731343</v>
      </c>
      <c r="H623" s="45" t="n">
        <f aca="false">INDEX(Background!$D$12:$D$27,MATCH(C623&amp;D623,Background!$E$12:$E$27,0))</f>
        <v>0.220480320213476</v>
      </c>
      <c r="I623" s="49" t="n">
        <f aca="false">LN(G623/H623)</f>
        <v>1.48164148931553</v>
      </c>
    </row>
    <row r="624" customFormat="false" ht="15" hidden="false" customHeight="true" outlineLevel="0" collapsed="false">
      <c r="A624" s="38" t="s">
        <v>16</v>
      </c>
      <c r="B624" s="38" t="n">
        <v>55</v>
      </c>
      <c r="C624" s="38" t="s">
        <v>171</v>
      </c>
      <c r="D624" s="38" t="s">
        <v>170</v>
      </c>
      <c r="E624" s="38" t="s">
        <v>875</v>
      </c>
      <c r="F624" s="38" t="str">
        <f aca="false">B624&amp;"|"&amp;C624&amp;"|"&amp;D624</f>
        <v>55|U|C</v>
      </c>
      <c r="G624" s="45" t="n">
        <f aca="false">INDEX('Transition Stepwise'!$J$2:$J$1137,MATCH(F624,'Transition Stepwise'!$E$2:$E$1137,0))</f>
        <v>0.975</v>
      </c>
      <c r="H624" s="45" t="n">
        <f aca="false">INDEX(Background!$D$12:$D$27,MATCH(C624&amp;D624,Background!$E$12:$E$27,0))</f>
        <v>0.377251501000667</v>
      </c>
      <c r="I624" s="49" t="n">
        <f aca="false">LN(G624/H624)</f>
        <v>0.949525394562133</v>
      </c>
    </row>
    <row r="625" customFormat="false" ht="15" hidden="false" customHeight="true" outlineLevel="0" collapsed="false">
      <c r="A625" s="38" t="s">
        <v>16</v>
      </c>
      <c r="B625" s="38" t="n">
        <v>56</v>
      </c>
      <c r="C625" s="38" t="s">
        <v>170</v>
      </c>
      <c r="D625" s="38" t="s">
        <v>169</v>
      </c>
      <c r="E625" s="38" t="s">
        <v>875</v>
      </c>
      <c r="F625" s="38" t="str">
        <f aca="false">B625&amp;"|"&amp;C625&amp;"|"&amp;D625</f>
        <v>56|C|G</v>
      </c>
      <c r="G625" s="45" t="n">
        <f aca="false">INDEX('Transition Stepwise'!$J$2:$J$1137,MATCH(F625,'Transition Stepwise'!$E$2:$E$1137,0))</f>
        <v>0.608040201005025</v>
      </c>
      <c r="H625" s="45" t="n">
        <f aca="false">INDEX(Background!$D$12:$D$27,MATCH(C625&amp;D625,Background!$E$12:$E$27,0))</f>
        <v>0.296413502109705</v>
      </c>
      <c r="I625" s="49" t="n">
        <f aca="false">LN(G625/H625)</f>
        <v>0.718485553793525</v>
      </c>
    </row>
    <row r="626" customFormat="false" ht="15" hidden="false" customHeight="true" outlineLevel="0" collapsed="false">
      <c r="A626" s="38" t="s">
        <v>16</v>
      </c>
      <c r="B626" s="38" t="n">
        <v>57</v>
      </c>
      <c r="C626" s="38" t="s">
        <v>169</v>
      </c>
      <c r="D626" s="38" t="s">
        <v>172</v>
      </c>
      <c r="E626" s="38" t="s">
        <v>875</v>
      </c>
      <c r="F626" s="38" t="str">
        <f aca="false">B626&amp;"|"&amp;C626&amp;"|"&amp;D626</f>
        <v>57|G|A</v>
      </c>
      <c r="G626" s="45" t="n">
        <f aca="false">INDEX('Transition Stepwise'!$J$2:$J$1137,MATCH(F626,'Transition Stepwise'!$E$2:$E$1137,0))</f>
        <v>0.976</v>
      </c>
      <c r="H626" s="45" t="n">
        <f aca="false">INDEX(Background!$D$12:$D$27,MATCH(C626&amp;D626,Background!$E$12:$E$27,0))</f>
        <v>0.164356435643564</v>
      </c>
      <c r="I626" s="49" t="n">
        <f aca="false">LN(G626/H626)</f>
        <v>1.78142512890972</v>
      </c>
    </row>
    <row r="627" customFormat="false" ht="15" hidden="false" customHeight="true" outlineLevel="0" collapsed="false">
      <c r="A627" s="38" t="s">
        <v>16</v>
      </c>
      <c r="B627" s="38" t="n">
        <v>58</v>
      </c>
      <c r="C627" s="38" t="s">
        <v>172</v>
      </c>
      <c r="D627" s="38" t="s">
        <v>169</v>
      </c>
      <c r="E627" s="38" t="s">
        <v>875</v>
      </c>
      <c r="F627" s="38" t="str">
        <f aca="false">B627&amp;"|"&amp;C627&amp;"|"&amp;D627</f>
        <v>58|A|G</v>
      </c>
      <c r="G627" s="45" t="n">
        <f aca="false">INDEX('Transition Stepwise'!$J$2:$J$1137,MATCH(F627,'Transition Stepwise'!$E$2:$E$1137,0))</f>
        <v>0.233830845771144</v>
      </c>
      <c r="H627" s="45" t="n">
        <f aca="false">INDEX(Background!$D$12:$D$27,MATCH(C627&amp;D627,Background!$E$12:$E$27,0))</f>
        <v>0.424884437596302</v>
      </c>
      <c r="I627" s="49" t="n">
        <f aca="false">LN(G627/H627)</f>
        <v>-0.597219247778539</v>
      </c>
    </row>
    <row r="628" customFormat="false" ht="15" hidden="false" customHeight="true" outlineLevel="0" collapsed="false">
      <c r="A628" s="38" t="s">
        <v>16</v>
      </c>
      <c r="B628" s="38" t="n">
        <v>59</v>
      </c>
      <c r="C628" s="38" t="s">
        <v>169</v>
      </c>
      <c r="D628" s="38" t="s">
        <v>171</v>
      </c>
      <c r="E628" s="38" t="s">
        <v>875</v>
      </c>
      <c r="F628" s="38" t="str">
        <f aca="false">B628&amp;"|"&amp;C628&amp;"|"&amp;D628</f>
        <v>59|G|U</v>
      </c>
      <c r="G628" s="45" t="n">
        <f aca="false">INDEX('Transition Stepwise'!$J$2:$J$1137,MATCH(F628,'Transition Stepwise'!$E$2:$E$1137,0))</f>
        <v>0.82</v>
      </c>
      <c r="H628" s="45" t="n">
        <f aca="false">INDEX(Background!$D$12:$D$27,MATCH(C628&amp;D628,Background!$E$12:$E$27,0))</f>
        <v>0.234763476347635</v>
      </c>
      <c r="I628" s="49" t="n">
        <f aca="false">LN(G628/H628)</f>
        <v>1.25072581658599</v>
      </c>
    </row>
    <row r="629" customFormat="false" ht="15" hidden="false" customHeight="true" outlineLevel="0" collapsed="false">
      <c r="A629" s="38" t="s">
        <v>16</v>
      </c>
      <c r="B629" s="38" t="n">
        <v>60</v>
      </c>
      <c r="C629" s="38" t="s">
        <v>171</v>
      </c>
      <c r="D629" s="38" t="s">
        <v>170</v>
      </c>
      <c r="E629" s="38" t="s">
        <v>875</v>
      </c>
      <c r="F629" s="38" t="str">
        <f aca="false">B629&amp;"|"&amp;C629&amp;"|"&amp;D629</f>
        <v>60|U|C</v>
      </c>
      <c r="G629" s="45" t="n">
        <f aca="false">INDEX('Transition Stepwise'!$J$2:$J$1137,MATCH(F629,'Transition Stepwise'!$E$2:$E$1137,0))</f>
        <v>0.975</v>
      </c>
      <c r="H629" s="45" t="n">
        <f aca="false">INDEX(Background!$D$12:$D$27,MATCH(C629&amp;D629,Background!$E$12:$E$27,0))</f>
        <v>0.377251501000667</v>
      </c>
      <c r="I629" s="49" t="n">
        <f aca="false">LN(G629/H629)</f>
        <v>0.949525394562133</v>
      </c>
    </row>
    <row r="630" customFormat="false" ht="15" hidden="false" customHeight="true" outlineLevel="0" collapsed="false">
      <c r="A630" s="38" t="s">
        <v>16</v>
      </c>
      <c r="B630" s="38" t="n">
        <v>61</v>
      </c>
      <c r="C630" s="38" t="s">
        <v>170</v>
      </c>
      <c r="D630" s="38" t="s">
        <v>172</v>
      </c>
      <c r="E630" s="38" t="s">
        <v>875</v>
      </c>
      <c r="F630" s="38" t="str">
        <f aca="false">B630&amp;"|"&amp;C630&amp;"|"&amp;D630</f>
        <v>61|C|A</v>
      </c>
      <c r="G630" s="45" t="n">
        <f aca="false">INDEX('Transition Stepwise'!$J$2:$J$1137,MATCH(F630,'Transition Stepwise'!$E$2:$E$1137,0))</f>
        <v>0.0199004975124378</v>
      </c>
      <c r="H630" s="45" t="n">
        <f aca="false">INDEX(Background!$D$12:$D$27,MATCH(C630&amp;D630,Background!$E$12:$E$27,0))</f>
        <v>0.194883966244726</v>
      </c>
      <c r="I630" s="49" t="n">
        <f aca="false">LN(G630/H630)</f>
        <v>-2.28165960451247</v>
      </c>
    </row>
    <row r="631" customFormat="false" ht="15" hidden="false" customHeight="true" outlineLevel="0" collapsed="false">
      <c r="A631" s="38" t="s">
        <v>16</v>
      </c>
      <c r="B631" s="38" t="n">
        <v>62</v>
      </c>
      <c r="C631" s="38" t="s">
        <v>172</v>
      </c>
      <c r="D631" s="38" t="s">
        <v>170</v>
      </c>
      <c r="E631" s="38" t="s">
        <v>875</v>
      </c>
      <c r="F631" s="38" t="str">
        <f aca="false">B631&amp;"|"&amp;C631&amp;"|"&amp;D631</f>
        <v>62|A|C</v>
      </c>
      <c r="G631" s="45" t="n">
        <f aca="false">INDEX('Transition Stepwise'!$J$2:$J$1137,MATCH(F631,'Transition Stepwise'!$E$2:$E$1137,0))</f>
        <v>0.571428571428571</v>
      </c>
      <c r="H631" s="45" t="n">
        <f aca="false">INDEX(Background!$D$12:$D$27,MATCH(C631&amp;D631,Background!$E$12:$E$27,0))</f>
        <v>0.161016949152542</v>
      </c>
      <c r="I631" s="49" t="n">
        <f aca="false">LN(G631/H631)</f>
        <v>1.2666298573638</v>
      </c>
    </row>
    <row r="632" customFormat="false" ht="15" hidden="false" customHeight="true" outlineLevel="0" collapsed="false">
      <c r="A632" s="38" t="s">
        <v>16</v>
      </c>
      <c r="B632" s="38" t="n">
        <v>63</v>
      </c>
      <c r="C632" s="38" t="s">
        <v>170</v>
      </c>
      <c r="D632" s="38" t="s">
        <v>169</v>
      </c>
      <c r="E632" s="38" t="s">
        <v>875</v>
      </c>
      <c r="F632" s="38" t="str">
        <f aca="false">B632&amp;"|"&amp;C632&amp;"|"&amp;D632</f>
        <v>63|C|G</v>
      </c>
      <c r="G632" s="45" t="n">
        <f aca="false">INDEX('Transition Stepwise'!$J$2:$J$1137,MATCH(F632,'Transition Stepwise'!$E$2:$E$1137,0))</f>
        <v>0.396039603960396</v>
      </c>
      <c r="H632" s="45" t="n">
        <f aca="false">INDEX(Background!$D$12:$D$27,MATCH(C632&amp;D632,Background!$E$12:$E$27,0))</f>
        <v>0.296413502109705</v>
      </c>
      <c r="I632" s="49" t="n">
        <f aca="false">LN(G632/H632)</f>
        <v>0.289758770193953</v>
      </c>
    </row>
    <row r="633" customFormat="false" ht="15" hidden="false" customHeight="true" outlineLevel="0" collapsed="false">
      <c r="A633" s="38" t="s">
        <v>16</v>
      </c>
      <c r="B633" s="38" t="n">
        <v>64</v>
      </c>
      <c r="C633" s="38" t="s">
        <v>169</v>
      </c>
      <c r="D633" s="38" t="s">
        <v>170</v>
      </c>
      <c r="E633" s="38" t="s">
        <v>875</v>
      </c>
      <c r="F633" s="38" t="str">
        <f aca="false">B633&amp;"|"&amp;C633&amp;"|"&amp;D633</f>
        <v>64|G|C</v>
      </c>
      <c r="G633" s="45" t="n">
        <f aca="false">INDEX('Transition Stepwise'!$J$2:$J$1137,MATCH(F633,'Transition Stepwise'!$E$2:$E$1137,0))</f>
        <v>0.239583333333333</v>
      </c>
      <c r="H633" s="45" t="n">
        <f aca="false">INDEX(Background!$D$12:$D$27,MATCH(C633&amp;D633,Background!$E$12:$E$27,0))</f>
        <v>0.256105610561056</v>
      </c>
      <c r="I633" s="49" t="n">
        <f aca="false">LN(G633/H633)</f>
        <v>-0.0666885972184905</v>
      </c>
    </row>
    <row r="634" customFormat="false" ht="15" hidden="false" customHeight="true" outlineLevel="0" collapsed="false">
      <c r="A634" s="38" t="s">
        <v>16</v>
      </c>
      <c r="B634" s="38" t="n">
        <v>65</v>
      </c>
      <c r="C634" s="38" t="s">
        <v>170</v>
      </c>
      <c r="D634" s="38" t="s">
        <v>171</v>
      </c>
      <c r="E634" s="38" t="s">
        <v>875</v>
      </c>
      <c r="F634" s="38" t="str">
        <f aca="false">B634&amp;"|"&amp;C634&amp;"|"&amp;D634</f>
        <v>65|C|U</v>
      </c>
      <c r="G634" s="45" t="n">
        <f aca="false">INDEX('Transition Stepwise'!$J$2:$J$1137,MATCH(F634,'Transition Stepwise'!$E$2:$E$1137,0))</f>
        <v>0.223880597014925</v>
      </c>
      <c r="H634" s="45" t="n">
        <f aca="false">INDEX(Background!$D$12:$D$27,MATCH(C634&amp;D634,Background!$E$12:$E$27,0))</f>
        <v>0.196466244725738</v>
      </c>
      <c r="I634" s="49" t="n">
        <f aca="false">LN(G634/H634)</f>
        <v>0.130622226706597</v>
      </c>
    </row>
    <row r="635" customFormat="false" ht="15" hidden="false" customHeight="true" outlineLevel="0" collapsed="false">
      <c r="A635" s="38" t="s">
        <v>16</v>
      </c>
      <c r="B635" s="38" t="n">
        <v>66</v>
      </c>
      <c r="C635" s="38" t="s">
        <v>171</v>
      </c>
      <c r="D635" s="38" t="s">
        <v>170</v>
      </c>
      <c r="E635" s="38" t="s">
        <v>875</v>
      </c>
      <c r="F635" s="38" t="str">
        <f aca="false">B635&amp;"|"&amp;C635&amp;"|"&amp;D635</f>
        <v>66|U|C</v>
      </c>
      <c r="G635" s="45" t="n">
        <f aca="false">INDEX('Transition Stepwise'!$J$2:$J$1137,MATCH(F635,'Transition Stepwise'!$E$2:$E$1137,0))</f>
        <v>0.207547169811321</v>
      </c>
      <c r="H635" s="45" t="n">
        <f aca="false">INDEX(Background!$D$12:$D$27,MATCH(C635&amp;D635,Background!$E$12:$E$27,0))</f>
        <v>0.377251501000667</v>
      </c>
      <c r="I635" s="49" t="n">
        <f aca="false">LN(G635/H635)</f>
        <v>-0.597553438207329</v>
      </c>
    </row>
    <row r="636" customFormat="false" ht="15" hidden="false" customHeight="true" outlineLevel="0" collapsed="false">
      <c r="A636" s="38" t="s">
        <v>16</v>
      </c>
      <c r="B636" s="38" t="n">
        <v>67</v>
      </c>
      <c r="C636" s="38" t="s">
        <v>170</v>
      </c>
      <c r="D636" s="38" t="s">
        <v>170</v>
      </c>
      <c r="E636" s="38" t="s">
        <v>875</v>
      </c>
      <c r="F636" s="38" t="str">
        <f aca="false">B636&amp;"|"&amp;C636&amp;"|"&amp;D636</f>
        <v>67|C|C</v>
      </c>
      <c r="G636" s="45" t="n">
        <f aca="false">INDEX('Transition Stepwise'!$J$2:$J$1137,MATCH(F636,'Transition Stepwise'!$E$2:$E$1137,0))</f>
        <v>0.326530612244898</v>
      </c>
      <c r="H636" s="45" t="n">
        <f aca="false">INDEX(Background!$D$12:$D$27,MATCH(C636&amp;D636,Background!$E$12:$E$27,0))</f>
        <v>0.312236286919831</v>
      </c>
      <c r="I636" s="49" t="n">
        <f aca="false">LN(G636/H636)</f>
        <v>0.0447634720601159</v>
      </c>
    </row>
    <row r="637" customFormat="false" ht="15" hidden="false" customHeight="true" outlineLevel="0" collapsed="false">
      <c r="A637" s="38" t="s">
        <v>16</v>
      </c>
      <c r="B637" s="38" t="n">
        <v>68</v>
      </c>
      <c r="C637" s="38" t="s">
        <v>170</v>
      </c>
      <c r="D637" s="38" t="s">
        <v>169</v>
      </c>
      <c r="E637" s="38" t="s">
        <v>875</v>
      </c>
      <c r="F637" s="38" t="str">
        <f aca="false">B637&amp;"|"&amp;C637&amp;"|"&amp;D637</f>
        <v>68|C|G</v>
      </c>
      <c r="G637" s="45" t="n">
        <f aca="false">INDEX('Transition Stepwise'!$J$2:$J$1137,MATCH(F637,'Transition Stepwise'!$E$2:$E$1137,0))</f>
        <v>0.151515151515152</v>
      </c>
      <c r="H637" s="45" t="n">
        <f aca="false">INDEX(Background!$D$12:$D$27,MATCH(C637&amp;D637,Background!$E$12:$E$27,0))</f>
        <v>0.296413502109705</v>
      </c>
      <c r="I637" s="49" t="n">
        <f aca="false">LN(G637/H637)</f>
        <v>-0.671069816111104</v>
      </c>
    </row>
    <row r="638" customFormat="false" ht="15" hidden="false" customHeight="true" outlineLevel="0" collapsed="false">
      <c r="A638" s="38" t="s">
        <v>16</v>
      </c>
      <c r="B638" s="38" t="n">
        <v>69</v>
      </c>
      <c r="C638" s="38" t="s">
        <v>169</v>
      </c>
      <c r="D638" s="38" t="s">
        <v>169</v>
      </c>
      <c r="E638" s="38" t="s">
        <v>875</v>
      </c>
      <c r="F638" s="38" t="str">
        <f aca="false">B638&amp;"|"&amp;C638&amp;"|"&amp;D638</f>
        <v>69|G|G</v>
      </c>
      <c r="G638" s="45" t="n">
        <f aca="false">INDEX('Transition Stepwise'!$J$2:$J$1137,MATCH(F638,'Transition Stepwise'!$E$2:$E$1137,0))</f>
        <v>0.405405405405405</v>
      </c>
      <c r="H638" s="45" t="n">
        <f aca="false">INDEX(Background!$D$12:$D$27,MATCH(C638&amp;D638,Background!$E$12:$E$27,0))</f>
        <v>0.344774477447745</v>
      </c>
      <c r="I638" s="49" t="n">
        <f aca="false">LN(G638/H638)</f>
        <v>0.161997052713544</v>
      </c>
    </row>
    <row r="639" customFormat="false" ht="15" hidden="false" customHeight="true" outlineLevel="0" collapsed="false">
      <c r="A639" s="38" t="s">
        <v>16</v>
      </c>
      <c r="B639" s="38" t="n">
        <v>70</v>
      </c>
      <c r="C639" s="38" t="s">
        <v>169</v>
      </c>
      <c r="D639" s="38" t="s">
        <v>169</v>
      </c>
      <c r="E639" s="38" t="s">
        <v>875</v>
      </c>
      <c r="F639" s="38" t="str">
        <f aca="false">B639&amp;"|"&amp;C639&amp;"|"&amp;D639</f>
        <v>70|G|G</v>
      </c>
      <c r="G639" s="45" t="n">
        <f aca="false">INDEX('Transition Stepwise'!$J$2:$J$1137,MATCH(F639,'Transition Stepwise'!$E$2:$E$1137,0))</f>
        <v>0.569620253164557</v>
      </c>
      <c r="H639" s="45" t="n">
        <f aca="false">INDEX(Background!$D$12:$D$27,MATCH(C639&amp;D639,Background!$E$12:$E$27,0))</f>
        <v>0.344774477447745</v>
      </c>
      <c r="I639" s="49" t="n">
        <f aca="false">LN(G639/H639)</f>
        <v>0.502079401558857</v>
      </c>
    </row>
    <row r="640" customFormat="false" ht="15" hidden="false" customHeight="true" outlineLevel="0" collapsed="false">
      <c r="A640" s="38" t="s">
        <v>16</v>
      </c>
      <c r="B640" s="38" t="n">
        <v>71</v>
      </c>
      <c r="C640" s="38" t="s">
        <v>169</v>
      </c>
      <c r="D640" s="38" t="s">
        <v>170</v>
      </c>
      <c r="E640" s="38" t="s">
        <v>875</v>
      </c>
      <c r="F640" s="38" t="str">
        <f aca="false">B640&amp;"|"&amp;C640&amp;"|"&amp;D640</f>
        <v>71|G|C</v>
      </c>
      <c r="G640" s="45" t="n">
        <f aca="false">INDEX('Transition Stepwise'!$J$2:$J$1137,MATCH(F640,'Transition Stepwise'!$E$2:$E$1137,0))</f>
        <v>0.779069767441861</v>
      </c>
      <c r="H640" s="45" t="n">
        <f aca="false">INDEX(Background!$D$12:$D$27,MATCH(C640&amp;D640,Background!$E$12:$E$27,0))</f>
        <v>0.256105610561056</v>
      </c>
      <c r="I640" s="49" t="n">
        <f aca="false">LN(G640/H640)</f>
        <v>1.11251070145765</v>
      </c>
    </row>
    <row r="641" customFormat="false" ht="15" hidden="false" customHeight="true" outlineLevel="0" collapsed="false">
      <c r="A641" s="38" t="s">
        <v>847</v>
      </c>
      <c r="B641" s="38" t="n">
        <v>1</v>
      </c>
      <c r="C641" s="38" t="s">
        <v>171</v>
      </c>
      <c r="D641" s="38" t="s">
        <v>172</v>
      </c>
      <c r="E641" s="38" t="s">
        <v>875</v>
      </c>
      <c r="F641" s="38" t="str">
        <f aca="false">B641&amp;"|"&amp;C641&amp;"|"&amp;D641</f>
        <v>1|U|A</v>
      </c>
      <c r="G641" s="45" t="n">
        <f aca="false">INDEX('Transition Stepwise'!$J$2:$J$1137,MATCH(F641,'Transition Stepwise'!$E$2:$E$1137,0))</f>
        <v>0.0588235294117647</v>
      </c>
      <c r="H641" s="45" t="n">
        <f aca="false">INDEX(Background!$D$12:$D$27,MATCH(C641&amp;D641,Background!$E$12:$E$27,0))</f>
        <v>0.180787191460974</v>
      </c>
      <c r="I641" s="49" t="n">
        <f aca="false">LN(G641/H641)</f>
        <v>-1.12277866683332</v>
      </c>
    </row>
    <row r="642" customFormat="false" ht="15" hidden="false" customHeight="true" outlineLevel="0" collapsed="false">
      <c r="A642" s="38" t="s">
        <v>847</v>
      </c>
      <c r="B642" s="38" t="n">
        <v>2</v>
      </c>
      <c r="C642" s="38" t="s">
        <v>172</v>
      </c>
      <c r="D642" s="38" t="s">
        <v>172</v>
      </c>
      <c r="E642" s="38" t="s">
        <v>875</v>
      </c>
      <c r="F642" s="38" t="str">
        <f aca="false">B642&amp;"|"&amp;C642&amp;"|"&amp;D642</f>
        <v>2|A|A</v>
      </c>
      <c r="G642" s="45" t="n">
        <f aca="false">INDEX('Transition Stepwise'!$J$2:$J$1137,MATCH(F642,'Transition Stepwise'!$E$2:$E$1137,0))</f>
        <v>0.1</v>
      </c>
      <c r="H642" s="45" t="n">
        <f aca="false">INDEX(Background!$D$12:$D$27,MATCH(C642&amp;D642,Background!$E$12:$E$27,0))</f>
        <v>0.219568567026194</v>
      </c>
      <c r="I642" s="49" t="n">
        <f aca="false">LN(G642/H642)</f>
        <v>-0.786494375998661</v>
      </c>
    </row>
    <row r="643" customFormat="false" ht="15" hidden="false" customHeight="true" outlineLevel="0" collapsed="false">
      <c r="A643" s="38" t="s">
        <v>847</v>
      </c>
      <c r="B643" s="38" t="n">
        <v>3</v>
      </c>
      <c r="C643" s="38" t="s">
        <v>172</v>
      </c>
      <c r="D643" s="38" t="s">
        <v>171</v>
      </c>
      <c r="E643" s="38" t="s">
        <v>875</v>
      </c>
      <c r="F643" s="38" t="str">
        <f aca="false">B643&amp;"|"&amp;C643&amp;"|"&amp;D643</f>
        <v>3|A|U</v>
      </c>
      <c r="G643" s="45" t="n">
        <f aca="false">INDEX('Transition Stepwise'!$J$2:$J$1137,MATCH(F643,'Transition Stepwise'!$E$2:$E$1137,0))</f>
        <v>0.0555555555555556</v>
      </c>
      <c r="H643" s="45" t="n">
        <f aca="false">INDEX(Background!$D$12:$D$27,MATCH(C643&amp;D643,Background!$E$12:$E$27,0))</f>
        <v>0.194530046224961</v>
      </c>
      <c r="I643" s="49" t="n">
        <f aca="false">LN(G643/H643)</f>
        <v>-1.25320310934754</v>
      </c>
    </row>
    <row r="644" customFormat="false" ht="15" hidden="false" customHeight="true" outlineLevel="0" collapsed="false">
      <c r="A644" s="38" t="s">
        <v>847</v>
      </c>
      <c r="B644" s="38" t="n">
        <v>4</v>
      </c>
      <c r="C644" s="38" t="s">
        <v>171</v>
      </c>
      <c r="D644" s="38" t="s">
        <v>172</v>
      </c>
      <c r="E644" s="38" t="s">
        <v>875</v>
      </c>
      <c r="F644" s="38" t="str">
        <f aca="false">B644&amp;"|"&amp;C644&amp;"|"&amp;D644</f>
        <v>4|U|A</v>
      </c>
      <c r="G644" s="45" t="n">
        <f aca="false">INDEX('Transition Stepwise'!$J$2:$J$1137,MATCH(F644,'Transition Stepwise'!$E$2:$E$1137,0))</f>
        <v>0.105263157894737</v>
      </c>
      <c r="H644" s="45" t="n">
        <f aca="false">INDEX(Background!$D$12:$D$27,MATCH(C644&amp;D644,Background!$E$12:$E$27,0))</f>
        <v>0.180787191460974</v>
      </c>
      <c r="I644" s="49" t="n">
        <f aca="false">LN(G644/H644)</f>
        <v>-0.540857121383598</v>
      </c>
    </row>
    <row r="645" customFormat="false" ht="15" hidden="false" customHeight="true" outlineLevel="0" collapsed="false">
      <c r="A645" s="38" t="s">
        <v>847</v>
      </c>
      <c r="B645" s="38" t="n">
        <v>5</v>
      </c>
      <c r="C645" s="38" t="s">
        <v>172</v>
      </c>
      <c r="D645" s="38" t="s">
        <v>172</v>
      </c>
      <c r="E645" s="38" t="s">
        <v>875</v>
      </c>
      <c r="F645" s="38" t="str">
        <f aca="false">B645&amp;"|"&amp;C645&amp;"|"&amp;D645</f>
        <v>5|A|A</v>
      </c>
      <c r="G645" s="45" t="n">
        <f aca="false">INDEX('Transition Stepwise'!$J$2:$J$1137,MATCH(F645,'Transition Stepwise'!$E$2:$E$1137,0))</f>
        <v>0.205882352941176</v>
      </c>
      <c r="H645" s="45" t="n">
        <f aca="false">INDEX(Background!$D$12:$D$27,MATCH(C645&amp;D645,Background!$E$12:$E$27,0))</f>
        <v>0.219568567026194</v>
      </c>
      <c r="I645" s="49" t="n">
        <f aca="false">LN(G645/H645)</f>
        <v>-0.0643596585654633</v>
      </c>
    </row>
    <row r="646" customFormat="false" ht="15" hidden="false" customHeight="true" outlineLevel="0" collapsed="false">
      <c r="A646" s="38" t="s">
        <v>847</v>
      </c>
      <c r="B646" s="38" t="n">
        <v>6</v>
      </c>
      <c r="C646" s="38" t="s">
        <v>172</v>
      </c>
      <c r="D646" s="38" t="s">
        <v>170</v>
      </c>
      <c r="E646" s="38" t="s">
        <v>875</v>
      </c>
      <c r="F646" s="38" t="str">
        <f aca="false">B646&amp;"|"&amp;C646&amp;"|"&amp;D646</f>
        <v>6|A|C</v>
      </c>
      <c r="G646" s="45" t="n">
        <f aca="false">INDEX('Transition Stepwise'!$J$2:$J$1137,MATCH(F646,'Transition Stepwise'!$E$2:$E$1137,0))</f>
        <v>0.0526315789473684</v>
      </c>
      <c r="H646" s="45" t="n">
        <f aca="false">INDEX(Background!$D$12:$D$27,MATCH(C646&amp;D646,Background!$E$12:$E$27,0))</f>
        <v>0.161016949152542</v>
      </c>
      <c r="I646" s="49" t="n">
        <f aca="false">LN(G646/H646)</f>
        <v>-1.11819333386722</v>
      </c>
    </row>
    <row r="647" customFormat="false" ht="15" hidden="false" customHeight="true" outlineLevel="0" collapsed="false">
      <c r="A647" s="38" t="s">
        <v>847</v>
      </c>
      <c r="B647" s="38" t="n">
        <v>7</v>
      </c>
      <c r="C647" s="38" t="s">
        <v>170</v>
      </c>
      <c r="D647" s="38" t="s">
        <v>171</v>
      </c>
      <c r="E647" s="38" t="s">
        <v>875</v>
      </c>
      <c r="F647" s="38" t="str">
        <f aca="false">B647&amp;"|"&amp;C647&amp;"|"&amp;D647</f>
        <v>7|C|U</v>
      </c>
      <c r="G647" s="45" t="n">
        <f aca="false">INDEX('Transition Stepwise'!$J$2:$J$1137,MATCH(F647,'Transition Stepwise'!$E$2:$E$1137,0))</f>
        <v>0.571428571428571</v>
      </c>
      <c r="H647" s="45" t="n">
        <f aca="false">INDEX(Background!$D$12:$D$27,MATCH(C647&amp;D647,Background!$E$12:$E$27,0))</f>
        <v>0.196466244725738</v>
      </c>
      <c r="I647" s="49" t="n">
        <f aca="false">LN(G647/H647)</f>
        <v>1.06764885705993</v>
      </c>
    </row>
    <row r="648" customFormat="false" ht="15" hidden="false" customHeight="true" outlineLevel="0" collapsed="false">
      <c r="A648" s="38" t="s">
        <v>847</v>
      </c>
      <c r="B648" s="38" t="n">
        <v>8</v>
      </c>
      <c r="C648" s="38" t="s">
        <v>171</v>
      </c>
      <c r="D648" s="38" t="s">
        <v>169</v>
      </c>
      <c r="E648" s="38" t="s">
        <v>875</v>
      </c>
      <c r="F648" s="38" t="str">
        <f aca="false">B648&amp;"|"&amp;C648&amp;"|"&amp;D648</f>
        <v>8|U|G</v>
      </c>
      <c r="G648" s="45" t="n">
        <f aca="false">INDEX('Transition Stepwise'!$J$2:$J$1137,MATCH(F648,'Transition Stepwise'!$E$2:$E$1137,0))</f>
        <v>0.31</v>
      </c>
      <c r="H648" s="45" t="n">
        <f aca="false">INDEX(Background!$D$12:$D$27,MATCH(C648&amp;D648,Background!$E$12:$E$27,0))</f>
        <v>0.221480987324883</v>
      </c>
      <c r="I648" s="49" t="n">
        <f aca="false">LN(G648/H648)</f>
        <v>0.336235547683164</v>
      </c>
    </row>
    <row r="649" customFormat="false" ht="15" hidden="false" customHeight="true" outlineLevel="0" collapsed="false">
      <c r="A649" s="38" t="s">
        <v>847</v>
      </c>
      <c r="B649" s="38" t="n">
        <v>9</v>
      </c>
      <c r="C649" s="38" t="s">
        <v>169</v>
      </c>
      <c r="D649" s="38" t="s">
        <v>169</v>
      </c>
      <c r="E649" s="38" t="s">
        <v>875</v>
      </c>
      <c r="F649" s="38" t="str">
        <f aca="false">B649&amp;"|"&amp;C649&amp;"|"&amp;D649</f>
        <v>9|G|G</v>
      </c>
      <c r="G649" s="45" t="n">
        <f aca="false">INDEX('Transition Stepwise'!$J$2:$J$1137,MATCH(F649,'Transition Stepwise'!$E$2:$E$1137,0))</f>
        <v>0.861538461538462</v>
      </c>
      <c r="H649" s="45" t="n">
        <f aca="false">INDEX(Background!$D$12:$D$27,MATCH(C649&amp;D649,Background!$E$12:$E$27,0))</f>
        <v>0.344774477447745</v>
      </c>
      <c r="I649" s="49" t="n">
        <f aca="false">LN(G649/H649)</f>
        <v>0.915829185095071</v>
      </c>
    </row>
    <row r="650" customFormat="false" ht="15" hidden="false" customHeight="true" outlineLevel="0" collapsed="false">
      <c r="A650" s="38" t="s">
        <v>847</v>
      </c>
      <c r="B650" s="38" t="n">
        <v>10</v>
      </c>
      <c r="C650" s="38" t="s">
        <v>169</v>
      </c>
      <c r="D650" s="38" t="s">
        <v>169</v>
      </c>
      <c r="E650" s="38" t="s">
        <v>875</v>
      </c>
      <c r="F650" s="38" t="str">
        <f aca="false">B650&amp;"|"&amp;C650&amp;"|"&amp;D650</f>
        <v>10|G|G</v>
      </c>
      <c r="G650" s="45" t="n">
        <f aca="false">INDEX('Transition Stepwise'!$J$2:$J$1137,MATCH(F650,'Transition Stepwise'!$E$2:$E$1137,0))</f>
        <v>0.0307692307692308</v>
      </c>
      <c r="H650" s="45" t="n">
        <f aca="false">INDEX(Background!$D$12:$D$27,MATCH(C650&amp;D650,Background!$E$12:$E$27,0))</f>
        <v>0.344774477447745</v>
      </c>
      <c r="I650" s="49" t="n">
        <f aca="false">LN(G650/H650)</f>
        <v>-2.41637532508013</v>
      </c>
    </row>
    <row r="651" customFormat="false" ht="15" hidden="false" customHeight="true" outlineLevel="0" collapsed="false">
      <c r="A651" s="38" t="s">
        <v>847</v>
      </c>
      <c r="B651" s="38" t="n">
        <v>11</v>
      </c>
      <c r="C651" s="38" t="s">
        <v>169</v>
      </c>
      <c r="D651" s="38" t="s">
        <v>169</v>
      </c>
      <c r="E651" s="38" t="s">
        <v>875</v>
      </c>
      <c r="F651" s="38" t="str">
        <f aca="false">B651&amp;"|"&amp;C651&amp;"|"&amp;D651</f>
        <v>11|G|G</v>
      </c>
      <c r="G651" s="45" t="n">
        <f aca="false">INDEX('Transition Stepwise'!$J$2:$J$1137,MATCH(F651,'Transition Stepwise'!$E$2:$E$1137,0))</f>
        <v>0.4</v>
      </c>
      <c r="H651" s="45" t="n">
        <f aca="false">INDEX(Background!$D$12:$D$27,MATCH(C651&amp;D651,Background!$E$12:$E$27,0))</f>
        <v>0.344774477447745</v>
      </c>
      <c r="I651" s="49" t="n">
        <f aca="false">LN(G651/H651)</f>
        <v>0.148574032381404</v>
      </c>
    </row>
    <row r="652" customFormat="false" ht="15" hidden="false" customHeight="true" outlineLevel="0" collapsed="false">
      <c r="A652" s="38" t="s">
        <v>847</v>
      </c>
      <c r="B652" s="38" t="n">
        <v>12</v>
      </c>
      <c r="C652" s="38" t="s">
        <v>169</v>
      </c>
      <c r="D652" s="38" t="s">
        <v>170</v>
      </c>
      <c r="E652" s="38" t="s">
        <v>875</v>
      </c>
      <c r="F652" s="38" t="str">
        <f aca="false">B652&amp;"|"&amp;C652&amp;"|"&amp;D652</f>
        <v>12|G|C</v>
      </c>
      <c r="G652" s="45" t="n">
        <f aca="false">INDEX('Transition Stepwise'!$J$2:$J$1137,MATCH(F652,'Transition Stepwise'!$E$2:$E$1137,0))</f>
        <v>0.476190476190476</v>
      </c>
      <c r="H652" s="45" t="n">
        <f aca="false">INDEX(Background!$D$12:$D$27,MATCH(C652&amp;D652,Background!$E$12:$E$27,0))</f>
        <v>0.256105610561056</v>
      </c>
      <c r="I652" s="49" t="n">
        <f aca="false">LN(G652/H652)</f>
        <v>0.620228033590819</v>
      </c>
    </row>
    <row r="653" customFormat="false" ht="15" hidden="false" customHeight="true" outlineLevel="0" collapsed="false">
      <c r="A653" s="38" t="s">
        <v>847</v>
      </c>
      <c r="B653" s="38" t="n">
        <v>13</v>
      </c>
      <c r="C653" s="38" t="s">
        <v>170</v>
      </c>
      <c r="D653" s="38" t="s">
        <v>169</v>
      </c>
      <c r="E653" s="38" t="s">
        <v>875</v>
      </c>
      <c r="F653" s="38" t="str">
        <f aca="false">B653&amp;"|"&amp;C653&amp;"|"&amp;D653</f>
        <v>13|C|G</v>
      </c>
      <c r="G653" s="45" t="n">
        <f aca="false">INDEX('Transition Stepwise'!$J$2:$J$1137,MATCH(F653,'Transition Stepwise'!$E$2:$E$1137,0))</f>
        <v>0.0075187969924812</v>
      </c>
      <c r="H653" s="45" t="n">
        <f aca="false">INDEX(Background!$D$12:$D$27,MATCH(C653&amp;D653,Background!$E$12:$E$27,0))</f>
        <v>0.296413502109705</v>
      </c>
      <c r="I653" s="49" t="n">
        <f aca="false">LN(G653/H653)</f>
        <v>-3.67434929530048</v>
      </c>
    </row>
    <row r="654" customFormat="false" ht="15" hidden="false" customHeight="true" outlineLevel="0" collapsed="false">
      <c r="A654" s="38" t="s">
        <v>847</v>
      </c>
      <c r="B654" s="38" t="n">
        <v>14</v>
      </c>
      <c r="C654" s="38" t="s">
        <v>169</v>
      </c>
      <c r="D654" s="38" t="s">
        <v>172</v>
      </c>
      <c r="E654" s="38" t="s">
        <v>875</v>
      </c>
      <c r="F654" s="38" t="str">
        <f aca="false">B654&amp;"|"&amp;C654&amp;"|"&amp;D654</f>
        <v>14|G|A</v>
      </c>
      <c r="G654" s="45" t="n">
        <f aca="false">INDEX('Transition Stepwise'!$J$2:$J$1137,MATCH(F654,'Transition Stepwise'!$E$2:$E$1137,0))</f>
        <v>0.2</v>
      </c>
      <c r="H654" s="45" t="n">
        <f aca="false">INDEX(Background!$D$12:$D$27,MATCH(C654&amp;D654,Background!$E$12:$E$27,0))</f>
        <v>0.164356435643564</v>
      </c>
      <c r="I654" s="49" t="n">
        <f aca="false">LN(G654/H654)</f>
        <v>0.196279909044662</v>
      </c>
    </row>
    <row r="655" customFormat="false" ht="15" hidden="false" customHeight="true" outlineLevel="0" collapsed="false">
      <c r="A655" s="38" t="s">
        <v>847</v>
      </c>
      <c r="B655" s="38" t="n">
        <v>15</v>
      </c>
      <c r="C655" s="38" t="s">
        <v>172</v>
      </c>
      <c r="D655" s="38" t="s">
        <v>176</v>
      </c>
      <c r="E655" s="40" t="s">
        <v>876</v>
      </c>
      <c r="F655" s="38"/>
      <c r="G655" s="38"/>
      <c r="H655" s="38"/>
      <c r="I655" s="38"/>
    </row>
    <row r="656" customFormat="false" ht="15" hidden="false" customHeight="true" outlineLevel="0" collapsed="false">
      <c r="A656" s="38" t="s">
        <v>847</v>
      </c>
      <c r="B656" s="38" t="n">
        <v>16</v>
      </c>
      <c r="C656" s="38" t="s">
        <v>176</v>
      </c>
      <c r="D656" s="38" t="s">
        <v>172</v>
      </c>
      <c r="E656" s="40" t="s">
        <v>876</v>
      </c>
      <c r="F656" s="38"/>
      <c r="G656" s="38"/>
      <c r="H656" s="38"/>
      <c r="I656" s="38"/>
    </row>
    <row r="657" customFormat="false" ht="15" hidden="false" customHeight="true" outlineLevel="0" collapsed="false">
      <c r="A657" s="38" t="s">
        <v>847</v>
      </c>
      <c r="B657" s="38" t="n">
        <v>17</v>
      </c>
      <c r="C657" s="38" t="s">
        <v>172</v>
      </c>
      <c r="D657" s="38" t="s">
        <v>169</v>
      </c>
      <c r="E657" s="38" t="s">
        <v>875</v>
      </c>
      <c r="F657" s="38" t="str">
        <f aca="false">B657&amp;"|"&amp;C657&amp;"|"&amp;D657</f>
        <v>17|A|G</v>
      </c>
      <c r="G657" s="45" t="n">
        <f aca="false">INDEX('Transition Stepwise'!$J$2:$J$1137,MATCH(F657,'Transition Stepwise'!$E$2:$E$1137,0))</f>
        <v>0.75</v>
      </c>
      <c r="H657" s="45" t="n">
        <f aca="false">INDEX(Background!$D$12:$D$27,MATCH(C657&amp;D657,Background!$E$12:$E$27,0))</f>
        <v>0.424884437596302</v>
      </c>
      <c r="I657" s="49" t="n">
        <f aca="false">LN(G657/H657)</f>
        <v>0.568255986118697</v>
      </c>
    </row>
    <row r="658" customFormat="false" ht="15" hidden="false" customHeight="true" outlineLevel="0" collapsed="false">
      <c r="A658" s="38" t="s">
        <v>847</v>
      </c>
      <c r="B658" s="38" t="n">
        <v>18</v>
      </c>
      <c r="C658" s="38" t="s">
        <v>169</v>
      </c>
      <c r="D658" s="38" t="s">
        <v>169</v>
      </c>
      <c r="E658" s="38" t="s">
        <v>875</v>
      </c>
      <c r="F658" s="38" t="str">
        <f aca="false">B658&amp;"|"&amp;C658&amp;"|"&amp;D658</f>
        <v>18|G|G</v>
      </c>
      <c r="G658" s="45" t="n">
        <f aca="false">INDEX('Transition Stepwise'!$J$2:$J$1137,MATCH(F658,'Transition Stepwise'!$E$2:$E$1137,0))</f>
        <v>0.975247524752475</v>
      </c>
      <c r="H658" s="45" t="n">
        <f aca="false">INDEX(Background!$D$12:$D$27,MATCH(C658&amp;D658,Background!$E$12:$E$27,0))</f>
        <v>0.344774477447745</v>
      </c>
      <c r="I658" s="49" t="n">
        <f aca="false">LN(G658/H658)</f>
        <v>1.03980079559234</v>
      </c>
    </row>
    <row r="659" customFormat="false" ht="15" hidden="false" customHeight="true" outlineLevel="0" collapsed="false">
      <c r="A659" s="38" t="s">
        <v>847</v>
      </c>
      <c r="B659" s="38" t="n">
        <v>19</v>
      </c>
      <c r="C659" s="38" t="s">
        <v>169</v>
      </c>
      <c r="D659" s="38" t="s">
        <v>171</v>
      </c>
      <c r="E659" s="38" t="s">
        <v>875</v>
      </c>
      <c r="F659" s="38" t="str">
        <f aca="false">B659&amp;"|"&amp;C659&amp;"|"&amp;D659</f>
        <v>19|G|U</v>
      </c>
      <c r="G659" s="45" t="n">
        <f aca="false">INDEX('Transition Stepwise'!$J$2:$J$1137,MATCH(F659,'Transition Stepwise'!$E$2:$E$1137,0))</f>
        <v>0.585</v>
      </c>
      <c r="H659" s="45" t="n">
        <f aca="false">INDEX(Background!$D$12:$D$27,MATCH(C659&amp;D659,Background!$E$12:$E$27,0))</f>
        <v>0.234763476347635</v>
      </c>
      <c r="I659" s="49" t="n">
        <f aca="false">LN(G659/H659)</f>
        <v>0.913033323559545</v>
      </c>
    </row>
    <row r="660" customFormat="false" ht="15" hidden="false" customHeight="true" outlineLevel="0" collapsed="false">
      <c r="A660" s="38" t="s">
        <v>847</v>
      </c>
      <c r="B660" s="38" t="n">
        <v>20</v>
      </c>
      <c r="C660" s="38" t="s">
        <v>171</v>
      </c>
      <c r="D660" s="38" t="s">
        <v>170</v>
      </c>
      <c r="E660" s="38" t="s">
        <v>875</v>
      </c>
      <c r="F660" s="38" t="str">
        <f aca="false">B660&amp;"|"&amp;C660&amp;"|"&amp;D660</f>
        <v>20|U|C</v>
      </c>
      <c r="G660" s="45" t="n">
        <f aca="false">INDEX('Transition Stepwise'!$J$2:$J$1137,MATCH(F660,'Transition Stepwise'!$E$2:$E$1137,0))</f>
        <v>0.0163934426229508</v>
      </c>
      <c r="H660" s="45" t="n">
        <f aca="false">INDEX(Background!$D$12:$D$27,MATCH(C660&amp;D660,Background!$E$12:$E$27,0))</f>
        <v>0.377251501000667</v>
      </c>
      <c r="I660" s="49" t="n">
        <f aca="false">LN(G660/H660)</f>
        <v>-3.13603066162689</v>
      </c>
    </row>
    <row r="661" customFormat="false" ht="15" hidden="false" customHeight="true" outlineLevel="0" collapsed="false">
      <c r="A661" s="38" t="s">
        <v>847</v>
      </c>
      <c r="B661" s="38" t="n">
        <v>21</v>
      </c>
      <c r="C661" s="38" t="s">
        <v>170</v>
      </c>
      <c r="D661" s="38" t="s">
        <v>169</v>
      </c>
      <c r="E661" s="38" t="s">
        <v>875</v>
      </c>
      <c r="F661" s="38" t="str">
        <f aca="false">B661&amp;"|"&amp;C661&amp;"|"&amp;D661</f>
        <v>21|C|G</v>
      </c>
      <c r="G661" s="45" t="n">
        <f aca="false">INDEX('Transition Stepwise'!$J$2:$J$1137,MATCH(F661,'Transition Stepwise'!$E$2:$E$1137,0))</f>
        <v>0.25</v>
      </c>
      <c r="H661" s="45" t="n">
        <f aca="false">INDEX(Background!$D$12:$D$27,MATCH(C661&amp;D661,Background!$E$12:$E$27,0))</f>
        <v>0.296413502109705</v>
      </c>
      <c r="I661" s="49" t="n">
        <f aca="false">LN(G661/H661)</f>
        <v>-0.170294528198615</v>
      </c>
    </row>
    <row r="662" customFormat="false" ht="15" hidden="false" customHeight="true" outlineLevel="0" collapsed="false">
      <c r="A662" s="38" t="s">
        <v>847</v>
      </c>
      <c r="B662" s="38" t="n">
        <v>22</v>
      </c>
      <c r="C662" s="38" t="s">
        <v>169</v>
      </c>
      <c r="D662" s="38" t="s">
        <v>170</v>
      </c>
      <c r="E662" s="38" t="s">
        <v>875</v>
      </c>
      <c r="F662" s="38" t="str">
        <f aca="false">B662&amp;"|"&amp;C662&amp;"|"&amp;D662</f>
        <v>22|G|C</v>
      </c>
      <c r="G662" s="45" t="n">
        <f aca="false">INDEX('Transition Stepwise'!$J$2:$J$1137,MATCH(F662,'Transition Stepwise'!$E$2:$E$1137,0))</f>
        <v>0.155405405405405</v>
      </c>
      <c r="H662" s="45" t="n">
        <f aca="false">INDEX(Background!$D$12:$D$27,MATCH(C662&amp;D662,Background!$E$12:$E$27,0))</f>
        <v>0.256105610561056</v>
      </c>
      <c r="I662" s="49" t="n">
        <f aca="false">LN(G662/H662)</f>
        <v>-0.499552679514769</v>
      </c>
    </row>
    <row r="663" customFormat="false" ht="15" hidden="false" customHeight="true" outlineLevel="0" collapsed="false">
      <c r="A663" s="38" t="s">
        <v>847</v>
      </c>
      <c r="B663" s="38" t="n">
        <v>23</v>
      </c>
      <c r="C663" s="38" t="s">
        <v>170</v>
      </c>
      <c r="D663" s="38" t="s">
        <v>170</v>
      </c>
      <c r="E663" s="38" t="s">
        <v>875</v>
      </c>
      <c r="F663" s="38" t="str">
        <f aca="false">B663&amp;"|"&amp;C663&amp;"|"&amp;D663</f>
        <v>23|C|C</v>
      </c>
      <c r="G663" s="45" t="n">
        <f aca="false">INDEX('Transition Stepwise'!$J$2:$J$1137,MATCH(F663,'Transition Stepwise'!$E$2:$E$1137,0))</f>
        <v>0.0952380952380952</v>
      </c>
      <c r="H663" s="45" t="n">
        <f aca="false">INDEX(Background!$D$12:$D$27,MATCH(C663&amp;D663,Background!$E$12:$E$27,0))</f>
        <v>0.312236286919831</v>
      </c>
      <c r="I663" s="49" t="n">
        <f aca="false">LN(G663/H663)</f>
        <v>-1.18738020923252</v>
      </c>
    </row>
    <row r="664" customFormat="false" ht="15" hidden="false" customHeight="true" outlineLevel="0" collapsed="false">
      <c r="A664" s="38" t="s">
        <v>847</v>
      </c>
      <c r="B664" s="38" t="n">
        <v>24</v>
      </c>
      <c r="C664" s="38" t="s">
        <v>170</v>
      </c>
      <c r="D664" s="38" t="s">
        <v>171</v>
      </c>
      <c r="E664" s="38" t="s">
        <v>875</v>
      </c>
      <c r="F664" s="38" t="str">
        <f aca="false">B664&amp;"|"&amp;C664&amp;"|"&amp;D664</f>
        <v>24|C|U</v>
      </c>
      <c r="G664" s="45" t="n">
        <f aca="false">INDEX('Transition Stepwise'!$J$2:$J$1137,MATCH(F664,'Transition Stepwise'!$E$2:$E$1137,0))</f>
        <v>0.2</v>
      </c>
      <c r="H664" s="45" t="n">
        <f aca="false">INDEX(Background!$D$12:$D$27,MATCH(C664&amp;D664,Background!$E$12:$E$27,0))</f>
        <v>0.196466244725738</v>
      </c>
      <c r="I664" s="49" t="n">
        <f aca="false">LN(G664/H664)</f>
        <v>0.0178267325612525</v>
      </c>
    </row>
    <row r="665" customFormat="false" ht="15" hidden="false" customHeight="true" outlineLevel="0" collapsed="false">
      <c r="A665" s="38" t="s">
        <v>847</v>
      </c>
      <c r="B665" s="38" t="n">
        <v>25</v>
      </c>
      <c r="C665" s="38" t="s">
        <v>171</v>
      </c>
      <c r="D665" s="38" t="s">
        <v>169</v>
      </c>
      <c r="E665" s="38" t="s">
        <v>875</v>
      </c>
      <c r="F665" s="38" t="str">
        <f aca="false">B665&amp;"|"&amp;C665&amp;"|"&amp;D665</f>
        <v>25|U|G</v>
      </c>
      <c r="G665" s="45" t="n">
        <f aca="false">INDEX('Transition Stepwise'!$J$2:$J$1137,MATCH(F665,'Transition Stepwise'!$E$2:$E$1137,0))</f>
        <v>0.5</v>
      </c>
      <c r="H665" s="45" t="n">
        <f aca="false">INDEX(Background!$D$12:$D$27,MATCH(C665&amp;D665,Background!$E$12:$E$27,0))</f>
        <v>0.221480987324883</v>
      </c>
      <c r="I665" s="49" t="n">
        <f aca="false">LN(G665/H665)</f>
        <v>0.814271348626164</v>
      </c>
    </row>
    <row r="666" customFormat="false" ht="15" hidden="false" customHeight="true" outlineLevel="0" collapsed="false">
      <c r="A666" s="38" t="s">
        <v>847</v>
      </c>
      <c r="B666" s="38" t="n">
        <v>26</v>
      </c>
      <c r="C666" s="38" t="s">
        <v>169</v>
      </c>
      <c r="D666" s="38" t="s">
        <v>170</v>
      </c>
      <c r="E666" s="38" t="s">
        <v>875</v>
      </c>
      <c r="F666" s="38" t="str">
        <f aca="false">B666&amp;"|"&amp;C666&amp;"|"&amp;D666</f>
        <v>26|G|C</v>
      </c>
      <c r="G666" s="45" t="n">
        <f aca="false">INDEX('Transition Stepwise'!$J$2:$J$1137,MATCH(F666,'Transition Stepwise'!$E$2:$E$1137,0))</f>
        <v>0.528846153846154</v>
      </c>
      <c r="H666" s="45" t="n">
        <f aca="false">INDEX(Background!$D$12:$D$27,MATCH(C666&amp;D666,Background!$E$12:$E$27,0))</f>
        <v>0.256105610561056</v>
      </c>
      <c r="I666" s="49" t="n">
        <f aca="false">LN(G666/H666)</f>
        <v>0.725107664411294</v>
      </c>
    </row>
    <row r="667" customFormat="false" ht="15" hidden="false" customHeight="true" outlineLevel="0" collapsed="false">
      <c r="A667" s="38" t="s">
        <v>847</v>
      </c>
      <c r="B667" s="38" t="n">
        <v>27</v>
      </c>
      <c r="C667" s="38" t="s">
        <v>170</v>
      </c>
      <c r="D667" s="38" t="s">
        <v>171</v>
      </c>
      <c r="E667" s="38" t="s">
        <v>875</v>
      </c>
      <c r="F667" s="38" t="str">
        <f aca="false">B667&amp;"|"&amp;C667&amp;"|"&amp;D667</f>
        <v>27|C|U</v>
      </c>
      <c r="G667" s="45" t="n">
        <f aca="false">INDEX('Transition Stepwise'!$J$2:$J$1137,MATCH(F667,'Transition Stepwise'!$E$2:$E$1137,0))</f>
        <v>0.298969072164948</v>
      </c>
      <c r="H667" s="45" t="n">
        <f aca="false">INDEX(Background!$D$12:$D$27,MATCH(C667&amp;D667,Background!$E$12:$E$27,0))</f>
        <v>0.196466244725738</v>
      </c>
      <c r="I667" s="49" t="n">
        <f aca="false">LN(G667/H667)</f>
        <v>0.419849496478444</v>
      </c>
    </row>
    <row r="668" customFormat="false" ht="15" hidden="false" customHeight="true" outlineLevel="0" collapsed="false">
      <c r="A668" s="38" t="s">
        <v>847</v>
      </c>
      <c r="B668" s="38" t="n">
        <v>28</v>
      </c>
      <c r="C668" s="38" t="s">
        <v>171</v>
      </c>
      <c r="D668" s="38" t="s">
        <v>172</v>
      </c>
      <c r="E668" s="38" t="s">
        <v>875</v>
      </c>
      <c r="F668" s="38" t="str">
        <f aca="false">B668&amp;"|"&amp;C668&amp;"|"&amp;D668</f>
        <v>28|U|A</v>
      </c>
      <c r="G668" s="45" t="n">
        <f aca="false">INDEX('Transition Stepwise'!$J$2:$J$1137,MATCH(F668,'Transition Stepwise'!$E$2:$E$1137,0))</f>
        <v>0.148148148148148</v>
      </c>
      <c r="H668" s="45" t="n">
        <f aca="false">INDEX(Background!$D$12:$D$27,MATCH(C668&amp;D668,Background!$E$12:$E$27,0))</f>
        <v>0.180787191460974</v>
      </c>
      <c r="I668" s="49" t="n">
        <f aca="false">LN(G668/H668)</f>
        <v>-0.199107827661542</v>
      </c>
    </row>
    <row r="669" customFormat="false" ht="15" hidden="false" customHeight="true" outlineLevel="0" collapsed="false">
      <c r="A669" s="38" t="s">
        <v>847</v>
      </c>
      <c r="B669" s="38" t="n">
        <v>29</v>
      </c>
      <c r="C669" s="38" t="s">
        <v>172</v>
      </c>
      <c r="D669" s="38" t="s">
        <v>169</v>
      </c>
      <c r="E669" s="38" t="s">
        <v>875</v>
      </c>
      <c r="F669" s="38" t="str">
        <f aca="false">B669&amp;"|"&amp;C669&amp;"|"&amp;D669</f>
        <v>29|A|G</v>
      </c>
      <c r="G669" s="45" t="n">
        <f aca="false">INDEX('Transition Stepwise'!$J$2:$J$1137,MATCH(F669,'Transition Stepwise'!$E$2:$E$1137,0))</f>
        <v>0.694444444444444</v>
      </c>
      <c r="H669" s="45" t="n">
        <f aca="false">INDEX(Background!$D$12:$D$27,MATCH(C669&amp;D669,Background!$E$12:$E$27,0))</f>
        <v>0.424884437596302</v>
      </c>
      <c r="I669" s="49" t="n">
        <f aca="false">LN(G669/H669)</f>
        <v>0.491294944982569</v>
      </c>
    </row>
    <row r="670" customFormat="false" ht="15" hidden="false" customHeight="true" outlineLevel="0" collapsed="false">
      <c r="A670" s="38" t="s">
        <v>847</v>
      </c>
      <c r="B670" s="38" t="n">
        <v>30</v>
      </c>
      <c r="C670" s="38" t="s">
        <v>169</v>
      </c>
      <c r="D670" s="38" t="s">
        <v>169</v>
      </c>
      <c r="E670" s="38" t="s">
        <v>875</v>
      </c>
      <c r="F670" s="38" t="str">
        <f aca="false">B670&amp;"|"&amp;C670&amp;"|"&amp;D670</f>
        <v>30|G|G</v>
      </c>
      <c r="G670" s="45" t="n">
        <f aca="false">INDEX('Transition Stepwise'!$J$2:$J$1137,MATCH(F670,'Transition Stepwise'!$E$2:$E$1137,0))</f>
        <v>0.272727272727273</v>
      </c>
      <c r="H670" s="45" t="n">
        <f aca="false">INDEX(Background!$D$12:$D$27,MATCH(C670&amp;D670,Background!$E$12:$E$27,0))</f>
        <v>0.344774477447745</v>
      </c>
      <c r="I670" s="49" t="n">
        <f aca="false">LN(G670/H670)</f>
        <v>-0.234418219874703</v>
      </c>
    </row>
    <row r="671" customFormat="false" ht="15" hidden="false" customHeight="true" outlineLevel="0" collapsed="false">
      <c r="A671" s="38" t="s">
        <v>847</v>
      </c>
      <c r="B671" s="38" t="n">
        <v>31</v>
      </c>
      <c r="C671" s="38" t="s">
        <v>169</v>
      </c>
      <c r="D671" s="38" t="s">
        <v>172</v>
      </c>
      <c r="E671" s="38" t="s">
        <v>875</v>
      </c>
      <c r="F671" s="38" t="str">
        <f aca="false">B671&amp;"|"&amp;C671&amp;"|"&amp;D671</f>
        <v>31|G|A</v>
      </c>
      <c r="G671" s="45" t="n">
        <f aca="false">INDEX('Transition Stepwise'!$J$2:$J$1137,MATCH(F671,'Transition Stepwise'!$E$2:$E$1137,0))</f>
        <v>0.0172413793103448</v>
      </c>
      <c r="H671" s="45" t="n">
        <f aca="false">INDEX(Background!$D$12:$D$27,MATCH(C671&amp;D671,Background!$E$12:$E$27,0))</f>
        <v>0.164356435643564</v>
      </c>
      <c r="I671" s="49" t="n">
        <f aca="false">LN(G671/H671)</f>
        <v>-2.25472518906766</v>
      </c>
    </row>
    <row r="672" customFormat="false" ht="15" hidden="false" customHeight="true" outlineLevel="0" collapsed="false">
      <c r="A672" s="38" t="s">
        <v>847</v>
      </c>
      <c r="B672" s="38" t="n">
        <v>32</v>
      </c>
      <c r="C672" s="38" t="s">
        <v>172</v>
      </c>
      <c r="D672" s="38" t="s">
        <v>170</v>
      </c>
      <c r="E672" s="38" t="s">
        <v>875</v>
      </c>
      <c r="F672" s="38" t="str">
        <f aca="false">B672&amp;"|"&amp;C672&amp;"|"&amp;D672</f>
        <v>32|A|C</v>
      </c>
      <c r="G672" s="45" t="n">
        <f aca="false">INDEX('Transition Stepwise'!$J$2:$J$1137,MATCH(F672,'Transition Stepwise'!$E$2:$E$1137,0))</f>
        <v>0.1</v>
      </c>
      <c r="H672" s="45" t="n">
        <f aca="false">INDEX(Background!$D$12:$D$27,MATCH(C672&amp;D672,Background!$E$12:$E$27,0))</f>
        <v>0.161016949152542</v>
      </c>
      <c r="I672" s="49" t="n">
        <f aca="false">LN(G672/H672)</f>
        <v>-0.476339447694821</v>
      </c>
    </row>
    <row r="673" customFormat="false" ht="15" hidden="false" customHeight="true" outlineLevel="0" collapsed="false">
      <c r="A673" s="38" t="s">
        <v>847</v>
      </c>
      <c r="B673" s="38" t="n">
        <v>33</v>
      </c>
      <c r="C673" s="38" t="s">
        <v>170</v>
      </c>
      <c r="D673" s="38" t="s">
        <v>171</v>
      </c>
      <c r="E673" s="38" t="s">
        <v>875</v>
      </c>
      <c r="F673" s="38" t="str">
        <f aca="false">B673&amp;"|"&amp;C673&amp;"|"&amp;D673</f>
        <v>33|C|U</v>
      </c>
      <c r="G673" s="45" t="n">
        <f aca="false">INDEX('Transition Stepwise'!$J$2:$J$1137,MATCH(F673,'Transition Stepwise'!$E$2:$E$1137,0))</f>
        <v>0.2</v>
      </c>
      <c r="H673" s="45" t="n">
        <f aca="false">INDEX(Background!$D$12:$D$27,MATCH(C673&amp;D673,Background!$E$12:$E$27,0))</f>
        <v>0.196466244725738</v>
      </c>
      <c r="I673" s="49" t="n">
        <f aca="false">LN(G673/H673)</f>
        <v>0.0178267325612525</v>
      </c>
    </row>
    <row r="674" customFormat="false" ht="15" hidden="false" customHeight="true" outlineLevel="0" collapsed="false">
      <c r="A674" s="38" t="s">
        <v>847</v>
      </c>
      <c r="B674" s="38" t="n">
        <v>34</v>
      </c>
      <c r="C674" s="38" t="s">
        <v>171</v>
      </c>
      <c r="D674" s="38" t="s">
        <v>171</v>
      </c>
      <c r="E674" s="38" t="s">
        <v>875</v>
      </c>
      <c r="F674" s="38" t="str">
        <f aca="false">B674&amp;"|"&amp;C674&amp;"|"&amp;D674</f>
        <v>34|U|U</v>
      </c>
      <c r="G674" s="45" t="n">
        <f aca="false">INDEX('Transition Stepwise'!$J$2:$J$1137,MATCH(F674,'Transition Stepwise'!$E$2:$E$1137,0))</f>
        <v>0.17741935483871</v>
      </c>
      <c r="H674" s="45" t="n">
        <f aca="false">INDEX(Background!$D$12:$D$27,MATCH(C674&amp;D674,Background!$E$12:$E$27,0))</f>
        <v>0.220480320213476</v>
      </c>
      <c r="I674" s="49" t="n">
        <f aca="false">LN(G674/H674)</f>
        <v>-0.217292273435864</v>
      </c>
    </row>
    <row r="675" customFormat="false" ht="15" hidden="false" customHeight="true" outlineLevel="0" collapsed="false">
      <c r="A675" s="38" t="s">
        <v>847</v>
      </c>
      <c r="B675" s="38" t="n">
        <v>35</v>
      </c>
      <c r="C675" s="38" t="s">
        <v>171</v>
      </c>
      <c r="D675" s="38" t="s">
        <v>172</v>
      </c>
      <c r="E675" s="38" t="s">
        <v>875</v>
      </c>
      <c r="F675" s="38" t="str">
        <f aca="false">B675&amp;"|"&amp;C675&amp;"|"&amp;D675</f>
        <v>35|U|A</v>
      </c>
      <c r="G675" s="45" t="n">
        <f aca="false">INDEX('Transition Stepwise'!$J$2:$J$1137,MATCH(F675,'Transition Stepwise'!$E$2:$E$1137,0))</f>
        <v>0.177777777777778</v>
      </c>
      <c r="H675" s="45" t="n">
        <f aca="false">INDEX(Background!$D$12:$D$27,MATCH(C675&amp;D675,Background!$E$12:$E$27,0))</f>
        <v>0.180787191460974</v>
      </c>
      <c r="I675" s="49" t="n">
        <f aca="false">LN(G675/H675)</f>
        <v>-0.016786270867587</v>
      </c>
    </row>
    <row r="676" customFormat="false" ht="15" hidden="false" customHeight="true" outlineLevel="0" collapsed="false">
      <c r="A676" s="38" t="s">
        <v>847</v>
      </c>
      <c r="B676" s="38" t="n">
        <v>36</v>
      </c>
      <c r="C676" s="38" t="s">
        <v>172</v>
      </c>
      <c r="D676" s="38" t="s">
        <v>172</v>
      </c>
      <c r="E676" s="38" t="s">
        <v>875</v>
      </c>
      <c r="F676" s="38" t="str">
        <f aca="false">B676&amp;"|"&amp;C676&amp;"|"&amp;D676</f>
        <v>36|A|A</v>
      </c>
      <c r="G676" s="45" t="n">
        <f aca="false">INDEX('Transition Stepwise'!$J$2:$J$1137,MATCH(F676,'Transition Stepwise'!$E$2:$E$1137,0))</f>
        <v>0.553191489361702</v>
      </c>
      <c r="H676" s="45" t="n">
        <f aca="false">INDEX(Background!$D$12:$D$27,MATCH(C676&amp;D676,Background!$E$12:$E$27,0))</f>
        <v>0.219568567026194</v>
      </c>
      <c r="I676" s="49" t="n">
        <f aca="false">LN(G676/H676)</f>
        <v>0.924039653306808</v>
      </c>
    </row>
    <row r="677" customFormat="false" ht="15" hidden="false" customHeight="true" outlineLevel="0" collapsed="false">
      <c r="A677" s="38" t="s">
        <v>847</v>
      </c>
      <c r="B677" s="38" t="n">
        <v>37</v>
      </c>
      <c r="C677" s="38" t="s">
        <v>172</v>
      </c>
      <c r="D677" s="38" t="s">
        <v>171</v>
      </c>
      <c r="E677" s="38" t="s">
        <v>875</v>
      </c>
      <c r="F677" s="38" t="str">
        <f aca="false">B677&amp;"|"&amp;C677&amp;"|"&amp;D677</f>
        <v>37|A|U</v>
      </c>
      <c r="G677" s="45" t="n">
        <f aca="false">INDEX('Transition Stepwise'!$J$2:$J$1137,MATCH(F677,'Transition Stepwise'!$E$2:$E$1137,0))</f>
        <v>0.0974025974025974</v>
      </c>
      <c r="H677" s="45" t="n">
        <f aca="false">INDEX(Background!$D$12:$D$27,MATCH(C677&amp;D677,Background!$E$12:$E$27,0))</f>
        <v>0.194530046224961</v>
      </c>
      <c r="I677" s="49" t="n">
        <f aca="false">LN(G677/H677)</f>
        <v>-0.691733752762798</v>
      </c>
    </row>
    <row r="678" customFormat="false" ht="15" hidden="false" customHeight="true" outlineLevel="0" collapsed="false">
      <c r="A678" s="38" t="s">
        <v>847</v>
      </c>
      <c r="B678" s="38" t="n">
        <v>38</v>
      </c>
      <c r="C678" s="38" t="s">
        <v>171</v>
      </c>
      <c r="D678" s="38" t="s">
        <v>171</v>
      </c>
      <c r="E678" s="38" t="s">
        <v>875</v>
      </c>
      <c r="F678" s="38" t="str">
        <f aca="false">B678&amp;"|"&amp;C678&amp;"|"&amp;D678</f>
        <v>38|U|U</v>
      </c>
      <c r="G678" s="45" t="n">
        <f aca="false">INDEX('Transition Stepwise'!$J$2:$J$1137,MATCH(F678,'Transition Stepwise'!$E$2:$E$1137,0))</f>
        <v>0.148148148148148</v>
      </c>
      <c r="H678" s="45" t="n">
        <f aca="false">INDEX(Background!$D$12:$D$27,MATCH(C678&amp;D678,Background!$E$12:$E$27,0))</f>
        <v>0.220480320213476</v>
      </c>
      <c r="I678" s="49" t="n">
        <f aca="false">LN(G678/H678)</f>
        <v>-0.397595666073582</v>
      </c>
    </row>
    <row r="679" customFormat="false" ht="15" hidden="false" customHeight="true" outlineLevel="0" collapsed="false">
      <c r="A679" s="38" t="s">
        <v>847</v>
      </c>
      <c r="B679" s="38" t="n">
        <v>39</v>
      </c>
      <c r="C679" s="38" t="s">
        <v>171</v>
      </c>
      <c r="D679" s="38" t="s">
        <v>171</v>
      </c>
      <c r="E679" s="38" t="s">
        <v>875</v>
      </c>
      <c r="F679" s="38" t="str">
        <f aca="false">B679&amp;"|"&amp;C679&amp;"|"&amp;D679</f>
        <v>39|U|U</v>
      </c>
      <c r="G679" s="45" t="n">
        <f aca="false">INDEX('Transition Stepwise'!$J$2:$J$1137,MATCH(F679,'Transition Stepwise'!$E$2:$E$1137,0))</f>
        <v>0.0317460317460317</v>
      </c>
      <c r="H679" s="45" t="n">
        <f aca="false">INDEX(Background!$D$12:$D$27,MATCH(C679&amp;D679,Background!$E$12:$E$27,0))</f>
        <v>0.220480320213476</v>
      </c>
      <c r="I679" s="49" t="n">
        <f aca="false">LN(G679/H679)</f>
        <v>-1.93804070702073</v>
      </c>
    </row>
    <row r="680" customFormat="false" ht="15" hidden="false" customHeight="true" outlineLevel="0" collapsed="false">
      <c r="A680" s="38" t="s">
        <v>847</v>
      </c>
      <c r="B680" s="38" t="n">
        <v>40</v>
      </c>
      <c r="C680" s="38" t="s">
        <v>171</v>
      </c>
      <c r="D680" s="38" t="s">
        <v>171</v>
      </c>
      <c r="E680" s="38" t="s">
        <v>875</v>
      </c>
      <c r="F680" s="38" t="str">
        <f aca="false">B680&amp;"|"&amp;C680&amp;"|"&amp;D680</f>
        <v>40|U|U</v>
      </c>
      <c r="G680" s="45" t="n">
        <f aca="false">INDEX('Transition Stepwise'!$J$2:$J$1137,MATCH(F680,'Transition Stepwise'!$E$2:$E$1137,0))</f>
        <v>0.0833333333333333</v>
      </c>
      <c r="H680" s="45" t="n">
        <f aca="false">INDEX(Background!$D$12:$D$27,MATCH(C680&amp;D680,Background!$E$12:$E$27,0))</f>
        <v>0.220480320213476</v>
      </c>
      <c r="I680" s="49" t="n">
        <f aca="false">LN(G680/H680)</f>
        <v>-0.972959810977144</v>
      </c>
    </row>
    <row r="681" customFormat="false" ht="15" hidden="false" customHeight="true" outlineLevel="0" collapsed="false">
      <c r="A681" s="38" t="s">
        <v>847</v>
      </c>
      <c r="B681" s="38" t="n">
        <v>41</v>
      </c>
      <c r="C681" s="38" t="s">
        <v>171</v>
      </c>
      <c r="D681" s="38" t="s">
        <v>169</v>
      </c>
      <c r="E681" s="38" t="s">
        <v>875</v>
      </c>
      <c r="F681" s="38" t="str">
        <f aca="false">B681&amp;"|"&amp;C681&amp;"|"&amp;D681</f>
        <v>41|U|G</v>
      </c>
      <c r="G681" s="45" t="n">
        <f aca="false">INDEX('Transition Stepwise'!$J$2:$J$1137,MATCH(F681,'Transition Stepwise'!$E$2:$E$1137,0))</f>
        <v>0.513513513513514</v>
      </c>
      <c r="H681" s="45" t="n">
        <f aca="false">INDEX(Background!$D$12:$D$27,MATCH(C681&amp;D681,Background!$E$12:$E$27,0))</f>
        <v>0.221480987324883</v>
      </c>
      <c r="I681" s="49" t="n">
        <f aca="false">LN(G681/H681)</f>
        <v>0.840939595708325</v>
      </c>
    </row>
    <row r="682" customFormat="false" ht="15" hidden="false" customHeight="true" outlineLevel="0" collapsed="false">
      <c r="A682" s="38" t="s">
        <v>847</v>
      </c>
      <c r="B682" s="38" t="n">
        <v>42</v>
      </c>
      <c r="C682" s="38" t="s">
        <v>169</v>
      </c>
      <c r="D682" s="38" t="s">
        <v>169</v>
      </c>
      <c r="E682" s="38" t="s">
        <v>875</v>
      </c>
      <c r="F682" s="38" t="str">
        <f aca="false">B682&amp;"|"&amp;C682&amp;"|"&amp;D682</f>
        <v>42|G|G</v>
      </c>
      <c r="G682" s="45" t="n">
        <f aca="false">INDEX('Transition Stepwise'!$J$2:$J$1137,MATCH(F682,'Transition Stepwise'!$E$2:$E$1137,0))</f>
        <v>0.394495412844037</v>
      </c>
      <c r="H682" s="45" t="n">
        <f aca="false">INDEX(Background!$D$12:$D$27,MATCH(C682&amp;D682,Background!$E$12:$E$27,0))</f>
        <v>0.344774477447745</v>
      </c>
      <c r="I682" s="49" t="n">
        <f aca="false">LN(G682/H682)</f>
        <v>0.134716997719977</v>
      </c>
    </row>
    <row r="683" customFormat="false" ht="15" hidden="false" customHeight="true" outlineLevel="0" collapsed="false">
      <c r="A683" s="38" t="s">
        <v>847</v>
      </c>
      <c r="B683" s="38" t="n">
        <v>43</v>
      </c>
      <c r="C683" s="38" t="s">
        <v>169</v>
      </c>
      <c r="D683" s="38" t="s">
        <v>171</v>
      </c>
      <c r="E683" s="38" t="s">
        <v>875</v>
      </c>
      <c r="F683" s="38" t="str">
        <f aca="false">B683&amp;"|"&amp;C683&amp;"|"&amp;D683</f>
        <v>43|G|U</v>
      </c>
      <c r="G683" s="45" t="n">
        <f aca="false">INDEX('Transition Stepwise'!$J$2:$J$1137,MATCH(F683,'Transition Stepwise'!$E$2:$E$1137,0))</f>
        <v>0.135922330097087</v>
      </c>
      <c r="H683" s="45" t="n">
        <f aca="false">INDEX(Background!$D$12:$D$27,MATCH(C683&amp;D683,Background!$E$12:$E$27,0))</f>
        <v>0.234763476347635</v>
      </c>
      <c r="I683" s="49" t="n">
        <f aca="false">LN(G683/H683)</f>
        <v>-0.546494903304551</v>
      </c>
    </row>
    <row r="684" customFormat="false" ht="15" hidden="false" customHeight="true" outlineLevel="0" collapsed="false">
      <c r="A684" s="38" t="s">
        <v>847</v>
      </c>
      <c r="B684" s="38" t="n">
        <v>44</v>
      </c>
      <c r="C684" s="38" t="s">
        <v>171</v>
      </c>
      <c r="D684" s="38" t="s">
        <v>169</v>
      </c>
      <c r="E684" s="38" t="s">
        <v>875</v>
      </c>
      <c r="F684" s="38" t="str">
        <f aca="false">B684&amp;"|"&amp;C684&amp;"|"&amp;D684</f>
        <v>44|U|G</v>
      </c>
      <c r="G684" s="45" t="n">
        <f aca="false">INDEX('Transition Stepwise'!$J$2:$J$1137,MATCH(F684,'Transition Stepwise'!$E$2:$E$1137,0))</f>
        <v>0.592592592592593</v>
      </c>
      <c r="H684" s="45" t="n">
        <f aca="false">INDEX(Background!$D$12:$D$27,MATCH(C684&amp;D684,Background!$E$12:$E$27,0))</f>
        <v>0.221480987324883</v>
      </c>
      <c r="I684" s="49" t="n">
        <f aca="false">LN(G684/H684)</f>
        <v>0.984170385421561</v>
      </c>
    </row>
    <row r="685" customFormat="false" ht="15" hidden="false" customHeight="true" outlineLevel="0" collapsed="false">
      <c r="A685" s="38" t="s">
        <v>847</v>
      </c>
      <c r="B685" s="38" t="n">
        <v>45</v>
      </c>
      <c r="C685" s="38" t="s">
        <v>169</v>
      </c>
      <c r="D685" s="38" t="s">
        <v>170</v>
      </c>
      <c r="E685" s="38" t="s">
        <v>875</v>
      </c>
      <c r="F685" s="38" t="str">
        <f aca="false">B685&amp;"|"&amp;C685&amp;"|"&amp;D685</f>
        <v>45|G|C</v>
      </c>
      <c r="G685" s="45" t="n">
        <f aca="false">INDEX('Transition Stepwise'!$J$2:$J$1137,MATCH(F685,'Transition Stepwise'!$E$2:$E$1137,0))</f>
        <v>0.0218978102189781</v>
      </c>
      <c r="H685" s="45" t="n">
        <f aca="false">INDEX(Background!$D$12:$D$27,MATCH(C685&amp;D685,Background!$E$12:$E$27,0))</f>
        <v>0.256105610561056</v>
      </c>
      <c r="I685" s="49" t="n">
        <f aca="false">LN(G685/H685)</f>
        <v>-2.45920325883982</v>
      </c>
    </row>
    <row r="686" customFormat="false" ht="15" hidden="false" customHeight="true" outlineLevel="0" collapsed="false">
      <c r="A686" s="38" t="s">
        <v>847</v>
      </c>
      <c r="B686" s="38" t="n">
        <v>46</v>
      </c>
      <c r="C686" s="38" t="s">
        <v>170</v>
      </c>
      <c r="D686" s="38" t="s">
        <v>172</v>
      </c>
      <c r="E686" s="38" t="s">
        <v>875</v>
      </c>
      <c r="F686" s="38" t="str">
        <f aca="false">B686&amp;"|"&amp;C686&amp;"|"&amp;D686</f>
        <v>46|C|A</v>
      </c>
      <c r="G686" s="45" t="n">
        <f aca="false">INDEX('Transition Stepwise'!$J$2:$J$1137,MATCH(F686,'Transition Stepwise'!$E$2:$E$1137,0))</f>
        <v>0.25</v>
      </c>
      <c r="H686" s="45" t="n">
        <f aca="false">INDEX(Background!$D$12:$D$27,MATCH(C686&amp;D686,Background!$E$12:$E$27,0))</f>
        <v>0.194883966244726</v>
      </c>
      <c r="I686" s="49" t="n">
        <f aca="false">LN(G686/H686)</f>
        <v>0.24905658130682</v>
      </c>
    </row>
    <row r="687" customFormat="false" ht="15" hidden="false" customHeight="true" outlineLevel="0" collapsed="false">
      <c r="A687" s="38" t="s">
        <v>847</v>
      </c>
      <c r="B687" s="38" t="n">
        <v>47</v>
      </c>
      <c r="C687" s="38" t="s">
        <v>172</v>
      </c>
      <c r="D687" s="38" t="s">
        <v>171</v>
      </c>
      <c r="E687" s="38" t="s">
        <v>875</v>
      </c>
      <c r="F687" s="38" t="str">
        <f aca="false">B687&amp;"|"&amp;C687&amp;"|"&amp;D687</f>
        <v>47|A|U</v>
      </c>
      <c r="G687" s="45" t="n">
        <f aca="false">INDEX('Transition Stepwise'!$J$2:$J$1137,MATCH(F687,'Transition Stepwise'!$E$2:$E$1137,0))</f>
        <v>0.166666666666667</v>
      </c>
      <c r="H687" s="45" t="n">
        <f aca="false">INDEX(Background!$D$12:$D$27,MATCH(C687&amp;D687,Background!$E$12:$E$27,0))</f>
        <v>0.194530046224961</v>
      </c>
      <c r="I687" s="49" t="n">
        <f aca="false">LN(G687/H687)</f>
        <v>-0.154590820679434</v>
      </c>
    </row>
    <row r="688" customFormat="false" ht="15" hidden="false" customHeight="true" outlineLevel="0" collapsed="false">
      <c r="A688" s="38" t="s">
        <v>847</v>
      </c>
      <c r="B688" s="38" t="n">
        <v>48</v>
      </c>
      <c r="C688" s="38" t="s">
        <v>171</v>
      </c>
      <c r="D688" s="38" t="s">
        <v>169</v>
      </c>
      <c r="E688" s="38" t="s">
        <v>875</v>
      </c>
      <c r="F688" s="38" t="str">
        <f aca="false">B688&amp;"|"&amp;C688&amp;"|"&amp;D688</f>
        <v>48|U|G</v>
      </c>
      <c r="G688" s="45" t="n">
        <f aca="false">INDEX('Transition Stepwise'!$J$2:$J$1137,MATCH(F688,'Transition Stepwise'!$E$2:$E$1137,0))</f>
        <v>0.515151515151515</v>
      </c>
      <c r="H688" s="45" t="n">
        <f aca="false">INDEX(Background!$D$12:$D$27,MATCH(C688&amp;D688,Background!$E$12:$E$27,0))</f>
        <v>0.221480987324883</v>
      </c>
      <c r="I688" s="49" t="n">
        <f aca="false">LN(G688/H688)</f>
        <v>0.844124311775845</v>
      </c>
    </row>
    <row r="689" customFormat="false" ht="15" hidden="false" customHeight="true" outlineLevel="0" collapsed="false">
      <c r="A689" s="38" t="s">
        <v>847</v>
      </c>
      <c r="B689" s="38" t="n">
        <v>49</v>
      </c>
      <c r="C689" s="38" t="s">
        <v>169</v>
      </c>
      <c r="D689" s="38" t="s">
        <v>172</v>
      </c>
      <c r="E689" s="38" t="s">
        <v>875</v>
      </c>
      <c r="F689" s="38" t="str">
        <f aca="false">B689&amp;"|"&amp;C689&amp;"|"&amp;D689</f>
        <v>49|G|A</v>
      </c>
      <c r="G689" s="45" t="n">
        <f aca="false">INDEX('Transition Stepwise'!$J$2:$J$1137,MATCH(F689,'Transition Stepwise'!$E$2:$E$1137,0))</f>
        <v>0.163461538461538</v>
      </c>
      <c r="H689" s="45" t="n">
        <f aca="false">INDEX(Background!$D$12:$D$27,MATCH(C689&amp;D689,Background!$E$12:$E$27,0))</f>
        <v>0.164356435643564</v>
      </c>
      <c r="I689" s="49" t="n">
        <f aca="false">LN(G689/H689)</f>
        <v>-0.00545973360639468</v>
      </c>
    </row>
    <row r="690" customFormat="false" ht="15" hidden="false" customHeight="true" outlineLevel="0" collapsed="false">
      <c r="A690" s="38" t="s">
        <v>847</v>
      </c>
      <c r="B690" s="38" t="n">
        <v>50</v>
      </c>
      <c r="C690" s="38" t="s">
        <v>172</v>
      </c>
      <c r="D690" s="38" t="s">
        <v>170</v>
      </c>
      <c r="E690" s="38" t="s">
        <v>875</v>
      </c>
      <c r="F690" s="38" t="str">
        <f aca="false">B690&amp;"|"&amp;C690&amp;"|"&amp;D690</f>
        <v>50|A|C</v>
      </c>
      <c r="G690" s="45" t="n">
        <f aca="false">INDEX('Transition Stepwise'!$J$2:$J$1137,MATCH(F690,'Transition Stepwise'!$E$2:$E$1137,0))</f>
        <v>0.111111111111111</v>
      </c>
      <c r="H690" s="45" t="n">
        <f aca="false">INDEX(Background!$D$12:$D$27,MATCH(C690&amp;D690,Background!$E$12:$E$27,0))</f>
        <v>0.161016949152542</v>
      </c>
      <c r="I690" s="49" t="n">
        <f aca="false">LN(G690/H690)</f>
        <v>-0.370978932036995</v>
      </c>
    </row>
    <row r="691" customFormat="false" ht="15" hidden="false" customHeight="true" outlineLevel="0" collapsed="false">
      <c r="A691" s="38" t="s">
        <v>847</v>
      </c>
      <c r="B691" s="38" t="n">
        <v>51</v>
      </c>
      <c r="C691" s="38" t="s">
        <v>170</v>
      </c>
      <c r="D691" s="38" t="s">
        <v>169</v>
      </c>
      <c r="E691" s="38" t="s">
        <v>875</v>
      </c>
      <c r="F691" s="38" t="str">
        <f aca="false">B691&amp;"|"&amp;C691&amp;"|"&amp;D691</f>
        <v>51|C|G</v>
      </c>
      <c r="G691" s="45" t="n">
        <f aca="false">INDEX('Transition Stepwise'!$J$2:$J$1137,MATCH(F691,'Transition Stepwise'!$E$2:$E$1137,0))</f>
        <v>0.733333333333333</v>
      </c>
      <c r="H691" s="45" t="n">
        <f aca="false">INDEX(Background!$D$12:$D$27,MATCH(C691&amp;D691,Background!$E$12:$E$27,0))</f>
        <v>0.296413502109705</v>
      </c>
      <c r="I691" s="49" t="n">
        <f aca="false">LN(G691/H691)</f>
        <v>0.905844904617437</v>
      </c>
    </row>
    <row r="692" customFormat="false" ht="15" hidden="false" customHeight="true" outlineLevel="0" collapsed="false">
      <c r="A692" s="38" t="s">
        <v>847</v>
      </c>
      <c r="B692" s="38" t="n">
        <v>52</v>
      </c>
      <c r="C692" s="38" t="s">
        <v>169</v>
      </c>
      <c r="D692" s="38" t="s">
        <v>169</v>
      </c>
      <c r="E692" s="38" t="s">
        <v>875</v>
      </c>
      <c r="F692" s="38" t="str">
        <f aca="false">B692&amp;"|"&amp;C692&amp;"|"&amp;D692</f>
        <v>52|G|G</v>
      </c>
      <c r="G692" s="45" t="n">
        <f aca="false">INDEX('Transition Stepwise'!$J$2:$J$1137,MATCH(F692,'Transition Stepwise'!$E$2:$E$1137,0))</f>
        <v>0.964912280701754</v>
      </c>
      <c r="H692" s="45" t="n">
        <f aca="false">INDEX(Background!$D$12:$D$27,MATCH(C692&amp;D692,Background!$E$12:$E$27,0))</f>
        <v>0.344774477447745</v>
      </c>
      <c r="I692" s="49" t="n">
        <f aca="false">LN(G692/H692)</f>
        <v>1.02914668165348</v>
      </c>
    </row>
    <row r="693" customFormat="false" ht="15" hidden="false" customHeight="true" outlineLevel="0" collapsed="false">
      <c r="A693" s="38" t="s">
        <v>847</v>
      </c>
      <c r="B693" s="38" t="n">
        <v>53</v>
      </c>
      <c r="C693" s="38" t="s">
        <v>169</v>
      </c>
      <c r="D693" s="38" t="s">
        <v>171</v>
      </c>
      <c r="E693" s="38" t="s">
        <v>875</v>
      </c>
      <c r="F693" s="38" t="str">
        <f aca="false">B693&amp;"|"&amp;C693&amp;"|"&amp;D693</f>
        <v>53|G|U</v>
      </c>
      <c r="G693" s="45" t="n">
        <f aca="false">INDEX('Transition Stepwise'!$J$2:$J$1137,MATCH(F693,'Transition Stepwise'!$E$2:$E$1137,0))</f>
        <v>0.974874371859297</v>
      </c>
      <c r="H693" s="45" t="n">
        <f aca="false">INDEX(Background!$D$12:$D$27,MATCH(C693&amp;D693,Background!$E$12:$E$27,0))</f>
        <v>0.234763476347635</v>
      </c>
      <c r="I693" s="49" t="n">
        <f aca="false">LN(G693/H693)</f>
        <v>1.42373008964866</v>
      </c>
    </row>
    <row r="694" customFormat="false" ht="15" hidden="false" customHeight="true" outlineLevel="0" collapsed="false">
      <c r="A694" s="38" t="s">
        <v>847</v>
      </c>
      <c r="B694" s="38" t="n">
        <v>54</v>
      </c>
      <c r="C694" s="38" t="s">
        <v>171</v>
      </c>
      <c r="D694" s="38" t="s">
        <v>170</v>
      </c>
      <c r="E694" s="38" t="s">
        <v>875</v>
      </c>
      <c r="F694" s="38" t="str">
        <f aca="false">B694&amp;"|"&amp;C694&amp;"|"&amp;D694</f>
        <v>54|U|C</v>
      </c>
      <c r="G694" s="45" t="n">
        <f aca="false">INDEX('Transition Stepwise'!$J$2:$J$1137,MATCH(F694,'Transition Stepwise'!$E$2:$E$1137,0))</f>
        <v>0.00995024875621891</v>
      </c>
      <c r="H694" s="45" t="n">
        <f aca="false">INDEX(Background!$D$12:$D$27,MATCH(C694&amp;D694,Background!$E$12:$E$27,0))</f>
        <v>0.377251501000667</v>
      </c>
      <c r="I694" s="49" t="n">
        <f aca="false">LN(G694/H694)</f>
        <v>-3.63531452495271</v>
      </c>
    </row>
    <row r="695" customFormat="false" ht="15" hidden="false" customHeight="true" outlineLevel="0" collapsed="false">
      <c r="A695" s="38" t="s">
        <v>847</v>
      </c>
      <c r="B695" s="38" t="n">
        <v>55</v>
      </c>
      <c r="C695" s="38" t="s">
        <v>170</v>
      </c>
      <c r="D695" s="38" t="s">
        <v>170</v>
      </c>
      <c r="E695" s="38" t="s">
        <v>875</v>
      </c>
      <c r="F695" s="38" t="str">
        <f aca="false">B695&amp;"|"&amp;C695&amp;"|"&amp;D695</f>
        <v>55|C|C</v>
      </c>
      <c r="G695" s="45" t="n">
        <f aca="false">INDEX('Transition Stepwise'!$J$2:$J$1137,MATCH(F695,'Transition Stepwise'!$E$2:$E$1137,0))</f>
        <v>0.2</v>
      </c>
      <c r="H695" s="45" t="n">
        <f aca="false">INDEX(Background!$D$12:$D$27,MATCH(C695&amp;D695,Background!$E$12:$E$27,0))</f>
        <v>0.312236286919831</v>
      </c>
      <c r="I695" s="49" t="n">
        <f aca="false">LN(G695/H695)</f>
        <v>-0.445442864503139</v>
      </c>
    </row>
    <row r="696" customFormat="false" ht="15" hidden="false" customHeight="true" outlineLevel="0" collapsed="false">
      <c r="A696" s="38" t="s">
        <v>847</v>
      </c>
      <c r="B696" s="38" t="n">
        <v>56</v>
      </c>
      <c r="C696" s="38" t="s">
        <v>170</v>
      </c>
      <c r="D696" s="38" t="s">
        <v>171</v>
      </c>
      <c r="E696" s="38" t="s">
        <v>875</v>
      </c>
      <c r="F696" s="38" t="str">
        <f aca="false">B696&amp;"|"&amp;C696&amp;"|"&amp;D696</f>
        <v>56|C|U</v>
      </c>
      <c r="G696" s="45" t="n">
        <f aca="false">INDEX('Transition Stepwise'!$J$2:$J$1137,MATCH(F696,'Transition Stepwise'!$E$2:$E$1137,0))</f>
        <v>0.0050251256281407</v>
      </c>
      <c r="H696" s="45" t="n">
        <f aca="false">INDEX(Background!$D$12:$D$27,MATCH(C696&amp;D696,Background!$E$12:$E$27,0))</f>
        <v>0.196466244725738</v>
      </c>
      <c r="I696" s="49" t="n">
        <f aca="false">LN(G696/H696)</f>
        <v>-3.66604017972914</v>
      </c>
    </row>
    <row r="697" customFormat="false" ht="15" hidden="false" customHeight="true" outlineLevel="0" collapsed="false">
      <c r="A697" s="38" t="s">
        <v>847</v>
      </c>
      <c r="B697" s="38" t="n">
        <v>57</v>
      </c>
      <c r="C697" s="38" t="s">
        <v>171</v>
      </c>
      <c r="D697" s="38" t="s">
        <v>172</v>
      </c>
      <c r="E697" s="38" t="s">
        <v>875</v>
      </c>
      <c r="F697" s="38" t="str">
        <f aca="false">B697&amp;"|"&amp;C697&amp;"|"&amp;D697</f>
        <v>57|U|A</v>
      </c>
      <c r="G697" s="45" t="n">
        <f aca="false">INDEX('Transition Stepwise'!$J$2:$J$1137,MATCH(F697,'Transition Stepwise'!$E$2:$E$1137,0))</f>
        <v>0.2</v>
      </c>
      <c r="H697" s="45" t="n">
        <f aca="false">INDEX(Background!$D$12:$D$27,MATCH(C697&amp;D697,Background!$E$12:$E$27,0))</f>
        <v>0.180787191460974</v>
      </c>
      <c r="I697" s="49" t="n">
        <f aca="false">LN(G697/H697)</f>
        <v>0.100996764788796</v>
      </c>
    </row>
    <row r="698" customFormat="false" ht="15" hidden="false" customHeight="true" outlineLevel="0" collapsed="false">
      <c r="A698" s="38" t="s">
        <v>847</v>
      </c>
      <c r="B698" s="38" t="n">
        <v>58</v>
      </c>
      <c r="C698" s="38" t="s">
        <v>172</v>
      </c>
      <c r="D698" s="38" t="s">
        <v>171</v>
      </c>
      <c r="E698" s="38" t="s">
        <v>875</v>
      </c>
      <c r="F698" s="38" t="str">
        <f aca="false">B698&amp;"|"&amp;C698&amp;"|"&amp;D698</f>
        <v>58|A|U</v>
      </c>
      <c r="G698" s="45" t="n">
        <f aca="false">INDEX('Transition Stepwise'!$J$2:$J$1137,MATCH(F698,'Transition Stepwise'!$E$2:$E$1137,0))</f>
        <v>0.253731343283582</v>
      </c>
      <c r="H698" s="45" t="n">
        <f aca="false">INDEX(Background!$D$12:$D$27,MATCH(C698&amp;D698,Background!$E$12:$E$27,0))</f>
        <v>0.194530046224961</v>
      </c>
      <c r="I698" s="49" t="n">
        <f aca="false">LN(G698/H698)</f>
        <v>0.265689373213871</v>
      </c>
    </row>
    <row r="699" customFormat="false" ht="15" hidden="false" customHeight="true" outlineLevel="0" collapsed="false">
      <c r="A699" s="38" t="s">
        <v>847</v>
      </c>
      <c r="B699" s="38" t="n">
        <v>59</v>
      </c>
      <c r="C699" s="38" t="s">
        <v>171</v>
      </c>
      <c r="D699" s="38" t="s">
        <v>169</v>
      </c>
      <c r="E699" s="38" t="s">
        <v>875</v>
      </c>
      <c r="F699" s="38" t="str">
        <f aca="false">B699&amp;"|"&amp;C699&amp;"|"&amp;D699</f>
        <v>59|U|G</v>
      </c>
      <c r="G699" s="45" t="n">
        <f aca="false">INDEX('Transition Stepwise'!$J$2:$J$1137,MATCH(F699,'Transition Stepwise'!$E$2:$E$1137,0))</f>
        <v>0.0185185185185185</v>
      </c>
      <c r="H699" s="45" t="n">
        <f aca="false">INDEX(Background!$D$12:$D$27,MATCH(C699&amp;D699,Background!$E$12:$E$27,0))</f>
        <v>0.221480987324883</v>
      </c>
      <c r="I699" s="49" t="n">
        <f aca="false">LN(G699/H699)</f>
        <v>-2.48156551737817</v>
      </c>
    </row>
    <row r="700" customFormat="false" ht="15" hidden="false" customHeight="true" outlineLevel="0" collapsed="false">
      <c r="A700" s="38" t="s">
        <v>847</v>
      </c>
      <c r="B700" s="38" t="n">
        <v>60</v>
      </c>
      <c r="C700" s="38" t="s">
        <v>169</v>
      </c>
      <c r="D700" s="38" t="s">
        <v>170</v>
      </c>
      <c r="E700" s="38" t="s">
        <v>875</v>
      </c>
      <c r="F700" s="38" t="str">
        <f aca="false">B700&amp;"|"&amp;C700&amp;"|"&amp;D700</f>
        <v>60|G|C</v>
      </c>
      <c r="G700" s="45" t="n">
        <f aca="false">INDEX('Transition Stepwise'!$J$2:$J$1137,MATCH(F700,'Transition Stepwise'!$E$2:$E$1137,0))</f>
        <v>0.333333333333333</v>
      </c>
      <c r="H700" s="45" t="n">
        <f aca="false">INDEX(Background!$D$12:$D$27,MATCH(C700&amp;D700,Background!$E$12:$E$27,0))</f>
        <v>0.256105610561056</v>
      </c>
      <c r="I700" s="49" t="n">
        <f aca="false">LN(G700/H700)</f>
        <v>0.263553089652086</v>
      </c>
    </row>
    <row r="701" customFormat="false" ht="15" hidden="false" customHeight="true" outlineLevel="0" collapsed="false">
      <c r="A701" s="38" t="s">
        <v>847</v>
      </c>
      <c r="B701" s="38" t="n">
        <v>61</v>
      </c>
      <c r="C701" s="38" t="s">
        <v>170</v>
      </c>
      <c r="D701" s="38" t="s">
        <v>172</v>
      </c>
      <c r="E701" s="38" t="s">
        <v>875</v>
      </c>
      <c r="F701" s="38" t="str">
        <f aca="false">B701&amp;"|"&amp;C701&amp;"|"&amp;D701</f>
        <v>61|C|A</v>
      </c>
      <c r="G701" s="45" t="n">
        <f aca="false">INDEX('Transition Stepwise'!$J$2:$J$1137,MATCH(F701,'Transition Stepwise'!$E$2:$E$1137,0))</f>
        <v>0.0199004975124378</v>
      </c>
      <c r="H701" s="45" t="n">
        <f aca="false">INDEX(Background!$D$12:$D$27,MATCH(C701&amp;D701,Background!$E$12:$E$27,0))</f>
        <v>0.194883966244726</v>
      </c>
      <c r="I701" s="49" t="n">
        <f aca="false">LN(G701/H701)</f>
        <v>-2.28165960451247</v>
      </c>
    </row>
    <row r="702" customFormat="false" ht="15" hidden="false" customHeight="true" outlineLevel="0" collapsed="false">
      <c r="A702" s="38" t="s">
        <v>847</v>
      </c>
      <c r="B702" s="38" t="n">
        <v>62</v>
      </c>
      <c r="C702" s="38" t="s">
        <v>172</v>
      </c>
      <c r="D702" s="38" t="s">
        <v>169</v>
      </c>
      <c r="E702" s="38" t="s">
        <v>875</v>
      </c>
      <c r="F702" s="38" t="str">
        <f aca="false">B702&amp;"|"&amp;C702&amp;"|"&amp;D702</f>
        <v>62|A|G</v>
      </c>
      <c r="G702" s="45" t="n">
        <f aca="false">INDEX('Transition Stepwise'!$J$2:$J$1137,MATCH(F702,'Transition Stepwise'!$E$2:$E$1137,0))</f>
        <v>0.142857142857143</v>
      </c>
      <c r="H702" s="45" t="n">
        <f aca="false">INDEX(Background!$D$12:$D$27,MATCH(C702&amp;D702,Background!$E$12:$E$27,0))</f>
        <v>0.424884437596302</v>
      </c>
      <c r="I702" s="49" t="n">
        <f aca="false">LN(G702/H702)</f>
        <v>-1.08997209048484</v>
      </c>
    </row>
    <row r="703" customFormat="false" ht="15" hidden="false" customHeight="true" outlineLevel="0" collapsed="false">
      <c r="A703" s="38" t="s">
        <v>847</v>
      </c>
      <c r="B703" s="38" t="n">
        <v>63</v>
      </c>
      <c r="C703" s="38" t="s">
        <v>169</v>
      </c>
      <c r="D703" s="38" t="s">
        <v>171</v>
      </c>
      <c r="E703" s="38" t="s">
        <v>875</v>
      </c>
      <c r="F703" s="38" t="str">
        <f aca="false">B703&amp;"|"&amp;C703&amp;"|"&amp;D703</f>
        <v>63|G|U</v>
      </c>
      <c r="G703" s="45" t="n">
        <f aca="false">INDEX('Transition Stepwise'!$J$2:$J$1137,MATCH(F703,'Transition Stepwise'!$E$2:$E$1137,0))</f>
        <v>0.115384615384615</v>
      </c>
      <c r="H703" s="45" t="n">
        <f aca="false">INDEX(Background!$D$12:$D$27,MATCH(C703&amp;D703,Background!$E$12:$E$27,0))</f>
        <v>0.234763476347635</v>
      </c>
      <c r="I703" s="49" t="n">
        <f aca="false">LN(G703/H703)</f>
        <v>-0.710307494043546</v>
      </c>
    </row>
    <row r="704" customFormat="false" ht="15" hidden="false" customHeight="true" outlineLevel="0" collapsed="false">
      <c r="A704" s="38" t="s">
        <v>847</v>
      </c>
      <c r="B704" s="38" t="n">
        <v>64</v>
      </c>
      <c r="C704" s="38" t="s">
        <v>171</v>
      </c>
      <c r="D704" s="38" t="s">
        <v>171</v>
      </c>
      <c r="E704" s="38" t="s">
        <v>875</v>
      </c>
      <c r="F704" s="38" t="str">
        <f aca="false">B704&amp;"|"&amp;C704&amp;"|"&amp;D704</f>
        <v>64|U|U</v>
      </c>
      <c r="G704" s="45" t="n">
        <f aca="false">INDEX('Transition Stepwise'!$J$2:$J$1137,MATCH(F704,'Transition Stepwise'!$E$2:$E$1137,0))</f>
        <v>0.297297297297297</v>
      </c>
      <c r="H704" s="45" t="n">
        <f aca="false">INDEX(Background!$D$12:$D$27,MATCH(C704&amp;D704,Background!$E$12:$E$27,0))</f>
        <v>0.220480320213476</v>
      </c>
      <c r="I704" s="49" t="n">
        <f aca="false">LN(G704/H704)</f>
        <v>0.298924198965003</v>
      </c>
    </row>
    <row r="705" customFormat="false" ht="15" hidden="false" customHeight="true" outlineLevel="0" collapsed="false">
      <c r="A705" s="38" t="s">
        <v>847</v>
      </c>
      <c r="B705" s="38" t="n">
        <v>65</v>
      </c>
      <c r="C705" s="38" t="s">
        <v>171</v>
      </c>
      <c r="D705" s="38" t="s">
        <v>172</v>
      </c>
      <c r="E705" s="38" t="s">
        <v>875</v>
      </c>
      <c r="F705" s="38" t="str">
        <f aca="false">B705&amp;"|"&amp;C705&amp;"|"&amp;D705</f>
        <v>65|U|A</v>
      </c>
      <c r="G705" s="45" t="n">
        <f aca="false">INDEX('Transition Stepwise'!$J$2:$J$1137,MATCH(F705,'Transition Stepwise'!$E$2:$E$1137,0))</f>
        <v>0.315068493150685</v>
      </c>
      <c r="H705" s="45" t="n">
        <f aca="false">INDEX(Background!$D$12:$D$27,MATCH(C705&amp;D705,Background!$E$12:$E$27,0))</f>
        <v>0.180787191460974</v>
      </c>
      <c r="I705" s="49" t="n">
        <f aca="false">LN(G705/H705)</f>
        <v>0.555469452003655</v>
      </c>
    </row>
    <row r="706" customFormat="false" ht="15" hidden="false" customHeight="true" outlineLevel="0" collapsed="false">
      <c r="A706" s="38" t="s">
        <v>847</v>
      </c>
      <c r="B706" s="38" t="n">
        <v>66</v>
      </c>
      <c r="C706" s="38" t="s">
        <v>172</v>
      </c>
      <c r="D706" s="38" t="s">
        <v>171</v>
      </c>
      <c r="E706" s="38" t="s">
        <v>875</v>
      </c>
      <c r="F706" s="38" t="str">
        <f aca="false">B706&amp;"|"&amp;C706&amp;"|"&amp;D706</f>
        <v>66|A|U</v>
      </c>
      <c r="G706" s="45" t="n">
        <f aca="false">INDEX('Transition Stepwise'!$J$2:$J$1137,MATCH(F706,'Transition Stepwise'!$E$2:$E$1137,0))</f>
        <v>0.25531914893617</v>
      </c>
      <c r="H706" s="45" t="n">
        <f aca="false">INDEX(Background!$D$12:$D$27,MATCH(C706&amp;D706,Background!$E$12:$E$27,0))</f>
        <v>0.194530046224961</v>
      </c>
      <c r="I706" s="49" t="n">
        <f aca="false">LN(G706/H706)</f>
        <v>0.271927696626562</v>
      </c>
    </row>
    <row r="707" customFormat="false" ht="15" hidden="false" customHeight="true" outlineLevel="0" collapsed="false">
      <c r="A707" s="38" t="s">
        <v>847</v>
      </c>
      <c r="B707" s="38" t="n">
        <v>67</v>
      </c>
      <c r="C707" s="38" t="s">
        <v>171</v>
      </c>
      <c r="D707" s="38" t="s">
        <v>171</v>
      </c>
      <c r="E707" s="38" t="s">
        <v>875</v>
      </c>
      <c r="F707" s="38" t="str">
        <f aca="false">B707&amp;"|"&amp;C707&amp;"|"&amp;D707</f>
        <v>67|U|U</v>
      </c>
      <c r="G707" s="45" t="n">
        <f aca="false">INDEX('Transition Stepwise'!$J$2:$J$1137,MATCH(F707,'Transition Stepwise'!$E$2:$E$1137,0))</f>
        <v>0.238095238095238</v>
      </c>
      <c r="H707" s="45" t="n">
        <f aca="false">INDEX(Background!$D$12:$D$27,MATCH(C707&amp;D707,Background!$E$12:$E$27,0))</f>
        <v>0.220480320213476</v>
      </c>
      <c r="I707" s="49" t="n">
        <f aca="false">LN(G707/H707)</f>
        <v>0.076862313521534</v>
      </c>
    </row>
    <row r="708" customFormat="false" ht="15" hidden="false" customHeight="true" outlineLevel="0" collapsed="false">
      <c r="A708" s="38" t="s">
        <v>847</v>
      </c>
      <c r="B708" s="38" t="n">
        <v>68</v>
      </c>
      <c r="C708" s="38" t="s">
        <v>171</v>
      </c>
      <c r="D708" s="38" t="s">
        <v>172</v>
      </c>
      <c r="E708" s="38" t="s">
        <v>875</v>
      </c>
      <c r="F708" s="38" t="str">
        <f aca="false">B708&amp;"|"&amp;C708&amp;"|"&amp;D708</f>
        <v>68|U|A</v>
      </c>
      <c r="G708" s="45" t="n">
        <f aca="false">INDEX('Transition Stepwise'!$J$2:$J$1137,MATCH(F708,'Transition Stepwise'!$E$2:$E$1137,0))</f>
        <v>0.128205128205128</v>
      </c>
      <c r="H708" s="45" t="n">
        <f aca="false">INDEX(Background!$D$12:$D$27,MATCH(C708&amp;D708,Background!$E$12:$E$27,0))</f>
        <v>0.180787191460974</v>
      </c>
      <c r="I708" s="49" t="n">
        <f aca="false">LN(G708/H708)</f>
        <v>-0.343689056472649</v>
      </c>
    </row>
    <row r="709" customFormat="false" ht="15" hidden="false" customHeight="true" outlineLevel="0" collapsed="false">
      <c r="A709" s="38" t="s">
        <v>847</v>
      </c>
      <c r="B709" s="38" t="n">
        <v>69</v>
      </c>
      <c r="C709" s="38" t="s">
        <v>172</v>
      </c>
      <c r="D709" s="38" t="s">
        <v>171</v>
      </c>
      <c r="E709" s="38" t="s">
        <v>875</v>
      </c>
      <c r="F709" s="38" t="str">
        <f aca="false">B709&amp;"|"&amp;C709&amp;"|"&amp;D709</f>
        <v>69|A|U</v>
      </c>
      <c r="G709" s="45" t="n">
        <f aca="false">INDEX('Transition Stepwise'!$J$2:$J$1137,MATCH(F709,'Transition Stepwise'!$E$2:$E$1137,0))</f>
        <v>0.0344827586206897</v>
      </c>
      <c r="H709" s="45" t="n">
        <f aca="false">INDEX(Background!$D$12:$D$27,MATCH(C709&amp;D709,Background!$E$12:$E$27,0))</f>
        <v>0.194530046224961</v>
      </c>
      <c r="I709" s="49" t="n">
        <f aca="false">LN(G709/H709)</f>
        <v>-1.73012718143785</v>
      </c>
    </row>
    <row r="710" customFormat="false" ht="15" hidden="false" customHeight="true" outlineLevel="0" collapsed="false">
      <c r="A710" s="38" t="s">
        <v>847</v>
      </c>
      <c r="B710" s="38" t="n">
        <v>70</v>
      </c>
      <c r="C710" s="38" t="s">
        <v>171</v>
      </c>
      <c r="D710" s="38" t="s">
        <v>171</v>
      </c>
      <c r="E710" s="38" t="s">
        <v>875</v>
      </c>
      <c r="F710" s="38" t="str">
        <f aca="false">B710&amp;"|"&amp;C710&amp;"|"&amp;D710</f>
        <v>70|U|U</v>
      </c>
      <c r="G710" s="45" t="n">
        <f aca="false">INDEX('Transition Stepwise'!$J$2:$J$1137,MATCH(F710,'Transition Stepwise'!$E$2:$E$1137,0))</f>
        <v>0.0294117647058824</v>
      </c>
      <c r="H710" s="45" t="n">
        <f aca="false">INDEX(Background!$D$12:$D$27,MATCH(C710&amp;D710,Background!$E$12:$E$27,0))</f>
        <v>0.220480320213476</v>
      </c>
      <c r="I710" s="49" t="n">
        <f aca="false">LN(G710/H710)</f>
        <v>-2.0144136858053</v>
      </c>
    </row>
    <row r="711" customFormat="false" ht="15" hidden="false" customHeight="true" outlineLevel="0" collapsed="false">
      <c r="A711" s="38" t="s">
        <v>847</v>
      </c>
      <c r="B711" s="38" t="n">
        <v>71</v>
      </c>
      <c r="C711" s="38" t="s">
        <v>171</v>
      </c>
      <c r="D711" s="38" t="s">
        <v>169</v>
      </c>
      <c r="E711" s="38" t="s">
        <v>875</v>
      </c>
      <c r="F711" s="38" t="str">
        <f aca="false">B711&amp;"|"&amp;C711&amp;"|"&amp;D711</f>
        <v>71|U|G</v>
      </c>
      <c r="G711" s="45" t="n">
        <f aca="false">INDEX('Transition Stepwise'!$J$2:$J$1137,MATCH(F711,'Transition Stepwise'!$E$2:$E$1137,0))</f>
        <v>0.0769230769230769</v>
      </c>
      <c r="H711" s="45" t="n">
        <f aca="false">INDEX(Background!$D$12:$D$27,MATCH(C711&amp;D711,Background!$E$12:$E$27,0))</f>
        <v>0.221480987324883</v>
      </c>
      <c r="I711" s="49" t="n">
        <f aca="false">LN(G711/H711)</f>
        <v>-1.05753082827543</v>
      </c>
    </row>
    <row r="712" customFormat="false" ht="15" hidden="false" customHeight="true" outlineLevel="0" collapsed="false">
      <c r="A712" s="38" t="s">
        <v>849</v>
      </c>
      <c r="B712" s="38" t="n">
        <v>1</v>
      </c>
      <c r="C712" s="38" t="s">
        <v>172</v>
      </c>
      <c r="D712" s="38" t="s">
        <v>171</v>
      </c>
      <c r="E712" s="38" t="s">
        <v>875</v>
      </c>
      <c r="F712" s="38" t="str">
        <f aca="false">B712&amp;"|"&amp;C712&amp;"|"&amp;D712</f>
        <v>1|A|U</v>
      </c>
      <c r="G712" s="45" t="n">
        <f aca="false">INDEX('Transition Stepwise'!$J$2:$J$1137,MATCH(F712,'Transition Stepwise'!$E$2:$E$1137,0))</f>
        <v>0.0588235294117647</v>
      </c>
      <c r="H712" s="45" t="n">
        <f aca="false">INDEX(Background!$D$12:$D$27,MATCH(C712&amp;D712,Background!$E$12:$E$27,0))</f>
        <v>0.194530046224961</v>
      </c>
      <c r="I712" s="49" t="n">
        <f aca="false">LN(G712/H712)</f>
        <v>-1.1960446955076</v>
      </c>
    </row>
    <row r="713" customFormat="false" ht="15" hidden="false" customHeight="true" outlineLevel="0" collapsed="false">
      <c r="A713" s="38" t="s">
        <v>849</v>
      </c>
      <c r="B713" s="38" t="n">
        <v>2</v>
      </c>
      <c r="C713" s="38" t="s">
        <v>171</v>
      </c>
      <c r="D713" s="38" t="s">
        <v>171</v>
      </c>
      <c r="E713" s="38" t="s">
        <v>875</v>
      </c>
      <c r="F713" s="38" t="str">
        <f aca="false">B713&amp;"|"&amp;C713&amp;"|"&amp;D713</f>
        <v>2|U|U</v>
      </c>
      <c r="G713" s="45" t="n">
        <f aca="false">INDEX('Transition Stepwise'!$J$2:$J$1137,MATCH(F713,'Transition Stepwise'!$E$2:$E$1137,0))</f>
        <v>0.2</v>
      </c>
      <c r="H713" s="45" t="n">
        <f aca="false">INDEX(Background!$D$12:$D$27,MATCH(C713&amp;D713,Background!$E$12:$E$27,0))</f>
        <v>0.220480320213476</v>
      </c>
      <c r="I713" s="49" t="n">
        <f aca="false">LN(G713/H713)</f>
        <v>-0.0974910736232437</v>
      </c>
    </row>
    <row r="714" customFormat="false" ht="15" hidden="false" customHeight="true" outlineLevel="0" collapsed="false">
      <c r="A714" s="38" t="s">
        <v>849</v>
      </c>
      <c r="B714" s="38" t="n">
        <v>3</v>
      </c>
      <c r="C714" s="38" t="s">
        <v>171</v>
      </c>
      <c r="D714" s="38" t="s">
        <v>170</v>
      </c>
      <c r="E714" s="38" t="s">
        <v>875</v>
      </c>
      <c r="F714" s="38" t="str">
        <f aca="false">B714&amp;"|"&amp;C714&amp;"|"&amp;D714</f>
        <v>3|U|C</v>
      </c>
      <c r="G714" s="45" t="n">
        <f aca="false">INDEX('Transition Stepwise'!$J$2:$J$1137,MATCH(F714,'Transition Stepwise'!$E$2:$E$1137,0))</f>
        <v>0.333333333333333</v>
      </c>
      <c r="H714" s="45" t="n">
        <f aca="false">INDEX(Background!$D$12:$D$27,MATCH(C714&amp;D714,Background!$E$12:$E$27,0))</f>
        <v>0.377251501000667</v>
      </c>
      <c r="I714" s="49" t="n">
        <f aca="false">LN(G714/H714)</f>
        <v>-0.123769086121687</v>
      </c>
    </row>
    <row r="715" customFormat="false" ht="15" hidden="false" customHeight="true" outlineLevel="0" collapsed="false">
      <c r="A715" s="38" t="s">
        <v>849</v>
      </c>
      <c r="B715" s="38" t="n">
        <v>4</v>
      </c>
      <c r="C715" s="38" t="s">
        <v>170</v>
      </c>
      <c r="D715" s="38" t="s">
        <v>171</v>
      </c>
      <c r="E715" s="38" t="s">
        <v>875</v>
      </c>
      <c r="F715" s="38" t="str">
        <f aca="false">B715&amp;"|"&amp;C715&amp;"|"&amp;D715</f>
        <v>4|C|U</v>
      </c>
      <c r="G715" s="45" t="n">
        <f aca="false">INDEX('Transition Stepwise'!$J$2:$J$1137,MATCH(F715,'Transition Stepwise'!$E$2:$E$1137,0))</f>
        <v>0.123076923076923</v>
      </c>
      <c r="H715" s="45" t="n">
        <f aca="false">INDEX(Background!$D$12:$D$27,MATCH(C715&amp;D715,Background!$E$12:$E$27,0))</f>
        <v>0.196466244725738</v>
      </c>
      <c r="I715" s="49" t="n">
        <f aca="false">LN(G715/H715)</f>
        <v>-0.467681083220448</v>
      </c>
    </row>
    <row r="716" customFormat="false" ht="15" hidden="false" customHeight="true" outlineLevel="0" collapsed="false">
      <c r="A716" s="38" t="s">
        <v>849</v>
      </c>
      <c r="B716" s="38" t="n">
        <v>5</v>
      </c>
      <c r="C716" s="38" t="s">
        <v>171</v>
      </c>
      <c r="D716" s="38" t="s">
        <v>171</v>
      </c>
      <c r="E716" s="38" t="s">
        <v>875</v>
      </c>
      <c r="F716" s="38" t="str">
        <f aca="false">B716&amp;"|"&amp;C716&amp;"|"&amp;D716</f>
        <v>5|U|U</v>
      </c>
      <c r="G716" s="45" t="n">
        <f aca="false">INDEX('Transition Stepwise'!$J$2:$J$1137,MATCH(F716,'Transition Stepwise'!$E$2:$E$1137,0))</f>
        <v>0.24</v>
      </c>
      <c r="H716" s="45" t="n">
        <f aca="false">INDEX(Background!$D$12:$D$27,MATCH(C716&amp;D716,Background!$E$12:$E$27,0))</f>
        <v>0.220480320213476</v>
      </c>
      <c r="I716" s="49" t="n">
        <f aca="false">LN(G716/H716)</f>
        <v>0.0848304831707108</v>
      </c>
    </row>
    <row r="717" customFormat="false" ht="15" hidden="false" customHeight="true" outlineLevel="0" collapsed="false">
      <c r="A717" s="38" t="s">
        <v>849</v>
      </c>
      <c r="B717" s="38" t="n">
        <v>6</v>
      </c>
      <c r="C717" s="38" t="s">
        <v>171</v>
      </c>
      <c r="D717" s="38" t="s">
        <v>172</v>
      </c>
      <c r="E717" s="38" t="s">
        <v>875</v>
      </c>
      <c r="F717" s="38" t="str">
        <f aca="false">B717&amp;"|"&amp;C717&amp;"|"&amp;D717</f>
        <v>6|U|A</v>
      </c>
      <c r="G717" s="45" t="n">
        <f aca="false">INDEX('Transition Stepwise'!$J$2:$J$1137,MATCH(F717,'Transition Stepwise'!$E$2:$E$1137,0))</f>
        <v>0.357142857142857</v>
      </c>
      <c r="H717" s="45" t="n">
        <f aca="false">INDEX(Background!$D$12:$D$27,MATCH(C717&amp;D717,Background!$E$12:$E$27,0))</f>
        <v>0.180787191460974</v>
      </c>
      <c r="I717" s="49" t="n">
        <f aca="false">LN(G717/H717)</f>
        <v>0.680815260041739</v>
      </c>
    </row>
    <row r="718" customFormat="false" ht="15" hidden="false" customHeight="true" outlineLevel="0" collapsed="false">
      <c r="A718" s="38" t="s">
        <v>849</v>
      </c>
      <c r="B718" s="38" t="n">
        <v>7</v>
      </c>
      <c r="C718" s="38" t="s">
        <v>172</v>
      </c>
      <c r="D718" s="38" t="s">
        <v>171</v>
      </c>
      <c r="E718" s="38" t="s">
        <v>875</v>
      </c>
      <c r="F718" s="38" t="str">
        <f aca="false">B718&amp;"|"&amp;C718&amp;"|"&amp;D718</f>
        <v>7|A|U</v>
      </c>
      <c r="G718" s="45" t="n">
        <f aca="false">INDEX('Transition Stepwise'!$J$2:$J$1137,MATCH(F718,'Transition Stepwise'!$E$2:$E$1137,0))</f>
        <v>0.92156862745098</v>
      </c>
      <c r="H718" s="45" t="n">
        <f aca="false">INDEX(Background!$D$12:$D$27,MATCH(C718&amp;D718,Background!$E$12:$E$27,0))</f>
        <v>0.194530046224961</v>
      </c>
      <c r="I718" s="49" t="n">
        <f aca="false">LN(G718/H718)</f>
        <v>1.55549061753435</v>
      </c>
    </row>
    <row r="719" customFormat="false" ht="15" hidden="false" customHeight="true" outlineLevel="0" collapsed="false">
      <c r="A719" s="38" t="s">
        <v>849</v>
      </c>
      <c r="B719" s="38" t="n">
        <v>8</v>
      </c>
      <c r="C719" s="38" t="s">
        <v>171</v>
      </c>
      <c r="D719" s="38" t="s">
        <v>172</v>
      </c>
      <c r="E719" s="38" t="s">
        <v>875</v>
      </c>
      <c r="F719" s="38" t="str">
        <f aca="false">B719&amp;"|"&amp;C719&amp;"|"&amp;D719</f>
        <v>8|U|A</v>
      </c>
      <c r="G719" s="45" t="n">
        <f aca="false">INDEX('Transition Stepwise'!$J$2:$J$1137,MATCH(F719,'Transition Stepwise'!$E$2:$E$1137,0))</f>
        <v>0.65</v>
      </c>
      <c r="H719" s="45" t="n">
        <f aca="false">INDEX(Background!$D$12:$D$27,MATCH(C719&amp;D719,Background!$E$12:$E$27,0))</f>
        <v>0.180787191460974</v>
      </c>
      <c r="I719" s="49" t="n">
        <f aca="false">LN(G719/H719)</f>
        <v>1.27965176113044</v>
      </c>
    </row>
    <row r="720" customFormat="false" ht="15" hidden="false" customHeight="true" outlineLevel="0" collapsed="false">
      <c r="A720" s="38" t="s">
        <v>849</v>
      </c>
      <c r="B720" s="38" t="n">
        <v>9</v>
      </c>
      <c r="C720" s="38" t="s">
        <v>172</v>
      </c>
      <c r="D720" s="38" t="s">
        <v>171</v>
      </c>
      <c r="E720" s="38" t="s">
        <v>875</v>
      </c>
      <c r="F720" s="38" t="str">
        <f aca="false">B720&amp;"|"&amp;C720&amp;"|"&amp;D720</f>
        <v>9|A|U</v>
      </c>
      <c r="G720" s="45" t="n">
        <f aca="false">INDEX('Transition Stepwise'!$J$2:$J$1137,MATCH(F720,'Transition Stepwise'!$E$2:$E$1137,0))</f>
        <v>0.00746268656716418</v>
      </c>
      <c r="H720" s="45" t="n">
        <f aca="false">INDEX(Background!$D$12:$D$27,MATCH(C720&amp;D720,Background!$E$12:$E$27,0))</f>
        <v>0.194530046224961</v>
      </c>
      <c r="I720" s="49" t="n">
        <f aca="false">LN(G720/H720)</f>
        <v>-3.26067115140229</v>
      </c>
    </row>
    <row r="721" customFormat="false" ht="15" hidden="false" customHeight="true" outlineLevel="0" collapsed="false">
      <c r="A721" s="38" t="s">
        <v>849</v>
      </c>
      <c r="B721" s="38" t="n">
        <v>10</v>
      </c>
      <c r="C721" s="38" t="s">
        <v>171</v>
      </c>
      <c r="D721" s="38" t="s">
        <v>172</v>
      </c>
      <c r="E721" s="38" t="s">
        <v>875</v>
      </c>
      <c r="F721" s="38" t="str">
        <f aca="false">B721&amp;"|"&amp;C721&amp;"|"&amp;D721</f>
        <v>10|U|A</v>
      </c>
      <c r="G721" s="45" t="n">
        <f aca="false">INDEX('Transition Stepwise'!$J$2:$J$1137,MATCH(F721,'Transition Stepwise'!$E$2:$E$1137,0))</f>
        <v>0.25</v>
      </c>
      <c r="H721" s="45" t="n">
        <f aca="false">INDEX(Background!$D$12:$D$27,MATCH(C721&amp;D721,Background!$E$12:$E$27,0))</f>
        <v>0.180787191460974</v>
      </c>
      <c r="I721" s="49" t="n">
        <f aca="false">LN(G721/H721)</f>
        <v>0.324140316103006</v>
      </c>
    </row>
    <row r="722" customFormat="false" ht="15" hidden="false" customHeight="true" outlineLevel="0" collapsed="false">
      <c r="A722" s="38" t="s">
        <v>849</v>
      </c>
      <c r="B722" s="38" t="n">
        <v>11</v>
      </c>
      <c r="C722" s="38" t="s">
        <v>172</v>
      </c>
      <c r="D722" s="38" t="s">
        <v>169</v>
      </c>
      <c r="E722" s="38" t="s">
        <v>875</v>
      </c>
      <c r="F722" s="38" t="str">
        <f aca="false">B722&amp;"|"&amp;C722&amp;"|"&amp;D722</f>
        <v>11|A|G</v>
      </c>
      <c r="G722" s="45" t="n">
        <f aca="false">INDEX('Transition Stepwise'!$J$2:$J$1137,MATCH(F722,'Transition Stepwise'!$E$2:$E$1137,0))</f>
        <v>0.454545454545455</v>
      </c>
      <c r="H722" s="45" t="n">
        <f aca="false">INDEX(Background!$D$12:$D$27,MATCH(C722&amp;D722,Background!$E$12:$E$27,0))</f>
        <v>0.424884437596302</v>
      </c>
      <c r="I722" s="49" t="n">
        <f aca="false">LN(G722/H722)</f>
        <v>0.0674806982062079</v>
      </c>
    </row>
    <row r="723" customFormat="false" ht="15" hidden="false" customHeight="true" outlineLevel="0" collapsed="false">
      <c r="A723" s="38" t="s">
        <v>849</v>
      </c>
      <c r="B723" s="38" t="n">
        <v>12</v>
      </c>
      <c r="C723" s="38" t="s">
        <v>169</v>
      </c>
      <c r="D723" s="38" t="s">
        <v>171</v>
      </c>
      <c r="E723" s="38" t="s">
        <v>875</v>
      </c>
      <c r="F723" s="38" t="str">
        <f aca="false">B723&amp;"|"&amp;C723&amp;"|"&amp;D723</f>
        <v>12|G|U</v>
      </c>
      <c r="G723" s="45" t="n">
        <f aca="false">INDEX('Transition Stepwise'!$J$2:$J$1137,MATCH(F723,'Transition Stepwise'!$E$2:$E$1137,0))</f>
        <v>0.238095238095238</v>
      </c>
      <c r="H723" s="45" t="n">
        <f aca="false">INDEX(Background!$D$12:$D$27,MATCH(C723&amp;D723,Background!$E$12:$E$27,0))</f>
        <v>0.234763476347635</v>
      </c>
      <c r="I723" s="49" t="n">
        <f aca="false">LN(G723/H723)</f>
        <v>0.0140922300205033</v>
      </c>
    </row>
    <row r="724" customFormat="false" ht="15" hidden="false" customHeight="true" outlineLevel="0" collapsed="false">
      <c r="A724" s="38" t="s">
        <v>849</v>
      </c>
      <c r="B724" s="38" t="n">
        <v>13</v>
      </c>
      <c r="C724" s="38" t="s">
        <v>171</v>
      </c>
      <c r="D724" s="38" t="s">
        <v>171</v>
      </c>
      <c r="E724" s="38" t="s">
        <v>875</v>
      </c>
      <c r="F724" s="38" t="str">
        <f aca="false">B724&amp;"|"&amp;C724&amp;"|"&amp;D724</f>
        <v>13|U|U</v>
      </c>
      <c r="G724" s="45" t="n">
        <f aca="false">INDEX('Transition Stepwise'!$J$2:$J$1137,MATCH(F724,'Transition Stepwise'!$E$2:$E$1137,0))</f>
        <v>0.0238095238095238</v>
      </c>
      <c r="H724" s="45" t="n">
        <f aca="false">INDEX(Background!$D$12:$D$27,MATCH(C724&amp;D724,Background!$E$12:$E$27,0))</f>
        <v>0.220480320213476</v>
      </c>
      <c r="I724" s="49" t="n">
        <f aca="false">LN(G724/H724)</f>
        <v>-2.22572277947251</v>
      </c>
    </row>
    <row r="725" customFormat="false" ht="15" hidden="false" customHeight="true" outlineLevel="0" collapsed="false">
      <c r="A725" s="38" t="s">
        <v>849</v>
      </c>
      <c r="B725" s="38" t="n">
        <v>14</v>
      </c>
      <c r="C725" s="38" t="s">
        <v>171</v>
      </c>
      <c r="D725" s="38" t="s">
        <v>169</v>
      </c>
      <c r="E725" s="38" t="s">
        <v>875</v>
      </c>
      <c r="F725" s="38" t="str">
        <f aca="false">B725&amp;"|"&amp;C725&amp;"|"&amp;D725</f>
        <v>14|U|G</v>
      </c>
      <c r="G725" s="45" t="n">
        <f aca="false">INDEX('Transition Stepwise'!$J$2:$J$1137,MATCH(F725,'Transition Stepwise'!$E$2:$E$1137,0))</f>
        <v>0.25</v>
      </c>
      <c r="H725" s="45" t="n">
        <f aca="false">INDEX(Background!$D$12:$D$27,MATCH(C725&amp;D725,Background!$E$12:$E$27,0))</f>
        <v>0.221480987324883</v>
      </c>
      <c r="I725" s="49" t="n">
        <f aca="false">LN(G725/H725)</f>
        <v>0.121124168066218</v>
      </c>
    </row>
    <row r="726" customFormat="false" ht="15" hidden="false" customHeight="true" outlineLevel="0" collapsed="false">
      <c r="A726" s="38" t="s">
        <v>849</v>
      </c>
      <c r="B726" s="38" t="n">
        <v>15</v>
      </c>
      <c r="C726" s="38" t="s">
        <v>169</v>
      </c>
      <c r="D726" s="38" t="s">
        <v>171</v>
      </c>
      <c r="E726" s="38" t="s">
        <v>875</v>
      </c>
      <c r="F726" s="38" t="str">
        <f aca="false">B726&amp;"|"&amp;C726&amp;"|"&amp;D726</f>
        <v>15|G|U</v>
      </c>
      <c r="G726" s="45" t="n">
        <f aca="false">INDEX('Transition Stepwise'!$J$2:$J$1137,MATCH(F726,'Transition Stepwise'!$E$2:$E$1137,0))</f>
        <v>0.547008547008547</v>
      </c>
      <c r="H726" s="45" t="n">
        <f aca="false">INDEX(Background!$D$12:$D$27,MATCH(C726&amp;D726,Background!$E$12:$E$27,0))</f>
        <v>0.234763476347635</v>
      </c>
      <c r="I726" s="49" t="n">
        <f aca="false">LN(G726/H726)</f>
        <v>0.845885903871742</v>
      </c>
    </row>
    <row r="727" customFormat="false" ht="15" hidden="false" customHeight="true" outlineLevel="0" collapsed="false">
      <c r="A727" s="38" t="s">
        <v>849</v>
      </c>
      <c r="B727" s="38" t="n">
        <v>16</v>
      </c>
      <c r="C727" s="38" t="s">
        <v>171</v>
      </c>
      <c r="D727" s="38" t="s">
        <v>172</v>
      </c>
      <c r="E727" s="38" t="s">
        <v>875</v>
      </c>
      <c r="F727" s="38" t="str">
        <f aca="false">B727&amp;"|"&amp;C727&amp;"|"&amp;D727</f>
        <v>16|U|A</v>
      </c>
      <c r="G727" s="45" t="n">
        <f aca="false">INDEX('Transition Stepwise'!$J$2:$J$1137,MATCH(F727,'Transition Stepwise'!$E$2:$E$1137,0))</f>
        <v>0.0975609756097561</v>
      </c>
      <c r="H727" s="45" t="n">
        <f aca="false">INDEX(Background!$D$12:$D$27,MATCH(C727&amp;D727,Background!$E$12:$E$27,0))</f>
        <v>0.180787191460974</v>
      </c>
      <c r="I727" s="49" t="n">
        <f aca="false">LN(G727/H727)</f>
        <v>-0.616843028361521</v>
      </c>
    </row>
    <row r="728" customFormat="false" ht="15" hidden="false" customHeight="true" outlineLevel="0" collapsed="false">
      <c r="A728" s="38" t="s">
        <v>849</v>
      </c>
      <c r="B728" s="38" t="n">
        <v>17</v>
      </c>
      <c r="C728" s="38" t="s">
        <v>172</v>
      </c>
      <c r="D728" s="38" t="s">
        <v>169</v>
      </c>
      <c r="E728" s="38" t="s">
        <v>875</v>
      </c>
      <c r="F728" s="38" t="str">
        <f aca="false">B728&amp;"|"&amp;C728&amp;"|"&amp;D728</f>
        <v>17|A|G</v>
      </c>
      <c r="G728" s="45" t="n">
        <f aca="false">INDEX('Transition Stepwise'!$J$2:$J$1137,MATCH(F728,'Transition Stepwise'!$E$2:$E$1137,0))</f>
        <v>0.75</v>
      </c>
      <c r="H728" s="45" t="n">
        <f aca="false">INDEX(Background!$D$12:$D$27,MATCH(C728&amp;D728,Background!$E$12:$E$27,0))</f>
        <v>0.424884437596302</v>
      </c>
      <c r="I728" s="49" t="n">
        <f aca="false">LN(G728/H728)</f>
        <v>0.568255986118697</v>
      </c>
    </row>
    <row r="729" customFormat="false" ht="15" hidden="false" customHeight="true" outlineLevel="0" collapsed="false">
      <c r="A729" s="38" t="s">
        <v>849</v>
      </c>
      <c r="B729" s="38" t="n">
        <v>18</v>
      </c>
      <c r="C729" s="38" t="s">
        <v>169</v>
      </c>
      <c r="D729" s="38" t="s">
        <v>169</v>
      </c>
      <c r="E729" s="38" t="s">
        <v>875</v>
      </c>
      <c r="F729" s="38" t="str">
        <f aca="false">B729&amp;"|"&amp;C729&amp;"|"&amp;D729</f>
        <v>18|G|G</v>
      </c>
      <c r="G729" s="45" t="n">
        <f aca="false">INDEX('Transition Stepwise'!$J$2:$J$1137,MATCH(F729,'Transition Stepwise'!$E$2:$E$1137,0))</f>
        <v>0.975247524752475</v>
      </c>
      <c r="H729" s="45" t="n">
        <f aca="false">INDEX(Background!$D$12:$D$27,MATCH(C729&amp;D729,Background!$E$12:$E$27,0))</f>
        <v>0.344774477447745</v>
      </c>
      <c r="I729" s="49" t="n">
        <f aca="false">LN(G729/H729)</f>
        <v>1.03980079559234</v>
      </c>
    </row>
    <row r="730" customFormat="false" ht="15" hidden="false" customHeight="true" outlineLevel="0" collapsed="false">
      <c r="A730" s="38" t="s">
        <v>849</v>
      </c>
      <c r="B730" s="38" t="n">
        <v>19</v>
      </c>
      <c r="C730" s="38" t="s">
        <v>169</v>
      </c>
      <c r="D730" s="38" t="s">
        <v>171</v>
      </c>
      <c r="E730" s="38" t="s">
        <v>875</v>
      </c>
      <c r="F730" s="38" t="str">
        <f aca="false">B730&amp;"|"&amp;C730&amp;"|"&amp;D730</f>
        <v>19|G|U</v>
      </c>
      <c r="G730" s="45" t="n">
        <f aca="false">INDEX('Transition Stepwise'!$J$2:$J$1137,MATCH(F730,'Transition Stepwise'!$E$2:$E$1137,0))</f>
        <v>0.585</v>
      </c>
      <c r="H730" s="45" t="n">
        <f aca="false">INDEX(Background!$D$12:$D$27,MATCH(C730&amp;D730,Background!$E$12:$E$27,0))</f>
        <v>0.234763476347635</v>
      </c>
      <c r="I730" s="49" t="n">
        <f aca="false">LN(G730/H730)</f>
        <v>0.913033323559545</v>
      </c>
    </row>
    <row r="731" customFormat="false" ht="15" hidden="false" customHeight="true" outlineLevel="0" collapsed="false">
      <c r="A731" s="38" t="s">
        <v>849</v>
      </c>
      <c r="B731" s="38" t="n">
        <v>20</v>
      </c>
      <c r="C731" s="38" t="s">
        <v>171</v>
      </c>
      <c r="D731" s="38" t="s">
        <v>172</v>
      </c>
      <c r="E731" s="38" t="s">
        <v>875</v>
      </c>
      <c r="F731" s="38" t="str">
        <f aca="false">B731&amp;"|"&amp;C731&amp;"|"&amp;D731</f>
        <v>20|U|A</v>
      </c>
      <c r="G731" s="45" t="n">
        <f aca="false">INDEX('Transition Stepwise'!$J$2:$J$1137,MATCH(F731,'Transition Stepwise'!$E$2:$E$1137,0))</f>
        <v>0.901639344262295</v>
      </c>
      <c r="H731" s="45" t="n">
        <f aca="false">INDEX(Background!$D$12:$D$27,MATCH(C731&amp;D731,Background!$E$12:$E$27,0))</f>
        <v>0.180787191460974</v>
      </c>
      <c r="I731" s="49" t="n">
        <f aca="false">LN(G731/H731)</f>
        <v>1.60689399828206</v>
      </c>
    </row>
    <row r="732" customFormat="false" ht="15" hidden="false" customHeight="true" outlineLevel="0" collapsed="false">
      <c r="A732" s="38" t="s">
        <v>849</v>
      </c>
      <c r="B732" s="38" t="n">
        <v>21</v>
      </c>
      <c r="C732" s="38" t="s">
        <v>172</v>
      </c>
      <c r="D732" s="38" t="s">
        <v>172</v>
      </c>
      <c r="E732" s="38" t="s">
        <v>875</v>
      </c>
      <c r="F732" s="38" t="str">
        <f aca="false">B732&amp;"|"&amp;C732&amp;"|"&amp;D732</f>
        <v>21|A|A</v>
      </c>
      <c r="G732" s="45" t="n">
        <f aca="false">INDEX('Transition Stepwise'!$J$2:$J$1137,MATCH(F732,'Transition Stepwise'!$E$2:$E$1137,0))</f>
        <v>0.159340659340659</v>
      </c>
      <c r="H732" s="45" t="n">
        <f aca="false">INDEX(Background!$D$12:$D$27,MATCH(C732&amp;D732,Background!$E$12:$E$27,0))</f>
        <v>0.219568567026194</v>
      </c>
      <c r="I732" s="49" t="n">
        <f aca="false">LN(G732/H732)</f>
        <v>-0.320620140094937</v>
      </c>
    </row>
    <row r="733" customFormat="false" ht="15" hidden="false" customHeight="true" outlineLevel="0" collapsed="false">
      <c r="A733" s="38" t="s">
        <v>849</v>
      </c>
      <c r="B733" s="38" t="n">
        <v>22</v>
      </c>
      <c r="C733" s="38" t="s">
        <v>172</v>
      </c>
      <c r="D733" s="38" t="s">
        <v>171</v>
      </c>
      <c r="E733" s="38" t="s">
        <v>875</v>
      </c>
      <c r="F733" s="38" t="str">
        <f aca="false">B733&amp;"|"&amp;C733&amp;"|"&amp;D733</f>
        <v>22|A|U</v>
      </c>
      <c r="G733" s="45" t="n">
        <f aca="false">INDEX('Transition Stepwise'!$J$2:$J$1137,MATCH(F733,'Transition Stepwise'!$E$2:$E$1137,0))</f>
        <v>0.0888888888888889</v>
      </c>
      <c r="H733" s="45" t="n">
        <f aca="false">INDEX(Background!$D$12:$D$27,MATCH(C733&amp;D733,Background!$E$12:$E$27,0))</f>
        <v>0.194530046224961</v>
      </c>
      <c r="I733" s="49" t="n">
        <f aca="false">LN(G733/H733)</f>
        <v>-0.783199480101808</v>
      </c>
    </row>
    <row r="734" customFormat="false" ht="15" hidden="false" customHeight="true" outlineLevel="0" collapsed="false">
      <c r="A734" s="38" t="s">
        <v>849</v>
      </c>
      <c r="B734" s="38" t="n">
        <v>23</v>
      </c>
      <c r="C734" s="38" t="s">
        <v>171</v>
      </c>
      <c r="D734" s="38" t="s">
        <v>171</v>
      </c>
      <c r="E734" s="38" t="s">
        <v>875</v>
      </c>
      <c r="F734" s="38" t="str">
        <f aca="false">B734&amp;"|"&amp;C734&amp;"|"&amp;D734</f>
        <v>23|U|U</v>
      </c>
      <c r="G734" s="45" t="n">
        <f aca="false">INDEX('Transition Stepwise'!$J$2:$J$1137,MATCH(F734,'Transition Stepwise'!$E$2:$E$1137,0))</f>
        <v>0.0625</v>
      </c>
      <c r="H734" s="45" t="n">
        <f aca="false">INDEX(Background!$D$12:$D$27,MATCH(C734&amp;D734,Background!$E$12:$E$27,0))</f>
        <v>0.220480320213476</v>
      </c>
      <c r="I734" s="49" t="n">
        <f aca="false">LN(G734/H734)</f>
        <v>-1.26064188342892</v>
      </c>
    </row>
    <row r="735" customFormat="false" ht="15" hidden="false" customHeight="true" outlineLevel="0" collapsed="false">
      <c r="A735" s="38" t="s">
        <v>849</v>
      </c>
      <c r="B735" s="38" t="n">
        <v>24</v>
      </c>
      <c r="C735" s="38" t="s">
        <v>171</v>
      </c>
      <c r="D735" s="38" t="s">
        <v>172</v>
      </c>
      <c r="E735" s="38" t="s">
        <v>875</v>
      </c>
      <c r="F735" s="38" t="str">
        <f aca="false">B735&amp;"|"&amp;C735&amp;"|"&amp;D735</f>
        <v>24|U|A</v>
      </c>
      <c r="G735" s="45" t="n">
        <f aca="false">INDEX('Transition Stepwise'!$J$2:$J$1137,MATCH(F735,'Transition Stepwise'!$E$2:$E$1137,0))</f>
        <v>0.0909090909090909</v>
      </c>
      <c r="H735" s="45" t="n">
        <f aca="false">INDEX(Background!$D$12:$D$27,MATCH(C735&amp;D735,Background!$E$12:$E$27,0))</f>
        <v>0.180787191460974</v>
      </c>
      <c r="I735" s="49" t="n">
        <f aca="false">LN(G735/H735)</f>
        <v>-0.687460595575474</v>
      </c>
    </row>
    <row r="736" customFormat="false" ht="15" hidden="false" customHeight="true" outlineLevel="0" collapsed="false">
      <c r="A736" s="38" t="s">
        <v>849</v>
      </c>
      <c r="B736" s="38" t="n">
        <v>25</v>
      </c>
      <c r="C736" s="38" t="s">
        <v>172</v>
      </c>
      <c r="D736" s="38" t="s">
        <v>171</v>
      </c>
      <c r="E736" s="38" t="s">
        <v>875</v>
      </c>
      <c r="F736" s="38" t="str">
        <f aca="false">B736&amp;"|"&amp;C736&amp;"|"&amp;D736</f>
        <v>25|A|U</v>
      </c>
      <c r="G736" s="45" t="n">
        <f aca="false">INDEX('Transition Stepwise'!$J$2:$J$1137,MATCH(F736,'Transition Stepwise'!$E$2:$E$1137,0))</f>
        <v>0.2</v>
      </c>
      <c r="H736" s="45" t="n">
        <f aca="false">INDEX(Background!$D$12:$D$27,MATCH(C736&amp;D736,Background!$E$12:$E$27,0))</f>
        <v>0.194530046224961</v>
      </c>
      <c r="I736" s="49" t="n">
        <f aca="false">LN(G736/H736)</f>
        <v>0.0277307361145204</v>
      </c>
    </row>
    <row r="737" customFormat="false" ht="15" hidden="false" customHeight="true" outlineLevel="0" collapsed="false">
      <c r="A737" s="38" t="s">
        <v>849</v>
      </c>
      <c r="B737" s="38" t="n">
        <v>26</v>
      </c>
      <c r="C737" s="38" t="s">
        <v>171</v>
      </c>
      <c r="D737" s="38" t="s">
        <v>169</v>
      </c>
      <c r="E737" s="38" t="s">
        <v>875</v>
      </c>
      <c r="F737" s="38" t="str">
        <f aca="false">B737&amp;"|"&amp;C737&amp;"|"&amp;D737</f>
        <v>26|U|G</v>
      </c>
      <c r="G737" s="45" t="n">
        <f aca="false">INDEX('Transition Stepwise'!$J$2:$J$1137,MATCH(F737,'Transition Stepwise'!$E$2:$E$1137,0))</f>
        <v>0.133333333333333</v>
      </c>
      <c r="H737" s="45" t="n">
        <f aca="false">INDEX(Background!$D$12:$D$27,MATCH(C737&amp;D737,Background!$E$12:$E$27,0))</f>
        <v>0.221480987324883</v>
      </c>
      <c r="I737" s="49" t="n">
        <f aca="false">LN(G737/H737)</f>
        <v>-0.507484491356156</v>
      </c>
    </row>
    <row r="738" customFormat="false" ht="15" hidden="false" customHeight="true" outlineLevel="0" collapsed="false">
      <c r="A738" s="38" t="s">
        <v>849</v>
      </c>
      <c r="B738" s="38" t="n">
        <v>27</v>
      </c>
      <c r="C738" s="38" t="s">
        <v>169</v>
      </c>
      <c r="D738" s="38" t="s">
        <v>172</v>
      </c>
      <c r="E738" s="38" t="s">
        <v>875</v>
      </c>
      <c r="F738" s="38" t="str">
        <f aca="false">B738&amp;"|"&amp;C738&amp;"|"&amp;D738</f>
        <v>27|G|A</v>
      </c>
      <c r="G738" s="45" t="n">
        <f aca="false">INDEX('Transition Stepwise'!$J$2:$J$1137,MATCH(F738,'Transition Stepwise'!$E$2:$E$1137,0))</f>
        <v>0.142857142857143</v>
      </c>
      <c r="H738" s="45" t="n">
        <f aca="false">INDEX(Background!$D$12:$D$27,MATCH(C738&amp;D738,Background!$E$12:$E$27,0))</f>
        <v>0.164356435643564</v>
      </c>
      <c r="I738" s="49" t="n">
        <f aca="false">LN(G738/H738)</f>
        <v>-0.140192327576552</v>
      </c>
    </row>
    <row r="739" customFormat="false" ht="15" hidden="false" customHeight="true" outlineLevel="0" collapsed="false">
      <c r="A739" s="38" t="s">
        <v>849</v>
      </c>
      <c r="B739" s="38" t="n">
        <v>28</v>
      </c>
      <c r="C739" s="38" t="s">
        <v>172</v>
      </c>
      <c r="D739" s="38" t="s">
        <v>171</v>
      </c>
      <c r="E739" s="38" t="s">
        <v>875</v>
      </c>
      <c r="F739" s="38" t="str">
        <f aca="false">B739&amp;"|"&amp;C739&amp;"|"&amp;D739</f>
        <v>28|A|U</v>
      </c>
      <c r="G739" s="45" t="n">
        <f aca="false">INDEX('Transition Stepwise'!$J$2:$J$1137,MATCH(F739,'Transition Stepwise'!$E$2:$E$1137,0))</f>
        <v>0.392857142857143</v>
      </c>
      <c r="H739" s="45" t="n">
        <f aca="false">INDEX(Background!$D$12:$D$27,MATCH(C739&amp;D739,Background!$E$12:$E$27,0))</f>
        <v>0.194530046224961</v>
      </c>
      <c r="I739" s="49" t="n">
        <f aca="false">LN(G739/H739)</f>
        <v>0.702859411171787</v>
      </c>
    </row>
    <row r="740" customFormat="false" ht="15" hidden="false" customHeight="true" outlineLevel="0" collapsed="false">
      <c r="A740" s="38" t="s">
        <v>849</v>
      </c>
      <c r="B740" s="38" t="n">
        <v>29</v>
      </c>
      <c r="C740" s="38" t="s">
        <v>171</v>
      </c>
      <c r="D740" s="38" t="s">
        <v>171</v>
      </c>
      <c r="E740" s="38" t="s">
        <v>875</v>
      </c>
      <c r="F740" s="38" t="str">
        <f aca="false">B740&amp;"|"&amp;C740&amp;"|"&amp;D740</f>
        <v>29|U|U</v>
      </c>
      <c r="G740" s="45" t="n">
        <f aca="false">INDEX('Transition Stepwise'!$J$2:$J$1137,MATCH(F740,'Transition Stepwise'!$E$2:$E$1137,0))</f>
        <v>0.0169491525423729</v>
      </c>
      <c r="H740" s="45" t="n">
        <f aca="false">INDEX(Background!$D$12:$D$27,MATCH(C740&amp;D740,Background!$E$12:$E$27,0))</f>
        <v>0.220480320213476</v>
      </c>
      <c r="I740" s="49" t="n">
        <f aca="false">LN(G740/H740)</f>
        <v>-2.56559060509486</v>
      </c>
    </row>
    <row r="741" customFormat="false" ht="15" hidden="false" customHeight="true" outlineLevel="0" collapsed="false">
      <c r="A741" s="38" t="s">
        <v>849</v>
      </c>
      <c r="B741" s="38" t="n">
        <v>30</v>
      </c>
      <c r="C741" s="38" t="s">
        <v>171</v>
      </c>
      <c r="D741" s="38" t="s">
        <v>171</v>
      </c>
      <c r="E741" s="38" t="s">
        <v>875</v>
      </c>
      <c r="F741" s="38" t="str">
        <f aca="false">B741&amp;"|"&amp;C741&amp;"|"&amp;D741</f>
        <v>30|U|U</v>
      </c>
      <c r="G741" s="45" t="n">
        <f aca="false">INDEX('Transition Stepwise'!$J$2:$J$1137,MATCH(F741,'Transition Stepwise'!$E$2:$E$1137,0))</f>
        <v>0.0909090909090909</v>
      </c>
      <c r="H741" s="45" t="n">
        <f aca="false">INDEX(Background!$D$12:$D$27,MATCH(C741&amp;D741,Background!$E$12:$E$27,0))</f>
        <v>0.220480320213476</v>
      </c>
      <c r="I741" s="49" t="n">
        <f aca="false">LN(G741/H741)</f>
        <v>-0.885948433987514</v>
      </c>
    </row>
    <row r="742" customFormat="false" ht="15" hidden="false" customHeight="true" outlineLevel="0" collapsed="false">
      <c r="A742" s="38" t="s">
        <v>849</v>
      </c>
      <c r="B742" s="38" t="n">
        <v>31</v>
      </c>
      <c r="C742" s="38" t="s">
        <v>171</v>
      </c>
      <c r="D742" s="38" t="s">
        <v>171</v>
      </c>
      <c r="E742" s="38" t="s">
        <v>875</v>
      </c>
      <c r="F742" s="38" t="str">
        <f aca="false">B742&amp;"|"&amp;C742&amp;"|"&amp;D742</f>
        <v>31|U|U</v>
      </c>
      <c r="G742" s="45" t="n">
        <f aca="false">INDEX('Transition Stepwise'!$J$2:$J$1137,MATCH(F742,'Transition Stepwise'!$E$2:$E$1137,0))</f>
        <v>0.130434782608696</v>
      </c>
      <c r="H742" s="45" t="n">
        <f aca="false">INDEX(Background!$D$12:$D$27,MATCH(C742&amp;D742,Background!$E$12:$E$27,0))</f>
        <v>0.220480320213476</v>
      </c>
      <c r="I742" s="49" t="n">
        <f aca="false">LN(G742/H742)</f>
        <v>-0.524935088450183</v>
      </c>
    </row>
    <row r="743" customFormat="false" ht="15" hidden="false" customHeight="true" outlineLevel="0" collapsed="false">
      <c r="A743" s="38" t="s">
        <v>849</v>
      </c>
      <c r="B743" s="38" t="n">
        <v>32</v>
      </c>
      <c r="C743" s="38" t="s">
        <v>171</v>
      </c>
      <c r="D743" s="38" t="s">
        <v>171</v>
      </c>
      <c r="E743" s="38" t="s">
        <v>875</v>
      </c>
      <c r="F743" s="38" t="str">
        <f aca="false">B743&amp;"|"&amp;C743&amp;"|"&amp;D743</f>
        <v>32|U|U</v>
      </c>
      <c r="G743" s="45" t="n">
        <f aca="false">INDEX('Transition Stepwise'!$J$2:$J$1137,MATCH(F743,'Transition Stepwise'!$E$2:$E$1137,0))</f>
        <v>0.936507936507937</v>
      </c>
      <c r="H743" s="45" t="n">
        <f aca="false">INDEX(Background!$D$12:$D$27,MATCH(C743&amp;D743,Background!$E$12:$E$27,0))</f>
        <v>0.220480320213476</v>
      </c>
      <c r="I743" s="49" t="n">
        <f aca="false">LN(G743/H743)</f>
        <v>1.44634955632504</v>
      </c>
    </row>
    <row r="744" customFormat="false" ht="15" hidden="false" customHeight="true" outlineLevel="0" collapsed="false">
      <c r="A744" s="38" t="s">
        <v>849</v>
      </c>
      <c r="B744" s="38" t="n">
        <v>33</v>
      </c>
      <c r="C744" s="38" t="s">
        <v>171</v>
      </c>
      <c r="D744" s="38" t="s">
        <v>171</v>
      </c>
      <c r="E744" s="38" t="s">
        <v>875</v>
      </c>
      <c r="F744" s="38" t="str">
        <f aca="false">B744&amp;"|"&amp;C744&amp;"|"&amp;D744</f>
        <v>33|U|U</v>
      </c>
      <c r="G744" s="45" t="n">
        <f aca="false">INDEX('Transition Stepwise'!$J$2:$J$1137,MATCH(F744,'Transition Stepwise'!$E$2:$E$1137,0))</f>
        <v>0.293532338308458</v>
      </c>
      <c r="H744" s="45" t="n">
        <f aca="false">INDEX(Background!$D$12:$D$27,MATCH(C744&amp;D744,Background!$E$12:$E$27,0))</f>
        <v>0.220480320213476</v>
      </c>
      <c r="I744" s="49" t="n">
        <f aca="false">LN(G744/H744)</f>
        <v>0.2861793746575</v>
      </c>
    </row>
    <row r="745" customFormat="false" ht="15" hidden="false" customHeight="true" outlineLevel="0" collapsed="false">
      <c r="A745" s="38" t="s">
        <v>849</v>
      </c>
      <c r="B745" s="38" t="n">
        <v>34</v>
      </c>
      <c r="C745" s="38" t="s">
        <v>171</v>
      </c>
      <c r="D745" s="38" t="s">
        <v>171</v>
      </c>
      <c r="E745" s="38" t="s">
        <v>875</v>
      </c>
      <c r="F745" s="38" t="str">
        <f aca="false">B745&amp;"|"&amp;C745&amp;"|"&amp;D745</f>
        <v>34|U|U</v>
      </c>
      <c r="G745" s="45" t="n">
        <f aca="false">INDEX('Transition Stepwise'!$J$2:$J$1137,MATCH(F745,'Transition Stepwise'!$E$2:$E$1137,0))</f>
        <v>0.17741935483871</v>
      </c>
      <c r="H745" s="45" t="n">
        <f aca="false">INDEX(Background!$D$12:$D$27,MATCH(C745&amp;D745,Background!$E$12:$E$27,0))</f>
        <v>0.220480320213476</v>
      </c>
      <c r="I745" s="49" t="n">
        <f aca="false">LN(G745/H745)</f>
        <v>-0.217292273435864</v>
      </c>
    </row>
    <row r="746" customFormat="false" ht="15" hidden="false" customHeight="true" outlineLevel="0" collapsed="false">
      <c r="A746" s="38" t="s">
        <v>849</v>
      </c>
      <c r="B746" s="38" t="n">
        <v>35</v>
      </c>
      <c r="C746" s="38" t="s">
        <v>171</v>
      </c>
      <c r="D746" s="38" t="s">
        <v>172</v>
      </c>
      <c r="E746" s="38" t="s">
        <v>875</v>
      </c>
      <c r="F746" s="38" t="str">
        <f aca="false">B746&amp;"|"&amp;C746&amp;"|"&amp;D746</f>
        <v>35|U|A</v>
      </c>
      <c r="G746" s="45" t="n">
        <f aca="false">INDEX('Transition Stepwise'!$J$2:$J$1137,MATCH(F746,'Transition Stepwise'!$E$2:$E$1137,0))</f>
        <v>0.177777777777778</v>
      </c>
      <c r="H746" s="45" t="n">
        <f aca="false">INDEX(Background!$D$12:$D$27,MATCH(C746&amp;D746,Background!$E$12:$E$27,0))</f>
        <v>0.180787191460974</v>
      </c>
      <c r="I746" s="49" t="n">
        <f aca="false">LN(G746/H746)</f>
        <v>-0.016786270867587</v>
      </c>
    </row>
    <row r="747" customFormat="false" ht="15" hidden="false" customHeight="true" outlineLevel="0" collapsed="false">
      <c r="A747" s="38" t="s">
        <v>849</v>
      </c>
      <c r="B747" s="38" t="n">
        <v>36</v>
      </c>
      <c r="C747" s="38" t="s">
        <v>172</v>
      </c>
      <c r="D747" s="38" t="s">
        <v>170</v>
      </c>
      <c r="E747" s="38" t="s">
        <v>875</v>
      </c>
      <c r="F747" s="38" t="str">
        <f aca="false">B747&amp;"|"&amp;C747&amp;"|"&amp;D747</f>
        <v>36|A|C</v>
      </c>
      <c r="G747" s="45" t="n">
        <f aca="false">INDEX('Transition Stepwise'!$J$2:$J$1137,MATCH(F747,'Transition Stepwise'!$E$2:$E$1137,0))</f>
        <v>0.0425531914893617</v>
      </c>
      <c r="H747" s="45" t="n">
        <f aca="false">INDEX(Background!$D$12:$D$27,MATCH(C747&amp;D747,Background!$E$12:$E$27,0))</f>
        <v>0.161016949152542</v>
      </c>
      <c r="I747" s="49" t="n">
        <f aca="false">LN(G747/H747)</f>
        <v>-1.33075477585089</v>
      </c>
    </row>
    <row r="748" customFormat="false" ht="15" hidden="false" customHeight="true" outlineLevel="0" collapsed="false">
      <c r="A748" s="38" t="s">
        <v>849</v>
      </c>
      <c r="B748" s="38" t="n">
        <v>37</v>
      </c>
      <c r="C748" s="38" t="s">
        <v>170</v>
      </c>
      <c r="D748" s="38" t="s">
        <v>172</v>
      </c>
      <c r="E748" s="38" t="s">
        <v>875</v>
      </c>
      <c r="F748" s="38" t="str">
        <f aca="false">B748&amp;"|"&amp;C748&amp;"|"&amp;D748</f>
        <v>37|C|A</v>
      </c>
      <c r="G748" s="45" t="n">
        <f aca="false">INDEX('Transition Stepwise'!$J$2:$J$1137,MATCH(F748,'Transition Stepwise'!$E$2:$E$1137,0))</f>
        <v>0.4</v>
      </c>
      <c r="H748" s="45" t="n">
        <f aca="false">INDEX(Background!$D$12:$D$27,MATCH(C748&amp;D748,Background!$E$12:$E$27,0))</f>
        <v>0.194883966244726</v>
      </c>
      <c r="I748" s="49" t="n">
        <f aca="false">LN(G748/H748)</f>
        <v>0.719060210552556</v>
      </c>
    </row>
    <row r="749" customFormat="false" ht="15" hidden="false" customHeight="true" outlineLevel="0" collapsed="false">
      <c r="A749" s="38" t="s">
        <v>849</v>
      </c>
      <c r="B749" s="38" t="n">
        <v>38</v>
      </c>
      <c r="C749" s="38" t="s">
        <v>172</v>
      </c>
      <c r="D749" s="38" t="s">
        <v>172</v>
      </c>
      <c r="E749" s="38" t="s">
        <v>875</v>
      </c>
      <c r="F749" s="38" t="str">
        <f aca="false">B749&amp;"|"&amp;C749&amp;"|"&amp;D749</f>
        <v>38|A|A</v>
      </c>
      <c r="G749" s="45" t="n">
        <f aca="false">INDEX('Transition Stepwise'!$J$2:$J$1137,MATCH(F749,'Transition Stepwise'!$E$2:$E$1137,0))</f>
        <v>0.113333333333333</v>
      </c>
      <c r="H749" s="45" t="n">
        <f aca="false">INDEX(Background!$D$12:$D$27,MATCH(C749&amp;D749,Background!$E$12:$E$27,0))</f>
        <v>0.219568567026194</v>
      </c>
      <c r="I749" s="49" t="n">
        <f aca="false">LN(G749/H749)</f>
        <v>-0.661331233044655</v>
      </c>
    </row>
    <row r="750" customFormat="false" ht="15" hidden="false" customHeight="true" outlineLevel="0" collapsed="false">
      <c r="A750" s="38" t="s">
        <v>849</v>
      </c>
      <c r="B750" s="38" t="n">
        <v>39</v>
      </c>
      <c r="C750" s="38" t="s">
        <v>172</v>
      </c>
      <c r="D750" s="38" t="s">
        <v>172</v>
      </c>
      <c r="E750" s="38" t="s">
        <v>875</v>
      </c>
      <c r="F750" s="38" t="str">
        <f aca="false">B750&amp;"|"&amp;C750&amp;"|"&amp;D750</f>
        <v>39|A|A</v>
      </c>
      <c r="G750" s="45" t="n">
        <f aca="false">INDEX('Transition Stepwise'!$J$2:$J$1137,MATCH(F750,'Transition Stepwise'!$E$2:$E$1137,0))</f>
        <v>0.0454545454545455</v>
      </c>
      <c r="H750" s="45" t="n">
        <f aca="false">INDEX(Background!$D$12:$D$27,MATCH(C750&amp;D750,Background!$E$12:$E$27,0))</f>
        <v>0.219568567026194</v>
      </c>
      <c r="I750" s="49" t="n">
        <f aca="false">LN(G750/H750)</f>
        <v>-1.57495173636293</v>
      </c>
    </row>
    <row r="751" customFormat="false" ht="15" hidden="false" customHeight="true" outlineLevel="0" collapsed="false">
      <c r="A751" s="38" t="s">
        <v>849</v>
      </c>
      <c r="B751" s="38" t="n">
        <v>40</v>
      </c>
      <c r="C751" s="38" t="s">
        <v>172</v>
      </c>
      <c r="D751" s="38" t="s">
        <v>170</v>
      </c>
      <c r="E751" s="38" t="s">
        <v>875</v>
      </c>
      <c r="F751" s="38" t="str">
        <f aca="false">B751&amp;"|"&amp;C751&amp;"|"&amp;D751</f>
        <v>40|A|C</v>
      </c>
      <c r="G751" s="45" t="n">
        <f aca="false">INDEX('Transition Stepwise'!$J$2:$J$1137,MATCH(F751,'Transition Stepwise'!$E$2:$E$1137,0))</f>
        <v>0.4</v>
      </c>
      <c r="H751" s="45" t="n">
        <f aca="false">INDEX(Background!$D$12:$D$27,MATCH(C751&amp;D751,Background!$E$12:$E$27,0))</f>
        <v>0.161016949152542</v>
      </c>
      <c r="I751" s="49" t="n">
        <f aca="false">LN(G751/H751)</f>
        <v>0.909954913425069</v>
      </c>
    </row>
    <row r="752" customFormat="false" ht="15" hidden="false" customHeight="true" outlineLevel="0" collapsed="false">
      <c r="A752" s="38" t="s">
        <v>849</v>
      </c>
      <c r="B752" s="38" t="n">
        <v>41</v>
      </c>
      <c r="C752" s="38" t="s">
        <v>170</v>
      </c>
      <c r="D752" s="38" t="s">
        <v>171</v>
      </c>
      <c r="E752" s="38" t="s">
        <v>875</v>
      </c>
      <c r="F752" s="38" t="str">
        <f aca="false">B752&amp;"|"&amp;C752&amp;"|"&amp;D752</f>
        <v>41|C|U</v>
      </c>
      <c r="G752" s="45" t="n">
        <f aca="false">INDEX('Transition Stepwise'!$J$2:$J$1137,MATCH(F752,'Transition Stepwise'!$E$2:$E$1137,0))</f>
        <v>0.0617283950617284</v>
      </c>
      <c r="H752" s="45" t="n">
        <f aca="false">INDEX(Background!$D$12:$D$27,MATCH(C752&amp;D752,Background!$E$12:$E$27,0))</f>
        <v>0.196466244725738</v>
      </c>
      <c r="I752" s="49" t="n">
        <f aca="false">LN(G752/H752)</f>
        <v>-1.15774659724299</v>
      </c>
    </row>
    <row r="753" customFormat="false" ht="15" hidden="false" customHeight="true" outlineLevel="0" collapsed="false">
      <c r="A753" s="38" t="s">
        <v>849</v>
      </c>
      <c r="B753" s="38" t="n">
        <v>42</v>
      </c>
      <c r="C753" s="38" t="s">
        <v>171</v>
      </c>
      <c r="D753" s="38" t="s">
        <v>170</v>
      </c>
      <c r="E753" s="38" t="s">
        <v>875</v>
      </c>
      <c r="F753" s="38" t="str">
        <f aca="false">B753&amp;"|"&amp;C753&amp;"|"&amp;D753</f>
        <v>42|U|C</v>
      </c>
      <c r="G753" s="45" t="n">
        <f aca="false">INDEX('Transition Stepwise'!$J$2:$J$1137,MATCH(F753,'Transition Stepwise'!$E$2:$E$1137,0))</f>
        <v>0.133333333333333</v>
      </c>
      <c r="H753" s="45" t="n">
        <f aca="false">INDEX(Background!$D$12:$D$27,MATCH(C753&amp;D753,Background!$E$12:$E$27,0))</f>
        <v>0.377251501000667</v>
      </c>
      <c r="I753" s="49" t="n">
        <f aca="false">LN(G753/H753)</f>
        <v>-1.04005981799584</v>
      </c>
    </row>
    <row r="754" customFormat="false" ht="15" hidden="false" customHeight="true" outlineLevel="0" collapsed="false">
      <c r="A754" s="38" t="s">
        <v>849</v>
      </c>
      <c r="B754" s="38" t="n">
        <v>43</v>
      </c>
      <c r="C754" s="38" t="s">
        <v>170</v>
      </c>
      <c r="D754" s="38" t="s">
        <v>172</v>
      </c>
      <c r="E754" s="38" t="s">
        <v>875</v>
      </c>
      <c r="F754" s="38" t="str">
        <f aca="false">B754&amp;"|"&amp;C754&amp;"|"&amp;D754</f>
        <v>43|C|A</v>
      </c>
      <c r="G754" s="45" t="n">
        <f aca="false">INDEX('Transition Stepwise'!$J$2:$J$1137,MATCH(F754,'Transition Stepwise'!$E$2:$E$1137,0))</f>
        <v>0.37037037037037</v>
      </c>
      <c r="H754" s="45" t="n">
        <f aca="false">INDEX(Background!$D$12:$D$27,MATCH(C754&amp;D754,Background!$E$12:$E$27,0))</f>
        <v>0.194883966244726</v>
      </c>
      <c r="I754" s="49" t="n">
        <f aca="false">LN(G754/H754)</f>
        <v>0.642099169416427</v>
      </c>
    </row>
    <row r="755" customFormat="false" ht="15" hidden="false" customHeight="true" outlineLevel="0" collapsed="false">
      <c r="A755" s="38" t="s">
        <v>849</v>
      </c>
      <c r="B755" s="38" t="n">
        <v>44</v>
      </c>
      <c r="C755" s="38" t="s">
        <v>172</v>
      </c>
      <c r="D755" s="38" t="s">
        <v>169</v>
      </c>
      <c r="E755" s="38" t="s">
        <v>875</v>
      </c>
      <c r="F755" s="38" t="str">
        <f aca="false">B755&amp;"|"&amp;C755&amp;"|"&amp;D755</f>
        <v>44|A|G</v>
      </c>
      <c r="G755" s="45" t="n">
        <f aca="false">INDEX('Transition Stepwise'!$J$2:$J$1137,MATCH(F755,'Transition Stepwise'!$E$2:$E$1137,0))</f>
        <v>0.852941176470588</v>
      </c>
      <c r="H755" s="45" t="n">
        <f aca="false">INDEX(Background!$D$12:$D$27,MATCH(C755&amp;D755,Background!$E$12:$E$27,0))</f>
        <v>0.424884437596302</v>
      </c>
      <c r="I755" s="49" t="n">
        <f aca="false">LN(G755/H755)</f>
        <v>0.696873363940791</v>
      </c>
    </row>
    <row r="756" customFormat="false" ht="15" hidden="false" customHeight="true" outlineLevel="0" collapsed="false">
      <c r="A756" s="38" t="s">
        <v>849</v>
      </c>
      <c r="B756" s="38" t="n">
        <v>45</v>
      </c>
      <c r="C756" s="38" t="s">
        <v>169</v>
      </c>
      <c r="D756" s="38" t="s">
        <v>169</v>
      </c>
      <c r="E756" s="38" t="s">
        <v>875</v>
      </c>
      <c r="F756" s="38" t="str">
        <f aca="false">B756&amp;"|"&amp;C756&amp;"|"&amp;D756</f>
        <v>45|G|G</v>
      </c>
      <c r="G756" s="45" t="n">
        <f aca="false">INDEX('Transition Stepwise'!$J$2:$J$1137,MATCH(F756,'Transition Stepwise'!$E$2:$E$1137,0))</f>
        <v>0.824817518248175</v>
      </c>
      <c r="H756" s="45" t="n">
        <f aca="false">INDEX(Background!$D$12:$D$27,MATCH(C756&amp;D756,Background!$E$12:$E$27,0))</f>
        <v>0.344774477447745</v>
      </c>
      <c r="I756" s="49" t="n">
        <f aca="false">LN(G756/H756)</f>
        <v>0.872271657139774</v>
      </c>
    </row>
    <row r="757" customFormat="false" ht="15" hidden="false" customHeight="true" outlineLevel="0" collapsed="false">
      <c r="A757" s="38" t="s">
        <v>849</v>
      </c>
      <c r="B757" s="38" t="n">
        <v>46</v>
      </c>
      <c r="C757" s="38" t="s">
        <v>169</v>
      </c>
      <c r="D757" s="38" t="s">
        <v>172</v>
      </c>
      <c r="E757" s="38" t="s">
        <v>875</v>
      </c>
      <c r="F757" s="38" t="str">
        <f aca="false">B757&amp;"|"&amp;C757&amp;"|"&amp;D757</f>
        <v>46|G|A</v>
      </c>
      <c r="G757" s="45" t="n">
        <f aca="false">INDEX('Transition Stepwise'!$J$2:$J$1137,MATCH(F757,'Transition Stepwise'!$E$2:$E$1137,0))</f>
        <v>0.00714285714285714</v>
      </c>
      <c r="H757" s="45" t="n">
        <f aca="false">INDEX(Background!$D$12:$D$27,MATCH(C757&amp;D757,Background!$E$12:$E$27,0))</f>
        <v>0.164356435643564</v>
      </c>
      <c r="I757" s="49" t="n">
        <f aca="false">LN(G757/H757)</f>
        <v>-3.13592460113054</v>
      </c>
    </row>
    <row r="758" customFormat="false" ht="15" hidden="false" customHeight="true" outlineLevel="0" collapsed="false">
      <c r="A758" s="38" t="s">
        <v>849</v>
      </c>
      <c r="B758" s="38" t="n">
        <v>47</v>
      </c>
      <c r="C758" s="38" t="s">
        <v>172</v>
      </c>
      <c r="D758" s="38" t="s">
        <v>170</v>
      </c>
      <c r="E758" s="38" t="s">
        <v>875</v>
      </c>
      <c r="F758" s="38" t="str">
        <f aca="false">B758&amp;"|"&amp;C758&amp;"|"&amp;D758</f>
        <v>47|A|C</v>
      </c>
      <c r="G758" s="45" t="n">
        <f aca="false">INDEX('Transition Stepwise'!$J$2:$J$1137,MATCH(F758,'Transition Stepwise'!$E$2:$E$1137,0))</f>
        <v>0.7</v>
      </c>
      <c r="H758" s="45" t="n">
        <f aca="false">INDEX(Background!$D$12:$D$27,MATCH(C758&amp;D758,Background!$E$12:$E$27,0))</f>
        <v>0.161016949152542</v>
      </c>
      <c r="I758" s="49" t="n">
        <f aca="false">LN(G758/H758)</f>
        <v>1.46957070136049</v>
      </c>
    </row>
    <row r="759" customFormat="false" ht="15" hidden="false" customHeight="true" outlineLevel="0" collapsed="false">
      <c r="A759" s="38" t="s">
        <v>849</v>
      </c>
      <c r="B759" s="38" t="n">
        <v>48</v>
      </c>
      <c r="C759" s="38" t="s">
        <v>170</v>
      </c>
      <c r="D759" s="38" t="s">
        <v>171</v>
      </c>
      <c r="E759" s="38" t="s">
        <v>875</v>
      </c>
      <c r="F759" s="38" t="str">
        <f aca="false">B759&amp;"|"&amp;C759&amp;"|"&amp;D759</f>
        <v>48|C|U</v>
      </c>
      <c r="G759" s="45" t="n">
        <f aca="false">INDEX('Transition Stepwise'!$J$2:$J$1137,MATCH(F759,'Transition Stepwise'!$E$2:$E$1137,0))</f>
        <v>0.0584795321637427</v>
      </c>
      <c r="H759" s="45" t="n">
        <f aca="false">INDEX(Background!$D$12:$D$27,MATCH(C759&amp;D759,Background!$E$12:$E$27,0))</f>
        <v>0.196466244725738</v>
      </c>
      <c r="I759" s="49" t="n">
        <f aca="false">LN(G759/H759)</f>
        <v>-1.21181381851326</v>
      </c>
    </row>
    <row r="760" customFormat="false" ht="15" hidden="false" customHeight="true" outlineLevel="0" collapsed="false">
      <c r="A760" s="38" t="s">
        <v>849</v>
      </c>
      <c r="B760" s="38" t="n">
        <v>49</v>
      </c>
      <c r="C760" s="38" t="s">
        <v>171</v>
      </c>
      <c r="D760" s="38" t="s">
        <v>170</v>
      </c>
      <c r="E760" s="38" t="s">
        <v>875</v>
      </c>
      <c r="F760" s="38" t="str">
        <f aca="false">B760&amp;"|"&amp;C760&amp;"|"&amp;D760</f>
        <v>49|U|C</v>
      </c>
      <c r="G760" s="45" t="n">
        <f aca="false">INDEX('Transition Stepwise'!$J$2:$J$1137,MATCH(F760,'Transition Stepwise'!$E$2:$E$1137,0))</f>
        <v>0.4</v>
      </c>
      <c r="H760" s="45" t="n">
        <f aca="false">INDEX(Background!$D$12:$D$27,MATCH(C760&amp;D760,Background!$E$12:$E$27,0))</f>
        <v>0.377251501000667</v>
      </c>
      <c r="I760" s="49" t="n">
        <f aca="false">LN(G760/H760)</f>
        <v>0.0585524706722676</v>
      </c>
    </row>
    <row r="761" customFormat="false" ht="15" hidden="false" customHeight="true" outlineLevel="0" collapsed="false">
      <c r="A761" s="38" t="s">
        <v>849</v>
      </c>
      <c r="B761" s="38" t="n">
        <v>50</v>
      </c>
      <c r="C761" s="38" t="s">
        <v>170</v>
      </c>
      <c r="D761" s="38" t="s">
        <v>172</v>
      </c>
      <c r="E761" s="38" t="s">
        <v>875</v>
      </c>
      <c r="F761" s="38" t="str">
        <f aca="false">B761&amp;"|"&amp;C761&amp;"|"&amp;D761</f>
        <v>50|C|A</v>
      </c>
      <c r="G761" s="45" t="n">
        <f aca="false">INDEX('Transition Stepwise'!$J$2:$J$1137,MATCH(F761,'Transition Stepwise'!$E$2:$E$1137,0))</f>
        <v>0.186813186813187</v>
      </c>
      <c r="H761" s="45" t="n">
        <f aca="false">INDEX(Background!$D$12:$D$27,MATCH(C761&amp;D761,Background!$E$12:$E$27,0))</f>
        <v>0.194883966244726</v>
      </c>
      <c r="I761" s="49" t="n">
        <f aca="false">LN(G761/H761)</f>
        <v>-0.0422952200339233</v>
      </c>
    </row>
    <row r="762" customFormat="false" ht="15" hidden="false" customHeight="true" outlineLevel="0" collapsed="false">
      <c r="A762" s="38" t="s">
        <v>849</v>
      </c>
      <c r="B762" s="38" t="n">
        <v>51</v>
      </c>
      <c r="C762" s="38" t="s">
        <v>172</v>
      </c>
      <c r="D762" s="38" t="s">
        <v>169</v>
      </c>
      <c r="E762" s="38" t="s">
        <v>875</v>
      </c>
      <c r="F762" s="38" t="str">
        <f aca="false">B762&amp;"|"&amp;C762&amp;"|"&amp;D762</f>
        <v>51|A|G</v>
      </c>
      <c r="G762" s="45" t="n">
        <f aca="false">INDEX('Transition Stepwise'!$J$2:$J$1137,MATCH(F762,'Transition Stepwise'!$E$2:$E$1137,0))</f>
        <v>0.875</v>
      </c>
      <c r="H762" s="45" t="n">
        <f aca="false">INDEX(Background!$D$12:$D$27,MATCH(C762&amp;D762,Background!$E$12:$E$27,0))</f>
        <v>0.424884437596302</v>
      </c>
      <c r="I762" s="49" t="n">
        <f aca="false">LN(G762/H762)</f>
        <v>0.722406665945955</v>
      </c>
    </row>
    <row r="763" customFormat="false" ht="15" hidden="false" customHeight="true" outlineLevel="0" collapsed="false">
      <c r="A763" s="38" t="s">
        <v>849</v>
      </c>
      <c r="B763" s="38" t="n">
        <v>52</v>
      </c>
      <c r="C763" s="38" t="s">
        <v>169</v>
      </c>
      <c r="D763" s="38" t="s">
        <v>169</v>
      </c>
      <c r="E763" s="38" t="s">
        <v>875</v>
      </c>
      <c r="F763" s="38" t="str">
        <f aca="false">B763&amp;"|"&amp;C763&amp;"|"&amp;D763</f>
        <v>52|G|G</v>
      </c>
      <c r="G763" s="45" t="n">
        <f aca="false">INDEX('Transition Stepwise'!$J$2:$J$1137,MATCH(F763,'Transition Stepwise'!$E$2:$E$1137,0))</f>
        <v>0.964912280701754</v>
      </c>
      <c r="H763" s="45" t="n">
        <f aca="false">INDEX(Background!$D$12:$D$27,MATCH(C763&amp;D763,Background!$E$12:$E$27,0))</f>
        <v>0.344774477447745</v>
      </c>
      <c r="I763" s="49" t="n">
        <f aca="false">LN(G763/H763)</f>
        <v>1.02914668165348</v>
      </c>
    </row>
    <row r="764" customFormat="false" ht="15" hidden="false" customHeight="true" outlineLevel="0" collapsed="false">
      <c r="A764" s="38" t="s">
        <v>849</v>
      </c>
      <c r="B764" s="38" t="n">
        <v>53</v>
      </c>
      <c r="C764" s="38" t="s">
        <v>169</v>
      </c>
      <c r="D764" s="38" t="s">
        <v>172</v>
      </c>
      <c r="E764" s="38" t="s">
        <v>875</v>
      </c>
      <c r="F764" s="38" t="str">
        <f aca="false">B764&amp;"|"&amp;C764&amp;"|"&amp;D764</f>
        <v>53|G|A</v>
      </c>
      <c r="G764" s="45" t="n">
        <f aca="false">INDEX('Transition Stepwise'!$J$2:$J$1137,MATCH(F764,'Transition Stepwise'!$E$2:$E$1137,0))</f>
        <v>0.0150753768844221</v>
      </c>
      <c r="H764" s="45" t="n">
        <f aca="false">INDEX(Background!$D$12:$D$27,MATCH(C764&amp;D764,Background!$E$12:$E$27,0))</f>
        <v>0.164356435643564</v>
      </c>
      <c r="I764" s="49" t="n">
        <f aca="false">LN(G764/H764)</f>
        <v>-2.38897471457762</v>
      </c>
    </row>
    <row r="765" customFormat="false" ht="15" hidden="false" customHeight="true" outlineLevel="0" collapsed="false">
      <c r="A765" s="38" t="s">
        <v>849</v>
      </c>
      <c r="B765" s="38" t="n">
        <v>54</v>
      </c>
      <c r="C765" s="38" t="s">
        <v>172</v>
      </c>
      <c r="D765" s="38" t="s">
        <v>171</v>
      </c>
      <c r="E765" s="38" t="s">
        <v>875</v>
      </c>
      <c r="F765" s="38" t="str">
        <f aca="false">B765&amp;"|"&amp;C765&amp;"|"&amp;D765</f>
        <v>54|A|U</v>
      </c>
      <c r="G765" s="45" t="n">
        <f aca="false">INDEX('Transition Stepwise'!$J$2:$J$1137,MATCH(F765,'Transition Stepwise'!$E$2:$E$1137,0))</f>
        <v>0.5</v>
      </c>
      <c r="H765" s="45" t="n">
        <f aca="false">INDEX(Background!$D$12:$D$27,MATCH(C765&amp;D765,Background!$E$12:$E$27,0))</f>
        <v>0.194530046224961</v>
      </c>
      <c r="I765" s="49" t="n">
        <f aca="false">LN(G765/H765)</f>
        <v>0.944021467988676</v>
      </c>
    </row>
    <row r="766" customFormat="false" ht="15" hidden="false" customHeight="true" outlineLevel="0" collapsed="false">
      <c r="A766" s="38" t="s">
        <v>849</v>
      </c>
      <c r="B766" s="38" t="n">
        <v>55</v>
      </c>
      <c r="C766" s="38" t="s">
        <v>171</v>
      </c>
      <c r="D766" s="38" t="s">
        <v>170</v>
      </c>
      <c r="E766" s="38" t="s">
        <v>875</v>
      </c>
      <c r="F766" s="38" t="str">
        <f aca="false">B766&amp;"|"&amp;C766&amp;"|"&amp;D766</f>
        <v>55|U|C</v>
      </c>
      <c r="G766" s="45" t="n">
        <f aca="false">INDEX('Transition Stepwise'!$J$2:$J$1137,MATCH(F766,'Transition Stepwise'!$E$2:$E$1137,0))</f>
        <v>0.975</v>
      </c>
      <c r="H766" s="45" t="n">
        <f aca="false">INDEX(Background!$D$12:$D$27,MATCH(C766&amp;D766,Background!$E$12:$E$27,0))</f>
        <v>0.377251501000667</v>
      </c>
      <c r="I766" s="49" t="n">
        <f aca="false">LN(G766/H766)</f>
        <v>0.949525394562133</v>
      </c>
    </row>
    <row r="767" customFormat="false" ht="15" hidden="false" customHeight="true" outlineLevel="0" collapsed="false">
      <c r="A767" s="38" t="s">
        <v>849</v>
      </c>
      <c r="B767" s="38" t="n">
        <v>56</v>
      </c>
      <c r="C767" s="38" t="s">
        <v>170</v>
      </c>
      <c r="D767" s="38" t="s">
        <v>172</v>
      </c>
      <c r="E767" s="38" t="s">
        <v>875</v>
      </c>
      <c r="F767" s="38" t="str">
        <f aca="false">B767&amp;"|"&amp;C767&amp;"|"&amp;D767</f>
        <v>56|C|A</v>
      </c>
      <c r="G767" s="45" t="n">
        <f aca="false">INDEX('Transition Stepwise'!$J$2:$J$1137,MATCH(F767,'Transition Stepwise'!$E$2:$E$1137,0))</f>
        <v>0.381909547738693</v>
      </c>
      <c r="H767" s="45" t="n">
        <f aca="false">INDEX(Background!$D$12:$D$27,MATCH(C767&amp;D767,Background!$E$12:$E$27,0))</f>
        <v>0.194883966244726</v>
      </c>
      <c r="I767" s="49" t="n">
        <f aca="false">LN(G767/H767)</f>
        <v>0.672779457988549</v>
      </c>
    </row>
    <row r="768" customFormat="false" ht="15" hidden="false" customHeight="true" outlineLevel="0" collapsed="false">
      <c r="A768" s="38" t="s">
        <v>849</v>
      </c>
      <c r="B768" s="38" t="n">
        <v>57</v>
      </c>
      <c r="C768" s="38" t="s">
        <v>172</v>
      </c>
      <c r="D768" s="38" t="s">
        <v>171</v>
      </c>
      <c r="E768" s="38" t="s">
        <v>875</v>
      </c>
      <c r="F768" s="38" t="str">
        <f aca="false">B768&amp;"|"&amp;C768&amp;"|"&amp;D768</f>
        <v>57|A|U</v>
      </c>
      <c r="G768" s="45" t="n">
        <f aca="false">INDEX('Transition Stepwise'!$J$2:$J$1137,MATCH(F768,'Transition Stepwise'!$E$2:$E$1137,0))</f>
        <v>0.025</v>
      </c>
      <c r="H768" s="45" t="n">
        <f aca="false">INDEX(Background!$D$12:$D$27,MATCH(C768&amp;D768,Background!$E$12:$E$27,0))</f>
        <v>0.194530046224961</v>
      </c>
      <c r="I768" s="49" t="n">
        <f aca="false">LN(G768/H768)</f>
        <v>-2.05171080556532</v>
      </c>
    </row>
    <row r="769" customFormat="false" ht="15" hidden="false" customHeight="true" outlineLevel="0" collapsed="false">
      <c r="A769" s="38" t="s">
        <v>849</v>
      </c>
      <c r="B769" s="38" t="n">
        <v>58</v>
      </c>
      <c r="C769" s="38" t="s">
        <v>171</v>
      </c>
      <c r="D769" s="38" t="s">
        <v>172</v>
      </c>
      <c r="E769" s="38" t="s">
        <v>875</v>
      </c>
      <c r="F769" s="38" t="str">
        <f aca="false">B769&amp;"|"&amp;C769&amp;"|"&amp;D769</f>
        <v>58|U|A</v>
      </c>
      <c r="G769" s="45" t="n">
        <f aca="false">INDEX('Transition Stepwise'!$J$2:$J$1137,MATCH(F769,'Transition Stepwise'!$E$2:$E$1137,0))</f>
        <v>0.2</v>
      </c>
      <c r="H769" s="45" t="n">
        <f aca="false">INDEX(Background!$D$12:$D$27,MATCH(C769&amp;D769,Background!$E$12:$E$27,0))</f>
        <v>0.180787191460974</v>
      </c>
      <c r="I769" s="49" t="n">
        <f aca="false">LN(G769/H769)</f>
        <v>0.100996764788796</v>
      </c>
    </row>
    <row r="770" customFormat="false" ht="15" hidden="false" customHeight="true" outlineLevel="0" collapsed="false">
      <c r="A770" s="38" t="s">
        <v>849</v>
      </c>
      <c r="B770" s="38" t="n">
        <v>59</v>
      </c>
      <c r="C770" s="38" t="s">
        <v>172</v>
      </c>
      <c r="D770" s="38" t="s">
        <v>171</v>
      </c>
      <c r="E770" s="38" t="s">
        <v>875</v>
      </c>
      <c r="F770" s="38" t="str">
        <f aca="false">B770&amp;"|"&amp;C770&amp;"|"&amp;D770</f>
        <v>59|A|U</v>
      </c>
      <c r="G770" s="45" t="n">
        <f aca="false">INDEX('Transition Stepwise'!$J$2:$J$1137,MATCH(F770,'Transition Stepwise'!$E$2:$E$1137,0))</f>
        <v>0.852631578947368</v>
      </c>
      <c r="H770" s="45" t="n">
        <f aca="false">INDEX(Background!$D$12:$D$27,MATCH(C770&amp;D770,Background!$E$12:$E$27,0))</f>
        <v>0.194530046224961</v>
      </c>
      <c r="I770" s="49" t="n">
        <f aca="false">LN(G770/H770)</f>
        <v>1.47774091162052</v>
      </c>
    </row>
    <row r="771" customFormat="false" ht="15" hidden="false" customHeight="true" outlineLevel="0" collapsed="false">
      <c r="A771" s="38" t="s">
        <v>849</v>
      </c>
      <c r="B771" s="38" t="n">
        <v>60</v>
      </c>
      <c r="C771" s="38" t="s">
        <v>171</v>
      </c>
      <c r="D771" s="38" t="s">
        <v>170</v>
      </c>
      <c r="E771" s="38" t="s">
        <v>875</v>
      </c>
      <c r="F771" s="38" t="str">
        <f aca="false">B771&amp;"|"&amp;C771&amp;"|"&amp;D771</f>
        <v>60|U|C</v>
      </c>
      <c r="G771" s="45" t="n">
        <f aca="false">INDEX('Transition Stepwise'!$J$2:$J$1137,MATCH(F771,'Transition Stepwise'!$E$2:$E$1137,0))</f>
        <v>0.975</v>
      </c>
      <c r="H771" s="45" t="n">
        <f aca="false">INDEX(Background!$D$12:$D$27,MATCH(C771&amp;D771,Background!$E$12:$E$27,0))</f>
        <v>0.377251501000667</v>
      </c>
      <c r="I771" s="49" t="n">
        <f aca="false">LN(G771/H771)</f>
        <v>0.949525394562133</v>
      </c>
    </row>
    <row r="772" customFormat="false" ht="15" hidden="false" customHeight="true" outlineLevel="0" collapsed="false">
      <c r="A772" s="38" t="s">
        <v>849</v>
      </c>
      <c r="B772" s="38" t="n">
        <v>61</v>
      </c>
      <c r="C772" s="38" t="s">
        <v>170</v>
      </c>
      <c r="D772" s="38" t="s">
        <v>171</v>
      </c>
      <c r="E772" s="38" t="s">
        <v>875</v>
      </c>
      <c r="F772" s="38" t="str">
        <f aca="false">B772&amp;"|"&amp;C772&amp;"|"&amp;D772</f>
        <v>61|C|U</v>
      </c>
      <c r="G772" s="45" t="n">
        <f aca="false">INDEX('Transition Stepwise'!$J$2:$J$1137,MATCH(F772,'Transition Stepwise'!$E$2:$E$1137,0))</f>
        <v>0.129353233830846</v>
      </c>
      <c r="H772" s="45" t="n">
        <f aca="false">INDEX(Background!$D$12:$D$27,MATCH(C772&amp;D772,Background!$E$12:$E$27,0))</f>
        <v>0.196466244725738</v>
      </c>
      <c r="I772" s="49" t="n">
        <f aca="false">LN(G772/H772)</f>
        <v>-0.417943725042241</v>
      </c>
    </row>
    <row r="773" customFormat="false" ht="15" hidden="false" customHeight="true" outlineLevel="0" collapsed="false">
      <c r="A773" s="38" t="s">
        <v>849</v>
      </c>
      <c r="B773" s="38" t="n">
        <v>62</v>
      </c>
      <c r="C773" s="38" t="s">
        <v>171</v>
      </c>
      <c r="D773" s="38" t="s">
        <v>171</v>
      </c>
      <c r="E773" s="38" t="s">
        <v>875</v>
      </c>
      <c r="F773" s="38" t="str">
        <f aca="false">B773&amp;"|"&amp;C773&amp;"|"&amp;D773</f>
        <v>62|U|U</v>
      </c>
      <c r="G773" s="45" t="n">
        <f aca="false">INDEX('Transition Stepwise'!$J$2:$J$1137,MATCH(F773,'Transition Stepwise'!$E$2:$E$1137,0))</f>
        <v>0.1</v>
      </c>
      <c r="H773" s="45" t="n">
        <f aca="false">INDEX(Background!$D$12:$D$27,MATCH(C773&amp;D773,Background!$E$12:$E$27,0))</f>
        <v>0.220480320213476</v>
      </c>
      <c r="I773" s="49" t="n">
        <f aca="false">LN(G773/H773)</f>
        <v>-0.790638254183189</v>
      </c>
    </row>
    <row r="774" customFormat="false" ht="15" hidden="false" customHeight="true" outlineLevel="0" collapsed="false">
      <c r="A774" s="38" t="s">
        <v>849</v>
      </c>
      <c r="B774" s="38" t="n">
        <v>63</v>
      </c>
      <c r="C774" s="38" t="s">
        <v>171</v>
      </c>
      <c r="D774" s="38" t="s">
        <v>169</v>
      </c>
      <c r="E774" s="38" t="s">
        <v>875</v>
      </c>
      <c r="F774" s="38" t="str">
        <f aca="false">B774&amp;"|"&amp;C774&amp;"|"&amp;D774</f>
        <v>63|U|G</v>
      </c>
      <c r="G774" s="45" t="n">
        <f aca="false">INDEX('Transition Stepwise'!$J$2:$J$1137,MATCH(F774,'Transition Stepwise'!$E$2:$E$1137,0))</f>
        <v>0.527777777777778</v>
      </c>
      <c r="H774" s="45" t="n">
        <f aca="false">INDEX(Background!$D$12:$D$27,MATCH(C774&amp;D774,Background!$E$12:$E$27,0))</f>
        <v>0.221480987324883</v>
      </c>
      <c r="I774" s="49" t="n">
        <f aca="false">LN(G774/H774)</f>
        <v>0.86833856989644</v>
      </c>
    </row>
    <row r="775" customFormat="false" ht="15" hidden="false" customHeight="true" outlineLevel="0" collapsed="false">
      <c r="A775" s="38" t="s">
        <v>849</v>
      </c>
      <c r="B775" s="38" t="n">
        <v>64</v>
      </c>
      <c r="C775" s="38" t="s">
        <v>169</v>
      </c>
      <c r="D775" s="38" t="s">
        <v>172</v>
      </c>
      <c r="E775" s="38" t="s">
        <v>875</v>
      </c>
      <c r="F775" s="38" t="str">
        <f aca="false">B775&amp;"|"&amp;C775&amp;"|"&amp;D775</f>
        <v>64|G|A</v>
      </c>
      <c r="G775" s="45" t="n">
        <f aca="false">INDEX('Transition Stepwise'!$J$2:$J$1137,MATCH(F775,'Transition Stepwise'!$E$2:$E$1137,0))</f>
        <v>0.03125</v>
      </c>
      <c r="H775" s="45" t="n">
        <f aca="false">INDEX(Background!$D$12:$D$27,MATCH(C775&amp;D775,Background!$E$12:$E$27,0))</f>
        <v>0.164356435643564</v>
      </c>
      <c r="I775" s="49" t="n">
        <f aca="false">LN(G775/H775)</f>
        <v>-1.66001808132096</v>
      </c>
    </row>
    <row r="776" customFormat="false" ht="15" hidden="false" customHeight="true" outlineLevel="0" collapsed="false">
      <c r="A776" s="38" t="s">
        <v>849</v>
      </c>
      <c r="B776" s="38" t="n">
        <v>65</v>
      </c>
      <c r="C776" s="38" t="s">
        <v>172</v>
      </c>
      <c r="D776" s="38" t="s">
        <v>171</v>
      </c>
      <c r="E776" s="38" t="s">
        <v>875</v>
      </c>
      <c r="F776" s="38" t="str">
        <f aca="false">B776&amp;"|"&amp;C776&amp;"|"&amp;D776</f>
        <v>65|A|U</v>
      </c>
      <c r="G776" s="45" t="n">
        <f aca="false">INDEX('Transition Stepwise'!$J$2:$J$1137,MATCH(F776,'Transition Stepwise'!$E$2:$E$1137,0))</f>
        <v>0.538461538461538</v>
      </c>
      <c r="H776" s="45" t="n">
        <f aca="false">INDEX(Background!$D$12:$D$27,MATCH(C776&amp;D776,Background!$E$12:$E$27,0))</f>
        <v>0.194530046224961</v>
      </c>
      <c r="I776" s="49" t="n">
        <f aca="false">LN(G776/H776)</f>
        <v>1.0181294401424</v>
      </c>
    </row>
    <row r="777" customFormat="false" ht="15" hidden="false" customHeight="true" outlineLevel="0" collapsed="false">
      <c r="A777" s="38" t="s">
        <v>849</v>
      </c>
      <c r="B777" s="38" t="n">
        <v>66</v>
      </c>
      <c r="C777" s="38" t="s">
        <v>171</v>
      </c>
      <c r="D777" s="38" t="s">
        <v>169</v>
      </c>
      <c r="E777" s="38" t="s">
        <v>875</v>
      </c>
      <c r="F777" s="38" t="str">
        <f aca="false">B777&amp;"|"&amp;C777&amp;"|"&amp;D777</f>
        <v>66|U|G</v>
      </c>
      <c r="G777" s="45" t="n">
        <f aca="false">INDEX('Transition Stepwise'!$J$2:$J$1137,MATCH(F777,'Transition Stepwise'!$E$2:$E$1137,0))</f>
        <v>0.207547169811321</v>
      </c>
      <c r="H777" s="45" t="n">
        <f aca="false">INDEX(Background!$D$12:$D$27,MATCH(C777&amp;D777,Background!$E$12:$E$27,0))</f>
        <v>0.221480987324883</v>
      </c>
      <c r="I777" s="49" t="n">
        <f aca="false">LN(G777/H777)</f>
        <v>-0.064978111567642</v>
      </c>
    </row>
    <row r="778" customFormat="false" ht="15" hidden="false" customHeight="true" outlineLevel="0" collapsed="false">
      <c r="A778" s="38" t="s">
        <v>849</v>
      </c>
      <c r="B778" s="38" t="n">
        <v>67</v>
      </c>
      <c r="C778" s="38" t="s">
        <v>169</v>
      </c>
      <c r="D778" s="38" t="s">
        <v>172</v>
      </c>
      <c r="E778" s="38" t="s">
        <v>875</v>
      </c>
      <c r="F778" s="38" t="str">
        <f aca="false">B778&amp;"|"&amp;C778&amp;"|"&amp;D778</f>
        <v>67|G|A</v>
      </c>
      <c r="G778" s="45" t="n">
        <f aca="false">INDEX('Transition Stepwise'!$J$2:$J$1137,MATCH(F778,'Transition Stepwise'!$E$2:$E$1137,0))</f>
        <v>0.0759493670886076</v>
      </c>
      <c r="H778" s="45" t="n">
        <f aca="false">INDEX(Background!$D$12:$D$27,MATCH(C778&amp;D778,Background!$E$12:$E$27,0))</f>
        <v>0.164356435643564</v>
      </c>
      <c r="I778" s="49" t="n">
        <f aca="false">LN(G778/H778)</f>
        <v>-0.771970561760205</v>
      </c>
    </row>
    <row r="779" customFormat="false" ht="15" hidden="false" customHeight="true" outlineLevel="0" collapsed="false">
      <c r="A779" s="38" t="s">
        <v>849</v>
      </c>
      <c r="B779" s="38" t="n">
        <v>68</v>
      </c>
      <c r="C779" s="38" t="s">
        <v>172</v>
      </c>
      <c r="D779" s="38" t="s">
        <v>169</v>
      </c>
      <c r="E779" s="38" t="s">
        <v>875</v>
      </c>
      <c r="F779" s="38" t="str">
        <f aca="false">B779&amp;"|"&amp;C779&amp;"|"&amp;D779</f>
        <v>68|A|G</v>
      </c>
      <c r="G779" s="45" t="n">
        <f aca="false">INDEX('Transition Stepwise'!$J$2:$J$1137,MATCH(F779,'Transition Stepwise'!$E$2:$E$1137,0))</f>
        <v>0.368421052631579</v>
      </c>
      <c r="H779" s="45" t="n">
        <f aca="false">INDEX(Background!$D$12:$D$27,MATCH(C779&amp;D779,Background!$E$12:$E$27,0))</f>
        <v>0.424884437596302</v>
      </c>
      <c r="I779" s="49" t="n">
        <f aca="false">LN(G779/H779)</f>
        <v>-0.142590771540649</v>
      </c>
    </row>
    <row r="780" customFormat="false" ht="15" hidden="false" customHeight="true" outlineLevel="0" collapsed="false">
      <c r="A780" s="38" t="s">
        <v>849</v>
      </c>
      <c r="B780" s="38" t="n">
        <v>69</v>
      </c>
      <c r="C780" s="38" t="s">
        <v>169</v>
      </c>
      <c r="D780" s="38" t="s">
        <v>169</v>
      </c>
      <c r="E780" s="38" t="s">
        <v>875</v>
      </c>
      <c r="F780" s="38" t="str">
        <f aca="false">B780&amp;"|"&amp;C780&amp;"|"&amp;D780</f>
        <v>69|G|G</v>
      </c>
      <c r="G780" s="45" t="n">
        <f aca="false">INDEX('Transition Stepwise'!$J$2:$J$1137,MATCH(F780,'Transition Stepwise'!$E$2:$E$1137,0))</f>
        <v>0.405405405405405</v>
      </c>
      <c r="H780" s="45" t="n">
        <f aca="false">INDEX(Background!$D$12:$D$27,MATCH(C780&amp;D780,Background!$E$12:$E$27,0))</f>
        <v>0.344774477447745</v>
      </c>
      <c r="I780" s="49" t="n">
        <f aca="false">LN(G780/H780)</f>
        <v>0.161997052713544</v>
      </c>
    </row>
    <row r="781" customFormat="false" ht="15" hidden="false" customHeight="true" outlineLevel="0" collapsed="false">
      <c r="A781" s="38" t="s">
        <v>849</v>
      </c>
      <c r="B781" s="38" t="n">
        <v>70</v>
      </c>
      <c r="C781" s="38" t="s">
        <v>169</v>
      </c>
      <c r="D781" s="38" t="s">
        <v>172</v>
      </c>
      <c r="E781" s="38" t="s">
        <v>875</v>
      </c>
      <c r="F781" s="38" t="str">
        <f aca="false">B781&amp;"|"&amp;C781&amp;"|"&amp;D781</f>
        <v>70|G|A</v>
      </c>
      <c r="G781" s="45" t="n">
        <f aca="false">INDEX('Transition Stepwise'!$J$2:$J$1137,MATCH(F781,'Transition Stepwise'!$E$2:$E$1137,0))</f>
        <v>0.0506329113924051</v>
      </c>
      <c r="H781" s="45" t="n">
        <f aca="false">INDEX(Background!$D$12:$D$27,MATCH(C781&amp;D781,Background!$E$12:$E$27,0))</f>
        <v>0.164356435643564</v>
      </c>
      <c r="I781" s="49" t="n">
        <f aca="false">LN(G781/H781)</f>
        <v>-1.17743566986837</v>
      </c>
    </row>
    <row r="782" customFormat="false" ht="15" hidden="false" customHeight="true" outlineLevel="0" collapsed="false">
      <c r="A782" s="38" t="s">
        <v>849</v>
      </c>
      <c r="B782" s="38" t="n">
        <v>71</v>
      </c>
      <c r="C782" s="38" t="s">
        <v>172</v>
      </c>
      <c r="D782" s="38" t="s">
        <v>171</v>
      </c>
      <c r="E782" s="38" t="s">
        <v>875</v>
      </c>
      <c r="F782" s="38" t="str">
        <f aca="false">B782&amp;"|"&amp;C782&amp;"|"&amp;D782</f>
        <v>71|A|U</v>
      </c>
      <c r="G782" s="45" t="n">
        <f aca="false">INDEX('Transition Stepwise'!$J$2:$J$1137,MATCH(F782,'Transition Stepwise'!$E$2:$E$1137,0))</f>
        <v>0.111111111111111</v>
      </c>
      <c r="H782" s="45" t="n">
        <f aca="false">INDEX(Background!$D$12:$D$27,MATCH(C782&amp;D782,Background!$E$12:$E$27,0))</f>
        <v>0.194530046224961</v>
      </c>
      <c r="I782" s="49" t="n">
        <f aca="false">LN(G782/H782)</f>
        <v>-0.560055928787599</v>
      </c>
    </row>
    <row r="783" customFormat="false" ht="15" hidden="false" customHeight="true" outlineLevel="0" collapsed="false">
      <c r="A783" s="38" t="s">
        <v>850</v>
      </c>
      <c r="B783" s="38" t="n">
        <v>1</v>
      </c>
      <c r="C783" s="38" t="s">
        <v>169</v>
      </c>
      <c r="D783" s="38" t="s">
        <v>172</v>
      </c>
      <c r="E783" s="38" t="s">
        <v>875</v>
      </c>
      <c r="F783" s="38" t="str">
        <f aca="false">B783&amp;"|"&amp;C783&amp;"|"&amp;D783</f>
        <v>1|G|A</v>
      </c>
      <c r="G783" s="45" t="n">
        <f aca="false">INDEX('Transition Stepwise'!$J$2:$J$1137,MATCH(F783,'Transition Stepwise'!$E$2:$E$1137,0))</f>
        <v>0.0448717948717949</v>
      </c>
      <c r="H783" s="45" t="n">
        <f aca="false">INDEX(Background!$D$12:$D$27,MATCH(C783&amp;D783,Background!$E$12:$E$27,0))</f>
        <v>0.164356435643564</v>
      </c>
      <c r="I783" s="49" t="n">
        <f aca="false">LN(G783/H783)</f>
        <v>-1.29822803671546</v>
      </c>
    </row>
    <row r="784" customFormat="false" ht="15" hidden="false" customHeight="true" outlineLevel="0" collapsed="false">
      <c r="A784" s="38" t="s">
        <v>850</v>
      </c>
      <c r="B784" s="38" t="n">
        <v>2</v>
      </c>
      <c r="C784" s="38" t="s">
        <v>172</v>
      </c>
      <c r="D784" s="38" t="s">
        <v>169</v>
      </c>
      <c r="E784" s="38" t="s">
        <v>875</v>
      </c>
      <c r="F784" s="38" t="str">
        <f aca="false">B784&amp;"|"&amp;C784&amp;"|"&amp;D784</f>
        <v>2|A|G</v>
      </c>
      <c r="G784" s="45" t="n">
        <f aca="false">INDEX('Transition Stepwise'!$J$2:$J$1137,MATCH(F784,'Transition Stepwise'!$E$2:$E$1137,0))</f>
        <v>0.2</v>
      </c>
      <c r="H784" s="45" t="n">
        <f aca="false">INDEX(Background!$D$12:$D$27,MATCH(C784&amp;D784,Background!$E$12:$E$27,0))</f>
        <v>0.424884437596302</v>
      </c>
      <c r="I784" s="49" t="n">
        <f aca="false">LN(G784/H784)</f>
        <v>-0.753499853863622</v>
      </c>
    </row>
    <row r="785" customFormat="false" ht="15" hidden="false" customHeight="true" outlineLevel="0" collapsed="false">
      <c r="A785" s="38" t="s">
        <v>850</v>
      </c>
      <c r="B785" s="38" t="n">
        <v>3</v>
      </c>
      <c r="C785" s="38" t="s">
        <v>169</v>
      </c>
      <c r="D785" s="38" t="s">
        <v>171</v>
      </c>
      <c r="E785" s="38" t="s">
        <v>875</v>
      </c>
      <c r="F785" s="38" t="str">
        <f aca="false">B785&amp;"|"&amp;C785&amp;"|"&amp;D785</f>
        <v>3|G|U</v>
      </c>
      <c r="G785" s="45" t="n">
        <f aca="false">INDEX('Transition Stepwise'!$J$2:$J$1137,MATCH(F785,'Transition Stepwise'!$E$2:$E$1137,0))</f>
        <v>0.134831460674157</v>
      </c>
      <c r="H785" s="45" t="n">
        <f aca="false">INDEX(Background!$D$12:$D$27,MATCH(C785&amp;D785,Background!$E$12:$E$27,0))</f>
        <v>0.234763476347635</v>
      </c>
      <c r="I785" s="49" t="n">
        <f aca="false">LN(G785/H785)</f>
        <v>-0.554552964634314</v>
      </c>
    </row>
    <row r="786" customFormat="false" ht="15" hidden="false" customHeight="true" outlineLevel="0" collapsed="false">
      <c r="A786" s="38" t="s">
        <v>850</v>
      </c>
      <c r="B786" s="38" t="n">
        <v>4</v>
      </c>
      <c r="C786" s="38" t="s">
        <v>171</v>
      </c>
      <c r="D786" s="38" t="s">
        <v>171</v>
      </c>
      <c r="E786" s="38" t="s">
        <v>875</v>
      </c>
      <c r="F786" s="38" t="str">
        <f aca="false">B786&amp;"|"&amp;C786&amp;"|"&amp;D786</f>
        <v>4|U|U</v>
      </c>
      <c r="G786" s="45" t="n">
        <f aca="false">INDEX('Transition Stepwise'!$J$2:$J$1137,MATCH(F786,'Transition Stepwise'!$E$2:$E$1137,0))</f>
        <v>0.210526315789474</v>
      </c>
      <c r="H786" s="45" t="n">
        <f aca="false">INDEX(Background!$D$12:$D$27,MATCH(C786&amp;D786,Background!$E$12:$E$27,0))</f>
        <v>0.220480320213476</v>
      </c>
      <c r="I786" s="49" t="n">
        <f aca="false">LN(G786/H786)</f>
        <v>-0.0461977792356932</v>
      </c>
    </row>
    <row r="787" customFormat="false" ht="15" hidden="false" customHeight="true" outlineLevel="0" collapsed="false">
      <c r="A787" s="38" t="s">
        <v>850</v>
      </c>
      <c r="B787" s="38" t="n">
        <v>5</v>
      </c>
      <c r="C787" s="38" t="s">
        <v>171</v>
      </c>
      <c r="D787" s="38" t="s">
        <v>169</v>
      </c>
      <c r="E787" s="38" t="s">
        <v>875</v>
      </c>
      <c r="F787" s="38" t="str">
        <f aca="false">B787&amp;"|"&amp;C787&amp;"|"&amp;D787</f>
        <v>5|U|G</v>
      </c>
      <c r="G787" s="45" t="n">
        <f aca="false">INDEX('Transition Stepwise'!$J$2:$J$1137,MATCH(F787,'Transition Stepwise'!$E$2:$E$1137,0))</f>
        <v>0.36</v>
      </c>
      <c r="H787" s="45" t="n">
        <f aca="false">INDEX(Background!$D$12:$D$27,MATCH(C787&amp;D787,Background!$E$12:$E$27,0))</f>
        <v>0.221480987324883</v>
      </c>
      <c r="I787" s="49" t="n">
        <f aca="false">LN(G787/H787)</f>
        <v>0.485767281654128</v>
      </c>
    </row>
    <row r="788" customFormat="false" ht="15" hidden="false" customHeight="true" outlineLevel="0" collapsed="false">
      <c r="A788" s="38" t="s">
        <v>850</v>
      </c>
      <c r="B788" s="38" t="n">
        <v>6</v>
      </c>
      <c r="C788" s="38" t="s">
        <v>169</v>
      </c>
      <c r="D788" s="38" t="s">
        <v>172</v>
      </c>
      <c r="E788" s="38" t="s">
        <v>875</v>
      </c>
      <c r="F788" s="38" t="str">
        <f aca="false">B788&amp;"|"&amp;C788&amp;"|"&amp;D788</f>
        <v>6|G|A</v>
      </c>
      <c r="G788" s="45" t="n">
        <f aca="false">INDEX('Transition Stepwise'!$J$2:$J$1137,MATCH(F788,'Transition Stepwise'!$E$2:$E$1137,0))</f>
        <v>0.230769230769231</v>
      </c>
      <c r="H788" s="45" t="n">
        <f aca="false">INDEX(Background!$D$12:$D$27,MATCH(C788&amp;D788,Background!$E$12:$E$27,0))</f>
        <v>0.164356435643564</v>
      </c>
      <c r="I788" s="49" t="n">
        <f aca="false">LN(G788/H788)</f>
        <v>0.339380752685335</v>
      </c>
    </row>
    <row r="789" customFormat="false" ht="15" hidden="false" customHeight="true" outlineLevel="0" collapsed="false">
      <c r="A789" s="38" t="s">
        <v>850</v>
      </c>
      <c r="B789" s="38" t="n">
        <v>7</v>
      </c>
      <c r="C789" s="38" t="s">
        <v>172</v>
      </c>
      <c r="D789" s="38" t="s">
        <v>171</v>
      </c>
      <c r="E789" s="38" t="s">
        <v>875</v>
      </c>
      <c r="F789" s="38" t="str">
        <f aca="false">B789&amp;"|"&amp;C789&amp;"|"&amp;D789</f>
        <v>7|A|U</v>
      </c>
      <c r="G789" s="45" t="n">
        <f aca="false">INDEX('Transition Stepwise'!$J$2:$J$1137,MATCH(F789,'Transition Stepwise'!$E$2:$E$1137,0))</f>
        <v>0.92156862745098</v>
      </c>
      <c r="H789" s="45" t="n">
        <f aca="false">INDEX(Background!$D$12:$D$27,MATCH(C789&amp;D789,Background!$E$12:$E$27,0))</f>
        <v>0.194530046224961</v>
      </c>
      <c r="I789" s="49" t="n">
        <f aca="false">LN(G789/H789)</f>
        <v>1.55549061753435</v>
      </c>
    </row>
    <row r="790" customFormat="false" ht="15" hidden="false" customHeight="true" outlineLevel="0" collapsed="false">
      <c r="A790" s="38" t="s">
        <v>850</v>
      </c>
      <c r="B790" s="38" t="n">
        <v>8</v>
      </c>
      <c r="C790" s="38" t="s">
        <v>171</v>
      </c>
      <c r="D790" s="38" t="s">
        <v>169</v>
      </c>
      <c r="E790" s="38" t="s">
        <v>875</v>
      </c>
      <c r="F790" s="38" t="str">
        <f aca="false">B790&amp;"|"&amp;C790&amp;"|"&amp;D790</f>
        <v>8|U|G</v>
      </c>
      <c r="G790" s="45" t="n">
        <f aca="false">INDEX('Transition Stepwise'!$J$2:$J$1137,MATCH(F790,'Transition Stepwise'!$E$2:$E$1137,0))</f>
        <v>0.31</v>
      </c>
      <c r="H790" s="45" t="n">
        <f aca="false">INDEX(Background!$D$12:$D$27,MATCH(C790&amp;D790,Background!$E$12:$E$27,0))</f>
        <v>0.221480987324883</v>
      </c>
      <c r="I790" s="49" t="n">
        <f aca="false">LN(G790/H790)</f>
        <v>0.336235547683164</v>
      </c>
    </row>
    <row r="791" customFormat="false" ht="15" hidden="false" customHeight="true" outlineLevel="0" collapsed="false">
      <c r="A791" s="38" t="s">
        <v>850</v>
      </c>
      <c r="B791" s="38" t="n">
        <v>9</v>
      </c>
      <c r="C791" s="38" t="s">
        <v>169</v>
      </c>
      <c r="D791" s="38" t="s">
        <v>171</v>
      </c>
      <c r="E791" s="38" t="s">
        <v>875</v>
      </c>
      <c r="F791" s="38" t="str">
        <f aca="false">B791&amp;"|"&amp;C791&amp;"|"&amp;D791</f>
        <v>9|G|U</v>
      </c>
      <c r="G791" s="45" t="n">
        <f aca="false">INDEX('Transition Stepwise'!$J$2:$J$1137,MATCH(F791,'Transition Stepwise'!$E$2:$E$1137,0))</f>
        <v>0.0153846153846154</v>
      </c>
      <c r="H791" s="45" t="n">
        <f aca="false">INDEX(Background!$D$12:$D$27,MATCH(C791&amp;D791,Background!$E$12:$E$27,0))</f>
        <v>0.234763476347635</v>
      </c>
      <c r="I791" s="49" t="n">
        <f aca="false">LN(G791/H791)</f>
        <v>-2.72521051458581</v>
      </c>
    </row>
    <row r="792" customFormat="false" ht="15" hidden="false" customHeight="true" outlineLevel="0" collapsed="false">
      <c r="A792" s="38" t="s">
        <v>850</v>
      </c>
      <c r="B792" s="38" t="n">
        <v>10</v>
      </c>
      <c r="C792" s="38" t="s">
        <v>171</v>
      </c>
      <c r="D792" s="38" t="s">
        <v>172</v>
      </c>
      <c r="E792" s="38" t="s">
        <v>875</v>
      </c>
      <c r="F792" s="38" t="str">
        <f aca="false">B792&amp;"|"&amp;C792&amp;"|"&amp;D792</f>
        <v>10|U|A</v>
      </c>
      <c r="G792" s="45" t="n">
        <f aca="false">INDEX('Transition Stepwise'!$J$2:$J$1137,MATCH(F792,'Transition Stepwise'!$E$2:$E$1137,0))</f>
        <v>0.25</v>
      </c>
      <c r="H792" s="45" t="n">
        <f aca="false">INDEX(Background!$D$12:$D$27,MATCH(C792&amp;D792,Background!$E$12:$E$27,0))</f>
        <v>0.180787191460974</v>
      </c>
      <c r="I792" s="49" t="n">
        <f aca="false">LN(G792/H792)</f>
        <v>0.324140316103006</v>
      </c>
    </row>
    <row r="793" customFormat="false" ht="15" hidden="false" customHeight="true" outlineLevel="0" collapsed="false">
      <c r="A793" s="38" t="s">
        <v>850</v>
      </c>
      <c r="B793" s="38" t="n">
        <v>11</v>
      </c>
      <c r="C793" s="38" t="s">
        <v>172</v>
      </c>
      <c r="D793" s="38" t="s">
        <v>171</v>
      </c>
      <c r="E793" s="38" t="s">
        <v>875</v>
      </c>
      <c r="F793" s="38" t="str">
        <f aca="false">B793&amp;"|"&amp;C793&amp;"|"&amp;D793</f>
        <v>11|A|U</v>
      </c>
      <c r="G793" s="45" t="n">
        <f aca="false">INDEX('Transition Stepwise'!$J$2:$J$1137,MATCH(F793,'Transition Stepwise'!$E$2:$E$1137,0))</f>
        <v>0.363636363636364</v>
      </c>
      <c r="H793" s="45" t="n">
        <f aca="false">INDEX(Background!$D$12:$D$27,MATCH(C793&amp;D793,Background!$E$12:$E$27,0))</f>
        <v>0.194530046224961</v>
      </c>
      <c r="I793" s="49" t="n">
        <f aca="false">LN(G793/H793)</f>
        <v>0.625567736870141</v>
      </c>
    </row>
    <row r="794" customFormat="false" ht="15" hidden="false" customHeight="true" outlineLevel="0" collapsed="false">
      <c r="A794" s="38" t="s">
        <v>850</v>
      </c>
      <c r="B794" s="38" t="n">
        <v>12</v>
      </c>
      <c r="C794" s="38" t="s">
        <v>171</v>
      </c>
      <c r="D794" s="38" t="s">
        <v>169</v>
      </c>
      <c r="E794" s="38" t="s">
        <v>875</v>
      </c>
      <c r="F794" s="38" t="str">
        <f aca="false">B794&amp;"|"&amp;C794&amp;"|"&amp;D794</f>
        <v>12|U|G</v>
      </c>
      <c r="G794" s="45" t="n">
        <f aca="false">INDEX('Transition Stepwise'!$J$2:$J$1137,MATCH(F794,'Transition Stepwise'!$E$2:$E$1137,0))</f>
        <v>0.016260162601626</v>
      </c>
      <c r="H794" s="45" t="n">
        <f aca="false">INDEX(Background!$D$12:$D$27,MATCH(C794&amp;D794,Background!$E$12:$E$27,0))</f>
        <v>0.221480987324883</v>
      </c>
      <c r="I794" s="49" t="n">
        <f aca="false">LN(G794/H794)</f>
        <v>-2.61161864562636</v>
      </c>
    </row>
    <row r="795" customFormat="false" ht="15" hidden="false" customHeight="true" outlineLevel="0" collapsed="false">
      <c r="A795" s="38" t="s">
        <v>850</v>
      </c>
      <c r="B795" s="38" t="n">
        <v>13</v>
      </c>
      <c r="C795" s="38" t="s">
        <v>169</v>
      </c>
      <c r="D795" s="38" t="s">
        <v>172</v>
      </c>
      <c r="E795" s="38" t="s">
        <v>875</v>
      </c>
      <c r="F795" s="38" t="str">
        <f aca="false">B795&amp;"|"&amp;C795&amp;"|"&amp;D795</f>
        <v>13|G|A</v>
      </c>
      <c r="G795" s="45" t="n">
        <f aca="false">INDEX('Transition Stepwise'!$J$2:$J$1137,MATCH(F795,'Transition Stepwise'!$E$2:$E$1137,0))</f>
        <v>0.869565217391304</v>
      </c>
      <c r="H795" s="45" t="n">
        <f aca="false">INDEX(Background!$D$12:$D$27,MATCH(C795&amp;D795,Background!$E$12:$E$27,0))</f>
        <v>0.164356435643564</v>
      </c>
      <c r="I795" s="49" t="n">
        <f aca="false">LN(G795/H795)</f>
        <v>1.6659558791036</v>
      </c>
    </row>
    <row r="796" customFormat="false" ht="15" hidden="false" customHeight="true" outlineLevel="0" collapsed="false">
      <c r="A796" s="38" t="s">
        <v>850</v>
      </c>
      <c r="B796" s="38" t="n">
        <v>14</v>
      </c>
      <c r="C796" s="38" t="s">
        <v>172</v>
      </c>
      <c r="D796" s="38" t="s">
        <v>172</v>
      </c>
      <c r="E796" s="38" t="s">
        <v>875</v>
      </c>
      <c r="F796" s="38" t="str">
        <f aca="false">B796&amp;"|"&amp;C796&amp;"|"&amp;D796</f>
        <v>14|A|A</v>
      </c>
      <c r="G796" s="45" t="n">
        <f aca="false">INDEX('Transition Stepwise'!$J$2:$J$1137,MATCH(F796,'Transition Stepwise'!$E$2:$E$1137,0))</f>
        <v>0.165</v>
      </c>
      <c r="H796" s="45" t="n">
        <f aca="false">INDEX(Background!$D$12:$D$27,MATCH(C796&amp;D796,Background!$E$12:$E$27,0))</f>
        <v>0.219568567026194</v>
      </c>
      <c r="I796" s="49" t="n">
        <f aca="false">LN(G796/H796)</f>
        <v>-0.285719088086172</v>
      </c>
    </row>
    <row r="797" customFormat="false" ht="15" hidden="false" customHeight="true" outlineLevel="0" collapsed="false">
      <c r="A797" s="38" t="s">
        <v>850</v>
      </c>
      <c r="B797" s="38" t="n">
        <v>15</v>
      </c>
      <c r="C797" s="38" t="s">
        <v>172</v>
      </c>
      <c r="D797" s="38" t="s">
        <v>176</v>
      </c>
      <c r="E797" s="40" t="s">
        <v>876</v>
      </c>
      <c r="F797" s="38"/>
      <c r="G797" s="38"/>
      <c r="H797" s="38"/>
      <c r="I797" s="38"/>
    </row>
    <row r="798" customFormat="false" ht="15" hidden="false" customHeight="true" outlineLevel="0" collapsed="false">
      <c r="A798" s="38" t="s">
        <v>850</v>
      </c>
      <c r="B798" s="38" t="n">
        <v>16</v>
      </c>
      <c r="C798" s="38" t="s">
        <v>176</v>
      </c>
      <c r="D798" s="38" t="s">
        <v>172</v>
      </c>
      <c r="E798" s="40" t="s">
        <v>876</v>
      </c>
      <c r="F798" s="38"/>
      <c r="G798" s="38"/>
      <c r="H798" s="38"/>
      <c r="I798" s="38"/>
    </row>
    <row r="799" customFormat="false" ht="15" hidden="false" customHeight="true" outlineLevel="0" collapsed="false">
      <c r="A799" s="38" t="s">
        <v>850</v>
      </c>
      <c r="B799" s="38" t="n">
        <v>17</v>
      </c>
      <c r="C799" s="38" t="s">
        <v>172</v>
      </c>
      <c r="D799" s="38" t="s">
        <v>169</v>
      </c>
      <c r="E799" s="38" t="s">
        <v>875</v>
      </c>
      <c r="F799" s="38" t="str">
        <f aca="false">B799&amp;"|"&amp;C799&amp;"|"&amp;D799</f>
        <v>17|A|G</v>
      </c>
      <c r="G799" s="45" t="n">
        <f aca="false">INDEX('Transition Stepwise'!$J$2:$J$1137,MATCH(F799,'Transition Stepwise'!$E$2:$E$1137,0))</f>
        <v>0.75</v>
      </c>
      <c r="H799" s="45" t="n">
        <f aca="false">INDEX(Background!$D$12:$D$27,MATCH(C799&amp;D799,Background!$E$12:$E$27,0))</f>
        <v>0.424884437596302</v>
      </c>
      <c r="I799" s="49" t="n">
        <f aca="false">LN(G799/H799)</f>
        <v>0.568255986118697</v>
      </c>
    </row>
    <row r="800" customFormat="false" ht="15" hidden="false" customHeight="true" outlineLevel="0" collapsed="false">
      <c r="A800" s="38" t="s">
        <v>850</v>
      </c>
      <c r="B800" s="38" t="n">
        <v>18</v>
      </c>
      <c r="C800" s="38" t="s">
        <v>169</v>
      </c>
      <c r="D800" s="38" t="s">
        <v>169</v>
      </c>
      <c r="E800" s="38" t="s">
        <v>875</v>
      </c>
      <c r="F800" s="38" t="str">
        <f aca="false">B800&amp;"|"&amp;C800&amp;"|"&amp;D800</f>
        <v>18|G|G</v>
      </c>
      <c r="G800" s="45" t="n">
        <f aca="false">INDEX('Transition Stepwise'!$J$2:$J$1137,MATCH(F800,'Transition Stepwise'!$E$2:$E$1137,0))</f>
        <v>0.975247524752475</v>
      </c>
      <c r="H800" s="45" t="n">
        <f aca="false">INDEX(Background!$D$12:$D$27,MATCH(C800&amp;D800,Background!$E$12:$E$27,0))</f>
        <v>0.344774477447745</v>
      </c>
      <c r="I800" s="49" t="n">
        <f aca="false">LN(G800/H800)</f>
        <v>1.03980079559234</v>
      </c>
    </row>
    <row r="801" customFormat="false" ht="15" hidden="false" customHeight="true" outlineLevel="0" collapsed="false">
      <c r="A801" s="38" t="s">
        <v>850</v>
      </c>
      <c r="B801" s="38" t="n">
        <v>19</v>
      </c>
      <c r="C801" s="38" t="s">
        <v>169</v>
      </c>
      <c r="D801" s="38" t="s">
        <v>172</v>
      </c>
      <c r="E801" s="38" t="s">
        <v>875</v>
      </c>
      <c r="F801" s="38" t="str">
        <f aca="false">B801&amp;"|"&amp;C801&amp;"|"&amp;D801</f>
        <v>19|G|A</v>
      </c>
      <c r="G801" s="45" t="n">
        <f aca="false">INDEX('Transition Stepwise'!$J$2:$J$1137,MATCH(F801,'Transition Stepwise'!$E$2:$E$1137,0))</f>
        <v>0.09</v>
      </c>
      <c r="H801" s="45" t="n">
        <f aca="false">INDEX(Background!$D$12:$D$27,MATCH(C801&amp;D801,Background!$E$12:$E$27,0))</f>
        <v>0.164356435643564</v>
      </c>
      <c r="I801" s="49" t="n">
        <f aca="false">LN(G801/H801)</f>
        <v>-0.60222778717311</v>
      </c>
    </row>
    <row r="802" customFormat="false" ht="15" hidden="false" customHeight="true" outlineLevel="0" collapsed="false">
      <c r="A802" s="38" t="s">
        <v>850</v>
      </c>
      <c r="B802" s="38" t="n">
        <v>20</v>
      </c>
      <c r="C802" s="38" t="s">
        <v>172</v>
      </c>
      <c r="D802" s="38" t="s">
        <v>172</v>
      </c>
      <c r="E802" s="38" t="s">
        <v>875</v>
      </c>
      <c r="F802" s="38" t="str">
        <f aca="false">B802&amp;"|"&amp;C802&amp;"|"&amp;D802</f>
        <v>20|A|A</v>
      </c>
      <c r="G802" s="45" t="n">
        <f aca="false">INDEX('Transition Stepwise'!$J$2:$J$1137,MATCH(F802,'Transition Stepwise'!$E$2:$E$1137,0))</f>
        <v>0.80952380952381</v>
      </c>
      <c r="H802" s="45" t="n">
        <f aca="false">INDEX(Background!$D$12:$D$27,MATCH(C802&amp;D802,Background!$E$12:$E$27,0))</f>
        <v>0.219568567026194</v>
      </c>
      <c r="I802" s="49" t="n">
        <f aca="false">LN(G802/H802)</f>
        <v>1.30478162332818</v>
      </c>
    </row>
    <row r="803" customFormat="false" ht="15" hidden="false" customHeight="true" outlineLevel="0" collapsed="false">
      <c r="A803" s="38" t="s">
        <v>850</v>
      </c>
      <c r="B803" s="38" t="n">
        <v>21</v>
      </c>
      <c r="C803" s="38" t="s">
        <v>172</v>
      </c>
      <c r="D803" s="38" t="s">
        <v>171</v>
      </c>
      <c r="E803" s="38" t="s">
        <v>875</v>
      </c>
      <c r="F803" s="38" t="str">
        <f aca="false">B803&amp;"|"&amp;C803&amp;"|"&amp;D803</f>
        <v>21|A|U</v>
      </c>
      <c r="G803" s="45" t="n">
        <f aca="false">INDEX('Transition Stepwise'!$J$2:$J$1137,MATCH(F803,'Transition Stepwise'!$E$2:$E$1137,0))</f>
        <v>0.0659340659340659</v>
      </c>
      <c r="H803" s="45" t="n">
        <f aca="false">INDEX(Background!$D$12:$D$27,MATCH(C803&amp;D803,Background!$E$12:$E$27,0))</f>
        <v>0.194530046224961</v>
      </c>
      <c r="I803" s="49" t="n">
        <f aca="false">LN(G803/H803)</f>
        <v>-1.08193138874017</v>
      </c>
    </row>
    <row r="804" customFormat="false" ht="15" hidden="false" customHeight="true" outlineLevel="0" collapsed="false">
      <c r="A804" s="38" t="s">
        <v>850</v>
      </c>
      <c r="B804" s="38" t="n">
        <v>22</v>
      </c>
      <c r="C804" s="38" t="s">
        <v>171</v>
      </c>
      <c r="D804" s="38" t="s">
        <v>172</v>
      </c>
      <c r="E804" s="38" t="s">
        <v>875</v>
      </c>
      <c r="F804" s="38" t="str">
        <f aca="false">B804&amp;"|"&amp;C804&amp;"|"&amp;D804</f>
        <v>22|U|A</v>
      </c>
      <c r="G804" s="45" t="n">
        <f aca="false">INDEX('Transition Stepwise'!$J$2:$J$1137,MATCH(F804,'Transition Stepwise'!$E$2:$E$1137,0))</f>
        <v>0.111111111111111</v>
      </c>
      <c r="H804" s="45" t="n">
        <f aca="false">INDEX(Background!$D$12:$D$27,MATCH(C804&amp;D804,Background!$E$12:$E$27,0))</f>
        <v>0.180787191460974</v>
      </c>
      <c r="I804" s="49" t="n">
        <f aca="false">LN(G804/H804)</f>
        <v>-0.486789900113323</v>
      </c>
    </row>
    <row r="805" customFormat="false" ht="15" hidden="false" customHeight="true" outlineLevel="0" collapsed="false">
      <c r="A805" s="38" t="s">
        <v>850</v>
      </c>
      <c r="B805" s="38" t="n">
        <v>23</v>
      </c>
      <c r="C805" s="38" t="s">
        <v>172</v>
      </c>
      <c r="D805" s="38" t="s">
        <v>171</v>
      </c>
      <c r="E805" s="38" t="s">
        <v>875</v>
      </c>
      <c r="F805" s="38" t="str">
        <f aca="false">B805&amp;"|"&amp;C805&amp;"|"&amp;D805</f>
        <v>23|A|U</v>
      </c>
      <c r="G805" s="45" t="n">
        <f aca="false">INDEX('Transition Stepwise'!$J$2:$J$1137,MATCH(F805,'Transition Stepwise'!$E$2:$E$1137,0))</f>
        <v>0.032258064516129</v>
      </c>
      <c r="H805" s="45" t="n">
        <f aca="false">INDEX(Background!$D$12:$D$27,MATCH(C805&amp;D805,Background!$E$12:$E$27,0))</f>
        <v>0.194530046224961</v>
      </c>
      <c r="I805" s="49" t="n">
        <f aca="false">LN(G805/H805)</f>
        <v>-1.79681855593653</v>
      </c>
    </row>
    <row r="806" customFormat="false" ht="15" hidden="false" customHeight="true" outlineLevel="0" collapsed="false">
      <c r="A806" s="38" t="s">
        <v>850</v>
      </c>
      <c r="B806" s="38" t="n">
        <v>24</v>
      </c>
      <c r="C806" s="38" t="s">
        <v>171</v>
      </c>
      <c r="D806" s="38" t="s">
        <v>172</v>
      </c>
      <c r="E806" s="38" t="s">
        <v>875</v>
      </c>
      <c r="F806" s="38" t="str">
        <f aca="false">B806&amp;"|"&amp;C806&amp;"|"&amp;D806</f>
        <v>24|U|A</v>
      </c>
      <c r="G806" s="45" t="n">
        <f aca="false">INDEX('Transition Stepwise'!$J$2:$J$1137,MATCH(F806,'Transition Stepwise'!$E$2:$E$1137,0))</f>
        <v>0.0909090909090909</v>
      </c>
      <c r="H806" s="45" t="n">
        <f aca="false">INDEX(Background!$D$12:$D$27,MATCH(C806&amp;D806,Background!$E$12:$E$27,0))</f>
        <v>0.180787191460974</v>
      </c>
      <c r="I806" s="49" t="n">
        <f aca="false">LN(G806/H806)</f>
        <v>-0.687460595575474</v>
      </c>
    </row>
    <row r="807" customFormat="false" ht="15" hidden="false" customHeight="true" outlineLevel="0" collapsed="false">
      <c r="A807" s="38" t="s">
        <v>850</v>
      </c>
      <c r="B807" s="38" t="n">
        <v>25</v>
      </c>
      <c r="C807" s="38" t="s">
        <v>172</v>
      </c>
      <c r="D807" s="38" t="s">
        <v>171</v>
      </c>
      <c r="E807" s="38" t="s">
        <v>875</v>
      </c>
      <c r="F807" s="38" t="str">
        <f aca="false">B807&amp;"|"&amp;C807&amp;"|"&amp;D807</f>
        <v>25|A|U</v>
      </c>
      <c r="G807" s="45" t="n">
        <f aca="false">INDEX('Transition Stepwise'!$J$2:$J$1137,MATCH(F807,'Transition Stepwise'!$E$2:$E$1137,0))</f>
        <v>0.2</v>
      </c>
      <c r="H807" s="45" t="n">
        <f aca="false">INDEX(Background!$D$12:$D$27,MATCH(C807&amp;D807,Background!$E$12:$E$27,0))</f>
        <v>0.194530046224961</v>
      </c>
      <c r="I807" s="49" t="n">
        <f aca="false">LN(G807/H807)</f>
        <v>0.0277307361145204</v>
      </c>
    </row>
    <row r="808" customFormat="false" ht="15" hidden="false" customHeight="true" outlineLevel="0" collapsed="false">
      <c r="A808" s="38" t="s">
        <v>850</v>
      </c>
      <c r="B808" s="38" t="n">
        <v>26</v>
      </c>
      <c r="C808" s="38" t="s">
        <v>171</v>
      </c>
      <c r="D808" s="38" t="s">
        <v>169</v>
      </c>
      <c r="E808" s="38" t="s">
        <v>875</v>
      </c>
      <c r="F808" s="38" t="str">
        <f aca="false">B808&amp;"|"&amp;C808&amp;"|"&amp;D808</f>
        <v>26|U|G</v>
      </c>
      <c r="G808" s="45" t="n">
        <f aca="false">INDEX('Transition Stepwise'!$J$2:$J$1137,MATCH(F808,'Transition Stepwise'!$E$2:$E$1137,0))</f>
        <v>0.133333333333333</v>
      </c>
      <c r="H808" s="45" t="n">
        <f aca="false">INDEX(Background!$D$12:$D$27,MATCH(C808&amp;D808,Background!$E$12:$E$27,0))</f>
        <v>0.221480987324883</v>
      </c>
      <c r="I808" s="49" t="n">
        <f aca="false">LN(G808/H808)</f>
        <v>-0.507484491356156</v>
      </c>
    </row>
    <row r="809" customFormat="false" ht="15" hidden="false" customHeight="true" outlineLevel="0" collapsed="false">
      <c r="A809" s="38" t="s">
        <v>850</v>
      </c>
      <c r="B809" s="38" t="n">
        <v>27</v>
      </c>
      <c r="C809" s="38" t="s">
        <v>169</v>
      </c>
      <c r="D809" s="38" t="s">
        <v>171</v>
      </c>
      <c r="E809" s="38" t="s">
        <v>875</v>
      </c>
      <c r="F809" s="38" t="str">
        <f aca="false">B809&amp;"|"&amp;C809&amp;"|"&amp;D809</f>
        <v>27|G|U</v>
      </c>
      <c r="G809" s="45" t="n">
        <f aca="false">INDEX('Transition Stepwise'!$J$2:$J$1137,MATCH(F809,'Transition Stepwise'!$E$2:$E$1137,0))</f>
        <v>0.0285714285714286</v>
      </c>
      <c r="H809" s="45" t="n">
        <f aca="false">INDEX(Background!$D$12:$D$27,MATCH(C809&amp;D809,Background!$E$12:$E$27,0))</f>
        <v>0.234763476347635</v>
      </c>
      <c r="I809" s="49" t="n">
        <f aca="false">LN(G809/H809)</f>
        <v>-2.10617130617959</v>
      </c>
    </row>
    <row r="810" customFormat="false" ht="15" hidden="false" customHeight="true" outlineLevel="0" collapsed="false">
      <c r="A810" s="38" t="s">
        <v>850</v>
      </c>
      <c r="B810" s="38" t="n">
        <v>28</v>
      </c>
      <c r="C810" s="38" t="s">
        <v>171</v>
      </c>
      <c r="D810" s="38" t="s">
        <v>169</v>
      </c>
      <c r="E810" s="38" t="s">
        <v>875</v>
      </c>
      <c r="F810" s="38" t="str">
        <f aca="false">B810&amp;"|"&amp;C810&amp;"|"&amp;D810</f>
        <v>28|U|G</v>
      </c>
      <c r="G810" s="45" t="n">
        <f aca="false">INDEX('Transition Stepwise'!$J$2:$J$1137,MATCH(F810,'Transition Stepwise'!$E$2:$E$1137,0))</f>
        <v>0.314814814814815</v>
      </c>
      <c r="H810" s="45" t="n">
        <f aca="false">INDEX(Background!$D$12:$D$27,MATCH(C810&amp;D810,Background!$E$12:$E$27,0))</f>
        <v>0.221480987324883</v>
      </c>
      <c r="I810" s="49" t="n">
        <f aca="false">LN(G810/H810)</f>
        <v>0.351647826678051</v>
      </c>
    </row>
    <row r="811" customFormat="false" ht="15" hidden="false" customHeight="true" outlineLevel="0" collapsed="false">
      <c r="A811" s="38" t="s">
        <v>850</v>
      </c>
      <c r="B811" s="38" t="n">
        <v>29</v>
      </c>
      <c r="C811" s="38" t="s">
        <v>169</v>
      </c>
      <c r="D811" s="38" t="s">
        <v>169</v>
      </c>
      <c r="E811" s="38" t="s">
        <v>875</v>
      </c>
      <c r="F811" s="38" t="str">
        <f aca="false">B811&amp;"|"&amp;C811&amp;"|"&amp;D811</f>
        <v>29|G|G</v>
      </c>
      <c r="G811" s="45" t="n">
        <f aca="false">INDEX('Transition Stepwise'!$J$2:$J$1137,MATCH(F811,'Transition Stepwise'!$E$2:$E$1137,0))</f>
        <v>0.765432098765432</v>
      </c>
      <c r="H811" s="45" t="n">
        <f aca="false">INDEX(Background!$D$12:$D$27,MATCH(C811&amp;D811,Background!$E$12:$E$27,0))</f>
        <v>0.344774477447745</v>
      </c>
      <c r="I811" s="49" t="n">
        <f aca="false">LN(G811/H811)</f>
        <v>0.797549994628211</v>
      </c>
    </row>
    <row r="812" customFormat="false" ht="15" hidden="false" customHeight="true" outlineLevel="0" collapsed="false">
      <c r="A812" s="38" t="s">
        <v>850</v>
      </c>
      <c r="B812" s="38" t="n">
        <v>30</v>
      </c>
      <c r="C812" s="38" t="s">
        <v>169</v>
      </c>
      <c r="D812" s="38" t="s">
        <v>172</v>
      </c>
      <c r="E812" s="38" t="s">
        <v>875</v>
      </c>
      <c r="F812" s="38" t="str">
        <f aca="false">B812&amp;"|"&amp;C812&amp;"|"&amp;D812</f>
        <v>30|G|A</v>
      </c>
      <c r="G812" s="45" t="n">
        <f aca="false">INDEX('Transition Stepwise'!$J$2:$J$1137,MATCH(F812,'Transition Stepwise'!$E$2:$E$1137,0))</f>
        <v>0.324675324675325</v>
      </c>
      <c r="H812" s="45" t="n">
        <f aca="false">INDEX(Background!$D$12:$D$27,MATCH(C812&amp;D812,Background!$E$12:$E$27,0))</f>
        <v>0.164356435643564</v>
      </c>
      <c r="I812" s="49" t="n">
        <f aca="false">LN(G812/H812)</f>
        <v>0.680788224493279</v>
      </c>
    </row>
    <row r="813" customFormat="false" ht="15" hidden="false" customHeight="true" outlineLevel="0" collapsed="false">
      <c r="A813" s="38" t="s">
        <v>850</v>
      </c>
      <c r="B813" s="38" t="n">
        <v>31</v>
      </c>
      <c r="C813" s="38" t="s">
        <v>172</v>
      </c>
      <c r="D813" s="38" t="s">
        <v>170</v>
      </c>
      <c r="E813" s="38" t="s">
        <v>875</v>
      </c>
      <c r="F813" s="38" t="str">
        <f aca="false">B813&amp;"|"&amp;C813&amp;"|"&amp;D813</f>
        <v>31|A|C</v>
      </c>
      <c r="G813" s="45" t="n">
        <f aca="false">INDEX('Transition Stepwise'!$J$2:$J$1137,MATCH(F813,'Transition Stepwise'!$E$2:$E$1137,0))</f>
        <v>0.827586206896552</v>
      </c>
      <c r="H813" s="45" t="n">
        <f aca="false">INDEX(Background!$D$12:$D$27,MATCH(C813&amp;D813,Background!$E$12:$E$27,0))</f>
        <v>0.161016949152542</v>
      </c>
      <c r="I813" s="49" t="n">
        <f aca="false">LN(G813/H813)</f>
        <v>1.6370036456607</v>
      </c>
    </row>
    <row r="814" customFormat="false" ht="15" hidden="false" customHeight="true" outlineLevel="0" collapsed="false">
      <c r="A814" s="38" t="s">
        <v>850</v>
      </c>
      <c r="B814" s="38" t="n">
        <v>32</v>
      </c>
      <c r="C814" s="38" t="s">
        <v>170</v>
      </c>
      <c r="D814" s="38" t="s">
        <v>171</v>
      </c>
      <c r="E814" s="38" t="s">
        <v>875</v>
      </c>
      <c r="F814" s="38" t="str">
        <f aca="false">B814&amp;"|"&amp;C814&amp;"|"&amp;D814</f>
        <v>32|C|U</v>
      </c>
      <c r="G814" s="45" t="n">
        <f aca="false">INDEX('Transition Stepwise'!$J$2:$J$1137,MATCH(F814,'Transition Stepwise'!$E$2:$E$1137,0))</f>
        <v>0.971014492753623</v>
      </c>
      <c r="H814" s="45" t="n">
        <f aca="false">INDEX(Background!$D$12:$D$27,MATCH(C814&amp;D814,Background!$E$12:$E$27,0))</f>
        <v>0.196466244725738</v>
      </c>
      <c r="I814" s="49" t="n">
        <f aca="false">LN(G814/H814)</f>
        <v>1.59785075978906</v>
      </c>
    </row>
    <row r="815" customFormat="false" ht="15" hidden="false" customHeight="true" outlineLevel="0" collapsed="false">
      <c r="A815" s="38" t="s">
        <v>850</v>
      </c>
      <c r="B815" s="38" t="n">
        <v>33</v>
      </c>
      <c r="C815" s="38" t="s">
        <v>171</v>
      </c>
      <c r="D815" s="38" t="s">
        <v>171</v>
      </c>
      <c r="E815" s="38" t="s">
        <v>875</v>
      </c>
      <c r="F815" s="38" t="str">
        <f aca="false">B815&amp;"|"&amp;C815&amp;"|"&amp;D815</f>
        <v>33|U|U</v>
      </c>
      <c r="G815" s="45" t="n">
        <f aca="false">INDEX('Transition Stepwise'!$J$2:$J$1137,MATCH(F815,'Transition Stepwise'!$E$2:$E$1137,0))</f>
        <v>0.293532338308458</v>
      </c>
      <c r="H815" s="45" t="n">
        <f aca="false">INDEX(Background!$D$12:$D$27,MATCH(C815&amp;D815,Background!$E$12:$E$27,0))</f>
        <v>0.220480320213476</v>
      </c>
      <c r="I815" s="49" t="n">
        <f aca="false">LN(G815/H815)</f>
        <v>0.2861793746575</v>
      </c>
    </row>
    <row r="816" customFormat="false" ht="15" hidden="false" customHeight="true" outlineLevel="0" collapsed="false">
      <c r="A816" s="38" t="s">
        <v>850</v>
      </c>
      <c r="B816" s="38" t="n">
        <v>34</v>
      </c>
      <c r="C816" s="38" t="s">
        <v>171</v>
      </c>
      <c r="D816" s="38" t="s">
        <v>171</v>
      </c>
      <c r="E816" s="38" t="s">
        <v>875</v>
      </c>
      <c r="F816" s="38" t="str">
        <f aca="false">B816&amp;"|"&amp;C816&amp;"|"&amp;D816</f>
        <v>34|U|U</v>
      </c>
      <c r="G816" s="45" t="n">
        <f aca="false">INDEX('Transition Stepwise'!$J$2:$J$1137,MATCH(F816,'Transition Stepwise'!$E$2:$E$1137,0))</f>
        <v>0.17741935483871</v>
      </c>
      <c r="H816" s="45" t="n">
        <f aca="false">INDEX(Background!$D$12:$D$27,MATCH(C816&amp;D816,Background!$E$12:$E$27,0))</f>
        <v>0.220480320213476</v>
      </c>
      <c r="I816" s="49" t="n">
        <f aca="false">LN(G816/H816)</f>
        <v>-0.217292273435864</v>
      </c>
    </row>
    <row r="817" customFormat="false" ht="15" hidden="false" customHeight="true" outlineLevel="0" collapsed="false">
      <c r="A817" s="38" t="s">
        <v>850</v>
      </c>
      <c r="B817" s="38" t="n">
        <v>35</v>
      </c>
      <c r="C817" s="38" t="s">
        <v>171</v>
      </c>
      <c r="D817" s="38" t="s">
        <v>172</v>
      </c>
      <c r="E817" s="38" t="s">
        <v>875</v>
      </c>
      <c r="F817" s="38" t="str">
        <f aca="false">B817&amp;"|"&amp;C817&amp;"|"&amp;D817</f>
        <v>35|U|A</v>
      </c>
      <c r="G817" s="45" t="n">
        <f aca="false">INDEX('Transition Stepwise'!$J$2:$J$1137,MATCH(F817,'Transition Stepwise'!$E$2:$E$1137,0))</f>
        <v>0.177777777777778</v>
      </c>
      <c r="H817" s="45" t="n">
        <f aca="false">INDEX(Background!$D$12:$D$27,MATCH(C817&amp;D817,Background!$E$12:$E$27,0))</f>
        <v>0.180787191460974</v>
      </c>
      <c r="I817" s="49" t="n">
        <f aca="false">LN(G817/H817)</f>
        <v>-0.016786270867587</v>
      </c>
    </row>
    <row r="818" customFormat="false" ht="15" hidden="false" customHeight="true" outlineLevel="0" collapsed="false">
      <c r="A818" s="38" t="s">
        <v>850</v>
      </c>
      <c r="B818" s="38" t="n">
        <v>36</v>
      </c>
      <c r="C818" s="38" t="s">
        <v>172</v>
      </c>
      <c r="D818" s="38" t="s">
        <v>170</v>
      </c>
      <c r="E818" s="38" t="s">
        <v>875</v>
      </c>
      <c r="F818" s="38" t="str">
        <f aca="false">B818&amp;"|"&amp;C818&amp;"|"&amp;D818</f>
        <v>36|A|C</v>
      </c>
      <c r="G818" s="45" t="n">
        <f aca="false">INDEX('Transition Stepwise'!$J$2:$J$1137,MATCH(F818,'Transition Stepwise'!$E$2:$E$1137,0))</f>
        <v>0.0425531914893617</v>
      </c>
      <c r="H818" s="45" t="n">
        <f aca="false">INDEX(Background!$D$12:$D$27,MATCH(C818&amp;D818,Background!$E$12:$E$27,0))</f>
        <v>0.161016949152542</v>
      </c>
      <c r="I818" s="49" t="n">
        <f aca="false">LN(G818/H818)</f>
        <v>-1.33075477585089</v>
      </c>
    </row>
    <row r="819" customFormat="false" ht="15" hidden="false" customHeight="true" outlineLevel="0" collapsed="false">
      <c r="A819" s="38" t="s">
        <v>850</v>
      </c>
      <c r="B819" s="38" t="n">
        <v>37</v>
      </c>
      <c r="C819" s="38" t="s">
        <v>170</v>
      </c>
      <c r="D819" s="38" t="s">
        <v>169</v>
      </c>
      <c r="E819" s="38" t="s">
        <v>875</v>
      </c>
      <c r="F819" s="38" t="str">
        <f aca="false">B819&amp;"|"&amp;C819&amp;"|"&amp;D819</f>
        <v>37|C|G</v>
      </c>
      <c r="G819" s="45" t="n">
        <f aca="false">INDEX('Transition Stepwise'!$J$2:$J$1137,MATCH(F819,'Transition Stepwise'!$E$2:$E$1137,0))</f>
        <v>0.2</v>
      </c>
      <c r="H819" s="45" t="n">
        <f aca="false">INDEX(Background!$D$12:$D$27,MATCH(C819&amp;D819,Background!$E$12:$E$27,0))</f>
        <v>0.296413502109705</v>
      </c>
      <c r="I819" s="49" t="n">
        <f aca="false">LN(G819/H819)</f>
        <v>-0.393438079512824</v>
      </c>
    </row>
    <row r="820" customFormat="false" ht="15" hidden="false" customHeight="true" outlineLevel="0" collapsed="false">
      <c r="A820" s="38" t="s">
        <v>850</v>
      </c>
      <c r="B820" s="38" t="n">
        <v>38</v>
      </c>
      <c r="C820" s="38" t="s">
        <v>169</v>
      </c>
      <c r="D820" s="38" t="s">
        <v>171</v>
      </c>
      <c r="E820" s="38" t="s">
        <v>875</v>
      </c>
      <c r="F820" s="38" t="str">
        <f aca="false">B820&amp;"|"&amp;C820&amp;"|"&amp;D820</f>
        <v>38|G|U</v>
      </c>
      <c r="G820" s="45" t="n">
        <f aca="false">INDEX('Transition Stepwise'!$J$2:$J$1137,MATCH(F820,'Transition Stepwise'!$E$2:$E$1137,0))</f>
        <v>0.4</v>
      </c>
      <c r="H820" s="45" t="n">
        <f aca="false">INDEX(Background!$D$12:$D$27,MATCH(C820&amp;D820,Background!$E$12:$E$27,0))</f>
        <v>0.234763476347635</v>
      </c>
      <c r="I820" s="49" t="n">
        <f aca="false">LN(G820/H820)</f>
        <v>0.532886023435671</v>
      </c>
    </row>
    <row r="821" customFormat="false" ht="15" hidden="false" customHeight="true" outlineLevel="0" collapsed="false">
      <c r="A821" s="38" t="s">
        <v>850</v>
      </c>
      <c r="B821" s="38" t="n">
        <v>39</v>
      </c>
      <c r="C821" s="38" t="s">
        <v>171</v>
      </c>
      <c r="D821" s="38" t="s">
        <v>171</v>
      </c>
      <c r="E821" s="38" t="s">
        <v>875</v>
      </c>
      <c r="F821" s="38" t="str">
        <f aca="false">B821&amp;"|"&amp;C821&amp;"|"&amp;D821</f>
        <v>39|U|U</v>
      </c>
      <c r="G821" s="45" t="n">
        <f aca="false">INDEX('Transition Stepwise'!$J$2:$J$1137,MATCH(F821,'Transition Stepwise'!$E$2:$E$1137,0))</f>
        <v>0.0317460317460317</v>
      </c>
      <c r="H821" s="45" t="n">
        <f aca="false">INDEX(Background!$D$12:$D$27,MATCH(C821&amp;D821,Background!$E$12:$E$27,0))</f>
        <v>0.220480320213476</v>
      </c>
      <c r="I821" s="49" t="n">
        <f aca="false">LN(G821/H821)</f>
        <v>-1.93804070702073</v>
      </c>
    </row>
    <row r="822" customFormat="false" ht="15" hidden="false" customHeight="true" outlineLevel="0" collapsed="false">
      <c r="A822" s="38" t="s">
        <v>850</v>
      </c>
      <c r="B822" s="38" t="n">
        <v>40</v>
      </c>
      <c r="C822" s="38" t="s">
        <v>171</v>
      </c>
      <c r="D822" s="38" t="s">
        <v>171</v>
      </c>
      <c r="E822" s="38" t="s">
        <v>875</v>
      </c>
      <c r="F822" s="38" t="str">
        <f aca="false">B822&amp;"|"&amp;C822&amp;"|"&amp;D822</f>
        <v>40|U|U</v>
      </c>
      <c r="G822" s="45" t="n">
        <f aca="false">INDEX('Transition Stepwise'!$J$2:$J$1137,MATCH(F822,'Transition Stepwise'!$E$2:$E$1137,0))</f>
        <v>0.0833333333333333</v>
      </c>
      <c r="H822" s="45" t="n">
        <f aca="false">INDEX(Background!$D$12:$D$27,MATCH(C822&amp;D822,Background!$E$12:$E$27,0))</f>
        <v>0.220480320213476</v>
      </c>
      <c r="I822" s="49" t="n">
        <f aca="false">LN(G822/H822)</f>
        <v>-0.972959810977144</v>
      </c>
    </row>
    <row r="823" customFormat="false" ht="15" hidden="false" customHeight="true" outlineLevel="0" collapsed="false">
      <c r="A823" s="38" t="s">
        <v>850</v>
      </c>
      <c r="B823" s="38" t="n">
        <v>41</v>
      </c>
      <c r="C823" s="38" t="s">
        <v>171</v>
      </c>
      <c r="D823" s="38" t="s">
        <v>172</v>
      </c>
      <c r="E823" s="38" t="s">
        <v>875</v>
      </c>
      <c r="F823" s="38" t="str">
        <f aca="false">B823&amp;"|"&amp;C823&amp;"|"&amp;D823</f>
        <v>41|U|A</v>
      </c>
      <c r="G823" s="45" t="n">
        <f aca="false">INDEX('Transition Stepwise'!$J$2:$J$1137,MATCH(F823,'Transition Stepwise'!$E$2:$E$1137,0))</f>
        <v>0.216216216216216</v>
      </c>
      <c r="H823" s="45" t="n">
        <f aca="false">INDEX(Background!$D$12:$D$27,MATCH(C823&amp;D823,Background!$E$12:$E$27,0))</f>
        <v>0.180787191460974</v>
      </c>
      <c r="I823" s="49" t="n">
        <f aca="false">LN(G823/H823)</f>
        <v>0.178958306258508</v>
      </c>
    </row>
    <row r="824" customFormat="false" ht="15" hidden="false" customHeight="true" outlineLevel="0" collapsed="false">
      <c r="A824" s="38" t="s">
        <v>850</v>
      </c>
      <c r="B824" s="38" t="n">
        <v>42</v>
      </c>
      <c r="C824" s="38" t="s">
        <v>172</v>
      </c>
      <c r="D824" s="38" t="s">
        <v>170</v>
      </c>
      <c r="E824" s="38" t="s">
        <v>875</v>
      </c>
      <c r="F824" s="38" t="str">
        <f aca="false">B824&amp;"|"&amp;C824&amp;"|"&amp;D824</f>
        <v>42|A|C</v>
      </c>
      <c r="G824" s="45" t="n">
        <f aca="false">INDEX('Transition Stepwise'!$J$2:$J$1137,MATCH(F824,'Transition Stepwise'!$E$2:$E$1137,0))</f>
        <v>0.0192307692307692</v>
      </c>
      <c r="H824" s="45" t="n">
        <f aca="false">INDEX(Background!$D$12:$D$27,MATCH(C824&amp;D824,Background!$E$12:$E$27,0))</f>
        <v>0.161016949152542</v>
      </c>
      <c r="I824" s="49" t="n">
        <f aca="false">LN(G824/H824)</f>
        <v>-2.1249980732822</v>
      </c>
    </row>
    <row r="825" customFormat="false" ht="15" hidden="false" customHeight="true" outlineLevel="0" collapsed="false">
      <c r="A825" s="38" t="s">
        <v>850</v>
      </c>
      <c r="B825" s="38" t="n">
        <v>43</v>
      </c>
      <c r="C825" s="38" t="s">
        <v>170</v>
      </c>
      <c r="D825" s="38" t="s">
        <v>171</v>
      </c>
      <c r="E825" s="38" t="s">
        <v>875</v>
      </c>
      <c r="F825" s="38" t="str">
        <f aca="false">B825&amp;"|"&amp;C825&amp;"|"&amp;D825</f>
        <v>43|C|U</v>
      </c>
      <c r="G825" s="45" t="n">
        <f aca="false">INDEX('Transition Stepwise'!$J$2:$J$1137,MATCH(F825,'Transition Stepwise'!$E$2:$E$1137,0))</f>
        <v>0.148148148148148</v>
      </c>
      <c r="H825" s="45" t="n">
        <f aca="false">INDEX(Background!$D$12:$D$27,MATCH(C825&amp;D825,Background!$E$12:$E$27,0))</f>
        <v>0.196466244725738</v>
      </c>
      <c r="I825" s="49" t="n">
        <f aca="false">LN(G825/H825)</f>
        <v>-0.282277859889086</v>
      </c>
    </row>
    <row r="826" customFormat="false" ht="15" hidden="false" customHeight="true" outlineLevel="0" collapsed="false">
      <c r="A826" s="38" t="s">
        <v>850</v>
      </c>
      <c r="B826" s="38" t="n">
        <v>44</v>
      </c>
      <c r="C826" s="38" t="s">
        <v>171</v>
      </c>
      <c r="D826" s="38" t="s">
        <v>170</v>
      </c>
      <c r="E826" s="38" t="s">
        <v>875</v>
      </c>
      <c r="F826" s="38" t="str">
        <f aca="false">B826&amp;"|"&amp;C826&amp;"|"&amp;D826</f>
        <v>44|U|C</v>
      </c>
      <c r="G826" s="45" t="n">
        <f aca="false">INDEX('Transition Stepwise'!$J$2:$J$1137,MATCH(F826,'Transition Stepwise'!$E$2:$E$1137,0))</f>
        <v>0.0740740740740741</v>
      </c>
      <c r="H826" s="45" t="n">
        <f aca="false">INDEX(Background!$D$12:$D$27,MATCH(C826&amp;D826,Background!$E$12:$E$27,0))</f>
        <v>0.377251501000667</v>
      </c>
      <c r="I826" s="49" t="n">
        <f aca="false">LN(G826/H826)</f>
        <v>-1.62784648289796</v>
      </c>
    </row>
    <row r="827" customFormat="false" ht="15" hidden="false" customHeight="true" outlineLevel="0" collapsed="false">
      <c r="A827" s="38" t="s">
        <v>850</v>
      </c>
      <c r="B827" s="38" t="n">
        <v>45</v>
      </c>
      <c r="C827" s="38" t="s">
        <v>170</v>
      </c>
      <c r="D827" s="38" t="s">
        <v>171</v>
      </c>
      <c r="E827" s="38" t="s">
        <v>875</v>
      </c>
      <c r="F827" s="38" t="str">
        <f aca="false">B827&amp;"|"&amp;C827&amp;"|"&amp;D827</f>
        <v>45|C|U</v>
      </c>
      <c r="G827" s="45" t="n">
        <f aca="false">INDEX('Transition Stepwise'!$J$2:$J$1137,MATCH(F827,'Transition Stepwise'!$E$2:$E$1137,0))</f>
        <v>0.222222222222222</v>
      </c>
      <c r="H827" s="45" t="n">
        <f aca="false">INDEX(Background!$D$12:$D$27,MATCH(C827&amp;D827,Background!$E$12:$E$27,0))</f>
        <v>0.196466244725738</v>
      </c>
      <c r="I827" s="49" t="n">
        <f aca="false">LN(G827/H827)</f>
        <v>0.123187248219079</v>
      </c>
    </row>
    <row r="828" customFormat="false" ht="15" hidden="false" customHeight="true" outlineLevel="0" collapsed="false">
      <c r="A828" s="38" t="s">
        <v>850</v>
      </c>
      <c r="B828" s="38" t="n">
        <v>46</v>
      </c>
      <c r="C828" s="38" t="s">
        <v>171</v>
      </c>
      <c r="D828" s="38" t="s">
        <v>171</v>
      </c>
      <c r="E828" s="38" t="s">
        <v>875</v>
      </c>
      <c r="F828" s="38" t="str">
        <f aca="false">B828&amp;"|"&amp;C828&amp;"|"&amp;D828</f>
        <v>46|U|U</v>
      </c>
      <c r="G828" s="45" t="n">
        <f aca="false">INDEX('Transition Stepwise'!$J$2:$J$1137,MATCH(F828,'Transition Stepwise'!$E$2:$E$1137,0))</f>
        <v>0.125</v>
      </c>
      <c r="H828" s="45" t="n">
        <f aca="false">INDEX(Background!$D$12:$D$27,MATCH(C828&amp;D828,Background!$E$12:$E$27,0))</f>
        <v>0.220480320213476</v>
      </c>
      <c r="I828" s="49" t="n">
        <f aca="false">LN(G828/H828)</f>
        <v>-0.567494702868979</v>
      </c>
    </row>
    <row r="829" customFormat="false" ht="15" hidden="false" customHeight="true" outlineLevel="0" collapsed="false">
      <c r="A829" s="38" t="s">
        <v>850</v>
      </c>
      <c r="B829" s="38" t="n">
        <v>47</v>
      </c>
      <c r="C829" s="38" t="s">
        <v>171</v>
      </c>
      <c r="D829" s="38" t="s">
        <v>171</v>
      </c>
      <c r="E829" s="38" t="s">
        <v>875</v>
      </c>
      <c r="F829" s="38" t="str">
        <f aca="false">B829&amp;"|"&amp;C829&amp;"|"&amp;D829</f>
        <v>47|U|U</v>
      </c>
      <c r="G829" s="45" t="n">
        <f aca="false">INDEX('Transition Stepwise'!$J$2:$J$1137,MATCH(F829,'Transition Stepwise'!$E$2:$E$1137,0))</f>
        <v>0.123188405797101</v>
      </c>
      <c r="H829" s="45" t="n">
        <f aca="false">INDEX(Background!$D$12:$D$27,MATCH(C829&amp;D829,Background!$E$12:$E$27,0))</f>
        <v>0.220480320213476</v>
      </c>
      <c r="I829" s="49" t="n">
        <f aca="false">LN(G829/H829)</f>
        <v>-0.582093502290132</v>
      </c>
    </row>
    <row r="830" customFormat="false" ht="15" hidden="false" customHeight="true" outlineLevel="0" collapsed="false">
      <c r="A830" s="38" t="s">
        <v>850</v>
      </c>
      <c r="B830" s="38" t="n">
        <v>48</v>
      </c>
      <c r="C830" s="38" t="s">
        <v>171</v>
      </c>
      <c r="D830" s="38" t="s">
        <v>171</v>
      </c>
      <c r="E830" s="38" t="s">
        <v>875</v>
      </c>
      <c r="F830" s="38" t="str">
        <f aca="false">B830&amp;"|"&amp;C830&amp;"|"&amp;D830</f>
        <v>48|U|U</v>
      </c>
      <c r="G830" s="45" t="n">
        <f aca="false">INDEX('Transition Stepwise'!$J$2:$J$1137,MATCH(F830,'Transition Stepwise'!$E$2:$E$1137,0))</f>
        <v>0.0909090909090909</v>
      </c>
      <c r="H830" s="45" t="n">
        <f aca="false">INDEX(Background!$D$12:$D$27,MATCH(C830&amp;D830,Background!$E$12:$E$27,0))</f>
        <v>0.220480320213476</v>
      </c>
      <c r="I830" s="49" t="n">
        <f aca="false">LN(G830/H830)</f>
        <v>-0.885948433987514</v>
      </c>
    </row>
    <row r="831" customFormat="false" ht="15" hidden="false" customHeight="true" outlineLevel="0" collapsed="false">
      <c r="A831" s="38" t="s">
        <v>850</v>
      </c>
      <c r="B831" s="38" t="n">
        <v>49</v>
      </c>
      <c r="C831" s="38" t="s">
        <v>171</v>
      </c>
      <c r="D831" s="38" t="s">
        <v>171</v>
      </c>
      <c r="E831" s="38" t="s">
        <v>875</v>
      </c>
      <c r="F831" s="38" t="str">
        <f aca="false">B831&amp;"|"&amp;C831&amp;"|"&amp;D831</f>
        <v>49|U|U</v>
      </c>
      <c r="G831" s="45" t="n">
        <f aca="false">INDEX('Transition Stepwise'!$J$2:$J$1137,MATCH(F831,'Transition Stepwise'!$E$2:$E$1137,0))</f>
        <v>0.0666666666666667</v>
      </c>
      <c r="H831" s="45" t="n">
        <f aca="false">INDEX(Background!$D$12:$D$27,MATCH(C831&amp;D831,Background!$E$12:$E$27,0))</f>
        <v>0.220480320213476</v>
      </c>
      <c r="I831" s="49" t="n">
        <f aca="false">LN(G831/H831)</f>
        <v>-1.19610336229135</v>
      </c>
    </row>
    <row r="832" customFormat="false" ht="15" hidden="false" customHeight="true" outlineLevel="0" collapsed="false">
      <c r="A832" s="38" t="s">
        <v>850</v>
      </c>
      <c r="B832" s="38" t="n">
        <v>50</v>
      </c>
      <c r="C832" s="38" t="s">
        <v>171</v>
      </c>
      <c r="D832" s="38" t="s">
        <v>171</v>
      </c>
      <c r="E832" s="38" t="s">
        <v>875</v>
      </c>
      <c r="F832" s="38" t="str">
        <f aca="false">B832&amp;"|"&amp;C832&amp;"|"&amp;D832</f>
        <v>50|U|U</v>
      </c>
      <c r="G832" s="45" t="n">
        <f aca="false">INDEX('Transition Stepwise'!$J$2:$J$1137,MATCH(F832,'Transition Stepwise'!$E$2:$E$1137,0))</f>
        <v>0.128205128205128</v>
      </c>
      <c r="H832" s="45" t="n">
        <f aca="false">INDEX(Background!$D$12:$D$27,MATCH(C832&amp;D832,Background!$E$12:$E$27,0))</f>
        <v>0.220480320213476</v>
      </c>
      <c r="I832" s="49" t="n">
        <f aca="false">LN(G832/H832)</f>
        <v>-0.542176894884689</v>
      </c>
    </row>
    <row r="833" customFormat="false" ht="15" hidden="false" customHeight="true" outlineLevel="0" collapsed="false">
      <c r="A833" s="38" t="s">
        <v>850</v>
      </c>
      <c r="B833" s="38" t="n">
        <v>51</v>
      </c>
      <c r="C833" s="38" t="s">
        <v>171</v>
      </c>
      <c r="D833" s="38" t="s">
        <v>171</v>
      </c>
      <c r="E833" s="38" t="s">
        <v>875</v>
      </c>
      <c r="F833" s="38" t="str">
        <f aca="false">B833&amp;"|"&amp;C833&amp;"|"&amp;D833</f>
        <v>51|U|U</v>
      </c>
      <c r="G833" s="45" t="n">
        <f aca="false">INDEX('Transition Stepwise'!$J$2:$J$1137,MATCH(F833,'Transition Stepwise'!$E$2:$E$1137,0))</f>
        <v>0.0588235294117647</v>
      </c>
      <c r="H833" s="45" t="n">
        <f aca="false">INDEX(Background!$D$12:$D$27,MATCH(C833&amp;D833,Background!$E$12:$E$27,0))</f>
        <v>0.220480320213476</v>
      </c>
      <c r="I833" s="49" t="n">
        <f aca="false">LN(G833/H833)</f>
        <v>-1.32126650524536</v>
      </c>
    </row>
    <row r="834" customFormat="false" ht="15" hidden="false" customHeight="true" outlineLevel="0" collapsed="false">
      <c r="A834" s="38" t="s">
        <v>850</v>
      </c>
      <c r="B834" s="38" t="n">
        <v>52</v>
      </c>
      <c r="C834" s="38" t="s">
        <v>171</v>
      </c>
      <c r="D834" s="38" t="s">
        <v>169</v>
      </c>
      <c r="E834" s="38" t="s">
        <v>875</v>
      </c>
      <c r="F834" s="38" t="str">
        <f aca="false">B834&amp;"|"&amp;C834&amp;"|"&amp;D834</f>
        <v>52|U|G</v>
      </c>
      <c r="G834" s="45" t="n">
        <f aca="false">INDEX('Transition Stepwise'!$J$2:$J$1137,MATCH(F834,'Transition Stepwise'!$E$2:$E$1137,0))</f>
        <v>0.5</v>
      </c>
      <c r="H834" s="45" t="n">
        <f aca="false">INDEX(Background!$D$12:$D$27,MATCH(C834&amp;D834,Background!$E$12:$E$27,0))</f>
        <v>0.221480987324883</v>
      </c>
      <c r="I834" s="49" t="n">
        <f aca="false">LN(G834/H834)</f>
        <v>0.814271348626164</v>
      </c>
    </row>
    <row r="835" customFormat="false" ht="15" hidden="false" customHeight="true" outlineLevel="0" collapsed="false">
      <c r="A835" s="38" t="s">
        <v>850</v>
      </c>
      <c r="B835" s="38" t="n">
        <v>53</v>
      </c>
      <c r="C835" s="38" t="s">
        <v>169</v>
      </c>
      <c r="D835" s="38" t="s">
        <v>171</v>
      </c>
      <c r="E835" s="38" t="s">
        <v>875</v>
      </c>
      <c r="F835" s="38" t="str">
        <f aca="false">B835&amp;"|"&amp;C835&amp;"|"&amp;D835</f>
        <v>53|G|U</v>
      </c>
      <c r="G835" s="45" t="n">
        <f aca="false">INDEX('Transition Stepwise'!$J$2:$J$1137,MATCH(F835,'Transition Stepwise'!$E$2:$E$1137,0))</f>
        <v>0.974874371859297</v>
      </c>
      <c r="H835" s="45" t="n">
        <f aca="false">INDEX(Background!$D$12:$D$27,MATCH(C835&amp;D835,Background!$E$12:$E$27,0))</f>
        <v>0.234763476347635</v>
      </c>
      <c r="I835" s="49" t="n">
        <f aca="false">LN(G835/H835)</f>
        <v>1.42373008964866</v>
      </c>
    </row>
    <row r="836" customFormat="false" ht="15" hidden="false" customHeight="true" outlineLevel="0" collapsed="false">
      <c r="A836" s="38" t="s">
        <v>850</v>
      </c>
      <c r="B836" s="38" t="n">
        <v>54</v>
      </c>
      <c r="C836" s="38" t="s">
        <v>171</v>
      </c>
      <c r="D836" s="38" t="s">
        <v>171</v>
      </c>
      <c r="E836" s="38" t="s">
        <v>875</v>
      </c>
      <c r="F836" s="38" t="str">
        <f aca="false">B836&amp;"|"&amp;C836&amp;"|"&amp;D836</f>
        <v>54|U|U</v>
      </c>
      <c r="G836" s="45" t="n">
        <f aca="false">INDEX('Transition Stepwise'!$J$2:$J$1137,MATCH(F836,'Transition Stepwise'!$E$2:$E$1137,0))</f>
        <v>0.970149253731343</v>
      </c>
      <c r="H836" s="45" t="n">
        <f aca="false">INDEX(Background!$D$12:$D$27,MATCH(C836&amp;D836,Background!$E$12:$E$27,0))</f>
        <v>0.220480320213476</v>
      </c>
      <c r="I836" s="49" t="n">
        <f aca="false">LN(G836/H836)</f>
        <v>1.48164148931553</v>
      </c>
    </row>
    <row r="837" customFormat="false" ht="15" hidden="false" customHeight="true" outlineLevel="0" collapsed="false">
      <c r="A837" s="38" t="s">
        <v>850</v>
      </c>
      <c r="B837" s="38" t="n">
        <v>55</v>
      </c>
      <c r="C837" s="38" t="s">
        <v>171</v>
      </c>
      <c r="D837" s="38" t="s">
        <v>170</v>
      </c>
      <c r="E837" s="38" t="s">
        <v>875</v>
      </c>
      <c r="F837" s="38" t="str">
        <f aca="false">B837&amp;"|"&amp;C837&amp;"|"&amp;D837</f>
        <v>55|U|C</v>
      </c>
      <c r="G837" s="45" t="n">
        <f aca="false">INDEX('Transition Stepwise'!$J$2:$J$1137,MATCH(F837,'Transition Stepwise'!$E$2:$E$1137,0))</f>
        <v>0.975</v>
      </c>
      <c r="H837" s="45" t="n">
        <f aca="false">INDEX(Background!$D$12:$D$27,MATCH(C837&amp;D837,Background!$E$12:$E$27,0))</f>
        <v>0.377251501000667</v>
      </c>
      <c r="I837" s="49" t="n">
        <f aca="false">LN(G837/H837)</f>
        <v>0.949525394562133</v>
      </c>
    </row>
    <row r="838" customFormat="false" ht="15" hidden="false" customHeight="true" outlineLevel="0" collapsed="false">
      <c r="A838" s="38" t="s">
        <v>850</v>
      </c>
      <c r="B838" s="38" t="n">
        <v>56</v>
      </c>
      <c r="C838" s="38" t="s">
        <v>170</v>
      </c>
      <c r="D838" s="38" t="s">
        <v>171</v>
      </c>
      <c r="E838" s="38" t="s">
        <v>875</v>
      </c>
      <c r="F838" s="38" t="str">
        <f aca="false">B838&amp;"|"&amp;C838&amp;"|"&amp;D838</f>
        <v>56|C|U</v>
      </c>
      <c r="G838" s="45" t="n">
        <f aca="false">INDEX('Transition Stepwise'!$J$2:$J$1137,MATCH(F838,'Transition Stepwise'!$E$2:$E$1137,0))</f>
        <v>0.0050251256281407</v>
      </c>
      <c r="H838" s="45" t="n">
        <f aca="false">INDEX(Background!$D$12:$D$27,MATCH(C838&amp;D838,Background!$E$12:$E$27,0))</f>
        <v>0.196466244725738</v>
      </c>
      <c r="I838" s="49" t="n">
        <f aca="false">LN(G838/H838)</f>
        <v>-3.66604017972914</v>
      </c>
    </row>
    <row r="839" customFormat="false" ht="15" hidden="false" customHeight="true" outlineLevel="0" collapsed="false">
      <c r="A839" s="38" t="s">
        <v>850</v>
      </c>
      <c r="B839" s="38" t="n">
        <v>57</v>
      </c>
      <c r="C839" s="38" t="s">
        <v>171</v>
      </c>
      <c r="D839" s="38" t="s">
        <v>172</v>
      </c>
      <c r="E839" s="38" t="s">
        <v>875</v>
      </c>
      <c r="F839" s="38" t="str">
        <f aca="false">B839&amp;"|"&amp;C839&amp;"|"&amp;D839</f>
        <v>57|U|A</v>
      </c>
      <c r="G839" s="45" t="n">
        <f aca="false">INDEX('Transition Stepwise'!$J$2:$J$1137,MATCH(F839,'Transition Stepwise'!$E$2:$E$1137,0))</f>
        <v>0.2</v>
      </c>
      <c r="H839" s="45" t="n">
        <f aca="false">INDEX(Background!$D$12:$D$27,MATCH(C839&amp;D839,Background!$E$12:$E$27,0))</f>
        <v>0.180787191460974</v>
      </c>
      <c r="I839" s="49" t="n">
        <f aca="false">LN(G839/H839)</f>
        <v>0.100996764788796</v>
      </c>
    </row>
    <row r="840" customFormat="false" ht="15" hidden="false" customHeight="true" outlineLevel="0" collapsed="false">
      <c r="A840" s="38" t="s">
        <v>850</v>
      </c>
      <c r="B840" s="38" t="n">
        <v>58</v>
      </c>
      <c r="C840" s="38" t="s">
        <v>172</v>
      </c>
      <c r="D840" s="38" t="s">
        <v>171</v>
      </c>
      <c r="E840" s="38" t="s">
        <v>875</v>
      </c>
      <c r="F840" s="38" t="str">
        <f aca="false">B840&amp;"|"&amp;C840&amp;"|"&amp;D840</f>
        <v>58|A|U</v>
      </c>
      <c r="G840" s="45" t="n">
        <f aca="false">INDEX('Transition Stepwise'!$J$2:$J$1137,MATCH(F840,'Transition Stepwise'!$E$2:$E$1137,0))</f>
        <v>0.253731343283582</v>
      </c>
      <c r="H840" s="45" t="n">
        <f aca="false">INDEX(Background!$D$12:$D$27,MATCH(C840&amp;D840,Background!$E$12:$E$27,0))</f>
        <v>0.194530046224961</v>
      </c>
      <c r="I840" s="49" t="n">
        <f aca="false">LN(G840/H840)</f>
        <v>0.265689373213871</v>
      </c>
    </row>
    <row r="841" customFormat="false" ht="15" hidden="false" customHeight="true" outlineLevel="0" collapsed="false">
      <c r="A841" s="38" t="s">
        <v>850</v>
      </c>
      <c r="B841" s="38" t="n">
        <v>59</v>
      </c>
      <c r="C841" s="38" t="s">
        <v>171</v>
      </c>
      <c r="D841" s="38" t="s">
        <v>170</v>
      </c>
      <c r="E841" s="38" t="s">
        <v>875</v>
      </c>
      <c r="F841" s="38" t="str">
        <f aca="false">B841&amp;"|"&amp;C841&amp;"|"&amp;D841</f>
        <v>59|U|C</v>
      </c>
      <c r="G841" s="45" t="n">
        <f aca="false">INDEX('Transition Stepwise'!$J$2:$J$1137,MATCH(F841,'Transition Stepwise'!$E$2:$E$1137,0))</f>
        <v>0.425925925925926</v>
      </c>
      <c r="H841" s="45" t="n">
        <f aca="false">INDEX(Background!$D$12:$D$27,MATCH(C841&amp;D841,Background!$E$12:$E$27,0))</f>
        <v>0.377251501000667</v>
      </c>
      <c r="I841" s="49" t="n">
        <f aca="false">LN(G841/H841)</f>
        <v>0.121353371911298</v>
      </c>
    </row>
    <row r="842" customFormat="false" ht="15" hidden="false" customHeight="true" outlineLevel="0" collapsed="false">
      <c r="A842" s="38" t="s">
        <v>850</v>
      </c>
      <c r="B842" s="38" t="n">
        <v>60</v>
      </c>
      <c r="C842" s="38" t="s">
        <v>170</v>
      </c>
      <c r="D842" s="38" t="s">
        <v>170</v>
      </c>
      <c r="E842" s="38" t="s">
        <v>875</v>
      </c>
      <c r="F842" s="38" t="str">
        <f aca="false">B842&amp;"|"&amp;C842&amp;"|"&amp;D842</f>
        <v>60|C|C</v>
      </c>
      <c r="G842" s="45" t="n">
        <f aca="false">INDEX('Transition Stepwise'!$J$2:$J$1137,MATCH(F842,'Transition Stepwise'!$E$2:$E$1137,0))</f>
        <v>0.931818181818182</v>
      </c>
      <c r="H842" s="45" t="n">
        <f aca="false">INDEX(Background!$D$12:$D$27,MATCH(C842&amp;D842,Background!$E$12:$E$27,0))</f>
        <v>0.312236286919831</v>
      </c>
      <c r="I842" s="49" t="n">
        <f aca="false">LN(G842/H842)</f>
        <v>1.09337748071701</v>
      </c>
    </row>
    <row r="843" customFormat="false" ht="15" hidden="false" customHeight="true" outlineLevel="0" collapsed="false">
      <c r="A843" s="38" t="s">
        <v>850</v>
      </c>
      <c r="B843" s="38" t="n">
        <v>61</v>
      </c>
      <c r="C843" s="38" t="s">
        <v>170</v>
      </c>
      <c r="D843" s="38" t="s">
        <v>172</v>
      </c>
      <c r="E843" s="38" t="s">
        <v>875</v>
      </c>
      <c r="F843" s="38" t="str">
        <f aca="false">B843&amp;"|"&amp;C843&amp;"|"&amp;D843</f>
        <v>61|C|A</v>
      </c>
      <c r="G843" s="45" t="n">
        <f aca="false">INDEX('Transition Stepwise'!$J$2:$J$1137,MATCH(F843,'Transition Stepwise'!$E$2:$E$1137,0))</f>
        <v>0.0199004975124378</v>
      </c>
      <c r="H843" s="45" t="n">
        <f aca="false">INDEX(Background!$D$12:$D$27,MATCH(C843&amp;D843,Background!$E$12:$E$27,0))</f>
        <v>0.194883966244726</v>
      </c>
      <c r="I843" s="49" t="n">
        <f aca="false">LN(G843/H843)</f>
        <v>-2.28165960451247</v>
      </c>
    </row>
    <row r="844" customFormat="false" ht="15" hidden="false" customHeight="true" outlineLevel="0" collapsed="false">
      <c r="A844" s="38" t="s">
        <v>850</v>
      </c>
      <c r="B844" s="38" t="n">
        <v>62</v>
      </c>
      <c r="C844" s="38" t="s">
        <v>172</v>
      </c>
      <c r="D844" s="38" t="s">
        <v>169</v>
      </c>
      <c r="E844" s="38" t="s">
        <v>875</v>
      </c>
      <c r="F844" s="38" t="str">
        <f aca="false">B844&amp;"|"&amp;C844&amp;"|"&amp;D844</f>
        <v>62|A|G</v>
      </c>
      <c r="G844" s="45" t="n">
        <f aca="false">INDEX('Transition Stepwise'!$J$2:$J$1137,MATCH(F844,'Transition Stepwise'!$E$2:$E$1137,0))</f>
        <v>0.142857142857143</v>
      </c>
      <c r="H844" s="45" t="n">
        <f aca="false">INDEX(Background!$D$12:$D$27,MATCH(C844&amp;D844,Background!$E$12:$E$27,0))</f>
        <v>0.424884437596302</v>
      </c>
      <c r="I844" s="49" t="n">
        <f aca="false">LN(G844/H844)</f>
        <v>-1.08997209048484</v>
      </c>
    </row>
    <row r="845" customFormat="false" ht="15" hidden="false" customHeight="true" outlineLevel="0" collapsed="false">
      <c r="A845" s="38" t="s">
        <v>850</v>
      </c>
      <c r="B845" s="38" t="n">
        <v>63</v>
      </c>
      <c r="C845" s="38" t="s">
        <v>169</v>
      </c>
      <c r="D845" s="38" t="s">
        <v>169</v>
      </c>
      <c r="E845" s="38" t="s">
        <v>875</v>
      </c>
      <c r="F845" s="38" t="str">
        <f aca="false">B845&amp;"|"&amp;C845&amp;"|"&amp;D845</f>
        <v>63|G|G</v>
      </c>
      <c r="G845" s="45" t="n">
        <f aca="false">INDEX('Transition Stepwise'!$J$2:$J$1137,MATCH(F845,'Transition Stepwise'!$E$2:$E$1137,0))</f>
        <v>0.519230769230769</v>
      </c>
      <c r="H845" s="45" t="n">
        <f aca="false">INDEX(Background!$D$12:$D$27,MATCH(C845&amp;D845,Background!$E$12:$E$27,0))</f>
        <v>0.344774477447745</v>
      </c>
      <c r="I845" s="49" t="n">
        <f aca="false">LN(G845/H845)</f>
        <v>0.40945791167846</v>
      </c>
    </row>
    <row r="846" customFormat="false" ht="15" hidden="false" customHeight="true" outlineLevel="0" collapsed="false">
      <c r="A846" s="38" t="s">
        <v>850</v>
      </c>
      <c r="B846" s="38" t="n">
        <v>64</v>
      </c>
      <c r="C846" s="38" t="s">
        <v>169</v>
      </c>
      <c r="D846" s="38" t="s">
        <v>172</v>
      </c>
      <c r="E846" s="38" t="s">
        <v>875</v>
      </c>
      <c r="F846" s="38" t="str">
        <f aca="false">B846&amp;"|"&amp;C846&amp;"|"&amp;D846</f>
        <v>64|G|A</v>
      </c>
      <c r="G846" s="45" t="n">
        <f aca="false">INDEX('Transition Stepwise'!$J$2:$J$1137,MATCH(F846,'Transition Stepwise'!$E$2:$E$1137,0))</f>
        <v>0.03125</v>
      </c>
      <c r="H846" s="45" t="n">
        <f aca="false">INDEX(Background!$D$12:$D$27,MATCH(C846&amp;D846,Background!$E$12:$E$27,0))</f>
        <v>0.164356435643564</v>
      </c>
      <c r="I846" s="49" t="n">
        <f aca="false">LN(G846/H846)</f>
        <v>-1.66001808132096</v>
      </c>
    </row>
    <row r="847" customFormat="false" ht="15" hidden="false" customHeight="true" outlineLevel="0" collapsed="false">
      <c r="A847" s="38" t="s">
        <v>850</v>
      </c>
      <c r="B847" s="38" t="n">
        <v>65</v>
      </c>
      <c r="C847" s="38" t="s">
        <v>172</v>
      </c>
      <c r="D847" s="38" t="s">
        <v>171</v>
      </c>
      <c r="E847" s="38" t="s">
        <v>875</v>
      </c>
      <c r="F847" s="38" t="str">
        <f aca="false">B847&amp;"|"&amp;C847&amp;"|"&amp;D847</f>
        <v>65|A|U</v>
      </c>
      <c r="G847" s="45" t="n">
        <f aca="false">INDEX('Transition Stepwise'!$J$2:$J$1137,MATCH(F847,'Transition Stepwise'!$E$2:$E$1137,0))</f>
        <v>0.538461538461538</v>
      </c>
      <c r="H847" s="45" t="n">
        <f aca="false">INDEX(Background!$D$12:$D$27,MATCH(C847&amp;D847,Background!$E$12:$E$27,0))</f>
        <v>0.194530046224961</v>
      </c>
      <c r="I847" s="49" t="n">
        <f aca="false">LN(G847/H847)</f>
        <v>1.0181294401424</v>
      </c>
    </row>
    <row r="848" customFormat="false" ht="15" hidden="false" customHeight="true" outlineLevel="0" collapsed="false">
      <c r="A848" s="38" t="s">
        <v>850</v>
      </c>
      <c r="B848" s="38" t="n">
        <v>66</v>
      </c>
      <c r="C848" s="38" t="s">
        <v>171</v>
      </c>
      <c r="D848" s="38" t="s">
        <v>170</v>
      </c>
      <c r="E848" s="38" t="s">
        <v>875</v>
      </c>
      <c r="F848" s="38" t="str">
        <f aca="false">B848&amp;"|"&amp;C848&amp;"|"&amp;D848</f>
        <v>66|U|C</v>
      </c>
      <c r="G848" s="45" t="n">
        <f aca="false">INDEX('Transition Stepwise'!$J$2:$J$1137,MATCH(F848,'Transition Stepwise'!$E$2:$E$1137,0))</f>
        <v>0.207547169811321</v>
      </c>
      <c r="H848" s="45" t="n">
        <f aca="false">INDEX(Background!$D$12:$D$27,MATCH(C848&amp;D848,Background!$E$12:$E$27,0))</f>
        <v>0.377251501000667</v>
      </c>
      <c r="I848" s="49" t="n">
        <f aca="false">LN(G848/H848)</f>
        <v>-0.597553438207329</v>
      </c>
    </row>
    <row r="849" customFormat="false" ht="15" hidden="false" customHeight="true" outlineLevel="0" collapsed="false">
      <c r="A849" s="38" t="s">
        <v>850</v>
      </c>
      <c r="B849" s="38" t="n">
        <v>67</v>
      </c>
      <c r="C849" s="38" t="s">
        <v>170</v>
      </c>
      <c r="D849" s="38" t="s">
        <v>171</v>
      </c>
      <c r="E849" s="38" t="s">
        <v>875</v>
      </c>
      <c r="F849" s="38" t="str">
        <f aca="false">B849&amp;"|"&amp;C849&amp;"|"&amp;D849</f>
        <v>67|C|U</v>
      </c>
      <c r="G849" s="45" t="n">
        <f aca="false">INDEX('Transition Stepwise'!$J$2:$J$1137,MATCH(F849,'Transition Stepwise'!$E$2:$E$1137,0))</f>
        <v>0.142857142857143</v>
      </c>
      <c r="H849" s="45" t="n">
        <f aca="false">INDEX(Background!$D$12:$D$27,MATCH(C849&amp;D849,Background!$E$12:$E$27,0))</f>
        <v>0.196466244725738</v>
      </c>
      <c r="I849" s="49" t="n">
        <f aca="false">LN(G849/H849)</f>
        <v>-0.31864550405996</v>
      </c>
    </row>
    <row r="850" customFormat="false" ht="15" hidden="false" customHeight="true" outlineLevel="0" collapsed="false">
      <c r="A850" s="38" t="s">
        <v>850</v>
      </c>
      <c r="B850" s="38" t="n">
        <v>68</v>
      </c>
      <c r="C850" s="38" t="s">
        <v>171</v>
      </c>
      <c r="D850" s="38" t="s">
        <v>172</v>
      </c>
      <c r="E850" s="38" t="s">
        <v>875</v>
      </c>
      <c r="F850" s="38" t="str">
        <f aca="false">B850&amp;"|"&amp;C850&amp;"|"&amp;D850</f>
        <v>68|U|A</v>
      </c>
      <c r="G850" s="45" t="n">
        <f aca="false">INDEX('Transition Stepwise'!$J$2:$J$1137,MATCH(F850,'Transition Stepwise'!$E$2:$E$1137,0))</f>
        <v>0.128205128205128</v>
      </c>
      <c r="H850" s="45" t="n">
        <f aca="false">INDEX(Background!$D$12:$D$27,MATCH(C850&amp;D850,Background!$E$12:$E$27,0))</f>
        <v>0.180787191460974</v>
      </c>
      <c r="I850" s="49" t="n">
        <f aca="false">LN(G850/H850)</f>
        <v>-0.343689056472649</v>
      </c>
    </row>
    <row r="851" customFormat="false" ht="15" hidden="false" customHeight="true" outlineLevel="0" collapsed="false">
      <c r="A851" s="38" t="s">
        <v>850</v>
      </c>
      <c r="B851" s="38" t="n">
        <v>69</v>
      </c>
      <c r="C851" s="38" t="s">
        <v>172</v>
      </c>
      <c r="D851" s="38" t="s">
        <v>170</v>
      </c>
      <c r="E851" s="38" t="s">
        <v>875</v>
      </c>
      <c r="F851" s="38" t="str">
        <f aca="false">B851&amp;"|"&amp;C851&amp;"|"&amp;D851</f>
        <v>69|A|C</v>
      </c>
      <c r="G851" s="45" t="n">
        <f aca="false">INDEX('Transition Stepwise'!$J$2:$J$1137,MATCH(F851,'Transition Stepwise'!$E$2:$E$1137,0))</f>
        <v>0.379310344827586</v>
      </c>
      <c r="H851" s="45" t="n">
        <f aca="false">INDEX(Background!$D$12:$D$27,MATCH(C851&amp;D851,Background!$E$12:$E$27,0))</f>
        <v>0.161016949152542</v>
      </c>
      <c r="I851" s="49" t="n">
        <f aca="false">LN(G851/H851)</f>
        <v>0.856845088111121</v>
      </c>
    </row>
    <row r="852" customFormat="false" ht="15" hidden="false" customHeight="true" outlineLevel="0" collapsed="false">
      <c r="A852" s="38" t="s">
        <v>850</v>
      </c>
      <c r="B852" s="38" t="n">
        <v>70</v>
      </c>
      <c r="C852" s="38" t="s">
        <v>170</v>
      </c>
      <c r="D852" s="38" t="s">
        <v>171</v>
      </c>
      <c r="E852" s="38" t="s">
        <v>875</v>
      </c>
      <c r="F852" s="38" t="str">
        <f aca="false">B852&amp;"|"&amp;C852&amp;"|"&amp;D852</f>
        <v>70|C|U</v>
      </c>
      <c r="G852" s="45" t="n">
        <f aca="false">INDEX('Transition Stepwise'!$J$2:$J$1137,MATCH(F852,'Transition Stepwise'!$E$2:$E$1137,0))</f>
        <v>0.0266666666666667</v>
      </c>
      <c r="H852" s="45" t="n">
        <f aca="false">INDEX(Background!$D$12:$D$27,MATCH(C852&amp;D852,Background!$E$12:$E$27,0))</f>
        <v>0.196466244725738</v>
      </c>
      <c r="I852" s="49" t="n">
        <f aca="false">LN(G852/H852)</f>
        <v>-1.99707628798101</v>
      </c>
    </row>
    <row r="853" customFormat="false" ht="15" hidden="false" customHeight="true" outlineLevel="0" collapsed="false">
      <c r="A853" s="38" t="s">
        <v>850</v>
      </c>
      <c r="B853" s="38" t="n">
        <v>71</v>
      </c>
      <c r="C853" s="38" t="s">
        <v>171</v>
      </c>
      <c r="D853" s="38" t="s">
        <v>171</v>
      </c>
      <c r="E853" s="38" t="s">
        <v>875</v>
      </c>
      <c r="F853" s="38" t="str">
        <f aca="false">B853&amp;"|"&amp;C853&amp;"|"&amp;D853</f>
        <v>71|U|U</v>
      </c>
      <c r="G853" s="45" t="n">
        <f aca="false">INDEX('Transition Stepwise'!$J$2:$J$1137,MATCH(F853,'Transition Stepwise'!$E$2:$E$1137,0))</f>
        <v>0.0769230769230769</v>
      </c>
      <c r="H853" s="45" t="n">
        <f aca="false">INDEX(Background!$D$12:$D$27,MATCH(C853&amp;D853,Background!$E$12:$E$27,0))</f>
        <v>0.220480320213476</v>
      </c>
      <c r="I853" s="49" t="n">
        <f aca="false">LN(G853/H853)</f>
        <v>-1.05300251865068</v>
      </c>
    </row>
    <row r="854" customFormat="false" ht="15" hidden="false" customHeight="true" outlineLevel="0" collapsed="false">
      <c r="A854" s="38" t="s">
        <v>851</v>
      </c>
      <c r="B854" s="38" t="n">
        <v>1</v>
      </c>
      <c r="C854" s="38" t="s">
        <v>171</v>
      </c>
      <c r="D854" s="38" t="s">
        <v>171</v>
      </c>
      <c r="E854" s="38" t="s">
        <v>875</v>
      </c>
      <c r="F854" s="38" t="str">
        <f aca="false">B854&amp;"|"&amp;C854&amp;"|"&amp;D854</f>
        <v>1|U|U</v>
      </c>
      <c r="G854" s="45" t="n">
        <f aca="false">INDEX('Transition Stepwise'!$J$2:$J$1137,MATCH(F854,'Transition Stepwise'!$E$2:$E$1137,0))</f>
        <v>0.0588235294117647</v>
      </c>
      <c r="H854" s="45" t="n">
        <f aca="false">INDEX(Background!$D$12:$D$27,MATCH(C854&amp;D854,Background!$E$12:$E$27,0))</f>
        <v>0.220480320213476</v>
      </c>
      <c r="I854" s="49" t="n">
        <f aca="false">LN(G854/H854)</f>
        <v>-1.32126650524536</v>
      </c>
    </row>
    <row r="855" customFormat="false" ht="15" hidden="false" customHeight="true" outlineLevel="0" collapsed="false">
      <c r="A855" s="38" t="s">
        <v>851</v>
      </c>
      <c r="B855" s="38" t="n">
        <v>2</v>
      </c>
      <c r="C855" s="38" t="s">
        <v>171</v>
      </c>
      <c r="D855" s="38" t="s">
        <v>171</v>
      </c>
      <c r="E855" s="38" t="s">
        <v>875</v>
      </c>
      <c r="F855" s="38" t="str">
        <f aca="false">B855&amp;"|"&amp;C855&amp;"|"&amp;D855</f>
        <v>2|U|U</v>
      </c>
      <c r="G855" s="45" t="n">
        <f aca="false">INDEX('Transition Stepwise'!$J$2:$J$1137,MATCH(F855,'Transition Stepwise'!$E$2:$E$1137,0))</f>
        <v>0.2</v>
      </c>
      <c r="H855" s="45" t="n">
        <f aca="false">INDEX(Background!$D$12:$D$27,MATCH(C855&amp;D855,Background!$E$12:$E$27,0))</f>
        <v>0.220480320213476</v>
      </c>
      <c r="I855" s="49" t="n">
        <f aca="false">LN(G855/H855)</f>
        <v>-0.0974910736232437</v>
      </c>
    </row>
    <row r="856" customFormat="false" ht="15" hidden="false" customHeight="true" outlineLevel="0" collapsed="false">
      <c r="A856" s="38" t="s">
        <v>851</v>
      </c>
      <c r="B856" s="38" t="n">
        <v>3</v>
      </c>
      <c r="C856" s="38" t="s">
        <v>171</v>
      </c>
      <c r="D856" s="38" t="s">
        <v>172</v>
      </c>
      <c r="E856" s="38" t="s">
        <v>875</v>
      </c>
      <c r="F856" s="38" t="str">
        <f aca="false">B856&amp;"|"&amp;C856&amp;"|"&amp;D856</f>
        <v>3|U|A</v>
      </c>
      <c r="G856" s="45" t="n">
        <f aca="false">INDEX('Transition Stepwise'!$J$2:$J$1137,MATCH(F856,'Transition Stepwise'!$E$2:$E$1137,0))</f>
        <v>0.037037037037037</v>
      </c>
      <c r="H856" s="45" t="n">
        <f aca="false">INDEX(Background!$D$12:$D$27,MATCH(C856&amp;D856,Background!$E$12:$E$27,0))</f>
        <v>0.180787191460974</v>
      </c>
      <c r="I856" s="49" t="n">
        <f aca="false">LN(G856/H856)</f>
        <v>-1.58540218878143</v>
      </c>
    </row>
    <row r="857" customFormat="false" ht="15" hidden="false" customHeight="true" outlineLevel="0" collapsed="false">
      <c r="A857" s="38" t="s">
        <v>851</v>
      </c>
      <c r="B857" s="38" t="n">
        <v>4</v>
      </c>
      <c r="C857" s="38" t="s">
        <v>172</v>
      </c>
      <c r="D857" s="38" t="s">
        <v>169</v>
      </c>
      <c r="E857" s="38" t="s">
        <v>875</v>
      </c>
      <c r="F857" s="38" t="str">
        <f aca="false">B857&amp;"|"&amp;C857&amp;"|"&amp;D857</f>
        <v>4|A|G</v>
      </c>
      <c r="G857" s="45" t="n">
        <f aca="false">INDEX('Transition Stepwise'!$J$2:$J$1137,MATCH(F857,'Transition Stepwise'!$E$2:$E$1137,0))</f>
        <v>0.421052631578947</v>
      </c>
      <c r="H857" s="45" t="n">
        <f aca="false">INDEX(Background!$D$12:$D$27,MATCH(C857&amp;D857,Background!$E$12:$E$27,0))</f>
        <v>0.424884437596302</v>
      </c>
      <c r="I857" s="49" t="n">
        <f aca="false">LN(G857/H857)</f>
        <v>-0.00905937891612643</v>
      </c>
    </row>
    <row r="858" customFormat="false" ht="15" hidden="false" customHeight="true" outlineLevel="0" collapsed="false">
      <c r="A858" s="38" t="s">
        <v>851</v>
      </c>
      <c r="B858" s="38" t="n">
        <v>5</v>
      </c>
      <c r="C858" s="38" t="s">
        <v>169</v>
      </c>
      <c r="D858" s="38" t="s">
        <v>172</v>
      </c>
      <c r="E858" s="38" t="s">
        <v>875</v>
      </c>
      <c r="F858" s="38" t="str">
        <f aca="false">B858&amp;"|"&amp;C858&amp;"|"&amp;D858</f>
        <v>5|G|A</v>
      </c>
      <c r="G858" s="45" t="n">
        <f aca="false">INDEX('Transition Stepwise'!$J$2:$J$1137,MATCH(F858,'Transition Stepwise'!$E$2:$E$1137,0))</f>
        <v>0.232876712328767</v>
      </c>
      <c r="H858" s="45" t="n">
        <f aca="false">INDEX(Background!$D$12:$D$27,MATCH(C858&amp;D858,Background!$E$12:$E$27,0))</f>
        <v>0.164356435643564</v>
      </c>
      <c r="I858" s="49" t="n">
        <f aca="false">LN(G858/H858)</f>
        <v>0.348471724386587</v>
      </c>
    </row>
    <row r="859" customFormat="false" ht="15" hidden="false" customHeight="true" outlineLevel="0" collapsed="false">
      <c r="A859" s="38" t="s">
        <v>851</v>
      </c>
      <c r="B859" s="38" t="n">
        <v>6</v>
      </c>
      <c r="C859" s="38" t="s">
        <v>172</v>
      </c>
      <c r="D859" s="38" t="s">
        <v>171</v>
      </c>
      <c r="E859" s="38" t="s">
        <v>875</v>
      </c>
      <c r="F859" s="38" t="str">
        <f aca="false">B859&amp;"|"&amp;C859&amp;"|"&amp;D859</f>
        <v>6|A|U</v>
      </c>
      <c r="G859" s="45" t="n">
        <f aca="false">INDEX('Transition Stepwise'!$J$2:$J$1137,MATCH(F859,'Transition Stepwise'!$E$2:$E$1137,0))</f>
        <v>0.289473684210526</v>
      </c>
      <c r="H859" s="45" t="n">
        <f aca="false">INDEX(Background!$D$12:$D$27,MATCH(C859&amp;D859,Background!$E$12:$E$27,0))</f>
        <v>0.194530046224961</v>
      </c>
      <c r="I859" s="49" t="n">
        <f aca="false">LN(G859/H859)</f>
        <v>0.397477761620606</v>
      </c>
    </row>
    <row r="860" customFormat="false" ht="15" hidden="false" customHeight="true" outlineLevel="0" collapsed="false">
      <c r="A860" s="38" t="s">
        <v>851</v>
      </c>
      <c r="B860" s="38" t="n">
        <v>7</v>
      </c>
      <c r="C860" s="38" t="s">
        <v>171</v>
      </c>
      <c r="D860" s="38" t="s">
        <v>171</v>
      </c>
      <c r="E860" s="38" t="s">
        <v>875</v>
      </c>
      <c r="F860" s="38" t="str">
        <f aca="false">B860&amp;"|"&amp;C860&amp;"|"&amp;D860</f>
        <v>7|U|U</v>
      </c>
      <c r="G860" s="45" t="n">
        <f aca="false">INDEX('Transition Stepwise'!$J$2:$J$1137,MATCH(F860,'Transition Stepwise'!$E$2:$E$1137,0))</f>
        <v>0.9375</v>
      </c>
      <c r="H860" s="45" t="n">
        <f aca="false">INDEX(Background!$D$12:$D$27,MATCH(C860&amp;D860,Background!$E$12:$E$27,0))</f>
        <v>0.220480320213476</v>
      </c>
      <c r="I860" s="49" t="n">
        <f aca="false">LN(G860/H860)</f>
        <v>1.44740831767329</v>
      </c>
    </row>
    <row r="861" customFormat="false" ht="15" hidden="false" customHeight="true" outlineLevel="0" collapsed="false">
      <c r="A861" s="38" t="s">
        <v>851</v>
      </c>
      <c r="B861" s="38" t="n">
        <v>8</v>
      </c>
      <c r="C861" s="38" t="s">
        <v>171</v>
      </c>
      <c r="D861" s="38" t="s">
        <v>172</v>
      </c>
      <c r="E861" s="38" t="s">
        <v>875</v>
      </c>
      <c r="F861" s="38" t="str">
        <f aca="false">B861&amp;"|"&amp;C861&amp;"|"&amp;D861</f>
        <v>8|U|A</v>
      </c>
      <c r="G861" s="45" t="n">
        <f aca="false">INDEX('Transition Stepwise'!$J$2:$J$1137,MATCH(F861,'Transition Stepwise'!$E$2:$E$1137,0))</f>
        <v>0.65</v>
      </c>
      <c r="H861" s="45" t="n">
        <f aca="false">INDEX(Background!$D$12:$D$27,MATCH(C861&amp;D861,Background!$E$12:$E$27,0))</f>
        <v>0.180787191460974</v>
      </c>
      <c r="I861" s="49" t="n">
        <f aca="false">LN(G861/H861)</f>
        <v>1.27965176113044</v>
      </c>
    </row>
    <row r="862" customFormat="false" ht="15" hidden="false" customHeight="true" outlineLevel="0" collapsed="false">
      <c r="A862" s="38" t="s">
        <v>851</v>
      </c>
      <c r="B862" s="38" t="n">
        <v>9</v>
      </c>
      <c r="C862" s="38" t="s">
        <v>172</v>
      </c>
      <c r="D862" s="38" t="s">
        <v>171</v>
      </c>
      <c r="E862" s="38" t="s">
        <v>875</v>
      </c>
      <c r="F862" s="38" t="str">
        <f aca="false">B862&amp;"|"&amp;C862&amp;"|"&amp;D862</f>
        <v>9|A|U</v>
      </c>
      <c r="G862" s="45" t="n">
        <f aca="false">INDEX('Transition Stepwise'!$J$2:$J$1137,MATCH(F862,'Transition Stepwise'!$E$2:$E$1137,0))</f>
        <v>0.00746268656716418</v>
      </c>
      <c r="H862" s="45" t="n">
        <f aca="false">INDEX(Background!$D$12:$D$27,MATCH(C862&amp;D862,Background!$E$12:$E$27,0))</f>
        <v>0.194530046224961</v>
      </c>
      <c r="I862" s="49" t="n">
        <f aca="false">LN(G862/H862)</f>
        <v>-3.26067115140229</v>
      </c>
    </row>
    <row r="863" customFormat="false" ht="15" hidden="false" customHeight="true" outlineLevel="0" collapsed="false">
      <c r="A863" s="38" t="s">
        <v>851</v>
      </c>
      <c r="B863" s="38" t="n">
        <v>10</v>
      </c>
      <c r="C863" s="38" t="s">
        <v>171</v>
      </c>
      <c r="D863" s="38" t="s">
        <v>169</v>
      </c>
      <c r="E863" s="38" t="s">
        <v>875</v>
      </c>
      <c r="F863" s="38" t="str">
        <f aca="false">B863&amp;"|"&amp;C863&amp;"|"&amp;D863</f>
        <v>10|U|G</v>
      </c>
      <c r="G863" s="45" t="n">
        <f aca="false">INDEX('Transition Stepwise'!$J$2:$J$1137,MATCH(F863,'Transition Stepwise'!$E$2:$E$1137,0))</f>
        <v>0.25</v>
      </c>
      <c r="H863" s="45" t="n">
        <f aca="false">INDEX(Background!$D$12:$D$27,MATCH(C863&amp;D863,Background!$E$12:$E$27,0))</f>
        <v>0.221480987324883</v>
      </c>
      <c r="I863" s="49" t="n">
        <f aca="false">LN(G863/H863)</f>
        <v>0.121124168066218</v>
      </c>
    </row>
    <row r="864" customFormat="false" ht="15" hidden="false" customHeight="true" outlineLevel="0" collapsed="false">
      <c r="A864" s="38" t="s">
        <v>851</v>
      </c>
      <c r="B864" s="38" t="n">
        <v>11</v>
      </c>
      <c r="C864" s="38" t="s">
        <v>169</v>
      </c>
      <c r="D864" s="38" t="s">
        <v>171</v>
      </c>
      <c r="E864" s="38" t="s">
        <v>875</v>
      </c>
      <c r="F864" s="38" t="str">
        <f aca="false">B864&amp;"|"&amp;C864&amp;"|"&amp;D864</f>
        <v>11|G|U</v>
      </c>
      <c r="G864" s="45" t="n">
        <f aca="false">INDEX('Transition Stepwise'!$J$2:$J$1137,MATCH(F864,'Transition Stepwise'!$E$2:$E$1137,0))</f>
        <v>0.2</v>
      </c>
      <c r="H864" s="45" t="n">
        <f aca="false">INDEX(Background!$D$12:$D$27,MATCH(C864&amp;D864,Background!$E$12:$E$27,0))</f>
        <v>0.234763476347635</v>
      </c>
      <c r="I864" s="49" t="n">
        <f aca="false">LN(G864/H864)</f>
        <v>-0.160261157124274</v>
      </c>
    </row>
    <row r="865" customFormat="false" ht="15" hidden="false" customHeight="true" outlineLevel="0" collapsed="false">
      <c r="A865" s="38" t="s">
        <v>851</v>
      </c>
      <c r="B865" s="38" t="n">
        <v>12</v>
      </c>
      <c r="C865" s="38" t="s">
        <v>171</v>
      </c>
      <c r="D865" s="38" t="s">
        <v>169</v>
      </c>
      <c r="E865" s="38" t="s">
        <v>875</v>
      </c>
      <c r="F865" s="38" t="str">
        <f aca="false">B865&amp;"|"&amp;C865&amp;"|"&amp;D865</f>
        <v>12|U|G</v>
      </c>
      <c r="G865" s="45" t="n">
        <f aca="false">INDEX('Transition Stepwise'!$J$2:$J$1137,MATCH(F865,'Transition Stepwise'!$E$2:$E$1137,0))</f>
        <v>0.016260162601626</v>
      </c>
      <c r="H865" s="45" t="n">
        <f aca="false">INDEX(Background!$D$12:$D$27,MATCH(C865&amp;D865,Background!$E$12:$E$27,0))</f>
        <v>0.221480987324883</v>
      </c>
      <c r="I865" s="49" t="n">
        <f aca="false">LN(G865/H865)</f>
        <v>-2.61161864562636</v>
      </c>
    </row>
    <row r="866" customFormat="false" ht="15" hidden="false" customHeight="true" outlineLevel="0" collapsed="false">
      <c r="A866" s="38" t="s">
        <v>851</v>
      </c>
      <c r="B866" s="38" t="n">
        <v>13</v>
      </c>
      <c r="C866" s="38" t="s">
        <v>169</v>
      </c>
      <c r="D866" s="38" t="s">
        <v>169</v>
      </c>
      <c r="E866" s="38" t="s">
        <v>875</v>
      </c>
      <c r="F866" s="38" t="str">
        <f aca="false">B866&amp;"|"&amp;C866&amp;"|"&amp;D866</f>
        <v>13|G|G</v>
      </c>
      <c r="G866" s="45" t="n">
        <f aca="false">INDEX('Transition Stepwise'!$J$2:$J$1137,MATCH(F866,'Transition Stepwise'!$E$2:$E$1137,0))</f>
        <v>0.0434782608695652</v>
      </c>
      <c r="H866" s="45" t="n">
        <f aca="false">INDEX(Background!$D$12:$D$27,MATCH(C866&amp;D866,Background!$E$12:$E$27,0))</f>
        <v>0.344774477447745</v>
      </c>
      <c r="I866" s="49" t="n">
        <f aca="false">LN(G866/H866)</f>
        <v>-2.07062945167359</v>
      </c>
    </row>
    <row r="867" customFormat="false" ht="15" hidden="false" customHeight="true" outlineLevel="0" collapsed="false">
      <c r="A867" s="38" t="s">
        <v>851</v>
      </c>
      <c r="B867" s="38" t="n">
        <v>14</v>
      </c>
      <c r="C867" s="38" t="s">
        <v>169</v>
      </c>
      <c r="D867" s="38" t="s">
        <v>171</v>
      </c>
      <c r="E867" s="38" t="s">
        <v>875</v>
      </c>
      <c r="F867" s="38" t="str">
        <f aca="false">B867&amp;"|"&amp;C867&amp;"|"&amp;D867</f>
        <v>14|G|U</v>
      </c>
      <c r="G867" s="45" t="n">
        <f aca="false">INDEX('Transition Stepwise'!$J$2:$J$1137,MATCH(F867,'Transition Stepwise'!$E$2:$E$1137,0))</f>
        <v>0.2</v>
      </c>
      <c r="H867" s="45" t="n">
        <f aca="false">INDEX(Background!$D$12:$D$27,MATCH(C867&amp;D867,Background!$E$12:$E$27,0))</f>
        <v>0.234763476347635</v>
      </c>
      <c r="I867" s="49" t="n">
        <f aca="false">LN(G867/H867)</f>
        <v>-0.160261157124274</v>
      </c>
    </row>
    <row r="868" customFormat="false" ht="15" hidden="false" customHeight="true" outlineLevel="0" collapsed="false">
      <c r="A868" s="38" t="s">
        <v>851</v>
      </c>
      <c r="B868" s="38" t="n">
        <v>15</v>
      </c>
      <c r="C868" s="38" t="s">
        <v>171</v>
      </c>
      <c r="D868" s="38" t="s">
        <v>176</v>
      </c>
      <c r="E868" s="40" t="s">
        <v>876</v>
      </c>
      <c r="F868" s="38"/>
      <c r="G868" s="38"/>
      <c r="H868" s="38"/>
      <c r="I868" s="38"/>
    </row>
    <row r="869" customFormat="false" ht="15" hidden="false" customHeight="true" outlineLevel="0" collapsed="false">
      <c r="A869" s="38" t="s">
        <v>851</v>
      </c>
      <c r="B869" s="38" t="n">
        <v>16</v>
      </c>
      <c r="C869" s="38" t="s">
        <v>176</v>
      </c>
      <c r="D869" s="38" t="s">
        <v>172</v>
      </c>
      <c r="E869" s="40" t="s">
        <v>876</v>
      </c>
      <c r="F869" s="38"/>
      <c r="G869" s="38"/>
      <c r="H869" s="38"/>
      <c r="I869" s="38"/>
    </row>
    <row r="870" customFormat="false" ht="15" hidden="false" customHeight="true" outlineLevel="0" collapsed="false">
      <c r="A870" s="38" t="s">
        <v>851</v>
      </c>
      <c r="B870" s="38" t="n">
        <v>17</v>
      </c>
      <c r="C870" s="38" t="s">
        <v>172</v>
      </c>
      <c r="D870" s="38" t="s">
        <v>169</v>
      </c>
      <c r="E870" s="38" t="s">
        <v>875</v>
      </c>
      <c r="F870" s="38" t="str">
        <f aca="false">B870&amp;"|"&amp;C870&amp;"|"&amp;D870</f>
        <v>17|A|G</v>
      </c>
      <c r="G870" s="45" t="n">
        <f aca="false">INDEX('Transition Stepwise'!$J$2:$J$1137,MATCH(F870,'Transition Stepwise'!$E$2:$E$1137,0))</f>
        <v>0.75</v>
      </c>
      <c r="H870" s="45" t="n">
        <f aca="false">INDEX(Background!$D$12:$D$27,MATCH(C870&amp;D870,Background!$E$12:$E$27,0))</f>
        <v>0.424884437596302</v>
      </c>
      <c r="I870" s="49" t="n">
        <f aca="false">LN(G870/H870)</f>
        <v>0.568255986118697</v>
      </c>
    </row>
    <row r="871" customFormat="false" ht="15" hidden="false" customHeight="true" outlineLevel="0" collapsed="false">
      <c r="A871" s="38" t="s">
        <v>851</v>
      </c>
      <c r="B871" s="38" t="n">
        <v>18</v>
      </c>
      <c r="C871" s="38" t="s">
        <v>169</v>
      </c>
      <c r="D871" s="38" t="s">
        <v>169</v>
      </c>
      <c r="E871" s="38" t="s">
        <v>875</v>
      </c>
      <c r="F871" s="38" t="str">
        <f aca="false">B871&amp;"|"&amp;C871&amp;"|"&amp;D871</f>
        <v>18|G|G</v>
      </c>
      <c r="G871" s="45" t="n">
        <f aca="false">INDEX('Transition Stepwise'!$J$2:$J$1137,MATCH(F871,'Transition Stepwise'!$E$2:$E$1137,0))</f>
        <v>0.975247524752475</v>
      </c>
      <c r="H871" s="45" t="n">
        <f aca="false">INDEX(Background!$D$12:$D$27,MATCH(C871&amp;D871,Background!$E$12:$E$27,0))</f>
        <v>0.344774477447745</v>
      </c>
      <c r="I871" s="49" t="n">
        <f aca="false">LN(G871/H871)</f>
        <v>1.03980079559234</v>
      </c>
    </row>
    <row r="872" customFormat="false" ht="15" hidden="false" customHeight="true" outlineLevel="0" collapsed="false">
      <c r="A872" s="38" t="s">
        <v>851</v>
      </c>
      <c r="B872" s="38" t="n">
        <v>19</v>
      </c>
      <c r="C872" s="38" t="s">
        <v>169</v>
      </c>
      <c r="D872" s="38" t="s">
        <v>171</v>
      </c>
      <c r="E872" s="38" t="s">
        <v>875</v>
      </c>
      <c r="F872" s="38" t="str">
        <f aca="false">B872&amp;"|"&amp;C872&amp;"|"&amp;D872</f>
        <v>19|G|U</v>
      </c>
      <c r="G872" s="45" t="n">
        <f aca="false">INDEX('Transition Stepwise'!$J$2:$J$1137,MATCH(F872,'Transition Stepwise'!$E$2:$E$1137,0))</f>
        <v>0.585</v>
      </c>
      <c r="H872" s="45" t="n">
        <f aca="false">INDEX(Background!$D$12:$D$27,MATCH(C872&amp;D872,Background!$E$12:$E$27,0))</f>
        <v>0.234763476347635</v>
      </c>
      <c r="I872" s="49" t="n">
        <f aca="false">LN(G872/H872)</f>
        <v>0.913033323559545</v>
      </c>
    </row>
    <row r="873" customFormat="false" ht="15" hidden="false" customHeight="true" outlineLevel="0" collapsed="false">
      <c r="A873" s="38" t="s">
        <v>851</v>
      </c>
      <c r="B873" s="38" t="n">
        <v>20</v>
      </c>
      <c r="C873" s="38" t="s">
        <v>171</v>
      </c>
      <c r="D873" s="38" t="s">
        <v>171</v>
      </c>
      <c r="E873" s="38" t="s">
        <v>875</v>
      </c>
      <c r="F873" s="38" t="str">
        <f aca="false">B873&amp;"|"&amp;C873&amp;"|"&amp;D873</f>
        <v>20|U|U</v>
      </c>
      <c r="G873" s="45" t="n">
        <f aca="false">INDEX('Transition Stepwise'!$J$2:$J$1137,MATCH(F873,'Transition Stepwise'!$E$2:$E$1137,0))</f>
        <v>0.0491803278688525</v>
      </c>
      <c r="H873" s="45" t="n">
        <f aca="false">INDEX(Background!$D$12:$D$27,MATCH(C873&amp;D873,Background!$E$12:$E$27,0))</f>
        <v>0.220480320213476</v>
      </c>
      <c r="I873" s="49" t="n">
        <f aca="false">LN(G873/H873)</f>
        <v>-1.50031473669434</v>
      </c>
    </row>
    <row r="874" customFormat="false" ht="15" hidden="false" customHeight="true" outlineLevel="0" collapsed="false">
      <c r="A874" s="38" t="s">
        <v>851</v>
      </c>
      <c r="B874" s="38" t="n">
        <v>21</v>
      </c>
      <c r="C874" s="38" t="s">
        <v>171</v>
      </c>
      <c r="D874" s="38" t="s">
        <v>169</v>
      </c>
      <c r="E874" s="38" t="s">
        <v>875</v>
      </c>
      <c r="F874" s="38" t="str">
        <f aca="false">B874&amp;"|"&amp;C874&amp;"|"&amp;D874</f>
        <v>21|U|G</v>
      </c>
      <c r="G874" s="45" t="n">
        <f aca="false">INDEX('Transition Stepwise'!$J$2:$J$1137,MATCH(F874,'Transition Stepwise'!$E$2:$E$1137,0))</f>
        <v>0.357142857142857</v>
      </c>
      <c r="H874" s="45" t="n">
        <f aca="false">INDEX(Background!$D$12:$D$27,MATCH(C874&amp;D874,Background!$E$12:$E$27,0))</f>
        <v>0.221480987324883</v>
      </c>
      <c r="I874" s="49" t="n">
        <f aca="false">LN(G874/H874)</f>
        <v>0.477799112004951</v>
      </c>
    </row>
    <row r="875" customFormat="false" ht="15" hidden="false" customHeight="true" outlineLevel="0" collapsed="false">
      <c r="A875" s="38" t="s">
        <v>851</v>
      </c>
      <c r="B875" s="38" t="n">
        <v>22</v>
      </c>
      <c r="C875" s="38" t="s">
        <v>169</v>
      </c>
      <c r="D875" s="38" t="s">
        <v>169</v>
      </c>
      <c r="E875" s="38" t="s">
        <v>875</v>
      </c>
      <c r="F875" s="38" t="str">
        <f aca="false">B875&amp;"|"&amp;C875&amp;"|"&amp;D875</f>
        <v>22|G|G</v>
      </c>
      <c r="G875" s="45" t="n">
        <f aca="false">INDEX('Transition Stepwise'!$J$2:$J$1137,MATCH(F875,'Transition Stepwise'!$E$2:$E$1137,0))</f>
        <v>0.0405405405405405</v>
      </c>
      <c r="H875" s="45" t="n">
        <f aca="false">INDEX(Background!$D$12:$D$27,MATCH(C875&amp;D875,Background!$E$12:$E$27,0))</f>
        <v>0.344774477447745</v>
      </c>
      <c r="I875" s="49" t="n">
        <f aca="false">LN(G875/H875)</f>
        <v>-2.1405880402805</v>
      </c>
    </row>
    <row r="876" customFormat="false" ht="15" hidden="false" customHeight="true" outlineLevel="0" collapsed="false">
      <c r="A876" s="38" t="s">
        <v>851</v>
      </c>
      <c r="B876" s="38" t="n">
        <v>23</v>
      </c>
      <c r="C876" s="38" t="s">
        <v>169</v>
      </c>
      <c r="D876" s="38" t="s">
        <v>171</v>
      </c>
      <c r="E876" s="38" t="s">
        <v>875</v>
      </c>
      <c r="F876" s="38" t="str">
        <f aca="false">B876&amp;"|"&amp;C876&amp;"|"&amp;D876</f>
        <v>23|G|U</v>
      </c>
      <c r="G876" s="45" t="n">
        <f aca="false">INDEX('Transition Stepwise'!$J$2:$J$1137,MATCH(F876,'Transition Stepwise'!$E$2:$E$1137,0))</f>
        <v>0.0303030303030303</v>
      </c>
      <c r="H876" s="45" t="n">
        <f aca="false">INDEX(Background!$D$12:$D$27,MATCH(C876&amp;D876,Background!$E$12:$E$27,0))</f>
        <v>0.234763476347635</v>
      </c>
      <c r="I876" s="49" t="n">
        <f aca="false">LN(G876/H876)</f>
        <v>-2.04733080615665</v>
      </c>
    </row>
    <row r="877" customFormat="false" ht="15" hidden="false" customHeight="true" outlineLevel="0" collapsed="false">
      <c r="A877" s="38" t="s">
        <v>851</v>
      </c>
      <c r="B877" s="38" t="n">
        <v>24</v>
      </c>
      <c r="C877" s="38" t="s">
        <v>171</v>
      </c>
      <c r="D877" s="38" t="s">
        <v>169</v>
      </c>
      <c r="E877" s="38" t="s">
        <v>875</v>
      </c>
      <c r="F877" s="38" t="str">
        <f aca="false">B877&amp;"|"&amp;C877&amp;"|"&amp;D877</f>
        <v>24|U|G</v>
      </c>
      <c r="G877" s="45" t="n">
        <f aca="false">INDEX('Transition Stepwise'!$J$2:$J$1137,MATCH(F877,'Transition Stepwise'!$E$2:$E$1137,0))</f>
        <v>0.0909090909090909</v>
      </c>
      <c r="H877" s="45" t="n">
        <f aca="false">INDEX(Background!$D$12:$D$27,MATCH(C877&amp;D877,Background!$E$12:$E$27,0))</f>
        <v>0.221480987324883</v>
      </c>
      <c r="I877" s="49" t="n">
        <f aca="false">LN(G877/H877)</f>
        <v>-0.890476743612261</v>
      </c>
    </row>
    <row r="878" customFormat="false" ht="15" hidden="false" customHeight="true" outlineLevel="0" collapsed="false">
      <c r="A878" s="38" t="s">
        <v>851</v>
      </c>
      <c r="B878" s="38" t="n">
        <v>25</v>
      </c>
      <c r="C878" s="38" t="s">
        <v>169</v>
      </c>
      <c r="D878" s="38" t="s">
        <v>171</v>
      </c>
      <c r="E878" s="38" t="s">
        <v>875</v>
      </c>
      <c r="F878" s="38" t="str">
        <f aca="false">B878&amp;"|"&amp;C878&amp;"|"&amp;D878</f>
        <v>25|G|U</v>
      </c>
      <c r="G878" s="45" t="n">
        <f aca="false">INDEX('Transition Stepwise'!$J$2:$J$1137,MATCH(F878,'Transition Stepwise'!$E$2:$E$1137,0))</f>
        <v>0.0909090909090909</v>
      </c>
      <c r="H878" s="45" t="n">
        <f aca="false">INDEX(Background!$D$12:$D$27,MATCH(C878&amp;D878,Background!$E$12:$E$27,0))</f>
        <v>0.234763476347635</v>
      </c>
      <c r="I878" s="49" t="n">
        <f aca="false">LN(G878/H878)</f>
        <v>-0.948718517488545</v>
      </c>
    </row>
    <row r="879" customFormat="false" ht="15" hidden="false" customHeight="true" outlineLevel="0" collapsed="false">
      <c r="A879" s="38" t="s">
        <v>851</v>
      </c>
      <c r="B879" s="38" t="n">
        <v>26</v>
      </c>
      <c r="C879" s="38" t="s">
        <v>171</v>
      </c>
      <c r="D879" s="38" t="s">
        <v>171</v>
      </c>
      <c r="E879" s="38" t="s">
        <v>875</v>
      </c>
      <c r="F879" s="38" t="str">
        <f aca="false">B879&amp;"|"&amp;C879&amp;"|"&amp;D879</f>
        <v>26|U|U</v>
      </c>
      <c r="G879" s="45" t="n">
        <f aca="false">INDEX('Transition Stepwise'!$J$2:$J$1137,MATCH(F879,'Transition Stepwise'!$E$2:$E$1137,0))</f>
        <v>0.266666666666667</v>
      </c>
      <c r="H879" s="45" t="n">
        <f aca="false">INDEX(Background!$D$12:$D$27,MATCH(C879&amp;D879,Background!$E$12:$E$27,0))</f>
        <v>0.220480320213476</v>
      </c>
      <c r="I879" s="49" t="n">
        <f aca="false">LN(G879/H879)</f>
        <v>0.190190998828537</v>
      </c>
    </row>
    <row r="880" customFormat="false" ht="15" hidden="false" customHeight="true" outlineLevel="0" collapsed="false">
      <c r="A880" s="38" t="s">
        <v>851</v>
      </c>
      <c r="B880" s="38" t="n">
        <v>27</v>
      </c>
      <c r="C880" s="38" t="s">
        <v>171</v>
      </c>
      <c r="D880" s="38" t="s">
        <v>169</v>
      </c>
      <c r="E880" s="38" t="s">
        <v>875</v>
      </c>
      <c r="F880" s="38" t="str">
        <f aca="false">B880&amp;"|"&amp;C880&amp;"|"&amp;D880</f>
        <v>27|U|G</v>
      </c>
      <c r="G880" s="45" t="n">
        <f aca="false">INDEX('Transition Stepwise'!$J$2:$J$1137,MATCH(F880,'Transition Stepwise'!$E$2:$E$1137,0))</f>
        <v>0.109090909090909</v>
      </c>
      <c r="H880" s="45" t="n">
        <f aca="false">INDEX(Background!$D$12:$D$27,MATCH(C880&amp;D880,Background!$E$12:$E$27,0))</f>
        <v>0.221480987324883</v>
      </c>
      <c r="I880" s="49" t="n">
        <f aca="false">LN(G880/H880)</f>
        <v>-0.708155186818307</v>
      </c>
    </row>
    <row r="881" customFormat="false" ht="15" hidden="false" customHeight="true" outlineLevel="0" collapsed="false">
      <c r="A881" s="38" t="s">
        <v>851</v>
      </c>
      <c r="B881" s="38" t="n">
        <v>28</v>
      </c>
      <c r="C881" s="38" t="s">
        <v>169</v>
      </c>
      <c r="D881" s="38" t="s">
        <v>171</v>
      </c>
      <c r="E881" s="38" t="s">
        <v>875</v>
      </c>
      <c r="F881" s="38" t="str">
        <f aca="false">B881&amp;"|"&amp;C881&amp;"|"&amp;D881</f>
        <v>28|G|U</v>
      </c>
      <c r="G881" s="45" t="n">
        <f aca="false">INDEX('Transition Stepwise'!$J$2:$J$1137,MATCH(F881,'Transition Stepwise'!$E$2:$E$1137,0))</f>
        <v>0.0769230769230769</v>
      </c>
      <c r="H881" s="45" t="n">
        <f aca="false">INDEX(Background!$D$12:$D$27,MATCH(C881&amp;D881,Background!$E$12:$E$27,0))</f>
        <v>0.234763476347635</v>
      </c>
      <c r="I881" s="49" t="n">
        <f aca="false">LN(G881/H881)</f>
        <v>-1.11577260215171</v>
      </c>
    </row>
    <row r="882" customFormat="false" ht="15" hidden="false" customHeight="true" outlineLevel="0" collapsed="false">
      <c r="A882" s="38" t="s">
        <v>851</v>
      </c>
      <c r="B882" s="38" t="n">
        <v>29</v>
      </c>
      <c r="C882" s="38" t="s">
        <v>171</v>
      </c>
      <c r="D882" s="38" t="s">
        <v>171</v>
      </c>
      <c r="E882" s="38" t="s">
        <v>875</v>
      </c>
      <c r="F882" s="38" t="str">
        <f aca="false">B882&amp;"|"&amp;C882&amp;"|"&amp;D882</f>
        <v>29|U|U</v>
      </c>
      <c r="G882" s="45" t="n">
        <f aca="false">INDEX('Transition Stepwise'!$J$2:$J$1137,MATCH(F882,'Transition Stepwise'!$E$2:$E$1137,0))</f>
        <v>0.0169491525423729</v>
      </c>
      <c r="H882" s="45" t="n">
        <f aca="false">INDEX(Background!$D$12:$D$27,MATCH(C882&amp;D882,Background!$E$12:$E$27,0))</f>
        <v>0.220480320213476</v>
      </c>
      <c r="I882" s="49" t="n">
        <f aca="false">LN(G882/H882)</f>
        <v>-2.56559060509486</v>
      </c>
    </row>
    <row r="883" customFormat="false" ht="15" hidden="false" customHeight="true" outlineLevel="0" collapsed="false">
      <c r="A883" s="38" t="s">
        <v>851</v>
      </c>
      <c r="B883" s="38" t="n">
        <v>30</v>
      </c>
      <c r="C883" s="38" t="s">
        <v>171</v>
      </c>
      <c r="D883" s="38" t="s">
        <v>171</v>
      </c>
      <c r="E883" s="38" t="s">
        <v>875</v>
      </c>
      <c r="F883" s="38" t="str">
        <f aca="false">B883&amp;"|"&amp;C883&amp;"|"&amp;D883</f>
        <v>30|U|U</v>
      </c>
      <c r="G883" s="45" t="n">
        <f aca="false">INDEX('Transition Stepwise'!$J$2:$J$1137,MATCH(F883,'Transition Stepwise'!$E$2:$E$1137,0))</f>
        <v>0.0909090909090909</v>
      </c>
      <c r="H883" s="45" t="n">
        <f aca="false">INDEX(Background!$D$12:$D$27,MATCH(C883&amp;D883,Background!$E$12:$E$27,0))</f>
        <v>0.220480320213476</v>
      </c>
      <c r="I883" s="49" t="n">
        <f aca="false">LN(G883/H883)</f>
        <v>-0.885948433987514</v>
      </c>
    </row>
    <row r="884" customFormat="false" ht="15" hidden="false" customHeight="true" outlineLevel="0" collapsed="false">
      <c r="A884" s="38" t="s">
        <v>851</v>
      </c>
      <c r="B884" s="38" t="n">
        <v>31</v>
      </c>
      <c r="C884" s="38" t="s">
        <v>171</v>
      </c>
      <c r="D884" s="38" t="s">
        <v>171</v>
      </c>
      <c r="E884" s="38" t="s">
        <v>875</v>
      </c>
      <c r="F884" s="38" t="str">
        <f aca="false">B884&amp;"|"&amp;C884&amp;"|"&amp;D884</f>
        <v>31|U|U</v>
      </c>
      <c r="G884" s="45" t="n">
        <f aca="false">INDEX('Transition Stepwise'!$J$2:$J$1137,MATCH(F884,'Transition Stepwise'!$E$2:$E$1137,0))</f>
        <v>0.130434782608696</v>
      </c>
      <c r="H884" s="45" t="n">
        <f aca="false">INDEX(Background!$D$12:$D$27,MATCH(C884&amp;D884,Background!$E$12:$E$27,0))</f>
        <v>0.220480320213476</v>
      </c>
      <c r="I884" s="49" t="n">
        <f aca="false">LN(G884/H884)</f>
        <v>-0.524935088450183</v>
      </c>
    </row>
    <row r="885" customFormat="false" ht="15" hidden="false" customHeight="true" outlineLevel="0" collapsed="false">
      <c r="A885" s="38" t="s">
        <v>851</v>
      </c>
      <c r="B885" s="38" t="n">
        <v>32</v>
      </c>
      <c r="C885" s="38" t="s">
        <v>171</v>
      </c>
      <c r="D885" s="38" t="s">
        <v>171</v>
      </c>
      <c r="E885" s="38" t="s">
        <v>875</v>
      </c>
      <c r="F885" s="38" t="str">
        <f aca="false">B885&amp;"|"&amp;C885&amp;"|"&amp;D885</f>
        <v>32|U|U</v>
      </c>
      <c r="G885" s="45" t="n">
        <f aca="false">INDEX('Transition Stepwise'!$J$2:$J$1137,MATCH(F885,'Transition Stepwise'!$E$2:$E$1137,0))</f>
        <v>0.936507936507937</v>
      </c>
      <c r="H885" s="45" t="n">
        <f aca="false">INDEX(Background!$D$12:$D$27,MATCH(C885&amp;D885,Background!$E$12:$E$27,0))</f>
        <v>0.220480320213476</v>
      </c>
      <c r="I885" s="49" t="n">
        <f aca="false">LN(G885/H885)</f>
        <v>1.44634955632504</v>
      </c>
    </row>
    <row r="886" customFormat="false" ht="15" hidden="false" customHeight="true" outlineLevel="0" collapsed="false">
      <c r="A886" s="38" t="s">
        <v>851</v>
      </c>
      <c r="B886" s="38" t="n">
        <v>33</v>
      </c>
      <c r="C886" s="38" t="s">
        <v>171</v>
      </c>
      <c r="D886" s="38" t="s">
        <v>170</v>
      </c>
      <c r="E886" s="38" t="s">
        <v>875</v>
      </c>
      <c r="F886" s="38" t="str">
        <f aca="false">B886&amp;"|"&amp;C886&amp;"|"&amp;D886</f>
        <v>33|U|C</v>
      </c>
      <c r="G886" s="45" t="n">
        <f aca="false">INDEX('Transition Stepwise'!$J$2:$J$1137,MATCH(F886,'Transition Stepwise'!$E$2:$E$1137,0))</f>
        <v>0.323383084577114</v>
      </c>
      <c r="H886" s="45" t="n">
        <f aca="false">INDEX(Background!$D$12:$D$27,MATCH(C886&amp;D886,Background!$E$12:$E$27,0))</f>
        <v>0.377251501000667</v>
      </c>
      <c r="I886" s="49" t="n">
        <f aca="false">LN(G886/H886)</f>
        <v>-0.154074435617016</v>
      </c>
    </row>
    <row r="887" customFormat="false" ht="15" hidden="false" customHeight="true" outlineLevel="0" collapsed="false">
      <c r="A887" s="38" t="s">
        <v>851</v>
      </c>
      <c r="B887" s="38" t="n">
        <v>34</v>
      </c>
      <c r="C887" s="38" t="s">
        <v>170</v>
      </c>
      <c r="D887" s="38" t="s">
        <v>171</v>
      </c>
      <c r="E887" s="38" t="s">
        <v>875</v>
      </c>
      <c r="F887" s="38" t="str">
        <f aca="false">B887&amp;"|"&amp;C887&amp;"|"&amp;D887</f>
        <v>34|C|U</v>
      </c>
      <c r="G887" s="45" t="n">
        <f aca="false">INDEX('Transition Stepwise'!$J$2:$J$1137,MATCH(F887,'Transition Stepwise'!$E$2:$E$1137,0))</f>
        <v>0.185714285714286</v>
      </c>
      <c r="H887" s="45" t="n">
        <f aca="false">INDEX(Background!$D$12:$D$27,MATCH(C887&amp;D887,Background!$E$12:$E$27,0))</f>
        <v>0.196466244725738</v>
      </c>
      <c r="I887" s="49" t="n">
        <f aca="false">LN(G887/H887)</f>
        <v>-0.0562812395924693</v>
      </c>
    </row>
    <row r="888" customFormat="false" ht="15" hidden="false" customHeight="true" outlineLevel="0" collapsed="false">
      <c r="A888" s="38" t="s">
        <v>851</v>
      </c>
      <c r="B888" s="38" t="n">
        <v>35</v>
      </c>
      <c r="C888" s="38" t="s">
        <v>171</v>
      </c>
      <c r="D888" s="38" t="s">
        <v>172</v>
      </c>
      <c r="E888" s="38" t="s">
        <v>875</v>
      </c>
      <c r="F888" s="38" t="str">
        <f aca="false">B888&amp;"|"&amp;C888&amp;"|"&amp;D888</f>
        <v>35|U|A</v>
      </c>
      <c r="G888" s="45" t="n">
        <f aca="false">INDEX('Transition Stepwise'!$J$2:$J$1137,MATCH(F888,'Transition Stepwise'!$E$2:$E$1137,0))</f>
        <v>0.177777777777778</v>
      </c>
      <c r="H888" s="45" t="n">
        <f aca="false">INDEX(Background!$D$12:$D$27,MATCH(C888&amp;D888,Background!$E$12:$E$27,0))</f>
        <v>0.180787191460974</v>
      </c>
      <c r="I888" s="49" t="n">
        <f aca="false">LN(G888/H888)</f>
        <v>-0.016786270867587</v>
      </c>
    </row>
    <row r="889" customFormat="false" ht="15" hidden="false" customHeight="true" outlineLevel="0" collapsed="false">
      <c r="A889" s="38" t="s">
        <v>851</v>
      </c>
      <c r="B889" s="38" t="n">
        <v>36</v>
      </c>
      <c r="C889" s="38" t="s">
        <v>172</v>
      </c>
      <c r="D889" s="38" t="s">
        <v>172</v>
      </c>
      <c r="E889" s="38" t="s">
        <v>875</v>
      </c>
      <c r="F889" s="38" t="str">
        <f aca="false">B889&amp;"|"&amp;C889&amp;"|"&amp;D889</f>
        <v>36|A|A</v>
      </c>
      <c r="G889" s="45" t="n">
        <f aca="false">INDEX('Transition Stepwise'!$J$2:$J$1137,MATCH(F889,'Transition Stepwise'!$E$2:$E$1137,0))</f>
        <v>0.553191489361702</v>
      </c>
      <c r="H889" s="45" t="n">
        <f aca="false">INDEX(Background!$D$12:$D$27,MATCH(C889&amp;D889,Background!$E$12:$E$27,0))</f>
        <v>0.219568567026194</v>
      </c>
      <c r="I889" s="49" t="n">
        <f aca="false">LN(G889/H889)</f>
        <v>0.924039653306808</v>
      </c>
    </row>
    <row r="890" customFormat="false" ht="15" hidden="false" customHeight="true" outlineLevel="0" collapsed="false">
      <c r="A890" s="38" t="s">
        <v>851</v>
      </c>
      <c r="B890" s="38" t="n">
        <v>37</v>
      </c>
      <c r="C890" s="38" t="s">
        <v>172</v>
      </c>
      <c r="D890" s="38" t="s">
        <v>169</v>
      </c>
      <c r="E890" s="38" t="s">
        <v>875</v>
      </c>
      <c r="F890" s="38" t="str">
        <f aca="false">B890&amp;"|"&amp;C890&amp;"|"&amp;D890</f>
        <v>37|A|G</v>
      </c>
      <c r="G890" s="45" t="n">
        <f aca="false">INDEX('Transition Stepwise'!$J$2:$J$1137,MATCH(F890,'Transition Stepwise'!$E$2:$E$1137,0))</f>
        <v>0.00649350649350649</v>
      </c>
      <c r="H890" s="45" t="n">
        <f aca="false">INDEX(Background!$D$12:$D$27,MATCH(C890&amp;D890,Background!$E$12:$E$27,0))</f>
        <v>0.424884437596302</v>
      </c>
      <c r="I890" s="49" t="n">
        <f aca="false">LN(G890/H890)</f>
        <v>-4.18101454384315</v>
      </c>
    </row>
    <row r="891" customFormat="false" ht="15" hidden="false" customHeight="true" outlineLevel="0" collapsed="false">
      <c r="A891" s="38" t="s">
        <v>851</v>
      </c>
      <c r="B891" s="38" t="n">
        <v>38</v>
      </c>
      <c r="C891" s="38" t="s">
        <v>169</v>
      </c>
      <c r="D891" s="38" t="s">
        <v>169</v>
      </c>
      <c r="E891" s="38" t="s">
        <v>875</v>
      </c>
      <c r="F891" s="38" t="str">
        <f aca="false">B891&amp;"|"&amp;C891&amp;"|"&amp;D891</f>
        <v>38|G|G</v>
      </c>
      <c r="G891" s="45" t="n">
        <f aca="false">INDEX('Transition Stepwise'!$J$2:$J$1137,MATCH(F891,'Transition Stepwise'!$E$2:$E$1137,0))</f>
        <v>0.2</v>
      </c>
      <c r="H891" s="45" t="n">
        <f aca="false">INDEX(Background!$D$12:$D$27,MATCH(C891&amp;D891,Background!$E$12:$E$27,0))</f>
        <v>0.344774477447745</v>
      </c>
      <c r="I891" s="49" t="n">
        <f aca="false">LN(G891/H891)</f>
        <v>-0.544573148178542</v>
      </c>
    </row>
    <row r="892" customFormat="false" ht="15" hidden="false" customHeight="true" outlineLevel="0" collapsed="false">
      <c r="A892" s="38" t="s">
        <v>851</v>
      </c>
      <c r="B892" s="38" t="n">
        <v>39</v>
      </c>
      <c r="C892" s="38" t="s">
        <v>169</v>
      </c>
      <c r="D892" s="38" t="s">
        <v>171</v>
      </c>
      <c r="E892" s="38" t="s">
        <v>875</v>
      </c>
      <c r="F892" s="38" t="str">
        <f aca="false">B892&amp;"|"&amp;C892&amp;"|"&amp;D892</f>
        <v>39|G|U</v>
      </c>
      <c r="G892" s="45" t="n">
        <f aca="false">INDEX('Transition Stepwise'!$J$2:$J$1137,MATCH(F892,'Transition Stepwise'!$E$2:$E$1137,0))</f>
        <v>0.0789473684210526</v>
      </c>
      <c r="H892" s="45" t="n">
        <f aca="false">INDEX(Background!$D$12:$D$27,MATCH(C892&amp;D892,Background!$E$12:$E$27,0))</f>
        <v>0.234763476347635</v>
      </c>
      <c r="I892" s="49" t="n">
        <f aca="false">LN(G892/H892)</f>
        <v>-1.08979711574845</v>
      </c>
    </row>
    <row r="893" customFormat="false" ht="15" hidden="false" customHeight="true" outlineLevel="0" collapsed="false">
      <c r="A893" s="38" t="s">
        <v>851</v>
      </c>
      <c r="B893" s="38" t="n">
        <v>40</v>
      </c>
      <c r="C893" s="38" t="s">
        <v>171</v>
      </c>
      <c r="D893" s="38" t="s">
        <v>172</v>
      </c>
      <c r="E893" s="38" t="s">
        <v>875</v>
      </c>
      <c r="F893" s="38" t="str">
        <f aca="false">B893&amp;"|"&amp;C893&amp;"|"&amp;D893</f>
        <v>40|U|A</v>
      </c>
      <c r="G893" s="45" t="n">
        <f aca="false">INDEX('Transition Stepwise'!$J$2:$J$1137,MATCH(F893,'Transition Stepwise'!$E$2:$E$1137,0))</f>
        <v>0.25</v>
      </c>
      <c r="H893" s="45" t="n">
        <f aca="false">INDEX(Background!$D$12:$D$27,MATCH(C893&amp;D893,Background!$E$12:$E$27,0))</f>
        <v>0.180787191460974</v>
      </c>
      <c r="I893" s="49" t="n">
        <f aca="false">LN(G893/H893)</f>
        <v>0.324140316103006</v>
      </c>
    </row>
    <row r="894" customFormat="false" ht="15" hidden="false" customHeight="true" outlineLevel="0" collapsed="false">
      <c r="A894" s="38" t="s">
        <v>851</v>
      </c>
      <c r="B894" s="38" t="n">
        <v>41</v>
      </c>
      <c r="C894" s="38" t="s">
        <v>172</v>
      </c>
      <c r="D894" s="38" t="s">
        <v>170</v>
      </c>
      <c r="E894" s="38" t="s">
        <v>875</v>
      </c>
      <c r="F894" s="38" t="str">
        <f aca="false">B894&amp;"|"&amp;C894&amp;"|"&amp;D894</f>
        <v>41|A|C</v>
      </c>
      <c r="G894" s="45" t="n">
        <f aca="false">INDEX('Transition Stepwise'!$J$2:$J$1137,MATCH(F894,'Transition Stepwise'!$E$2:$E$1137,0))</f>
        <v>0.0344827586206897</v>
      </c>
      <c r="H894" s="45" t="n">
        <f aca="false">INDEX(Background!$D$12:$D$27,MATCH(C894&amp;D894,Background!$E$12:$E$27,0))</f>
        <v>0.161016949152542</v>
      </c>
      <c r="I894" s="49" t="n">
        <f aca="false">LN(G894/H894)</f>
        <v>-1.54105018468725</v>
      </c>
    </row>
    <row r="895" customFormat="false" ht="15" hidden="false" customHeight="true" outlineLevel="0" collapsed="false">
      <c r="A895" s="38" t="s">
        <v>851</v>
      </c>
      <c r="B895" s="38" t="n">
        <v>42</v>
      </c>
      <c r="C895" s="38" t="s">
        <v>170</v>
      </c>
      <c r="D895" s="38" t="s">
        <v>172</v>
      </c>
      <c r="E895" s="38" t="s">
        <v>875</v>
      </c>
      <c r="F895" s="38" t="str">
        <f aca="false">B895&amp;"|"&amp;C895&amp;"|"&amp;D895</f>
        <v>42|C|A</v>
      </c>
      <c r="G895" s="45" t="n">
        <f aca="false">INDEX('Transition Stepwise'!$J$2:$J$1137,MATCH(F895,'Transition Stepwise'!$E$2:$E$1137,0))</f>
        <v>0.25</v>
      </c>
      <c r="H895" s="45" t="n">
        <f aca="false">INDEX(Background!$D$12:$D$27,MATCH(C895&amp;D895,Background!$E$12:$E$27,0))</f>
        <v>0.194883966244726</v>
      </c>
      <c r="I895" s="49" t="n">
        <f aca="false">LN(G895/H895)</f>
        <v>0.24905658130682</v>
      </c>
    </row>
    <row r="896" customFormat="false" ht="15" hidden="false" customHeight="true" outlineLevel="0" collapsed="false">
      <c r="A896" s="38" t="s">
        <v>851</v>
      </c>
      <c r="B896" s="38" t="n">
        <v>43</v>
      </c>
      <c r="C896" s="38" t="s">
        <v>172</v>
      </c>
      <c r="D896" s="38" t="s">
        <v>172</v>
      </c>
      <c r="E896" s="38" t="s">
        <v>875</v>
      </c>
      <c r="F896" s="38" t="str">
        <f aca="false">B896&amp;"|"&amp;C896&amp;"|"&amp;D896</f>
        <v>43|A|A</v>
      </c>
      <c r="G896" s="45" t="n">
        <f aca="false">INDEX('Transition Stepwise'!$J$2:$J$1137,MATCH(F896,'Transition Stepwise'!$E$2:$E$1137,0))</f>
        <v>0.469387755102041</v>
      </c>
      <c r="H896" s="45" t="n">
        <f aca="false">INDEX(Background!$D$12:$D$27,MATCH(C896&amp;D896,Background!$E$12:$E$27,0))</f>
        <v>0.219568567026194</v>
      </c>
      <c r="I896" s="49" t="n">
        <f aca="false">LN(G896/H896)</f>
        <v>0.759764634813908</v>
      </c>
    </row>
    <row r="897" customFormat="false" ht="15" hidden="false" customHeight="true" outlineLevel="0" collapsed="false">
      <c r="A897" s="38" t="s">
        <v>851</v>
      </c>
      <c r="B897" s="38" t="n">
        <v>44</v>
      </c>
      <c r="C897" s="38" t="s">
        <v>172</v>
      </c>
      <c r="D897" s="38" t="s">
        <v>170</v>
      </c>
      <c r="E897" s="38" t="s">
        <v>875</v>
      </c>
      <c r="F897" s="38" t="str">
        <f aca="false">B897&amp;"|"&amp;C897&amp;"|"&amp;D897</f>
        <v>44|A|C</v>
      </c>
      <c r="G897" s="45" t="n">
        <f aca="false">INDEX('Transition Stepwise'!$J$2:$J$1137,MATCH(F897,'Transition Stepwise'!$E$2:$E$1137,0))</f>
        <v>0.0294117647058824</v>
      </c>
      <c r="H897" s="45" t="n">
        <f aca="false">INDEX(Background!$D$12:$D$27,MATCH(C897&amp;D897,Background!$E$12:$E$27,0))</f>
        <v>0.161016949152542</v>
      </c>
      <c r="I897" s="49" t="n">
        <f aca="false">LN(G897/H897)</f>
        <v>-1.70011487931694</v>
      </c>
    </row>
    <row r="898" customFormat="false" ht="15" hidden="false" customHeight="true" outlineLevel="0" collapsed="false">
      <c r="A898" s="38" t="s">
        <v>851</v>
      </c>
      <c r="B898" s="38" t="n">
        <v>45</v>
      </c>
      <c r="C898" s="38" t="s">
        <v>170</v>
      </c>
      <c r="D898" s="38" t="s">
        <v>171</v>
      </c>
      <c r="E898" s="38" t="s">
        <v>875</v>
      </c>
      <c r="F898" s="38" t="str">
        <f aca="false">B898&amp;"|"&amp;C898&amp;"|"&amp;D898</f>
        <v>45|C|U</v>
      </c>
      <c r="G898" s="45" t="n">
        <f aca="false">INDEX('Transition Stepwise'!$J$2:$J$1137,MATCH(F898,'Transition Stepwise'!$E$2:$E$1137,0))</f>
        <v>0.222222222222222</v>
      </c>
      <c r="H898" s="45" t="n">
        <f aca="false">INDEX(Background!$D$12:$D$27,MATCH(C898&amp;D898,Background!$E$12:$E$27,0))</f>
        <v>0.196466244725738</v>
      </c>
      <c r="I898" s="49" t="n">
        <f aca="false">LN(G898/H898)</f>
        <v>0.123187248219079</v>
      </c>
    </row>
    <row r="899" customFormat="false" ht="15" hidden="false" customHeight="true" outlineLevel="0" collapsed="false">
      <c r="A899" s="38" t="s">
        <v>851</v>
      </c>
      <c r="B899" s="38" t="n">
        <v>46</v>
      </c>
      <c r="C899" s="38" t="s">
        <v>171</v>
      </c>
      <c r="D899" s="38" t="s">
        <v>172</v>
      </c>
      <c r="E899" s="38" t="s">
        <v>875</v>
      </c>
      <c r="F899" s="38" t="str">
        <f aca="false">B899&amp;"|"&amp;C899&amp;"|"&amp;D899</f>
        <v>46|U|A</v>
      </c>
      <c r="G899" s="45" t="n">
        <f aca="false">INDEX('Transition Stepwise'!$J$2:$J$1137,MATCH(F899,'Transition Stepwise'!$E$2:$E$1137,0))</f>
        <v>0.375</v>
      </c>
      <c r="H899" s="45" t="n">
        <f aca="false">INDEX(Background!$D$12:$D$27,MATCH(C899&amp;D899,Background!$E$12:$E$27,0))</f>
        <v>0.180787191460974</v>
      </c>
      <c r="I899" s="49" t="n">
        <f aca="false">LN(G899/H899)</f>
        <v>0.729605424211171</v>
      </c>
    </row>
    <row r="900" customFormat="false" ht="15" hidden="false" customHeight="true" outlineLevel="0" collapsed="false">
      <c r="A900" s="38" t="s">
        <v>851</v>
      </c>
      <c r="B900" s="38" t="n">
        <v>47</v>
      </c>
      <c r="C900" s="38" t="s">
        <v>172</v>
      </c>
      <c r="D900" s="38" t="s">
        <v>172</v>
      </c>
      <c r="E900" s="38" t="s">
        <v>875</v>
      </c>
      <c r="F900" s="38" t="str">
        <f aca="false">B900&amp;"|"&amp;C900&amp;"|"&amp;D900</f>
        <v>47|A|A</v>
      </c>
      <c r="G900" s="45" t="n">
        <f aca="false">INDEX('Transition Stepwise'!$J$2:$J$1137,MATCH(F900,'Transition Stepwise'!$E$2:$E$1137,0))</f>
        <v>0.0666666666666667</v>
      </c>
      <c r="H900" s="45" t="n">
        <f aca="false">INDEX(Background!$D$12:$D$27,MATCH(C900&amp;D900,Background!$E$12:$E$27,0))</f>
        <v>0.219568567026194</v>
      </c>
      <c r="I900" s="49" t="n">
        <f aca="false">LN(G900/H900)</f>
        <v>-1.19195948410683</v>
      </c>
    </row>
    <row r="901" customFormat="false" ht="15" hidden="false" customHeight="true" outlineLevel="0" collapsed="false">
      <c r="A901" s="38" t="s">
        <v>851</v>
      </c>
      <c r="B901" s="38" t="n">
        <v>48</v>
      </c>
      <c r="C901" s="38" t="s">
        <v>172</v>
      </c>
      <c r="D901" s="38" t="s">
        <v>171</v>
      </c>
      <c r="E901" s="38" t="s">
        <v>875</v>
      </c>
      <c r="F901" s="38" t="str">
        <f aca="false">B901&amp;"|"&amp;C901&amp;"|"&amp;D901</f>
        <v>48|A|U</v>
      </c>
      <c r="G901" s="45" t="n">
        <f aca="false">INDEX('Transition Stepwise'!$J$2:$J$1137,MATCH(F901,'Transition Stepwise'!$E$2:$E$1137,0))</f>
        <v>0.2</v>
      </c>
      <c r="H901" s="45" t="n">
        <f aca="false">INDEX(Background!$D$12:$D$27,MATCH(C901&amp;D901,Background!$E$12:$E$27,0))</f>
        <v>0.194530046224961</v>
      </c>
      <c r="I901" s="49" t="n">
        <f aca="false">LN(G901/H901)</f>
        <v>0.0277307361145204</v>
      </c>
    </row>
    <row r="902" customFormat="false" ht="15" hidden="false" customHeight="true" outlineLevel="0" collapsed="false">
      <c r="A902" s="38" t="s">
        <v>851</v>
      </c>
      <c r="B902" s="38" t="n">
        <v>49</v>
      </c>
      <c r="C902" s="38" t="s">
        <v>171</v>
      </c>
      <c r="D902" s="38" t="s">
        <v>169</v>
      </c>
      <c r="E902" s="38" t="s">
        <v>875</v>
      </c>
      <c r="F902" s="38" t="str">
        <f aca="false">B902&amp;"|"&amp;C902&amp;"|"&amp;D902</f>
        <v>49|U|G</v>
      </c>
      <c r="G902" s="45" t="n">
        <f aca="false">INDEX('Transition Stepwise'!$J$2:$J$1137,MATCH(F902,'Transition Stepwise'!$E$2:$E$1137,0))</f>
        <v>0.333333333333333</v>
      </c>
      <c r="H902" s="45" t="n">
        <f aca="false">INDEX(Background!$D$12:$D$27,MATCH(C902&amp;D902,Background!$E$12:$E$27,0))</f>
        <v>0.221480987324883</v>
      </c>
      <c r="I902" s="49" t="n">
        <f aca="false">LN(G902/H902)</f>
        <v>0.408806240518</v>
      </c>
    </row>
    <row r="903" customFormat="false" ht="15" hidden="false" customHeight="true" outlineLevel="0" collapsed="false">
      <c r="A903" s="38" t="s">
        <v>851</v>
      </c>
      <c r="B903" s="38" t="n">
        <v>50</v>
      </c>
      <c r="C903" s="38" t="s">
        <v>169</v>
      </c>
      <c r="D903" s="38" t="s">
        <v>172</v>
      </c>
      <c r="E903" s="38" t="s">
        <v>875</v>
      </c>
      <c r="F903" s="38" t="str">
        <f aca="false">B903&amp;"|"&amp;C903&amp;"|"&amp;D903</f>
        <v>50|G|A</v>
      </c>
      <c r="G903" s="45" t="n">
        <f aca="false">INDEX('Transition Stepwise'!$J$2:$J$1137,MATCH(F903,'Transition Stepwise'!$E$2:$E$1137,0))</f>
        <v>0.087719298245614</v>
      </c>
      <c r="H903" s="45" t="n">
        <f aca="false">INDEX(Background!$D$12:$D$27,MATCH(C903&amp;D903,Background!$E$12:$E$27,0))</f>
        <v>0.164356435643564</v>
      </c>
      <c r="I903" s="49" t="n">
        <f aca="false">LN(G903/H903)</f>
        <v>-0.627895533921688</v>
      </c>
    </row>
    <row r="904" customFormat="false" ht="15" hidden="false" customHeight="true" outlineLevel="0" collapsed="false">
      <c r="A904" s="38" t="s">
        <v>851</v>
      </c>
      <c r="B904" s="38" t="n">
        <v>51</v>
      </c>
      <c r="C904" s="38" t="s">
        <v>172</v>
      </c>
      <c r="D904" s="38" t="s">
        <v>172</v>
      </c>
      <c r="E904" s="38" t="s">
        <v>875</v>
      </c>
      <c r="F904" s="38" t="str">
        <f aca="false">B904&amp;"|"&amp;C904&amp;"|"&amp;D904</f>
        <v>51|A|A</v>
      </c>
      <c r="G904" s="45" t="n">
        <f aca="false">INDEX('Transition Stepwise'!$J$2:$J$1137,MATCH(F904,'Transition Stepwise'!$E$2:$E$1137,0))</f>
        <v>0.0625</v>
      </c>
      <c r="H904" s="45" t="n">
        <f aca="false">INDEX(Background!$D$12:$D$27,MATCH(C904&amp;D904,Background!$E$12:$E$27,0))</f>
        <v>0.219568567026194</v>
      </c>
      <c r="I904" s="49" t="n">
        <f aca="false">LN(G904/H904)</f>
        <v>-1.2564980052444</v>
      </c>
    </row>
    <row r="905" customFormat="false" ht="15" hidden="false" customHeight="true" outlineLevel="0" collapsed="false">
      <c r="A905" s="38" t="s">
        <v>851</v>
      </c>
      <c r="B905" s="38" t="n">
        <v>52</v>
      </c>
      <c r="C905" s="38" t="s">
        <v>172</v>
      </c>
      <c r="D905" s="38" t="s">
        <v>169</v>
      </c>
      <c r="E905" s="38" t="s">
        <v>875</v>
      </c>
      <c r="F905" s="38" t="str">
        <f aca="false">B905&amp;"|"&amp;C905&amp;"|"&amp;D905</f>
        <v>52|A|G</v>
      </c>
      <c r="G905" s="45" t="n">
        <f aca="false">INDEX('Transition Stepwise'!$J$2:$J$1137,MATCH(F905,'Transition Stepwise'!$E$2:$E$1137,0))</f>
        <v>0.9</v>
      </c>
      <c r="H905" s="45" t="n">
        <f aca="false">INDEX(Background!$D$12:$D$27,MATCH(C905&amp;D905,Background!$E$12:$E$27,0))</f>
        <v>0.424884437596302</v>
      </c>
      <c r="I905" s="49" t="n">
        <f aca="false">LN(G905/H905)</f>
        <v>0.750577542912652</v>
      </c>
    </row>
    <row r="906" customFormat="false" ht="15" hidden="false" customHeight="true" outlineLevel="0" collapsed="false">
      <c r="A906" s="38" t="s">
        <v>851</v>
      </c>
      <c r="B906" s="38" t="n">
        <v>53</v>
      </c>
      <c r="C906" s="38" t="s">
        <v>169</v>
      </c>
      <c r="D906" s="38" t="s">
        <v>171</v>
      </c>
      <c r="E906" s="38" t="s">
        <v>875</v>
      </c>
      <c r="F906" s="38" t="str">
        <f aca="false">B906&amp;"|"&amp;C906&amp;"|"&amp;D906</f>
        <v>53|G|U</v>
      </c>
      <c r="G906" s="45" t="n">
        <f aca="false">INDEX('Transition Stepwise'!$J$2:$J$1137,MATCH(F906,'Transition Stepwise'!$E$2:$E$1137,0))</f>
        <v>0.974874371859297</v>
      </c>
      <c r="H906" s="45" t="n">
        <f aca="false">INDEX(Background!$D$12:$D$27,MATCH(C906&amp;D906,Background!$E$12:$E$27,0))</f>
        <v>0.234763476347635</v>
      </c>
      <c r="I906" s="49" t="n">
        <f aca="false">LN(G906/H906)</f>
        <v>1.42373008964866</v>
      </c>
    </row>
    <row r="907" customFormat="false" ht="15" hidden="false" customHeight="true" outlineLevel="0" collapsed="false">
      <c r="A907" s="38" t="s">
        <v>851</v>
      </c>
      <c r="B907" s="38" t="n">
        <v>54</v>
      </c>
      <c r="C907" s="38" t="s">
        <v>171</v>
      </c>
      <c r="D907" s="38" t="s">
        <v>171</v>
      </c>
      <c r="E907" s="38" t="s">
        <v>875</v>
      </c>
      <c r="F907" s="38" t="str">
        <f aca="false">B907&amp;"|"&amp;C907&amp;"|"&amp;D907</f>
        <v>54|U|U</v>
      </c>
      <c r="G907" s="45" t="n">
        <f aca="false">INDEX('Transition Stepwise'!$J$2:$J$1137,MATCH(F907,'Transition Stepwise'!$E$2:$E$1137,0))</f>
        <v>0.970149253731343</v>
      </c>
      <c r="H907" s="45" t="n">
        <f aca="false">INDEX(Background!$D$12:$D$27,MATCH(C907&amp;D907,Background!$E$12:$E$27,0))</f>
        <v>0.220480320213476</v>
      </c>
      <c r="I907" s="49" t="n">
        <f aca="false">LN(G907/H907)</f>
        <v>1.48164148931553</v>
      </c>
    </row>
    <row r="908" customFormat="false" ht="15" hidden="false" customHeight="true" outlineLevel="0" collapsed="false">
      <c r="A908" s="38" t="s">
        <v>851</v>
      </c>
      <c r="B908" s="38" t="n">
        <v>55</v>
      </c>
      <c r="C908" s="38" t="s">
        <v>171</v>
      </c>
      <c r="D908" s="38" t="s">
        <v>170</v>
      </c>
      <c r="E908" s="38" t="s">
        <v>875</v>
      </c>
      <c r="F908" s="38" t="str">
        <f aca="false">B908&amp;"|"&amp;C908&amp;"|"&amp;D908</f>
        <v>55|U|C</v>
      </c>
      <c r="G908" s="45" t="n">
        <f aca="false">INDEX('Transition Stepwise'!$J$2:$J$1137,MATCH(F908,'Transition Stepwise'!$E$2:$E$1137,0))</f>
        <v>0.975</v>
      </c>
      <c r="H908" s="45" t="n">
        <f aca="false">INDEX(Background!$D$12:$D$27,MATCH(C908&amp;D908,Background!$E$12:$E$27,0))</f>
        <v>0.377251501000667</v>
      </c>
      <c r="I908" s="49" t="n">
        <f aca="false">LN(G908/H908)</f>
        <v>0.949525394562133</v>
      </c>
    </row>
    <row r="909" customFormat="false" ht="15" hidden="false" customHeight="true" outlineLevel="0" collapsed="false">
      <c r="A909" s="38" t="s">
        <v>851</v>
      </c>
      <c r="B909" s="38" t="n">
        <v>56</v>
      </c>
      <c r="C909" s="38" t="s">
        <v>170</v>
      </c>
      <c r="D909" s="38" t="s">
        <v>170</v>
      </c>
      <c r="E909" s="38" t="s">
        <v>875</v>
      </c>
      <c r="F909" s="38" t="str">
        <f aca="false">B909&amp;"|"&amp;C909&amp;"|"&amp;D909</f>
        <v>56|C|C</v>
      </c>
      <c r="G909" s="45" t="n">
        <f aca="false">INDEX('Transition Stepwise'!$J$2:$J$1137,MATCH(F909,'Transition Stepwise'!$E$2:$E$1137,0))</f>
        <v>0.0050251256281407</v>
      </c>
      <c r="H909" s="45" t="n">
        <f aca="false">INDEX(Background!$D$12:$D$27,MATCH(C909&amp;D909,Background!$E$12:$E$27,0))</f>
        <v>0.312236286919831</v>
      </c>
      <c r="I909" s="49" t="n">
        <f aca="false">LN(G909/H909)</f>
        <v>-4.12930977679353</v>
      </c>
    </row>
    <row r="910" customFormat="false" ht="15" hidden="false" customHeight="true" outlineLevel="0" collapsed="false">
      <c r="A910" s="38" t="s">
        <v>851</v>
      </c>
      <c r="B910" s="38" t="n">
        <v>57</v>
      </c>
      <c r="C910" s="38" t="s">
        <v>170</v>
      </c>
      <c r="D910" s="38" t="s">
        <v>170</v>
      </c>
      <c r="E910" s="38" t="s">
        <v>875</v>
      </c>
      <c r="F910" s="38" t="str">
        <f aca="false">B910&amp;"|"&amp;C910&amp;"|"&amp;D910</f>
        <v>57|C|C</v>
      </c>
      <c r="G910" s="45" t="n">
        <f aca="false">INDEX('Transition Stepwise'!$J$2:$J$1137,MATCH(F910,'Transition Stepwise'!$E$2:$E$1137,0))</f>
        <v>0.25</v>
      </c>
      <c r="H910" s="45" t="n">
        <f aca="false">INDEX(Background!$D$12:$D$27,MATCH(C910&amp;D910,Background!$E$12:$E$27,0))</f>
        <v>0.312236286919831</v>
      </c>
      <c r="I910" s="49" t="n">
        <f aca="false">LN(G910/H910)</f>
        <v>-0.222299313188929</v>
      </c>
    </row>
    <row r="911" customFormat="false" ht="15" hidden="false" customHeight="true" outlineLevel="0" collapsed="false">
      <c r="A911" s="38" t="s">
        <v>851</v>
      </c>
      <c r="B911" s="38" t="n">
        <v>58</v>
      </c>
      <c r="C911" s="38" t="s">
        <v>170</v>
      </c>
      <c r="D911" s="38" t="s">
        <v>171</v>
      </c>
      <c r="E911" s="38" t="s">
        <v>875</v>
      </c>
      <c r="F911" s="38" t="str">
        <f aca="false">B911&amp;"|"&amp;C911&amp;"|"&amp;D911</f>
        <v>58|C|U</v>
      </c>
      <c r="G911" s="45" t="n">
        <f aca="false">INDEX('Transition Stepwise'!$J$2:$J$1137,MATCH(F911,'Transition Stepwise'!$E$2:$E$1137,0))</f>
        <v>0.2</v>
      </c>
      <c r="H911" s="45" t="n">
        <f aca="false">INDEX(Background!$D$12:$D$27,MATCH(C911&amp;D911,Background!$E$12:$E$27,0))</f>
        <v>0.196466244725738</v>
      </c>
      <c r="I911" s="49" t="n">
        <f aca="false">LN(G911/H911)</f>
        <v>0.0178267325612525</v>
      </c>
    </row>
    <row r="912" customFormat="false" ht="15" hidden="false" customHeight="true" outlineLevel="0" collapsed="false">
      <c r="A912" s="38" t="s">
        <v>851</v>
      </c>
      <c r="B912" s="38" t="n">
        <v>59</v>
      </c>
      <c r="C912" s="38" t="s">
        <v>171</v>
      </c>
      <c r="D912" s="38" t="s">
        <v>171</v>
      </c>
      <c r="E912" s="38" t="s">
        <v>875</v>
      </c>
      <c r="F912" s="38" t="str">
        <f aca="false">B912&amp;"|"&amp;C912&amp;"|"&amp;D912</f>
        <v>59|U|U</v>
      </c>
      <c r="G912" s="45" t="n">
        <f aca="false">INDEX('Transition Stepwise'!$J$2:$J$1137,MATCH(F912,'Transition Stepwise'!$E$2:$E$1137,0))</f>
        <v>0.537037037037037</v>
      </c>
      <c r="H912" s="45" t="n">
        <f aca="false">INDEX(Background!$D$12:$D$27,MATCH(C912&amp;D912,Background!$E$12:$E$27,0))</f>
        <v>0.220480320213476</v>
      </c>
      <c r="I912" s="49" t="n">
        <f aca="false">LN(G912/H912)</f>
        <v>0.890258622233056</v>
      </c>
    </row>
    <row r="913" customFormat="false" ht="15" hidden="false" customHeight="true" outlineLevel="0" collapsed="false">
      <c r="A913" s="38" t="s">
        <v>851</v>
      </c>
      <c r="B913" s="38" t="n">
        <v>60</v>
      </c>
      <c r="C913" s="38" t="s">
        <v>171</v>
      </c>
      <c r="D913" s="38" t="s">
        <v>170</v>
      </c>
      <c r="E913" s="38" t="s">
        <v>875</v>
      </c>
      <c r="F913" s="38" t="str">
        <f aca="false">B913&amp;"|"&amp;C913&amp;"|"&amp;D913</f>
        <v>60|U|C</v>
      </c>
      <c r="G913" s="45" t="n">
        <f aca="false">INDEX('Transition Stepwise'!$J$2:$J$1137,MATCH(F913,'Transition Stepwise'!$E$2:$E$1137,0))</f>
        <v>0.975</v>
      </c>
      <c r="H913" s="45" t="n">
        <f aca="false">INDEX(Background!$D$12:$D$27,MATCH(C913&amp;D913,Background!$E$12:$E$27,0))</f>
        <v>0.377251501000667</v>
      </c>
      <c r="I913" s="49" t="n">
        <f aca="false">LN(G913/H913)</f>
        <v>0.949525394562133</v>
      </c>
    </row>
    <row r="914" customFormat="false" ht="15" hidden="false" customHeight="true" outlineLevel="0" collapsed="false">
      <c r="A914" s="38" t="s">
        <v>851</v>
      </c>
      <c r="B914" s="38" t="n">
        <v>61</v>
      </c>
      <c r="C914" s="38" t="s">
        <v>170</v>
      </c>
      <c r="D914" s="38" t="s">
        <v>171</v>
      </c>
      <c r="E914" s="38" t="s">
        <v>875</v>
      </c>
      <c r="F914" s="38" t="str">
        <f aca="false">B914&amp;"|"&amp;C914&amp;"|"&amp;D914</f>
        <v>61|C|U</v>
      </c>
      <c r="G914" s="45" t="n">
        <f aca="false">INDEX('Transition Stepwise'!$J$2:$J$1137,MATCH(F914,'Transition Stepwise'!$E$2:$E$1137,0))</f>
        <v>0.129353233830846</v>
      </c>
      <c r="H914" s="45" t="n">
        <f aca="false">INDEX(Background!$D$12:$D$27,MATCH(C914&amp;D914,Background!$E$12:$E$27,0))</f>
        <v>0.196466244725738</v>
      </c>
      <c r="I914" s="49" t="n">
        <f aca="false">LN(G914/H914)</f>
        <v>-0.417943725042241</v>
      </c>
    </row>
    <row r="915" customFormat="false" ht="15" hidden="false" customHeight="true" outlineLevel="0" collapsed="false">
      <c r="A915" s="38" t="s">
        <v>851</v>
      </c>
      <c r="B915" s="38" t="n">
        <v>62</v>
      </c>
      <c r="C915" s="38" t="s">
        <v>171</v>
      </c>
      <c r="D915" s="38" t="s">
        <v>171</v>
      </c>
      <c r="E915" s="38" t="s">
        <v>875</v>
      </c>
      <c r="F915" s="38" t="str">
        <f aca="false">B915&amp;"|"&amp;C915&amp;"|"&amp;D915</f>
        <v>62|U|U</v>
      </c>
      <c r="G915" s="45" t="n">
        <f aca="false">INDEX('Transition Stepwise'!$J$2:$J$1137,MATCH(F915,'Transition Stepwise'!$E$2:$E$1137,0))</f>
        <v>0.1</v>
      </c>
      <c r="H915" s="45" t="n">
        <f aca="false">INDEX(Background!$D$12:$D$27,MATCH(C915&amp;D915,Background!$E$12:$E$27,0))</f>
        <v>0.220480320213476</v>
      </c>
      <c r="I915" s="49" t="n">
        <f aca="false">LN(G915/H915)</f>
        <v>-0.790638254183189</v>
      </c>
    </row>
    <row r="916" customFormat="false" ht="15" hidden="false" customHeight="true" outlineLevel="0" collapsed="false">
      <c r="A916" s="38" t="s">
        <v>851</v>
      </c>
      <c r="B916" s="38" t="n">
        <v>63</v>
      </c>
      <c r="C916" s="38" t="s">
        <v>171</v>
      </c>
      <c r="D916" s="38" t="s">
        <v>170</v>
      </c>
      <c r="E916" s="38" t="s">
        <v>875</v>
      </c>
      <c r="F916" s="38" t="str">
        <f aca="false">B916&amp;"|"&amp;C916&amp;"|"&amp;D916</f>
        <v>63|U|C</v>
      </c>
      <c r="G916" s="45" t="n">
        <f aca="false">INDEX('Transition Stepwise'!$J$2:$J$1137,MATCH(F916,'Transition Stepwise'!$E$2:$E$1137,0))</f>
        <v>0.166666666666667</v>
      </c>
      <c r="H916" s="45" t="n">
        <f aca="false">INDEX(Background!$D$12:$D$27,MATCH(C916&amp;D916,Background!$E$12:$E$27,0))</f>
        <v>0.377251501000667</v>
      </c>
      <c r="I916" s="49" t="n">
        <f aca="false">LN(G916/H916)</f>
        <v>-0.816916266681633</v>
      </c>
    </row>
    <row r="917" customFormat="false" ht="15" hidden="false" customHeight="true" outlineLevel="0" collapsed="false">
      <c r="A917" s="38" t="s">
        <v>851</v>
      </c>
      <c r="B917" s="38" t="n">
        <v>64</v>
      </c>
      <c r="C917" s="38" t="s">
        <v>170</v>
      </c>
      <c r="D917" s="38" t="s">
        <v>172</v>
      </c>
      <c r="E917" s="38" t="s">
        <v>875</v>
      </c>
      <c r="F917" s="38" t="str">
        <f aca="false">B917&amp;"|"&amp;C917&amp;"|"&amp;D917</f>
        <v>64|C|A</v>
      </c>
      <c r="G917" s="45" t="n">
        <f aca="false">INDEX('Transition Stepwise'!$J$2:$J$1137,MATCH(F917,'Transition Stepwise'!$E$2:$E$1137,0))</f>
        <v>0.108695652173913</v>
      </c>
      <c r="H917" s="45" t="n">
        <f aca="false">INDEX(Background!$D$12:$D$27,MATCH(C917&amp;D917,Background!$E$12:$E$27,0))</f>
        <v>0.194883966244726</v>
      </c>
      <c r="I917" s="49" t="n">
        <f aca="false">LN(G917/H917)</f>
        <v>-0.583852541628284</v>
      </c>
    </row>
    <row r="918" customFormat="false" ht="15" hidden="false" customHeight="true" outlineLevel="0" collapsed="false">
      <c r="A918" s="38" t="s">
        <v>851</v>
      </c>
      <c r="B918" s="38" t="n">
        <v>65</v>
      </c>
      <c r="C918" s="38" t="s">
        <v>172</v>
      </c>
      <c r="D918" s="38" t="s">
        <v>172</v>
      </c>
      <c r="E918" s="38" t="s">
        <v>875</v>
      </c>
      <c r="F918" s="38" t="str">
        <f aca="false">B918&amp;"|"&amp;C918&amp;"|"&amp;D918</f>
        <v>65|A|A</v>
      </c>
      <c r="G918" s="45" t="n">
        <f aca="false">INDEX('Transition Stepwise'!$J$2:$J$1137,MATCH(F918,'Transition Stepwise'!$E$2:$E$1137,0))</f>
        <v>0.153846153846154</v>
      </c>
      <c r="H918" s="45" t="n">
        <f aca="false">INDEX(Background!$D$12:$D$27,MATCH(C918&amp;D918,Background!$E$12:$E$27,0))</f>
        <v>0.219568567026194</v>
      </c>
      <c r="I918" s="49" t="n">
        <f aca="false">LN(G918/H918)</f>
        <v>-0.355711459906207</v>
      </c>
    </row>
    <row r="919" customFormat="false" ht="15" hidden="false" customHeight="true" outlineLevel="0" collapsed="false">
      <c r="A919" s="38" t="s">
        <v>851</v>
      </c>
      <c r="B919" s="38" t="n">
        <v>66</v>
      </c>
      <c r="C919" s="38" t="s">
        <v>172</v>
      </c>
      <c r="D919" s="38" t="s">
        <v>171</v>
      </c>
      <c r="E919" s="38" t="s">
        <v>875</v>
      </c>
      <c r="F919" s="38" t="str">
        <f aca="false">B919&amp;"|"&amp;C919&amp;"|"&amp;D919</f>
        <v>66|A|U</v>
      </c>
      <c r="G919" s="45" t="n">
        <f aca="false">INDEX('Transition Stepwise'!$J$2:$J$1137,MATCH(F919,'Transition Stepwise'!$E$2:$E$1137,0))</f>
        <v>0.25531914893617</v>
      </c>
      <c r="H919" s="45" t="n">
        <f aca="false">INDEX(Background!$D$12:$D$27,MATCH(C919&amp;D919,Background!$E$12:$E$27,0))</f>
        <v>0.194530046224961</v>
      </c>
      <c r="I919" s="49" t="n">
        <f aca="false">LN(G919/H919)</f>
        <v>0.271927696626562</v>
      </c>
    </row>
    <row r="920" customFormat="false" ht="15" hidden="false" customHeight="true" outlineLevel="0" collapsed="false">
      <c r="A920" s="38" t="s">
        <v>851</v>
      </c>
      <c r="B920" s="38" t="n">
        <v>67</v>
      </c>
      <c r="C920" s="38" t="s">
        <v>171</v>
      </c>
      <c r="D920" s="38" t="s">
        <v>170</v>
      </c>
      <c r="E920" s="38" t="s">
        <v>875</v>
      </c>
      <c r="F920" s="38" t="str">
        <f aca="false">B920&amp;"|"&amp;C920&amp;"|"&amp;D920</f>
        <v>67|U|C</v>
      </c>
      <c r="G920" s="45" t="n">
        <f aca="false">INDEX('Transition Stepwise'!$J$2:$J$1137,MATCH(F920,'Transition Stepwise'!$E$2:$E$1137,0))</f>
        <v>0.452380952380952</v>
      </c>
      <c r="H920" s="45" t="n">
        <f aca="false">INDEX(Background!$D$12:$D$27,MATCH(C920&amp;D920,Background!$E$12:$E$27,0))</f>
        <v>0.377251501000667</v>
      </c>
      <c r="I920" s="49" t="n">
        <f aca="false">LN(G920/H920)</f>
        <v>0.181612563429495</v>
      </c>
    </row>
    <row r="921" customFormat="false" ht="15" hidden="false" customHeight="true" outlineLevel="0" collapsed="false">
      <c r="A921" s="38" t="s">
        <v>851</v>
      </c>
      <c r="B921" s="38" t="n">
        <v>68</v>
      </c>
      <c r="C921" s="38" t="s">
        <v>170</v>
      </c>
      <c r="D921" s="38" t="s">
        <v>171</v>
      </c>
      <c r="E921" s="38" t="s">
        <v>875</v>
      </c>
      <c r="F921" s="38" t="str">
        <f aca="false">B921&amp;"|"&amp;C921&amp;"|"&amp;D921</f>
        <v>68|C|U</v>
      </c>
      <c r="G921" s="45" t="n">
        <f aca="false">INDEX('Transition Stepwise'!$J$2:$J$1137,MATCH(F921,'Transition Stepwise'!$E$2:$E$1137,0))</f>
        <v>0.121212121212121</v>
      </c>
      <c r="H921" s="45" t="n">
        <f aca="false">INDEX(Background!$D$12:$D$27,MATCH(C921&amp;D921,Background!$E$12:$E$27,0))</f>
        <v>0.196466244725738</v>
      </c>
      <c r="I921" s="49" t="n">
        <f aca="false">LN(G921/H921)</f>
        <v>-0.482948555351237</v>
      </c>
    </row>
    <row r="922" customFormat="false" ht="15" hidden="false" customHeight="true" outlineLevel="0" collapsed="false">
      <c r="A922" s="38" t="s">
        <v>851</v>
      </c>
      <c r="B922" s="38" t="n">
        <v>69</v>
      </c>
      <c r="C922" s="38" t="s">
        <v>171</v>
      </c>
      <c r="D922" s="38" t="s">
        <v>169</v>
      </c>
      <c r="E922" s="38" t="s">
        <v>875</v>
      </c>
      <c r="F922" s="38" t="str">
        <f aca="false">B922&amp;"|"&amp;C922&amp;"|"&amp;D922</f>
        <v>69|U|G</v>
      </c>
      <c r="G922" s="45" t="n">
        <f aca="false">INDEX('Transition Stepwise'!$J$2:$J$1137,MATCH(F922,'Transition Stepwise'!$E$2:$E$1137,0))</f>
        <v>0.35</v>
      </c>
      <c r="H922" s="45" t="n">
        <f aca="false">INDEX(Background!$D$12:$D$27,MATCH(C922&amp;D922,Background!$E$12:$E$27,0))</f>
        <v>0.221480987324883</v>
      </c>
      <c r="I922" s="49" t="n">
        <f aca="false">LN(G922/H922)</f>
        <v>0.457596404687431</v>
      </c>
    </row>
    <row r="923" customFormat="false" ht="15" hidden="false" customHeight="true" outlineLevel="0" collapsed="false">
      <c r="A923" s="38" t="s">
        <v>851</v>
      </c>
      <c r="B923" s="38" t="n">
        <v>70</v>
      </c>
      <c r="C923" s="38" t="s">
        <v>169</v>
      </c>
      <c r="D923" s="38" t="s">
        <v>172</v>
      </c>
      <c r="E923" s="38" t="s">
        <v>875</v>
      </c>
      <c r="F923" s="38" t="str">
        <f aca="false">B923&amp;"|"&amp;C923&amp;"|"&amp;D923</f>
        <v>70|G|A</v>
      </c>
      <c r="G923" s="45" t="n">
        <f aca="false">INDEX('Transition Stepwise'!$J$2:$J$1137,MATCH(F923,'Transition Stepwise'!$E$2:$E$1137,0))</f>
        <v>0.0506329113924051</v>
      </c>
      <c r="H923" s="45" t="n">
        <f aca="false">INDEX(Background!$D$12:$D$27,MATCH(C923&amp;D923,Background!$E$12:$E$27,0))</f>
        <v>0.164356435643564</v>
      </c>
      <c r="I923" s="49" t="n">
        <f aca="false">LN(G923/H923)</f>
        <v>-1.17743566986837</v>
      </c>
    </row>
    <row r="924" customFormat="false" ht="15" hidden="false" customHeight="true" outlineLevel="0" collapsed="false">
      <c r="A924" s="38" t="s">
        <v>851</v>
      </c>
      <c r="B924" s="38" t="n">
        <v>71</v>
      </c>
      <c r="C924" s="38" t="s">
        <v>172</v>
      </c>
      <c r="D924" s="38" t="s">
        <v>172</v>
      </c>
      <c r="E924" s="38" t="s">
        <v>875</v>
      </c>
      <c r="F924" s="38" t="str">
        <f aca="false">B924&amp;"|"&amp;C924&amp;"|"&amp;D924</f>
        <v>71|A|A</v>
      </c>
      <c r="G924" s="45" t="n">
        <f aca="false">INDEX('Transition Stepwise'!$J$2:$J$1137,MATCH(F924,'Transition Stepwise'!$E$2:$E$1137,0))</f>
        <v>0.111111111111111</v>
      </c>
      <c r="H924" s="45" t="n">
        <f aca="false">INDEX(Background!$D$12:$D$27,MATCH(C924&amp;D924,Background!$E$12:$E$27,0))</f>
        <v>0.219568567026194</v>
      </c>
      <c r="I924" s="49" t="n">
        <f aca="false">LN(G924/H924)</f>
        <v>-0.681133860340835</v>
      </c>
    </row>
    <row r="925" customFormat="false" ht="15" hidden="false" customHeight="true" outlineLevel="0" collapsed="false">
      <c r="A925" s="38" t="s">
        <v>852</v>
      </c>
      <c r="B925" s="38" t="n">
        <v>1</v>
      </c>
      <c r="C925" s="38" t="s">
        <v>171</v>
      </c>
      <c r="D925" s="38" t="s">
        <v>171</v>
      </c>
      <c r="E925" s="38" t="s">
        <v>875</v>
      </c>
      <c r="F925" s="38" t="str">
        <f aca="false">B925&amp;"|"&amp;C925&amp;"|"&amp;D925</f>
        <v>1|U|U</v>
      </c>
      <c r="G925" s="45" t="n">
        <f aca="false">INDEX('Transition Stepwise'!$J$2:$J$1137,MATCH(F925,'Transition Stepwise'!$E$2:$E$1137,0))</f>
        <v>0.0588235294117647</v>
      </c>
      <c r="H925" s="45" t="n">
        <f aca="false">INDEX(Background!$D$12:$D$27,MATCH(C925&amp;D925,Background!$E$12:$E$27,0))</f>
        <v>0.220480320213476</v>
      </c>
      <c r="I925" s="49" t="n">
        <f aca="false">LN(G925/H925)</f>
        <v>-1.32126650524536</v>
      </c>
    </row>
    <row r="926" customFormat="false" ht="15" hidden="false" customHeight="true" outlineLevel="0" collapsed="false">
      <c r="A926" s="38" t="s">
        <v>852</v>
      </c>
      <c r="B926" s="38" t="n">
        <v>2</v>
      </c>
      <c r="C926" s="38" t="s">
        <v>171</v>
      </c>
      <c r="D926" s="38" t="s">
        <v>170</v>
      </c>
      <c r="E926" s="38" t="s">
        <v>875</v>
      </c>
      <c r="F926" s="38" t="str">
        <f aca="false">B926&amp;"|"&amp;C926&amp;"|"&amp;D926</f>
        <v>2|U|C</v>
      </c>
      <c r="G926" s="45" t="n">
        <f aca="false">INDEX('Transition Stepwise'!$J$2:$J$1137,MATCH(F926,'Transition Stepwise'!$E$2:$E$1137,0))</f>
        <v>0.5</v>
      </c>
      <c r="H926" s="45" t="n">
        <f aca="false">INDEX(Background!$D$12:$D$27,MATCH(C926&amp;D926,Background!$E$12:$E$27,0))</f>
        <v>0.377251501000667</v>
      </c>
      <c r="I926" s="49" t="n">
        <f aca="false">LN(G926/H926)</f>
        <v>0.281696021986477</v>
      </c>
    </row>
    <row r="927" customFormat="false" ht="15" hidden="false" customHeight="true" outlineLevel="0" collapsed="false">
      <c r="A927" s="38" t="s">
        <v>852</v>
      </c>
      <c r="B927" s="38" t="n">
        <v>3</v>
      </c>
      <c r="C927" s="38" t="s">
        <v>170</v>
      </c>
      <c r="D927" s="38" t="s">
        <v>171</v>
      </c>
      <c r="E927" s="38" t="s">
        <v>875</v>
      </c>
      <c r="F927" s="38" t="str">
        <f aca="false">B927&amp;"|"&amp;C927&amp;"|"&amp;D927</f>
        <v>3|C|U</v>
      </c>
      <c r="G927" s="45" t="n">
        <f aca="false">INDEX('Transition Stepwise'!$J$2:$J$1137,MATCH(F927,'Transition Stepwise'!$E$2:$E$1137,0))</f>
        <v>0.222222222222222</v>
      </c>
      <c r="H927" s="45" t="n">
        <f aca="false">INDEX(Background!$D$12:$D$27,MATCH(C927&amp;D927,Background!$E$12:$E$27,0))</f>
        <v>0.196466244725738</v>
      </c>
      <c r="I927" s="49" t="n">
        <f aca="false">LN(G927/H927)</f>
        <v>0.123187248219079</v>
      </c>
    </row>
    <row r="928" customFormat="false" ht="15" hidden="false" customHeight="true" outlineLevel="0" collapsed="false">
      <c r="A928" s="38" t="s">
        <v>852</v>
      </c>
      <c r="B928" s="38" t="n">
        <v>4</v>
      </c>
      <c r="C928" s="38" t="s">
        <v>171</v>
      </c>
      <c r="D928" s="38" t="s">
        <v>171</v>
      </c>
      <c r="E928" s="38" t="s">
        <v>875</v>
      </c>
      <c r="F928" s="38" t="str">
        <f aca="false">B928&amp;"|"&amp;C928&amp;"|"&amp;D928</f>
        <v>4|U|U</v>
      </c>
      <c r="G928" s="45" t="n">
        <f aca="false">INDEX('Transition Stepwise'!$J$2:$J$1137,MATCH(F928,'Transition Stepwise'!$E$2:$E$1137,0))</f>
        <v>0.210526315789474</v>
      </c>
      <c r="H928" s="45" t="n">
        <f aca="false">INDEX(Background!$D$12:$D$27,MATCH(C928&amp;D928,Background!$E$12:$E$27,0))</f>
        <v>0.220480320213476</v>
      </c>
      <c r="I928" s="49" t="n">
        <f aca="false">LN(G928/H928)</f>
        <v>-0.0461977792356932</v>
      </c>
    </row>
    <row r="929" customFormat="false" ht="15" hidden="false" customHeight="true" outlineLevel="0" collapsed="false">
      <c r="A929" s="38" t="s">
        <v>852</v>
      </c>
      <c r="B929" s="38" t="n">
        <v>5</v>
      </c>
      <c r="C929" s="38" t="s">
        <v>171</v>
      </c>
      <c r="D929" s="38" t="s">
        <v>172</v>
      </c>
      <c r="E929" s="38" t="s">
        <v>875</v>
      </c>
      <c r="F929" s="38" t="str">
        <f aca="false">B929&amp;"|"&amp;C929&amp;"|"&amp;D929</f>
        <v>5|U|A</v>
      </c>
      <c r="G929" s="45" t="n">
        <f aca="false">INDEX('Transition Stepwise'!$J$2:$J$1137,MATCH(F929,'Transition Stepwise'!$E$2:$E$1137,0))</f>
        <v>0.04</v>
      </c>
      <c r="H929" s="45" t="n">
        <f aca="false">INDEX(Background!$D$12:$D$27,MATCH(C929&amp;D929,Background!$E$12:$E$27,0))</f>
        <v>0.180787191460974</v>
      </c>
      <c r="I929" s="49" t="n">
        <f aca="false">LN(G929/H929)</f>
        <v>-1.5084411476453</v>
      </c>
    </row>
    <row r="930" customFormat="false" ht="15" hidden="false" customHeight="true" outlineLevel="0" collapsed="false">
      <c r="A930" s="38" t="s">
        <v>852</v>
      </c>
      <c r="B930" s="38" t="n">
        <v>6</v>
      </c>
      <c r="C930" s="38" t="s">
        <v>172</v>
      </c>
      <c r="D930" s="38" t="s">
        <v>171</v>
      </c>
      <c r="E930" s="38" t="s">
        <v>875</v>
      </c>
      <c r="F930" s="38" t="str">
        <f aca="false">B930&amp;"|"&amp;C930&amp;"|"&amp;D930</f>
        <v>6|A|U</v>
      </c>
      <c r="G930" s="45" t="n">
        <f aca="false">INDEX('Transition Stepwise'!$J$2:$J$1137,MATCH(F930,'Transition Stepwise'!$E$2:$E$1137,0))</f>
        <v>0.289473684210526</v>
      </c>
      <c r="H930" s="45" t="n">
        <f aca="false">INDEX(Background!$D$12:$D$27,MATCH(C930&amp;D930,Background!$E$12:$E$27,0))</f>
        <v>0.194530046224961</v>
      </c>
      <c r="I930" s="49" t="n">
        <f aca="false">LN(G930/H930)</f>
        <v>0.397477761620606</v>
      </c>
    </row>
    <row r="931" customFormat="false" ht="15" hidden="false" customHeight="true" outlineLevel="0" collapsed="false">
      <c r="A931" s="38" t="s">
        <v>852</v>
      </c>
      <c r="B931" s="38" t="n">
        <v>7</v>
      </c>
      <c r="C931" s="38" t="s">
        <v>171</v>
      </c>
      <c r="D931" s="38" t="s">
        <v>171</v>
      </c>
      <c r="E931" s="38" t="s">
        <v>875</v>
      </c>
      <c r="F931" s="38" t="str">
        <f aca="false">B931&amp;"|"&amp;C931&amp;"|"&amp;D931</f>
        <v>7|U|U</v>
      </c>
      <c r="G931" s="45" t="n">
        <f aca="false">INDEX('Transition Stepwise'!$J$2:$J$1137,MATCH(F931,'Transition Stepwise'!$E$2:$E$1137,0))</f>
        <v>0.9375</v>
      </c>
      <c r="H931" s="45" t="n">
        <f aca="false">INDEX(Background!$D$12:$D$27,MATCH(C931&amp;D931,Background!$E$12:$E$27,0))</f>
        <v>0.220480320213476</v>
      </c>
      <c r="I931" s="49" t="n">
        <f aca="false">LN(G931/H931)</f>
        <v>1.44740831767329</v>
      </c>
    </row>
    <row r="932" customFormat="false" ht="15" hidden="false" customHeight="true" outlineLevel="0" collapsed="false">
      <c r="A932" s="38" t="s">
        <v>852</v>
      </c>
      <c r="B932" s="38" t="n">
        <v>8</v>
      </c>
      <c r="C932" s="38" t="s">
        <v>171</v>
      </c>
      <c r="D932" s="38" t="s">
        <v>170</v>
      </c>
      <c r="E932" s="38" t="s">
        <v>875</v>
      </c>
      <c r="F932" s="38" t="str">
        <f aca="false">B932&amp;"|"&amp;C932&amp;"|"&amp;D932</f>
        <v>8|U|C</v>
      </c>
      <c r="G932" s="45" t="n">
        <f aca="false">INDEX('Transition Stepwise'!$J$2:$J$1137,MATCH(F932,'Transition Stepwise'!$E$2:$E$1137,0))</f>
        <v>0.035</v>
      </c>
      <c r="H932" s="45" t="n">
        <f aca="false">INDEX(Background!$D$12:$D$27,MATCH(C932&amp;D932,Background!$E$12:$E$27,0))</f>
        <v>0.377251501000667</v>
      </c>
      <c r="I932" s="49" t="n">
        <f aca="false">LN(G932/H932)</f>
        <v>-2.3775640149463</v>
      </c>
    </row>
    <row r="933" customFormat="false" ht="15" hidden="false" customHeight="true" outlineLevel="0" collapsed="false">
      <c r="A933" s="38" t="s">
        <v>852</v>
      </c>
      <c r="B933" s="38" t="n">
        <v>9</v>
      </c>
      <c r="C933" s="38" t="s">
        <v>170</v>
      </c>
      <c r="D933" s="38" t="s">
        <v>171</v>
      </c>
      <c r="E933" s="38" t="s">
        <v>875</v>
      </c>
      <c r="F933" s="38" t="str">
        <f aca="false">B933&amp;"|"&amp;C933&amp;"|"&amp;D933</f>
        <v>9|C|U</v>
      </c>
      <c r="G933" s="45" t="n">
        <f aca="false">INDEX('Transition Stepwise'!$J$2:$J$1137,MATCH(F933,'Transition Stepwise'!$E$2:$E$1137,0))</f>
        <v>0.0909090909090909</v>
      </c>
      <c r="H933" s="45" t="n">
        <f aca="false">INDEX(Background!$D$12:$D$27,MATCH(C933&amp;D933,Background!$E$12:$E$27,0))</f>
        <v>0.196466244725738</v>
      </c>
      <c r="I933" s="49" t="n">
        <f aca="false">LN(G933/H933)</f>
        <v>-0.770630627803018</v>
      </c>
    </row>
    <row r="934" customFormat="false" ht="15" hidden="false" customHeight="true" outlineLevel="0" collapsed="false">
      <c r="A934" s="38" t="s">
        <v>852</v>
      </c>
      <c r="B934" s="38" t="n">
        <v>10</v>
      </c>
      <c r="C934" s="38" t="s">
        <v>171</v>
      </c>
      <c r="D934" s="38" t="s">
        <v>171</v>
      </c>
      <c r="E934" s="38" t="s">
        <v>875</v>
      </c>
      <c r="F934" s="38" t="str">
        <f aca="false">B934&amp;"|"&amp;C934&amp;"|"&amp;D934</f>
        <v>10|U|U</v>
      </c>
      <c r="G934" s="45" t="n">
        <f aca="false">INDEX('Transition Stepwise'!$J$2:$J$1137,MATCH(F934,'Transition Stepwise'!$E$2:$E$1137,0))</f>
        <v>0.25</v>
      </c>
      <c r="H934" s="45" t="n">
        <f aca="false">INDEX(Background!$D$12:$D$27,MATCH(C934&amp;D934,Background!$E$12:$E$27,0))</f>
        <v>0.220480320213476</v>
      </c>
      <c r="I934" s="49" t="n">
        <f aca="false">LN(G934/H934)</f>
        <v>0.125652477690966</v>
      </c>
    </row>
    <row r="935" customFormat="false" ht="15" hidden="false" customHeight="true" outlineLevel="0" collapsed="false">
      <c r="A935" s="38" t="s">
        <v>852</v>
      </c>
      <c r="B935" s="38" t="n">
        <v>11</v>
      </c>
      <c r="C935" s="38" t="s">
        <v>171</v>
      </c>
      <c r="D935" s="38" t="s">
        <v>169</v>
      </c>
      <c r="E935" s="38" t="s">
        <v>875</v>
      </c>
      <c r="F935" s="38" t="str">
        <f aca="false">B935&amp;"|"&amp;C935&amp;"|"&amp;D935</f>
        <v>11|U|G</v>
      </c>
      <c r="G935" s="45" t="n">
        <f aca="false">INDEX('Transition Stepwise'!$J$2:$J$1137,MATCH(F935,'Transition Stepwise'!$E$2:$E$1137,0))</f>
        <v>0.295454545454545</v>
      </c>
      <c r="H935" s="45" t="n">
        <f aca="false">INDEX(Background!$D$12:$D$27,MATCH(C935&amp;D935,Background!$E$12:$E$27,0))</f>
        <v>0.221480987324883</v>
      </c>
      <c r="I935" s="49" t="n">
        <f aca="false">LN(G935/H935)</f>
        <v>0.288178252729385</v>
      </c>
    </row>
    <row r="936" customFormat="false" ht="15" hidden="false" customHeight="true" outlineLevel="0" collapsed="false">
      <c r="A936" s="38" t="s">
        <v>852</v>
      </c>
      <c r="B936" s="38" t="n">
        <v>12</v>
      </c>
      <c r="C936" s="38" t="s">
        <v>169</v>
      </c>
      <c r="D936" s="38" t="s">
        <v>172</v>
      </c>
      <c r="E936" s="38" t="s">
        <v>875</v>
      </c>
      <c r="F936" s="38" t="str">
        <f aca="false">B936&amp;"|"&amp;C936&amp;"|"&amp;D936</f>
        <v>12|G|A</v>
      </c>
      <c r="G936" s="45" t="n">
        <f aca="false">INDEX('Transition Stepwise'!$J$2:$J$1137,MATCH(F936,'Transition Stepwise'!$E$2:$E$1137,0))</f>
        <v>0.142857142857143</v>
      </c>
      <c r="H936" s="45" t="n">
        <f aca="false">INDEX(Background!$D$12:$D$27,MATCH(C936&amp;D936,Background!$E$12:$E$27,0))</f>
        <v>0.164356435643564</v>
      </c>
      <c r="I936" s="49" t="n">
        <f aca="false">LN(G936/H936)</f>
        <v>-0.140192327576552</v>
      </c>
    </row>
    <row r="937" customFormat="false" ht="15" hidden="false" customHeight="true" outlineLevel="0" collapsed="false">
      <c r="A937" s="38" t="s">
        <v>852</v>
      </c>
      <c r="B937" s="38" t="n">
        <v>13</v>
      </c>
      <c r="C937" s="38" t="s">
        <v>172</v>
      </c>
      <c r="D937" s="38" t="s">
        <v>172</v>
      </c>
      <c r="E937" s="38" t="s">
        <v>875</v>
      </c>
      <c r="F937" s="38" t="str">
        <f aca="false">B937&amp;"|"&amp;C937&amp;"|"&amp;D937</f>
        <v>13|A|A</v>
      </c>
      <c r="G937" s="45" t="n">
        <f aca="false">INDEX('Transition Stepwise'!$J$2:$J$1137,MATCH(F937,'Transition Stepwise'!$E$2:$E$1137,0))</f>
        <v>0.764705882352941</v>
      </c>
      <c r="H937" s="45" t="n">
        <f aca="false">INDEX(Background!$D$12:$D$27,MATCH(C937&amp;D937,Background!$E$12:$E$27,0))</f>
        <v>0.219568567026194</v>
      </c>
      <c r="I937" s="49" t="n">
        <f aca="false">LN(G937/H937)</f>
        <v>1.24782673040071</v>
      </c>
    </row>
    <row r="938" customFormat="false" ht="15" hidden="false" customHeight="true" outlineLevel="0" collapsed="false">
      <c r="A938" s="38" t="s">
        <v>852</v>
      </c>
      <c r="B938" s="38" t="n">
        <v>14</v>
      </c>
      <c r="C938" s="38" t="s">
        <v>172</v>
      </c>
      <c r="D938" s="38" t="s">
        <v>172</v>
      </c>
      <c r="E938" s="38" t="s">
        <v>875</v>
      </c>
      <c r="F938" s="38" t="str">
        <f aca="false">B938&amp;"|"&amp;C938&amp;"|"&amp;D938</f>
        <v>14|A|A</v>
      </c>
      <c r="G938" s="45" t="n">
        <f aca="false">INDEX('Transition Stepwise'!$J$2:$J$1137,MATCH(F938,'Transition Stepwise'!$E$2:$E$1137,0))</f>
        <v>0.165</v>
      </c>
      <c r="H938" s="45" t="n">
        <f aca="false">INDEX(Background!$D$12:$D$27,MATCH(C938&amp;D938,Background!$E$12:$E$27,0))</f>
        <v>0.219568567026194</v>
      </c>
      <c r="I938" s="49" t="n">
        <f aca="false">LN(G938/H938)</f>
        <v>-0.285719088086172</v>
      </c>
    </row>
    <row r="939" customFormat="false" ht="15" hidden="false" customHeight="true" outlineLevel="0" collapsed="false">
      <c r="A939" s="38" t="s">
        <v>852</v>
      </c>
      <c r="B939" s="38" t="n">
        <v>15</v>
      </c>
      <c r="C939" s="38" t="s">
        <v>172</v>
      </c>
      <c r="D939" s="38" t="s">
        <v>172</v>
      </c>
      <c r="E939" s="38" t="s">
        <v>875</v>
      </c>
      <c r="F939" s="38" t="str">
        <f aca="false">B939&amp;"|"&amp;C939&amp;"|"&amp;D939</f>
        <v>15|A|A</v>
      </c>
      <c r="G939" s="45" t="n">
        <f aca="false">INDEX('Transition Stepwise'!$J$2:$J$1137,MATCH(F939,'Transition Stepwise'!$E$2:$E$1137,0))</f>
        <v>0.0952380952380952</v>
      </c>
      <c r="H939" s="45" t="n">
        <f aca="false">INDEX(Background!$D$12:$D$27,MATCH(C939&amp;D939,Background!$E$12:$E$27,0))</f>
        <v>0.219568567026194</v>
      </c>
      <c r="I939" s="49" t="n">
        <f aca="false">LN(G939/H939)</f>
        <v>-0.835284540168093</v>
      </c>
    </row>
    <row r="940" customFormat="false" ht="15" hidden="false" customHeight="true" outlineLevel="0" collapsed="false">
      <c r="A940" s="38" t="s">
        <v>852</v>
      </c>
      <c r="B940" s="38" t="n">
        <v>16</v>
      </c>
      <c r="C940" s="38" t="s">
        <v>172</v>
      </c>
      <c r="D940" s="38" t="s">
        <v>172</v>
      </c>
      <c r="E940" s="38" t="s">
        <v>875</v>
      </c>
      <c r="F940" s="38" t="str">
        <f aca="false">B940&amp;"|"&amp;C940&amp;"|"&amp;D940</f>
        <v>16|A|A</v>
      </c>
      <c r="G940" s="45" t="n">
        <f aca="false">INDEX('Transition Stepwise'!$J$2:$J$1137,MATCH(F940,'Transition Stepwise'!$E$2:$E$1137,0))</f>
        <v>0.142857142857143</v>
      </c>
      <c r="H940" s="45" t="n">
        <f aca="false">INDEX(Background!$D$12:$D$27,MATCH(C940&amp;D940,Background!$E$12:$E$27,0))</f>
        <v>0.219568567026194</v>
      </c>
      <c r="I940" s="49" t="n">
        <f aca="false">LN(G940/H940)</f>
        <v>-0.429819432059929</v>
      </c>
    </row>
    <row r="941" customFormat="false" ht="15" hidden="false" customHeight="true" outlineLevel="0" collapsed="false">
      <c r="A941" s="38" t="s">
        <v>852</v>
      </c>
      <c r="B941" s="38" t="n">
        <v>17</v>
      </c>
      <c r="C941" s="38" t="s">
        <v>172</v>
      </c>
      <c r="D941" s="38" t="s">
        <v>169</v>
      </c>
      <c r="E941" s="38" t="s">
        <v>875</v>
      </c>
      <c r="F941" s="38" t="str">
        <f aca="false">B941&amp;"|"&amp;C941&amp;"|"&amp;D941</f>
        <v>17|A|G</v>
      </c>
      <c r="G941" s="45" t="n">
        <f aca="false">INDEX('Transition Stepwise'!$J$2:$J$1137,MATCH(F941,'Transition Stepwise'!$E$2:$E$1137,0))</f>
        <v>0.75</v>
      </c>
      <c r="H941" s="45" t="n">
        <f aca="false">INDEX(Background!$D$12:$D$27,MATCH(C941&amp;D941,Background!$E$12:$E$27,0))</f>
        <v>0.424884437596302</v>
      </c>
      <c r="I941" s="49" t="n">
        <f aca="false">LN(G941/H941)</f>
        <v>0.568255986118697</v>
      </c>
    </row>
    <row r="942" customFormat="false" ht="15" hidden="false" customHeight="true" outlineLevel="0" collapsed="false">
      <c r="A942" s="38" t="s">
        <v>852</v>
      </c>
      <c r="B942" s="38" t="n">
        <v>18</v>
      </c>
      <c r="C942" s="38" t="s">
        <v>169</v>
      </c>
      <c r="D942" s="38" t="s">
        <v>169</v>
      </c>
      <c r="E942" s="38" t="s">
        <v>875</v>
      </c>
      <c r="F942" s="38" t="str">
        <f aca="false">B942&amp;"|"&amp;C942&amp;"|"&amp;D942</f>
        <v>18|G|G</v>
      </c>
      <c r="G942" s="45" t="n">
        <f aca="false">INDEX('Transition Stepwise'!$J$2:$J$1137,MATCH(F942,'Transition Stepwise'!$E$2:$E$1137,0))</f>
        <v>0.975247524752475</v>
      </c>
      <c r="H942" s="45" t="n">
        <f aca="false">INDEX(Background!$D$12:$D$27,MATCH(C942&amp;D942,Background!$E$12:$E$27,0))</f>
        <v>0.344774477447745</v>
      </c>
      <c r="I942" s="49" t="n">
        <f aca="false">LN(G942/H942)</f>
        <v>1.03980079559234</v>
      </c>
    </row>
    <row r="943" customFormat="false" ht="15" hidden="false" customHeight="true" outlineLevel="0" collapsed="false">
      <c r="A943" s="38" t="s">
        <v>852</v>
      </c>
      <c r="B943" s="38" t="n">
        <v>19</v>
      </c>
      <c r="C943" s="38" t="s">
        <v>169</v>
      </c>
      <c r="D943" s="38" t="s">
        <v>171</v>
      </c>
      <c r="E943" s="38" t="s">
        <v>875</v>
      </c>
      <c r="F943" s="38" t="str">
        <f aca="false">B943&amp;"|"&amp;C943&amp;"|"&amp;D943</f>
        <v>19|G|U</v>
      </c>
      <c r="G943" s="45" t="n">
        <f aca="false">INDEX('Transition Stepwise'!$J$2:$J$1137,MATCH(F943,'Transition Stepwise'!$E$2:$E$1137,0))</f>
        <v>0.585</v>
      </c>
      <c r="H943" s="45" t="n">
        <f aca="false">INDEX(Background!$D$12:$D$27,MATCH(C943&amp;D943,Background!$E$12:$E$27,0))</f>
        <v>0.234763476347635</v>
      </c>
      <c r="I943" s="49" t="n">
        <f aca="false">LN(G943/H943)</f>
        <v>0.913033323559545</v>
      </c>
    </row>
    <row r="944" customFormat="false" ht="15" hidden="false" customHeight="true" outlineLevel="0" collapsed="false">
      <c r="A944" s="38" t="s">
        <v>852</v>
      </c>
      <c r="B944" s="38" t="n">
        <v>20</v>
      </c>
      <c r="C944" s="38" t="s">
        <v>171</v>
      </c>
      <c r="D944" s="38" t="s">
        <v>169</v>
      </c>
      <c r="E944" s="38" t="s">
        <v>875</v>
      </c>
      <c r="F944" s="38" t="str">
        <f aca="false">B944&amp;"|"&amp;C944&amp;"|"&amp;D944</f>
        <v>20|U|G</v>
      </c>
      <c r="G944" s="45" t="n">
        <f aca="false">INDEX('Transition Stepwise'!$J$2:$J$1137,MATCH(F944,'Transition Stepwise'!$E$2:$E$1137,0))</f>
        <v>0.0327868852459016</v>
      </c>
      <c r="H944" s="45" t="n">
        <f aca="false">INDEX(Background!$D$12:$D$27,MATCH(C944&amp;D944,Background!$E$12:$E$27,0))</f>
        <v>0.221480987324883</v>
      </c>
      <c r="I944" s="49" t="n">
        <f aca="false">LN(G944/H944)</f>
        <v>-1.91030815442726</v>
      </c>
    </row>
    <row r="945" customFormat="false" ht="15" hidden="false" customHeight="true" outlineLevel="0" collapsed="false">
      <c r="A945" s="38" t="s">
        <v>852</v>
      </c>
      <c r="B945" s="38" t="n">
        <v>21</v>
      </c>
      <c r="C945" s="38" t="s">
        <v>169</v>
      </c>
      <c r="D945" s="38" t="s">
        <v>171</v>
      </c>
      <c r="E945" s="38" t="s">
        <v>875</v>
      </c>
      <c r="F945" s="38" t="str">
        <f aca="false">B945&amp;"|"&amp;C945&amp;"|"&amp;D945</f>
        <v>21|G|U</v>
      </c>
      <c r="G945" s="45" t="n">
        <f aca="false">INDEX('Transition Stepwise'!$J$2:$J$1137,MATCH(F945,'Transition Stepwise'!$E$2:$E$1137,0))</f>
        <v>0.0909090909090909</v>
      </c>
      <c r="H945" s="45" t="n">
        <f aca="false">INDEX(Background!$D$12:$D$27,MATCH(C945&amp;D945,Background!$E$12:$E$27,0))</f>
        <v>0.234763476347635</v>
      </c>
      <c r="I945" s="49" t="n">
        <f aca="false">LN(G945/H945)</f>
        <v>-0.948718517488545</v>
      </c>
    </row>
    <row r="946" customFormat="false" ht="15" hidden="false" customHeight="true" outlineLevel="0" collapsed="false">
      <c r="A946" s="38" t="s">
        <v>852</v>
      </c>
      <c r="B946" s="38" t="n">
        <v>22</v>
      </c>
      <c r="C946" s="38" t="s">
        <v>171</v>
      </c>
      <c r="D946" s="38" t="s">
        <v>170</v>
      </c>
      <c r="E946" s="38" t="s">
        <v>875</v>
      </c>
      <c r="F946" s="38" t="str">
        <f aca="false">B946&amp;"|"&amp;C946&amp;"|"&amp;D946</f>
        <v>22|U|C</v>
      </c>
      <c r="G946" s="45" t="n">
        <f aca="false">INDEX('Transition Stepwise'!$J$2:$J$1137,MATCH(F946,'Transition Stepwise'!$E$2:$E$1137,0))</f>
        <v>0.333333333333333</v>
      </c>
      <c r="H946" s="45" t="n">
        <f aca="false">INDEX(Background!$D$12:$D$27,MATCH(C946&amp;D946,Background!$E$12:$E$27,0))</f>
        <v>0.377251501000667</v>
      </c>
      <c r="I946" s="49" t="n">
        <f aca="false">LN(G946/H946)</f>
        <v>-0.123769086121687</v>
      </c>
    </row>
    <row r="947" customFormat="false" ht="15" hidden="false" customHeight="true" outlineLevel="0" collapsed="false">
      <c r="A947" s="38" t="s">
        <v>852</v>
      </c>
      <c r="B947" s="38" t="n">
        <v>23</v>
      </c>
      <c r="C947" s="38" t="s">
        <v>170</v>
      </c>
      <c r="D947" s="38" t="s">
        <v>172</v>
      </c>
      <c r="E947" s="38" t="s">
        <v>875</v>
      </c>
      <c r="F947" s="38" t="str">
        <f aca="false">B947&amp;"|"&amp;C947&amp;"|"&amp;D947</f>
        <v>23|C|A</v>
      </c>
      <c r="G947" s="45" t="n">
        <f aca="false">INDEX('Transition Stepwise'!$J$2:$J$1137,MATCH(F947,'Transition Stepwise'!$E$2:$E$1137,0))</f>
        <v>0.285714285714286</v>
      </c>
      <c r="H947" s="45" t="n">
        <f aca="false">INDEX(Background!$D$12:$D$27,MATCH(C947&amp;D947,Background!$E$12:$E$27,0))</f>
        <v>0.194883966244726</v>
      </c>
      <c r="I947" s="49" t="n">
        <f aca="false">LN(G947/H947)</f>
        <v>0.382587973931343</v>
      </c>
    </row>
    <row r="948" customFormat="false" ht="15" hidden="false" customHeight="true" outlineLevel="0" collapsed="false">
      <c r="A948" s="38" t="s">
        <v>852</v>
      </c>
      <c r="B948" s="38" t="n">
        <v>24</v>
      </c>
      <c r="C948" s="38" t="s">
        <v>172</v>
      </c>
      <c r="D948" s="38" t="s">
        <v>169</v>
      </c>
      <c r="E948" s="38" t="s">
        <v>875</v>
      </c>
      <c r="F948" s="38" t="str">
        <f aca="false">B948&amp;"|"&amp;C948&amp;"|"&amp;D948</f>
        <v>24|A|G</v>
      </c>
      <c r="G948" s="45" t="n">
        <f aca="false">INDEX('Transition Stepwise'!$J$2:$J$1137,MATCH(F948,'Transition Stepwise'!$E$2:$E$1137,0))</f>
        <v>0.024390243902439</v>
      </c>
      <c r="H948" s="45" t="n">
        <f aca="false">INDEX(Background!$D$12:$D$27,MATCH(C948&amp;D948,Background!$E$12:$E$27,0))</f>
        <v>0.424884437596302</v>
      </c>
      <c r="I948" s="49" t="n">
        <f aca="false">LN(G948/H948)</f>
        <v>-2.85763400813383</v>
      </c>
    </row>
    <row r="949" customFormat="false" ht="15" hidden="false" customHeight="true" outlineLevel="0" collapsed="false">
      <c r="A949" s="38" t="s">
        <v>852</v>
      </c>
      <c r="B949" s="38" t="n">
        <v>25</v>
      </c>
      <c r="C949" s="38" t="s">
        <v>169</v>
      </c>
      <c r="D949" s="38" t="s">
        <v>170</v>
      </c>
      <c r="E949" s="38" t="s">
        <v>875</v>
      </c>
      <c r="F949" s="38" t="str">
        <f aca="false">B949&amp;"|"&amp;C949&amp;"|"&amp;D949</f>
        <v>25|G|C</v>
      </c>
      <c r="G949" s="45" t="n">
        <f aca="false">INDEX('Transition Stepwise'!$J$2:$J$1137,MATCH(F949,'Transition Stepwise'!$E$2:$E$1137,0))</f>
        <v>0.0909090909090909</v>
      </c>
      <c r="H949" s="45" t="n">
        <f aca="false">INDEX(Background!$D$12:$D$27,MATCH(C949&amp;D949,Background!$E$12:$E$27,0))</f>
        <v>0.256105610561056</v>
      </c>
      <c r="I949" s="49" t="n">
        <f aca="false">LN(G949/H949)</f>
        <v>-1.03572989447817</v>
      </c>
    </row>
    <row r="950" customFormat="false" ht="15" hidden="false" customHeight="true" outlineLevel="0" collapsed="false">
      <c r="A950" s="38" t="s">
        <v>852</v>
      </c>
      <c r="B950" s="38" t="n">
        <v>26</v>
      </c>
      <c r="C950" s="38" t="s">
        <v>170</v>
      </c>
      <c r="D950" s="38" t="s">
        <v>172</v>
      </c>
      <c r="E950" s="38" t="s">
        <v>875</v>
      </c>
      <c r="F950" s="38" t="str">
        <f aca="false">B950&amp;"|"&amp;C950&amp;"|"&amp;D950</f>
        <v>26|C|A</v>
      </c>
      <c r="G950" s="45" t="n">
        <f aca="false">INDEX('Transition Stepwise'!$J$2:$J$1137,MATCH(F950,'Transition Stepwise'!$E$2:$E$1137,0))</f>
        <v>0.111111111111111</v>
      </c>
      <c r="H950" s="45" t="n">
        <f aca="false">INDEX(Background!$D$12:$D$27,MATCH(C950&amp;D950,Background!$E$12:$E$27,0))</f>
        <v>0.194883966244726</v>
      </c>
      <c r="I950" s="49" t="n">
        <f aca="false">LN(G950/H950)</f>
        <v>-0.561873634909509</v>
      </c>
    </row>
    <row r="951" customFormat="false" ht="15" hidden="false" customHeight="true" outlineLevel="0" collapsed="false">
      <c r="A951" s="38" t="s">
        <v>852</v>
      </c>
      <c r="B951" s="38" t="n">
        <v>27</v>
      </c>
      <c r="C951" s="38" t="s">
        <v>172</v>
      </c>
      <c r="D951" s="38" t="s">
        <v>171</v>
      </c>
      <c r="E951" s="38" t="s">
        <v>875</v>
      </c>
      <c r="F951" s="38" t="str">
        <f aca="false">B951&amp;"|"&amp;C951&amp;"|"&amp;D951</f>
        <v>27|A|U</v>
      </c>
      <c r="G951" s="45" t="n">
        <f aca="false">INDEX('Transition Stepwise'!$J$2:$J$1137,MATCH(F951,'Transition Stepwise'!$E$2:$E$1137,0))</f>
        <v>0.214285714285714</v>
      </c>
      <c r="H951" s="45" t="n">
        <f aca="false">INDEX(Background!$D$12:$D$27,MATCH(C951&amp;D951,Background!$E$12:$E$27,0))</f>
        <v>0.194530046224961</v>
      </c>
      <c r="I951" s="49" t="n">
        <f aca="false">LN(G951/H951)</f>
        <v>0.0967236076014718</v>
      </c>
    </row>
    <row r="952" customFormat="false" ht="15" hidden="false" customHeight="true" outlineLevel="0" collapsed="false">
      <c r="A952" s="38" t="s">
        <v>852</v>
      </c>
      <c r="B952" s="38" t="n">
        <v>28</v>
      </c>
      <c r="C952" s="38" t="s">
        <v>171</v>
      </c>
      <c r="D952" s="38" t="s">
        <v>172</v>
      </c>
      <c r="E952" s="38" t="s">
        <v>875</v>
      </c>
      <c r="F952" s="38" t="str">
        <f aca="false">B952&amp;"|"&amp;C952&amp;"|"&amp;D952</f>
        <v>28|U|A</v>
      </c>
      <c r="G952" s="45" t="n">
        <f aca="false">INDEX('Transition Stepwise'!$J$2:$J$1137,MATCH(F952,'Transition Stepwise'!$E$2:$E$1137,0))</f>
        <v>0.148148148148148</v>
      </c>
      <c r="H952" s="45" t="n">
        <f aca="false">INDEX(Background!$D$12:$D$27,MATCH(C952&amp;D952,Background!$E$12:$E$27,0))</f>
        <v>0.180787191460974</v>
      </c>
      <c r="I952" s="49" t="n">
        <f aca="false">LN(G952/H952)</f>
        <v>-0.199107827661542</v>
      </c>
    </row>
    <row r="953" customFormat="false" ht="15" hidden="false" customHeight="true" outlineLevel="0" collapsed="false">
      <c r="A953" s="38" t="s">
        <v>852</v>
      </c>
      <c r="B953" s="38" t="n">
        <v>29</v>
      </c>
      <c r="C953" s="38" t="s">
        <v>172</v>
      </c>
      <c r="D953" s="38" t="s">
        <v>171</v>
      </c>
      <c r="E953" s="38" t="s">
        <v>875</v>
      </c>
      <c r="F953" s="38" t="str">
        <f aca="false">B953&amp;"|"&amp;C953&amp;"|"&amp;D953</f>
        <v>29|A|U</v>
      </c>
      <c r="G953" s="45" t="n">
        <f aca="false">INDEX('Transition Stepwise'!$J$2:$J$1137,MATCH(F953,'Transition Stepwise'!$E$2:$E$1137,0))</f>
        <v>0.0277777777777778</v>
      </c>
      <c r="H953" s="45" t="n">
        <f aca="false">INDEX(Background!$D$12:$D$27,MATCH(C953&amp;D953,Background!$E$12:$E$27,0))</f>
        <v>0.194530046224961</v>
      </c>
      <c r="I953" s="49" t="n">
        <f aca="false">LN(G953/H953)</f>
        <v>-1.94635028990749</v>
      </c>
    </row>
    <row r="954" customFormat="false" ht="15" hidden="false" customHeight="true" outlineLevel="0" collapsed="false">
      <c r="A954" s="38" t="s">
        <v>852</v>
      </c>
      <c r="B954" s="38" t="n">
        <v>30</v>
      </c>
      <c r="C954" s="38" t="s">
        <v>171</v>
      </c>
      <c r="D954" s="38" t="s">
        <v>171</v>
      </c>
      <c r="E954" s="38" t="s">
        <v>875</v>
      </c>
      <c r="F954" s="38" t="str">
        <f aca="false">B954&amp;"|"&amp;C954&amp;"|"&amp;D954</f>
        <v>30|U|U</v>
      </c>
      <c r="G954" s="45" t="n">
        <f aca="false">INDEX('Transition Stepwise'!$J$2:$J$1137,MATCH(F954,'Transition Stepwise'!$E$2:$E$1137,0))</f>
        <v>0.0909090909090909</v>
      </c>
      <c r="H954" s="45" t="n">
        <f aca="false">INDEX(Background!$D$12:$D$27,MATCH(C954&amp;D954,Background!$E$12:$E$27,0))</f>
        <v>0.220480320213476</v>
      </c>
      <c r="I954" s="49" t="n">
        <f aca="false">LN(G954/H954)</f>
        <v>-0.885948433987514</v>
      </c>
    </row>
    <row r="955" customFormat="false" ht="15" hidden="false" customHeight="true" outlineLevel="0" collapsed="false">
      <c r="A955" s="38" t="s">
        <v>852</v>
      </c>
      <c r="B955" s="38" t="n">
        <v>31</v>
      </c>
      <c r="C955" s="38" t="s">
        <v>171</v>
      </c>
      <c r="D955" s="38" t="s">
        <v>169</v>
      </c>
      <c r="E955" s="38" t="s">
        <v>875</v>
      </c>
      <c r="F955" s="38" t="str">
        <f aca="false">B955&amp;"|"&amp;C955&amp;"|"&amp;D955</f>
        <v>31|U|G</v>
      </c>
      <c r="G955" s="45" t="n">
        <f aca="false">INDEX('Transition Stepwise'!$J$2:$J$1137,MATCH(F955,'Transition Stepwise'!$E$2:$E$1137,0))</f>
        <v>0.0434782608695652</v>
      </c>
      <c r="H955" s="45" t="n">
        <f aca="false">INDEX(Background!$D$12:$D$27,MATCH(C955&amp;D955,Background!$E$12:$E$27,0))</f>
        <v>0.221480987324883</v>
      </c>
      <c r="I955" s="49" t="n">
        <f aca="false">LN(G955/H955)</f>
        <v>-1.62807568674304</v>
      </c>
    </row>
    <row r="956" customFormat="false" ht="15" hidden="false" customHeight="true" outlineLevel="0" collapsed="false">
      <c r="A956" s="38" t="s">
        <v>852</v>
      </c>
      <c r="B956" s="38" t="n">
        <v>32</v>
      </c>
      <c r="C956" s="38" t="s">
        <v>169</v>
      </c>
      <c r="D956" s="38" t="s">
        <v>171</v>
      </c>
      <c r="E956" s="38" t="s">
        <v>875</v>
      </c>
      <c r="F956" s="38" t="str">
        <f aca="false">B956&amp;"|"&amp;C956&amp;"|"&amp;D956</f>
        <v>32|G|U</v>
      </c>
      <c r="G956" s="45" t="n">
        <f aca="false">INDEX('Transition Stepwise'!$J$2:$J$1137,MATCH(F956,'Transition Stepwise'!$E$2:$E$1137,0))</f>
        <v>0.25</v>
      </c>
      <c r="H956" s="45" t="n">
        <f aca="false">INDEX(Background!$D$12:$D$27,MATCH(C956&amp;D956,Background!$E$12:$E$27,0))</f>
        <v>0.234763476347635</v>
      </c>
      <c r="I956" s="49" t="n">
        <f aca="false">LN(G956/H956)</f>
        <v>0.0628823941899354</v>
      </c>
    </row>
    <row r="957" customFormat="false" ht="15" hidden="false" customHeight="true" outlineLevel="0" collapsed="false">
      <c r="A957" s="38" t="s">
        <v>852</v>
      </c>
      <c r="B957" s="38" t="n">
        <v>33</v>
      </c>
      <c r="C957" s="38" t="s">
        <v>171</v>
      </c>
      <c r="D957" s="38" t="s">
        <v>171</v>
      </c>
      <c r="E957" s="38" t="s">
        <v>875</v>
      </c>
      <c r="F957" s="38" t="str">
        <f aca="false">B957&amp;"|"&amp;C957&amp;"|"&amp;D957</f>
        <v>33|U|U</v>
      </c>
      <c r="G957" s="45" t="n">
        <f aca="false">INDEX('Transition Stepwise'!$J$2:$J$1137,MATCH(F957,'Transition Stepwise'!$E$2:$E$1137,0))</f>
        <v>0.293532338308458</v>
      </c>
      <c r="H957" s="45" t="n">
        <f aca="false">INDEX(Background!$D$12:$D$27,MATCH(C957&amp;D957,Background!$E$12:$E$27,0))</f>
        <v>0.220480320213476</v>
      </c>
      <c r="I957" s="49" t="n">
        <f aca="false">LN(G957/H957)</f>
        <v>0.2861793746575</v>
      </c>
    </row>
    <row r="958" customFormat="false" ht="15" hidden="false" customHeight="true" outlineLevel="0" collapsed="false">
      <c r="A958" s="38" t="s">
        <v>852</v>
      </c>
      <c r="B958" s="38" t="n">
        <v>34</v>
      </c>
      <c r="C958" s="38" t="s">
        <v>171</v>
      </c>
      <c r="D958" s="38" t="s">
        <v>171</v>
      </c>
      <c r="E958" s="38" t="s">
        <v>875</v>
      </c>
      <c r="F958" s="38" t="str">
        <f aca="false">B958&amp;"|"&amp;C958&amp;"|"&amp;D958</f>
        <v>34|U|U</v>
      </c>
      <c r="G958" s="45" t="n">
        <f aca="false">INDEX('Transition Stepwise'!$J$2:$J$1137,MATCH(F958,'Transition Stepwise'!$E$2:$E$1137,0))</f>
        <v>0.17741935483871</v>
      </c>
      <c r="H958" s="45" t="n">
        <f aca="false">INDEX(Background!$D$12:$D$27,MATCH(C958&amp;D958,Background!$E$12:$E$27,0))</f>
        <v>0.220480320213476</v>
      </c>
      <c r="I958" s="49" t="n">
        <f aca="false">LN(G958/H958)</f>
        <v>-0.217292273435864</v>
      </c>
    </row>
    <row r="959" customFormat="false" ht="15" hidden="false" customHeight="true" outlineLevel="0" collapsed="false">
      <c r="A959" s="38" t="s">
        <v>852</v>
      </c>
      <c r="B959" s="38" t="n">
        <v>35</v>
      </c>
      <c r="C959" s="38" t="s">
        <v>171</v>
      </c>
      <c r="D959" s="38" t="s">
        <v>172</v>
      </c>
      <c r="E959" s="38" t="s">
        <v>875</v>
      </c>
      <c r="F959" s="38" t="str">
        <f aca="false">B959&amp;"|"&amp;C959&amp;"|"&amp;D959</f>
        <v>35|U|A</v>
      </c>
      <c r="G959" s="45" t="n">
        <f aca="false">INDEX('Transition Stepwise'!$J$2:$J$1137,MATCH(F959,'Transition Stepwise'!$E$2:$E$1137,0))</f>
        <v>0.177777777777778</v>
      </c>
      <c r="H959" s="45" t="n">
        <f aca="false">INDEX(Background!$D$12:$D$27,MATCH(C959&amp;D959,Background!$E$12:$E$27,0))</f>
        <v>0.180787191460974</v>
      </c>
      <c r="I959" s="49" t="n">
        <f aca="false">LN(G959/H959)</f>
        <v>-0.016786270867587</v>
      </c>
    </row>
    <row r="960" customFormat="false" ht="15" hidden="false" customHeight="true" outlineLevel="0" collapsed="false">
      <c r="A960" s="38" t="s">
        <v>852</v>
      </c>
      <c r="B960" s="38" t="n">
        <v>36</v>
      </c>
      <c r="C960" s="38" t="s">
        <v>172</v>
      </c>
      <c r="D960" s="38" t="s">
        <v>172</v>
      </c>
      <c r="E960" s="38" t="s">
        <v>875</v>
      </c>
      <c r="F960" s="38" t="str">
        <f aca="false">B960&amp;"|"&amp;C960&amp;"|"&amp;D960</f>
        <v>36|A|A</v>
      </c>
      <c r="G960" s="45" t="n">
        <f aca="false">INDEX('Transition Stepwise'!$J$2:$J$1137,MATCH(F960,'Transition Stepwise'!$E$2:$E$1137,0))</f>
        <v>0.553191489361702</v>
      </c>
      <c r="H960" s="45" t="n">
        <f aca="false">INDEX(Background!$D$12:$D$27,MATCH(C960&amp;D960,Background!$E$12:$E$27,0))</f>
        <v>0.219568567026194</v>
      </c>
      <c r="I960" s="49" t="n">
        <f aca="false">LN(G960/H960)</f>
        <v>0.924039653306808</v>
      </c>
    </row>
    <row r="961" customFormat="false" ht="15" hidden="false" customHeight="true" outlineLevel="0" collapsed="false">
      <c r="A961" s="38" t="s">
        <v>852</v>
      </c>
      <c r="B961" s="38" t="n">
        <v>37</v>
      </c>
      <c r="C961" s="38" t="s">
        <v>172</v>
      </c>
      <c r="D961" s="38" t="s">
        <v>170</v>
      </c>
      <c r="E961" s="38" t="s">
        <v>875</v>
      </c>
      <c r="F961" s="38" t="str">
        <f aca="false">B961&amp;"|"&amp;C961&amp;"|"&amp;D961</f>
        <v>37|A|C</v>
      </c>
      <c r="G961" s="45" t="n">
        <f aca="false">INDEX('Transition Stepwise'!$J$2:$J$1137,MATCH(F961,'Transition Stepwise'!$E$2:$E$1137,0))</f>
        <v>0.149350649350649</v>
      </c>
      <c r="H961" s="45" t="n">
        <f aca="false">INDEX(Background!$D$12:$D$27,MATCH(C961&amp;D961,Background!$E$12:$E$27,0))</f>
        <v>0.161016949152542</v>
      </c>
      <c r="I961" s="49" t="n">
        <f aca="false">LN(G961/H961)</f>
        <v>-0.0752127411852551</v>
      </c>
    </row>
    <row r="962" customFormat="false" ht="15" hidden="false" customHeight="true" outlineLevel="0" collapsed="false">
      <c r="A962" s="38" t="s">
        <v>852</v>
      </c>
      <c r="B962" s="38" t="n">
        <v>38</v>
      </c>
      <c r="C962" s="38" t="s">
        <v>170</v>
      </c>
      <c r="D962" s="38" t="s">
        <v>172</v>
      </c>
      <c r="E962" s="38" t="s">
        <v>875</v>
      </c>
      <c r="F962" s="38" t="str">
        <f aca="false">B962&amp;"|"&amp;C962&amp;"|"&amp;D962</f>
        <v>38|C|A</v>
      </c>
      <c r="G962" s="45" t="n">
        <f aca="false">INDEX('Transition Stepwise'!$J$2:$J$1137,MATCH(F962,'Transition Stepwise'!$E$2:$E$1137,0))</f>
        <v>0.0303030303030303</v>
      </c>
      <c r="H962" s="45" t="n">
        <f aca="false">INDEX(Background!$D$12:$D$27,MATCH(C962&amp;D962,Background!$E$12:$E$27,0))</f>
        <v>0.194883966244726</v>
      </c>
      <c r="I962" s="49" t="n">
        <f aca="false">LN(G962/H962)</f>
        <v>-1.86115661903977</v>
      </c>
    </row>
    <row r="963" customFormat="false" ht="15" hidden="false" customHeight="true" outlineLevel="0" collapsed="false">
      <c r="A963" s="38" t="s">
        <v>852</v>
      </c>
      <c r="B963" s="38" t="n">
        <v>39</v>
      </c>
      <c r="C963" s="38" t="s">
        <v>172</v>
      </c>
      <c r="D963" s="38" t="s">
        <v>169</v>
      </c>
      <c r="E963" s="38" t="s">
        <v>875</v>
      </c>
      <c r="F963" s="38" t="str">
        <f aca="false">B963&amp;"|"&amp;C963&amp;"|"&amp;D963</f>
        <v>39|A|G</v>
      </c>
      <c r="G963" s="45" t="n">
        <f aca="false">INDEX('Transition Stepwise'!$J$2:$J$1137,MATCH(F963,'Transition Stepwise'!$E$2:$E$1137,0))</f>
        <v>0.136363636363636</v>
      </c>
      <c r="H963" s="45" t="n">
        <f aca="false">INDEX(Background!$D$12:$D$27,MATCH(C963&amp;D963,Background!$E$12:$E$27,0))</f>
        <v>0.424884437596302</v>
      </c>
      <c r="I963" s="49" t="n">
        <f aca="false">LN(G963/H963)</f>
        <v>-1.13649210611973</v>
      </c>
    </row>
    <row r="964" customFormat="false" ht="15" hidden="false" customHeight="true" outlineLevel="0" collapsed="false">
      <c r="A964" s="38" t="s">
        <v>852</v>
      </c>
      <c r="B964" s="38" t="n">
        <v>40</v>
      </c>
      <c r="C964" s="38" t="s">
        <v>169</v>
      </c>
      <c r="D964" s="38" t="s">
        <v>171</v>
      </c>
      <c r="E964" s="38" t="s">
        <v>875</v>
      </c>
      <c r="F964" s="38" t="str">
        <f aca="false">B964&amp;"|"&amp;C964&amp;"|"&amp;D964</f>
        <v>40|G|U</v>
      </c>
      <c r="G964" s="45" t="n">
        <f aca="false">INDEX('Transition Stepwise'!$J$2:$J$1137,MATCH(F964,'Transition Stepwise'!$E$2:$E$1137,0))</f>
        <v>0.176470588235294</v>
      </c>
      <c r="H964" s="45" t="n">
        <f aca="false">INDEX(Background!$D$12:$D$27,MATCH(C964&amp;D964,Background!$E$12:$E$27,0))</f>
        <v>0.234763476347635</v>
      </c>
      <c r="I964" s="49" t="n">
        <f aca="false">LN(G964/H964)</f>
        <v>-0.28542430007828</v>
      </c>
    </row>
    <row r="965" customFormat="false" ht="15" hidden="false" customHeight="true" outlineLevel="0" collapsed="false">
      <c r="A965" s="38" t="s">
        <v>852</v>
      </c>
      <c r="B965" s="38" t="n">
        <v>41</v>
      </c>
      <c r="C965" s="38" t="s">
        <v>171</v>
      </c>
      <c r="D965" s="38" t="s">
        <v>169</v>
      </c>
      <c r="E965" s="38" t="s">
        <v>875</v>
      </c>
      <c r="F965" s="38" t="str">
        <f aca="false">B965&amp;"|"&amp;C965&amp;"|"&amp;D965</f>
        <v>41|U|G</v>
      </c>
      <c r="G965" s="45" t="n">
        <f aca="false">INDEX('Transition Stepwise'!$J$2:$J$1137,MATCH(F965,'Transition Stepwise'!$E$2:$E$1137,0))</f>
        <v>0.513513513513514</v>
      </c>
      <c r="H965" s="45" t="n">
        <f aca="false">INDEX(Background!$D$12:$D$27,MATCH(C965&amp;D965,Background!$E$12:$E$27,0))</f>
        <v>0.221480987324883</v>
      </c>
      <c r="I965" s="49" t="n">
        <f aca="false">LN(G965/H965)</f>
        <v>0.840939595708325</v>
      </c>
    </row>
    <row r="966" customFormat="false" ht="15" hidden="false" customHeight="true" outlineLevel="0" collapsed="false">
      <c r="A966" s="38" t="s">
        <v>852</v>
      </c>
      <c r="B966" s="38" t="n">
        <v>42</v>
      </c>
      <c r="C966" s="38" t="s">
        <v>169</v>
      </c>
      <c r="D966" s="38" t="s">
        <v>171</v>
      </c>
      <c r="E966" s="38" t="s">
        <v>875</v>
      </c>
      <c r="F966" s="38" t="str">
        <f aca="false">B966&amp;"|"&amp;C966&amp;"|"&amp;D966</f>
        <v>42|G|U</v>
      </c>
      <c r="G966" s="45" t="n">
        <f aca="false">INDEX('Transition Stepwise'!$J$2:$J$1137,MATCH(F966,'Transition Stepwise'!$E$2:$E$1137,0))</f>
        <v>0.192660550458716</v>
      </c>
      <c r="H966" s="45" t="n">
        <f aca="false">INDEX(Background!$D$12:$D$27,MATCH(C966&amp;D966,Background!$E$12:$E$27,0))</f>
        <v>0.234763476347635</v>
      </c>
      <c r="I966" s="49" t="n">
        <f aca="false">LN(G966/H966)</f>
        <v>-0.197648689195895</v>
      </c>
    </row>
    <row r="967" customFormat="false" ht="15" hidden="false" customHeight="true" outlineLevel="0" collapsed="false">
      <c r="A967" s="38" t="s">
        <v>852</v>
      </c>
      <c r="B967" s="38" t="n">
        <v>43</v>
      </c>
      <c r="C967" s="38" t="s">
        <v>171</v>
      </c>
      <c r="D967" s="38" t="s">
        <v>172</v>
      </c>
      <c r="E967" s="38" t="s">
        <v>875</v>
      </c>
      <c r="F967" s="38" t="str">
        <f aca="false">B967&amp;"|"&amp;C967&amp;"|"&amp;D967</f>
        <v>43|U|A</v>
      </c>
      <c r="G967" s="45" t="n">
        <f aca="false">INDEX('Transition Stepwise'!$J$2:$J$1137,MATCH(F967,'Transition Stepwise'!$E$2:$E$1137,0))</f>
        <v>0.444444444444444</v>
      </c>
      <c r="H967" s="45" t="n">
        <f aca="false">INDEX(Background!$D$12:$D$27,MATCH(C967&amp;D967,Background!$E$12:$E$27,0))</f>
        <v>0.180787191460974</v>
      </c>
      <c r="I967" s="49" t="n">
        <f aca="false">LN(G967/H967)</f>
        <v>0.899504461006568</v>
      </c>
    </row>
    <row r="968" customFormat="false" ht="15" hidden="false" customHeight="true" outlineLevel="0" collapsed="false">
      <c r="A968" s="38" t="s">
        <v>852</v>
      </c>
      <c r="B968" s="38" t="n">
        <v>44</v>
      </c>
      <c r="C968" s="38" t="s">
        <v>172</v>
      </c>
      <c r="D968" s="38" t="s">
        <v>169</v>
      </c>
      <c r="E968" s="38" t="s">
        <v>875</v>
      </c>
      <c r="F968" s="38" t="str">
        <f aca="false">B968&amp;"|"&amp;C968&amp;"|"&amp;D968</f>
        <v>44|A|G</v>
      </c>
      <c r="G968" s="45" t="n">
        <f aca="false">INDEX('Transition Stepwise'!$J$2:$J$1137,MATCH(F968,'Transition Stepwise'!$E$2:$E$1137,0))</f>
        <v>0.852941176470588</v>
      </c>
      <c r="H968" s="45" t="n">
        <f aca="false">INDEX(Background!$D$12:$D$27,MATCH(C968&amp;D968,Background!$E$12:$E$27,0))</f>
        <v>0.424884437596302</v>
      </c>
      <c r="I968" s="49" t="n">
        <f aca="false">LN(G968/H968)</f>
        <v>0.696873363940791</v>
      </c>
    </row>
    <row r="969" customFormat="false" ht="15" hidden="false" customHeight="true" outlineLevel="0" collapsed="false">
      <c r="A969" s="38" t="s">
        <v>852</v>
      </c>
      <c r="B969" s="38" t="n">
        <v>45</v>
      </c>
      <c r="C969" s="38" t="s">
        <v>169</v>
      </c>
      <c r="D969" s="38" t="s">
        <v>172</v>
      </c>
      <c r="E969" s="38" t="s">
        <v>875</v>
      </c>
      <c r="F969" s="38" t="str">
        <f aca="false">B969&amp;"|"&amp;C969&amp;"|"&amp;D969</f>
        <v>45|G|A</v>
      </c>
      <c r="G969" s="45" t="n">
        <f aca="false">INDEX('Transition Stepwise'!$J$2:$J$1137,MATCH(F969,'Transition Stepwise'!$E$2:$E$1137,0))</f>
        <v>0.116788321167883</v>
      </c>
      <c r="H969" s="45" t="n">
        <f aca="false">INDEX(Background!$D$12:$D$27,MATCH(C969&amp;D969,Background!$E$12:$E$27,0))</f>
        <v>0.164356435643564</v>
      </c>
      <c r="I969" s="49" t="n">
        <f aca="false">LN(G969/H969)</f>
        <v>-0.341674382109582</v>
      </c>
    </row>
    <row r="970" customFormat="false" ht="15" hidden="false" customHeight="true" outlineLevel="0" collapsed="false">
      <c r="A970" s="38" t="s">
        <v>852</v>
      </c>
      <c r="B970" s="38" t="n">
        <v>46</v>
      </c>
      <c r="C970" s="38" t="s">
        <v>172</v>
      </c>
      <c r="D970" s="38" t="s">
        <v>172</v>
      </c>
      <c r="E970" s="38" t="s">
        <v>875</v>
      </c>
      <c r="F970" s="38" t="str">
        <f aca="false">B970&amp;"|"&amp;C970&amp;"|"&amp;D970</f>
        <v>46|A|A</v>
      </c>
      <c r="G970" s="45" t="n">
        <f aca="false">INDEX('Transition Stepwise'!$J$2:$J$1137,MATCH(F970,'Transition Stepwise'!$E$2:$E$1137,0))</f>
        <v>0.05</v>
      </c>
      <c r="H970" s="45" t="n">
        <f aca="false">INDEX(Background!$D$12:$D$27,MATCH(C970&amp;D970,Background!$E$12:$E$27,0))</f>
        <v>0.219568567026194</v>
      </c>
      <c r="I970" s="49" t="n">
        <f aca="false">LN(G970/H970)</f>
        <v>-1.47964155655861</v>
      </c>
    </row>
    <row r="971" customFormat="false" ht="15" hidden="false" customHeight="true" outlineLevel="0" collapsed="false">
      <c r="A971" s="38" t="s">
        <v>852</v>
      </c>
      <c r="B971" s="38" t="n">
        <v>47</v>
      </c>
      <c r="C971" s="38" t="s">
        <v>172</v>
      </c>
      <c r="D971" s="38" t="s">
        <v>171</v>
      </c>
      <c r="E971" s="38" t="s">
        <v>875</v>
      </c>
      <c r="F971" s="38" t="str">
        <f aca="false">B971&amp;"|"&amp;C971&amp;"|"&amp;D971</f>
        <v>47|A|U</v>
      </c>
      <c r="G971" s="45" t="n">
        <f aca="false">INDEX('Transition Stepwise'!$J$2:$J$1137,MATCH(F971,'Transition Stepwise'!$E$2:$E$1137,0))</f>
        <v>0.166666666666667</v>
      </c>
      <c r="H971" s="45" t="n">
        <f aca="false">INDEX(Background!$D$12:$D$27,MATCH(C971&amp;D971,Background!$E$12:$E$27,0))</f>
        <v>0.194530046224961</v>
      </c>
      <c r="I971" s="49" t="n">
        <f aca="false">LN(G971/H971)</f>
        <v>-0.154590820679434</v>
      </c>
    </row>
    <row r="972" customFormat="false" ht="15" hidden="false" customHeight="true" outlineLevel="0" collapsed="false">
      <c r="A972" s="38" t="s">
        <v>852</v>
      </c>
      <c r="B972" s="38" t="n">
        <v>48</v>
      </c>
      <c r="C972" s="38" t="s">
        <v>171</v>
      </c>
      <c r="D972" s="38" t="s">
        <v>172</v>
      </c>
      <c r="E972" s="38" t="s">
        <v>875</v>
      </c>
      <c r="F972" s="38" t="str">
        <f aca="false">B972&amp;"|"&amp;C972&amp;"|"&amp;D972</f>
        <v>48|U|A</v>
      </c>
      <c r="G972" s="45" t="n">
        <f aca="false">INDEX('Transition Stepwise'!$J$2:$J$1137,MATCH(F972,'Transition Stepwise'!$E$2:$E$1137,0))</f>
        <v>0.242424242424242</v>
      </c>
      <c r="H972" s="45" t="n">
        <f aca="false">INDEX(Background!$D$12:$D$27,MATCH(C972&amp;D972,Background!$E$12:$E$27,0))</f>
        <v>0.180787191460974</v>
      </c>
      <c r="I972" s="49" t="n">
        <f aca="false">LN(G972/H972)</f>
        <v>0.293368657436252</v>
      </c>
    </row>
    <row r="973" customFormat="false" ht="15" hidden="false" customHeight="true" outlineLevel="0" collapsed="false">
      <c r="A973" s="38" t="s">
        <v>852</v>
      </c>
      <c r="B973" s="38" t="n">
        <v>49</v>
      </c>
      <c r="C973" s="38" t="s">
        <v>172</v>
      </c>
      <c r="D973" s="38" t="s">
        <v>172</v>
      </c>
      <c r="E973" s="38" t="s">
        <v>875</v>
      </c>
      <c r="F973" s="38" t="str">
        <f aca="false">B973&amp;"|"&amp;C973&amp;"|"&amp;D973</f>
        <v>49|A|A</v>
      </c>
      <c r="G973" s="45" t="n">
        <f aca="false">INDEX('Transition Stepwise'!$J$2:$J$1137,MATCH(F973,'Transition Stepwise'!$E$2:$E$1137,0))</f>
        <v>0.0857142857142857</v>
      </c>
      <c r="H973" s="45" t="n">
        <f aca="false">INDEX(Background!$D$12:$D$27,MATCH(C973&amp;D973,Background!$E$12:$E$27,0))</f>
        <v>0.219568567026194</v>
      </c>
      <c r="I973" s="49" t="n">
        <f aca="false">LN(G973/H973)</f>
        <v>-0.940645055825919</v>
      </c>
    </row>
    <row r="974" customFormat="false" ht="15" hidden="false" customHeight="true" outlineLevel="0" collapsed="false">
      <c r="A974" s="38" t="s">
        <v>852</v>
      </c>
      <c r="B974" s="38" t="n">
        <v>50</v>
      </c>
      <c r="C974" s="38" t="s">
        <v>172</v>
      </c>
      <c r="D974" s="38" t="s">
        <v>171</v>
      </c>
      <c r="E974" s="38" t="s">
        <v>875</v>
      </c>
      <c r="F974" s="38" t="str">
        <f aca="false">B974&amp;"|"&amp;C974&amp;"|"&amp;D974</f>
        <v>50|A|U</v>
      </c>
      <c r="G974" s="45" t="n">
        <f aca="false">INDEX('Transition Stepwise'!$J$2:$J$1137,MATCH(F974,'Transition Stepwise'!$E$2:$E$1137,0))</f>
        <v>0.111111111111111</v>
      </c>
      <c r="H974" s="45" t="n">
        <f aca="false">INDEX(Background!$D$12:$D$27,MATCH(C974&amp;D974,Background!$E$12:$E$27,0))</f>
        <v>0.194530046224961</v>
      </c>
      <c r="I974" s="49" t="n">
        <f aca="false">LN(G974/H974)</f>
        <v>-0.560055928787599</v>
      </c>
    </row>
    <row r="975" customFormat="false" ht="15" hidden="false" customHeight="true" outlineLevel="0" collapsed="false">
      <c r="A975" s="38" t="s">
        <v>852</v>
      </c>
      <c r="B975" s="38" t="n">
        <v>51</v>
      </c>
      <c r="C975" s="38" t="s">
        <v>171</v>
      </c>
      <c r="D975" s="38" t="s">
        <v>171</v>
      </c>
      <c r="E975" s="38" t="s">
        <v>875</v>
      </c>
      <c r="F975" s="38" t="str">
        <f aca="false">B975&amp;"|"&amp;C975&amp;"|"&amp;D975</f>
        <v>51|U|U</v>
      </c>
      <c r="G975" s="45" t="n">
        <f aca="false">INDEX('Transition Stepwise'!$J$2:$J$1137,MATCH(F975,'Transition Stepwise'!$E$2:$E$1137,0))</f>
        <v>0.0588235294117647</v>
      </c>
      <c r="H975" s="45" t="n">
        <f aca="false">INDEX(Background!$D$12:$D$27,MATCH(C975&amp;D975,Background!$E$12:$E$27,0))</f>
        <v>0.220480320213476</v>
      </c>
      <c r="I975" s="49" t="n">
        <f aca="false">LN(G975/H975)</f>
        <v>-1.32126650524536</v>
      </c>
    </row>
    <row r="976" customFormat="false" ht="15" hidden="false" customHeight="true" outlineLevel="0" collapsed="false">
      <c r="A976" s="38" t="s">
        <v>852</v>
      </c>
      <c r="B976" s="38" t="n">
        <v>52</v>
      </c>
      <c r="C976" s="38" t="s">
        <v>171</v>
      </c>
      <c r="D976" s="38" t="s">
        <v>169</v>
      </c>
      <c r="E976" s="38" t="s">
        <v>875</v>
      </c>
      <c r="F976" s="38" t="str">
        <f aca="false">B976&amp;"|"&amp;C976&amp;"|"&amp;D976</f>
        <v>52|U|G</v>
      </c>
      <c r="G976" s="45" t="n">
        <f aca="false">INDEX('Transition Stepwise'!$J$2:$J$1137,MATCH(F976,'Transition Stepwise'!$E$2:$E$1137,0))</f>
        <v>0.5</v>
      </c>
      <c r="H976" s="45" t="n">
        <f aca="false">INDEX(Background!$D$12:$D$27,MATCH(C976&amp;D976,Background!$E$12:$E$27,0))</f>
        <v>0.221480987324883</v>
      </c>
      <c r="I976" s="49" t="n">
        <f aca="false">LN(G976/H976)</f>
        <v>0.814271348626164</v>
      </c>
    </row>
    <row r="977" customFormat="false" ht="15" hidden="false" customHeight="true" outlineLevel="0" collapsed="false">
      <c r="A977" s="38" t="s">
        <v>852</v>
      </c>
      <c r="B977" s="38" t="n">
        <v>53</v>
      </c>
      <c r="C977" s="38" t="s">
        <v>169</v>
      </c>
      <c r="D977" s="38" t="s">
        <v>171</v>
      </c>
      <c r="E977" s="38" t="s">
        <v>875</v>
      </c>
      <c r="F977" s="38" t="str">
        <f aca="false">B977&amp;"|"&amp;C977&amp;"|"&amp;D977</f>
        <v>53|G|U</v>
      </c>
      <c r="G977" s="45" t="n">
        <f aca="false">INDEX('Transition Stepwise'!$J$2:$J$1137,MATCH(F977,'Transition Stepwise'!$E$2:$E$1137,0))</f>
        <v>0.974874371859297</v>
      </c>
      <c r="H977" s="45" t="n">
        <f aca="false">INDEX(Background!$D$12:$D$27,MATCH(C977&amp;D977,Background!$E$12:$E$27,0))</f>
        <v>0.234763476347635</v>
      </c>
      <c r="I977" s="49" t="n">
        <f aca="false">LN(G977/H977)</f>
        <v>1.42373008964866</v>
      </c>
    </row>
    <row r="978" customFormat="false" ht="15" hidden="false" customHeight="true" outlineLevel="0" collapsed="false">
      <c r="A978" s="38" t="s">
        <v>852</v>
      </c>
      <c r="B978" s="38" t="n">
        <v>54</v>
      </c>
      <c r="C978" s="38" t="s">
        <v>171</v>
      </c>
      <c r="D978" s="38" t="s">
        <v>171</v>
      </c>
      <c r="E978" s="38" t="s">
        <v>875</v>
      </c>
      <c r="F978" s="38" t="str">
        <f aca="false">B978&amp;"|"&amp;C978&amp;"|"&amp;D978</f>
        <v>54|U|U</v>
      </c>
      <c r="G978" s="45" t="n">
        <f aca="false">INDEX('Transition Stepwise'!$J$2:$J$1137,MATCH(F978,'Transition Stepwise'!$E$2:$E$1137,0))</f>
        <v>0.970149253731343</v>
      </c>
      <c r="H978" s="45" t="n">
        <f aca="false">INDEX(Background!$D$12:$D$27,MATCH(C978&amp;D978,Background!$E$12:$E$27,0))</f>
        <v>0.220480320213476</v>
      </c>
      <c r="I978" s="49" t="n">
        <f aca="false">LN(G978/H978)</f>
        <v>1.48164148931553</v>
      </c>
    </row>
    <row r="979" customFormat="false" ht="15" hidden="false" customHeight="true" outlineLevel="0" collapsed="false">
      <c r="A979" s="38" t="s">
        <v>852</v>
      </c>
      <c r="B979" s="38" t="n">
        <v>55</v>
      </c>
      <c r="C979" s="38" t="s">
        <v>171</v>
      </c>
      <c r="D979" s="38" t="s">
        <v>170</v>
      </c>
      <c r="E979" s="38" t="s">
        <v>875</v>
      </c>
      <c r="F979" s="38" t="str">
        <f aca="false">B979&amp;"|"&amp;C979&amp;"|"&amp;D979</f>
        <v>55|U|C</v>
      </c>
      <c r="G979" s="45" t="n">
        <f aca="false">INDEX('Transition Stepwise'!$J$2:$J$1137,MATCH(F979,'Transition Stepwise'!$E$2:$E$1137,0))</f>
        <v>0.975</v>
      </c>
      <c r="H979" s="45" t="n">
        <f aca="false">INDEX(Background!$D$12:$D$27,MATCH(C979&amp;D979,Background!$E$12:$E$27,0))</f>
        <v>0.377251501000667</v>
      </c>
      <c r="I979" s="49" t="n">
        <f aca="false">LN(G979/H979)</f>
        <v>0.949525394562133</v>
      </c>
    </row>
    <row r="980" customFormat="false" ht="15" hidden="false" customHeight="true" outlineLevel="0" collapsed="false">
      <c r="A980" s="38" t="s">
        <v>852</v>
      </c>
      <c r="B980" s="38" t="n">
        <v>56</v>
      </c>
      <c r="C980" s="38" t="s">
        <v>170</v>
      </c>
      <c r="D980" s="38" t="s">
        <v>169</v>
      </c>
      <c r="E980" s="38" t="s">
        <v>875</v>
      </c>
      <c r="F980" s="38" t="str">
        <f aca="false">B980&amp;"|"&amp;C980&amp;"|"&amp;D980</f>
        <v>56|C|G</v>
      </c>
      <c r="G980" s="45" t="n">
        <f aca="false">INDEX('Transition Stepwise'!$J$2:$J$1137,MATCH(F980,'Transition Stepwise'!$E$2:$E$1137,0))</f>
        <v>0.608040201005025</v>
      </c>
      <c r="H980" s="45" t="n">
        <f aca="false">INDEX(Background!$D$12:$D$27,MATCH(C980&amp;D980,Background!$E$12:$E$27,0))</f>
        <v>0.296413502109705</v>
      </c>
      <c r="I980" s="49" t="n">
        <f aca="false">LN(G980/H980)</f>
        <v>0.718485553793525</v>
      </c>
    </row>
    <row r="981" customFormat="false" ht="15" hidden="false" customHeight="true" outlineLevel="0" collapsed="false">
      <c r="A981" s="38" t="s">
        <v>852</v>
      </c>
      <c r="B981" s="38" t="n">
        <v>57</v>
      </c>
      <c r="C981" s="38" t="s">
        <v>169</v>
      </c>
      <c r="D981" s="38" t="s">
        <v>169</v>
      </c>
      <c r="E981" s="38" t="s">
        <v>875</v>
      </c>
      <c r="F981" s="38" t="str">
        <f aca="false">B981&amp;"|"&amp;C981&amp;"|"&amp;D981</f>
        <v>57|G|G</v>
      </c>
      <c r="G981" s="45" t="n">
        <f aca="false">INDEX('Transition Stepwise'!$J$2:$J$1137,MATCH(F981,'Transition Stepwise'!$E$2:$E$1137,0))</f>
        <v>0.008</v>
      </c>
      <c r="H981" s="45" t="n">
        <f aca="false">INDEX(Background!$D$12:$D$27,MATCH(C981&amp;D981,Background!$E$12:$E$27,0))</f>
        <v>0.344774477447745</v>
      </c>
      <c r="I981" s="49" t="n">
        <f aca="false">LN(G981/H981)</f>
        <v>-3.76344897304674</v>
      </c>
    </row>
    <row r="982" customFormat="false" ht="15" hidden="false" customHeight="true" outlineLevel="0" collapsed="false">
      <c r="A982" s="38" t="s">
        <v>852</v>
      </c>
      <c r="B982" s="38" t="n">
        <v>58</v>
      </c>
      <c r="C982" s="38" t="s">
        <v>169</v>
      </c>
      <c r="D982" s="38" t="s">
        <v>172</v>
      </c>
      <c r="E982" s="38" t="s">
        <v>875</v>
      </c>
      <c r="F982" s="38" t="str">
        <f aca="false">B982&amp;"|"&amp;C982&amp;"|"&amp;D982</f>
        <v>58|G|A</v>
      </c>
      <c r="G982" s="45" t="n">
        <f aca="false">INDEX('Transition Stepwise'!$J$2:$J$1137,MATCH(F982,'Transition Stepwise'!$E$2:$E$1137,0))</f>
        <v>0.25</v>
      </c>
      <c r="H982" s="45" t="n">
        <f aca="false">INDEX(Background!$D$12:$D$27,MATCH(C982&amp;D982,Background!$E$12:$E$27,0))</f>
        <v>0.164356435643564</v>
      </c>
      <c r="I982" s="49" t="n">
        <f aca="false">LN(G982/H982)</f>
        <v>0.419423460358871</v>
      </c>
    </row>
    <row r="983" customFormat="false" ht="15" hidden="false" customHeight="true" outlineLevel="0" collapsed="false">
      <c r="A983" s="38" t="s">
        <v>852</v>
      </c>
      <c r="B983" s="38" t="n">
        <v>59</v>
      </c>
      <c r="C983" s="38" t="s">
        <v>172</v>
      </c>
      <c r="D983" s="38" t="s">
        <v>172</v>
      </c>
      <c r="E983" s="38" t="s">
        <v>875</v>
      </c>
      <c r="F983" s="38" t="str">
        <f aca="false">B983&amp;"|"&amp;C983&amp;"|"&amp;D983</f>
        <v>59|A|A</v>
      </c>
      <c r="G983" s="45" t="n">
        <f aca="false">INDEX('Transition Stepwise'!$J$2:$J$1137,MATCH(F983,'Transition Stepwise'!$E$2:$E$1137,0))</f>
        <v>0.0210526315789474</v>
      </c>
      <c r="H983" s="45" t="n">
        <f aca="false">INDEX(Background!$D$12:$D$27,MATCH(C983&amp;D983,Background!$E$12:$E$27,0))</f>
        <v>0.219568567026194</v>
      </c>
      <c r="I983" s="49" t="n">
        <f aca="false">LN(G983/H983)</f>
        <v>-2.34463899404521</v>
      </c>
    </row>
    <row r="984" customFormat="false" ht="15" hidden="false" customHeight="true" outlineLevel="0" collapsed="false">
      <c r="A984" s="38" t="s">
        <v>852</v>
      </c>
      <c r="B984" s="38" t="n">
        <v>60</v>
      </c>
      <c r="C984" s="38" t="s">
        <v>172</v>
      </c>
      <c r="D984" s="38" t="s">
        <v>170</v>
      </c>
      <c r="E984" s="38" t="s">
        <v>875</v>
      </c>
      <c r="F984" s="38" t="str">
        <f aca="false">B984&amp;"|"&amp;C984&amp;"|"&amp;D984</f>
        <v>60|A|C</v>
      </c>
      <c r="G984" s="45" t="n">
        <f aca="false">INDEX('Transition Stepwise'!$J$2:$J$1137,MATCH(F984,'Transition Stepwise'!$E$2:$E$1137,0))</f>
        <v>0.4</v>
      </c>
      <c r="H984" s="45" t="n">
        <f aca="false">INDEX(Background!$D$12:$D$27,MATCH(C984&amp;D984,Background!$E$12:$E$27,0))</f>
        <v>0.161016949152542</v>
      </c>
      <c r="I984" s="49" t="n">
        <f aca="false">LN(G984/H984)</f>
        <v>0.909954913425069</v>
      </c>
    </row>
    <row r="985" customFormat="false" ht="15" hidden="false" customHeight="true" outlineLevel="0" collapsed="false">
      <c r="A985" s="38" t="s">
        <v>852</v>
      </c>
      <c r="B985" s="38" t="n">
        <v>61</v>
      </c>
      <c r="C985" s="38" t="s">
        <v>170</v>
      </c>
      <c r="D985" s="38" t="s">
        <v>172</v>
      </c>
      <c r="E985" s="38" t="s">
        <v>875</v>
      </c>
      <c r="F985" s="38" t="str">
        <f aca="false">B985&amp;"|"&amp;C985&amp;"|"&amp;D985</f>
        <v>61|C|A</v>
      </c>
      <c r="G985" s="45" t="n">
        <f aca="false">INDEX('Transition Stepwise'!$J$2:$J$1137,MATCH(F985,'Transition Stepwise'!$E$2:$E$1137,0))</f>
        <v>0.0199004975124378</v>
      </c>
      <c r="H985" s="45" t="n">
        <f aca="false">INDEX(Background!$D$12:$D$27,MATCH(C985&amp;D985,Background!$E$12:$E$27,0))</f>
        <v>0.194883966244726</v>
      </c>
      <c r="I985" s="49" t="n">
        <f aca="false">LN(G985/H985)</f>
        <v>-2.28165960451247</v>
      </c>
    </row>
    <row r="986" customFormat="false" ht="15" hidden="false" customHeight="true" outlineLevel="0" collapsed="false">
      <c r="A986" s="38" t="s">
        <v>852</v>
      </c>
      <c r="B986" s="38" t="n">
        <v>62</v>
      </c>
      <c r="C986" s="38" t="s">
        <v>172</v>
      </c>
      <c r="D986" s="38" t="s">
        <v>169</v>
      </c>
      <c r="E986" s="38" t="s">
        <v>875</v>
      </c>
      <c r="F986" s="38" t="str">
        <f aca="false">B986&amp;"|"&amp;C986&amp;"|"&amp;D986</f>
        <v>62|A|G</v>
      </c>
      <c r="G986" s="45" t="n">
        <f aca="false">INDEX('Transition Stepwise'!$J$2:$J$1137,MATCH(F986,'Transition Stepwise'!$E$2:$E$1137,0))</f>
        <v>0.142857142857143</v>
      </c>
      <c r="H986" s="45" t="n">
        <f aca="false">INDEX(Background!$D$12:$D$27,MATCH(C986&amp;D986,Background!$E$12:$E$27,0))</f>
        <v>0.424884437596302</v>
      </c>
      <c r="I986" s="49" t="n">
        <f aca="false">LN(G986/H986)</f>
        <v>-1.08997209048484</v>
      </c>
    </row>
    <row r="987" customFormat="false" ht="15" hidden="false" customHeight="true" outlineLevel="0" collapsed="false">
      <c r="A987" s="38" t="s">
        <v>852</v>
      </c>
      <c r="B987" s="38" t="n">
        <v>63</v>
      </c>
      <c r="C987" s="38" t="s">
        <v>169</v>
      </c>
      <c r="D987" s="38" t="s">
        <v>171</v>
      </c>
      <c r="E987" s="38" t="s">
        <v>875</v>
      </c>
      <c r="F987" s="38" t="str">
        <f aca="false">B987&amp;"|"&amp;C987&amp;"|"&amp;D987</f>
        <v>63|G|U</v>
      </c>
      <c r="G987" s="45" t="n">
        <f aca="false">INDEX('Transition Stepwise'!$J$2:$J$1137,MATCH(F987,'Transition Stepwise'!$E$2:$E$1137,0))</f>
        <v>0.115384615384615</v>
      </c>
      <c r="H987" s="45" t="n">
        <f aca="false">INDEX(Background!$D$12:$D$27,MATCH(C987&amp;D987,Background!$E$12:$E$27,0))</f>
        <v>0.234763476347635</v>
      </c>
      <c r="I987" s="49" t="n">
        <f aca="false">LN(G987/H987)</f>
        <v>-0.710307494043546</v>
      </c>
    </row>
    <row r="988" customFormat="false" ht="15" hidden="false" customHeight="true" outlineLevel="0" collapsed="false">
      <c r="A988" s="38" t="s">
        <v>852</v>
      </c>
      <c r="B988" s="38" t="n">
        <v>64</v>
      </c>
      <c r="C988" s="38" t="s">
        <v>171</v>
      </c>
      <c r="D988" s="38" t="s">
        <v>171</v>
      </c>
      <c r="E988" s="38" t="s">
        <v>875</v>
      </c>
      <c r="F988" s="38" t="str">
        <f aca="false">B988&amp;"|"&amp;C988&amp;"|"&amp;D988</f>
        <v>64|U|U</v>
      </c>
      <c r="G988" s="45" t="n">
        <f aca="false">INDEX('Transition Stepwise'!$J$2:$J$1137,MATCH(F988,'Transition Stepwise'!$E$2:$E$1137,0))</f>
        <v>0.297297297297297</v>
      </c>
      <c r="H988" s="45" t="n">
        <f aca="false">INDEX(Background!$D$12:$D$27,MATCH(C988&amp;D988,Background!$E$12:$E$27,0))</f>
        <v>0.220480320213476</v>
      </c>
      <c r="I988" s="49" t="n">
        <f aca="false">LN(G988/H988)</f>
        <v>0.298924198965003</v>
      </c>
    </row>
    <row r="989" customFormat="false" ht="15" hidden="false" customHeight="true" outlineLevel="0" collapsed="false">
      <c r="A989" s="38" t="s">
        <v>852</v>
      </c>
      <c r="B989" s="38" t="n">
        <v>65</v>
      </c>
      <c r="C989" s="38" t="s">
        <v>171</v>
      </c>
      <c r="D989" s="38" t="s">
        <v>172</v>
      </c>
      <c r="E989" s="38" t="s">
        <v>875</v>
      </c>
      <c r="F989" s="38" t="str">
        <f aca="false">B989&amp;"|"&amp;C989&amp;"|"&amp;D989</f>
        <v>65|U|A</v>
      </c>
      <c r="G989" s="45" t="n">
        <f aca="false">INDEX('Transition Stepwise'!$J$2:$J$1137,MATCH(F989,'Transition Stepwise'!$E$2:$E$1137,0))</f>
        <v>0.315068493150685</v>
      </c>
      <c r="H989" s="45" t="n">
        <f aca="false">INDEX(Background!$D$12:$D$27,MATCH(C989&amp;D989,Background!$E$12:$E$27,0))</f>
        <v>0.180787191460974</v>
      </c>
      <c r="I989" s="49" t="n">
        <f aca="false">LN(G989/H989)</f>
        <v>0.555469452003655</v>
      </c>
    </row>
    <row r="990" customFormat="false" ht="15" hidden="false" customHeight="true" outlineLevel="0" collapsed="false">
      <c r="A990" s="38" t="s">
        <v>852</v>
      </c>
      <c r="B990" s="38" t="n">
        <v>66</v>
      </c>
      <c r="C990" s="38" t="s">
        <v>172</v>
      </c>
      <c r="D990" s="38" t="s">
        <v>171</v>
      </c>
      <c r="E990" s="38" t="s">
        <v>875</v>
      </c>
      <c r="F990" s="38" t="str">
        <f aca="false">B990&amp;"|"&amp;C990&amp;"|"&amp;D990</f>
        <v>66|A|U</v>
      </c>
      <c r="G990" s="45" t="n">
        <f aca="false">INDEX('Transition Stepwise'!$J$2:$J$1137,MATCH(F990,'Transition Stepwise'!$E$2:$E$1137,0))</f>
        <v>0.25531914893617</v>
      </c>
      <c r="H990" s="45" t="n">
        <f aca="false">INDEX(Background!$D$12:$D$27,MATCH(C990&amp;D990,Background!$E$12:$E$27,0))</f>
        <v>0.194530046224961</v>
      </c>
      <c r="I990" s="49" t="n">
        <f aca="false">LN(G990/H990)</f>
        <v>0.271927696626562</v>
      </c>
    </row>
    <row r="991" customFormat="false" ht="15" hidden="false" customHeight="true" outlineLevel="0" collapsed="false">
      <c r="A991" s="38" t="s">
        <v>852</v>
      </c>
      <c r="B991" s="38" t="n">
        <v>67</v>
      </c>
      <c r="C991" s="38" t="s">
        <v>171</v>
      </c>
      <c r="D991" s="38" t="s">
        <v>169</v>
      </c>
      <c r="E991" s="38" t="s">
        <v>875</v>
      </c>
      <c r="F991" s="38" t="str">
        <f aca="false">B991&amp;"|"&amp;C991&amp;"|"&amp;D991</f>
        <v>67|U|G</v>
      </c>
      <c r="G991" s="45" t="n">
        <f aca="false">INDEX('Transition Stepwise'!$J$2:$J$1137,MATCH(F991,'Transition Stepwise'!$E$2:$E$1137,0))</f>
        <v>0.285714285714286</v>
      </c>
      <c r="H991" s="45" t="n">
        <f aca="false">INDEX(Background!$D$12:$D$27,MATCH(C991&amp;D991,Background!$E$12:$E$27,0))</f>
        <v>0.221480987324883</v>
      </c>
      <c r="I991" s="49" t="n">
        <f aca="false">LN(G991/H991)</f>
        <v>0.254655560690741</v>
      </c>
    </row>
    <row r="992" customFormat="false" ht="15" hidden="false" customHeight="true" outlineLevel="0" collapsed="false">
      <c r="A992" s="38" t="s">
        <v>852</v>
      </c>
      <c r="B992" s="38" t="n">
        <v>68</v>
      </c>
      <c r="C992" s="38" t="s">
        <v>169</v>
      </c>
      <c r="D992" s="38" t="s">
        <v>172</v>
      </c>
      <c r="E992" s="38" t="s">
        <v>875</v>
      </c>
      <c r="F992" s="38" t="str">
        <f aca="false">B992&amp;"|"&amp;C992&amp;"|"&amp;D992</f>
        <v>68|G|A</v>
      </c>
      <c r="G992" s="45" t="n">
        <f aca="false">INDEX('Transition Stepwise'!$J$2:$J$1137,MATCH(F992,'Transition Stepwise'!$E$2:$E$1137,0))</f>
        <v>0.153846153846154</v>
      </c>
      <c r="H992" s="45" t="n">
        <f aca="false">INDEX(Background!$D$12:$D$27,MATCH(C992&amp;D992,Background!$E$12:$E$27,0))</f>
        <v>0.164356435643564</v>
      </c>
      <c r="I992" s="49" t="n">
        <f aca="false">LN(G992/H992)</f>
        <v>-0.0660843554228295</v>
      </c>
    </row>
    <row r="993" customFormat="false" ht="15" hidden="false" customHeight="true" outlineLevel="0" collapsed="false">
      <c r="A993" s="38" t="s">
        <v>852</v>
      </c>
      <c r="B993" s="38" t="n">
        <v>69</v>
      </c>
      <c r="C993" s="38" t="s">
        <v>172</v>
      </c>
      <c r="D993" s="38" t="s">
        <v>169</v>
      </c>
      <c r="E993" s="38" t="s">
        <v>875</v>
      </c>
      <c r="F993" s="38" t="str">
        <f aca="false">B993&amp;"|"&amp;C993&amp;"|"&amp;D993</f>
        <v>69|A|G</v>
      </c>
      <c r="G993" s="45" t="n">
        <f aca="false">INDEX('Transition Stepwise'!$J$2:$J$1137,MATCH(F993,'Transition Stepwise'!$E$2:$E$1137,0))</f>
        <v>0.379310344827586</v>
      </c>
      <c r="H993" s="45" t="n">
        <f aca="false">INDEX(Background!$D$12:$D$27,MATCH(C993&amp;D993,Background!$E$12:$E$27,0))</f>
        <v>0.424884437596302</v>
      </c>
      <c r="I993" s="49" t="n">
        <f aca="false">LN(G993/H993)</f>
        <v>-0.113462498617625</v>
      </c>
    </row>
    <row r="994" customFormat="false" ht="15" hidden="false" customHeight="true" outlineLevel="0" collapsed="false">
      <c r="A994" s="38" t="s">
        <v>852</v>
      </c>
      <c r="B994" s="38" t="n">
        <v>70</v>
      </c>
      <c r="C994" s="38" t="s">
        <v>169</v>
      </c>
      <c r="D994" s="38" t="s">
        <v>171</v>
      </c>
      <c r="E994" s="38" t="s">
        <v>875</v>
      </c>
      <c r="F994" s="38" t="str">
        <f aca="false">B994&amp;"|"&amp;C994&amp;"|"&amp;D994</f>
        <v>70|G|U</v>
      </c>
      <c r="G994" s="45" t="n">
        <f aca="false">INDEX('Transition Stepwise'!$J$2:$J$1137,MATCH(F994,'Transition Stepwise'!$E$2:$E$1137,0))</f>
        <v>0.0886075949367089</v>
      </c>
      <c r="H994" s="45" t="n">
        <f aca="false">INDEX(Background!$D$12:$D$27,MATCH(C994&amp;D994,Background!$E$12:$E$27,0))</f>
        <v>0.234763476347635</v>
      </c>
      <c r="I994" s="49" t="n">
        <f aca="false">LN(G994/H994)</f>
        <v>-0.974360948101882</v>
      </c>
    </row>
    <row r="995" customFormat="false" ht="15" hidden="false" customHeight="true" outlineLevel="0" collapsed="false">
      <c r="A995" s="38" t="s">
        <v>852</v>
      </c>
      <c r="B995" s="38" t="n">
        <v>71</v>
      </c>
      <c r="C995" s="38" t="s">
        <v>171</v>
      </c>
      <c r="D995" s="38" t="s">
        <v>172</v>
      </c>
      <c r="E995" s="38" t="s">
        <v>875</v>
      </c>
      <c r="F995" s="38" t="str">
        <f aca="false">B995&amp;"|"&amp;C995&amp;"|"&amp;D995</f>
        <v>71|U|A</v>
      </c>
      <c r="G995" s="45" t="n">
        <f aca="false">INDEX('Transition Stepwise'!$J$2:$J$1137,MATCH(F995,'Transition Stepwise'!$E$2:$E$1137,0))</f>
        <v>0.0769230769230769</v>
      </c>
      <c r="H995" s="45" t="n">
        <f aca="false">INDEX(Background!$D$12:$D$27,MATCH(C995&amp;D995,Background!$E$12:$E$27,0))</f>
        <v>0.180787191460974</v>
      </c>
      <c r="I995" s="49" t="n">
        <f aca="false">LN(G995/H995)</f>
        <v>-0.85451468023864</v>
      </c>
    </row>
    <row r="996" customFormat="false" ht="15" hidden="false" customHeight="true" outlineLevel="0" collapsed="false">
      <c r="A996" s="38" t="s">
        <v>853</v>
      </c>
      <c r="B996" s="38" t="n">
        <v>1</v>
      </c>
      <c r="C996" s="38" t="s">
        <v>170</v>
      </c>
      <c r="D996" s="38" t="s">
        <v>171</v>
      </c>
      <c r="E996" s="38" t="s">
        <v>875</v>
      </c>
      <c r="F996" s="38" t="str">
        <f aca="false">B996&amp;"|"&amp;C996&amp;"|"&amp;D996</f>
        <v>1|C|U</v>
      </c>
      <c r="G996" s="45" t="n">
        <f aca="false">INDEX('Transition Stepwise'!$J$2:$J$1137,MATCH(F996,'Transition Stepwise'!$E$2:$E$1137,0))</f>
        <v>0.08</v>
      </c>
      <c r="H996" s="45" t="n">
        <f aca="false">INDEX(Background!$D$12:$D$27,MATCH(C996&amp;D996,Background!$E$12:$E$27,0))</f>
        <v>0.196466244725738</v>
      </c>
      <c r="I996" s="49" t="n">
        <f aca="false">LN(G996/H996)</f>
        <v>-0.898463999312902</v>
      </c>
    </row>
    <row r="997" customFormat="false" ht="15" hidden="false" customHeight="true" outlineLevel="0" collapsed="false">
      <c r="A997" s="38" t="s">
        <v>853</v>
      </c>
      <c r="B997" s="38" t="n">
        <v>2</v>
      </c>
      <c r="C997" s="38" t="s">
        <v>171</v>
      </c>
      <c r="D997" s="38" t="s">
        <v>172</v>
      </c>
      <c r="E997" s="38" t="s">
        <v>875</v>
      </c>
      <c r="F997" s="38" t="str">
        <f aca="false">B997&amp;"|"&amp;C997&amp;"|"&amp;D997</f>
        <v>2|U|A</v>
      </c>
      <c r="G997" s="45" t="n">
        <f aca="false">INDEX('Transition Stepwise'!$J$2:$J$1137,MATCH(F997,'Transition Stepwise'!$E$2:$E$1137,0))</f>
        <v>0.1</v>
      </c>
      <c r="H997" s="45" t="n">
        <f aca="false">INDEX(Background!$D$12:$D$27,MATCH(C997&amp;D997,Background!$E$12:$E$27,0))</f>
        <v>0.180787191460974</v>
      </c>
      <c r="I997" s="49" t="n">
        <f aca="false">LN(G997/H997)</f>
        <v>-0.592150415771149</v>
      </c>
    </row>
    <row r="998" customFormat="false" ht="15" hidden="false" customHeight="true" outlineLevel="0" collapsed="false">
      <c r="A998" s="38" t="s">
        <v>853</v>
      </c>
      <c r="B998" s="38" t="n">
        <v>3</v>
      </c>
      <c r="C998" s="38" t="s">
        <v>172</v>
      </c>
      <c r="D998" s="38" t="s">
        <v>169</v>
      </c>
      <c r="E998" s="38" t="s">
        <v>875</v>
      </c>
      <c r="F998" s="38" t="str">
        <f aca="false">B998&amp;"|"&amp;C998&amp;"|"&amp;D998</f>
        <v>3|A|G</v>
      </c>
      <c r="G998" s="45" t="n">
        <f aca="false">INDEX('Transition Stepwise'!$J$2:$J$1137,MATCH(F998,'Transition Stepwise'!$E$2:$E$1137,0))</f>
        <v>0.555555555555556</v>
      </c>
      <c r="H998" s="45" t="n">
        <f aca="false">INDEX(Background!$D$12:$D$27,MATCH(C998&amp;D998,Background!$E$12:$E$27,0))</f>
        <v>0.424884437596302</v>
      </c>
      <c r="I998" s="49" t="n">
        <f aca="false">LN(G998/H998)</f>
        <v>0.268151393668359</v>
      </c>
    </row>
    <row r="999" customFormat="false" ht="15" hidden="false" customHeight="true" outlineLevel="0" collapsed="false">
      <c r="A999" s="38" t="s">
        <v>853</v>
      </c>
      <c r="B999" s="38" t="n">
        <v>4</v>
      </c>
      <c r="C999" s="38" t="s">
        <v>169</v>
      </c>
      <c r="D999" s="38" t="s">
        <v>171</v>
      </c>
      <c r="E999" s="38" t="s">
        <v>875</v>
      </c>
      <c r="F999" s="38" t="str">
        <f aca="false">B999&amp;"|"&amp;C999&amp;"|"&amp;D999</f>
        <v>4|G|U</v>
      </c>
      <c r="G999" s="45" t="n">
        <f aca="false">INDEX('Transition Stepwise'!$J$2:$J$1137,MATCH(F999,'Transition Stepwise'!$E$2:$E$1137,0))</f>
        <v>0.0752688172043011</v>
      </c>
      <c r="H999" s="45" t="n">
        <f aca="false">INDEX(Background!$D$12:$D$27,MATCH(C999&amp;D999,Background!$E$12:$E$27,0))</f>
        <v>0.234763476347635</v>
      </c>
      <c r="I999" s="49" t="n">
        <f aca="false">LN(G999/H999)</f>
        <v>-1.13751258878812</v>
      </c>
    </row>
    <row r="1000" customFormat="false" ht="15" hidden="false" customHeight="true" outlineLevel="0" collapsed="false">
      <c r="A1000" s="38" t="s">
        <v>853</v>
      </c>
      <c r="B1000" s="38" t="n">
        <v>5</v>
      </c>
      <c r="C1000" s="38" t="s">
        <v>171</v>
      </c>
      <c r="D1000" s="38" t="s">
        <v>170</v>
      </c>
      <c r="E1000" s="38" t="s">
        <v>875</v>
      </c>
      <c r="F1000" s="38" t="str">
        <f aca="false">B1000&amp;"|"&amp;C1000&amp;"|"&amp;D1000</f>
        <v>5|U|C</v>
      </c>
      <c r="G1000" s="45" t="n">
        <f aca="false">INDEX('Transition Stepwise'!$J$2:$J$1137,MATCH(F1000,'Transition Stepwise'!$E$2:$E$1137,0))</f>
        <v>0.36</v>
      </c>
      <c r="H1000" s="45" t="n">
        <f aca="false">INDEX(Background!$D$12:$D$27,MATCH(C1000&amp;D1000,Background!$E$12:$E$27,0))</f>
        <v>0.377251501000667</v>
      </c>
      <c r="I1000" s="49" t="n">
        <f aca="false">LN(G1000/H1000)</f>
        <v>-0.0468080449855589</v>
      </c>
    </row>
    <row r="1001" customFormat="false" ht="15" hidden="false" customHeight="true" outlineLevel="0" collapsed="false">
      <c r="A1001" s="38" t="s">
        <v>853</v>
      </c>
      <c r="B1001" s="38" t="n">
        <v>6</v>
      </c>
      <c r="C1001" s="38" t="s">
        <v>170</v>
      </c>
      <c r="D1001" s="38" t="s">
        <v>172</v>
      </c>
      <c r="E1001" s="38" t="s">
        <v>875</v>
      </c>
      <c r="F1001" s="38" t="str">
        <f aca="false">B1001&amp;"|"&amp;C1001&amp;"|"&amp;D1001</f>
        <v>6|C|A</v>
      </c>
      <c r="G1001" s="45" t="n">
        <f aca="false">INDEX('Transition Stepwise'!$J$2:$J$1137,MATCH(F1001,'Transition Stepwise'!$E$2:$E$1137,0))</f>
        <v>0.130434782608696</v>
      </c>
      <c r="H1001" s="45" t="n">
        <f aca="false">INDEX(Background!$D$12:$D$27,MATCH(C1001&amp;D1001,Background!$E$12:$E$27,0))</f>
        <v>0.194883966244726</v>
      </c>
      <c r="I1001" s="49" t="n">
        <f aca="false">LN(G1001/H1001)</f>
        <v>-0.401530984834329</v>
      </c>
    </row>
    <row r="1002" customFormat="false" ht="15" hidden="false" customHeight="true" outlineLevel="0" collapsed="false">
      <c r="A1002" s="38" t="s">
        <v>853</v>
      </c>
      <c r="B1002" s="38" t="n">
        <v>7</v>
      </c>
      <c r="C1002" s="38" t="s">
        <v>172</v>
      </c>
      <c r="D1002" s="38" t="s">
        <v>171</v>
      </c>
      <c r="E1002" s="38" t="s">
        <v>875</v>
      </c>
      <c r="F1002" s="38" t="str">
        <f aca="false">B1002&amp;"|"&amp;C1002&amp;"|"&amp;D1002</f>
        <v>7|A|U</v>
      </c>
      <c r="G1002" s="45" t="n">
        <f aca="false">INDEX('Transition Stepwise'!$J$2:$J$1137,MATCH(F1002,'Transition Stepwise'!$E$2:$E$1137,0))</f>
        <v>0.92156862745098</v>
      </c>
      <c r="H1002" s="45" t="n">
        <f aca="false">INDEX(Background!$D$12:$D$27,MATCH(C1002&amp;D1002,Background!$E$12:$E$27,0))</f>
        <v>0.194530046224961</v>
      </c>
      <c r="I1002" s="49" t="n">
        <f aca="false">LN(G1002/H1002)</f>
        <v>1.55549061753435</v>
      </c>
    </row>
    <row r="1003" customFormat="false" ht="15" hidden="false" customHeight="true" outlineLevel="0" collapsed="false">
      <c r="A1003" s="38" t="s">
        <v>853</v>
      </c>
      <c r="B1003" s="38" t="n">
        <v>8</v>
      </c>
      <c r="C1003" s="38" t="s">
        <v>171</v>
      </c>
      <c r="D1003" s="38" t="s">
        <v>169</v>
      </c>
      <c r="E1003" s="38" t="s">
        <v>875</v>
      </c>
      <c r="F1003" s="38" t="str">
        <f aca="false">B1003&amp;"|"&amp;C1003&amp;"|"&amp;D1003</f>
        <v>8|U|G</v>
      </c>
      <c r="G1003" s="45" t="n">
        <f aca="false">INDEX('Transition Stepwise'!$J$2:$J$1137,MATCH(F1003,'Transition Stepwise'!$E$2:$E$1137,0))</f>
        <v>0.31</v>
      </c>
      <c r="H1003" s="45" t="n">
        <f aca="false">INDEX(Background!$D$12:$D$27,MATCH(C1003&amp;D1003,Background!$E$12:$E$27,0))</f>
        <v>0.221480987324883</v>
      </c>
      <c r="I1003" s="49" t="n">
        <f aca="false">LN(G1003/H1003)</f>
        <v>0.336235547683164</v>
      </c>
    </row>
    <row r="1004" customFormat="false" ht="15" hidden="false" customHeight="true" outlineLevel="0" collapsed="false">
      <c r="A1004" s="38" t="s">
        <v>853</v>
      </c>
      <c r="B1004" s="38" t="n">
        <v>9</v>
      </c>
      <c r="C1004" s="38" t="s">
        <v>169</v>
      </c>
      <c r="D1004" s="38" t="s">
        <v>172</v>
      </c>
      <c r="E1004" s="38" t="s">
        <v>875</v>
      </c>
      <c r="F1004" s="38" t="str">
        <f aca="false">B1004&amp;"|"&amp;C1004&amp;"|"&amp;D1004</f>
        <v>9|G|A</v>
      </c>
      <c r="G1004" s="45" t="n">
        <f aca="false">INDEX('Transition Stepwise'!$J$2:$J$1137,MATCH(F1004,'Transition Stepwise'!$E$2:$E$1137,0))</f>
        <v>0.0153846153846154</v>
      </c>
      <c r="H1004" s="45" t="n">
        <f aca="false">INDEX(Background!$D$12:$D$27,MATCH(C1004&amp;D1004,Background!$E$12:$E$27,0))</f>
        <v>0.164356435643564</v>
      </c>
      <c r="I1004" s="49" t="n">
        <f aca="false">LN(G1004/H1004)</f>
        <v>-2.36866944841688</v>
      </c>
    </row>
    <row r="1005" customFormat="false" ht="15" hidden="false" customHeight="true" outlineLevel="0" collapsed="false">
      <c r="A1005" s="38" t="s">
        <v>853</v>
      </c>
      <c r="B1005" s="38" t="n">
        <v>10</v>
      </c>
      <c r="C1005" s="38" t="s">
        <v>172</v>
      </c>
      <c r="D1005" s="38" t="s">
        <v>171</v>
      </c>
      <c r="E1005" s="38" t="s">
        <v>875</v>
      </c>
      <c r="F1005" s="38" t="str">
        <f aca="false">B1005&amp;"|"&amp;C1005&amp;"|"&amp;D1005</f>
        <v>10|A|U</v>
      </c>
      <c r="G1005" s="45" t="n">
        <f aca="false">INDEX('Transition Stepwise'!$J$2:$J$1137,MATCH(F1005,'Transition Stepwise'!$E$2:$E$1137,0))</f>
        <v>0.25</v>
      </c>
      <c r="H1005" s="45" t="n">
        <f aca="false">INDEX(Background!$D$12:$D$27,MATCH(C1005&amp;D1005,Background!$E$12:$E$27,0))</f>
        <v>0.194530046224961</v>
      </c>
      <c r="I1005" s="49" t="n">
        <f aca="false">LN(G1005/H1005)</f>
        <v>0.25087428742873</v>
      </c>
    </row>
    <row r="1006" customFormat="false" ht="15" hidden="false" customHeight="true" outlineLevel="0" collapsed="false">
      <c r="A1006" s="38" t="s">
        <v>853</v>
      </c>
      <c r="B1006" s="38" t="n">
        <v>11</v>
      </c>
      <c r="C1006" s="38" t="s">
        <v>171</v>
      </c>
      <c r="D1006" s="38" t="s">
        <v>170</v>
      </c>
      <c r="E1006" s="38" t="s">
        <v>875</v>
      </c>
      <c r="F1006" s="38" t="str">
        <f aca="false">B1006&amp;"|"&amp;C1006&amp;"|"&amp;D1006</f>
        <v>11|U|C</v>
      </c>
      <c r="G1006" s="45" t="n">
        <f aca="false">INDEX('Transition Stepwise'!$J$2:$J$1137,MATCH(F1006,'Transition Stepwise'!$E$2:$E$1137,0))</f>
        <v>0.295454545454545</v>
      </c>
      <c r="H1006" s="45" t="n">
        <f aca="false">INDEX(Background!$D$12:$D$27,MATCH(C1006&amp;D1006,Background!$E$12:$E$27,0))</f>
        <v>0.377251501000667</v>
      </c>
      <c r="I1006" s="49" t="n">
        <f aca="false">LN(G1006/H1006)</f>
        <v>-0.244397073910302</v>
      </c>
    </row>
    <row r="1007" customFormat="false" ht="15" hidden="false" customHeight="true" outlineLevel="0" collapsed="false">
      <c r="A1007" s="38" t="s">
        <v>853</v>
      </c>
      <c r="B1007" s="38" t="n">
        <v>12</v>
      </c>
      <c r="C1007" s="38" t="s">
        <v>170</v>
      </c>
      <c r="D1007" s="38" t="s">
        <v>171</v>
      </c>
      <c r="E1007" s="38" t="s">
        <v>875</v>
      </c>
      <c r="F1007" s="38" t="str">
        <f aca="false">B1007&amp;"|"&amp;C1007&amp;"|"&amp;D1007</f>
        <v>12|C|U</v>
      </c>
      <c r="G1007" s="45" t="n">
        <f aca="false">INDEX('Transition Stepwise'!$J$2:$J$1137,MATCH(F1007,'Transition Stepwise'!$E$2:$E$1137,0))</f>
        <v>0.363636363636364</v>
      </c>
      <c r="H1007" s="45" t="n">
        <f aca="false">INDEX(Background!$D$12:$D$27,MATCH(C1007&amp;D1007,Background!$E$12:$E$27,0))</f>
        <v>0.196466244725738</v>
      </c>
      <c r="I1007" s="49" t="n">
        <f aca="false">LN(G1007/H1007)</f>
        <v>0.615663733316873</v>
      </c>
    </row>
    <row r="1008" customFormat="false" ht="15" hidden="false" customHeight="true" outlineLevel="0" collapsed="false">
      <c r="A1008" s="38" t="s">
        <v>853</v>
      </c>
      <c r="B1008" s="38" t="n">
        <v>13</v>
      </c>
      <c r="C1008" s="38" t="s">
        <v>171</v>
      </c>
      <c r="D1008" s="38" t="s">
        <v>169</v>
      </c>
      <c r="E1008" s="38" t="s">
        <v>875</v>
      </c>
      <c r="F1008" s="38" t="str">
        <f aca="false">B1008&amp;"|"&amp;C1008&amp;"|"&amp;D1008</f>
        <v>13|U|G</v>
      </c>
      <c r="G1008" s="45" t="n">
        <f aca="false">INDEX('Transition Stepwise'!$J$2:$J$1137,MATCH(F1008,'Transition Stepwise'!$E$2:$E$1137,0))</f>
        <v>0.0238095238095238</v>
      </c>
      <c r="H1008" s="45" t="n">
        <f aca="false">INDEX(Background!$D$12:$D$27,MATCH(C1008&amp;D1008,Background!$E$12:$E$27,0))</f>
        <v>0.221480987324883</v>
      </c>
      <c r="I1008" s="49" t="n">
        <f aca="false">LN(G1008/H1008)</f>
        <v>-2.23025108909726</v>
      </c>
    </row>
    <row r="1009" customFormat="false" ht="15" hidden="false" customHeight="true" outlineLevel="0" collapsed="false">
      <c r="A1009" s="38" t="s">
        <v>853</v>
      </c>
      <c r="B1009" s="38" t="n">
        <v>14</v>
      </c>
      <c r="C1009" s="38" t="s">
        <v>169</v>
      </c>
      <c r="D1009" s="38" t="s">
        <v>171</v>
      </c>
      <c r="E1009" s="38" t="s">
        <v>875</v>
      </c>
      <c r="F1009" s="38" t="str">
        <f aca="false">B1009&amp;"|"&amp;C1009&amp;"|"&amp;D1009</f>
        <v>14|G|U</v>
      </c>
      <c r="G1009" s="45" t="n">
        <f aca="false">INDEX('Transition Stepwise'!$J$2:$J$1137,MATCH(F1009,'Transition Stepwise'!$E$2:$E$1137,0))</f>
        <v>0.2</v>
      </c>
      <c r="H1009" s="45" t="n">
        <f aca="false">INDEX(Background!$D$12:$D$27,MATCH(C1009&amp;D1009,Background!$E$12:$E$27,0))</f>
        <v>0.234763476347635</v>
      </c>
      <c r="I1009" s="49" t="n">
        <f aca="false">LN(G1009/H1009)</f>
        <v>-0.160261157124274</v>
      </c>
    </row>
    <row r="1010" customFormat="false" ht="15" hidden="false" customHeight="true" outlineLevel="0" collapsed="false">
      <c r="A1010" s="38" t="s">
        <v>853</v>
      </c>
      <c r="B1010" s="38" t="n">
        <v>15</v>
      </c>
      <c r="C1010" s="38" t="s">
        <v>171</v>
      </c>
      <c r="D1010" s="38" t="s">
        <v>172</v>
      </c>
      <c r="E1010" s="38" t="s">
        <v>875</v>
      </c>
      <c r="F1010" s="38" t="str">
        <f aca="false">B1010&amp;"|"&amp;C1010&amp;"|"&amp;D1010</f>
        <v>15|U|A</v>
      </c>
      <c r="G1010" s="45" t="n">
        <f aca="false">INDEX('Transition Stepwise'!$J$2:$J$1137,MATCH(F1010,'Transition Stepwise'!$E$2:$E$1137,0))</f>
        <v>0.2</v>
      </c>
      <c r="H1010" s="45" t="n">
        <f aca="false">INDEX(Background!$D$12:$D$27,MATCH(C1010&amp;D1010,Background!$E$12:$E$27,0))</f>
        <v>0.180787191460974</v>
      </c>
      <c r="I1010" s="49" t="n">
        <f aca="false">LN(G1010/H1010)</f>
        <v>0.100996764788796</v>
      </c>
    </row>
    <row r="1011" customFormat="false" ht="15" hidden="false" customHeight="true" outlineLevel="0" collapsed="false">
      <c r="A1011" s="38" t="s">
        <v>853</v>
      </c>
      <c r="B1011" s="38" t="n">
        <v>16</v>
      </c>
      <c r="C1011" s="38" t="s">
        <v>172</v>
      </c>
      <c r="D1011" s="38" t="s">
        <v>172</v>
      </c>
      <c r="E1011" s="38" t="s">
        <v>875</v>
      </c>
      <c r="F1011" s="38" t="str">
        <f aca="false">B1011&amp;"|"&amp;C1011&amp;"|"&amp;D1011</f>
        <v>16|A|A</v>
      </c>
      <c r="G1011" s="45" t="n">
        <f aca="false">INDEX('Transition Stepwise'!$J$2:$J$1137,MATCH(F1011,'Transition Stepwise'!$E$2:$E$1137,0))</f>
        <v>0.142857142857143</v>
      </c>
      <c r="H1011" s="45" t="n">
        <f aca="false">INDEX(Background!$D$12:$D$27,MATCH(C1011&amp;D1011,Background!$E$12:$E$27,0))</f>
        <v>0.219568567026194</v>
      </c>
      <c r="I1011" s="49" t="n">
        <f aca="false">LN(G1011/H1011)</f>
        <v>-0.429819432059929</v>
      </c>
    </row>
    <row r="1012" customFormat="false" ht="15" hidden="false" customHeight="true" outlineLevel="0" collapsed="false">
      <c r="A1012" s="38" t="s">
        <v>853</v>
      </c>
      <c r="B1012" s="38" t="n">
        <v>17</v>
      </c>
      <c r="C1012" s="38" t="s">
        <v>172</v>
      </c>
      <c r="D1012" s="38" t="s">
        <v>169</v>
      </c>
      <c r="E1012" s="38" t="s">
        <v>875</v>
      </c>
      <c r="F1012" s="38" t="str">
        <f aca="false">B1012&amp;"|"&amp;C1012&amp;"|"&amp;D1012</f>
        <v>17|A|G</v>
      </c>
      <c r="G1012" s="45" t="n">
        <f aca="false">INDEX('Transition Stepwise'!$J$2:$J$1137,MATCH(F1012,'Transition Stepwise'!$E$2:$E$1137,0))</f>
        <v>0.75</v>
      </c>
      <c r="H1012" s="45" t="n">
        <f aca="false">INDEX(Background!$D$12:$D$27,MATCH(C1012&amp;D1012,Background!$E$12:$E$27,0))</f>
        <v>0.424884437596302</v>
      </c>
      <c r="I1012" s="49" t="n">
        <f aca="false">LN(G1012/H1012)</f>
        <v>0.568255986118697</v>
      </c>
    </row>
    <row r="1013" customFormat="false" ht="15" hidden="false" customHeight="true" outlineLevel="0" collapsed="false">
      <c r="A1013" s="38" t="s">
        <v>853</v>
      </c>
      <c r="B1013" s="38" t="n">
        <v>18</v>
      </c>
      <c r="C1013" s="38" t="s">
        <v>169</v>
      </c>
      <c r="D1013" s="38" t="s">
        <v>169</v>
      </c>
      <c r="E1013" s="38" t="s">
        <v>875</v>
      </c>
      <c r="F1013" s="38" t="str">
        <f aca="false">B1013&amp;"|"&amp;C1013&amp;"|"&amp;D1013</f>
        <v>18|G|G</v>
      </c>
      <c r="G1013" s="45" t="n">
        <f aca="false">INDEX('Transition Stepwise'!$J$2:$J$1137,MATCH(F1013,'Transition Stepwise'!$E$2:$E$1137,0))</f>
        <v>0.975247524752475</v>
      </c>
      <c r="H1013" s="45" t="n">
        <f aca="false">INDEX(Background!$D$12:$D$27,MATCH(C1013&amp;D1013,Background!$E$12:$E$27,0))</f>
        <v>0.344774477447745</v>
      </c>
      <c r="I1013" s="49" t="n">
        <f aca="false">LN(G1013/H1013)</f>
        <v>1.03980079559234</v>
      </c>
    </row>
    <row r="1014" customFormat="false" ht="15" hidden="false" customHeight="true" outlineLevel="0" collapsed="false">
      <c r="A1014" s="38" t="s">
        <v>853</v>
      </c>
      <c r="B1014" s="38" t="n">
        <v>19</v>
      </c>
      <c r="C1014" s="38" t="s">
        <v>169</v>
      </c>
      <c r="D1014" s="38" t="s">
        <v>170</v>
      </c>
      <c r="E1014" s="38" t="s">
        <v>875</v>
      </c>
      <c r="F1014" s="38" t="str">
        <f aca="false">B1014&amp;"|"&amp;C1014&amp;"|"&amp;D1014</f>
        <v>19|G|C</v>
      </c>
      <c r="G1014" s="45" t="n">
        <f aca="false">INDEX('Transition Stepwise'!$J$2:$J$1137,MATCH(F1014,'Transition Stepwise'!$E$2:$E$1137,0))</f>
        <v>0.23</v>
      </c>
      <c r="H1014" s="45" t="n">
        <f aca="false">INDEX(Background!$D$12:$D$27,MATCH(C1014&amp;D1014,Background!$E$12:$E$27,0))</f>
        <v>0.256105610561056</v>
      </c>
      <c r="I1014" s="49" t="n">
        <f aca="false">LN(G1014/H1014)</f>
        <v>-0.107510591738746</v>
      </c>
    </row>
    <row r="1015" customFormat="false" ht="15" hidden="false" customHeight="true" outlineLevel="0" collapsed="false">
      <c r="A1015" s="38" t="s">
        <v>853</v>
      </c>
      <c r="B1015" s="38" t="n">
        <v>20</v>
      </c>
      <c r="C1015" s="38" t="s">
        <v>170</v>
      </c>
      <c r="D1015" s="38" t="s">
        <v>172</v>
      </c>
      <c r="E1015" s="38" t="s">
        <v>875</v>
      </c>
      <c r="F1015" s="38" t="str">
        <f aca="false">B1015&amp;"|"&amp;C1015&amp;"|"&amp;D1015</f>
        <v>20|C|A</v>
      </c>
      <c r="G1015" s="45" t="n">
        <f aca="false">INDEX('Transition Stepwise'!$J$2:$J$1137,MATCH(F1015,'Transition Stepwise'!$E$2:$E$1137,0))</f>
        <v>0.714285714285714</v>
      </c>
      <c r="H1015" s="45" t="n">
        <f aca="false">INDEX(Background!$D$12:$D$27,MATCH(C1015&amp;D1015,Background!$E$12:$E$27,0))</f>
        <v>0.194883966244726</v>
      </c>
      <c r="I1015" s="49" t="n">
        <f aca="false">LN(G1015/H1015)</f>
        <v>1.2988787058055</v>
      </c>
    </row>
    <row r="1016" customFormat="false" ht="15" hidden="false" customHeight="true" outlineLevel="0" collapsed="false">
      <c r="A1016" s="38" t="s">
        <v>853</v>
      </c>
      <c r="B1016" s="38" t="n">
        <v>21</v>
      </c>
      <c r="C1016" s="38" t="s">
        <v>172</v>
      </c>
      <c r="D1016" s="38" t="s">
        <v>172</v>
      </c>
      <c r="E1016" s="38" t="s">
        <v>875</v>
      </c>
      <c r="F1016" s="38" t="str">
        <f aca="false">B1016&amp;"|"&amp;C1016&amp;"|"&amp;D1016</f>
        <v>21|A|A</v>
      </c>
      <c r="G1016" s="45" t="n">
        <f aca="false">INDEX('Transition Stepwise'!$J$2:$J$1137,MATCH(F1016,'Transition Stepwise'!$E$2:$E$1137,0))</f>
        <v>0.159340659340659</v>
      </c>
      <c r="H1016" s="45" t="n">
        <f aca="false">INDEX(Background!$D$12:$D$27,MATCH(C1016&amp;D1016,Background!$E$12:$E$27,0))</f>
        <v>0.219568567026194</v>
      </c>
      <c r="I1016" s="49" t="n">
        <f aca="false">LN(G1016/H1016)</f>
        <v>-0.320620140094937</v>
      </c>
    </row>
    <row r="1017" customFormat="false" ht="15" hidden="false" customHeight="true" outlineLevel="0" collapsed="false">
      <c r="A1017" s="38" t="s">
        <v>853</v>
      </c>
      <c r="B1017" s="38" t="n">
        <v>22</v>
      </c>
      <c r="C1017" s="38" t="s">
        <v>172</v>
      </c>
      <c r="D1017" s="38" t="s">
        <v>169</v>
      </c>
      <c r="E1017" s="38" t="s">
        <v>875</v>
      </c>
      <c r="F1017" s="38" t="str">
        <f aca="false">B1017&amp;"|"&amp;C1017&amp;"|"&amp;D1017</f>
        <v>22|A|G</v>
      </c>
      <c r="G1017" s="45" t="n">
        <f aca="false">INDEX('Transition Stepwise'!$J$2:$J$1137,MATCH(F1017,'Transition Stepwise'!$E$2:$E$1137,0))</f>
        <v>0.488888888888889</v>
      </c>
      <c r="H1017" s="45" t="n">
        <f aca="false">INDEX(Background!$D$12:$D$27,MATCH(C1017&amp;D1017,Background!$E$12:$E$27,0))</f>
        <v>0.424884437596302</v>
      </c>
      <c r="I1017" s="49" t="n">
        <f aca="false">LN(G1017/H1017)</f>
        <v>0.140318022158474</v>
      </c>
    </row>
    <row r="1018" customFormat="false" ht="15" hidden="false" customHeight="true" outlineLevel="0" collapsed="false">
      <c r="A1018" s="38" t="s">
        <v>853</v>
      </c>
      <c r="B1018" s="38" t="n">
        <v>23</v>
      </c>
      <c r="C1018" s="38" t="s">
        <v>169</v>
      </c>
      <c r="D1018" s="38" t="s">
        <v>172</v>
      </c>
      <c r="E1018" s="38" t="s">
        <v>875</v>
      </c>
      <c r="F1018" s="38" t="str">
        <f aca="false">B1018&amp;"|"&amp;C1018&amp;"|"&amp;D1018</f>
        <v>23|G|A</v>
      </c>
      <c r="G1018" s="45" t="n">
        <f aca="false">INDEX('Transition Stepwise'!$J$2:$J$1137,MATCH(F1018,'Transition Stepwise'!$E$2:$E$1137,0))</f>
        <v>0.333333333333333</v>
      </c>
      <c r="H1018" s="45" t="n">
        <f aca="false">INDEX(Background!$D$12:$D$27,MATCH(C1018&amp;D1018,Background!$E$12:$E$27,0))</f>
        <v>0.164356435643564</v>
      </c>
      <c r="I1018" s="49" t="n">
        <f aca="false">LN(G1018/H1018)</f>
        <v>0.707105532810652</v>
      </c>
    </row>
    <row r="1019" customFormat="false" ht="15" hidden="false" customHeight="true" outlineLevel="0" collapsed="false">
      <c r="A1019" s="38" t="s">
        <v>853</v>
      </c>
      <c r="B1019" s="38" t="n">
        <v>24</v>
      </c>
      <c r="C1019" s="38" t="s">
        <v>172</v>
      </c>
      <c r="D1019" s="38" t="s">
        <v>171</v>
      </c>
      <c r="E1019" s="38" t="s">
        <v>875</v>
      </c>
      <c r="F1019" s="38" t="str">
        <f aca="false">B1019&amp;"|"&amp;C1019&amp;"|"&amp;D1019</f>
        <v>24|A|U</v>
      </c>
      <c r="G1019" s="45" t="n">
        <f aca="false">INDEX('Transition Stepwise'!$J$2:$J$1137,MATCH(F1019,'Transition Stepwise'!$E$2:$E$1137,0))</f>
        <v>0.268292682926829</v>
      </c>
      <c r="H1019" s="45" t="n">
        <f aca="false">INDEX(Background!$D$12:$D$27,MATCH(C1019&amp;D1019,Background!$E$12:$E$27,0))</f>
        <v>0.194530046224961</v>
      </c>
      <c r="I1019" s="49" t="n">
        <f aca="false">LN(G1019/H1019)</f>
        <v>0.321491854642684</v>
      </c>
    </row>
    <row r="1020" customFormat="false" ht="15" hidden="false" customHeight="true" outlineLevel="0" collapsed="false">
      <c r="A1020" s="38" t="s">
        <v>853</v>
      </c>
      <c r="B1020" s="38" t="n">
        <v>25</v>
      </c>
      <c r="C1020" s="38" t="s">
        <v>171</v>
      </c>
      <c r="D1020" s="38" t="s">
        <v>172</v>
      </c>
      <c r="E1020" s="38" t="s">
        <v>875</v>
      </c>
      <c r="F1020" s="38" t="str">
        <f aca="false">B1020&amp;"|"&amp;C1020&amp;"|"&amp;D1020</f>
        <v>25|U|A</v>
      </c>
      <c r="G1020" s="45" t="n">
        <f aca="false">INDEX('Transition Stepwise'!$J$2:$J$1137,MATCH(F1020,'Transition Stepwise'!$E$2:$E$1137,0))</f>
        <v>0.166666666666667</v>
      </c>
      <c r="H1020" s="45" t="n">
        <f aca="false">INDEX(Background!$D$12:$D$27,MATCH(C1020&amp;D1020,Background!$E$12:$E$27,0))</f>
        <v>0.180787191460974</v>
      </c>
      <c r="I1020" s="49" t="n">
        <f aca="false">LN(G1020/H1020)</f>
        <v>-0.0813247920051584</v>
      </c>
    </row>
    <row r="1021" customFormat="false" ht="15" hidden="false" customHeight="true" outlineLevel="0" collapsed="false">
      <c r="A1021" s="38" t="s">
        <v>853</v>
      </c>
      <c r="B1021" s="38" t="n">
        <v>26</v>
      </c>
      <c r="C1021" s="38" t="s">
        <v>172</v>
      </c>
      <c r="D1021" s="38" t="s">
        <v>171</v>
      </c>
      <c r="E1021" s="38" t="s">
        <v>875</v>
      </c>
      <c r="F1021" s="38" t="str">
        <f aca="false">B1021&amp;"|"&amp;C1021&amp;"|"&amp;D1021</f>
        <v>26|A|U</v>
      </c>
      <c r="G1021" s="45" t="n">
        <f aca="false">INDEX('Transition Stepwise'!$J$2:$J$1137,MATCH(F1021,'Transition Stepwise'!$E$2:$E$1137,0))</f>
        <v>0.28735632183908</v>
      </c>
      <c r="H1021" s="45" t="n">
        <f aca="false">INDEX(Background!$D$12:$D$27,MATCH(C1021&amp;D1021,Background!$E$12:$E$27,0))</f>
        <v>0.194530046224961</v>
      </c>
      <c r="I1021" s="49" t="n">
        <f aca="false">LN(G1021/H1021)</f>
        <v>0.390136354762238</v>
      </c>
    </row>
    <row r="1022" customFormat="false" ht="15" hidden="false" customHeight="true" outlineLevel="0" collapsed="false">
      <c r="A1022" s="38" t="s">
        <v>853</v>
      </c>
      <c r="B1022" s="38" t="n">
        <v>27</v>
      </c>
      <c r="C1022" s="38" t="s">
        <v>171</v>
      </c>
      <c r="D1022" s="38" t="s">
        <v>171</v>
      </c>
      <c r="E1022" s="38" t="s">
        <v>875</v>
      </c>
      <c r="F1022" s="38" t="str">
        <f aca="false">B1022&amp;"|"&amp;C1022&amp;"|"&amp;D1022</f>
        <v>27|U|U</v>
      </c>
      <c r="G1022" s="45" t="n">
        <f aca="false">INDEX('Transition Stepwise'!$J$2:$J$1137,MATCH(F1022,'Transition Stepwise'!$E$2:$E$1137,0))</f>
        <v>0.327272727272727</v>
      </c>
      <c r="H1022" s="45" t="n">
        <f aca="false">INDEX(Background!$D$12:$D$27,MATCH(C1022&amp;D1022,Background!$E$12:$E$27,0))</f>
        <v>0.220480320213476</v>
      </c>
      <c r="I1022" s="49" t="n">
        <f aca="false">LN(G1022/H1022)</f>
        <v>0.39498541147455</v>
      </c>
    </row>
    <row r="1023" customFormat="false" ht="15" hidden="false" customHeight="true" outlineLevel="0" collapsed="false">
      <c r="A1023" s="38" t="s">
        <v>853</v>
      </c>
      <c r="B1023" s="38" t="n">
        <v>28</v>
      </c>
      <c r="C1023" s="38" t="s">
        <v>171</v>
      </c>
      <c r="D1023" s="38" t="s">
        <v>171</v>
      </c>
      <c r="E1023" s="38" t="s">
        <v>875</v>
      </c>
      <c r="F1023" s="38" t="str">
        <f aca="false">B1023&amp;"|"&amp;C1023&amp;"|"&amp;D1023</f>
        <v>28|U|U</v>
      </c>
      <c r="G1023" s="45" t="n">
        <f aca="false">INDEX('Transition Stepwise'!$J$2:$J$1137,MATCH(F1023,'Transition Stepwise'!$E$2:$E$1137,0))</f>
        <v>0.277777777777778</v>
      </c>
      <c r="H1023" s="45" t="n">
        <f aca="false">INDEX(Background!$D$12:$D$27,MATCH(C1023&amp;D1023,Background!$E$12:$E$27,0))</f>
        <v>0.220480320213476</v>
      </c>
      <c r="I1023" s="49" t="n">
        <f aca="false">LN(G1023/H1023)</f>
        <v>0.231012993348792</v>
      </c>
    </row>
    <row r="1024" customFormat="false" ht="15" hidden="false" customHeight="true" outlineLevel="0" collapsed="false">
      <c r="A1024" s="38" t="s">
        <v>853</v>
      </c>
      <c r="B1024" s="38" t="n">
        <v>29</v>
      </c>
      <c r="C1024" s="38" t="s">
        <v>171</v>
      </c>
      <c r="D1024" s="38" t="s">
        <v>172</v>
      </c>
      <c r="E1024" s="38" t="s">
        <v>875</v>
      </c>
      <c r="F1024" s="38" t="str">
        <f aca="false">B1024&amp;"|"&amp;C1024&amp;"|"&amp;D1024</f>
        <v>29|U|A</v>
      </c>
      <c r="G1024" s="45" t="n">
        <f aca="false">INDEX('Transition Stepwise'!$J$2:$J$1137,MATCH(F1024,'Transition Stepwise'!$E$2:$E$1137,0))</f>
        <v>0.0169491525423729</v>
      </c>
      <c r="H1024" s="45" t="n">
        <f aca="false">INDEX(Background!$D$12:$D$27,MATCH(C1024&amp;D1024,Background!$E$12:$E$27,0))</f>
        <v>0.180787191460974</v>
      </c>
      <c r="I1024" s="49" t="n">
        <f aca="false">LN(G1024/H1024)</f>
        <v>-2.36710276668282</v>
      </c>
    </row>
    <row r="1025" customFormat="false" ht="15" hidden="false" customHeight="true" outlineLevel="0" collapsed="false">
      <c r="A1025" s="38" t="s">
        <v>853</v>
      </c>
      <c r="B1025" s="38" t="n">
        <v>30</v>
      </c>
      <c r="C1025" s="38" t="s">
        <v>172</v>
      </c>
      <c r="D1025" s="38" t="s">
        <v>171</v>
      </c>
      <c r="E1025" s="38" t="s">
        <v>875</v>
      </c>
      <c r="F1025" s="38" t="str">
        <f aca="false">B1025&amp;"|"&amp;C1025&amp;"|"&amp;D1025</f>
        <v>30|A|U</v>
      </c>
      <c r="G1025" s="45" t="n">
        <f aca="false">INDEX('Transition Stepwise'!$J$2:$J$1137,MATCH(F1025,'Transition Stepwise'!$E$2:$E$1137,0))</f>
        <v>0.25</v>
      </c>
      <c r="H1025" s="45" t="n">
        <f aca="false">INDEX(Background!$D$12:$D$27,MATCH(C1025&amp;D1025,Background!$E$12:$E$27,0))</f>
        <v>0.194530046224961</v>
      </c>
      <c r="I1025" s="49" t="n">
        <f aca="false">LN(G1025/H1025)</f>
        <v>0.25087428742873</v>
      </c>
    </row>
    <row r="1026" customFormat="false" ht="15" hidden="false" customHeight="true" outlineLevel="0" collapsed="false">
      <c r="A1026" s="38" t="s">
        <v>853</v>
      </c>
      <c r="B1026" s="38" t="n">
        <v>31</v>
      </c>
      <c r="C1026" s="38" t="s">
        <v>171</v>
      </c>
      <c r="D1026" s="38" t="s">
        <v>172</v>
      </c>
      <c r="E1026" s="38" t="s">
        <v>875</v>
      </c>
      <c r="F1026" s="38" t="str">
        <f aca="false">B1026&amp;"|"&amp;C1026&amp;"|"&amp;D1026</f>
        <v>31|U|A</v>
      </c>
      <c r="G1026" s="45" t="n">
        <f aca="false">INDEX('Transition Stepwise'!$J$2:$J$1137,MATCH(F1026,'Transition Stepwise'!$E$2:$E$1137,0))</f>
        <v>0.0434782608695652</v>
      </c>
      <c r="H1026" s="45" t="n">
        <f aca="false">INDEX(Background!$D$12:$D$27,MATCH(C1026&amp;D1026,Background!$E$12:$E$27,0))</f>
        <v>0.180787191460974</v>
      </c>
      <c r="I1026" s="49" t="n">
        <f aca="false">LN(G1026/H1026)</f>
        <v>-1.42505953870625</v>
      </c>
    </row>
    <row r="1027" customFormat="false" ht="15" hidden="false" customHeight="true" outlineLevel="0" collapsed="false">
      <c r="A1027" s="38" t="s">
        <v>853</v>
      </c>
      <c r="B1027" s="38" t="n">
        <v>32</v>
      </c>
      <c r="C1027" s="38" t="s">
        <v>172</v>
      </c>
      <c r="D1027" s="38" t="s">
        <v>170</v>
      </c>
      <c r="E1027" s="38" t="s">
        <v>875</v>
      </c>
      <c r="F1027" s="38" t="str">
        <f aca="false">B1027&amp;"|"&amp;C1027&amp;"|"&amp;D1027</f>
        <v>32|A|C</v>
      </c>
      <c r="G1027" s="45" t="n">
        <f aca="false">INDEX('Transition Stepwise'!$J$2:$J$1137,MATCH(F1027,'Transition Stepwise'!$E$2:$E$1137,0))</f>
        <v>0.1</v>
      </c>
      <c r="H1027" s="45" t="n">
        <f aca="false">INDEX(Background!$D$12:$D$27,MATCH(C1027&amp;D1027,Background!$E$12:$E$27,0))</f>
        <v>0.161016949152542</v>
      </c>
      <c r="I1027" s="49" t="n">
        <f aca="false">LN(G1027/H1027)</f>
        <v>-0.476339447694821</v>
      </c>
    </row>
    <row r="1028" customFormat="false" ht="15" hidden="false" customHeight="true" outlineLevel="0" collapsed="false">
      <c r="A1028" s="38" t="s">
        <v>853</v>
      </c>
      <c r="B1028" s="38" t="n">
        <v>33</v>
      </c>
      <c r="C1028" s="38" t="s">
        <v>170</v>
      </c>
      <c r="D1028" s="38" t="s">
        <v>170</v>
      </c>
      <c r="E1028" s="38" t="s">
        <v>875</v>
      </c>
      <c r="F1028" s="38" t="str">
        <f aca="false">B1028&amp;"|"&amp;C1028&amp;"|"&amp;D1028</f>
        <v>33|C|C</v>
      </c>
      <c r="G1028" s="45" t="n">
        <f aca="false">INDEX('Transition Stepwise'!$J$2:$J$1137,MATCH(F1028,'Transition Stepwise'!$E$2:$E$1137,0))</f>
        <v>0.4</v>
      </c>
      <c r="H1028" s="45" t="n">
        <f aca="false">INDEX(Background!$D$12:$D$27,MATCH(C1028&amp;D1028,Background!$E$12:$E$27,0))</f>
        <v>0.312236286919831</v>
      </c>
      <c r="I1028" s="49" t="n">
        <f aca="false">LN(G1028/H1028)</f>
        <v>0.247704316056806</v>
      </c>
    </row>
    <row r="1029" customFormat="false" ht="15" hidden="false" customHeight="true" outlineLevel="0" collapsed="false">
      <c r="A1029" s="38" t="s">
        <v>853</v>
      </c>
      <c r="B1029" s="38" t="n">
        <v>34</v>
      </c>
      <c r="C1029" s="38" t="s">
        <v>170</v>
      </c>
      <c r="D1029" s="38" t="s">
        <v>171</v>
      </c>
      <c r="E1029" s="38" t="s">
        <v>875</v>
      </c>
      <c r="F1029" s="38" t="str">
        <f aca="false">B1029&amp;"|"&amp;C1029&amp;"|"&amp;D1029</f>
        <v>34|C|U</v>
      </c>
      <c r="G1029" s="45" t="n">
        <f aca="false">INDEX('Transition Stepwise'!$J$2:$J$1137,MATCH(F1029,'Transition Stepwise'!$E$2:$E$1137,0))</f>
        <v>0.185714285714286</v>
      </c>
      <c r="H1029" s="45" t="n">
        <f aca="false">INDEX(Background!$D$12:$D$27,MATCH(C1029&amp;D1029,Background!$E$12:$E$27,0))</f>
        <v>0.196466244725738</v>
      </c>
      <c r="I1029" s="49" t="n">
        <f aca="false">LN(G1029/H1029)</f>
        <v>-0.0562812395924693</v>
      </c>
    </row>
    <row r="1030" customFormat="false" ht="15" hidden="false" customHeight="true" outlineLevel="0" collapsed="false">
      <c r="A1030" s="38" t="s">
        <v>853</v>
      </c>
      <c r="B1030" s="38" t="n">
        <v>35</v>
      </c>
      <c r="C1030" s="38" t="s">
        <v>171</v>
      </c>
      <c r="D1030" s="38" t="s">
        <v>172</v>
      </c>
      <c r="E1030" s="38" t="s">
        <v>875</v>
      </c>
      <c r="F1030" s="38" t="str">
        <f aca="false">B1030&amp;"|"&amp;C1030&amp;"|"&amp;D1030</f>
        <v>35|U|A</v>
      </c>
      <c r="G1030" s="45" t="n">
        <f aca="false">INDEX('Transition Stepwise'!$J$2:$J$1137,MATCH(F1030,'Transition Stepwise'!$E$2:$E$1137,0))</f>
        <v>0.177777777777778</v>
      </c>
      <c r="H1030" s="45" t="n">
        <f aca="false">INDEX(Background!$D$12:$D$27,MATCH(C1030&amp;D1030,Background!$E$12:$E$27,0))</f>
        <v>0.180787191460974</v>
      </c>
      <c r="I1030" s="49" t="n">
        <f aca="false">LN(G1030/H1030)</f>
        <v>-0.016786270867587</v>
      </c>
    </row>
    <row r="1031" customFormat="false" ht="15" hidden="false" customHeight="true" outlineLevel="0" collapsed="false">
      <c r="A1031" s="38" t="s">
        <v>853</v>
      </c>
      <c r="B1031" s="38" t="n">
        <v>36</v>
      </c>
      <c r="C1031" s="38" t="s">
        <v>172</v>
      </c>
      <c r="D1031" s="38" t="s">
        <v>169</v>
      </c>
      <c r="E1031" s="38" t="s">
        <v>875</v>
      </c>
      <c r="F1031" s="38" t="str">
        <f aca="false">B1031&amp;"|"&amp;C1031&amp;"|"&amp;D1031</f>
        <v>36|A|G</v>
      </c>
      <c r="G1031" s="45" t="n">
        <f aca="false">INDEX('Transition Stepwise'!$J$2:$J$1137,MATCH(F1031,'Transition Stepwise'!$E$2:$E$1137,0))</f>
        <v>0.382978723404255</v>
      </c>
      <c r="H1031" s="45" t="n">
        <f aca="false">INDEX(Background!$D$12:$D$27,MATCH(C1031&amp;D1031,Background!$E$12:$E$27,0))</f>
        <v>0.424884437596302</v>
      </c>
      <c r="I1031" s="49" t="n">
        <f aca="false">LN(G1031/H1031)</f>
        <v>-0.103837785243416</v>
      </c>
    </row>
    <row r="1032" customFormat="false" ht="15" hidden="false" customHeight="true" outlineLevel="0" collapsed="false">
      <c r="A1032" s="38" t="s">
        <v>853</v>
      </c>
      <c r="B1032" s="38" t="n">
        <v>37</v>
      </c>
      <c r="C1032" s="38" t="s">
        <v>169</v>
      </c>
      <c r="D1032" s="38" t="s">
        <v>171</v>
      </c>
      <c r="E1032" s="38" t="s">
        <v>875</v>
      </c>
      <c r="F1032" s="38" t="str">
        <f aca="false">B1032&amp;"|"&amp;C1032&amp;"|"&amp;D1032</f>
        <v>37|G|U</v>
      </c>
      <c r="G1032" s="45" t="n">
        <f aca="false">INDEX('Transition Stepwise'!$J$2:$J$1137,MATCH(F1032,'Transition Stepwise'!$E$2:$E$1137,0))</f>
        <v>0.192307692307692</v>
      </c>
      <c r="H1032" s="45" t="n">
        <f aca="false">INDEX(Background!$D$12:$D$27,MATCH(C1032&amp;D1032,Background!$E$12:$E$27,0))</f>
        <v>0.234763476347635</v>
      </c>
      <c r="I1032" s="49" t="n">
        <f aca="false">LN(G1032/H1032)</f>
        <v>-0.199481870277556</v>
      </c>
    </row>
    <row r="1033" customFormat="false" ht="15" hidden="false" customHeight="true" outlineLevel="0" collapsed="false">
      <c r="A1033" s="38" t="s">
        <v>853</v>
      </c>
      <c r="B1033" s="38" t="n">
        <v>38</v>
      </c>
      <c r="C1033" s="38" t="s">
        <v>171</v>
      </c>
      <c r="D1033" s="38" t="s">
        <v>169</v>
      </c>
      <c r="E1033" s="38" t="s">
        <v>875</v>
      </c>
      <c r="F1033" s="38" t="str">
        <f aca="false">B1033&amp;"|"&amp;C1033&amp;"|"&amp;D1033</f>
        <v>38|U|G</v>
      </c>
      <c r="G1033" s="45" t="n">
        <f aca="false">INDEX('Transition Stepwise'!$J$2:$J$1137,MATCH(F1033,'Transition Stepwise'!$E$2:$E$1137,0))</f>
        <v>0.555555555555556</v>
      </c>
      <c r="H1033" s="45" t="n">
        <f aca="false">INDEX(Background!$D$12:$D$27,MATCH(C1033&amp;D1033,Background!$E$12:$E$27,0))</f>
        <v>0.221480987324883</v>
      </c>
      <c r="I1033" s="49" t="n">
        <f aca="false">LN(G1033/H1033)</f>
        <v>0.91963186428399</v>
      </c>
    </row>
    <row r="1034" customFormat="false" ht="15" hidden="false" customHeight="true" outlineLevel="0" collapsed="false">
      <c r="A1034" s="38" t="s">
        <v>853</v>
      </c>
      <c r="B1034" s="38" t="n">
        <v>39</v>
      </c>
      <c r="C1034" s="38" t="s">
        <v>169</v>
      </c>
      <c r="D1034" s="38" t="s">
        <v>171</v>
      </c>
      <c r="E1034" s="38" t="s">
        <v>875</v>
      </c>
      <c r="F1034" s="38" t="str">
        <f aca="false">B1034&amp;"|"&amp;C1034&amp;"|"&amp;D1034</f>
        <v>39|G|U</v>
      </c>
      <c r="G1034" s="45" t="n">
        <f aca="false">INDEX('Transition Stepwise'!$J$2:$J$1137,MATCH(F1034,'Transition Stepwise'!$E$2:$E$1137,0))</f>
        <v>0.0789473684210526</v>
      </c>
      <c r="H1034" s="45" t="n">
        <f aca="false">INDEX(Background!$D$12:$D$27,MATCH(C1034&amp;D1034,Background!$E$12:$E$27,0))</f>
        <v>0.234763476347635</v>
      </c>
      <c r="I1034" s="49" t="n">
        <f aca="false">LN(G1034/H1034)</f>
        <v>-1.08979711574845</v>
      </c>
    </row>
    <row r="1035" customFormat="false" ht="15" hidden="false" customHeight="true" outlineLevel="0" collapsed="false">
      <c r="A1035" s="38" t="s">
        <v>853</v>
      </c>
      <c r="B1035" s="38" t="n">
        <v>40</v>
      </c>
      <c r="C1035" s="38" t="s">
        <v>171</v>
      </c>
      <c r="D1035" s="38" t="s">
        <v>172</v>
      </c>
      <c r="E1035" s="38" t="s">
        <v>875</v>
      </c>
      <c r="F1035" s="38" t="str">
        <f aca="false">B1035&amp;"|"&amp;C1035&amp;"|"&amp;D1035</f>
        <v>40|U|A</v>
      </c>
      <c r="G1035" s="45" t="n">
        <f aca="false">INDEX('Transition Stepwise'!$J$2:$J$1137,MATCH(F1035,'Transition Stepwise'!$E$2:$E$1137,0))</f>
        <v>0.25</v>
      </c>
      <c r="H1035" s="45" t="n">
        <f aca="false">INDEX(Background!$D$12:$D$27,MATCH(C1035&amp;D1035,Background!$E$12:$E$27,0))</f>
        <v>0.180787191460974</v>
      </c>
      <c r="I1035" s="49" t="n">
        <f aca="false">LN(G1035/H1035)</f>
        <v>0.324140316103006</v>
      </c>
    </row>
    <row r="1036" customFormat="false" ht="15" hidden="false" customHeight="true" outlineLevel="0" collapsed="false">
      <c r="A1036" s="38" t="s">
        <v>853</v>
      </c>
      <c r="B1036" s="38" t="n">
        <v>41</v>
      </c>
      <c r="C1036" s="38" t="s">
        <v>172</v>
      </c>
      <c r="D1036" s="38" t="s">
        <v>171</v>
      </c>
      <c r="E1036" s="38" t="s">
        <v>875</v>
      </c>
      <c r="F1036" s="38" t="str">
        <f aca="false">B1036&amp;"|"&amp;C1036&amp;"|"&amp;D1036</f>
        <v>41|A|U</v>
      </c>
      <c r="G1036" s="45" t="n">
        <f aca="false">INDEX('Transition Stepwise'!$J$2:$J$1137,MATCH(F1036,'Transition Stepwise'!$E$2:$E$1137,0))</f>
        <v>0.172413793103448</v>
      </c>
      <c r="H1036" s="45" t="n">
        <f aca="false">INDEX(Background!$D$12:$D$27,MATCH(C1036&amp;D1036,Background!$E$12:$E$27,0))</f>
        <v>0.194530046224961</v>
      </c>
      <c r="I1036" s="49" t="n">
        <f aca="false">LN(G1036/H1036)</f>
        <v>-0.120689269003753</v>
      </c>
    </row>
    <row r="1037" customFormat="false" ht="15" hidden="false" customHeight="true" outlineLevel="0" collapsed="false">
      <c r="A1037" s="38" t="s">
        <v>853</v>
      </c>
      <c r="B1037" s="38" t="n">
        <v>42</v>
      </c>
      <c r="C1037" s="38" t="s">
        <v>171</v>
      </c>
      <c r="D1037" s="38" t="s">
        <v>172</v>
      </c>
      <c r="E1037" s="38" t="s">
        <v>875</v>
      </c>
      <c r="F1037" s="38" t="str">
        <f aca="false">B1037&amp;"|"&amp;C1037&amp;"|"&amp;D1037</f>
        <v>42|U|A</v>
      </c>
      <c r="G1037" s="45" t="n">
        <f aca="false">INDEX('Transition Stepwise'!$J$2:$J$1137,MATCH(F1037,'Transition Stepwise'!$E$2:$E$1137,0))</f>
        <v>0.1</v>
      </c>
      <c r="H1037" s="45" t="n">
        <f aca="false">INDEX(Background!$D$12:$D$27,MATCH(C1037&amp;D1037,Background!$E$12:$E$27,0))</f>
        <v>0.180787191460974</v>
      </c>
      <c r="I1037" s="49" t="n">
        <f aca="false">LN(G1037/H1037)</f>
        <v>-0.592150415771149</v>
      </c>
    </row>
    <row r="1038" customFormat="false" ht="15" hidden="false" customHeight="true" outlineLevel="0" collapsed="false">
      <c r="A1038" s="38" t="s">
        <v>853</v>
      </c>
      <c r="B1038" s="38" t="n">
        <v>43</v>
      </c>
      <c r="C1038" s="38" t="s">
        <v>172</v>
      </c>
      <c r="D1038" s="38" t="s">
        <v>169</v>
      </c>
      <c r="E1038" s="38" t="s">
        <v>875</v>
      </c>
      <c r="F1038" s="38" t="str">
        <f aca="false">B1038&amp;"|"&amp;C1038&amp;"|"&amp;D1038</f>
        <v>43|A|G</v>
      </c>
      <c r="G1038" s="45" t="n">
        <f aca="false">INDEX('Transition Stepwise'!$J$2:$J$1137,MATCH(F1038,'Transition Stepwise'!$E$2:$E$1137,0))</f>
        <v>0.285714285714286</v>
      </c>
      <c r="H1038" s="45" t="n">
        <f aca="false">INDEX(Background!$D$12:$D$27,MATCH(C1038&amp;D1038,Background!$E$12:$E$27,0))</f>
        <v>0.424884437596302</v>
      </c>
      <c r="I1038" s="49" t="n">
        <f aca="false">LN(G1038/H1038)</f>
        <v>-0.39682490992489</v>
      </c>
    </row>
    <row r="1039" customFormat="false" ht="15" hidden="false" customHeight="true" outlineLevel="0" collapsed="false">
      <c r="A1039" s="38" t="s">
        <v>853</v>
      </c>
      <c r="B1039" s="38" t="n">
        <v>44</v>
      </c>
      <c r="C1039" s="38" t="s">
        <v>169</v>
      </c>
      <c r="D1039" s="38" t="s">
        <v>172</v>
      </c>
      <c r="E1039" s="38" t="s">
        <v>875</v>
      </c>
      <c r="F1039" s="38" t="str">
        <f aca="false">B1039&amp;"|"&amp;C1039&amp;"|"&amp;D1039</f>
        <v>44|G|A</v>
      </c>
      <c r="G1039" s="45" t="n">
        <f aca="false">INDEX('Transition Stepwise'!$J$2:$J$1137,MATCH(F1039,'Transition Stepwise'!$E$2:$E$1137,0))</f>
        <v>0.14</v>
      </c>
      <c r="H1039" s="45" t="n">
        <f aca="false">INDEX(Background!$D$12:$D$27,MATCH(C1039&amp;D1039,Background!$E$12:$E$27,0))</f>
        <v>0.164356435643564</v>
      </c>
      <c r="I1039" s="49" t="n">
        <f aca="false">LN(G1039/H1039)</f>
        <v>-0.160395034894071</v>
      </c>
    </row>
    <row r="1040" customFormat="false" ht="15" hidden="false" customHeight="true" outlineLevel="0" collapsed="false">
      <c r="A1040" s="38" t="s">
        <v>853</v>
      </c>
      <c r="B1040" s="38" t="n">
        <v>45</v>
      </c>
      <c r="C1040" s="38" t="s">
        <v>172</v>
      </c>
      <c r="D1040" s="38" t="s">
        <v>172</v>
      </c>
      <c r="E1040" s="38" t="s">
        <v>875</v>
      </c>
      <c r="F1040" s="38" t="str">
        <f aca="false">B1040&amp;"|"&amp;C1040&amp;"|"&amp;D1040</f>
        <v>45|A|A</v>
      </c>
      <c r="G1040" s="45" t="n">
        <f aca="false">INDEX('Transition Stepwise'!$J$2:$J$1137,MATCH(F1040,'Transition Stepwise'!$E$2:$E$1137,0))</f>
        <v>0.0769230769230769</v>
      </c>
      <c r="H1040" s="45" t="n">
        <f aca="false">INDEX(Background!$D$12:$D$27,MATCH(C1040&amp;D1040,Background!$E$12:$E$27,0))</f>
        <v>0.219568567026194</v>
      </c>
      <c r="I1040" s="49" t="n">
        <f aca="false">LN(G1040/H1040)</f>
        <v>-1.04885864046615</v>
      </c>
    </row>
    <row r="1041" customFormat="false" ht="15" hidden="false" customHeight="true" outlineLevel="0" collapsed="false">
      <c r="A1041" s="38" t="s">
        <v>853</v>
      </c>
      <c r="B1041" s="38" t="n">
        <v>46</v>
      </c>
      <c r="C1041" s="38" t="s">
        <v>172</v>
      </c>
      <c r="D1041" s="38" t="s">
        <v>169</v>
      </c>
      <c r="E1041" s="38" t="s">
        <v>875</v>
      </c>
      <c r="F1041" s="38" t="str">
        <f aca="false">B1041&amp;"|"&amp;C1041&amp;"|"&amp;D1041</f>
        <v>46|A|G</v>
      </c>
      <c r="G1041" s="45" t="n">
        <f aca="false">INDEX('Transition Stepwise'!$J$2:$J$1137,MATCH(F1041,'Transition Stepwise'!$E$2:$E$1137,0))</f>
        <v>0.1</v>
      </c>
      <c r="H1041" s="45" t="n">
        <f aca="false">INDEX(Background!$D$12:$D$27,MATCH(C1041&amp;D1041,Background!$E$12:$E$27,0))</f>
        <v>0.424884437596302</v>
      </c>
      <c r="I1041" s="49" t="n">
        <f aca="false">LN(G1041/H1041)</f>
        <v>-1.44664703442357</v>
      </c>
    </row>
    <row r="1042" customFormat="false" ht="15" hidden="false" customHeight="true" outlineLevel="0" collapsed="false">
      <c r="A1042" s="38" t="s">
        <v>853</v>
      </c>
      <c r="B1042" s="38" t="n">
        <v>47</v>
      </c>
      <c r="C1042" s="38" t="s">
        <v>169</v>
      </c>
      <c r="D1042" s="38" t="s">
        <v>172</v>
      </c>
      <c r="E1042" s="38" t="s">
        <v>875</v>
      </c>
      <c r="F1042" s="38" t="str">
        <f aca="false">B1042&amp;"|"&amp;C1042&amp;"|"&amp;D1042</f>
        <v>47|G|A</v>
      </c>
      <c r="G1042" s="45" t="n">
        <f aca="false">INDEX('Transition Stepwise'!$J$2:$J$1137,MATCH(F1042,'Transition Stepwise'!$E$2:$E$1137,0))</f>
        <v>0.05</v>
      </c>
      <c r="H1042" s="45" t="n">
        <f aca="false">INDEX(Background!$D$12:$D$27,MATCH(C1042&amp;D1042,Background!$E$12:$E$27,0))</f>
        <v>0.164356435643564</v>
      </c>
      <c r="I1042" s="49" t="n">
        <f aca="false">LN(G1042/H1042)</f>
        <v>-1.19001445207523</v>
      </c>
    </row>
    <row r="1043" customFormat="false" ht="15" hidden="false" customHeight="true" outlineLevel="0" collapsed="false">
      <c r="A1043" s="38" t="s">
        <v>853</v>
      </c>
      <c r="B1043" s="38" t="n">
        <v>48</v>
      </c>
      <c r="C1043" s="38" t="s">
        <v>172</v>
      </c>
      <c r="D1043" s="38" t="s">
        <v>172</v>
      </c>
      <c r="E1043" s="38" t="s">
        <v>875</v>
      </c>
      <c r="F1043" s="38" t="str">
        <f aca="false">B1043&amp;"|"&amp;C1043&amp;"|"&amp;D1043</f>
        <v>48|A|A</v>
      </c>
      <c r="G1043" s="45" t="n">
        <f aca="false">INDEX('Transition Stepwise'!$J$2:$J$1137,MATCH(F1043,'Transition Stepwise'!$E$2:$E$1137,0))</f>
        <v>0.4</v>
      </c>
      <c r="H1043" s="45" t="n">
        <f aca="false">INDEX(Background!$D$12:$D$27,MATCH(C1043&amp;D1043,Background!$E$12:$E$27,0))</f>
        <v>0.219568567026194</v>
      </c>
      <c r="I1043" s="49" t="n">
        <f aca="false">LN(G1043/H1043)</f>
        <v>0.59979998512123</v>
      </c>
    </row>
    <row r="1044" customFormat="false" ht="15" hidden="false" customHeight="true" outlineLevel="0" collapsed="false">
      <c r="A1044" s="38" t="s">
        <v>853</v>
      </c>
      <c r="B1044" s="38" t="n">
        <v>49</v>
      </c>
      <c r="C1044" s="38" t="s">
        <v>172</v>
      </c>
      <c r="D1044" s="38" t="s">
        <v>169</v>
      </c>
      <c r="E1044" s="38" t="s">
        <v>875</v>
      </c>
      <c r="F1044" s="38" t="str">
        <f aca="false">B1044&amp;"|"&amp;C1044&amp;"|"&amp;D1044</f>
        <v>49|A|G</v>
      </c>
      <c r="G1044" s="45" t="n">
        <f aca="false">INDEX('Transition Stepwise'!$J$2:$J$1137,MATCH(F1044,'Transition Stepwise'!$E$2:$E$1137,0))</f>
        <v>0.257142857142857</v>
      </c>
      <c r="H1044" s="45" t="n">
        <f aca="false">INDEX(Background!$D$12:$D$27,MATCH(C1044&amp;D1044,Background!$E$12:$E$27,0))</f>
        <v>0.424884437596302</v>
      </c>
      <c r="I1044" s="49" t="n">
        <f aca="false">LN(G1044/H1044)</f>
        <v>-0.502185425582716</v>
      </c>
    </row>
    <row r="1045" customFormat="false" ht="15" hidden="false" customHeight="true" outlineLevel="0" collapsed="false">
      <c r="A1045" s="38" t="s">
        <v>853</v>
      </c>
      <c r="B1045" s="38" t="n">
        <v>50</v>
      </c>
      <c r="C1045" s="38" t="s">
        <v>169</v>
      </c>
      <c r="D1045" s="38" t="s">
        <v>172</v>
      </c>
      <c r="E1045" s="38" t="s">
        <v>875</v>
      </c>
      <c r="F1045" s="38" t="str">
        <f aca="false">B1045&amp;"|"&amp;C1045&amp;"|"&amp;D1045</f>
        <v>50|G|A</v>
      </c>
      <c r="G1045" s="45" t="n">
        <f aca="false">INDEX('Transition Stepwise'!$J$2:$J$1137,MATCH(F1045,'Transition Stepwise'!$E$2:$E$1137,0))</f>
        <v>0.087719298245614</v>
      </c>
      <c r="H1045" s="45" t="n">
        <f aca="false">INDEX(Background!$D$12:$D$27,MATCH(C1045&amp;D1045,Background!$E$12:$E$27,0))</f>
        <v>0.164356435643564</v>
      </c>
      <c r="I1045" s="49" t="n">
        <f aca="false">LN(G1045/H1045)</f>
        <v>-0.627895533921688</v>
      </c>
    </row>
    <row r="1046" customFormat="false" ht="15" hidden="false" customHeight="true" outlineLevel="0" collapsed="false">
      <c r="A1046" s="38" t="s">
        <v>853</v>
      </c>
      <c r="B1046" s="38" t="n">
        <v>51</v>
      </c>
      <c r="C1046" s="38" t="s">
        <v>172</v>
      </c>
      <c r="D1046" s="38" t="s">
        <v>172</v>
      </c>
      <c r="E1046" s="38" t="s">
        <v>875</v>
      </c>
      <c r="F1046" s="38" t="str">
        <f aca="false">B1046&amp;"|"&amp;C1046&amp;"|"&amp;D1046</f>
        <v>51|A|A</v>
      </c>
      <c r="G1046" s="45" t="n">
        <f aca="false">INDEX('Transition Stepwise'!$J$2:$J$1137,MATCH(F1046,'Transition Stepwise'!$E$2:$E$1137,0))</f>
        <v>0.0625</v>
      </c>
      <c r="H1046" s="45" t="n">
        <f aca="false">INDEX(Background!$D$12:$D$27,MATCH(C1046&amp;D1046,Background!$E$12:$E$27,0))</f>
        <v>0.219568567026194</v>
      </c>
      <c r="I1046" s="49" t="n">
        <f aca="false">LN(G1046/H1046)</f>
        <v>-1.2564980052444</v>
      </c>
    </row>
    <row r="1047" customFormat="false" ht="15" hidden="false" customHeight="true" outlineLevel="0" collapsed="false">
      <c r="A1047" s="38" t="s">
        <v>853</v>
      </c>
      <c r="B1047" s="38" t="n">
        <v>52</v>
      </c>
      <c r="C1047" s="38" t="s">
        <v>172</v>
      </c>
      <c r="D1047" s="38" t="s">
        <v>169</v>
      </c>
      <c r="E1047" s="38" t="s">
        <v>875</v>
      </c>
      <c r="F1047" s="38" t="str">
        <f aca="false">B1047&amp;"|"&amp;C1047&amp;"|"&amp;D1047</f>
        <v>52|A|G</v>
      </c>
      <c r="G1047" s="45" t="n">
        <f aca="false">INDEX('Transition Stepwise'!$J$2:$J$1137,MATCH(F1047,'Transition Stepwise'!$E$2:$E$1137,0))</f>
        <v>0.9</v>
      </c>
      <c r="H1047" s="45" t="n">
        <f aca="false">INDEX(Background!$D$12:$D$27,MATCH(C1047&amp;D1047,Background!$E$12:$E$27,0))</f>
        <v>0.424884437596302</v>
      </c>
      <c r="I1047" s="49" t="n">
        <f aca="false">LN(G1047/H1047)</f>
        <v>0.750577542912652</v>
      </c>
    </row>
    <row r="1048" customFormat="false" ht="15" hidden="false" customHeight="true" outlineLevel="0" collapsed="false">
      <c r="A1048" s="38" t="s">
        <v>853</v>
      </c>
      <c r="B1048" s="38" t="n">
        <v>53</v>
      </c>
      <c r="C1048" s="38" t="s">
        <v>169</v>
      </c>
      <c r="D1048" s="38" t="s">
        <v>171</v>
      </c>
      <c r="E1048" s="38" t="s">
        <v>875</v>
      </c>
      <c r="F1048" s="38" t="str">
        <f aca="false">B1048&amp;"|"&amp;C1048&amp;"|"&amp;D1048</f>
        <v>53|G|U</v>
      </c>
      <c r="G1048" s="45" t="n">
        <f aca="false">INDEX('Transition Stepwise'!$J$2:$J$1137,MATCH(F1048,'Transition Stepwise'!$E$2:$E$1137,0))</f>
        <v>0.974874371859297</v>
      </c>
      <c r="H1048" s="45" t="n">
        <f aca="false">INDEX(Background!$D$12:$D$27,MATCH(C1048&amp;D1048,Background!$E$12:$E$27,0))</f>
        <v>0.234763476347635</v>
      </c>
      <c r="I1048" s="49" t="n">
        <f aca="false">LN(G1048/H1048)</f>
        <v>1.42373008964866</v>
      </c>
    </row>
    <row r="1049" customFormat="false" ht="15" hidden="false" customHeight="true" outlineLevel="0" collapsed="false">
      <c r="A1049" s="38" t="s">
        <v>853</v>
      </c>
      <c r="B1049" s="38" t="n">
        <v>54</v>
      </c>
      <c r="C1049" s="38" t="s">
        <v>171</v>
      </c>
      <c r="D1049" s="38" t="s">
        <v>170</v>
      </c>
      <c r="E1049" s="38" t="s">
        <v>875</v>
      </c>
      <c r="F1049" s="38" t="str">
        <f aca="false">B1049&amp;"|"&amp;C1049&amp;"|"&amp;D1049</f>
        <v>54|U|C</v>
      </c>
      <c r="G1049" s="45" t="n">
        <f aca="false">INDEX('Transition Stepwise'!$J$2:$J$1137,MATCH(F1049,'Transition Stepwise'!$E$2:$E$1137,0))</f>
        <v>0.00995024875621891</v>
      </c>
      <c r="H1049" s="45" t="n">
        <f aca="false">INDEX(Background!$D$12:$D$27,MATCH(C1049&amp;D1049,Background!$E$12:$E$27,0))</f>
        <v>0.377251501000667</v>
      </c>
      <c r="I1049" s="49" t="n">
        <f aca="false">LN(G1049/H1049)</f>
        <v>-3.63531452495271</v>
      </c>
    </row>
    <row r="1050" customFormat="false" ht="15" hidden="false" customHeight="true" outlineLevel="0" collapsed="false">
      <c r="A1050" s="38" t="s">
        <v>853</v>
      </c>
      <c r="B1050" s="38" t="n">
        <v>55</v>
      </c>
      <c r="C1050" s="38" t="s">
        <v>170</v>
      </c>
      <c r="D1050" s="38" t="s">
        <v>170</v>
      </c>
      <c r="E1050" s="38" t="s">
        <v>875</v>
      </c>
      <c r="F1050" s="38" t="str">
        <f aca="false">B1050&amp;"|"&amp;C1050&amp;"|"&amp;D1050</f>
        <v>55|C|C</v>
      </c>
      <c r="G1050" s="45" t="n">
        <f aca="false">INDEX('Transition Stepwise'!$J$2:$J$1137,MATCH(F1050,'Transition Stepwise'!$E$2:$E$1137,0))</f>
        <v>0.2</v>
      </c>
      <c r="H1050" s="45" t="n">
        <f aca="false">INDEX(Background!$D$12:$D$27,MATCH(C1050&amp;D1050,Background!$E$12:$E$27,0))</f>
        <v>0.312236286919831</v>
      </c>
      <c r="I1050" s="49" t="n">
        <f aca="false">LN(G1050/H1050)</f>
        <v>-0.445442864503139</v>
      </c>
    </row>
    <row r="1051" customFormat="false" ht="15" hidden="false" customHeight="true" outlineLevel="0" collapsed="false">
      <c r="A1051" s="38" t="s">
        <v>853</v>
      </c>
      <c r="B1051" s="38" t="n">
        <v>56</v>
      </c>
      <c r="C1051" s="38" t="s">
        <v>170</v>
      </c>
      <c r="D1051" s="38" t="s">
        <v>171</v>
      </c>
      <c r="E1051" s="38" t="s">
        <v>875</v>
      </c>
      <c r="F1051" s="38" t="str">
        <f aca="false">B1051&amp;"|"&amp;C1051&amp;"|"&amp;D1051</f>
        <v>56|C|U</v>
      </c>
      <c r="G1051" s="45" t="n">
        <f aca="false">INDEX('Transition Stepwise'!$J$2:$J$1137,MATCH(F1051,'Transition Stepwise'!$E$2:$E$1137,0))</f>
        <v>0.0050251256281407</v>
      </c>
      <c r="H1051" s="45" t="n">
        <f aca="false">INDEX(Background!$D$12:$D$27,MATCH(C1051&amp;D1051,Background!$E$12:$E$27,0))</f>
        <v>0.196466244725738</v>
      </c>
      <c r="I1051" s="49" t="n">
        <f aca="false">LN(G1051/H1051)</f>
        <v>-3.66604017972914</v>
      </c>
    </row>
    <row r="1052" customFormat="false" ht="15" hidden="false" customHeight="true" outlineLevel="0" collapsed="false">
      <c r="A1052" s="38" t="s">
        <v>853</v>
      </c>
      <c r="B1052" s="38" t="n">
        <v>57</v>
      </c>
      <c r="C1052" s="38" t="s">
        <v>171</v>
      </c>
      <c r="D1052" s="38" t="s">
        <v>172</v>
      </c>
      <c r="E1052" s="38" t="s">
        <v>875</v>
      </c>
      <c r="F1052" s="38" t="str">
        <f aca="false">B1052&amp;"|"&amp;C1052&amp;"|"&amp;D1052</f>
        <v>57|U|A</v>
      </c>
      <c r="G1052" s="45" t="n">
        <f aca="false">INDEX('Transition Stepwise'!$J$2:$J$1137,MATCH(F1052,'Transition Stepwise'!$E$2:$E$1137,0))</f>
        <v>0.2</v>
      </c>
      <c r="H1052" s="45" t="n">
        <f aca="false">INDEX(Background!$D$12:$D$27,MATCH(C1052&amp;D1052,Background!$E$12:$E$27,0))</f>
        <v>0.180787191460974</v>
      </c>
      <c r="I1052" s="49" t="n">
        <f aca="false">LN(G1052/H1052)</f>
        <v>0.100996764788796</v>
      </c>
    </row>
    <row r="1053" customFormat="false" ht="15" hidden="false" customHeight="true" outlineLevel="0" collapsed="false">
      <c r="A1053" s="38" t="s">
        <v>853</v>
      </c>
      <c r="B1053" s="38" t="n">
        <v>58</v>
      </c>
      <c r="C1053" s="38" t="s">
        <v>172</v>
      </c>
      <c r="D1053" s="38" t="s">
        <v>169</v>
      </c>
      <c r="E1053" s="38" t="s">
        <v>875</v>
      </c>
      <c r="F1053" s="38" t="str">
        <f aca="false">B1053&amp;"|"&amp;C1053&amp;"|"&amp;D1053</f>
        <v>58|A|G</v>
      </c>
      <c r="G1053" s="45" t="n">
        <f aca="false">INDEX('Transition Stepwise'!$J$2:$J$1137,MATCH(F1053,'Transition Stepwise'!$E$2:$E$1137,0))</f>
        <v>0.233830845771144</v>
      </c>
      <c r="H1053" s="45" t="n">
        <f aca="false">INDEX(Background!$D$12:$D$27,MATCH(C1053&amp;D1053,Background!$E$12:$E$27,0))</f>
        <v>0.424884437596302</v>
      </c>
      <c r="I1053" s="49" t="n">
        <f aca="false">LN(G1053/H1053)</f>
        <v>-0.597219247778539</v>
      </c>
    </row>
    <row r="1054" customFormat="false" ht="15" hidden="false" customHeight="true" outlineLevel="0" collapsed="false">
      <c r="A1054" s="38" t="s">
        <v>853</v>
      </c>
      <c r="B1054" s="38" t="n">
        <v>59</v>
      </c>
      <c r="C1054" s="38" t="s">
        <v>169</v>
      </c>
      <c r="D1054" s="38" t="s">
        <v>171</v>
      </c>
      <c r="E1054" s="38" t="s">
        <v>875</v>
      </c>
      <c r="F1054" s="38" t="str">
        <f aca="false">B1054&amp;"|"&amp;C1054&amp;"|"&amp;D1054</f>
        <v>59|G|U</v>
      </c>
      <c r="G1054" s="45" t="n">
        <f aca="false">INDEX('Transition Stepwise'!$J$2:$J$1137,MATCH(F1054,'Transition Stepwise'!$E$2:$E$1137,0))</f>
        <v>0.82</v>
      </c>
      <c r="H1054" s="45" t="n">
        <f aca="false">INDEX(Background!$D$12:$D$27,MATCH(C1054&amp;D1054,Background!$E$12:$E$27,0))</f>
        <v>0.234763476347635</v>
      </c>
      <c r="I1054" s="49" t="n">
        <f aca="false">LN(G1054/H1054)</f>
        <v>1.25072581658599</v>
      </c>
    </row>
    <row r="1055" customFormat="false" ht="15" hidden="false" customHeight="true" outlineLevel="0" collapsed="false">
      <c r="A1055" s="38" t="s">
        <v>853</v>
      </c>
      <c r="B1055" s="38" t="n">
        <v>60</v>
      </c>
      <c r="C1055" s="38" t="s">
        <v>171</v>
      </c>
      <c r="D1055" s="38" t="s">
        <v>170</v>
      </c>
      <c r="E1055" s="38" t="s">
        <v>875</v>
      </c>
      <c r="F1055" s="38" t="str">
        <f aca="false">B1055&amp;"|"&amp;C1055&amp;"|"&amp;D1055</f>
        <v>60|U|C</v>
      </c>
      <c r="G1055" s="45" t="n">
        <f aca="false">INDEX('Transition Stepwise'!$J$2:$J$1137,MATCH(F1055,'Transition Stepwise'!$E$2:$E$1137,0))</f>
        <v>0.975</v>
      </c>
      <c r="H1055" s="45" t="n">
        <f aca="false">INDEX(Background!$D$12:$D$27,MATCH(C1055&amp;D1055,Background!$E$12:$E$27,0))</f>
        <v>0.377251501000667</v>
      </c>
      <c r="I1055" s="49" t="n">
        <f aca="false">LN(G1055/H1055)</f>
        <v>0.949525394562133</v>
      </c>
    </row>
    <row r="1056" customFormat="false" ht="15" hidden="false" customHeight="true" outlineLevel="0" collapsed="false">
      <c r="A1056" s="38" t="s">
        <v>853</v>
      </c>
      <c r="B1056" s="38" t="n">
        <v>61</v>
      </c>
      <c r="C1056" s="38" t="s">
        <v>170</v>
      </c>
      <c r="D1056" s="38" t="s">
        <v>171</v>
      </c>
      <c r="E1056" s="38" t="s">
        <v>875</v>
      </c>
      <c r="F1056" s="38" t="str">
        <f aca="false">B1056&amp;"|"&amp;C1056&amp;"|"&amp;D1056</f>
        <v>61|C|U</v>
      </c>
      <c r="G1056" s="45" t="n">
        <f aca="false">INDEX('Transition Stepwise'!$J$2:$J$1137,MATCH(F1056,'Transition Stepwise'!$E$2:$E$1137,0))</f>
        <v>0.129353233830846</v>
      </c>
      <c r="H1056" s="45" t="n">
        <f aca="false">INDEX(Background!$D$12:$D$27,MATCH(C1056&amp;D1056,Background!$E$12:$E$27,0))</f>
        <v>0.196466244725738</v>
      </c>
      <c r="I1056" s="49" t="n">
        <f aca="false">LN(G1056/H1056)</f>
        <v>-0.417943725042241</v>
      </c>
    </row>
    <row r="1057" customFormat="false" ht="15" hidden="false" customHeight="true" outlineLevel="0" collapsed="false">
      <c r="A1057" s="38" t="s">
        <v>853</v>
      </c>
      <c r="B1057" s="38" t="n">
        <v>62</v>
      </c>
      <c r="C1057" s="38" t="s">
        <v>171</v>
      </c>
      <c r="D1057" s="38" t="s">
        <v>171</v>
      </c>
      <c r="E1057" s="38" t="s">
        <v>875</v>
      </c>
      <c r="F1057" s="38" t="str">
        <f aca="false">B1057&amp;"|"&amp;C1057&amp;"|"&amp;D1057</f>
        <v>62|U|U</v>
      </c>
      <c r="G1057" s="45" t="n">
        <f aca="false">INDEX('Transition Stepwise'!$J$2:$J$1137,MATCH(F1057,'Transition Stepwise'!$E$2:$E$1137,0))</f>
        <v>0.1</v>
      </c>
      <c r="H1057" s="45" t="n">
        <f aca="false">INDEX(Background!$D$12:$D$27,MATCH(C1057&amp;D1057,Background!$E$12:$E$27,0))</f>
        <v>0.220480320213476</v>
      </c>
      <c r="I1057" s="49" t="n">
        <f aca="false">LN(G1057/H1057)</f>
        <v>-0.790638254183189</v>
      </c>
    </row>
    <row r="1058" customFormat="false" ht="15" hidden="false" customHeight="true" outlineLevel="0" collapsed="false">
      <c r="A1058" s="38" t="s">
        <v>853</v>
      </c>
      <c r="B1058" s="38" t="n">
        <v>63</v>
      </c>
      <c r="C1058" s="38" t="s">
        <v>171</v>
      </c>
      <c r="D1058" s="38" t="s">
        <v>171</v>
      </c>
      <c r="E1058" s="38" t="s">
        <v>875</v>
      </c>
      <c r="F1058" s="38" t="str">
        <f aca="false">B1058&amp;"|"&amp;C1058&amp;"|"&amp;D1058</f>
        <v>63|U|U</v>
      </c>
      <c r="G1058" s="45" t="n">
        <f aca="false">INDEX('Transition Stepwise'!$J$2:$J$1137,MATCH(F1058,'Transition Stepwise'!$E$2:$E$1137,0))</f>
        <v>0.138888888888889</v>
      </c>
      <c r="H1058" s="45" t="n">
        <f aca="false">INDEX(Background!$D$12:$D$27,MATCH(C1058&amp;D1058,Background!$E$12:$E$27,0))</f>
        <v>0.220480320213476</v>
      </c>
      <c r="I1058" s="49" t="n">
        <f aca="false">LN(G1058/H1058)</f>
        <v>-0.462134187211153</v>
      </c>
    </row>
    <row r="1059" customFormat="false" ht="15" hidden="false" customHeight="true" outlineLevel="0" collapsed="false">
      <c r="A1059" s="38" t="s">
        <v>853</v>
      </c>
      <c r="B1059" s="38" t="n">
        <v>64</v>
      </c>
      <c r="C1059" s="38" t="s">
        <v>171</v>
      </c>
      <c r="D1059" s="38" t="s">
        <v>171</v>
      </c>
      <c r="E1059" s="38" t="s">
        <v>875</v>
      </c>
      <c r="F1059" s="38" t="str">
        <f aca="false">B1059&amp;"|"&amp;C1059&amp;"|"&amp;D1059</f>
        <v>64|U|U</v>
      </c>
      <c r="G1059" s="45" t="n">
        <f aca="false">INDEX('Transition Stepwise'!$J$2:$J$1137,MATCH(F1059,'Transition Stepwise'!$E$2:$E$1137,0))</f>
        <v>0.297297297297297</v>
      </c>
      <c r="H1059" s="45" t="n">
        <f aca="false">INDEX(Background!$D$12:$D$27,MATCH(C1059&amp;D1059,Background!$E$12:$E$27,0))</f>
        <v>0.220480320213476</v>
      </c>
      <c r="I1059" s="49" t="n">
        <f aca="false">LN(G1059/H1059)</f>
        <v>0.298924198965003</v>
      </c>
    </row>
    <row r="1060" customFormat="false" ht="15" hidden="false" customHeight="true" outlineLevel="0" collapsed="false">
      <c r="A1060" s="38" t="s">
        <v>853</v>
      </c>
      <c r="B1060" s="38" t="n">
        <v>65</v>
      </c>
      <c r="C1060" s="38" t="s">
        <v>171</v>
      </c>
      <c r="D1060" s="38" t="s">
        <v>171</v>
      </c>
      <c r="E1060" s="38" t="s">
        <v>875</v>
      </c>
      <c r="F1060" s="38" t="str">
        <f aca="false">B1060&amp;"|"&amp;C1060&amp;"|"&amp;D1060</f>
        <v>65|U|U</v>
      </c>
      <c r="G1060" s="45" t="n">
        <f aca="false">INDEX('Transition Stepwise'!$J$2:$J$1137,MATCH(F1060,'Transition Stepwise'!$E$2:$E$1137,0))</f>
        <v>0.178082191780822</v>
      </c>
      <c r="H1060" s="45" t="n">
        <f aca="false">INDEX(Background!$D$12:$D$27,MATCH(C1060&amp;D1060,Background!$E$12:$E$27,0))</f>
        <v>0.220480320213476</v>
      </c>
      <c r="I1060" s="49" t="n">
        <f aca="false">LN(G1060/H1060)</f>
        <v>-0.213563244875998</v>
      </c>
    </row>
    <row r="1061" customFormat="false" ht="15" hidden="false" customHeight="true" outlineLevel="0" collapsed="false">
      <c r="A1061" s="38" t="s">
        <v>853</v>
      </c>
      <c r="B1061" s="38" t="n">
        <v>66</v>
      </c>
      <c r="C1061" s="38" t="s">
        <v>171</v>
      </c>
      <c r="D1061" s="38" t="s">
        <v>170</v>
      </c>
      <c r="E1061" s="38" t="s">
        <v>875</v>
      </c>
      <c r="F1061" s="38" t="str">
        <f aca="false">B1061&amp;"|"&amp;C1061&amp;"|"&amp;D1061</f>
        <v>66|U|C</v>
      </c>
      <c r="G1061" s="45" t="n">
        <f aca="false">INDEX('Transition Stepwise'!$J$2:$J$1137,MATCH(F1061,'Transition Stepwise'!$E$2:$E$1137,0))</f>
        <v>0.207547169811321</v>
      </c>
      <c r="H1061" s="45" t="n">
        <f aca="false">INDEX(Background!$D$12:$D$27,MATCH(C1061&amp;D1061,Background!$E$12:$E$27,0))</f>
        <v>0.377251501000667</v>
      </c>
      <c r="I1061" s="49" t="n">
        <f aca="false">LN(G1061/H1061)</f>
        <v>-0.597553438207329</v>
      </c>
    </row>
    <row r="1062" customFormat="false" ht="15" hidden="false" customHeight="true" outlineLevel="0" collapsed="false">
      <c r="A1062" s="38" t="s">
        <v>853</v>
      </c>
      <c r="B1062" s="38" t="n">
        <v>67</v>
      </c>
      <c r="C1062" s="38" t="s">
        <v>170</v>
      </c>
      <c r="D1062" s="38" t="s">
        <v>172</v>
      </c>
      <c r="E1062" s="38" t="s">
        <v>875</v>
      </c>
      <c r="F1062" s="38" t="str">
        <f aca="false">B1062&amp;"|"&amp;C1062&amp;"|"&amp;D1062</f>
        <v>67|C|A</v>
      </c>
      <c r="G1062" s="45" t="n">
        <f aca="false">INDEX('Transition Stepwise'!$J$2:$J$1137,MATCH(F1062,'Transition Stepwise'!$E$2:$E$1137,0))</f>
        <v>0.163265306122449</v>
      </c>
      <c r="H1062" s="45" t="n">
        <f aca="false">INDEX(Background!$D$12:$D$27,MATCH(C1062&amp;D1062,Background!$E$12:$E$27,0))</f>
        <v>0.194883966244726</v>
      </c>
      <c r="I1062" s="49" t="n">
        <f aca="false">LN(G1062/H1062)</f>
        <v>-0.17702781400408</v>
      </c>
    </row>
    <row r="1063" customFormat="false" ht="15" hidden="false" customHeight="true" outlineLevel="0" collapsed="false">
      <c r="A1063" s="38" t="s">
        <v>853</v>
      </c>
      <c r="B1063" s="38" t="n">
        <v>68</v>
      </c>
      <c r="C1063" s="38" t="s">
        <v>172</v>
      </c>
      <c r="D1063" s="38" t="s">
        <v>171</v>
      </c>
      <c r="E1063" s="38" t="s">
        <v>875</v>
      </c>
      <c r="F1063" s="38" t="str">
        <f aca="false">B1063&amp;"|"&amp;C1063&amp;"|"&amp;D1063</f>
        <v>68|A|U</v>
      </c>
      <c r="G1063" s="45" t="n">
        <f aca="false">INDEX('Transition Stepwise'!$J$2:$J$1137,MATCH(F1063,'Transition Stepwise'!$E$2:$E$1137,0))</f>
        <v>0.105263157894737</v>
      </c>
      <c r="H1063" s="45" t="n">
        <f aca="false">INDEX(Background!$D$12:$D$27,MATCH(C1063&amp;D1063,Background!$E$12:$E$27,0))</f>
        <v>0.194530046224961</v>
      </c>
      <c r="I1063" s="49" t="n">
        <f aca="false">LN(G1063/H1063)</f>
        <v>-0.614123150057874</v>
      </c>
    </row>
    <row r="1064" customFormat="false" ht="15" hidden="false" customHeight="true" outlineLevel="0" collapsed="false">
      <c r="A1064" s="38" t="s">
        <v>853</v>
      </c>
      <c r="B1064" s="38" t="n">
        <v>69</v>
      </c>
      <c r="C1064" s="38" t="s">
        <v>171</v>
      </c>
      <c r="D1064" s="38" t="s">
        <v>171</v>
      </c>
      <c r="E1064" s="38" t="s">
        <v>875</v>
      </c>
      <c r="F1064" s="38" t="str">
        <f aca="false">B1064&amp;"|"&amp;C1064&amp;"|"&amp;D1064</f>
        <v>69|U|U</v>
      </c>
      <c r="G1064" s="45" t="n">
        <f aca="false">INDEX('Transition Stepwise'!$J$2:$J$1137,MATCH(F1064,'Transition Stepwise'!$E$2:$E$1137,0))</f>
        <v>0.15</v>
      </c>
      <c r="H1064" s="45" t="n">
        <f aca="false">INDEX(Background!$D$12:$D$27,MATCH(C1064&amp;D1064,Background!$E$12:$E$27,0))</f>
        <v>0.220480320213476</v>
      </c>
      <c r="I1064" s="49" t="n">
        <f aca="false">LN(G1064/H1064)</f>
        <v>-0.385173146075025</v>
      </c>
    </row>
    <row r="1065" customFormat="false" ht="15" hidden="false" customHeight="true" outlineLevel="0" collapsed="false">
      <c r="A1065" s="38" t="s">
        <v>853</v>
      </c>
      <c r="B1065" s="38" t="n">
        <v>70</v>
      </c>
      <c r="C1065" s="38" t="s">
        <v>171</v>
      </c>
      <c r="D1065" s="38" t="s">
        <v>172</v>
      </c>
      <c r="E1065" s="38" t="s">
        <v>875</v>
      </c>
      <c r="F1065" s="38" t="str">
        <f aca="false">B1065&amp;"|"&amp;C1065&amp;"|"&amp;D1065</f>
        <v>70|U|A</v>
      </c>
      <c r="G1065" s="45" t="n">
        <f aca="false">INDEX('Transition Stepwise'!$J$2:$J$1137,MATCH(F1065,'Transition Stepwise'!$E$2:$E$1137,0))</f>
        <v>0.0294117647058824</v>
      </c>
      <c r="H1065" s="45" t="n">
        <f aca="false">INDEX(Background!$D$12:$D$27,MATCH(C1065&amp;D1065,Background!$E$12:$E$27,0))</f>
        <v>0.180787191460974</v>
      </c>
      <c r="I1065" s="49" t="n">
        <f aca="false">LN(G1065/H1065)</f>
        <v>-1.81592584739326</v>
      </c>
    </row>
    <row r="1066" customFormat="false" ht="15" hidden="false" customHeight="true" outlineLevel="0" collapsed="false">
      <c r="A1066" s="38" t="s">
        <v>853</v>
      </c>
      <c r="B1066" s="38" t="n">
        <v>71</v>
      </c>
      <c r="C1066" s="38" t="s">
        <v>172</v>
      </c>
      <c r="D1066" s="38" t="s">
        <v>169</v>
      </c>
      <c r="E1066" s="38" t="s">
        <v>875</v>
      </c>
      <c r="F1066" s="38" t="str">
        <f aca="false">B1066&amp;"|"&amp;C1066&amp;"|"&amp;D1066</f>
        <v>71|A|G</v>
      </c>
      <c r="G1066" s="45" t="n">
        <f aca="false">INDEX('Transition Stepwise'!$J$2:$J$1137,MATCH(F1066,'Transition Stepwise'!$E$2:$E$1137,0))</f>
        <v>0.222222222222222</v>
      </c>
      <c r="H1066" s="45" t="n">
        <f aca="false">INDEX(Background!$D$12:$D$27,MATCH(C1066&amp;D1066,Background!$E$12:$E$27,0))</f>
        <v>0.424884437596302</v>
      </c>
      <c r="I1066" s="49" t="n">
        <f aca="false">LN(G1066/H1066)</f>
        <v>-0.648139338205796</v>
      </c>
    </row>
    <row r="1067" customFormat="false" ht="15" hidden="false" customHeight="true" outlineLevel="0" collapsed="false">
      <c r="A1067" s="38" t="s">
        <v>854</v>
      </c>
      <c r="B1067" s="38" t="n">
        <v>1</v>
      </c>
      <c r="C1067" s="38" t="s">
        <v>171</v>
      </c>
      <c r="D1067" s="38" t="s">
        <v>171</v>
      </c>
      <c r="E1067" s="38" t="s">
        <v>875</v>
      </c>
      <c r="F1067" s="38" t="str">
        <f aca="false">B1067&amp;"|"&amp;C1067&amp;"|"&amp;D1067</f>
        <v>1|U|U</v>
      </c>
      <c r="G1067" s="45" t="n">
        <f aca="false">INDEX('Transition Stepwise'!$J$2:$J$1137,MATCH(F1067,'Transition Stepwise'!$E$2:$E$1137,0))</f>
        <v>0.0588235294117647</v>
      </c>
      <c r="H1067" s="45" t="n">
        <f aca="false">INDEX(Background!$D$12:$D$27,MATCH(C1067&amp;D1067,Background!$E$12:$E$27,0))</f>
        <v>0.220480320213476</v>
      </c>
      <c r="I1067" s="49" t="n">
        <f aca="false">LN(G1067/H1067)</f>
        <v>-1.32126650524536</v>
      </c>
    </row>
    <row r="1068" customFormat="false" ht="15" hidden="false" customHeight="true" outlineLevel="0" collapsed="false">
      <c r="A1068" s="38" t="s">
        <v>854</v>
      </c>
      <c r="B1068" s="38" t="n">
        <v>2</v>
      </c>
      <c r="C1068" s="38" t="s">
        <v>171</v>
      </c>
      <c r="D1068" s="38" t="s">
        <v>171</v>
      </c>
      <c r="E1068" s="38" t="s">
        <v>875</v>
      </c>
      <c r="F1068" s="38" t="str">
        <f aca="false">B1068&amp;"|"&amp;C1068&amp;"|"&amp;D1068</f>
        <v>2|U|U</v>
      </c>
      <c r="G1068" s="45" t="n">
        <f aca="false">INDEX('Transition Stepwise'!$J$2:$J$1137,MATCH(F1068,'Transition Stepwise'!$E$2:$E$1137,0))</f>
        <v>0.2</v>
      </c>
      <c r="H1068" s="45" t="n">
        <f aca="false">INDEX(Background!$D$12:$D$27,MATCH(C1068&amp;D1068,Background!$E$12:$E$27,0))</f>
        <v>0.220480320213476</v>
      </c>
      <c r="I1068" s="49" t="n">
        <f aca="false">LN(G1068/H1068)</f>
        <v>-0.0974910736232437</v>
      </c>
    </row>
    <row r="1069" customFormat="false" ht="15" hidden="false" customHeight="true" outlineLevel="0" collapsed="false">
      <c r="A1069" s="38" t="s">
        <v>854</v>
      </c>
      <c r="B1069" s="38" t="n">
        <v>3</v>
      </c>
      <c r="C1069" s="38" t="s">
        <v>171</v>
      </c>
      <c r="D1069" s="38" t="s">
        <v>172</v>
      </c>
      <c r="E1069" s="38" t="s">
        <v>875</v>
      </c>
      <c r="F1069" s="38" t="str">
        <f aca="false">B1069&amp;"|"&amp;C1069&amp;"|"&amp;D1069</f>
        <v>3|U|A</v>
      </c>
      <c r="G1069" s="45" t="n">
        <f aca="false">INDEX('Transition Stepwise'!$J$2:$J$1137,MATCH(F1069,'Transition Stepwise'!$E$2:$E$1137,0))</f>
        <v>0.037037037037037</v>
      </c>
      <c r="H1069" s="45" t="n">
        <f aca="false">INDEX(Background!$D$12:$D$27,MATCH(C1069&amp;D1069,Background!$E$12:$E$27,0))</f>
        <v>0.180787191460974</v>
      </c>
      <c r="I1069" s="49" t="n">
        <f aca="false">LN(G1069/H1069)</f>
        <v>-1.58540218878143</v>
      </c>
    </row>
    <row r="1070" customFormat="false" ht="15" hidden="false" customHeight="true" outlineLevel="0" collapsed="false">
      <c r="A1070" s="38" t="s">
        <v>854</v>
      </c>
      <c r="B1070" s="38" t="n">
        <v>4</v>
      </c>
      <c r="C1070" s="38" t="s">
        <v>172</v>
      </c>
      <c r="D1070" s="38" t="s">
        <v>172</v>
      </c>
      <c r="E1070" s="38" t="s">
        <v>875</v>
      </c>
      <c r="F1070" s="38" t="str">
        <f aca="false">B1070&amp;"|"&amp;C1070&amp;"|"&amp;D1070</f>
        <v>4|A|A</v>
      </c>
      <c r="G1070" s="45" t="n">
        <f aca="false">INDEX('Transition Stepwise'!$J$2:$J$1137,MATCH(F1070,'Transition Stepwise'!$E$2:$E$1137,0))</f>
        <v>0.263157894736842</v>
      </c>
      <c r="H1070" s="45" t="n">
        <f aca="false">INDEX(Background!$D$12:$D$27,MATCH(C1070&amp;D1070,Background!$E$12:$E$27,0))</f>
        <v>0.219568567026194</v>
      </c>
      <c r="I1070" s="49" t="n">
        <f aca="false">LN(G1070/H1070)</f>
        <v>0.181089650263045</v>
      </c>
    </row>
    <row r="1071" customFormat="false" ht="15" hidden="false" customHeight="true" outlineLevel="0" collapsed="false">
      <c r="A1071" s="38" t="s">
        <v>854</v>
      </c>
      <c r="B1071" s="38" t="n">
        <v>5</v>
      </c>
      <c r="C1071" s="38" t="s">
        <v>172</v>
      </c>
      <c r="D1071" s="38" t="s">
        <v>171</v>
      </c>
      <c r="E1071" s="38" t="s">
        <v>875</v>
      </c>
      <c r="F1071" s="38" t="str">
        <f aca="false">B1071&amp;"|"&amp;C1071&amp;"|"&amp;D1071</f>
        <v>5|A|U</v>
      </c>
      <c r="G1071" s="45" t="n">
        <f aca="false">INDEX('Transition Stepwise'!$J$2:$J$1137,MATCH(F1071,'Transition Stepwise'!$E$2:$E$1137,0))</f>
        <v>0.352941176470588</v>
      </c>
      <c r="H1071" s="45" t="n">
        <f aca="false">INDEX(Background!$D$12:$D$27,MATCH(C1071&amp;D1071,Background!$E$12:$E$27,0))</f>
        <v>0.194530046224961</v>
      </c>
      <c r="I1071" s="49" t="n">
        <f aca="false">LN(G1071/H1071)</f>
        <v>0.59571477372046</v>
      </c>
    </row>
    <row r="1072" customFormat="false" ht="15" hidden="false" customHeight="true" outlineLevel="0" collapsed="false">
      <c r="A1072" s="38" t="s">
        <v>854</v>
      </c>
      <c r="B1072" s="38" t="n">
        <v>6</v>
      </c>
      <c r="C1072" s="38" t="s">
        <v>171</v>
      </c>
      <c r="D1072" s="38" t="s">
        <v>169</v>
      </c>
      <c r="E1072" s="38" t="s">
        <v>875</v>
      </c>
      <c r="F1072" s="38" t="str">
        <f aca="false">B1072&amp;"|"&amp;C1072&amp;"|"&amp;D1072</f>
        <v>6|U|G</v>
      </c>
      <c r="G1072" s="45" t="n">
        <f aca="false">INDEX('Transition Stepwise'!$J$2:$J$1137,MATCH(F1072,'Transition Stepwise'!$E$2:$E$1137,0))</f>
        <v>0.535714285714286</v>
      </c>
      <c r="H1072" s="45" t="n">
        <f aca="false">INDEX(Background!$D$12:$D$27,MATCH(C1072&amp;D1072,Background!$E$12:$E$27,0))</f>
        <v>0.221480987324883</v>
      </c>
      <c r="I1072" s="49" t="n">
        <f aca="false">LN(G1072/H1072)</f>
        <v>0.883264220113115</v>
      </c>
    </row>
    <row r="1073" customFormat="false" ht="15" hidden="false" customHeight="true" outlineLevel="0" collapsed="false">
      <c r="A1073" s="38" t="s">
        <v>854</v>
      </c>
      <c r="B1073" s="38" t="n">
        <v>7</v>
      </c>
      <c r="C1073" s="38" t="s">
        <v>169</v>
      </c>
      <c r="D1073" s="38" t="s">
        <v>171</v>
      </c>
      <c r="E1073" s="38" t="s">
        <v>875</v>
      </c>
      <c r="F1073" s="38" t="str">
        <f aca="false">B1073&amp;"|"&amp;C1073&amp;"|"&amp;D1073</f>
        <v>7|G|U</v>
      </c>
      <c r="G1073" s="45" t="n">
        <f aca="false">INDEX('Transition Stepwise'!$J$2:$J$1137,MATCH(F1073,'Transition Stepwise'!$E$2:$E$1137,0))</f>
        <v>0.963302752293578</v>
      </c>
      <c r="H1073" s="45" t="n">
        <f aca="false">INDEX(Background!$D$12:$D$27,MATCH(C1073&amp;D1073,Background!$E$12:$E$27,0))</f>
        <v>0.234763476347635</v>
      </c>
      <c r="I1073" s="49" t="n">
        <f aca="false">LN(G1073/H1073)</f>
        <v>1.41178922323821</v>
      </c>
    </row>
    <row r="1074" customFormat="false" ht="15" hidden="false" customHeight="true" outlineLevel="0" collapsed="false">
      <c r="A1074" s="38" t="s">
        <v>854</v>
      </c>
      <c r="B1074" s="38" t="n">
        <v>8</v>
      </c>
      <c r="C1074" s="38" t="s">
        <v>171</v>
      </c>
      <c r="D1074" s="38" t="s">
        <v>172</v>
      </c>
      <c r="E1074" s="38" t="s">
        <v>875</v>
      </c>
      <c r="F1074" s="38" t="str">
        <f aca="false">B1074&amp;"|"&amp;C1074&amp;"|"&amp;D1074</f>
        <v>8|U|A</v>
      </c>
      <c r="G1074" s="45" t="n">
        <f aca="false">INDEX('Transition Stepwise'!$J$2:$J$1137,MATCH(F1074,'Transition Stepwise'!$E$2:$E$1137,0))</f>
        <v>0.65</v>
      </c>
      <c r="H1074" s="45" t="n">
        <f aca="false">INDEX(Background!$D$12:$D$27,MATCH(C1074&amp;D1074,Background!$E$12:$E$27,0))</f>
        <v>0.180787191460974</v>
      </c>
      <c r="I1074" s="49" t="n">
        <f aca="false">LN(G1074/H1074)</f>
        <v>1.27965176113044</v>
      </c>
    </row>
    <row r="1075" customFormat="false" ht="15" hidden="false" customHeight="true" outlineLevel="0" collapsed="false">
      <c r="A1075" s="38" t="s">
        <v>854</v>
      </c>
      <c r="B1075" s="38" t="n">
        <v>9</v>
      </c>
      <c r="C1075" s="38" t="s">
        <v>172</v>
      </c>
      <c r="D1075" s="38" t="s">
        <v>169</v>
      </c>
      <c r="E1075" s="38" t="s">
        <v>875</v>
      </c>
      <c r="F1075" s="38" t="str">
        <f aca="false">B1075&amp;"|"&amp;C1075&amp;"|"&amp;D1075</f>
        <v>9|A|G</v>
      </c>
      <c r="G1075" s="45" t="n">
        <f aca="false">INDEX('Transition Stepwise'!$J$2:$J$1137,MATCH(F1075,'Transition Stepwise'!$E$2:$E$1137,0))</f>
        <v>0.962686567164179</v>
      </c>
      <c r="H1075" s="45" t="n">
        <f aca="false">INDEX(Background!$D$12:$D$27,MATCH(C1075&amp;D1075,Background!$E$12:$E$27,0))</f>
        <v>0.424884437596302</v>
      </c>
      <c r="I1075" s="49" t="n">
        <f aca="false">LN(G1075/H1075)</f>
        <v>0.817910662981239</v>
      </c>
    </row>
    <row r="1076" customFormat="false" ht="15" hidden="false" customHeight="true" outlineLevel="0" collapsed="false">
      <c r="A1076" s="38" t="s">
        <v>854</v>
      </c>
      <c r="B1076" s="38" t="n">
        <v>10</v>
      </c>
      <c r="C1076" s="38" t="s">
        <v>169</v>
      </c>
      <c r="D1076" s="38" t="s">
        <v>171</v>
      </c>
      <c r="E1076" s="38" t="s">
        <v>875</v>
      </c>
      <c r="F1076" s="38" t="str">
        <f aca="false">B1076&amp;"|"&amp;C1076&amp;"|"&amp;D1076</f>
        <v>10|G|U</v>
      </c>
      <c r="G1076" s="45" t="n">
        <f aca="false">INDEX('Transition Stepwise'!$J$2:$J$1137,MATCH(F1076,'Transition Stepwise'!$E$2:$E$1137,0))</f>
        <v>0.205128205128205</v>
      </c>
      <c r="H1076" s="45" t="n">
        <f aca="false">INDEX(Background!$D$12:$D$27,MATCH(C1076&amp;D1076,Background!$E$12:$E$27,0))</f>
        <v>0.234763476347635</v>
      </c>
      <c r="I1076" s="49" t="n">
        <f aca="false">LN(G1076/H1076)</f>
        <v>-0.134943349139985</v>
      </c>
    </row>
    <row r="1077" customFormat="false" ht="15" hidden="false" customHeight="true" outlineLevel="0" collapsed="false">
      <c r="A1077" s="38" t="s">
        <v>854</v>
      </c>
      <c r="B1077" s="38" t="n">
        <v>11</v>
      </c>
      <c r="C1077" s="38" t="s">
        <v>171</v>
      </c>
      <c r="D1077" s="38" t="s">
        <v>171</v>
      </c>
      <c r="E1077" s="38" t="s">
        <v>875</v>
      </c>
      <c r="F1077" s="38" t="str">
        <f aca="false">B1077&amp;"|"&amp;C1077&amp;"|"&amp;D1077</f>
        <v>11|U|U</v>
      </c>
      <c r="G1077" s="45" t="n">
        <f aca="false">INDEX('Transition Stepwise'!$J$2:$J$1137,MATCH(F1077,'Transition Stepwise'!$E$2:$E$1137,0))</f>
        <v>0.272727272727273</v>
      </c>
      <c r="H1077" s="45" t="n">
        <f aca="false">INDEX(Background!$D$12:$D$27,MATCH(C1077&amp;D1077,Background!$E$12:$E$27,0))</f>
        <v>0.220480320213476</v>
      </c>
      <c r="I1077" s="49" t="n">
        <f aca="false">LN(G1077/H1077)</f>
        <v>0.212663854680596</v>
      </c>
    </row>
    <row r="1078" customFormat="false" ht="15" hidden="false" customHeight="true" outlineLevel="0" collapsed="false">
      <c r="A1078" s="38" t="s">
        <v>854</v>
      </c>
      <c r="B1078" s="38" t="n">
        <v>12</v>
      </c>
      <c r="C1078" s="38" t="s">
        <v>171</v>
      </c>
      <c r="D1078" s="38" t="s">
        <v>171</v>
      </c>
      <c r="E1078" s="38" t="s">
        <v>875</v>
      </c>
      <c r="F1078" s="38" t="str">
        <f aca="false">B1078&amp;"|"&amp;C1078&amp;"|"&amp;D1078</f>
        <v>12|U|U</v>
      </c>
      <c r="G1078" s="45" t="n">
        <f aca="false">INDEX('Transition Stepwise'!$J$2:$J$1137,MATCH(F1078,'Transition Stepwise'!$E$2:$E$1137,0))</f>
        <v>0.0975609756097561</v>
      </c>
      <c r="H1078" s="45" t="n">
        <f aca="false">INDEX(Background!$D$12:$D$27,MATCH(C1078&amp;D1078,Background!$E$12:$E$27,0))</f>
        <v>0.220480320213476</v>
      </c>
      <c r="I1078" s="49" t="n">
        <f aca="false">LN(G1078/H1078)</f>
        <v>-0.81533086677356</v>
      </c>
    </row>
    <row r="1079" customFormat="false" ht="15" hidden="false" customHeight="true" outlineLevel="0" collapsed="false">
      <c r="A1079" s="38" t="s">
        <v>854</v>
      </c>
      <c r="B1079" s="38" t="n">
        <v>13</v>
      </c>
      <c r="C1079" s="38" t="s">
        <v>171</v>
      </c>
      <c r="D1079" s="38" t="s">
        <v>172</v>
      </c>
      <c r="E1079" s="38" t="s">
        <v>875</v>
      </c>
      <c r="F1079" s="38" t="str">
        <f aca="false">B1079&amp;"|"&amp;C1079&amp;"|"&amp;D1079</f>
        <v>13|U|A</v>
      </c>
      <c r="G1079" s="45" t="n">
        <f aca="false">INDEX('Transition Stepwise'!$J$2:$J$1137,MATCH(F1079,'Transition Stepwise'!$E$2:$E$1137,0))</f>
        <v>0.928571428571429</v>
      </c>
      <c r="H1079" s="45" t="n">
        <f aca="false">INDEX(Background!$D$12:$D$27,MATCH(C1079&amp;D1079,Background!$E$12:$E$27,0))</f>
        <v>0.180787191460974</v>
      </c>
      <c r="I1079" s="49" t="n">
        <f aca="false">LN(G1079/H1079)</f>
        <v>1.63632670506918</v>
      </c>
    </row>
    <row r="1080" customFormat="false" ht="15" hidden="false" customHeight="true" outlineLevel="0" collapsed="false">
      <c r="A1080" s="38" t="s">
        <v>854</v>
      </c>
      <c r="B1080" s="38" t="n">
        <v>14</v>
      </c>
      <c r="C1080" s="38" t="s">
        <v>172</v>
      </c>
      <c r="D1080" s="38" t="s">
        <v>171</v>
      </c>
      <c r="E1080" s="38" t="s">
        <v>875</v>
      </c>
      <c r="F1080" s="38" t="str">
        <f aca="false">B1080&amp;"|"&amp;C1080&amp;"|"&amp;D1080</f>
        <v>14|A|U</v>
      </c>
      <c r="G1080" s="45" t="n">
        <f aca="false">INDEX('Transition Stepwise'!$J$2:$J$1137,MATCH(F1080,'Transition Stepwise'!$E$2:$E$1137,0))</f>
        <v>0.015</v>
      </c>
      <c r="H1080" s="45" t="n">
        <f aca="false">INDEX(Background!$D$12:$D$27,MATCH(C1080&amp;D1080,Background!$E$12:$E$27,0))</f>
        <v>0.194530046224961</v>
      </c>
      <c r="I1080" s="49" t="n">
        <f aca="false">LN(G1080/H1080)</f>
        <v>-2.56253642933131</v>
      </c>
    </row>
    <row r="1081" customFormat="false" ht="15" hidden="false" customHeight="true" outlineLevel="0" collapsed="false">
      <c r="A1081" s="38" t="s">
        <v>854</v>
      </c>
      <c r="B1081" s="38" t="n">
        <v>15</v>
      </c>
      <c r="C1081" s="38" t="s">
        <v>171</v>
      </c>
      <c r="D1081" s="38" t="s">
        <v>172</v>
      </c>
      <c r="E1081" s="38" t="s">
        <v>875</v>
      </c>
      <c r="F1081" s="38" t="str">
        <f aca="false">B1081&amp;"|"&amp;C1081&amp;"|"&amp;D1081</f>
        <v>15|U|A</v>
      </c>
      <c r="G1081" s="45" t="n">
        <f aca="false">INDEX('Transition Stepwise'!$J$2:$J$1137,MATCH(F1081,'Transition Stepwise'!$E$2:$E$1137,0))</f>
        <v>0.2</v>
      </c>
      <c r="H1081" s="45" t="n">
        <f aca="false">INDEX(Background!$D$12:$D$27,MATCH(C1081&amp;D1081,Background!$E$12:$E$27,0))</f>
        <v>0.180787191460974</v>
      </c>
      <c r="I1081" s="49" t="n">
        <f aca="false">LN(G1081/H1081)</f>
        <v>0.100996764788796</v>
      </c>
    </row>
    <row r="1082" customFormat="false" ht="15" hidden="false" customHeight="true" outlineLevel="0" collapsed="false">
      <c r="A1082" s="38" t="s">
        <v>854</v>
      </c>
      <c r="B1082" s="38" t="n">
        <v>16</v>
      </c>
      <c r="C1082" s="38" t="s">
        <v>172</v>
      </c>
      <c r="D1082" s="38" t="s">
        <v>172</v>
      </c>
      <c r="E1082" s="38" t="s">
        <v>875</v>
      </c>
      <c r="F1082" s="38" t="str">
        <f aca="false">B1082&amp;"|"&amp;C1082&amp;"|"&amp;D1082</f>
        <v>16|A|A</v>
      </c>
      <c r="G1082" s="45" t="n">
        <f aca="false">INDEX('Transition Stepwise'!$J$2:$J$1137,MATCH(F1082,'Transition Stepwise'!$E$2:$E$1137,0))</f>
        <v>0.142857142857143</v>
      </c>
      <c r="H1082" s="45" t="n">
        <f aca="false">INDEX(Background!$D$12:$D$27,MATCH(C1082&amp;D1082,Background!$E$12:$E$27,0))</f>
        <v>0.219568567026194</v>
      </c>
      <c r="I1082" s="49" t="n">
        <f aca="false">LN(G1082/H1082)</f>
        <v>-0.429819432059929</v>
      </c>
    </row>
    <row r="1083" customFormat="false" ht="15" hidden="false" customHeight="true" outlineLevel="0" collapsed="false">
      <c r="A1083" s="38" t="s">
        <v>854</v>
      </c>
      <c r="B1083" s="38" t="n">
        <v>17</v>
      </c>
      <c r="C1083" s="38" t="s">
        <v>172</v>
      </c>
      <c r="D1083" s="38" t="s">
        <v>169</v>
      </c>
      <c r="E1083" s="38" t="s">
        <v>875</v>
      </c>
      <c r="F1083" s="38" t="str">
        <f aca="false">B1083&amp;"|"&amp;C1083&amp;"|"&amp;D1083</f>
        <v>17|A|G</v>
      </c>
      <c r="G1083" s="45" t="n">
        <f aca="false">INDEX('Transition Stepwise'!$J$2:$J$1137,MATCH(F1083,'Transition Stepwise'!$E$2:$E$1137,0))</f>
        <v>0.75</v>
      </c>
      <c r="H1083" s="45" t="n">
        <f aca="false">INDEX(Background!$D$12:$D$27,MATCH(C1083&amp;D1083,Background!$E$12:$E$27,0))</f>
        <v>0.424884437596302</v>
      </c>
      <c r="I1083" s="49" t="n">
        <f aca="false">LN(G1083/H1083)</f>
        <v>0.568255986118697</v>
      </c>
    </row>
    <row r="1084" customFormat="false" ht="15" hidden="false" customHeight="true" outlineLevel="0" collapsed="false">
      <c r="A1084" s="38" t="s">
        <v>854</v>
      </c>
      <c r="B1084" s="38" t="n">
        <v>18</v>
      </c>
      <c r="C1084" s="38" t="s">
        <v>169</v>
      </c>
      <c r="D1084" s="38" t="s">
        <v>169</v>
      </c>
      <c r="E1084" s="38" t="s">
        <v>875</v>
      </c>
      <c r="F1084" s="38" t="str">
        <f aca="false">B1084&amp;"|"&amp;C1084&amp;"|"&amp;D1084</f>
        <v>18|G|G</v>
      </c>
      <c r="G1084" s="45" t="n">
        <f aca="false">INDEX('Transition Stepwise'!$J$2:$J$1137,MATCH(F1084,'Transition Stepwise'!$E$2:$E$1137,0))</f>
        <v>0.975247524752475</v>
      </c>
      <c r="H1084" s="45" t="n">
        <f aca="false">INDEX(Background!$D$12:$D$27,MATCH(C1084&amp;D1084,Background!$E$12:$E$27,0))</f>
        <v>0.344774477447745</v>
      </c>
      <c r="I1084" s="49" t="n">
        <f aca="false">LN(G1084/H1084)</f>
        <v>1.03980079559234</v>
      </c>
    </row>
    <row r="1085" customFormat="false" ht="15" hidden="false" customHeight="true" outlineLevel="0" collapsed="false">
      <c r="A1085" s="38" t="s">
        <v>854</v>
      </c>
      <c r="B1085" s="38" t="n">
        <v>19</v>
      </c>
      <c r="C1085" s="38" t="s">
        <v>169</v>
      </c>
      <c r="D1085" s="38" t="s">
        <v>169</v>
      </c>
      <c r="E1085" s="38" t="s">
        <v>875</v>
      </c>
      <c r="F1085" s="38" t="str">
        <f aca="false">B1085&amp;"|"&amp;C1085&amp;"|"&amp;D1085</f>
        <v>19|G|G</v>
      </c>
      <c r="G1085" s="45" t="n">
        <f aca="false">INDEX('Transition Stepwise'!$J$2:$J$1137,MATCH(F1085,'Transition Stepwise'!$E$2:$E$1137,0))</f>
        <v>0.095</v>
      </c>
      <c r="H1085" s="45" t="n">
        <f aca="false">INDEX(Background!$D$12:$D$27,MATCH(C1085&amp;D1085,Background!$E$12:$E$27,0))</f>
        <v>0.344774477447745</v>
      </c>
      <c r="I1085" s="49" t="n">
        <f aca="false">LN(G1085/H1085)</f>
        <v>-1.28901362312604</v>
      </c>
    </row>
    <row r="1086" customFormat="false" ht="15" hidden="false" customHeight="true" outlineLevel="0" collapsed="false">
      <c r="A1086" s="38" t="s">
        <v>854</v>
      </c>
      <c r="B1086" s="38" t="n">
        <v>20</v>
      </c>
      <c r="C1086" s="38" t="s">
        <v>169</v>
      </c>
      <c r="D1086" s="38" t="s">
        <v>171</v>
      </c>
      <c r="E1086" s="38" t="s">
        <v>875</v>
      </c>
      <c r="F1086" s="38" t="str">
        <f aca="false">B1086&amp;"|"&amp;C1086&amp;"|"&amp;D1086</f>
        <v>20|G|U</v>
      </c>
      <c r="G1086" s="45" t="n">
        <f aca="false">INDEX('Transition Stepwise'!$J$2:$J$1137,MATCH(F1086,'Transition Stepwise'!$E$2:$E$1137,0))</f>
        <v>0.0454545454545455</v>
      </c>
      <c r="H1086" s="45" t="n">
        <f aca="false">INDEX(Background!$D$12:$D$27,MATCH(C1086&amp;D1086,Background!$E$12:$E$27,0))</f>
        <v>0.234763476347635</v>
      </c>
      <c r="I1086" s="49" t="n">
        <f aca="false">LN(G1086/H1086)</f>
        <v>-1.64186569804849</v>
      </c>
    </row>
    <row r="1087" customFormat="false" ht="15" hidden="false" customHeight="true" outlineLevel="0" collapsed="false">
      <c r="A1087" s="38" t="s">
        <v>854</v>
      </c>
      <c r="B1087" s="38" t="n">
        <v>21</v>
      </c>
      <c r="C1087" s="38" t="s">
        <v>171</v>
      </c>
      <c r="D1087" s="38" t="s">
        <v>169</v>
      </c>
      <c r="E1087" s="38" t="s">
        <v>875</v>
      </c>
      <c r="F1087" s="38" t="str">
        <f aca="false">B1087&amp;"|"&amp;C1087&amp;"|"&amp;D1087</f>
        <v>21|U|G</v>
      </c>
      <c r="G1087" s="45" t="n">
        <f aca="false">INDEX('Transition Stepwise'!$J$2:$J$1137,MATCH(F1087,'Transition Stepwise'!$E$2:$E$1137,0))</f>
        <v>0.357142857142857</v>
      </c>
      <c r="H1087" s="45" t="n">
        <f aca="false">INDEX(Background!$D$12:$D$27,MATCH(C1087&amp;D1087,Background!$E$12:$E$27,0))</f>
        <v>0.221480987324883</v>
      </c>
      <c r="I1087" s="49" t="n">
        <f aca="false">LN(G1087/H1087)</f>
        <v>0.477799112004951</v>
      </c>
    </row>
    <row r="1088" customFormat="false" ht="15" hidden="false" customHeight="true" outlineLevel="0" collapsed="false">
      <c r="A1088" s="38" t="s">
        <v>854</v>
      </c>
      <c r="B1088" s="38" t="n">
        <v>22</v>
      </c>
      <c r="C1088" s="38" t="s">
        <v>169</v>
      </c>
      <c r="D1088" s="38" t="s">
        <v>172</v>
      </c>
      <c r="E1088" s="38" t="s">
        <v>875</v>
      </c>
      <c r="F1088" s="38" t="str">
        <f aca="false">B1088&amp;"|"&amp;C1088&amp;"|"&amp;D1088</f>
        <v>22|G|A</v>
      </c>
      <c r="G1088" s="45" t="n">
        <f aca="false">INDEX('Transition Stepwise'!$J$2:$J$1137,MATCH(F1088,'Transition Stepwise'!$E$2:$E$1137,0))</f>
        <v>0.77027027027027</v>
      </c>
      <c r="H1088" s="45" t="n">
        <f aca="false">INDEX(Background!$D$12:$D$27,MATCH(C1088&amp;D1088,Background!$E$12:$E$27,0))</f>
        <v>0.164356435643564</v>
      </c>
      <c r="I1088" s="49" t="n">
        <f aca="false">LN(G1088/H1088)</f>
        <v>1.54470399610914</v>
      </c>
    </row>
    <row r="1089" customFormat="false" ht="15" hidden="false" customHeight="true" outlineLevel="0" collapsed="false">
      <c r="A1089" s="38" t="s">
        <v>854</v>
      </c>
      <c r="B1089" s="38" t="n">
        <v>23</v>
      </c>
      <c r="C1089" s="38" t="s">
        <v>172</v>
      </c>
      <c r="D1089" s="38" t="s">
        <v>172</v>
      </c>
      <c r="E1089" s="38" t="s">
        <v>875</v>
      </c>
      <c r="F1089" s="38" t="str">
        <f aca="false">B1089&amp;"|"&amp;C1089&amp;"|"&amp;D1089</f>
        <v>23|A|A</v>
      </c>
      <c r="G1089" s="45" t="n">
        <f aca="false">INDEX('Transition Stepwise'!$J$2:$J$1137,MATCH(F1089,'Transition Stepwise'!$E$2:$E$1137,0))</f>
        <v>0.0967741935483871</v>
      </c>
      <c r="H1089" s="45" t="n">
        <f aca="false">INDEX(Background!$D$12:$D$27,MATCH(C1089&amp;D1089,Background!$E$12:$E$27,0))</f>
        <v>0.219568567026194</v>
      </c>
      <c r="I1089" s="49" t="n">
        <f aca="false">LN(G1089/H1089)</f>
        <v>-0.819284198821652</v>
      </c>
    </row>
    <row r="1090" customFormat="false" ht="15" hidden="false" customHeight="true" outlineLevel="0" collapsed="false">
      <c r="A1090" s="38" t="s">
        <v>854</v>
      </c>
      <c r="B1090" s="38" t="n">
        <v>24</v>
      </c>
      <c r="C1090" s="38" t="s">
        <v>172</v>
      </c>
      <c r="D1090" s="38" t="s">
        <v>171</v>
      </c>
      <c r="E1090" s="38" t="s">
        <v>875</v>
      </c>
      <c r="F1090" s="38" t="str">
        <f aca="false">B1090&amp;"|"&amp;C1090&amp;"|"&amp;D1090</f>
        <v>24|A|U</v>
      </c>
      <c r="G1090" s="45" t="n">
        <f aca="false">INDEX('Transition Stepwise'!$J$2:$J$1137,MATCH(F1090,'Transition Stepwise'!$E$2:$E$1137,0))</f>
        <v>0.268292682926829</v>
      </c>
      <c r="H1090" s="45" t="n">
        <f aca="false">INDEX(Background!$D$12:$D$27,MATCH(C1090&amp;D1090,Background!$E$12:$E$27,0))</f>
        <v>0.194530046224961</v>
      </c>
      <c r="I1090" s="49" t="n">
        <f aca="false">LN(G1090/H1090)</f>
        <v>0.321491854642684</v>
      </c>
    </row>
    <row r="1091" customFormat="false" ht="15" hidden="false" customHeight="true" outlineLevel="0" collapsed="false">
      <c r="A1091" s="38" t="s">
        <v>854</v>
      </c>
      <c r="B1091" s="38" t="n">
        <v>25</v>
      </c>
      <c r="C1091" s="38" t="s">
        <v>171</v>
      </c>
      <c r="D1091" s="38" t="s">
        <v>169</v>
      </c>
      <c r="E1091" s="38" t="s">
        <v>875</v>
      </c>
      <c r="F1091" s="38" t="str">
        <f aca="false">B1091&amp;"|"&amp;C1091&amp;"|"&amp;D1091</f>
        <v>25|U|G</v>
      </c>
      <c r="G1091" s="45" t="n">
        <f aca="false">INDEX('Transition Stepwise'!$J$2:$J$1137,MATCH(F1091,'Transition Stepwise'!$E$2:$E$1137,0))</f>
        <v>0.5</v>
      </c>
      <c r="H1091" s="45" t="n">
        <f aca="false">INDEX(Background!$D$12:$D$27,MATCH(C1091&amp;D1091,Background!$E$12:$E$27,0))</f>
        <v>0.221480987324883</v>
      </c>
      <c r="I1091" s="49" t="n">
        <f aca="false">LN(G1091/H1091)</f>
        <v>0.814271348626164</v>
      </c>
    </row>
    <row r="1092" customFormat="false" ht="15" hidden="false" customHeight="true" outlineLevel="0" collapsed="false">
      <c r="A1092" s="38" t="s">
        <v>854</v>
      </c>
      <c r="B1092" s="38" t="n">
        <v>26</v>
      </c>
      <c r="C1092" s="38" t="s">
        <v>169</v>
      </c>
      <c r="D1092" s="38" t="s">
        <v>171</v>
      </c>
      <c r="E1092" s="38" t="s">
        <v>875</v>
      </c>
      <c r="F1092" s="38" t="str">
        <f aca="false">B1092&amp;"|"&amp;C1092&amp;"|"&amp;D1092</f>
        <v>26|G|U</v>
      </c>
      <c r="G1092" s="45" t="n">
        <f aca="false">INDEX('Transition Stepwise'!$J$2:$J$1137,MATCH(F1092,'Transition Stepwise'!$E$2:$E$1137,0))</f>
        <v>0.221153846153846</v>
      </c>
      <c r="H1092" s="45" t="n">
        <f aca="false">INDEX(Background!$D$12:$D$27,MATCH(C1092&amp;D1092,Background!$E$12:$E$27,0))</f>
        <v>0.234763476347635</v>
      </c>
      <c r="I1092" s="49" t="n">
        <f aca="false">LN(G1092/H1092)</f>
        <v>-0.0597199279023971</v>
      </c>
    </row>
    <row r="1093" customFormat="false" ht="15" hidden="false" customHeight="true" outlineLevel="0" collapsed="false">
      <c r="A1093" s="38" t="s">
        <v>854</v>
      </c>
      <c r="B1093" s="38" t="n">
        <v>27</v>
      </c>
      <c r="C1093" s="38" t="s">
        <v>171</v>
      </c>
      <c r="D1093" s="38" t="s">
        <v>171</v>
      </c>
      <c r="E1093" s="38" t="s">
        <v>875</v>
      </c>
      <c r="F1093" s="38" t="str">
        <f aca="false">B1093&amp;"|"&amp;C1093&amp;"|"&amp;D1093</f>
        <v>27|U|U</v>
      </c>
      <c r="G1093" s="45" t="n">
        <f aca="false">INDEX('Transition Stepwise'!$J$2:$J$1137,MATCH(F1093,'Transition Stepwise'!$E$2:$E$1137,0))</f>
        <v>0.327272727272727</v>
      </c>
      <c r="H1093" s="45" t="n">
        <f aca="false">INDEX(Background!$D$12:$D$27,MATCH(C1093&amp;D1093,Background!$E$12:$E$27,0))</f>
        <v>0.220480320213476</v>
      </c>
      <c r="I1093" s="49" t="n">
        <f aca="false">LN(G1093/H1093)</f>
        <v>0.39498541147455</v>
      </c>
    </row>
    <row r="1094" customFormat="false" ht="15" hidden="false" customHeight="true" outlineLevel="0" collapsed="false">
      <c r="A1094" s="38" t="s">
        <v>854</v>
      </c>
      <c r="B1094" s="38" t="n">
        <v>28</v>
      </c>
      <c r="C1094" s="38" t="s">
        <v>171</v>
      </c>
      <c r="D1094" s="38" t="s">
        <v>171</v>
      </c>
      <c r="E1094" s="38" t="s">
        <v>875</v>
      </c>
      <c r="F1094" s="38" t="str">
        <f aca="false">B1094&amp;"|"&amp;C1094&amp;"|"&amp;D1094</f>
        <v>28|U|U</v>
      </c>
      <c r="G1094" s="45" t="n">
        <f aca="false">INDEX('Transition Stepwise'!$J$2:$J$1137,MATCH(F1094,'Transition Stepwise'!$E$2:$E$1137,0))</f>
        <v>0.277777777777778</v>
      </c>
      <c r="H1094" s="45" t="n">
        <f aca="false">INDEX(Background!$D$12:$D$27,MATCH(C1094&amp;D1094,Background!$E$12:$E$27,0))</f>
        <v>0.220480320213476</v>
      </c>
      <c r="I1094" s="49" t="n">
        <f aca="false">LN(G1094/H1094)</f>
        <v>0.231012993348792</v>
      </c>
    </row>
    <row r="1095" customFormat="false" ht="15" hidden="false" customHeight="true" outlineLevel="0" collapsed="false">
      <c r="A1095" s="38" t="s">
        <v>854</v>
      </c>
      <c r="B1095" s="38" t="n">
        <v>29</v>
      </c>
      <c r="C1095" s="38" t="s">
        <v>171</v>
      </c>
      <c r="D1095" s="38" t="s">
        <v>171</v>
      </c>
      <c r="E1095" s="38" t="s">
        <v>875</v>
      </c>
      <c r="F1095" s="38" t="str">
        <f aca="false">B1095&amp;"|"&amp;C1095&amp;"|"&amp;D1095</f>
        <v>29|U|U</v>
      </c>
      <c r="G1095" s="45" t="n">
        <f aca="false">INDEX('Transition Stepwise'!$J$2:$J$1137,MATCH(F1095,'Transition Stepwise'!$E$2:$E$1137,0))</f>
        <v>0.0169491525423729</v>
      </c>
      <c r="H1095" s="45" t="n">
        <f aca="false">INDEX(Background!$D$12:$D$27,MATCH(C1095&amp;D1095,Background!$E$12:$E$27,0))</f>
        <v>0.220480320213476</v>
      </c>
      <c r="I1095" s="49" t="n">
        <f aca="false">LN(G1095/H1095)</f>
        <v>-2.56559060509486</v>
      </c>
    </row>
    <row r="1096" customFormat="false" ht="15" hidden="false" customHeight="true" outlineLevel="0" collapsed="false">
      <c r="A1096" s="38" t="s">
        <v>854</v>
      </c>
      <c r="B1096" s="38" t="n">
        <v>30</v>
      </c>
      <c r="C1096" s="38" t="s">
        <v>171</v>
      </c>
      <c r="D1096" s="38" t="s">
        <v>172</v>
      </c>
      <c r="E1096" s="38" t="s">
        <v>875</v>
      </c>
      <c r="F1096" s="38" t="str">
        <f aca="false">B1096&amp;"|"&amp;C1096&amp;"|"&amp;D1096</f>
        <v>30|U|A</v>
      </c>
      <c r="G1096" s="45" t="n">
        <f aca="false">INDEX('Transition Stepwise'!$J$2:$J$1137,MATCH(F1096,'Transition Stepwise'!$E$2:$E$1137,0))</f>
        <v>0.272727272727273</v>
      </c>
      <c r="H1096" s="45" t="n">
        <f aca="false">INDEX(Background!$D$12:$D$27,MATCH(C1096&amp;D1096,Background!$E$12:$E$27,0))</f>
        <v>0.180787191460974</v>
      </c>
      <c r="I1096" s="49" t="n">
        <f aca="false">LN(G1096/H1096)</f>
        <v>0.411151693092636</v>
      </c>
    </row>
    <row r="1097" customFormat="false" ht="15" hidden="false" customHeight="true" outlineLevel="0" collapsed="false">
      <c r="A1097" s="38" t="s">
        <v>854</v>
      </c>
      <c r="B1097" s="38" t="n">
        <v>31</v>
      </c>
      <c r="C1097" s="38" t="s">
        <v>172</v>
      </c>
      <c r="D1097" s="38" t="s">
        <v>171</v>
      </c>
      <c r="E1097" s="38" t="s">
        <v>875</v>
      </c>
      <c r="F1097" s="38" t="str">
        <f aca="false">B1097&amp;"|"&amp;C1097&amp;"|"&amp;D1097</f>
        <v>31|A|U</v>
      </c>
      <c r="G1097" s="45" t="n">
        <f aca="false">INDEX('Transition Stepwise'!$J$2:$J$1137,MATCH(F1097,'Transition Stepwise'!$E$2:$E$1137,0))</f>
        <v>0.137931034482759</v>
      </c>
      <c r="H1097" s="45" t="n">
        <f aca="false">INDEX(Background!$D$12:$D$27,MATCH(C1097&amp;D1097,Background!$E$12:$E$27,0))</f>
        <v>0.194530046224961</v>
      </c>
      <c r="I1097" s="49" t="n">
        <f aca="false">LN(G1097/H1097)</f>
        <v>-0.343832820317963</v>
      </c>
    </row>
    <row r="1098" customFormat="false" ht="15" hidden="false" customHeight="true" outlineLevel="0" collapsed="false">
      <c r="A1098" s="38" t="s">
        <v>854</v>
      </c>
      <c r="B1098" s="38" t="n">
        <v>32</v>
      </c>
      <c r="C1098" s="38" t="s">
        <v>171</v>
      </c>
      <c r="D1098" s="38" t="s">
        <v>171</v>
      </c>
      <c r="E1098" s="38" t="s">
        <v>875</v>
      </c>
      <c r="F1098" s="38" t="str">
        <f aca="false">B1098&amp;"|"&amp;C1098&amp;"|"&amp;D1098</f>
        <v>32|U|U</v>
      </c>
      <c r="G1098" s="45" t="n">
        <f aca="false">INDEX('Transition Stepwise'!$J$2:$J$1137,MATCH(F1098,'Transition Stepwise'!$E$2:$E$1137,0))</f>
        <v>0.936507936507937</v>
      </c>
      <c r="H1098" s="45" t="n">
        <f aca="false">INDEX(Background!$D$12:$D$27,MATCH(C1098&amp;D1098,Background!$E$12:$E$27,0))</f>
        <v>0.220480320213476</v>
      </c>
      <c r="I1098" s="49" t="n">
        <f aca="false">LN(G1098/H1098)</f>
        <v>1.44634955632504</v>
      </c>
    </row>
    <row r="1099" customFormat="false" ht="15" hidden="false" customHeight="true" outlineLevel="0" collapsed="false">
      <c r="A1099" s="38" t="s">
        <v>854</v>
      </c>
      <c r="B1099" s="38" t="n">
        <v>33</v>
      </c>
      <c r="C1099" s="38" t="s">
        <v>171</v>
      </c>
      <c r="D1099" s="38" t="s">
        <v>171</v>
      </c>
      <c r="E1099" s="38" t="s">
        <v>875</v>
      </c>
      <c r="F1099" s="38" t="str">
        <f aca="false">B1099&amp;"|"&amp;C1099&amp;"|"&amp;D1099</f>
        <v>33|U|U</v>
      </c>
      <c r="G1099" s="45" t="n">
        <f aca="false">INDEX('Transition Stepwise'!$J$2:$J$1137,MATCH(F1099,'Transition Stepwise'!$E$2:$E$1137,0))</f>
        <v>0.293532338308458</v>
      </c>
      <c r="H1099" s="45" t="n">
        <f aca="false">INDEX(Background!$D$12:$D$27,MATCH(C1099&amp;D1099,Background!$E$12:$E$27,0))</f>
        <v>0.220480320213476</v>
      </c>
      <c r="I1099" s="49" t="n">
        <f aca="false">LN(G1099/H1099)</f>
        <v>0.2861793746575</v>
      </c>
    </row>
    <row r="1100" customFormat="false" ht="15" hidden="false" customHeight="true" outlineLevel="0" collapsed="false">
      <c r="A1100" s="38" t="s">
        <v>854</v>
      </c>
      <c r="B1100" s="38" t="n">
        <v>34</v>
      </c>
      <c r="C1100" s="38" t="s">
        <v>171</v>
      </c>
      <c r="D1100" s="38" t="s">
        <v>171</v>
      </c>
      <c r="E1100" s="38" t="s">
        <v>875</v>
      </c>
      <c r="F1100" s="38" t="str">
        <f aca="false">B1100&amp;"|"&amp;C1100&amp;"|"&amp;D1100</f>
        <v>34|U|U</v>
      </c>
      <c r="G1100" s="45" t="n">
        <f aca="false">INDEX('Transition Stepwise'!$J$2:$J$1137,MATCH(F1100,'Transition Stepwise'!$E$2:$E$1137,0))</f>
        <v>0.17741935483871</v>
      </c>
      <c r="H1100" s="45" t="n">
        <f aca="false">INDEX(Background!$D$12:$D$27,MATCH(C1100&amp;D1100,Background!$E$12:$E$27,0))</f>
        <v>0.220480320213476</v>
      </c>
      <c r="I1100" s="49" t="n">
        <f aca="false">LN(G1100/H1100)</f>
        <v>-0.217292273435864</v>
      </c>
    </row>
    <row r="1101" customFormat="false" ht="15" hidden="false" customHeight="true" outlineLevel="0" collapsed="false">
      <c r="A1101" s="38" t="s">
        <v>854</v>
      </c>
      <c r="B1101" s="38" t="n">
        <v>35</v>
      </c>
      <c r="C1101" s="38" t="s">
        <v>171</v>
      </c>
      <c r="D1101" s="38" t="s">
        <v>172</v>
      </c>
      <c r="E1101" s="38" t="s">
        <v>875</v>
      </c>
      <c r="F1101" s="38" t="str">
        <f aca="false">B1101&amp;"|"&amp;C1101&amp;"|"&amp;D1101</f>
        <v>35|U|A</v>
      </c>
      <c r="G1101" s="45" t="n">
        <f aca="false">INDEX('Transition Stepwise'!$J$2:$J$1137,MATCH(F1101,'Transition Stepwise'!$E$2:$E$1137,0))</f>
        <v>0.177777777777778</v>
      </c>
      <c r="H1101" s="45" t="n">
        <f aca="false">INDEX(Background!$D$12:$D$27,MATCH(C1101&amp;D1101,Background!$E$12:$E$27,0))</f>
        <v>0.180787191460974</v>
      </c>
      <c r="I1101" s="49" t="n">
        <f aca="false">LN(G1101/H1101)</f>
        <v>-0.016786270867587</v>
      </c>
    </row>
    <row r="1102" customFormat="false" ht="15" hidden="false" customHeight="true" outlineLevel="0" collapsed="false">
      <c r="A1102" s="38" t="s">
        <v>854</v>
      </c>
      <c r="B1102" s="38" t="n">
        <v>36</v>
      </c>
      <c r="C1102" s="38" t="s">
        <v>172</v>
      </c>
      <c r="D1102" s="38" t="s">
        <v>169</v>
      </c>
      <c r="E1102" s="38" t="s">
        <v>875</v>
      </c>
      <c r="F1102" s="38" t="str">
        <f aca="false">B1102&amp;"|"&amp;C1102&amp;"|"&amp;D1102</f>
        <v>36|A|G</v>
      </c>
      <c r="G1102" s="45" t="n">
        <f aca="false">INDEX('Transition Stepwise'!$J$2:$J$1137,MATCH(F1102,'Transition Stepwise'!$E$2:$E$1137,0))</f>
        <v>0.382978723404255</v>
      </c>
      <c r="H1102" s="45" t="n">
        <f aca="false">INDEX(Background!$D$12:$D$27,MATCH(C1102&amp;D1102,Background!$E$12:$E$27,0))</f>
        <v>0.424884437596302</v>
      </c>
      <c r="I1102" s="49" t="n">
        <f aca="false">LN(G1102/H1102)</f>
        <v>-0.103837785243416</v>
      </c>
    </row>
    <row r="1103" customFormat="false" ht="15" hidden="false" customHeight="true" outlineLevel="0" collapsed="false">
      <c r="A1103" s="38" t="s">
        <v>854</v>
      </c>
      <c r="B1103" s="38" t="n">
        <v>37</v>
      </c>
      <c r="C1103" s="38" t="s">
        <v>169</v>
      </c>
      <c r="D1103" s="38" t="s">
        <v>172</v>
      </c>
      <c r="E1103" s="38" t="s">
        <v>875</v>
      </c>
      <c r="F1103" s="38" t="str">
        <f aca="false">B1103&amp;"|"&amp;C1103&amp;"|"&amp;D1103</f>
        <v>37|G|A</v>
      </c>
      <c r="G1103" s="45" t="n">
        <f aca="false">INDEX('Transition Stepwise'!$J$2:$J$1137,MATCH(F1103,'Transition Stepwise'!$E$2:$E$1137,0))</f>
        <v>0.615384615384615</v>
      </c>
      <c r="H1103" s="45" t="n">
        <f aca="false">INDEX(Background!$D$12:$D$27,MATCH(C1103&amp;D1103,Background!$E$12:$E$27,0))</f>
        <v>0.164356435643564</v>
      </c>
      <c r="I1103" s="49" t="n">
        <f aca="false">LN(G1103/H1103)</f>
        <v>1.32021000569706</v>
      </c>
    </row>
    <row r="1104" customFormat="false" ht="15" hidden="false" customHeight="true" outlineLevel="0" collapsed="false">
      <c r="A1104" s="38" t="s">
        <v>854</v>
      </c>
      <c r="B1104" s="38" t="n">
        <v>38</v>
      </c>
      <c r="C1104" s="38" t="s">
        <v>172</v>
      </c>
      <c r="D1104" s="38" t="s">
        <v>171</v>
      </c>
      <c r="E1104" s="38" t="s">
        <v>875</v>
      </c>
      <c r="F1104" s="38" t="str">
        <f aca="false">B1104&amp;"|"&amp;C1104&amp;"|"&amp;D1104</f>
        <v>38|A|U</v>
      </c>
      <c r="G1104" s="45" t="n">
        <f aca="false">INDEX('Transition Stepwise'!$J$2:$J$1137,MATCH(F1104,'Transition Stepwise'!$E$2:$E$1137,0))</f>
        <v>0.34</v>
      </c>
      <c r="H1104" s="45" t="n">
        <f aca="false">INDEX(Background!$D$12:$D$27,MATCH(C1104&amp;D1104,Background!$E$12:$E$27,0))</f>
        <v>0.194530046224961</v>
      </c>
      <c r="I1104" s="49" t="n">
        <f aca="false">LN(G1104/H1104)</f>
        <v>0.558358987176691</v>
      </c>
    </row>
    <row r="1105" customFormat="false" ht="15" hidden="false" customHeight="true" outlineLevel="0" collapsed="false">
      <c r="A1105" s="38" t="s">
        <v>854</v>
      </c>
      <c r="B1105" s="38" t="n">
        <v>39</v>
      </c>
      <c r="C1105" s="38" t="s">
        <v>171</v>
      </c>
      <c r="D1105" s="38" t="s">
        <v>172</v>
      </c>
      <c r="E1105" s="38" t="s">
        <v>875</v>
      </c>
      <c r="F1105" s="38" t="str">
        <f aca="false">B1105&amp;"|"&amp;C1105&amp;"|"&amp;D1105</f>
        <v>39|U|A</v>
      </c>
      <c r="G1105" s="45" t="n">
        <f aca="false">INDEX('Transition Stepwise'!$J$2:$J$1137,MATCH(F1105,'Transition Stepwise'!$E$2:$E$1137,0))</f>
        <v>0.0317460317460317</v>
      </c>
      <c r="H1105" s="45" t="n">
        <f aca="false">INDEX(Background!$D$12:$D$27,MATCH(C1105&amp;D1105,Background!$E$12:$E$27,0))</f>
        <v>0.180787191460974</v>
      </c>
      <c r="I1105" s="49" t="n">
        <f aca="false">LN(G1105/H1105)</f>
        <v>-1.73955286860869</v>
      </c>
    </row>
    <row r="1106" customFormat="false" ht="15" hidden="false" customHeight="true" outlineLevel="0" collapsed="false">
      <c r="A1106" s="38" t="s">
        <v>854</v>
      </c>
      <c r="B1106" s="38" t="n">
        <v>40</v>
      </c>
      <c r="C1106" s="38" t="s">
        <v>172</v>
      </c>
      <c r="D1106" s="38" t="s">
        <v>172</v>
      </c>
      <c r="E1106" s="38" t="s">
        <v>875</v>
      </c>
      <c r="F1106" s="38" t="str">
        <f aca="false">B1106&amp;"|"&amp;C1106&amp;"|"&amp;D1106</f>
        <v>40|A|A</v>
      </c>
      <c r="G1106" s="45" t="n">
        <f aca="false">INDEX('Transition Stepwise'!$J$2:$J$1137,MATCH(F1106,'Transition Stepwise'!$E$2:$E$1137,0))</f>
        <v>0.2</v>
      </c>
      <c r="H1106" s="45" t="n">
        <f aca="false">INDEX(Background!$D$12:$D$27,MATCH(C1106&amp;D1106,Background!$E$12:$E$27,0))</f>
        <v>0.219568567026194</v>
      </c>
      <c r="I1106" s="49" t="n">
        <f aca="false">LN(G1106/H1106)</f>
        <v>-0.0933471954387156</v>
      </c>
    </row>
    <row r="1107" customFormat="false" ht="15" hidden="false" customHeight="true" outlineLevel="0" collapsed="false">
      <c r="A1107" s="38" t="s">
        <v>854</v>
      </c>
      <c r="B1107" s="38" t="n">
        <v>41</v>
      </c>
      <c r="C1107" s="38" t="s">
        <v>172</v>
      </c>
      <c r="D1107" s="38" t="s">
        <v>172</v>
      </c>
      <c r="E1107" s="38" t="s">
        <v>875</v>
      </c>
      <c r="F1107" s="38" t="str">
        <f aca="false">B1107&amp;"|"&amp;C1107&amp;"|"&amp;D1107</f>
        <v>41|A|A</v>
      </c>
      <c r="G1107" s="45" t="n">
        <f aca="false">INDEX('Transition Stepwise'!$J$2:$J$1137,MATCH(F1107,'Transition Stepwise'!$E$2:$E$1137,0))</f>
        <v>0.258620689655172</v>
      </c>
      <c r="H1107" s="45" t="n">
        <f aca="false">INDEX(Background!$D$12:$D$27,MATCH(C1107&amp;D1107,Background!$E$12:$E$27,0))</f>
        <v>0.219568567026194</v>
      </c>
      <c r="I1107" s="49" t="n">
        <f aca="false">LN(G1107/H1107)</f>
        <v>0.163697907551176</v>
      </c>
    </row>
    <row r="1108" customFormat="false" ht="15" hidden="false" customHeight="true" outlineLevel="0" collapsed="false">
      <c r="A1108" s="38" t="s">
        <v>854</v>
      </c>
      <c r="B1108" s="38" t="n">
        <v>42</v>
      </c>
      <c r="C1108" s="38" t="s">
        <v>172</v>
      </c>
      <c r="D1108" s="38" t="s">
        <v>170</v>
      </c>
      <c r="E1108" s="38" t="s">
        <v>875</v>
      </c>
      <c r="F1108" s="38" t="str">
        <f aca="false">B1108&amp;"|"&amp;C1108&amp;"|"&amp;D1108</f>
        <v>42|A|C</v>
      </c>
      <c r="G1108" s="45" t="n">
        <f aca="false">INDEX('Transition Stepwise'!$J$2:$J$1137,MATCH(F1108,'Transition Stepwise'!$E$2:$E$1137,0))</f>
        <v>0.0192307692307692</v>
      </c>
      <c r="H1108" s="45" t="n">
        <f aca="false">INDEX(Background!$D$12:$D$27,MATCH(C1108&amp;D1108,Background!$E$12:$E$27,0))</f>
        <v>0.161016949152542</v>
      </c>
      <c r="I1108" s="49" t="n">
        <f aca="false">LN(G1108/H1108)</f>
        <v>-2.1249980732822</v>
      </c>
    </row>
    <row r="1109" customFormat="false" ht="15" hidden="false" customHeight="true" outlineLevel="0" collapsed="false">
      <c r="A1109" s="38" t="s">
        <v>854</v>
      </c>
      <c r="B1109" s="38" t="n">
        <v>43</v>
      </c>
      <c r="C1109" s="38" t="s">
        <v>170</v>
      </c>
      <c r="D1109" s="38" t="s">
        <v>171</v>
      </c>
      <c r="E1109" s="38" t="s">
        <v>875</v>
      </c>
      <c r="F1109" s="38" t="str">
        <f aca="false">B1109&amp;"|"&amp;C1109&amp;"|"&amp;D1109</f>
        <v>43|C|U</v>
      </c>
      <c r="G1109" s="45" t="n">
        <f aca="false">INDEX('Transition Stepwise'!$J$2:$J$1137,MATCH(F1109,'Transition Stepwise'!$E$2:$E$1137,0))</f>
        <v>0.148148148148148</v>
      </c>
      <c r="H1109" s="45" t="n">
        <f aca="false">INDEX(Background!$D$12:$D$27,MATCH(C1109&amp;D1109,Background!$E$12:$E$27,0))</f>
        <v>0.196466244725738</v>
      </c>
      <c r="I1109" s="49" t="n">
        <f aca="false">LN(G1109/H1109)</f>
        <v>-0.282277859889086</v>
      </c>
    </row>
    <row r="1110" customFormat="false" ht="15" hidden="false" customHeight="true" outlineLevel="0" collapsed="false">
      <c r="A1110" s="38" t="s">
        <v>854</v>
      </c>
      <c r="B1110" s="38" t="n">
        <v>44</v>
      </c>
      <c r="C1110" s="38" t="s">
        <v>171</v>
      </c>
      <c r="D1110" s="38" t="s">
        <v>170</v>
      </c>
      <c r="E1110" s="38" t="s">
        <v>875</v>
      </c>
      <c r="F1110" s="38" t="str">
        <f aca="false">B1110&amp;"|"&amp;C1110&amp;"|"&amp;D1110</f>
        <v>44|U|C</v>
      </c>
      <c r="G1110" s="45" t="n">
        <f aca="false">INDEX('Transition Stepwise'!$J$2:$J$1137,MATCH(F1110,'Transition Stepwise'!$E$2:$E$1137,0))</f>
        <v>0.0740740740740741</v>
      </c>
      <c r="H1110" s="45" t="n">
        <f aca="false">INDEX(Background!$D$12:$D$27,MATCH(C1110&amp;D1110,Background!$E$12:$E$27,0))</f>
        <v>0.377251501000667</v>
      </c>
      <c r="I1110" s="49" t="n">
        <f aca="false">LN(G1110/H1110)</f>
        <v>-1.62784648289796</v>
      </c>
    </row>
    <row r="1111" customFormat="false" ht="15" hidden="false" customHeight="true" outlineLevel="0" collapsed="false">
      <c r="A1111" s="38" t="s">
        <v>854</v>
      </c>
      <c r="B1111" s="38" t="n">
        <v>45</v>
      </c>
      <c r="C1111" s="38" t="s">
        <v>170</v>
      </c>
      <c r="D1111" s="38" t="s">
        <v>172</v>
      </c>
      <c r="E1111" s="38" t="s">
        <v>875</v>
      </c>
      <c r="F1111" s="38" t="str">
        <f aca="false">B1111&amp;"|"&amp;C1111&amp;"|"&amp;D1111</f>
        <v>45|C|A</v>
      </c>
      <c r="G1111" s="45" t="n">
        <f aca="false">INDEX('Transition Stepwise'!$J$2:$J$1137,MATCH(F1111,'Transition Stepwise'!$E$2:$E$1137,0))</f>
        <v>0.111111111111111</v>
      </c>
      <c r="H1111" s="45" t="n">
        <f aca="false">INDEX(Background!$D$12:$D$27,MATCH(C1111&amp;D1111,Background!$E$12:$E$27,0))</f>
        <v>0.194883966244726</v>
      </c>
      <c r="I1111" s="49" t="n">
        <f aca="false">LN(G1111/H1111)</f>
        <v>-0.561873634909509</v>
      </c>
    </row>
    <row r="1112" customFormat="false" ht="15" hidden="false" customHeight="true" outlineLevel="0" collapsed="false">
      <c r="A1112" s="38" t="s">
        <v>854</v>
      </c>
      <c r="B1112" s="38" t="n">
        <v>46</v>
      </c>
      <c r="C1112" s="38" t="s">
        <v>172</v>
      </c>
      <c r="D1112" s="38" t="s">
        <v>170</v>
      </c>
      <c r="E1112" s="38" t="s">
        <v>875</v>
      </c>
      <c r="F1112" s="38" t="str">
        <f aca="false">B1112&amp;"|"&amp;C1112&amp;"|"&amp;D1112</f>
        <v>46|A|C</v>
      </c>
      <c r="G1112" s="45" t="n">
        <f aca="false">INDEX('Transition Stepwise'!$J$2:$J$1137,MATCH(F1112,'Transition Stepwise'!$E$2:$E$1137,0))</f>
        <v>0.2</v>
      </c>
      <c r="H1112" s="45" t="n">
        <f aca="false">INDEX(Background!$D$12:$D$27,MATCH(C1112&amp;D1112,Background!$E$12:$E$27,0))</f>
        <v>0.161016949152542</v>
      </c>
      <c r="I1112" s="49" t="n">
        <f aca="false">LN(G1112/H1112)</f>
        <v>0.216807732865124</v>
      </c>
    </row>
    <row r="1113" customFormat="false" ht="15" hidden="false" customHeight="true" outlineLevel="0" collapsed="false">
      <c r="A1113" s="38" t="s">
        <v>854</v>
      </c>
      <c r="B1113" s="38" t="n">
        <v>47</v>
      </c>
      <c r="C1113" s="38" t="s">
        <v>170</v>
      </c>
      <c r="D1113" s="38" t="s">
        <v>169</v>
      </c>
      <c r="E1113" s="38" t="s">
        <v>875</v>
      </c>
      <c r="F1113" s="38" t="str">
        <f aca="false">B1113&amp;"|"&amp;C1113&amp;"|"&amp;D1113</f>
        <v>47|C|G</v>
      </c>
      <c r="G1113" s="45" t="n">
        <f aca="false">INDEX('Transition Stepwise'!$J$2:$J$1137,MATCH(F1113,'Transition Stepwise'!$E$2:$E$1137,0))</f>
        <v>0.037037037037037</v>
      </c>
      <c r="H1113" s="45" t="n">
        <f aca="false">INDEX(Background!$D$12:$D$27,MATCH(C1113&amp;D1113,Background!$E$12:$E$27,0))</f>
        <v>0.296413502109705</v>
      </c>
      <c r="I1113" s="49" t="n">
        <f aca="false">LN(G1113/H1113)</f>
        <v>-2.07983703308305</v>
      </c>
    </row>
    <row r="1114" customFormat="false" ht="15" hidden="false" customHeight="true" outlineLevel="0" collapsed="false">
      <c r="A1114" s="38" t="s">
        <v>854</v>
      </c>
      <c r="B1114" s="38" t="n">
        <v>48</v>
      </c>
      <c r="C1114" s="38" t="s">
        <v>169</v>
      </c>
      <c r="D1114" s="38" t="s">
        <v>170</v>
      </c>
      <c r="E1114" s="38" t="s">
        <v>875</v>
      </c>
      <c r="F1114" s="38" t="str">
        <f aca="false">B1114&amp;"|"&amp;C1114&amp;"|"&amp;D1114</f>
        <v>48|G|C</v>
      </c>
      <c r="G1114" s="45" t="n">
        <f aca="false">INDEX('Transition Stepwise'!$J$2:$J$1137,MATCH(F1114,'Transition Stepwise'!$E$2:$E$1137,0))</f>
        <v>0.5</v>
      </c>
      <c r="H1114" s="45" t="n">
        <f aca="false">INDEX(Background!$D$12:$D$27,MATCH(C1114&amp;D1114,Background!$E$12:$E$27,0))</f>
        <v>0.256105610561056</v>
      </c>
      <c r="I1114" s="49" t="n">
        <f aca="false">LN(G1114/H1114)</f>
        <v>0.669018197760251</v>
      </c>
    </row>
    <row r="1115" customFormat="false" ht="15" hidden="false" customHeight="true" outlineLevel="0" collapsed="false">
      <c r="A1115" s="38" t="s">
        <v>854</v>
      </c>
      <c r="B1115" s="38" t="n">
        <v>49</v>
      </c>
      <c r="C1115" s="38" t="s">
        <v>170</v>
      </c>
      <c r="D1115" s="38" t="s">
        <v>172</v>
      </c>
      <c r="E1115" s="38" t="s">
        <v>875</v>
      </c>
      <c r="F1115" s="38" t="str">
        <f aca="false">B1115&amp;"|"&amp;C1115&amp;"|"&amp;D1115</f>
        <v>49|C|A</v>
      </c>
      <c r="G1115" s="45" t="n">
        <f aca="false">INDEX('Transition Stepwise'!$J$2:$J$1137,MATCH(F1115,'Transition Stepwise'!$E$2:$E$1137,0))</f>
        <v>0.0655737704918033</v>
      </c>
      <c r="H1115" s="45" t="n">
        <f aca="false">INDEX(Background!$D$12:$D$27,MATCH(C1115&amp;D1115,Background!$E$12:$E$27,0))</f>
        <v>0.194883966244726</v>
      </c>
      <c r="I1115" s="49" t="n">
        <f aca="false">LN(G1115/H1115)</f>
        <v>-1.08922856062671</v>
      </c>
    </row>
    <row r="1116" customFormat="false" ht="15" hidden="false" customHeight="true" outlineLevel="0" collapsed="false">
      <c r="A1116" s="38" t="s">
        <v>854</v>
      </c>
      <c r="B1116" s="38" t="n">
        <v>50</v>
      </c>
      <c r="C1116" s="38" t="s">
        <v>172</v>
      </c>
      <c r="D1116" s="38" t="s">
        <v>171</v>
      </c>
      <c r="E1116" s="38" t="s">
        <v>875</v>
      </c>
      <c r="F1116" s="38" t="str">
        <f aca="false">B1116&amp;"|"&amp;C1116&amp;"|"&amp;D1116</f>
        <v>50|A|U</v>
      </c>
      <c r="G1116" s="45" t="n">
        <f aca="false">INDEX('Transition Stepwise'!$J$2:$J$1137,MATCH(F1116,'Transition Stepwise'!$E$2:$E$1137,0))</f>
        <v>0.111111111111111</v>
      </c>
      <c r="H1116" s="45" t="n">
        <f aca="false">INDEX(Background!$D$12:$D$27,MATCH(C1116&amp;D1116,Background!$E$12:$E$27,0))</f>
        <v>0.194530046224961</v>
      </c>
      <c r="I1116" s="49" t="n">
        <f aca="false">LN(G1116/H1116)</f>
        <v>-0.560055928787599</v>
      </c>
    </row>
    <row r="1117" customFormat="false" ht="15" hidden="false" customHeight="true" outlineLevel="0" collapsed="false">
      <c r="A1117" s="38" t="s">
        <v>854</v>
      </c>
      <c r="B1117" s="38" t="n">
        <v>51</v>
      </c>
      <c r="C1117" s="38" t="s">
        <v>171</v>
      </c>
      <c r="D1117" s="38" t="s">
        <v>171</v>
      </c>
      <c r="E1117" s="38" t="s">
        <v>875</v>
      </c>
      <c r="F1117" s="38" t="str">
        <f aca="false">B1117&amp;"|"&amp;C1117&amp;"|"&amp;D1117</f>
        <v>51|U|U</v>
      </c>
      <c r="G1117" s="45" t="n">
        <f aca="false">INDEX('Transition Stepwise'!$J$2:$J$1137,MATCH(F1117,'Transition Stepwise'!$E$2:$E$1137,0))</f>
        <v>0.0588235294117647</v>
      </c>
      <c r="H1117" s="45" t="n">
        <f aca="false">INDEX(Background!$D$12:$D$27,MATCH(C1117&amp;D1117,Background!$E$12:$E$27,0))</f>
        <v>0.220480320213476</v>
      </c>
      <c r="I1117" s="49" t="n">
        <f aca="false">LN(G1117/H1117)</f>
        <v>-1.32126650524536</v>
      </c>
    </row>
    <row r="1118" customFormat="false" ht="15" hidden="false" customHeight="true" outlineLevel="0" collapsed="false">
      <c r="A1118" s="38" t="s">
        <v>854</v>
      </c>
      <c r="B1118" s="38" t="n">
        <v>52</v>
      </c>
      <c r="C1118" s="38" t="s">
        <v>171</v>
      </c>
      <c r="D1118" s="38" t="s">
        <v>169</v>
      </c>
      <c r="E1118" s="38" t="s">
        <v>875</v>
      </c>
      <c r="F1118" s="38" t="str">
        <f aca="false">B1118&amp;"|"&amp;C1118&amp;"|"&amp;D1118</f>
        <v>52|U|G</v>
      </c>
      <c r="G1118" s="45" t="n">
        <f aca="false">INDEX('Transition Stepwise'!$J$2:$J$1137,MATCH(F1118,'Transition Stepwise'!$E$2:$E$1137,0))</f>
        <v>0.5</v>
      </c>
      <c r="H1118" s="45" t="n">
        <f aca="false">INDEX(Background!$D$12:$D$27,MATCH(C1118&amp;D1118,Background!$E$12:$E$27,0))</f>
        <v>0.221480987324883</v>
      </c>
      <c r="I1118" s="49" t="n">
        <f aca="false">LN(G1118/H1118)</f>
        <v>0.814271348626164</v>
      </c>
    </row>
    <row r="1119" customFormat="false" ht="15" hidden="false" customHeight="true" outlineLevel="0" collapsed="false">
      <c r="A1119" s="38" t="s">
        <v>854</v>
      </c>
      <c r="B1119" s="38" t="n">
        <v>53</v>
      </c>
      <c r="C1119" s="38" t="s">
        <v>169</v>
      </c>
      <c r="D1119" s="38" t="s">
        <v>171</v>
      </c>
      <c r="E1119" s="38" t="s">
        <v>875</v>
      </c>
      <c r="F1119" s="38" t="str">
        <f aca="false">B1119&amp;"|"&amp;C1119&amp;"|"&amp;D1119</f>
        <v>53|G|U</v>
      </c>
      <c r="G1119" s="45" t="n">
        <f aca="false">INDEX('Transition Stepwise'!$J$2:$J$1137,MATCH(F1119,'Transition Stepwise'!$E$2:$E$1137,0))</f>
        <v>0.974874371859297</v>
      </c>
      <c r="H1119" s="45" t="n">
        <f aca="false">INDEX(Background!$D$12:$D$27,MATCH(C1119&amp;D1119,Background!$E$12:$E$27,0))</f>
        <v>0.234763476347635</v>
      </c>
      <c r="I1119" s="49" t="n">
        <f aca="false">LN(G1119/H1119)</f>
        <v>1.42373008964866</v>
      </c>
    </row>
    <row r="1120" customFormat="false" ht="15" hidden="false" customHeight="true" outlineLevel="0" collapsed="false">
      <c r="A1120" s="38" t="s">
        <v>854</v>
      </c>
      <c r="B1120" s="38" t="n">
        <v>54</v>
      </c>
      <c r="C1120" s="38" t="s">
        <v>171</v>
      </c>
      <c r="D1120" s="38" t="s">
        <v>171</v>
      </c>
      <c r="E1120" s="38" t="s">
        <v>875</v>
      </c>
      <c r="F1120" s="38" t="str">
        <f aca="false">B1120&amp;"|"&amp;C1120&amp;"|"&amp;D1120</f>
        <v>54|U|U</v>
      </c>
      <c r="G1120" s="45" t="n">
        <f aca="false">INDEX('Transition Stepwise'!$J$2:$J$1137,MATCH(F1120,'Transition Stepwise'!$E$2:$E$1137,0))</f>
        <v>0.970149253731343</v>
      </c>
      <c r="H1120" s="45" t="n">
        <f aca="false">INDEX(Background!$D$12:$D$27,MATCH(C1120&amp;D1120,Background!$E$12:$E$27,0))</f>
        <v>0.220480320213476</v>
      </c>
      <c r="I1120" s="49" t="n">
        <f aca="false">LN(G1120/H1120)</f>
        <v>1.48164148931553</v>
      </c>
    </row>
    <row r="1121" customFormat="false" ht="15" hidden="false" customHeight="true" outlineLevel="0" collapsed="false">
      <c r="A1121" s="38" t="s">
        <v>854</v>
      </c>
      <c r="B1121" s="38" t="n">
        <v>55</v>
      </c>
      <c r="C1121" s="38" t="s">
        <v>171</v>
      </c>
      <c r="D1121" s="38" t="s">
        <v>170</v>
      </c>
      <c r="E1121" s="38" t="s">
        <v>875</v>
      </c>
      <c r="F1121" s="38" t="str">
        <f aca="false">B1121&amp;"|"&amp;C1121&amp;"|"&amp;D1121</f>
        <v>55|U|C</v>
      </c>
      <c r="G1121" s="45" t="n">
        <f aca="false">INDEX('Transition Stepwise'!$J$2:$J$1137,MATCH(F1121,'Transition Stepwise'!$E$2:$E$1137,0))</f>
        <v>0.975</v>
      </c>
      <c r="H1121" s="45" t="n">
        <f aca="false">INDEX(Background!$D$12:$D$27,MATCH(C1121&amp;D1121,Background!$E$12:$E$27,0))</f>
        <v>0.377251501000667</v>
      </c>
      <c r="I1121" s="49" t="n">
        <f aca="false">LN(G1121/H1121)</f>
        <v>0.949525394562133</v>
      </c>
    </row>
    <row r="1122" customFormat="false" ht="15" hidden="false" customHeight="true" outlineLevel="0" collapsed="false">
      <c r="A1122" s="38" t="s">
        <v>854</v>
      </c>
      <c r="B1122" s="38" t="n">
        <v>56</v>
      </c>
      <c r="C1122" s="38" t="s">
        <v>170</v>
      </c>
      <c r="D1122" s="38" t="s">
        <v>171</v>
      </c>
      <c r="E1122" s="38" t="s">
        <v>875</v>
      </c>
      <c r="F1122" s="38" t="str">
        <f aca="false">B1122&amp;"|"&amp;C1122&amp;"|"&amp;D1122</f>
        <v>56|C|U</v>
      </c>
      <c r="G1122" s="45" t="n">
        <f aca="false">INDEX('Transition Stepwise'!$J$2:$J$1137,MATCH(F1122,'Transition Stepwise'!$E$2:$E$1137,0))</f>
        <v>0.0050251256281407</v>
      </c>
      <c r="H1122" s="45" t="n">
        <f aca="false">INDEX(Background!$D$12:$D$27,MATCH(C1122&amp;D1122,Background!$E$12:$E$27,0))</f>
        <v>0.196466244725738</v>
      </c>
      <c r="I1122" s="49" t="n">
        <f aca="false">LN(G1122/H1122)</f>
        <v>-3.66604017972914</v>
      </c>
    </row>
    <row r="1123" customFormat="false" ht="15" hidden="false" customHeight="true" outlineLevel="0" collapsed="false">
      <c r="A1123" s="38" t="s">
        <v>854</v>
      </c>
      <c r="B1123" s="38" t="n">
        <v>57</v>
      </c>
      <c r="C1123" s="38" t="s">
        <v>171</v>
      </c>
      <c r="D1123" s="38" t="s">
        <v>172</v>
      </c>
      <c r="E1123" s="38" t="s">
        <v>875</v>
      </c>
      <c r="F1123" s="38" t="str">
        <f aca="false">B1123&amp;"|"&amp;C1123&amp;"|"&amp;D1123</f>
        <v>57|U|A</v>
      </c>
      <c r="G1123" s="45" t="n">
        <f aca="false">INDEX('Transition Stepwise'!$J$2:$J$1137,MATCH(F1123,'Transition Stepwise'!$E$2:$E$1137,0))</f>
        <v>0.2</v>
      </c>
      <c r="H1123" s="45" t="n">
        <f aca="false">INDEX(Background!$D$12:$D$27,MATCH(C1123&amp;D1123,Background!$E$12:$E$27,0))</f>
        <v>0.180787191460974</v>
      </c>
      <c r="I1123" s="49" t="n">
        <f aca="false">LN(G1123/H1123)</f>
        <v>0.100996764788796</v>
      </c>
    </row>
    <row r="1124" customFormat="false" ht="15" hidden="false" customHeight="true" outlineLevel="0" collapsed="false">
      <c r="A1124" s="38" t="s">
        <v>854</v>
      </c>
      <c r="B1124" s="38" t="n">
        <v>58</v>
      </c>
      <c r="C1124" s="38" t="s">
        <v>172</v>
      </c>
      <c r="D1124" s="38" t="s">
        <v>172</v>
      </c>
      <c r="E1124" s="38" t="s">
        <v>875</v>
      </c>
      <c r="F1124" s="38" t="str">
        <f aca="false">B1124&amp;"|"&amp;C1124&amp;"|"&amp;D1124</f>
        <v>58|A|A</v>
      </c>
      <c r="G1124" s="45" t="n">
        <f aca="false">INDEX('Transition Stepwise'!$J$2:$J$1137,MATCH(F1124,'Transition Stepwise'!$E$2:$E$1137,0))</f>
        <v>0.45771144278607</v>
      </c>
      <c r="H1124" s="45" t="n">
        <f aca="false">INDEX(Background!$D$12:$D$27,MATCH(C1124&amp;D1124,Background!$E$12:$E$27,0))</f>
        <v>0.219568567026194</v>
      </c>
      <c r="I1124" s="49" t="n">
        <f aca="false">LN(G1124/H1124)</f>
        <v>0.734574385985349</v>
      </c>
    </row>
    <row r="1125" customFormat="false" ht="15" hidden="false" customHeight="true" outlineLevel="0" collapsed="false">
      <c r="A1125" s="38" t="s">
        <v>854</v>
      </c>
      <c r="B1125" s="38" t="n">
        <v>59</v>
      </c>
      <c r="C1125" s="38" t="s">
        <v>172</v>
      </c>
      <c r="D1125" s="38" t="s">
        <v>169</v>
      </c>
      <c r="E1125" s="38" t="s">
        <v>875</v>
      </c>
      <c r="F1125" s="38" t="str">
        <f aca="false">B1125&amp;"|"&amp;C1125&amp;"|"&amp;D1125</f>
        <v>59|A|G</v>
      </c>
      <c r="G1125" s="45" t="n">
        <f aca="false">INDEX('Transition Stepwise'!$J$2:$J$1137,MATCH(F1125,'Transition Stepwise'!$E$2:$E$1137,0))</f>
        <v>0.0210526315789474</v>
      </c>
      <c r="H1125" s="45" t="n">
        <f aca="false">INDEX(Background!$D$12:$D$27,MATCH(C1125&amp;D1125,Background!$E$12:$E$27,0))</f>
        <v>0.424884437596302</v>
      </c>
      <c r="I1125" s="49" t="n">
        <f aca="false">LN(G1125/H1125)</f>
        <v>-3.00479165247012</v>
      </c>
    </row>
    <row r="1126" customFormat="false" ht="15" hidden="false" customHeight="true" outlineLevel="0" collapsed="false">
      <c r="A1126" s="38" t="s">
        <v>854</v>
      </c>
      <c r="B1126" s="38" t="n">
        <v>60</v>
      </c>
      <c r="C1126" s="38" t="s">
        <v>169</v>
      </c>
      <c r="D1126" s="38" t="s">
        <v>170</v>
      </c>
      <c r="E1126" s="38" t="s">
        <v>875</v>
      </c>
      <c r="F1126" s="38" t="str">
        <f aca="false">B1126&amp;"|"&amp;C1126&amp;"|"&amp;D1126</f>
        <v>60|G|C</v>
      </c>
      <c r="G1126" s="45" t="n">
        <f aca="false">INDEX('Transition Stepwise'!$J$2:$J$1137,MATCH(F1126,'Transition Stepwise'!$E$2:$E$1137,0))</f>
        <v>0.333333333333333</v>
      </c>
      <c r="H1126" s="45" t="n">
        <f aca="false">INDEX(Background!$D$12:$D$27,MATCH(C1126&amp;D1126,Background!$E$12:$E$27,0))</f>
        <v>0.256105610561056</v>
      </c>
      <c r="I1126" s="49" t="n">
        <f aca="false">LN(G1126/H1126)</f>
        <v>0.263553089652086</v>
      </c>
    </row>
    <row r="1127" customFormat="false" ht="15" hidden="false" customHeight="true" outlineLevel="0" collapsed="false">
      <c r="A1127" s="38" t="s">
        <v>854</v>
      </c>
      <c r="B1127" s="38" t="n">
        <v>61</v>
      </c>
      <c r="C1127" s="38" t="s">
        <v>170</v>
      </c>
      <c r="D1127" s="38" t="s">
        <v>169</v>
      </c>
      <c r="E1127" s="38" t="s">
        <v>875</v>
      </c>
      <c r="F1127" s="38" t="str">
        <f aca="false">B1127&amp;"|"&amp;C1127&amp;"|"&amp;D1127</f>
        <v>61|C|G</v>
      </c>
      <c r="G1127" s="45" t="n">
        <f aca="false">INDEX('Transition Stepwise'!$J$2:$J$1137,MATCH(F1127,'Transition Stepwise'!$E$2:$E$1137,0))</f>
        <v>0.0149253731343284</v>
      </c>
      <c r="H1127" s="45" t="n">
        <f aca="false">INDEX(Background!$D$12:$D$27,MATCH(C1127&amp;D1127,Background!$E$12:$E$27,0))</f>
        <v>0.296413502109705</v>
      </c>
      <c r="I1127" s="49" t="n">
        <f aca="false">LN(G1127/H1127)</f>
        <v>-2.98869278646969</v>
      </c>
    </row>
    <row r="1128" customFormat="false" ht="15" hidden="false" customHeight="true" outlineLevel="0" collapsed="false">
      <c r="A1128" s="38" t="s">
        <v>854</v>
      </c>
      <c r="B1128" s="38" t="n">
        <v>62</v>
      </c>
      <c r="C1128" s="38" t="s">
        <v>169</v>
      </c>
      <c r="D1128" s="38" t="s">
        <v>172</v>
      </c>
      <c r="E1128" s="38" t="s">
        <v>875</v>
      </c>
      <c r="F1128" s="38" t="str">
        <f aca="false">B1128&amp;"|"&amp;C1128&amp;"|"&amp;D1128</f>
        <v>62|G|A</v>
      </c>
      <c r="G1128" s="45" t="n">
        <f aca="false">INDEX('Transition Stepwise'!$J$2:$J$1137,MATCH(F1128,'Transition Stepwise'!$E$2:$E$1137,0))</f>
        <v>0.166666666666667</v>
      </c>
      <c r="H1128" s="45" t="n">
        <f aca="false">INDEX(Background!$D$12:$D$27,MATCH(C1128&amp;D1128,Background!$E$12:$E$27,0))</f>
        <v>0.164356435643564</v>
      </c>
      <c r="I1128" s="49" t="n">
        <f aca="false">LN(G1128/H1128)</f>
        <v>0.0139583522507069</v>
      </c>
    </row>
    <row r="1129" customFormat="false" ht="15" hidden="false" customHeight="true" outlineLevel="0" collapsed="false">
      <c r="A1129" s="38" t="s">
        <v>854</v>
      </c>
      <c r="B1129" s="38" t="n">
        <v>63</v>
      </c>
      <c r="C1129" s="38" t="s">
        <v>172</v>
      </c>
      <c r="D1129" s="38" t="s">
        <v>170</v>
      </c>
      <c r="E1129" s="38" t="s">
        <v>875</v>
      </c>
      <c r="F1129" s="38" t="str">
        <f aca="false">B1129&amp;"|"&amp;C1129&amp;"|"&amp;D1129</f>
        <v>63|A|C</v>
      </c>
      <c r="G1129" s="45" t="n">
        <f aca="false">INDEX('Transition Stepwise'!$J$2:$J$1137,MATCH(F1129,'Transition Stepwise'!$E$2:$E$1137,0))</f>
        <v>0.307692307692308</v>
      </c>
      <c r="H1129" s="45" t="n">
        <f aca="false">INDEX(Background!$D$12:$D$27,MATCH(C1129&amp;D1129,Background!$E$12:$E$27,0))</f>
        <v>0.161016949152542</v>
      </c>
      <c r="I1129" s="49" t="n">
        <f aca="false">LN(G1129/H1129)</f>
        <v>0.647590648957578</v>
      </c>
    </row>
    <row r="1130" customFormat="false" ht="15" hidden="false" customHeight="true" outlineLevel="0" collapsed="false">
      <c r="A1130" s="38" t="s">
        <v>854</v>
      </c>
      <c r="B1130" s="38" t="n">
        <v>64</v>
      </c>
      <c r="C1130" s="38" t="s">
        <v>170</v>
      </c>
      <c r="D1130" s="38" t="s">
        <v>169</v>
      </c>
      <c r="E1130" s="38" t="s">
        <v>875</v>
      </c>
      <c r="F1130" s="38" t="str">
        <f aca="false">B1130&amp;"|"&amp;C1130&amp;"|"&amp;D1130</f>
        <v>64|C|G</v>
      </c>
      <c r="G1130" s="45" t="n">
        <f aca="false">INDEX('Transition Stepwise'!$J$2:$J$1137,MATCH(F1130,'Transition Stepwise'!$E$2:$E$1137,0))</f>
        <v>0.260869565217391</v>
      </c>
      <c r="H1130" s="45" t="n">
        <f aca="false">INDEX(Background!$D$12:$D$27,MATCH(C1130&amp;D1130,Background!$E$12:$E$27,0))</f>
        <v>0.296413502109705</v>
      </c>
      <c r="I1130" s="49" t="n">
        <f aca="false">LN(G1130/H1130)</f>
        <v>-0.127734913779819</v>
      </c>
    </row>
    <row r="1131" customFormat="false" ht="15" hidden="false" customHeight="true" outlineLevel="0" collapsed="false">
      <c r="A1131" s="38" t="s">
        <v>854</v>
      </c>
      <c r="B1131" s="38" t="n">
        <v>65</v>
      </c>
      <c r="C1131" s="38" t="s">
        <v>169</v>
      </c>
      <c r="D1131" s="38" t="s">
        <v>170</v>
      </c>
      <c r="E1131" s="38" t="s">
        <v>875</v>
      </c>
      <c r="F1131" s="38" t="str">
        <f aca="false">B1131&amp;"|"&amp;C1131&amp;"|"&amp;D1131</f>
        <v>65|G|C</v>
      </c>
      <c r="G1131" s="45" t="n">
        <f aca="false">INDEX('Transition Stepwise'!$J$2:$J$1137,MATCH(F1131,'Transition Stepwise'!$E$2:$E$1137,0))</f>
        <v>0.508196721311475</v>
      </c>
      <c r="H1131" s="45" t="n">
        <f aca="false">INDEX(Background!$D$12:$D$27,MATCH(C1131&amp;D1131,Background!$E$12:$E$27,0))</f>
        <v>0.256105610561056</v>
      </c>
      <c r="I1131" s="49" t="n">
        <f aca="false">LN(G1131/H1131)</f>
        <v>0.685278718632031</v>
      </c>
    </row>
    <row r="1132" customFormat="false" ht="15" hidden="false" customHeight="true" outlineLevel="0" collapsed="false">
      <c r="A1132" s="38" t="s">
        <v>854</v>
      </c>
      <c r="B1132" s="38" t="n">
        <v>66</v>
      </c>
      <c r="C1132" s="38" t="s">
        <v>170</v>
      </c>
      <c r="D1132" s="38" t="s">
        <v>172</v>
      </c>
      <c r="E1132" s="38" t="s">
        <v>875</v>
      </c>
      <c r="F1132" s="38" t="str">
        <f aca="false">B1132&amp;"|"&amp;C1132&amp;"|"&amp;D1132</f>
        <v>66|C|A</v>
      </c>
      <c r="G1132" s="45" t="n">
        <f aca="false">INDEX('Transition Stepwise'!$J$2:$J$1137,MATCH(F1132,'Transition Stepwise'!$E$2:$E$1137,0))</f>
        <v>0.18348623853211</v>
      </c>
      <c r="H1132" s="45" t="n">
        <f aca="false">INDEX(Background!$D$12:$D$27,MATCH(C1132&amp;D1132,Background!$E$12:$E$27,0))</f>
        <v>0.194883966244726</v>
      </c>
      <c r="I1132" s="49" t="n">
        <f aca="false">LN(G1132/H1132)</f>
        <v>-0.060264666248442</v>
      </c>
    </row>
    <row r="1133" customFormat="false" ht="15" hidden="false" customHeight="true" outlineLevel="0" collapsed="false">
      <c r="A1133" s="38" t="s">
        <v>854</v>
      </c>
      <c r="B1133" s="38" t="n">
        <v>67</v>
      </c>
      <c r="C1133" s="38" t="s">
        <v>172</v>
      </c>
      <c r="D1133" s="38" t="s">
        <v>171</v>
      </c>
      <c r="E1133" s="38" t="s">
        <v>875</v>
      </c>
      <c r="F1133" s="38" t="str">
        <f aca="false">B1133&amp;"|"&amp;C1133&amp;"|"&amp;D1133</f>
        <v>67|A|U</v>
      </c>
      <c r="G1133" s="45" t="n">
        <f aca="false">INDEX('Transition Stepwise'!$J$2:$J$1137,MATCH(F1133,'Transition Stepwise'!$E$2:$E$1137,0))</f>
        <v>0.244444444444444</v>
      </c>
      <c r="H1133" s="45" t="n">
        <f aca="false">INDEX(Background!$D$12:$D$27,MATCH(C1133&amp;D1133,Background!$E$12:$E$27,0))</f>
        <v>0.194530046224961</v>
      </c>
      <c r="I1133" s="49" t="n">
        <f aca="false">LN(G1133/H1133)</f>
        <v>0.228401431576671</v>
      </c>
    </row>
    <row r="1134" customFormat="false" ht="15" hidden="false" customHeight="true" outlineLevel="0" collapsed="false">
      <c r="A1134" s="38" t="s">
        <v>854</v>
      </c>
      <c r="B1134" s="38" t="n">
        <v>68</v>
      </c>
      <c r="C1134" s="38" t="s">
        <v>171</v>
      </c>
      <c r="D1134" s="38" t="s">
        <v>171</v>
      </c>
      <c r="E1134" s="38" t="s">
        <v>875</v>
      </c>
      <c r="F1134" s="38" t="str">
        <f aca="false">B1134&amp;"|"&amp;C1134&amp;"|"&amp;D1134</f>
        <v>68|U|U</v>
      </c>
      <c r="G1134" s="45" t="n">
        <f aca="false">INDEX('Transition Stepwise'!$J$2:$J$1137,MATCH(F1134,'Transition Stepwise'!$E$2:$E$1137,0))</f>
        <v>0.153846153846154</v>
      </c>
      <c r="H1134" s="45" t="n">
        <f aca="false">INDEX(Background!$D$12:$D$27,MATCH(C1134&amp;D1134,Background!$E$12:$E$27,0))</f>
        <v>0.220480320213476</v>
      </c>
      <c r="I1134" s="49" t="n">
        <f aca="false">LN(G1134/H1134)</f>
        <v>-0.359855338090735</v>
      </c>
    </row>
    <row r="1135" customFormat="false" ht="15" hidden="false" customHeight="true" outlineLevel="0" collapsed="false">
      <c r="A1135" s="38" t="s">
        <v>854</v>
      </c>
      <c r="B1135" s="38" t="n">
        <v>69</v>
      </c>
      <c r="C1135" s="38" t="s">
        <v>171</v>
      </c>
      <c r="D1135" s="38" t="s">
        <v>172</v>
      </c>
      <c r="E1135" s="38" t="s">
        <v>875</v>
      </c>
      <c r="F1135" s="38" t="str">
        <f aca="false">B1135&amp;"|"&amp;C1135&amp;"|"&amp;D1135</f>
        <v>69|U|A</v>
      </c>
      <c r="G1135" s="45" t="n">
        <f aca="false">INDEX('Transition Stepwise'!$J$2:$J$1137,MATCH(F1135,'Transition Stepwise'!$E$2:$E$1137,0))</f>
        <v>0.05</v>
      </c>
      <c r="H1135" s="45" t="n">
        <f aca="false">INDEX(Background!$D$12:$D$27,MATCH(C1135&amp;D1135,Background!$E$12:$E$27,0))</f>
        <v>0.180787191460974</v>
      </c>
      <c r="I1135" s="49" t="n">
        <f aca="false">LN(G1135/H1135)</f>
        <v>-1.28529759633109</v>
      </c>
    </row>
    <row r="1136" customFormat="false" ht="15" hidden="false" customHeight="true" outlineLevel="0" collapsed="false">
      <c r="A1136" s="38" t="s">
        <v>854</v>
      </c>
      <c r="B1136" s="38" t="n">
        <v>70</v>
      </c>
      <c r="C1136" s="38" t="s">
        <v>172</v>
      </c>
      <c r="D1136" s="38" t="s">
        <v>169</v>
      </c>
      <c r="E1136" s="38" t="s">
        <v>875</v>
      </c>
      <c r="F1136" s="38" t="str">
        <f aca="false">B1136&amp;"|"&amp;C1136&amp;"|"&amp;D1136</f>
        <v>70|A|G</v>
      </c>
      <c r="G1136" s="45" t="n">
        <f aca="false">INDEX('Transition Stepwise'!$J$2:$J$1137,MATCH(F1136,'Transition Stepwise'!$E$2:$E$1137,0))</f>
        <v>0.555555555555556</v>
      </c>
      <c r="H1136" s="45" t="n">
        <f aca="false">INDEX(Background!$D$12:$D$27,MATCH(C1136&amp;D1136,Background!$E$12:$E$27,0))</f>
        <v>0.424884437596302</v>
      </c>
      <c r="I1136" s="49" t="n">
        <f aca="false">LN(G1136/H1136)</f>
        <v>0.268151393668359</v>
      </c>
    </row>
    <row r="1137" customFormat="false" ht="15" hidden="false" customHeight="true" outlineLevel="0" collapsed="false">
      <c r="A1137" s="38" t="s">
        <v>854</v>
      </c>
      <c r="B1137" s="38" t="n">
        <v>71</v>
      </c>
      <c r="C1137" s="38" t="s">
        <v>169</v>
      </c>
      <c r="D1137" s="38" t="s">
        <v>172</v>
      </c>
      <c r="E1137" s="38" t="s">
        <v>875</v>
      </c>
      <c r="F1137" s="38" t="str">
        <f aca="false">B1137&amp;"|"&amp;C1137&amp;"|"&amp;D1137</f>
        <v>71|G|A</v>
      </c>
      <c r="G1137" s="45" t="n">
        <f aca="false">INDEX('Transition Stepwise'!$J$2:$J$1137,MATCH(F1137,'Transition Stepwise'!$E$2:$E$1137,0))</f>
        <v>0.116279069767442</v>
      </c>
      <c r="H1137" s="45" t="n">
        <f aca="false">INDEX(Background!$D$12:$D$27,MATCH(C1137&amp;D1137,Background!$E$12:$E$27,0))</f>
        <v>0.164356435643564</v>
      </c>
      <c r="I1137" s="49" t="n">
        <f aca="false">LN(G1137/H1137)</f>
        <v>-0.3460443817807</v>
      </c>
    </row>
    <row r="1138" customFormat="false" ht="15" hidden="false" customHeight="true" outlineLevel="0" collapsed="false">
      <c r="A1138" s="38" t="s">
        <v>855</v>
      </c>
      <c r="B1138" s="38" t="n">
        <v>1</v>
      </c>
      <c r="C1138" s="38" t="s">
        <v>172</v>
      </c>
      <c r="D1138" s="38" t="s">
        <v>171</v>
      </c>
      <c r="E1138" s="38" t="s">
        <v>875</v>
      </c>
      <c r="F1138" s="38" t="str">
        <f aca="false">B1138&amp;"|"&amp;C1138&amp;"|"&amp;D1138</f>
        <v>1|A|U</v>
      </c>
      <c r="G1138" s="45" t="n">
        <f aca="false">INDEX('Transition Stepwise'!$J$2:$J$1137,MATCH(F1138,'Transition Stepwise'!$E$2:$E$1137,0))</f>
        <v>0.0588235294117647</v>
      </c>
      <c r="H1138" s="45" t="n">
        <f aca="false">INDEX(Background!$D$12:$D$27,MATCH(C1138&amp;D1138,Background!$E$12:$E$27,0))</f>
        <v>0.194530046224961</v>
      </c>
      <c r="I1138" s="49" t="n">
        <f aca="false">LN(G1138/H1138)</f>
        <v>-1.1960446955076</v>
      </c>
    </row>
    <row r="1139" customFormat="false" ht="15" hidden="false" customHeight="true" outlineLevel="0" collapsed="false">
      <c r="A1139" s="38" t="s">
        <v>855</v>
      </c>
      <c r="B1139" s="38" t="n">
        <v>2</v>
      </c>
      <c r="C1139" s="38" t="s">
        <v>171</v>
      </c>
      <c r="D1139" s="38" t="s">
        <v>172</v>
      </c>
      <c r="E1139" s="38" t="s">
        <v>875</v>
      </c>
      <c r="F1139" s="38" t="str">
        <f aca="false">B1139&amp;"|"&amp;C1139&amp;"|"&amp;D1139</f>
        <v>2|U|A</v>
      </c>
      <c r="G1139" s="45" t="n">
        <f aca="false">INDEX('Transition Stepwise'!$J$2:$J$1137,MATCH(F1139,'Transition Stepwise'!$E$2:$E$1137,0))</f>
        <v>0.1</v>
      </c>
      <c r="H1139" s="45" t="n">
        <f aca="false">INDEX(Background!$D$12:$D$27,MATCH(C1139&amp;D1139,Background!$E$12:$E$27,0))</f>
        <v>0.180787191460974</v>
      </c>
      <c r="I1139" s="49" t="n">
        <f aca="false">LN(G1139/H1139)</f>
        <v>-0.592150415771149</v>
      </c>
    </row>
    <row r="1140" customFormat="false" ht="15" hidden="false" customHeight="true" outlineLevel="0" collapsed="false">
      <c r="A1140" s="38" t="s">
        <v>855</v>
      </c>
      <c r="B1140" s="38" t="n">
        <v>3</v>
      </c>
      <c r="C1140" s="38" t="s">
        <v>172</v>
      </c>
      <c r="D1140" s="38" t="s">
        <v>171</v>
      </c>
      <c r="E1140" s="38" t="s">
        <v>875</v>
      </c>
      <c r="F1140" s="38" t="str">
        <f aca="false">B1140&amp;"|"&amp;C1140&amp;"|"&amp;D1140</f>
        <v>3|A|U</v>
      </c>
      <c r="G1140" s="45" t="n">
        <f aca="false">INDEX('Transition Stepwise'!$J$2:$J$1137,MATCH(F1140,'Transition Stepwise'!$E$2:$E$1137,0))</f>
        <v>0.0555555555555556</v>
      </c>
      <c r="H1140" s="45" t="n">
        <f aca="false">INDEX(Background!$D$12:$D$27,MATCH(C1140&amp;D1140,Background!$E$12:$E$27,0))</f>
        <v>0.194530046224961</v>
      </c>
      <c r="I1140" s="49" t="n">
        <f aca="false">LN(G1140/H1140)</f>
        <v>-1.25320310934754</v>
      </c>
    </row>
    <row r="1141" customFormat="false" ht="15" hidden="false" customHeight="true" outlineLevel="0" collapsed="false">
      <c r="A1141" s="38" t="s">
        <v>855</v>
      </c>
      <c r="B1141" s="38" t="n">
        <v>4</v>
      </c>
      <c r="C1141" s="38" t="s">
        <v>171</v>
      </c>
      <c r="D1141" s="38" t="s">
        <v>172</v>
      </c>
      <c r="E1141" s="38" t="s">
        <v>875</v>
      </c>
      <c r="F1141" s="38" t="str">
        <f aca="false">B1141&amp;"|"&amp;C1141&amp;"|"&amp;D1141</f>
        <v>4|U|A</v>
      </c>
      <c r="G1141" s="45" t="n">
        <f aca="false">INDEX('Transition Stepwise'!$J$2:$J$1137,MATCH(F1141,'Transition Stepwise'!$E$2:$E$1137,0))</f>
        <v>0.105263157894737</v>
      </c>
      <c r="H1141" s="45" t="n">
        <f aca="false">INDEX(Background!$D$12:$D$27,MATCH(C1141&amp;D1141,Background!$E$12:$E$27,0))</f>
        <v>0.180787191460974</v>
      </c>
      <c r="I1141" s="49" t="n">
        <f aca="false">LN(G1141/H1141)</f>
        <v>-0.540857121383598</v>
      </c>
    </row>
    <row r="1142" customFormat="false" ht="15" hidden="false" customHeight="true" outlineLevel="0" collapsed="false">
      <c r="A1142" s="38" t="s">
        <v>855</v>
      </c>
      <c r="B1142" s="38" t="n">
        <v>5</v>
      </c>
      <c r="C1142" s="38" t="s">
        <v>172</v>
      </c>
      <c r="D1142" s="38" t="s">
        <v>172</v>
      </c>
      <c r="E1142" s="38" t="s">
        <v>875</v>
      </c>
      <c r="F1142" s="38" t="str">
        <f aca="false">B1142&amp;"|"&amp;C1142&amp;"|"&amp;D1142</f>
        <v>5|A|A</v>
      </c>
      <c r="G1142" s="45" t="n">
        <f aca="false">INDEX('Transition Stepwise'!$J$2:$J$1137,MATCH(F1142,'Transition Stepwise'!$E$2:$E$1137,0))</f>
        <v>0.205882352941176</v>
      </c>
      <c r="H1142" s="45" t="n">
        <f aca="false">INDEX(Background!$D$12:$D$27,MATCH(C1142&amp;D1142,Background!$E$12:$E$27,0))</f>
        <v>0.219568567026194</v>
      </c>
      <c r="I1142" s="49" t="n">
        <f aca="false">LN(G1142/H1142)</f>
        <v>-0.0643596585654633</v>
      </c>
    </row>
    <row r="1143" customFormat="false" ht="15" hidden="false" customHeight="true" outlineLevel="0" collapsed="false">
      <c r="A1143" s="38" t="s">
        <v>855</v>
      </c>
      <c r="B1143" s="38" t="n">
        <v>6</v>
      </c>
      <c r="C1143" s="38" t="s">
        <v>172</v>
      </c>
      <c r="D1143" s="38" t="s">
        <v>172</v>
      </c>
      <c r="E1143" s="38" t="s">
        <v>875</v>
      </c>
      <c r="F1143" s="38" t="str">
        <f aca="false">B1143&amp;"|"&amp;C1143&amp;"|"&amp;D1143</f>
        <v>6|A|A</v>
      </c>
      <c r="G1143" s="45" t="n">
        <f aca="false">INDEX('Transition Stepwise'!$J$2:$J$1137,MATCH(F1143,'Transition Stepwise'!$E$2:$E$1137,0))</f>
        <v>0.263157894736842</v>
      </c>
      <c r="H1143" s="45" t="n">
        <f aca="false">INDEX(Background!$D$12:$D$27,MATCH(C1143&amp;D1143,Background!$E$12:$E$27,0))</f>
        <v>0.219568567026194</v>
      </c>
      <c r="I1143" s="49" t="n">
        <f aca="false">LN(G1143/H1143)</f>
        <v>0.181089650263045</v>
      </c>
    </row>
    <row r="1144" customFormat="false" ht="15" hidden="false" customHeight="true" outlineLevel="0" collapsed="false">
      <c r="A1144" s="38" t="s">
        <v>855</v>
      </c>
      <c r="B1144" s="38" t="n">
        <v>7</v>
      </c>
      <c r="C1144" s="38" t="s">
        <v>172</v>
      </c>
      <c r="D1144" s="38" t="s">
        <v>171</v>
      </c>
      <c r="E1144" s="38" t="s">
        <v>875</v>
      </c>
      <c r="F1144" s="38" t="str">
        <f aca="false">B1144&amp;"|"&amp;C1144&amp;"|"&amp;D1144</f>
        <v>7|A|U</v>
      </c>
      <c r="G1144" s="45" t="n">
        <f aca="false">INDEX('Transition Stepwise'!$J$2:$J$1137,MATCH(F1144,'Transition Stepwise'!$E$2:$E$1137,0))</f>
        <v>0.92156862745098</v>
      </c>
      <c r="H1144" s="45" t="n">
        <f aca="false">INDEX(Background!$D$12:$D$27,MATCH(C1144&amp;D1144,Background!$E$12:$E$27,0))</f>
        <v>0.194530046224961</v>
      </c>
      <c r="I1144" s="49" t="n">
        <f aca="false">LN(G1144/H1144)</f>
        <v>1.55549061753435</v>
      </c>
    </row>
    <row r="1145" customFormat="false" ht="15" hidden="false" customHeight="true" outlineLevel="0" collapsed="false">
      <c r="A1145" s="38" t="s">
        <v>855</v>
      </c>
      <c r="B1145" s="38" t="n">
        <v>8</v>
      </c>
      <c r="C1145" s="38" t="s">
        <v>171</v>
      </c>
      <c r="D1145" s="38" t="s">
        <v>172</v>
      </c>
      <c r="E1145" s="38" t="s">
        <v>875</v>
      </c>
      <c r="F1145" s="38" t="str">
        <f aca="false">B1145&amp;"|"&amp;C1145&amp;"|"&amp;D1145</f>
        <v>8|U|A</v>
      </c>
      <c r="G1145" s="45" t="n">
        <f aca="false">INDEX('Transition Stepwise'!$J$2:$J$1137,MATCH(F1145,'Transition Stepwise'!$E$2:$E$1137,0))</f>
        <v>0.65</v>
      </c>
      <c r="H1145" s="45" t="n">
        <f aca="false">INDEX(Background!$D$12:$D$27,MATCH(C1145&amp;D1145,Background!$E$12:$E$27,0))</f>
        <v>0.180787191460974</v>
      </c>
      <c r="I1145" s="49" t="n">
        <f aca="false">LN(G1145/H1145)</f>
        <v>1.27965176113044</v>
      </c>
    </row>
    <row r="1146" customFormat="false" ht="15" hidden="false" customHeight="true" outlineLevel="0" collapsed="false">
      <c r="A1146" s="38" t="s">
        <v>855</v>
      </c>
      <c r="B1146" s="38" t="n">
        <v>9</v>
      </c>
      <c r="C1146" s="38" t="s">
        <v>172</v>
      </c>
      <c r="D1146" s="38" t="s">
        <v>172</v>
      </c>
      <c r="E1146" s="38" t="s">
        <v>875</v>
      </c>
      <c r="F1146" s="38" t="str">
        <f aca="false">B1146&amp;"|"&amp;C1146&amp;"|"&amp;D1146</f>
        <v>9|A|A</v>
      </c>
      <c r="G1146" s="45" t="n">
        <f aca="false">INDEX('Transition Stepwise'!$J$2:$J$1137,MATCH(F1146,'Transition Stepwise'!$E$2:$E$1137,0))</f>
        <v>0.00746268656716418</v>
      </c>
      <c r="H1146" s="45" t="n">
        <f aca="false">INDEX(Background!$D$12:$D$27,MATCH(C1146&amp;D1146,Background!$E$12:$E$27,0))</f>
        <v>0.219568567026194</v>
      </c>
      <c r="I1146" s="49" t="n">
        <f aca="false">LN(G1146/H1146)</f>
        <v>-3.38174908295553</v>
      </c>
    </row>
    <row r="1147" customFormat="false" ht="15" hidden="false" customHeight="true" outlineLevel="0" collapsed="false">
      <c r="A1147" s="38" t="s">
        <v>855</v>
      </c>
      <c r="B1147" s="38" t="n">
        <v>10</v>
      </c>
      <c r="C1147" s="38" t="s">
        <v>172</v>
      </c>
      <c r="D1147" s="38" t="s">
        <v>172</v>
      </c>
      <c r="E1147" s="38" t="s">
        <v>875</v>
      </c>
      <c r="F1147" s="38" t="str">
        <f aca="false">B1147&amp;"|"&amp;C1147&amp;"|"&amp;D1147</f>
        <v>10|A|A</v>
      </c>
      <c r="G1147" s="45" t="n">
        <f aca="false">INDEX('Transition Stepwise'!$J$2:$J$1137,MATCH(F1147,'Transition Stepwise'!$E$2:$E$1137,0))</f>
        <v>0.25</v>
      </c>
      <c r="H1147" s="45" t="n">
        <f aca="false">INDEX(Background!$D$12:$D$27,MATCH(C1147&amp;D1147,Background!$E$12:$E$27,0))</f>
        <v>0.219568567026194</v>
      </c>
      <c r="I1147" s="49" t="n">
        <f aca="false">LN(G1147/H1147)</f>
        <v>0.129796355875494</v>
      </c>
    </row>
    <row r="1148" customFormat="false" ht="15" hidden="false" customHeight="true" outlineLevel="0" collapsed="false">
      <c r="A1148" s="38" t="s">
        <v>855</v>
      </c>
      <c r="B1148" s="38" t="n">
        <v>11</v>
      </c>
      <c r="C1148" s="38" t="s">
        <v>172</v>
      </c>
      <c r="D1148" s="38" t="s">
        <v>171</v>
      </c>
      <c r="E1148" s="38" t="s">
        <v>875</v>
      </c>
      <c r="F1148" s="38" t="str">
        <f aca="false">B1148&amp;"|"&amp;C1148&amp;"|"&amp;D1148</f>
        <v>11|A|U</v>
      </c>
      <c r="G1148" s="45" t="n">
        <f aca="false">INDEX('Transition Stepwise'!$J$2:$J$1137,MATCH(F1148,'Transition Stepwise'!$E$2:$E$1137,0))</f>
        <v>0.363636363636364</v>
      </c>
      <c r="H1148" s="45" t="n">
        <f aca="false">INDEX(Background!$D$12:$D$27,MATCH(C1148&amp;D1148,Background!$E$12:$E$27,0))</f>
        <v>0.194530046224961</v>
      </c>
      <c r="I1148" s="49" t="n">
        <f aca="false">LN(G1148/H1148)</f>
        <v>0.625567736870141</v>
      </c>
    </row>
    <row r="1149" customFormat="false" ht="15" hidden="false" customHeight="true" outlineLevel="0" collapsed="false">
      <c r="A1149" s="38" t="s">
        <v>855</v>
      </c>
      <c r="B1149" s="38" t="n">
        <v>12</v>
      </c>
      <c r="C1149" s="38" t="s">
        <v>171</v>
      </c>
      <c r="D1149" s="38" t="s">
        <v>171</v>
      </c>
      <c r="E1149" s="38" t="s">
        <v>875</v>
      </c>
      <c r="F1149" s="38" t="str">
        <f aca="false">B1149&amp;"|"&amp;C1149&amp;"|"&amp;D1149</f>
        <v>12|U|U</v>
      </c>
      <c r="G1149" s="45" t="n">
        <f aca="false">INDEX('Transition Stepwise'!$J$2:$J$1137,MATCH(F1149,'Transition Stepwise'!$E$2:$E$1137,0))</f>
        <v>0.0975609756097561</v>
      </c>
      <c r="H1149" s="45" t="n">
        <f aca="false">INDEX(Background!$D$12:$D$27,MATCH(C1149&amp;D1149,Background!$E$12:$E$27,0))</f>
        <v>0.220480320213476</v>
      </c>
      <c r="I1149" s="49" t="n">
        <f aca="false">LN(G1149/H1149)</f>
        <v>-0.81533086677356</v>
      </c>
    </row>
    <row r="1150" customFormat="false" ht="15" hidden="false" customHeight="true" outlineLevel="0" collapsed="false">
      <c r="A1150" s="38" t="s">
        <v>855</v>
      </c>
      <c r="B1150" s="38" t="n">
        <v>13</v>
      </c>
      <c r="C1150" s="38" t="s">
        <v>171</v>
      </c>
      <c r="D1150" s="38" t="s">
        <v>172</v>
      </c>
      <c r="E1150" s="38" t="s">
        <v>875</v>
      </c>
      <c r="F1150" s="38" t="str">
        <f aca="false">B1150&amp;"|"&amp;C1150&amp;"|"&amp;D1150</f>
        <v>13|U|A</v>
      </c>
      <c r="G1150" s="45" t="n">
        <f aca="false">INDEX('Transition Stepwise'!$J$2:$J$1137,MATCH(F1150,'Transition Stepwise'!$E$2:$E$1137,0))</f>
        <v>0.928571428571429</v>
      </c>
      <c r="H1150" s="45" t="n">
        <f aca="false">INDEX(Background!$D$12:$D$27,MATCH(C1150&amp;D1150,Background!$E$12:$E$27,0))</f>
        <v>0.180787191460974</v>
      </c>
      <c r="I1150" s="49" t="n">
        <f aca="false">LN(G1150/H1150)</f>
        <v>1.63632670506918</v>
      </c>
    </row>
    <row r="1151" customFormat="false" ht="15" hidden="false" customHeight="true" outlineLevel="0" collapsed="false">
      <c r="A1151" s="38" t="s">
        <v>855</v>
      </c>
      <c r="B1151" s="38" t="n">
        <v>14</v>
      </c>
      <c r="C1151" s="38" t="s">
        <v>172</v>
      </c>
      <c r="D1151" s="38" t="s">
        <v>170</v>
      </c>
      <c r="E1151" s="38" t="s">
        <v>875</v>
      </c>
      <c r="F1151" s="38" t="str">
        <f aca="false">B1151&amp;"|"&amp;C1151&amp;"|"&amp;D1151</f>
        <v>14|A|C</v>
      </c>
      <c r="G1151" s="45" t="n">
        <f aca="false">INDEX('Transition Stepwise'!$J$2:$J$1137,MATCH(F1151,'Transition Stepwise'!$E$2:$E$1137,0))</f>
        <v>0.01</v>
      </c>
      <c r="H1151" s="45" t="n">
        <f aca="false">INDEX(Background!$D$12:$D$27,MATCH(C1151&amp;D1151,Background!$E$12:$E$27,0))</f>
        <v>0.161016949152542</v>
      </c>
      <c r="I1151" s="49" t="n">
        <f aca="false">LN(G1151/H1151)</f>
        <v>-2.77892454068887</v>
      </c>
    </row>
    <row r="1152" customFormat="false" ht="15" hidden="false" customHeight="true" outlineLevel="0" collapsed="false">
      <c r="A1152" s="38" t="s">
        <v>855</v>
      </c>
      <c r="B1152" s="38" t="n">
        <v>15</v>
      </c>
      <c r="C1152" s="38" t="s">
        <v>170</v>
      </c>
      <c r="D1152" s="38" t="s">
        <v>171</v>
      </c>
      <c r="E1152" s="38" t="s">
        <v>875</v>
      </c>
      <c r="F1152" s="38" t="str">
        <f aca="false">B1152&amp;"|"&amp;C1152&amp;"|"&amp;D1152</f>
        <v>15|C|U</v>
      </c>
      <c r="G1152" s="45" t="n">
        <f aca="false">INDEX('Transition Stepwise'!$J$2:$J$1137,MATCH(F1152,'Transition Stepwise'!$E$2:$E$1137,0))</f>
        <v>0.4</v>
      </c>
      <c r="H1152" s="45" t="n">
        <f aca="false">INDEX(Background!$D$12:$D$27,MATCH(C1152&amp;D1152,Background!$E$12:$E$27,0))</f>
        <v>0.196466244725738</v>
      </c>
      <c r="I1152" s="49" t="n">
        <f aca="false">LN(G1152/H1152)</f>
        <v>0.710973913121198</v>
      </c>
    </row>
    <row r="1153" customFormat="false" ht="15" hidden="false" customHeight="true" outlineLevel="0" collapsed="false">
      <c r="A1153" s="38" t="s">
        <v>855</v>
      </c>
      <c r="B1153" s="38" t="n">
        <v>16</v>
      </c>
      <c r="C1153" s="38" t="s">
        <v>171</v>
      </c>
      <c r="D1153" s="38" t="s">
        <v>170</v>
      </c>
      <c r="E1153" s="38" t="s">
        <v>875</v>
      </c>
      <c r="F1153" s="38" t="str">
        <f aca="false">B1153&amp;"|"&amp;C1153&amp;"|"&amp;D1153</f>
        <v>16|U|C</v>
      </c>
      <c r="G1153" s="45" t="n">
        <f aca="false">INDEX('Transition Stepwise'!$J$2:$J$1137,MATCH(F1153,'Transition Stepwise'!$E$2:$E$1137,0))</f>
        <v>0.268292682926829</v>
      </c>
      <c r="H1153" s="45" t="n">
        <f aca="false">INDEX(Background!$D$12:$D$27,MATCH(C1153&amp;D1153,Background!$E$12:$E$27,0))</f>
        <v>0.377251501000667</v>
      </c>
      <c r="I1153" s="49" t="n">
        <f aca="false">LN(G1153/H1153)</f>
        <v>-0.340833591359515</v>
      </c>
    </row>
    <row r="1154" customFormat="false" ht="15" hidden="false" customHeight="true" outlineLevel="0" collapsed="false">
      <c r="A1154" s="38" t="s">
        <v>855</v>
      </c>
      <c r="B1154" s="38" t="n">
        <v>17</v>
      </c>
      <c r="C1154" s="38" t="s">
        <v>170</v>
      </c>
      <c r="D1154" s="38" t="s">
        <v>169</v>
      </c>
      <c r="E1154" s="38" t="s">
        <v>875</v>
      </c>
      <c r="F1154" s="38" t="str">
        <f aca="false">B1154&amp;"|"&amp;C1154&amp;"|"&amp;D1154</f>
        <v>17|C|G</v>
      </c>
      <c r="G1154" s="45" t="n">
        <f aca="false">INDEX('Transition Stepwise'!$J$2:$J$1137,MATCH(F1154,'Transition Stepwise'!$E$2:$E$1137,0))</f>
        <v>0.955223880597015</v>
      </c>
      <c r="H1154" s="45" t="n">
        <f aca="false">INDEX(Background!$D$12:$D$27,MATCH(C1154&amp;D1154,Background!$E$12:$E$27,0))</f>
        <v>0.296413502109705</v>
      </c>
      <c r="I1154" s="49" t="n">
        <f aca="false">LN(G1154/H1154)</f>
        <v>1.17019029688998</v>
      </c>
    </row>
    <row r="1155" customFormat="false" ht="15" hidden="false" customHeight="true" outlineLevel="0" collapsed="false">
      <c r="A1155" s="38" t="s">
        <v>855</v>
      </c>
      <c r="B1155" s="38" t="n">
        <v>18</v>
      </c>
      <c r="C1155" s="38" t="s">
        <v>169</v>
      </c>
      <c r="D1155" s="38" t="s">
        <v>169</v>
      </c>
      <c r="E1155" s="38" t="s">
        <v>875</v>
      </c>
      <c r="F1155" s="38" t="str">
        <f aca="false">B1155&amp;"|"&amp;C1155&amp;"|"&amp;D1155</f>
        <v>18|G|G</v>
      </c>
      <c r="G1155" s="45" t="n">
        <f aca="false">INDEX('Transition Stepwise'!$J$2:$J$1137,MATCH(F1155,'Transition Stepwise'!$E$2:$E$1137,0))</f>
        <v>0.975247524752475</v>
      </c>
      <c r="H1155" s="45" t="n">
        <f aca="false">INDEX(Background!$D$12:$D$27,MATCH(C1155&amp;D1155,Background!$E$12:$E$27,0))</f>
        <v>0.344774477447745</v>
      </c>
      <c r="I1155" s="49" t="n">
        <f aca="false">LN(G1155/H1155)</f>
        <v>1.03980079559234</v>
      </c>
    </row>
    <row r="1156" customFormat="false" ht="15" hidden="false" customHeight="true" outlineLevel="0" collapsed="false">
      <c r="A1156" s="38" t="s">
        <v>855</v>
      </c>
      <c r="B1156" s="38" t="n">
        <v>19</v>
      </c>
      <c r="C1156" s="38" t="s">
        <v>169</v>
      </c>
      <c r="D1156" s="38" t="s">
        <v>172</v>
      </c>
      <c r="E1156" s="38" t="s">
        <v>875</v>
      </c>
      <c r="F1156" s="38" t="str">
        <f aca="false">B1156&amp;"|"&amp;C1156&amp;"|"&amp;D1156</f>
        <v>19|G|A</v>
      </c>
      <c r="G1156" s="45" t="n">
        <f aca="false">INDEX('Transition Stepwise'!$J$2:$J$1137,MATCH(F1156,'Transition Stepwise'!$E$2:$E$1137,0))</f>
        <v>0.09</v>
      </c>
      <c r="H1156" s="45" t="n">
        <f aca="false">INDEX(Background!$D$12:$D$27,MATCH(C1156&amp;D1156,Background!$E$12:$E$27,0))</f>
        <v>0.164356435643564</v>
      </c>
      <c r="I1156" s="49" t="n">
        <f aca="false">LN(G1156/H1156)</f>
        <v>-0.60222778717311</v>
      </c>
    </row>
    <row r="1157" customFormat="false" ht="15" hidden="false" customHeight="true" outlineLevel="0" collapsed="false">
      <c r="A1157" s="38" t="s">
        <v>855</v>
      </c>
      <c r="B1157" s="38" t="n">
        <v>20</v>
      </c>
      <c r="C1157" s="38" t="s">
        <v>172</v>
      </c>
      <c r="D1157" s="38" t="s">
        <v>172</v>
      </c>
      <c r="E1157" s="38" t="s">
        <v>875</v>
      </c>
      <c r="F1157" s="38" t="str">
        <f aca="false">B1157&amp;"|"&amp;C1157&amp;"|"&amp;D1157</f>
        <v>20|A|A</v>
      </c>
      <c r="G1157" s="45" t="n">
        <f aca="false">INDEX('Transition Stepwise'!$J$2:$J$1137,MATCH(F1157,'Transition Stepwise'!$E$2:$E$1137,0))</f>
        <v>0.80952380952381</v>
      </c>
      <c r="H1157" s="45" t="n">
        <f aca="false">INDEX(Background!$D$12:$D$27,MATCH(C1157&amp;D1157,Background!$E$12:$E$27,0))</f>
        <v>0.219568567026194</v>
      </c>
      <c r="I1157" s="49" t="n">
        <f aca="false">LN(G1157/H1157)</f>
        <v>1.30478162332818</v>
      </c>
    </row>
    <row r="1158" customFormat="false" ht="15" hidden="false" customHeight="true" outlineLevel="0" collapsed="false">
      <c r="A1158" s="38" t="s">
        <v>855</v>
      </c>
      <c r="B1158" s="38" t="n">
        <v>21</v>
      </c>
      <c r="C1158" s="38" t="s">
        <v>172</v>
      </c>
      <c r="D1158" s="38" t="s">
        <v>169</v>
      </c>
      <c r="E1158" s="38" t="s">
        <v>875</v>
      </c>
      <c r="F1158" s="38" t="str">
        <f aca="false">B1158&amp;"|"&amp;C1158&amp;"|"&amp;D1158</f>
        <v>21|A|G</v>
      </c>
      <c r="G1158" s="45" t="n">
        <f aca="false">INDEX('Transition Stepwise'!$J$2:$J$1137,MATCH(F1158,'Transition Stepwise'!$E$2:$E$1137,0))</f>
        <v>0.769230769230769</v>
      </c>
      <c r="H1158" s="45" t="n">
        <f aca="false">INDEX(Background!$D$12:$D$27,MATCH(C1158&amp;D1158,Background!$E$12:$E$27,0))</f>
        <v>0.424884437596302</v>
      </c>
      <c r="I1158" s="49" t="n">
        <f aca="false">LN(G1158/H1158)</f>
        <v>0.593573794102987</v>
      </c>
    </row>
    <row r="1159" customFormat="false" ht="15" hidden="false" customHeight="true" outlineLevel="0" collapsed="false">
      <c r="A1159" s="38" t="s">
        <v>855</v>
      </c>
      <c r="B1159" s="38" t="n">
        <v>22</v>
      </c>
      <c r="C1159" s="38" t="s">
        <v>169</v>
      </c>
      <c r="D1159" s="38" t="s">
        <v>169</v>
      </c>
      <c r="E1159" s="38" t="s">
        <v>875</v>
      </c>
      <c r="F1159" s="38" t="str">
        <f aca="false">B1159&amp;"|"&amp;C1159&amp;"|"&amp;D1159</f>
        <v>22|G|G</v>
      </c>
      <c r="G1159" s="45" t="n">
        <f aca="false">INDEX('Transition Stepwise'!$J$2:$J$1137,MATCH(F1159,'Transition Stepwise'!$E$2:$E$1137,0))</f>
        <v>0.0405405405405405</v>
      </c>
      <c r="H1159" s="45" t="n">
        <f aca="false">INDEX(Background!$D$12:$D$27,MATCH(C1159&amp;D1159,Background!$E$12:$E$27,0))</f>
        <v>0.344774477447745</v>
      </c>
      <c r="I1159" s="49" t="n">
        <f aca="false">LN(G1159/H1159)</f>
        <v>-2.1405880402805</v>
      </c>
    </row>
    <row r="1160" customFormat="false" ht="15" hidden="false" customHeight="true" outlineLevel="0" collapsed="false">
      <c r="A1160" s="38" t="s">
        <v>855</v>
      </c>
      <c r="B1160" s="38" t="n">
        <v>23</v>
      </c>
      <c r="C1160" s="38" t="s">
        <v>169</v>
      </c>
      <c r="D1160" s="38" t="s">
        <v>169</v>
      </c>
      <c r="E1160" s="38" t="s">
        <v>875</v>
      </c>
      <c r="F1160" s="38" t="str">
        <f aca="false">B1160&amp;"|"&amp;C1160&amp;"|"&amp;D1160</f>
        <v>23|G|G</v>
      </c>
      <c r="G1160" s="45" t="n">
        <f aca="false">INDEX('Transition Stepwise'!$J$2:$J$1137,MATCH(F1160,'Transition Stepwise'!$E$2:$E$1137,0))</f>
        <v>0.606060606060606</v>
      </c>
      <c r="H1160" s="45" t="n">
        <f aca="false">INDEX(Background!$D$12:$D$27,MATCH(C1160&amp;D1160,Background!$E$12:$E$27,0))</f>
        <v>0.344774477447745</v>
      </c>
      <c r="I1160" s="49" t="n">
        <f aca="false">LN(G1160/H1160)</f>
        <v>0.564089476343069</v>
      </c>
    </row>
    <row r="1161" customFormat="false" ht="15" hidden="false" customHeight="true" outlineLevel="0" collapsed="false">
      <c r="A1161" s="38" t="s">
        <v>855</v>
      </c>
      <c r="B1161" s="38" t="n">
        <v>24</v>
      </c>
      <c r="C1161" s="38" t="s">
        <v>169</v>
      </c>
      <c r="D1161" s="38" t="s">
        <v>171</v>
      </c>
      <c r="E1161" s="38" t="s">
        <v>875</v>
      </c>
      <c r="F1161" s="38" t="str">
        <f aca="false">B1161&amp;"|"&amp;C1161&amp;"|"&amp;D1161</f>
        <v>24|G|U</v>
      </c>
      <c r="G1161" s="45" t="n">
        <f aca="false">INDEX('Transition Stepwise'!$J$2:$J$1137,MATCH(F1161,'Transition Stepwise'!$E$2:$E$1137,0))</f>
        <v>0.0261437908496732</v>
      </c>
      <c r="H1161" s="45" t="n">
        <f aca="false">INDEX(Background!$D$12:$D$27,MATCH(C1161&amp;D1161,Background!$E$12:$E$27,0))</f>
        <v>0.234763476347635</v>
      </c>
      <c r="I1161" s="49" t="n">
        <f aca="false">LN(G1161/H1161)</f>
        <v>-2.19496680496272</v>
      </c>
    </row>
    <row r="1162" customFormat="false" ht="15" hidden="false" customHeight="true" outlineLevel="0" collapsed="false">
      <c r="A1162" s="38" t="s">
        <v>855</v>
      </c>
      <c r="B1162" s="38" t="n">
        <v>25</v>
      </c>
      <c r="C1162" s="38" t="s">
        <v>171</v>
      </c>
      <c r="D1162" s="38" t="s">
        <v>171</v>
      </c>
      <c r="E1162" s="38" t="s">
        <v>875</v>
      </c>
      <c r="F1162" s="38" t="str">
        <f aca="false">B1162&amp;"|"&amp;C1162&amp;"|"&amp;D1162</f>
        <v>25|U|U</v>
      </c>
      <c r="G1162" s="45" t="n">
        <f aca="false">INDEX('Transition Stepwise'!$J$2:$J$1137,MATCH(F1162,'Transition Stepwise'!$E$2:$E$1137,0))</f>
        <v>0.166666666666667</v>
      </c>
      <c r="H1162" s="45" t="n">
        <f aca="false">INDEX(Background!$D$12:$D$27,MATCH(C1162&amp;D1162,Background!$E$12:$E$27,0))</f>
        <v>0.220480320213476</v>
      </c>
      <c r="I1162" s="49" t="n">
        <f aca="false">LN(G1162/H1162)</f>
        <v>-0.279812630417198</v>
      </c>
    </row>
    <row r="1163" customFormat="false" ht="15" hidden="false" customHeight="true" outlineLevel="0" collapsed="false">
      <c r="A1163" s="38" t="s">
        <v>855</v>
      </c>
      <c r="B1163" s="38" t="n">
        <v>26</v>
      </c>
      <c r="C1163" s="38" t="s">
        <v>171</v>
      </c>
      <c r="D1163" s="38" t="s">
        <v>172</v>
      </c>
      <c r="E1163" s="38" t="s">
        <v>875</v>
      </c>
      <c r="F1163" s="38" t="str">
        <f aca="false">B1163&amp;"|"&amp;C1163&amp;"|"&amp;D1163</f>
        <v>26|U|A</v>
      </c>
      <c r="G1163" s="45" t="n">
        <f aca="false">INDEX('Transition Stepwise'!$J$2:$J$1137,MATCH(F1163,'Transition Stepwise'!$E$2:$E$1137,0))</f>
        <v>0.133333333333333</v>
      </c>
      <c r="H1163" s="45" t="n">
        <f aca="false">INDEX(Background!$D$12:$D$27,MATCH(C1163&amp;D1163,Background!$E$12:$E$27,0))</f>
        <v>0.180787191460974</v>
      </c>
      <c r="I1163" s="49" t="n">
        <f aca="false">LN(G1163/H1163)</f>
        <v>-0.304468343319368</v>
      </c>
    </row>
    <row r="1164" customFormat="false" ht="15" hidden="false" customHeight="true" outlineLevel="0" collapsed="false">
      <c r="A1164" s="38" t="s">
        <v>855</v>
      </c>
      <c r="B1164" s="38" t="n">
        <v>27</v>
      </c>
      <c r="C1164" s="38" t="s">
        <v>172</v>
      </c>
      <c r="D1164" s="38" t="s">
        <v>171</v>
      </c>
      <c r="E1164" s="38" t="s">
        <v>875</v>
      </c>
      <c r="F1164" s="38" t="str">
        <f aca="false">B1164&amp;"|"&amp;C1164&amp;"|"&amp;D1164</f>
        <v>27|A|U</v>
      </c>
      <c r="G1164" s="45" t="n">
        <f aca="false">INDEX('Transition Stepwise'!$J$2:$J$1137,MATCH(F1164,'Transition Stepwise'!$E$2:$E$1137,0))</f>
        <v>0.214285714285714</v>
      </c>
      <c r="H1164" s="45" t="n">
        <f aca="false">INDEX(Background!$D$12:$D$27,MATCH(C1164&amp;D1164,Background!$E$12:$E$27,0))</f>
        <v>0.194530046224961</v>
      </c>
      <c r="I1164" s="49" t="n">
        <f aca="false">LN(G1164/H1164)</f>
        <v>0.0967236076014718</v>
      </c>
    </row>
    <row r="1165" customFormat="false" ht="15" hidden="false" customHeight="true" outlineLevel="0" collapsed="false">
      <c r="A1165" s="38" t="s">
        <v>855</v>
      </c>
      <c r="B1165" s="38" t="n">
        <v>28</v>
      </c>
      <c r="C1165" s="38" t="s">
        <v>171</v>
      </c>
      <c r="D1165" s="38" t="s">
        <v>172</v>
      </c>
      <c r="E1165" s="38" t="s">
        <v>875</v>
      </c>
      <c r="F1165" s="38" t="str">
        <f aca="false">B1165&amp;"|"&amp;C1165&amp;"|"&amp;D1165</f>
        <v>28|U|A</v>
      </c>
      <c r="G1165" s="45" t="n">
        <f aca="false">INDEX('Transition Stepwise'!$J$2:$J$1137,MATCH(F1165,'Transition Stepwise'!$E$2:$E$1137,0))</f>
        <v>0.148148148148148</v>
      </c>
      <c r="H1165" s="45" t="n">
        <f aca="false">INDEX(Background!$D$12:$D$27,MATCH(C1165&amp;D1165,Background!$E$12:$E$27,0))</f>
        <v>0.180787191460974</v>
      </c>
      <c r="I1165" s="49" t="n">
        <f aca="false">LN(G1165/H1165)</f>
        <v>-0.199107827661542</v>
      </c>
    </row>
    <row r="1166" customFormat="false" ht="15" hidden="false" customHeight="true" outlineLevel="0" collapsed="false">
      <c r="A1166" s="38" t="s">
        <v>855</v>
      </c>
      <c r="B1166" s="38" t="n">
        <v>29</v>
      </c>
      <c r="C1166" s="38" t="s">
        <v>172</v>
      </c>
      <c r="D1166" s="38" t="s">
        <v>171</v>
      </c>
      <c r="E1166" s="38" t="s">
        <v>875</v>
      </c>
      <c r="F1166" s="38" t="str">
        <f aca="false">B1166&amp;"|"&amp;C1166&amp;"|"&amp;D1166</f>
        <v>29|A|U</v>
      </c>
      <c r="G1166" s="45" t="n">
        <f aca="false">INDEX('Transition Stepwise'!$J$2:$J$1137,MATCH(F1166,'Transition Stepwise'!$E$2:$E$1137,0))</f>
        <v>0.0277777777777778</v>
      </c>
      <c r="H1166" s="45" t="n">
        <f aca="false">INDEX(Background!$D$12:$D$27,MATCH(C1166&amp;D1166,Background!$E$12:$E$27,0))</f>
        <v>0.194530046224961</v>
      </c>
      <c r="I1166" s="49" t="n">
        <f aca="false">LN(G1166/H1166)</f>
        <v>-1.94635028990749</v>
      </c>
    </row>
    <row r="1167" customFormat="false" ht="15" hidden="false" customHeight="true" outlineLevel="0" collapsed="false">
      <c r="A1167" s="38" t="s">
        <v>855</v>
      </c>
      <c r="B1167" s="38" t="n">
        <v>30</v>
      </c>
      <c r="C1167" s="38" t="s">
        <v>171</v>
      </c>
      <c r="D1167" s="38" t="s">
        <v>171</v>
      </c>
      <c r="E1167" s="38" t="s">
        <v>875</v>
      </c>
      <c r="F1167" s="38" t="str">
        <f aca="false">B1167&amp;"|"&amp;C1167&amp;"|"&amp;D1167</f>
        <v>30|U|U</v>
      </c>
      <c r="G1167" s="45" t="n">
        <f aca="false">INDEX('Transition Stepwise'!$J$2:$J$1137,MATCH(F1167,'Transition Stepwise'!$E$2:$E$1137,0))</f>
        <v>0.0909090909090909</v>
      </c>
      <c r="H1167" s="45" t="n">
        <f aca="false">INDEX(Background!$D$12:$D$27,MATCH(C1167&amp;D1167,Background!$E$12:$E$27,0))</f>
        <v>0.220480320213476</v>
      </c>
      <c r="I1167" s="49" t="n">
        <f aca="false">LN(G1167/H1167)</f>
        <v>-0.885948433987514</v>
      </c>
    </row>
    <row r="1168" customFormat="false" ht="15" hidden="false" customHeight="true" outlineLevel="0" collapsed="false">
      <c r="A1168" s="38" t="s">
        <v>855</v>
      </c>
      <c r="B1168" s="38" t="n">
        <v>31</v>
      </c>
      <c r="C1168" s="38" t="s">
        <v>171</v>
      </c>
      <c r="D1168" s="38" t="s">
        <v>172</v>
      </c>
      <c r="E1168" s="38" t="s">
        <v>875</v>
      </c>
      <c r="F1168" s="38" t="str">
        <f aca="false">B1168&amp;"|"&amp;C1168&amp;"|"&amp;D1168</f>
        <v>31|U|A</v>
      </c>
      <c r="G1168" s="45" t="n">
        <f aca="false">INDEX('Transition Stepwise'!$J$2:$J$1137,MATCH(F1168,'Transition Stepwise'!$E$2:$E$1137,0))</f>
        <v>0.0434782608695652</v>
      </c>
      <c r="H1168" s="45" t="n">
        <f aca="false">INDEX(Background!$D$12:$D$27,MATCH(C1168&amp;D1168,Background!$E$12:$E$27,0))</f>
        <v>0.180787191460974</v>
      </c>
      <c r="I1168" s="49" t="n">
        <f aca="false">LN(G1168/H1168)</f>
        <v>-1.42505953870625</v>
      </c>
    </row>
    <row r="1169" customFormat="false" ht="15" hidden="false" customHeight="true" outlineLevel="0" collapsed="false">
      <c r="A1169" s="38" t="s">
        <v>855</v>
      </c>
      <c r="B1169" s="38" t="n">
        <v>32</v>
      </c>
      <c r="C1169" s="38" t="s">
        <v>172</v>
      </c>
      <c r="D1169" s="38" t="s">
        <v>171</v>
      </c>
      <c r="E1169" s="38" t="s">
        <v>875</v>
      </c>
      <c r="F1169" s="38" t="str">
        <f aca="false">B1169&amp;"|"&amp;C1169&amp;"|"&amp;D1169</f>
        <v>32|A|U</v>
      </c>
      <c r="G1169" s="45" t="n">
        <f aca="false">INDEX('Transition Stepwise'!$J$2:$J$1137,MATCH(F1169,'Transition Stepwise'!$E$2:$E$1137,0))</f>
        <v>0.7</v>
      </c>
      <c r="H1169" s="45" t="n">
        <f aca="false">INDEX(Background!$D$12:$D$27,MATCH(C1169&amp;D1169,Background!$E$12:$E$27,0))</f>
        <v>0.194530046224961</v>
      </c>
      <c r="I1169" s="49" t="n">
        <f aca="false">LN(G1169/H1169)</f>
        <v>1.28049370460989</v>
      </c>
    </row>
    <row r="1170" customFormat="false" ht="15" hidden="false" customHeight="true" outlineLevel="0" collapsed="false">
      <c r="A1170" s="38" t="s">
        <v>855</v>
      </c>
      <c r="B1170" s="38" t="n">
        <v>33</v>
      </c>
      <c r="C1170" s="38" t="s">
        <v>171</v>
      </c>
      <c r="D1170" s="38" t="s">
        <v>171</v>
      </c>
      <c r="E1170" s="38" t="s">
        <v>875</v>
      </c>
      <c r="F1170" s="38" t="str">
        <f aca="false">B1170&amp;"|"&amp;C1170&amp;"|"&amp;D1170</f>
        <v>33|U|U</v>
      </c>
      <c r="G1170" s="45" t="n">
        <f aca="false">INDEX('Transition Stepwise'!$J$2:$J$1137,MATCH(F1170,'Transition Stepwise'!$E$2:$E$1137,0))</f>
        <v>0.293532338308458</v>
      </c>
      <c r="H1170" s="45" t="n">
        <f aca="false">INDEX(Background!$D$12:$D$27,MATCH(C1170&amp;D1170,Background!$E$12:$E$27,0))</f>
        <v>0.220480320213476</v>
      </c>
      <c r="I1170" s="49" t="n">
        <f aca="false">LN(G1170/H1170)</f>
        <v>0.2861793746575</v>
      </c>
    </row>
    <row r="1171" customFormat="false" ht="15" hidden="false" customHeight="true" outlineLevel="0" collapsed="false">
      <c r="A1171" s="38" t="s">
        <v>855</v>
      </c>
      <c r="B1171" s="38" t="n">
        <v>34</v>
      </c>
      <c r="C1171" s="38" t="s">
        <v>171</v>
      </c>
      <c r="D1171" s="38" t="s">
        <v>171</v>
      </c>
      <c r="E1171" s="38" t="s">
        <v>875</v>
      </c>
      <c r="F1171" s="38" t="str">
        <f aca="false">B1171&amp;"|"&amp;C1171&amp;"|"&amp;D1171</f>
        <v>34|U|U</v>
      </c>
      <c r="G1171" s="45" t="n">
        <f aca="false">INDEX('Transition Stepwise'!$J$2:$J$1137,MATCH(F1171,'Transition Stepwise'!$E$2:$E$1137,0))</f>
        <v>0.17741935483871</v>
      </c>
      <c r="H1171" s="45" t="n">
        <f aca="false">INDEX(Background!$D$12:$D$27,MATCH(C1171&amp;D1171,Background!$E$12:$E$27,0))</f>
        <v>0.220480320213476</v>
      </c>
      <c r="I1171" s="49" t="n">
        <f aca="false">LN(G1171/H1171)</f>
        <v>-0.217292273435864</v>
      </c>
    </row>
    <row r="1172" customFormat="false" ht="15" hidden="false" customHeight="true" outlineLevel="0" collapsed="false">
      <c r="A1172" s="38" t="s">
        <v>855</v>
      </c>
      <c r="B1172" s="38" t="n">
        <v>35</v>
      </c>
      <c r="C1172" s="38" t="s">
        <v>171</v>
      </c>
      <c r="D1172" s="38" t="s">
        <v>172</v>
      </c>
      <c r="E1172" s="38" t="s">
        <v>875</v>
      </c>
      <c r="F1172" s="38" t="str">
        <f aca="false">B1172&amp;"|"&amp;C1172&amp;"|"&amp;D1172</f>
        <v>35|U|A</v>
      </c>
      <c r="G1172" s="45" t="n">
        <f aca="false">INDEX('Transition Stepwise'!$J$2:$J$1137,MATCH(F1172,'Transition Stepwise'!$E$2:$E$1137,0))</f>
        <v>0.177777777777778</v>
      </c>
      <c r="H1172" s="45" t="n">
        <f aca="false">INDEX(Background!$D$12:$D$27,MATCH(C1172&amp;D1172,Background!$E$12:$E$27,0))</f>
        <v>0.180787191460974</v>
      </c>
      <c r="I1172" s="49" t="n">
        <f aca="false">LN(G1172/H1172)</f>
        <v>-0.016786270867587</v>
      </c>
    </row>
    <row r="1173" customFormat="false" ht="15" hidden="false" customHeight="true" outlineLevel="0" collapsed="false">
      <c r="A1173" s="38" t="s">
        <v>855</v>
      </c>
      <c r="B1173" s="38" t="n">
        <v>36</v>
      </c>
      <c r="C1173" s="38" t="s">
        <v>172</v>
      </c>
      <c r="D1173" s="38" t="s">
        <v>172</v>
      </c>
      <c r="E1173" s="38" t="s">
        <v>875</v>
      </c>
      <c r="F1173" s="38" t="str">
        <f aca="false">B1173&amp;"|"&amp;C1173&amp;"|"&amp;D1173</f>
        <v>36|A|A</v>
      </c>
      <c r="G1173" s="45" t="n">
        <f aca="false">INDEX('Transition Stepwise'!$J$2:$J$1137,MATCH(F1173,'Transition Stepwise'!$E$2:$E$1137,0))</f>
        <v>0.553191489361702</v>
      </c>
      <c r="H1173" s="45" t="n">
        <f aca="false">INDEX(Background!$D$12:$D$27,MATCH(C1173&amp;D1173,Background!$E$12:$E$27,0))</f>
        <v>0.219568567026194</v>
      </c>
      <c r="I1173" s="49" t="n">
        <f aca="false">LN(G1173/H1173)</f>
        <v>0.924039653306808</v>
      </c>
    </row>
    <row r="1174" customFormat="false" ht="15" hidden="false" customHeight="true" outlineLevel="0" collapsed="false">
      <c r="A1174" s="38" t="s">
        <v>855</v>
      </c>
      <c r="B1174" s="38" t="n">
        <v>37</v>
      </c>
      <c r="C1174" s="38" t="s">
        <v>172</v>
      </c>
      <c r="D1174" s="38" t="s">
        <v>171</v>
      </c>
      <c r="E1174" s="38" t="s">
        <v>875</v>
      </c>
      <c r="F1174" s="38" t="str">
        <f aca="false">B1174&amp;"|"&amp;C1174&amp;"|"&amp;D1174</f>
        <v>37|A|U</v>
      </c>
      <c r="G1174" s="45" t="n">
        <f aca="false">INDEX('Transition Stepwise'!$J$2:$J$1137,MATCH(F1174,'Transition Stepwise'!$E$2:$E$1137,0))</f>
        <v>0.0974025974025974</v>
      </c>
      <c r="H1174" s="45" t="n">
        <f aca="false">INDEX(Background!$D$12:$D$27,MATCH(C1174&amp;D1174,Background!$E$12:$E$27,0))</f>
        <v>0.194530046224961</v>
      </c>
      <c r="I1174" s="49" t="n">
        <f aca="false">LN(G1174/H1174)</f>
        <v>-0.691733752762798</v>
      </c>
    </row>
    <row r="1175" customFormat="false" ht="15" hidden="false" customHeight="true" outlineLevel="0" collapsed="false">
      <c r="A1175" s="38" t="s">
        <v>855</v>
      </c>
      <c r="B1175" s="38" t="n">
        <v>38</v>
      </c>
      <c r="C1175" s="38" t="s">
        <v>171</v>
      </c>
      <c r="D1175" s="38" t="s">
        <v>172</v>
      </c>
      <c r="E1175" s="38" t="s">
        <v>875</v>
      </c>
      <c r="F1175" s="38" t="str">
        <f aca="false">B1175&amp;"|"&amp;C1175&amp;"|"&amp;D1175</f>
        <v>38|U|A</v>
      </c>
      <c r="G1175" s="45" t="n">
        <f aca="false">INDEX('Transition Stepwise'!$J$2:$J$1137,MATCH(F1175,'Transition Stepwise'!$E$2:$E$1137,0))</f>
        <v>0.111111111111111</v>
      </c>
      <c r="H1175" s="45" t="n">
        <f aca="false">INDEX(Background!$D$12:$D$27,MATCH(C1175&amp;D1175,Background!$E$12:$E$27,0))</f>
        <v>0.180787191460974</v>
      </c>
      <c r="I1175" s="49" t="n">
        <f aca="false">LN(G1175/H1175)</f>
        <v>-0.486789900113323</v>
      </c>
    </row>
    <row r="1176" customFormat="false" ht="15" hidden="false" customHeight="true" outlineLevel="0" collapsed="false">
      <c r="A1176" s="38" t="s">
        <v>855</v>
      </c>
      <c r="B1176" s="38" t="n">
        <v>39</v>
      </c>
      <c r="C1176" s="38" t="s">
        <v>172</v>
      </c>
      <c r="D1176" s="38" t="s">
        <v>172</v>
      </c>
      <c r="E1176" s="38" t="s">
        <v>875</v>
      </c>
      <c r="F1176" s="38" t="str">
        <f aca="false">B1176&amp;"|"&amp;C1176&amp;"|"&amp;D1176</f>
        <v>39|A|A</v>
      </c>
      <c r="G1176" s="45" t="n">
        <f aca="false">INDEX('Transition Stepwise'!$J$2:$J$1137,MATCH(F1176,'Transition Stepwise'!$E$2:$E$1137,0))</f>
        <v>0.0454545454545455</v>
      </c>
      <c r="H1176" s="45" t="n">
        <f aca="false">INDEX(Background!$D$12:$D$27,MATCH(C1176&amp;D1176,Background!$E$12:$E$27,0))</f>
        <v>0.219568567026194</v>
      </c>
      <c r="I1176" s="49" t="n">
        <f aca="false">LN(G1176/H1176)</f>
        <v>-1.57495173636293</v>
      </c>
    </row>
    <row r="1177" customFormat="false" ht="15" hidden="false" customHeight="true" outlineLevel="0" collapsed="false">
      <c r="A1177" s="38" t="s">
        <v>855</v>
      </c>
      <c r="B1177" s="38" t="n">
        <v>40</v>
      </c>
      <c r="C1177" s="38" t="s">
        <v>172</v>
      </c>
      <c r="D1177" s="38" t="s">
        <v>171</v>
      </c>
      <c r="E1177" s="38" t="s">
        <v>875</v>
      </c>
      <c r="F1177" s="38" t="str">
        <f aca="false">B1177&amp;"|"&amp;C1177&amp;"|"&amp;D1177</f>
        <v>40|A|U</v>
      </c>
      <c r="G1177" s="45" t="n">
        <f aca="false">INDEX('Transition Stepwise'!$J$2:$J$1137,MATCH(F1177,'Transition Stepwise'!$E$2:$E$1137,0))</f>
        <v>0.2</v>
      </c>
      <c r="H1177" s="45" t="n">
        <f aca="false">INDEX(Background!$D$12:$D$27,MATCH(C1177&amp;D1177,Background!$E$12:$E$27,0))</f>
        <v>0.194530046224961</v>
      </c>
      <c r="I1177" s="49" t="n">
        <f aca="false">LN(G1177/H1177)</f>
        <v>0.0277307361145204</v>
      </c>
    </row>
    <row r="1178" customFormat="false" ht="15" hidden="false" customHeight="true" outlineLevel="0" collapsed="false">
      <c r="A1178" s="38" t="s">
        <v>855</v>
      </c>
      <c r="B1178" s="38" t="n">
        <v>41</v>
      </c>
      <c r="C1178" s="38" t="s">
        <v>171</v>
      </c>
      <c r="D1178" s="38" t="s">
        <v>169</v>
      </c>
      <c r="E1178" s="38" t="s">
        <v>875</v>
      </c>
      <c r="F1178" s="38" t="str">
        <f aca="false">B1178&amp;"|"&amp;C1178&amp;"|"&amp;D1178</f>
        <v>41|U|G</v>
      </c>
      <c r="G1178" s="45" t="n">
        <f aca="false">INDEX('Transition Stepwise'!$J$2:$J$1137,MATCH(F1178,'Transition Stepwise'!$E$2:$E$1137,0))</f>
        <v>0.513513513513514</v>
      </c>
      <c r="H1178" s="45" t="n">
        <f aca="false">INDEX(Background!$D$12:$D$27,MATCH(C1178&amp;D1178,Background!$E$12:$E$27,0))</f>
        <v>0.221480987324883</v>
      </c>
      <c r="I1178" s="49" t="n">
        <f aca="false">LN(G1178/H1178)</f>
        <v>0.840939595708325</v>
      </c>
    </row>
    <row r="1179" customFormat="false" ht="15" hidden="false" customHeight="true" outlineLevel="0" collapsed="false">
      <c r="A1179" s="38" t="s">
        <v>855</v>
      </c>
      <c r="B1179" s="38" t="n">
        <v>42</v>
      </c>
      <c r="C1179" s="38" t="s">
        <v>169</v>
      </c>
      <c r="D1179" s="38" t="s">
        <v>171</v>
      </c>
      <c r="E1179" s="38" t="s">
        <v>875</v>
      </c>
      <c r="F1179" s="38" t="str">
        <f aca="false">B1179&amp;"|"&amp;C1179&amp;"|"&amp;D1179</f>
        <v>42|G|U</v>
      </c>
      <c r="G1179" s="45" t="n">
        <f aca="false">INDEX('Transition Stepwise'!$J$2:$J$1137,MATCH(F1179,'Transition Stepwise'!$E$2:$E$1137,0))</f>
        <v>0.192660550458716</v>
      </c>
      <c r="H1179" s="45" t="n">
        <f aca="false">INDEX(Background!$D$12:$D$27,MATCH(C1179&amp;D1179,Background!$E$12:$E$27,0))</f>
        <v>0.234763476347635</v>
      </c>
      <c r="I1179" s="49" t="n">
        <f aca="false">LN(G1179/H1179)</f>
        <v>-0.197648689195895</v>
      </c>
    </row>
    <row r="1180" customFormat="false" ht="15" hidden="false" customHeight="true" outlineLevel="0" collapsed="false">
      <c r="A1180" s="38" t="s">
        <v>855</v>
      </c>
      <c r="B1180" s="38" t="n">
        <v>43</v>
      </c>
      <c r="C1180" s="38" t="s">
        <v>171</v>
      </c>
      <c r="D1180" s="38" t="s">
        <v>172</v>
      </c>
      <c r="E1180" s="38" t="s">
        <v>875</v>
      </c>
      <c r="F1180" s="38" t="str">
        <f aca="false">B1180&amp;"|"&amp;C1180&amp;"|"&amp;D1180</f>
        <v>43|U|A</v>
      </c>
      <c r="G1180" s="45" t="n">
        <f aca="false">INDEX('Transition Stepwise'!$J$2:$J$1137,MATCH(F1180,'Transition Stepwise'!$E$2:$E$1137,0))</f>
        <v>0.444444444444444</v>
      </c>
      <c r="H1180" s="45" t="n">
        <f aca="false">INDEX(Background!$D$12:$D$27,MATCH(C1180&amp;D1180,Background!$E$12:$E$27,0))</f>
        <v>0.180787191460974</v>
      </c>
      <c r="I1180" s="49" t="n">
        <f aca="false">LN(G1180/H1180)</f>
        <v>0.899504461006568</v>
      </c>
    </row>
    <row r="1181" customFormat="false" ht="15" hidden="false" customHeight="true" outlineLevel="0" collapsed="false">
      <c r="A1181" s="38" t="s">
        <v>855</v>
      </c>
      <c r="B1181" s="38" t="n">
        <v>44</v>
      </c>
      <c r="C1181" s="38" t="s">
        <v>172</v>
      </c>
      <c r="D1181" s="38" t="s">
        <v>171</v>
      </c>
      <c r="E1181" s="38" t="s">
        <v>875</v>
      </c>
      <c r="F1181" s="38" t="str">
        <f aca="false">B1181&amp;"|"&amp;C1181&amp;"|"&amp;D1181</f>
        <v>44|A|U</v>
      </c>
      <c r="G1181" s="45" t="n">
        <f aca="false">INDEX('Transition Stepwise'!$J$2:$J$1137,MATCH(F1181,'Transition Stepwise'!$E$2:$E$1137,0))</f>
        <v>0.0980392156862745</v>
      </c>
      <c r="H1181" s="45" t="n">
        <f aca="false">INDEX(Background!$D$12:$D$27,MATCH(C1181&amp;D1181,Background!$E$12:$E$27,0))</f>
        <v>0.194530046224961</v>
      </c>
      <c r="I1181" s="49" t="n">
        <f aca="false">LN(G1181/H1181)</f>
        <v>-0.685219071741605</v>
      </c>
    </row>
    <row r="1182" customFormat="false" ht="15" hidden="false" customHeight="true" outlineLevel="0" collapsed="false">
      <c r="A1182" s="38" t="s">
        <v>855</v>
      </c>
      <c r="B1182" s="38" t="n">
        <v>45</v>
      </c>
      <c r="C1182" s="38" t="s">
        <v>171</v>
      </c>
      <c r="D1182" s="38" t="s">
        <v>176</v>
      </c>
      <c r="E1182" s="40" t="s">
        <v>876</v>
      </c>
      <c r="F1182" s="38"/>
      <c r="G1182" s="38"/>
      <c r="H1182" s="38"/>
      <c r="I1182" s="38"/>
    </row>
    <row r="1183" customFormat="false" ht="15" hidden="false" customHeight="true" outlineLevel="0" collapsed="false">
      <c r="A1183" s="38" t="s">
        <v>855</v>
      </c>
      <c r="B1183" s="38" t="n">
        <v>46</v>
      </c>
      <c r="C1183" s="38" t="s">
        <v>176</v>
      </c>
      <c r="D1183" s="38" t="s">
        <v>169</v>
      </c>
      <c r="E1183" s="40" t="s">
        <v>876</v>
      </c>
      <c r="F1183" s="38"/>
      <c r="G1183" s="38"/>
      <c r="H1183" s="38"/>
      <c r="I1183" s="38"/>
    </row>
    <row r="1184" customFormat="false" ht="15" hidden="false" customHeight="true" outlineLevel="0" collapsed="false">
      <c r="A1184" s="38" t="s">
        <v>855</v>
      </c>
      <c r="B1184" s="38" t="n">
        <v>47</v>
      </c>
      <c r="C1184" s="38" t="s">
        <v>169</v>
      </c>
      <c r="D1184" s="38" t="s">
        <v>169</v>
      </c>
      <c r="E1184" s="38" t="s">
        <v>875</v>
      </c>
      <c r="F1184" s="38" t="str">
        <f aca="false">B1184&amp;"|"&amp;C1184&amp;"|"&amp;D1184</f>
        <v>47|G|G</v>
      </c>
      <c r="G1184" s="45" t="n">
        <f aca="false">INDEX('Transition Stepwise'!$J$2:$J$1137,MATCH(F1184,'Transition Stepwise'!$E$2:$E$1137,0))</f>
        <v>0.05</v>
      </c>
      <c r="H1184" s="45" t="n">
        <f aca="false">INDEX(Background!$D$12:$D$27,MATCH(C1184&amp;D1184,Background!$E$12:$E$27,0))</f>
        <v>0.344774477447745</v>
      </c>
      <c r="I1184" s="49" t="n">
        <f aca="false">LN(G1184/H1184)</f>
        <v>-1.93086750929843</v>
      </c>
    </row>
    <row r="1185" customFormat="false" ht="15" hidden="false" customHeight="true" outlineLevel="0" collapsed="false">
      <c r="A1185" s="38" t="s">
        <v>855</v>
      </c>
      <c r="B1185" s="38" t="n">
        <v>48</v>
      </c>
      <c r="C1185" s="38" t="s">
        <v>169</v>
      </c>
      <c r="D1185" s="38" t="s">
        <v>172</v>
      </c>
      <c r="E1185" s="38" t="s">
        <v>875</v>
      </c>
      <c r="F1185" s="38" t="str">
        <f aca="false">B1185&amp;"|"&amp;C1185&amp;"|"&amp;D1185</f>
        <v>48|G|A</v>
      </c>
      <c r="G1185" s="45" t="n">
        <f aca="false">INDEX('Transition Stepwise'!$J$2:$J$1137,MATCH(F1185,'Transition Stepwise'!$E$2:$E$1137,0))</f>
        <v>0.166666666666667</v>
      </c>
      <c r="H1185" s="45" t="n">
        <f aca="false">INDEX(Background!$D$12:$D$27,MATCH(C1185&amp;D1185,Background!$E$12:$E$27,0))</f>
        <v>0.164356435643564</v>
      </c>
      <c r="I1185" s="49" t="n">
        <f aca="false">LN(G1185/H1185)</f>
        <v>0.0139583522507069</v>
      </c>
    </row>
    <row r="1186" customFormat="false" ht="15" hidden="false" customHeight="true" outlineLevel="0" collapsed="false">
      <c r="A1186" s="38" t="s">
        <v>855</v>
      </c>
      <c r="B1186" s="38" t="n">
        <v>49</v>
      </c>
      <c r="C1186" s="38" t="s">
        <v>172</v>
      </c>
      <c r="D1186" s="38" t="s">
        <v>172</v>
      </c>
      <c r="E1186" s="38" t="s">
        <v>875</v>
      </c>
      <c r="F1186" s="38" t="str">
        <f aca="false">B1186&amp;"|"&amp;C1186&amp;"|"&amp;D1186</f>
        <v>49|A|A</v>
      </c>
      <c r="G1186" s="45" t="n">
        <f aca="false">INDEX('Transition Stepwise'!$J$2:$J$1137,MATCH(F1186,'Transition Stepwise'!$E$2:$E$1137,0))</f>
        <v>0.0857142857142857</v>
      </c>
      <c r="H1186" s="45" t="n">
        <f aca="false">INDEX(Background!$D$12:$D$27,MATCH(C1186&amp;D1186,Background!$E$12:$E$27,0))</f>
        <v>0.219568567026194</v>
      </c>
      <c r="I1186" s="49" t="n">
        <f aca="false">LN(G1186/H1186)</f>
        <v>-0.940645055825919</v>
      </c>
    </row>
    <row r="1187" customFormat="false" ht="15" hidden="false" customHeight="true" outlineLevel="0" collapsed="false">
      <c r="A1187" s="38" t="s">
        <v>855</v>
      </c>
      <c r="B1187" s="38" t="n">
        <v>50</v>
      </c>
      <c r="C1187" s="38" t="s">
        <v>172</v>
      </c>
      <c r="D1187" s="38" t="s">
        <v>172</v>
      </c>
      <c r="E1187" s="38" t="s">
        <v>875</v>
      </c>
      <c r="F1187" s="38" t="str">
        <f aca="false">B1187&amp;"|"&amp;C1187&amp;"|"&amp;D1187</f>
        <v>50|A|A</v>
      </c>
      <c r="G1187" s="45" t="n">
        <f aca="false">INDEX('Transition Stepwise'!$J$2:$J$1137,MATCH(F1187,'Transition Stepwise'!$E$2:$E$1137,0))</f>
        <v>0.148148148148148</v>
      </c>
      <c r="H1187" s="45" t="n">
        <f aca="false">INDEX(Background!$D$12:$D$27,MATCH(C1187&amp;D1187,Background!$E$12:$E$27,0))</f>
        <v>0.219568567026194</v>
      </c>
      <c r="I1187" s="49" t="n">
        <f aca="false">LN(G1187/H1187)</f>
        <v>-0.393451787889054</v>
      </c>
    </row>
    <row r="1188" customFormat="false" ht="15" hidden="false" customHeight="true" outlineLevel="0" collapsed="false">
      <c r="A1188" s="38" t="s">
        <v>855</v>
      </c>
      <c r="B1188" s="38" t="n">
        <v>51</v>
      </c>
      <c r="C1188" s="38" t="s">
        <v>172</v>
      </c>
      <c r="D1188" s="38" t="s">
        <v>169</v>
      </c>
      <c r="E1188" s="38" t="s">
        <v>875</v>
      </c>
      <c r="F1188" s="38" t="str">
        <f aca="false">B1188&amp;"|"&amp;C1188&amp;"|"&amp;D1188</f>
        <v>51|A|G</v>
      </c>
      <c r="G1188" s="45" t="n">
        <f aca="false">INDEX('Transition Stepwise'!$J$2:$J$1137,MATCH(F1188,'Transition Stepwise'!$E$2:$E$1137,0))</f>
        <v>0.875</v>
      </c>
      <c r="H1188" s="45" t="n">
        <f aca="false">INDEX(Background!$D$12:$D$27,MATCH(C1188&amp;D1188,Background!$E$12:$E$27,0))</f>
        <v>0.424884437596302</v>
      </c>
      <c r="I1188" s="49" t="n">
        <f aca="false">LN(G1188/H1188)</f>
        <v>0.722406665945955</v>
      </c>
    </row>
    <row r="1189" customFormat="false" ht="15" hidden="false" customHeight="true" outlineLevel="0" collapsed="false">
      <c r="A1189" s="38" t="s">
        <v>855</v>
      </c>
      <c r="B1189" s="38" t="n">
        <v>52</v>
      </c>
      <c r="C1189" s="38" t="s">
        <v>169</v>
      </c>
      <c r="D1189" s="38" t="s">
        <v>169</v>
      </c>
      <c r="E1189" s="38" t="s">
        <v>875</v>
      </c>
      <c r="F1189" s="38" t="str">
        <f aca="false">B1189&amp;"|"&amp;C1189&amp;"|"&amp;D1189</f>
        <v>52|G|G</v>
      </c>
      <c r="G1189" s="45" t="n">
        <f aca="false">INDEX('Transition Stepwise'!$J$2:$J$1137,MATCH(F1189,'Transition Stepwise'!$E$2:$E$1137,0))</f>
        <v>0.964912280701754</v>
      </c>
      <c r="H1189" s="45" t="n">
        <f aca="false">INDEX(Background!$D$12:$D$27,MATCH(C1189&amp;D1189,Background!$E$12:$E$27,0))</f>
        <v>0.344774477447745</v>
      </c>
      <c r="I1189" s="49" t="n">
        <f aca="false">LN(G1189/H1189)</f>
        <v>1.02914668165348</v>
      </c>
    </row>
    <row r="1190" customFormat="false" ht="15" hidden="false" customHeight="true" outlineLevel="0" collapsed="false">
      <c r="A1190" s="38" t="s">
        <v>855</v>
      </c>
      <c r="B1190" s="38" t="n">
        <v>53</v>
      </c>
      <c r="C1190" s="38" t="s">
        <v>169</v>
      </c>
      <c r="D1190" s="38" t="s">
        <v>172</v>
      </c>
      <c r="E1190" s="38" t="s">
        <v>875</v>
      </c>
      <c r="F1190" s="38" t="str">
        <f aca="false">B1190&amp;"|"&amp;C1190&amp;"|"&amp;D1190</f>
        <v>53|G|A</v>
      </c>
      <c r="G1190" s="45" t="n">
        <f aca="false">INDEX('Transition Stepwise'!$J$2:$J$1137,MATCH(F1190,'Transition Stepwise'!$E$2:$E$1137,0))</f>
        <v>0.0150753768844221</v>
      </c>
      <c r="H1190" s="45" t="n">
        <f aca="false">INDEX(Background!$D$12:$D$27,MATCH(C1190&amp;D1190,Background!$E$12:$E$27,0))</f>
        <v>0.164356435643564</v>
      </c>
      <c r="I1190" s="49" t="n">
        <f aca="false">LN(G1190/H1190)</f>
        <v>-2.38897471457762</v>
      </c>
    </row>
    <row r="1191" customFormat="false" ht="15" hidden="false" customHeight="true" outlineLevel="0" collapsed="false">
      <c r="A1191" s="38" t="s">
        <v>855</v>
      </c>
      <c r="B1191" s="38" t="n">
        <v>54</v>
      </c>
      <c r="C1191" s="38" t="s">
        <v>172</v>
      </c>
      <c r="D1191" s="38" t="s">
        <v>171</v>
      </c>
      <c r="E1191" s="38" t="s">
        <v>875</v>
      </c>
      <c r="F1191" s="38" t="str">
        <f aca="false">B1191&amp;"|"&amp;C1191&amp;"|"&amp;D1191</f>
        <v>54|A|U</v>
      </c>
      <c r="G1191" s="45" t="n">
        <f aca="false">INDEX('Transition Stepwise'!$J$2:$J$1137,MATCH(F1191,'Transition Stepwise'!$E$2:$E$1137,0))</f>
        <v>0.5</v>
      </c>
      <c r="H1191" s="45" t="n">
        <f aca="false">INDEX(Background!$D$12:$D$27,MATCH(C1191&amp;D1191,Background!$E$12:$E$27,0))</f>
        <v>0.194530046224961</v>
      </c>
      <c r="I1191" s="49" t="n">
        <f aca="false">LN(G1191/H1191)</f>
        <v>0.944021467988676</v>
      </c>
    </row>
    <row r="1192" customFormat="false" ht="15" hidden="false" customHeight="true" outlineLevel="0" collapsed="false">
      <c r="A1192" s="38" t="s">
        <v>855</v>
      </c>
      <c r="B1192" s="38" t="n">
        <v>55</v>
      </c>
      <c r="C1192" s="38" t="s">
        <v>171</v>
      </c>
      <c r="D1192" s="38" t="s">
        <v>170</v>
      </c>
      <c r="E1192" s="38" t="s">
        <v>875</v>
      </c>
      <c r="F1192" s="38" t="str">
        <f aca="false">B1192&amp;"|"&amp;C1192&amp;"|"&amp;D1192</f>
        <v>55|U|C</v>
      </c>
      <c r="G1192" s="45" t="n">
        <f aca="false">INDEX('Transition Stepwise'!$J$2:$J$1137,MATCH(F1192,'Transition Stepwise'!$E$2:$E$1137,0))</f>
        <v>0.975</v>
      </c>
      <c r="H1192" s="45" t="n">
        <f aca="false">INDEX(Background!$D$12:$D$27,MATCH(C1192&amp;D1192,Background!$E$12:$E$27,0))</f>
        <v>0.377251501000667</v>
      </c>
      <c r="I1192" s="49" t="n">
        <f aca="false">LN(G1192/H1192)</f>
        <v>0.949525394562133</v>
      </c>
    </row>
    <row r="1193" customFormat="false" ht="15" hidden="false" customHeight="true" outlineLevel="0" collapsed="false">
      <c r="A1193" s="38" t="s">
        <v>855</v>
      </c>
      <c r="B1193" s="38" t="n">
        <v>56</v>
      </c>
      <c r="C1193" s="38" t="s">
        <v>170</v>
      </c>
      <c r="D1193" s="38" t="s">
        <v>169</v>
      </c>
      <c r="E1193" s="38" t="s">
        <v>875</v>
      </c>
      <c r="F1193" s="38" t="str">
        <f aca="false">B1193&amp;"|"&amp;C1193&amp;"|"&amp;D1193</f>
        <v>56|C|G</v>
      </c>
      <c r="G1193" s="45" t="n">
        <f aca="false">INDEX('Transition Stepwise'!$J$2:$J$1137,MATCH(F1193,'Transition Stepwise'!$E$2:$E$1137,0))</f>
        <v>0.608040201005025</v>
      </c>
      <c r="H1193" s="45" t="n">
        <f aca="false">INDEX(Background!$D$12:$D$27,MATCH(C1193&amp;D1193,Background!$E$12:$E$27,0))</f>
        <v>0.296413502109705</v>
      </c>
      <c r="I1193" s="49" t="n">
        <f aca="false">LN(G1193/H1193)</f>
        <v>0.718485553793525</v>
      </c>
    </row>
    <row r="1194" customFormat="false" ht="15" hidden="false" customHeight="true" outlineLevel="0" collapsed="false">
      <c r="A1194" s="38" t="s">
        <v>855</v>
      </c>
      <c r="B1194" s="38" t="n">
        <v>57</v>
      </c>
      <c r="C1194" s="38" t="s">
        <v>169</v>
      </c>
      <c r="D1194" s="38" t="s">
        <v>171</v>
      </c>
      <c r="E1194" s="38" t="s">
        <v>875</v>
      </c>
      <c r="F1194" s="38" t="str">
        <f aca="false">B1194&amp;"|"&amp;C1194&amp;"|"&amp;D1194</f>
        <v>57|G|U</v>
      </c>
      <c r="G1194" s="45" t="n">
        <f aca="false">INDEX('Transition Stepwise'!$J$2:$J$1137,MATCH(F1194,'Transition Stepwise'!$E$2:$E$1137,0))</f>
        <v>0.008</v>
      </c>
      <c r="H1194" s="45" t="n">
        <f aca="false">INDEX(Background!$D$12:$D$27,MATCH(C1194&amp;D1194,Background!$E$12:$E$27,0))</f>
        <v>0.234763476347635</v>
      </c>
      <c r="I1194" s="49" t="n">
        <f aca="false">LN(G1194/H1194)</f>
        <v>-3.37913698199248</v>
      </c>
    </row>
    <row r="1195" customFormat="false" ht="15" hidden="false" customHeight="true" outlineLevel="0" collapsed="false">
      <c r="A1195" s="38" t="s">
        <v>855</v>
      </c>
      <c r="B1195" s="38" t="n">
        <v>58</v>
      </c>
      <c r="C1195" s="38" t="s">
        <v>171</v>
      </c>
      <c r="D1195" s="38" t="s">
        <v>170</v>
      </c>
      <c r="E1195" s="38" t="s">
        <v>875</v>
      </c>
      <c r="F1195" s="38" t="str">
        <f aca="false">B1195&amp;"|"&amp;C1195&amp;"|"&amp;D1195</f>
        <v>58|U|C</v>
      </c>
      <c r="G1195" s="45" t="n">
        <f aca="false">INDEX('Transition Stepwise'!$J$2:$J$1137,MATCH(F1195,'Transition Stepwise'!$E$2:$E$1137,0))</f>
        <v>0.4</v>
      </c>
      <c r="H1195" s="45" t="n">
        <f aca="false">INDEX(Background!$D$12:$D$27,MATCH(C1195&amp;D1195,Background!$E$12:$E$27,0))</f>
        <v>0.377251501000667</v>
      </c>
      <c r="I1195" s="49" t="n">
        <f aca="false">LN(G1195/H1195)</f>
        <v>0.0585524706722676</v>
      </c>
    </row>
    <row r="1196" customFormat="false" ht="15" hidden="false" customHeight="true" outlineLevel="0" collapsed="false">
      <c r="A1196" s="38" t="s">
        <v>855</v>
      </c>
      <c r="B1196" s="38" t="n">
        <v>59</v>
      </c>
      <c r="C1196" s="38" t="s">
        <v>170</v>
      </c>
      <c r="D1196" s="38" t="s">
        <v>171</v>
      </c>
      <c r="E1196" s="38" t="s">
        <v>875</v>
      </c>
      <c r="F1196" s="38" t="str">
        <f aca="false">B1196&amp;"|"&amp;C1196&amp;"|"&amp;D1196</f>
        <v>59|C|U</v>
      </c>
      <c r="G1196" s="45" t="n">
        <f aca="false">INDEX('Transition Stepwise'!$J$2:$J$1137,MATCH(F1196,'Transition Stepwise'!$E$2:$E$1137,0))</f>
        <v>0.5625</v>
      </c>
      <c r="H1196" s="45" t="n">
        <f aca="false">INDEX(Background!$D$12:$D$27,MATCH(C1196&amp;D1196,Background!$E$12:$E$27,0))</f>
        <v>0.196466244725738</v>
      </c>
      <c r="I1196" s="49" t="n">
        <f aca="false">LN(G1196/H1196)</f>
        <v>1.05190050009179</v>
      </c>
    </row>
    <row r="1197" customFormat="false" ht="15" hidden="false" customHeight="true" outlineLevel="0" collapsed="false">
      <c r="A1197" s="38" t="s">
        <v>855</v>
      </c>
      <c r="B1197" s="38" t="n">
        <v>60</v>
      </c>
      <c r="C1197" s="38" t="s">
        <v>171</v>
      </c>
      <c r="D1197" s="38" t="s">
        <v>170</v>
      </c>
      <c r="E1197" s="38" t="s">
        <v>875</v>
      </c>
      <c r="F1197" s="38" t="str">
        <f aca="false">B1197&amp;"|"&amp;C1197&amp;"|"&amp;D1197</f>
        <v>60|U|C</v>
      </c>
      <c r="G1197" s="45" t="n">
        <f aca="false">INDEX('Transition Stepwise'!$J$2:$J$1137,MATCH(F1197,'Transition Stepwise'!$E$2:$E$1137,0))</f>
        <v>0.975</v>
      </c>
      <c r="H1197" s="45" t="n">
        <f aca="false">INDEX(Background!$D$12:$D$27,MATCH(C1197&amp;D1197,Background!$E$12:$E$27,0))</f>
        <v>0.377251501000667</v>
      </c>
      <c r="I1197" s="49" t="n">
        <f aca="false">LN(G1197/H1197)</f>
        <v>0.949525394562133</v>
      </c>
    </row>
    <row r="1198" customFormat="false" ht="15" hidden="false" customHeight="true" outlineLevel="0" collapsed="false">
      <c r="A1198" s="38" t="s">
        <v>855</v>
      </c>
      <c r="B1198" s="38" t="n">
        <v>61</v>
      </c>
      <c r="C1198" s="38" t="s">
        <v>170</v>
      </c>
      <c r="D1198" s="38" t="s">
        <v>171</v>
      </c>
      <c r="E1198" s="38" t="s">
        <v>875</v>
      </c>
      <c r="F1198" s="38" t="str">
        <f aca="false">B1198&amp;"|"&amp;C1198&amp;"|"&amp;D1198</f>
        <v>61|C|U</v>
      </c>
      <c r="G1198" s="45" t="n">
        <f aca="false">INDEX('Transition Stepwise'!$J$2:$J$1137,MATCH(F1198,'Transition Stepwise'!$E$2:$E$1137,0))</f>
        <v>0.129353233830846</v>
      </c>
      <c r="H1198" s="45" t="n">
        <f aca="false">INDEX(Background!$D$12:$D$27,MATCH(C1198&amp;D1198,Background!$E$12:$E$27,0))</f>
        <v>0.196466244725738</v>
      </c>
      <c r="I1198" s="49" t="n">
        <f aca="false">LN(G1198/H1198)</f>
        <v>-0.417943725042241</v>
      </c>
    </row>
    <row r="1199" customFormat="false" ht="15" hidden="false" customHeight="true" outlineLevel="0" collapsed="false">
      <c r="A1199" s="38" t="s">
        <v>855</v>
      </c>
      <c r="B1199" s="38" t="n">
        <v>62</v>
      </c>
      <c r="C1199" s="38" t="s">
        <v>171</v>
      </c>
      <c r="D1199" s="38" t="s">
        <v>171</v>
      </c>
      <c r="E1199" s="38" t="s">
        <v>875</v>
      </c>
      <c r="F1199" s="38" t="str">
        <f aca="false">B1199&amp;"|"&amp;C1199&amp;"|"&amp;D1199</f>
        <v>62|U|U</v>
      </c>
      <c r="G1199" s="45" t="n">
        <f aca="false">INDEX('Transition Stepwise'!$J$2:$J$1137,MATCH(F1199,'Transition Stepwise'!$E$2:$E$1137,0))</f>
        <v>0.1</v>
      </c>
      <c r="H1199" s="45" t="n">
        <f aca="false">INDEX(Background!$D$12:$D$27,MATCH(C1199&amp;D1199,Background!$E$12:$E$27,0))</f>
        <v>0.220480320213476</v>
      </c>
      <c r="I1199" s="49" t="n">
        <f aca="false">LN(G1199/H1199)</f>
        <v>-0.790638254183189</v>
      </c>
    </row>
    <row r="1200" customFormat="false" ht="15" hidden="false" customHeight="true" outlineLevel="0" collapsed="false">
      <c r="A1200" s="38" t="s">
        <v>855</v>
      </c>
      <c r="B1200" s="38" t="n">
        <v>63</v>
      </c>
      <c r="C1200" s="38" t="s">
        <v>171</v>
      </c>
      <c r="D1200" s="38" t="s">
        <v>171</v>
      </c>
      <c r="E1200" s="38" t="s">
        <v>875</v>
      </c>
      <c r="F1200" s="38" t="str">
        <f aca="false">B1200&amp;"|"&amp;C1200&amp;"|"&amp;D1200</f>
        <v>63|U|U</v>
      </c>
      <c r="G1200" s="45" t="n">
        <f aca="false">INDEX('Transition Stepwise'!$J$2:$J$1137,MATCH(F1200,'Transition Stepwise'!$E$2:$E$1137,0))</f>
        <v>0.138888888888889</v>
      </c>
      <c r="H1200" s="45" t="n">
        <f aca="false">INDEX(Background!$D$12:$D$27,MATCH(C1200&amp;D1200,Background!$E$12:$E$27,0))</f>
        <v>0.220480320213476</v>
      </c>
      <c r="I1200" s="49" t="n">
        <f aca="false">LN(G1200/H1200)</f>
        <v>-0.462134187211153</v>
      </c>
    </row>
    <row r="1201" customFormat="false" ht="15" hidden="false" customHeight="true" outlineLevel="0" collapsed="false">
      <c r="A1201" s="38" t="s">
        <v>855</v>
      </c>
      <c r="B1201" s="38" t="n">
        <v>64</v>
      </c>
      <c r="C1201" s="38" t="s">
        <v>171</v>
      </c>
      <c r="D1201" s="38" t="s">
        <v>171</v>
      </c>
      <c r="E1201" s="38" t="s">
        <v>875</v>
      </c>
      <c r="F1201" s="38" t="str">
        <f aca="false">B1201&amp;"|"&amp;C1201&amp;"|"&amp;D1201</f>
        <v>64|U|U</v>
      </c>
      <c r="G1201" s="45" t="n">
        <f aca="false">INDEX('Transition Stepwise'!$J$2:$J$1137,MATCH(F1201,'Transition Stepwise'!$E$2:$E$1137,0))</f>
        <v>0.297297297297297</v>
      </c>
      <c r="H1201" s="45" t="n">
        <f aca="false">INDEX(Background!$D$12:$D$27,MATCH(C1201&amp;D1201,Background!$E$12:$E$27,0))</f>
        <v>0.220480320213476</v>
      </c>
      <c r="I1201" s="49" t="n">
        <f aca="false">LN(G1201/H1201)</f>
        <v>0.298924198965003</v>
      </c>
    </row>
    <row r="1202" customFormat="false" ht="15" hidden="false" customHeight="true" outlineLevel="0" collapsed="false">
      <c r="A1202" s="38" t="s">
        <v>855</v>
      </c>
      <c r="B1202" s="38" t="n">
        <v>65</v>
      </c>
      <c r="C1202" s="38" t="s">
        <v>171</v>
      </c>
      <c r="D1202" s="38" t="s">
        <v>171</v>
      </c>
      <c r="E1202" s="38" t="s">
        <v>875</v>
      </c>
      <c r="F1202" s="38" t="str">
        <f aca="false">B1202&amp;"|"&amp;C1202&amp;"|"&amp;D1202</f>
        <v>65|U|U</v>
      </c>
      <c r="G1202" s="45" t="n">
        <f aca="false">INDEX('Transition Stepwise'!$J$2:$J$1137,MATCH(F1202,'Transition Stepwise'!$E$2:$E$1137,0))</f>
        <v>0.178082191780822</v>
      </c>
      <c r="H1202" s="45" t="n">
        <f aca="false">INDEX(Background!$D$12:$D$27,MATCH(C1202&amp;D1202,Background!$E$12:$E$27,0))</f>
        <v>0.220480320213476</v>
      </c>
      <c r="I1202" s="49" t="n">
        <f aca="false">LN(G1202/H1202)</f>
        <v>-0.213563244875998</v>
      </c>
    </row>
    <row r="1203" customFormat="false" ht="15" hidden="false" customHeight="true" outlineLevel="0" collapsed="false">
      <c r="A1203" s="38" t="s">
        <v>855</v>
      </c>
      <c r="B1203" s="38" t="n">
        <v>66</v>
      </c>
      <c r="C1203" s="38" t="s">
        <v>171</v>
      </c>
      <c r="D1203" s="38" t="s">
        <v>171</v>
      </c>
      <c r="E1203" s="38" t="s">
        <v>875</v>
      </c>
      <c r="F1203" s="38" t="str">
        <f aca="false">B1203&amp;"|"&amp;C1203&amp;"|"&amp;D1203</f>
        <v>66|U|U</v>
      </c>
      <c r="G1203" s="45" t="n">
        <f aca="false">INDEX('Transition Stepwise'!$J$2:$J$1137,MATCH(F1203,'Transition Stepwise'!$E$2:$E$1137,0))</f>
        <v>0.226415094339623</v>
      </c>
      <c r="H1203" s="45" t="n">
        <f aca="false">INDEX(Background!$D$12:$D$27,MATCH(C1203&amp;D1203,Background!$E$12:$E$27,0))</f>
        <v>0.220480320213476</v>
      </c>
      <c r="I1203" s="49" t="n">
        <f aca="false">LN(G1203/H1203)</f>
        <v>0.0265615750467352</v>
      </c>
    </row>
    <row r="1204" customFormat="false" ht="15" hidden="false" customHeight="true" outlineLevel="0" collapsed="false">
      <c r="A1204" s="38" t="s">
        <v>855</v>
      </c>
      <c r="B1204" s="38" t="n">
        <v>67</v>
      </c>
      <c r="C1204" s="38" t="s">
        <v>171</v>
      </c>
      <c r="D1204" s="38" t="s">
        <v>172</v>
      </c>
      <c r="E1204" s="38" t="s">
        <v>875</v>
      </c>
      <c r="F1204" s="38" t="str">
        <f aca="false">B1204&amp;"|"&amp;C1204&amp;"|"&amp;D1204</f>
        <v>67|U|A</v>
      </c>
      <c r="G1204" s="45" t="n">
        <f aca="false">INDEX('Transition Stepwise'!$J$2:$J$1137,MATCH(F1204,'Transition Stepwise'!$E$2:$E$1137,0))</f>
        <v>0.0238095238095238</v>
      </c>
      <c r="H1204" s="45" t="n">
        <f aca="false">INDEX(Background!$D$12:$D$27,MATCH(C1204&amp;D1204,Background!$E$12:$E$27,0))</f>
        <v>0.180787191460974</v>
      </c>
      <c r="I1204" s="49" t="n">
        <f aca="false">LN(G1204/H1204)</f>
        <v>-2.02723494106047</v>
      </c>
    </row>
    <row r="1205" customFormat="false" ht="15" hidden="false" customHeight="true" outlineLevel="0" collapsed="false">
      <c r="A1205" s="38" t="s">
        <v>855</v>
      </c>
      <c r="B1205" s="38" t="n">
        <v>68</v>
      </c>
      <c r="C1205" s="38" t="s">
        <v>172</v>
      </c>
      <c r="D1205" s="38" t="s">
        <v>172</v>
      </c>
      <c r="E1205" s="38" t="s">
        <v>875</v>
      </c>
      <c r="F1205" s="38" t="str">
        <f aca="false">B1205&amp;"|"&amp;C1205&amp;"|"&amp;D1205</f>
        <v>68|A|A</v>
      </c>
      <c r="G1205" s="45" t="n">
        <f aca="false">INDEX('Transition Stepwise'!$J$2:$J$1137,MATCH(F1205,'Transition Stepwise'!$E$2:$E$1137,0))</f>
        <v>0.263157894736842</v>
      </c>
      <c r="H1205" s="45" t="n">
        <f aca="false">INDEX(Background!$D$12:$D$27,MATCH(C1205&amp;D1205,Background!$E$12:$E$27,0))</f>
        <v>0.219568567026194</v>
      </c>
      <c r="I1205" s="49" t="n">
        <f aca="false">LN(G1205/H1205)</f>
        <v>0.181089650263045</v>
      </c>
    </row>
    <row r="1206" customFormat="false" ht="15" hidden="false" customHeight="true" outlineLevel="0" collapsed="false">
      <c r="A1206" s="38" t="s">
        <v>855</v>
      </c>
      <c r="B1206" s="38" t="n">
        <v>69</v>
      </c>
      <c r="C1206" s="38" t="s">
        <v>172</v>
      </c>
      <c r="D1206" s="38" t="s">
        <v>171</v>
      </c>
      <c r="E1206" s="38" t="s">
        <v>875</v>
      </c>
      <c r="F1206" s="38" t="str">
        <f aca="false">B1206&amp;"|"&amp;C1206&amp;"|"&amp;D1206</f>
        <v>69|A|U</v>
      </c>
      <c r="G1206" s="45" t="n">
        <f aca="false">INDEX('Transition Stepwise'!$J$2:$J$1137,MATCH(F1206,'Transition Stepwise'!$E$2:$E$1137,0))</f>
        <v>0.0344827586206897</v>
      </c>
      <c r="H1206" s="45" t="n">
        <f aca="false">INDEX(Background!$D$12:$D$27,MATCH(C1206&amp;D1206,Background!$E$12:$E$27,0))</f>
        <v>0.194530046224961</v>
      </c>
      <c r="I1206" s="49" t="n">
        <f aca="false">LN(G1206/H1206)</f>
        <v>-1.73012718143785</v>
      </c>
    </row>
    <row r="1207" customFormat="false" ht="15" hidden="false" customHeight="true" outlineLevel="0" collapsed="false">
      <c r="A1207" s="38" t="s">
        <v>855</v>
      </c>
      <c r="B1207" s="38" t="n">
        <v>70</v>
      </c>
      <c r="C1207" s="38" t="s">
        <v>171</v>
      </c>
      <c r="D1207" s="38" t="s">
        <v>172</v>
      </c>
      <c r="E1207" s="38" t="s">
        <v>875</v>
      </c>
      <c r="F1207" s="38" t="str">
        <f aca="false">B1207&amp;"|"&amp;C1207&amp;"|"&amp;D1207</f>
        <v>70|U|A</v>
      </c>
      <c r="G1207" s="45" t="n">
        <f aca="false">INDEX('Transition Stepwise'!$J$2:$J$1137,MATCH(F1207,'Transition Stepwise'!$E$2:$E$1137,0))</f>
        <v>0.0294117647058824</v>
      </c>
      <c r="H1207" s="45" t="n">
        <f aca="false">INDEX(Background!$D$12:$D$27,MATCH(C1207&amp;D1207,Background!$E$12:$E$27,0))</f>
        <v>0.180787191460974</v>
      </c>
      <c r="I1207" s="49" t="n">
        <f aca="false">LN(G1207/H1207)</f>
        <v>-1.81592584739326</v>
      </c>
    </row>
    <row r="1208" customFormat="false" ht="15" hidden="false" customHeight="true" outlineLevel="0" collapsed="false">
      <c r="A1208" s="38" t="s">
        <v>855</v>
      </c>
      <c r="B1208" s="38" t="n">
        <v>71</v>
      </c>
      <c r="C1208" s="38" t="s">
        <v>172</v>
      </c>
      <c r="D1208" s="38" t="s">
        <v>171</v>
      </c>
      <c r="E1208" s="38" t="s">
        <v>875</v>
      </c>
      <c r="F1208" s="38" t="str">
        <f aca="false">B1208&amp;"|"&amp;C1208&amp;"|"&amp;D1208</f>
        <v>71|A|U</v>
      </c>
      <c r="G1208" s="45" t="n">
        <f aca="false">INDEX('Transition Stepwise'!$J$2:$J$1137,MATCH(F1208,'Transition Stepwise'!$E$2:$E$1137,0))</f>
        <v>0.111111111111111</v>
      </c>
      <c r="H1208" s="45" t="n">
        <f aca="false">INDEX(Background!$D$12:$D$27,MATCH(C1208&amp;D1208,Background!$E$12:$E$27,0))</f>
        <v>0.194530046224961</v>
      </c>
      <c r="I1208" s="49" t="n">
        <f aca="false">LN(G1208/H1208)</f>
        <v>-0.560055928787599</v>
      </c>
    </row>
    <row r="1209" customFormat="false" ht="15" hidden="false" customHeight="true" outlineLevel="0" collapsed="false">
      <c r="A1209" s="38" t="s">
        <v>856</v>
      </c>
      <c r="B1209" s="38" t="n">
        <v>1</v>
      </c>
      <c r="C1209" s="38" t="s">
        <v>170</v>
      </c>
      <c r="D1209" s="38" t="s">
        <v>170</v>
      </c>
      <c r="E1209" s="38" t="s">
        <v>875</v>
      </c>
      <c r="F1209" s="38" t="str">
        <f aca="false">B1209&amp;"|"&amp;C1209&amp;"|"&amp;D1209</f>
        <v>1|C|C</v>
      </c>
      <c r="G1209" s="45" t="n">
        <f aca="false">INDEX('Transition Stepwise'!$J$2:$J$1137,MATCH(F1209,'Transition Stepwise'!$E$2:$E$1137,0))</f>
        <v>0.2</v>
      </c>
      <c r="H1209" s="45" t="n">
        <f aca="false">INDEX(Background!$D$12:$D$27,MATCH(C1209&amp;D1209,Background!$E$12:$E$27,0))</f>
        <v>0.312236286919831</v>
      </c>
      <c r="I1209" s="49" t="n">
        <f aca="false">LN(G1209/H1209)</f>
        <v>-0.445442864503139</v>
      </c>
    </row>
    <row r="1210" customFormat="false" ht="15" hidden="false" customHeight="true" outlineLevel="0" collapsed="false">
      <c r="A1210" s="38" t="s">
        <v>856</v>
      </c>
      <c r="B1210" s="38" t="n">
        <v>2</v>
      </c>
      <c r="C1210" s="38" t="s">
        <v>170</v>
      </c>
      <c r="D1210" s="38" t="s">
        <v>171</v>
      </c>
      <c r="E1210" s="38" t="s">
        <v>875</v>
      </c>
      <c r="F1210" s="38" t="str">
        <f aca="false">B1210&amp;"|"&amp;C1210&amp;"|"&amp;D1210</f>
        <v>2|C|U</v>
      </c>
      <c r="G1210" s="45" t="n">
        <f aca="false">INDEX('Transition Stepwise'!$J$2:$J$1137,MATCH(F1210,'Transition Stepwise'!$E$2:$E$1137,0))</f>
        <v>0.174418604651163</v>
      </c>
      <c r="H1210" s="45" t="n">
        <f aca="false">INDEX(Background!$D$12:$D$27,MATCH(C1210&amp;D1210,Background!$E$12:$E$27,0))</f>
        <v>0.196466244725738</v>
      </c>
      <c r="I1210" s="49" t="n">
        <f aca="false">LN(G1210/H1210)</f>
        <v>-0.119032450155945</v>
      </c>
    </row>
    <row r="1211" customFormat="false" ht="15" hidden="false" customHeight="true" outlineLevel="0" collapsed="false">
      <c r="A1211" s="38" t="s">
        <v>856</v>
      </c>
      <c r="B1211" s="38" t="n">
        <v>3</v>
      </c>
      <c r="C1211" s="38" t="s">
        <v>171</v>
      </c>
      <c r="D1211" s="38" t="s">
        <v>171</v>
      </c>
      <c r="E1211" s="38" t="s">
        <v>875</v>
      </c>
      <c r="F1211" s="38" t="str">
        <f aca="false">B1211&amp;"|"&amp;C1211&amp;"|"&amp;D1211</f>
        <v>3|U|U</v>
      </c>
      <c r="G1211" s="45" t="n">
        <f aca="false">INDEX('Transition Stepwise'!$J$2:$J$1137,MATCH(F1211,'Transition Stepwise'!$E$2:$E$1137,0))</f>
        <v>0.259259259259259</v>
      </c>
      <c r="H1211" s="45" t="n">
        <f aca="false">INDEX(Background!$D$12:$D$27,MATCH(C1211&amp;D1211,Background!$E$12:$E$27,0))</f>
        <v>0.220480320213476</v>
      </c>
      <c r="I1211" s="49" t="n">
        <f aca="false">LN(G1211/H1211)</f>
        <v>0.162020121861841</v>
      </c>
    </row>
    <row r="1212" customFormat="false" ht="15" hidden="false" customHeight="true" outlineLevel="0" collapsed="false">
      <c r="A1212" s="38" t="s">
        <v>856</v>
      </c>
      <c r="B1212" s="38" t="n">
        <v>4</v>
      </c>
      <c r="C1212" s="38" t="s">
        <v>171</v>
      </c>
      <c r="D1212" s="38" t="s">
        <v>171</v>
      </c>
      <c r="E1212" s="38" t="s">
        <v>875</v>
      </c>
      <c r="F1212" s="38" t="str">
        <f aca="false">B1212&amp;"|"&amp;C1212&amp;"|"&amp;D1212</f>
        <v>4|U|U</v>
      </c>
      <c r="G1212" s="45" t="n">
        <f aca="false">INDEX('Transition Stepwise'!$J$2:$J$1137,MATCH(F1212,'Transition Stepwise'!$E$2:$E$1137,0))</f>
        <v>0.210526315789474</v>
      </c>
      <c r="H1212" s="45" t="n">
        <f aca="false">INDEX(Background!$D$12:$D$27,MATCH(C1212&amp;D1212,Background!$E$12:$E$27,0))</f>
        <v>0.220480320213476</v>
      </c>
      <c r="I1212" s="49" t="n">
        <f aca="false">LN(G1212/H1212)</f>
        <v>-0.0461977792356932</v>
      </c>
    </row>
    <row r="1213" customFormat="false" ht="15" hidden="false" customHeight="true" outlineLevel="0" collapsed="false">
      <c r="A1213" s="38" t="s">
        <v>856</v>
      </c>
      <c r="B1213" s="38" t="n">
        <v>5</v>
      </c>
      <c r="C1213" s="38" t="s">
        <v>171</v>
      </c>
      <c r="D1213" s="38" t="s">
        <v>172</v>
      </c>
      <c r="E1213" s="38" t="s">
        <v>875</v>
      </c>
      <c r="F1213" s="38" t="str">
        <f aca="false">B1213&amp;"|"&amp;C1213&amp;"|"&amp;D1213</f>
        <v>5|U|A</v>
      </c>
      <c r="G1213" s="45" t="n">
        <f aca="false">INDEX('Transition Stepwise'!$J$2:$J$1137,MATCH(F1213,'Transition Stepwise'!$E$2:$E$1137,0))</f>
        <v>0.04</v>
      </c>
      <c r="H1213" s="45" t="n">
        <f aca="false">INDEX(Background!$D$12:$D$27,MATCH(C1213&amp;D1213,Background!$E$12:$E$27,0))</f>
        <v>0.180787191460974</v>
      </c>
      <c r="I1213" s="49" t="n">
        <f aca="false">LN(G1213/H1213)</f>
        <v>-1.5084411476453</v>
      </c>
    </row>
    <row r="1214" customFormat="false" ht="15" hidden="false" customHeight="true" outlineLevel="0" collapsed="false">
      <c r="A1214" s="38" t="s">
        <v>856</v>
      </c>
      <c r="B1214" s="38" t="n">
        <v>6</v>
      </c>
      <c r="C1214" s="38" t="s">
        <v>172</v>
      </c>
      <c r="D1214" s="38" t="s">
        <v>171</v>
      </c>
      <c r="E1214" s="38" t="s">
        <v>875</v>
      </c>
      <c r="F1214" s="38" t="str">
        <f aca="false">B1214&amp;"|"&amp;C1214&amp;"|"&amp;D1214</f>
        <v>6|A|U</v>
      </c>
      <c r="G1214" s="45" t="n">
        <f aca="false">INDEX('Transition Stepwise'!$J$2:$J$1137,MATCH(F1214,'Transition Stepwise'!$E$2:$E$1137,0))</f>
        <v>0.289473684210526</v>
      </c>
      <c r="H1214" s="45" t="n">
        <f aca="false">INDEX(Background!$D$12:$D$27,MATCH(C1214&amp;D1214,Background!$E$12:$E$27,0))</f>
        <v>0.194530046224961</v>
      </c>
      <c r="I1214" s="49" t="n">
        <f aca="false">LN(G1214/H1214)</f>
        <v>0.397477761620606</v>
      </c>
    </row>
    <row r="1215" customFormat="false" ht="15" hidden="false" customHeight="true" outlineLevel="0" collapsed="false">
      <c r="A1215" s="38" t="s">
        <v>856</v>
      </c>
      <c r="B1215" s="38" t="n">
        <v>7</v>
      </c>
      <c r="C1215" s="38" t="s">
        <v>171</v>
      </c>
      <c r="D1215" s="38" t="s">
        <v>171</v>
      </c>
      <c r="E1215" s="38" t="s">
        <v>875</v>
      </c>
      <c r="F1215" s="38" t="str">
        <f aca="false">B1215&amp;"|"&amp;C1215&amp;"|"&amp;D1215</f>
        <v>7|U|U</v>
      </c>
      <c r="G1215" s="45" t="n">
        <f aca="false">INDEX('Transition Stepwise'!$J$2:$J$1137,MATCH(F1215,'Transition Stepwise'!$E$2:$E$1137,0))</f>
        <v>0.9375</v>
      </c>
      <c r="H1215" s="45" t="n">
        <f aca="false">INDEX(Background!$D$12:$D$27,MATCH(C1215&amp;D1215,Background!$E$12:$E$27,0))</f>
        <v>0.220480320213476</v>
      </c>
      <c r="I1215" s="49" t="n">
        <f aca="false">LN(G1215/H1215)</f>
        <v>1.44740831767329</v>
      </c>
    </row>
    <row r="1216" customFormat="false" ht="15" hidden="false" customHeight="true" outlineLevel="0" collapsed="false">
      <c r="A1216" s="38" t="s">
        <v>856</v>
      </c>
      <c r="B1216" s="38" t="n">
        <v>8</v>
      </c>
      <c r="C1216" s="38" t="s">
        <v>171</v>
      </c>
      <c r="D1216" s="38" t="s">
        <v>172</v>
      </c>
      <c r="E1216" s="38" t="s">
        <v>875</v>
      </c>
      <c r="F1216" s="38" t="str">
        <f aca="false">B1216&amp;"|"&amp;C1216&amp;"|"&amp;D1216</f>
        <v>8|U|A</v>
      </c>
      <c r="G1216" s="45" t="n">
        <f aca="false">INDEX('Transition Stepwise'!$J$2:$J$1137,MATCH(F1216,'Transition Stepwise'!$E$2:$E$1137,0))</f>
        <v>0.65</v>
      </c>
      <c r="H1216" s="45" t="n">
        <f aca="false">INDEX(Background!$D$12:$D$27,MATCH(C1216&amp;D1216,Background!$E$12:$E$27,0))</f>
        <v>0.180787191460974</v>
      </c>
      <c r="I1216" s="49" t="n">
        <f aca="false">LN(G1216/H1216)</f>
        <v>1.27965176113044</v>
      </c>
    </row>
    <row r="1217" customFormat="false" ht="15" hidden="false" customHeight="true" outlineLevel="0" collapsed="false">
      <c r="A1217" s="38" t="s">
        <v>856</v>
      </c>
      <c r="B1217" s="38" t="n">
        <v>9</v>
      </c>
      <c r="C1217" s="38" t="s">
        <v>172</v>
      </c>
      <c r="D1217" s="38" t="s">
        <v>172</v>
      </c>
      <c r="E1217" s="38" t="s">
        <v>875</v>
      </c>
      <c r="F1217" s="38" t="str">
        <f aca="false">B1217&amp;"|"&amp;C1217&amp;"|"&amp;D1217</f>
        <v>9|A|A</v>
      </c>
      <c r="G1217" s="45" t="n">
        <f aca="false">INDEX('Transition Stepwise'!$J$2:$J$1137,MATCH(F1217,'Transition Stepwise'!$E$2:$E$1137,0))</f>
        <v>0.00746268656716418</v>
      </c>
      <c r="H1217" s="45" t="n">
        <f aca="false">INDEX(Background!$D$12:$D$27,MATCH(C1217&amp;D1217,Background!$E$12:$E$27,0))</f>
        <v>0.219568567026194</v>
      </c>
      <c r="I1217" s="49" t="n">
        <f aca="false">LN(G1217/H1217)</f>
        <v>-3.38174908295553</v>
      </c>
    </row>
    <row r="1218" customFormat="false" ht="15" hidden="false" customHeight="true" outlineLevel="0" collapsed="false">
      <c r="A1218" s="38" t="s">
        <v>856</v>
      </c>
      <c r="B1218" s="38" t="n">
        <v>10</v>
      </c>
      <c r="C1218" s="38" t="s">
        <v>172</v>
      </c>
      <c r="D1218" s="38" t="s">
        <v>172</v>
      </c>
      <c r="E1218" s="38" t="s">
        <v>875</v>
      </c>
      <c r="F1218" s="38" t="str">
        <f aca="false">B1218&amp;"|"&amp;C1218&amp;"|"&amp;D1218</f>
        <v>10|A|A</v>
      </c>
      <c r="G1218" s="45" t="n">
        <f aca="false">INDEX('Transition Stepwise'!$J$2:$J$1137,MATCH(F1218,'Transition Stepwise'!$E$2:$E$1137,0))</f>
        <v>0.25</v>
      </c>
      <c r="H1218" s="45" t="n">
        <f aca="false">INDEX(Background!$D$12:$D$27,MATCH(C1218&amp;D1218,Background!$E$12:$E$27,0))</f>
        <v>0.219568567026194</v>
      </c>
      <c r="I1218" s="49" t="n">
        <f aca="false">LN(G1218/H1218)</f>
        <v>0.129796355875494</v>
      </c>
    </row>
    <row r="1219" customFormat="false" ht="15" hidden="false" customHeight="true" outlineLevel="0" collapsed="false">
      <c r="A1219" s="38" t="s">
        <v>856</v>
      </c>
      <c r="B1219" s="38" t="n">
        <v>11</v>
      </c>
      <c r="C1219" s="38" t="s">
        <v>172</v>
      </c>
      <c r="D1219" s="38" t="s">
        <v>169</v>
      </c>
      <c r="E1219" s="38" t="s">
        <v>875</v>
      </c>
      <c r="F1219" s="38" t="str">
        <f aca="false">B1219&amp;"|"&amp;C1219&amp;"|"&amp;D1219</f>
        <v>11|A|G</v>
      </c>
      <c r="G1219" s="45" t="n">
        <f aca="false">INDEX('Transition Stepwise'!$J$2:$J$1137,MATCH(F1219,'Transition Stepwise'!$E$2:$E$1137,0))</f>
        <v>0.454545454545455</v>
      </c>
      <c r="H1219" s="45" t="n">
        <f aca="false">INDEX(Background!$D$12:$D$27,MATCH(C1219&amp;D1219,Background!$E$12:$E$27,0))</f>
        <v>0.424884437596302</v>
      </c>
      <c r="I1219" s="49" t="n">
        <f aca="false">LN(G1219/H1219)</f>
        <v>0.0674806982062079</v>
      </c>
    </row>
    <row r="1220" customFormat="false" ht="15" hidden="false" customHeight="true" outlineLevel="0" collapsed="false">
      <c r="A1220" s="38" t="s">
        <v>856</v>
      </c>
      <c r="B1220" s="38" t="n">
        <v>12</v>
      </c>
      <c r="C1220" s="38" t="s">
        <v>169</v>
      </c>
      <c r="D1220" s="38" t="s">
        <v>169</v>
      </c>
      <c r="E1220" s="38" t="s">
        <v>875</v>
      </c>
      <c r="F1220" s="38" t="str">
        <f aca="false">B1220&amp;"|"&amp;C1220&amp;"|"&amp;D1220</f>
        <v>12|G|G</v>
      </c>
      <c r="G1220" s="45" t="n">
        <f aca="false">INDEX('Transition Stepwise'!$J$2:$J$1137,MATCH(F1220,'Transition Stepwise'!$E$2:$E$1137,0))</f>
        <v>0.142857142857143</v>
      </c>
      <c r="H1220" s="45" t="n">
        <f aca="false">INDEX(Background!$D$12:$D$27,MATCH(C1220&amp;D1220,Background!$E$12:$E$27,0))</f>
        <v>0.344774477447745</v>
      </c>
      <c r="I1220" s="49" t="n">
        <f aca="false">LN(G1220/H1220)</f>
        <v>-0.881045384799755</v>
      </c>
    </row>
    <row r="1221" customFormat="false" ht="15" hidden="false" customHeight="true" outlineLevel="0" collapsed="false">
      <c r="A1221" s="38" t="s">
        <v>856</v>
      </c>
      <c r="B1221" s="38" t="n">
        <v>13</v>
      </c>
      <c r="C1221" s="38" t="s">
        <v>169</v>
      </c>
      <c r="D1221" s="38" t="s">
        <v>171</v>
      </c>
      <c r="E1221" s="38" t="s">
        <v>875</v>
      </c>
      <c r="F1221" s="38" t="str">
        <f aca="false">B1221&amp;"|"&amp;C1221&amp;"|"&amp;D1221</f>
        <v>13|G|U</v>
      </c>
      <c r="G1221" s="45" t="n">
        <f aca="false">INDEX('Transition Stepwise'!$J$2:$J$1137,MATCH(F1221,'Transition Stepwise'!$E$2:$E$1137,0))</f>
        <v>0.0434782608695652</v>
      </c>
      <c r="H1221" s="45" t="n">
        <f aca="false">INDEX(Background!$D$12:$D$27,MATCH(C1221&amp;D1221,Background!$E$12:$E$27,0))</f>
        <v>0.234763476347635</v>
      </c>
      <c r="I1221" s="49" t="n">
        <f aca="false">LN(G1221/H1221)</f>
        <v>-1.68631746061932</v>
      </c>
    </row>
    <row r="1222" customFormat="false" ht="15" hidden="false" customHeight="true" outlineLevel="0" collapsed="false">
      <c r="A1222" s="38" t="s">
        <v>856</v>
      </c>
      <c r="B1222" s="38" t="n">
        <v>14</v>
      </c>
      <c r="C1222" s="38" t="s">
        <v>171</v>
      </c>
      <c r="D1222" s="38" t="s">
        <v>171</v>
      </c>
      <c r="E1222" s="38" t="s">
        <v>875</v>
      </c>
      <c r="F1222" s="38" t="str">
        <f aca="false">B1222&amp;"|"&amp;C1222&amp;"|"&amp;D1222</f>
        <v>14|U|U</v>
      </c>
      <c r="G1222" s="45" t="n">
        <f aca="false">INDEX('Transition Stepwise'!$J$2:$J$1137,MATCH(F1222,'Transition Stepwise'!$E$2:$E$1137,0))</f>
        <v>0.25</v>
      </c>
      <c r="H1222" s="45" t="n">
        <f aca="false">INDEX(Background!$D$12:$D$27,MATCH(C1222&amp;D1222,Background!$E$12:$E$27,0))</f>
        <v>0.220480320213476</v>
      </c>
      <c r="I1222" s="49" t="n">
        <f aca="false">LN(G1222/H1222)</f>
        <v>0.125652477690966</v>
      </c>
    </row>
    <row r="1223" customFormat="false" ht="15" hidden="false" customHeight="true" outlineLevel="0" collapsed="false">
      <c r="A1223" s="38" t="s">
        <v>856</v>
      </c>
      <c r="B1223" s="38" t="n">
        <v>15</v>
      </c>
      <c r="C1223" s="38" t="s">
        <v>171</v>
      </c>
      <c r="D1223" s="38" t="s">
        <v>171</v>
      </c>
      <c r="E1223" s="38" t="s">
        <v>875</v>
      </c>
      <c r="F1223" s="38" t="str">
        <f aca="false">B1223&amp;"|"&amp;C1223&amp;"|"&amp;D1223</f>
        <v>15|U|U</v>
      </c>
      <c r="G1223" s="45" t="n">
        <f aca="false">INDEX('Transition Stepwise'!$J$2:$J$1137,MATCH(F1223,'Transition Stepwise'!$E$2:$E$1137,0))</f>
        <v>0.2</v>
      </c>
      <c r="H1223" s="45" t="n">
        <f aca="false">INDEX(Background!$D$12:$D$27,MATCH(C1223&amp;D1223,Background!$E$12:$E$27,0))</f>
        <v>0.220480320213476</v>
      </c>
      <c r="I1223" s="49" t="n">
        <f aca="false">LN(G1223/H1223)</f>
        <v>-0.0974910736232437</v>
      </c>
    </row>
    <row r="1224" customFormat="false" ht="15" hidden="false" customHeight="true" outlineLevel="0" collapsed="false">
      <c r="A1224" s="38" t="s">
        <v>856</v>
      </c>
      <c r="B1224" s="38" t="n">
        <v>16</v>
      </c>
      <c r="C1224" s="38" t="s">
        <v>171</v>
      </c>
      <c r="D1224" s="38" t="s">
        <v>170</v>
      </c>
      <c r="E1224" s="38" t="s">
        <v>875</v>
      </c>
      <c r="F1224" s="38" t="str">
        <f aca="false">B1224&amp;"|"&amp;C1224&amp;"|"&amp;D1224</f>
        <v>16|U|C</v>
      </c>
      <c r="G1224" s="45" t="n">
        <f aca="false">INDEX('Transition Stepwise'!$J$2:$J$1137,MATCH(F1224,'Transition Stepwise'!$E$2:$E$1137,0))</f>
        <v>0.268292682926829</v>
      </c>
      <c r="H1224" s="45" t="n">
        <f aca="false">INDEX(Background!$D$12:$D$27,MATCH(C1224&amp;D1224,Background!$E$12:$E$27,0))</f>
        <v>0.377251501000667</v>
      </c>
      <c r="I1224" s="49" t="n">
        <f aca="false">LN(G1224/H1224)</f>
        <v>-0.340833591359515</v>
      </c>
    </row>
    <row r="1225" customFormat="false" ht="15" hidden="false" customHeight="true" outlineLevel="0" collapsed="false">
      <c r="A1225" s="38" t="s">
        <v>856</v>
      </c>
      <c r="B1225" s="38" t="n">
        <v>17</v>
      </c>
      <c r="C1225" s="38" t="s">
        <v>170</v>
      </c>
      <c r="D1225" s="38" t="s">
        <v>169</v>
      </c>
      <c r="E1225" s="38" t="s">
        <v>875</v>
      </c>
      <c r="F1225" s="38" t="str">
        <f aca="false">B1225&amp;"|"&amp;C1225&amp;"|"&amp;D1225</f>
        <v>17|C|G</v>
      </c>
      <c r="G1225" s="45" t="n">
        <f aca="false">INDEX('Transition Stepwise'!$J$2:$J$1137,MATCH(F1225,'Transition Stepwise'!$E$2:$E$1137,0))</f>
        <v>0.955223880597015</v>
      </c>
      <c r="H1225" s="45" t="n">
        <f aca="false">INDEX(Background!$D$12:$D$27,MATCH(C1225&amp;D1225,Background!$E$12:$E$27,0))</f>
        <v>0.296413502109705</v>
      </c>
      <c r="I1225" s="49" t="n">
        <f aca="false">LN(G1225/H1225)</f>
        <v>1.17019029688998</v>
      </c>
    </row>
    <row r="1226" customFormat="false" ht="15" hidden="false" customHeight="true" outlineLevel="0" collapsed="false">
      <c r="A1226" s="38" t="s">
        <v>856</v>
      </c>
      <c r="B1226" s="38" t="n">
        <v>18</v>
      </c>
      <c r="C1226" s="38" t="s">
        <v>169</v>
      </c>
      <c r="D1226" s="38" t="s">
        <v>169</v>
      </c>
      <c r="E1226" s="38" t="s">
        <v>875</v>
      </c>
      <c r="F1226" s="38" t="str">
        <f aca="false">B1226&amp;"|"&amp;C1226&amp;"|"&amp;D1226</f>
        <v>18|G|G</v>
      </c>
      <c r="G1226" s="45" t="n">
        <f aca="false">INDEX('Transition Stepwise'!$J$2:$J$1137,MATCH(F1226,'Transition Stepwise'!$E$2:$E$1137,0))</f>
        <v>0.975247524752475</v>
      </c>
      <c r="H1226" s="45" t="n">
        <f aca="false">INDEX(Background!$D$12:$D$27,MATCH(C1226&amp;D1226,Background!$E$12:$E$27,0))</f>
        <v>0.344774477447745</v>
      </c>
      <c r="I1226" s="49" t="n">
        <f aca="false">LN(G1226/H1226)</f>
        <v>1.03980079559234</v>
      </c>
    </row>
    <row r="1227" customFormat="false" ht="15" hidden="false" customHeight="true" outlineLevel="0" collapsed="false">
      <c r="A1227" s="38" t="s">
        <v>856</v>
      </c>
      <c r="B1227" s="38" t="n">
        <v>19</v>
      </c>
      <c r="C1227" s="38" t="s">
        <v>169</v>
      </c>
      <c r="D1227" s="38" t="s">
        <v>172</v>
      </c>
      <c r="E1227" s="38" t="s">
        <v>875</v>
      </c>
      <c r="F1227" s="38" t="str">
        <f aca="false">B1227&amp;"|"&amp;C1227&amp;"|"&amp;D1227</f>
        <v>19|G|A</v>
      </c>
      <c r="G1227" s="45" t="n">
        <f aca="false">INDEX('Transition Stepwise'!$J$2:$J$1137,MATCH(F1227,'Transition Stepwise'!$E$2:$E$1137,0))</f>
        <v>0.09</v>
      </c>
      <c r="H1227" s="45" t="n">
        <f aca="false">INDEX(Background!$D$12:$D$27,MATCH(C1227&amp;D1227,Background!$E$12:$E$27,0))</f>
        <v>0.164356435643564</v>
      </c>
      <c r="I1227" s="49" t="n">
        <f aca="false">LN(G1227/H1227)</f>
        <v>-0.60222778717311</v>
      </c>
    </row>
    <row r="1228" customFormat="false" ht="15" hidden="false" customHeight="true" outlineLevel="0" collapsed="false">
      <c r="A1228" s="38" t="s">
        <v>856</v>
      </c>
      <c r="B1228" s="38" t="n">
        <v>20</v>
      </c>
      <c r="C1228" s="38" t="s">
        <v>172</v>
      </c>
      <c r="D1228" s="38" t="s">
        <v>172</v>
      </c>
      <c r="E1228" s="38" t="s">
        <v>875</v>
      </c>
      <c r="F1228" s="38" t="str">
        <f aca="false">B1228&amp;"|"&amp;C1228&amp;"|"&amp;D1228</f>
        <v>20|A|A</v>
      </c>
      <c r="G1228" s="45" t="n">
        <f aca="false">INDEX('Transition Stepwise'!$J$2:$J$1137,MATCH(F1228,'Transition Stepwise'!$E$2:$E$1137,0))</f>
        <v>0.80952380952381</v>
      </c>
      <c r="H1228" s="45" t="n">
        <f aca="false">INDEX(Background!$D$12:$D$27,MATCH(C1228&amp;D1228,Background!$E$12:$E$27,0))</f>
        <v>0.219568567026194</v>
      </c>
      <c r="I1228" s="49" t="n">
        <f aca="false">LN(G1228/H1228)</f>
        <v>1.30478162332818</v>
      </c>
    </row>
    <row r="1229" customFormat="false" ht="15" hidden="false" customHeight="true" outlineLevel="0" collapsed="false">
      <c r="A1229" s="38" t="s">
        <v>856</v>
      </c>
      <c r="B1229" s="38" t="n">
        <v>21</v>
      </c>
      <c r="C1229" s="38" t="s">
        <v>172</v>
      </c>
      <c r="D1229" s="38" t="s">
        <v>171</v>
      </c>
      <c r="E1229" s="38" t="s">
        <v>875</v>
      </c>
      <c r="F1229" s="38" t="str">
        <f aca="false">B1229&amp;"|"&amp;C1229&amp;"|"&amp;D1229</f>
        <v>21|A|U</v>
      </c>
      <c r="G1229" s="45" t="n">
        <f aca="false">INDEX('Transition Stepwise'!$J$2:$J$1137,MATCH(F1229,'Transition Stepwise'!$E$2:$E$1137,0))</f>
        <v>0.0659340659340659</v>
      </c>
      <c r="H1229" s="45" t="n">
        <f aca="false">INDEX(Background!$D$12:$D$27,MATCH(C1229&amp;D1229,Background!$E$12:$E$27,0))</f>
        <v>0.194530046224961</v>
      </c>
      <c r="I1229" s="49" t="n">
        <f aca="false">LN(G1229/H1229)</f>
        <v>-1.08193138874017</v>
      </c>
    </row>
    <row r="1230" customFormat="false" ht="15" hidden="false" customHeight="true" outlineLevel="0" collapsed="false">
      <c r="A1230" s="38" t="s">
        <v>856</v>
      </c>
      <c r="B1230" s="38" t="n">
        <v>22</v>
      </c>
      <c r="C1230" s="38" t="s">
        <v>171</v>
      </c>
      <c r="D1230" s="38" t="s">
        <v>171</v>
      </c>
      <c r="E1230" s="38" t="s">
        <v>875</v>
      </c>
      <c r="F1230" s="38" t="str">
        <f aca="false">B1230&amp;"|"&amp;C1230&amp;"|"&amp;D1230</f>
        <v>22|U|U</v>
      </c>
      <c r="G1230" s="45" t="n">
        <f aca="false">INDEX('Transition Stepwise'!$J$2:$J$1137,MATCH(F1230,'Transition Stepwise'!$E$2:$E$1137,0))</f>
        <v>0.333333333333333</v>
      </c>
      <c r="H1230" s="45" t="n">
        <f aca="false">INDEX(Background!$D$12:$D$27,MATCH(C1230&amp;D1230,Background!$E$12:$E$27,0))</f>
        <v>0.220480320213476</v>
      </c>
      <c r="I1230" s="49" t="n">
        <f aca="false">LN(G1230/H1230)</f>
        <v>0.413334550142747</v>
      </c>
    </row>
    <row r="1231" customFormat="false" ht="15" hidden="false" customHeight="true" outlineLevel="0" collapsed="false">
      <c r="A1231" s="38" t="s">
        <v>856</v>
      </c>
      <c r="B1231" s="38" t="n">
        <v>23</v>
      </c>
      <c r="C1231" s="38" t="s">
        <v>171</v>
      </c>
      <c r="D1231" s="38" t="s">
        <v>171</v>
      </c>
      <c r="E1231" s="38" t="s">
        <v>875</v>
      </c>
      <c r="F1231" s="38" t="str">
        <f aca="false">B1231&amp;"|"&amp;C1231&amp;"|"&amp;D1231</f>
        <v>23|U|U</v>
      </c>
      <c r="G1231" s="45" t="n">
        <f aca="false">INDEX('Transition Stepwise'!$J$2:$J$1137,MATCH(F1231,'Transition Stepwise'!$E$2:$E$1137,0))</f>
        <v>0.0625</v>
      </c>
      <c r="H1231" s="45" t="n">
        <f aca="false">INDEX(Background!$D$12:$D$27,MATCH(C1231&amp;D1231,Background!$E$12:$E$27,0))</f>
        <v>0.220480320213476</v>
      </c>
      <c r="I1231" s="49" t="n">
        <f aca="false">LN(G1231/H1231)</f>
        <v>-1.26064188342892</v>
      </c>
    </row>
    <row r="1232" customFormat="false" ht="15" hidden="false" customHeight="true" outlineLevel="0" collapsed="false">
      <c r="A1232" s="38" t="s">
        <v>856</v>
      </c>
      <c r="B1232" s="38" t="n">
        <v>24</v>
      </c>
      <c r="C1232" s="38" t="s">
        <v>171</v>
      </c>
      <c r="D1232" s="38" t="s">
        <v>170</v>
      </c>
      <c r="E1232" s="38" t="s">
        <v>875</v>
      </c>
      <c r="F1232" s="38" t="str">
        <f aca="false">B1232&amp;"|"&amp;C1232&amp;"|"&amp;D1232</f>
        <v>24|U|C</v>
      </c>
      <c r="G1232" s="45" t="n">
        <f aca="false">INDEX('Transition Stepwise'!$J$2:$J$1137,MATCH(F1232,'Transition Stepwise'!$E$2:$E$1137,0))</f>
        <v>0.727272727272727</v>
      </c>
      <c r="H1232" s="45" t="n">
        <f aca="false">INDEX(Background!$D$12:$D$27,MATCH(C1232&amp;D1232,Background!$E$12:$E$27,0))</f>
        <v>0.377251501000667</v>
      </c>
      <c r="I1232" s="49" t="n">
        <f aca="false">LN(G1232/H1232)</f>
        <v>0.656389471427888</v>
      </c>
    </row>
    <row r="1233" customFormat="false" ht="15" hidden="false" customHeight="true" outlineLevel="0" collapsed="false">
      <c r="A1233" s="38" t="s">
        <v>856</v>
      </c>
      <c r="B1233" s="38" t="n">
        <v>25</v>
      </c>
      <c r="C1233" s="38" t="s">
        <v>170</v>
      </c>
      <c r="D1233" s="38" t="s">
        <v>171</v>
      </c>
      <c r="E1233" s="38" t="s">
        <v>875</v>
      </c>
      <c r="F1233" s="38" t="str">
        <f aca="false">B1233&amp;"|"&amp;C1233&amp;"|"&amp;D1233</f>
        <v>25|C|U</v>
      </c>
      <c r="G1233" s="45" t="n">
        <f aca="false">INDEX('Transition Stepwise'!$J$2:$J$1137,MATCH(F1233,'Transition Stepwise'!$E$2:$E$1137,0))</f>
        <v>0.0552486187845304</v>
      </c>
      <c r="H1233" s="45" t="n">
        <f aca="false">INDEX(Background!$D$12:$D$27,MATCH(C1233&amp;D1233,Background!$E$12:$E$27,0))</f>
        <v>0.196466244725738</v>
      </c>
      <c r="I1233" s="49" t="n">
        <f aca="false">LN(G1233/H1233)</f>
        <v>-1.26864729327643</v>
      </c>
    </row>
    <row r="1234" customFormat="false" ht="15" hidden="false" customHeight="true" outlineLevel="0" collapsed="false">
      <c r="A1234" s="38" t="s">
        <v>856</v>
      </c>
      <c r="B1234" s="38" t="n">
        <v>26</v>
      </c>
      <c r="C1234" s="38" t="s">
        <v>171</v>
      </c>
      <c r="D1234" s="38" t="s">
        <v>171</v>
      </c>
      <c r="E1234" s="38" t="s">
        <v>875</v>
      </c>
      <c r="F1234" s="38" t="str">
        <f aca="false">B1234&amp;"|"&amp;C1234&amp;"|"&amp;D1234</f>
        <v>26|U|U</v>
      </c>
      <c r="G1234" s="45" t="n">
        <f aca="false">INDEX('Transition Stepwise'!$J$2:$J$1137,MATCH(F1234,'Transition Stepwise'!$E$2:$E$1137,0))</f>
        <v>0.266666666666667</v>
      </c>
      <c r="H1234" s="45" t="n">
        <f aca="false">INDEX(Background!$D$12:$D$27,MATCH(C1234&amp;D1234,Background!$E$12:$E$27,0))</f>
        <v>0.220480320213476</v>
      </c>
      <c r="I1234" s="49" t="n">
        <f aca="false">LN(G1234/H1234)</f>
        <v>0.190190998828537</v>
      </c>
    </row>
    <row r="1235" customFormat="false" ht="15" hidden="false" customHeight="true" outlineLevel="0" collapsed="false">
      <c r="A1235" s="38" t="s">
        <v>856</v>
      </c>
      <c r="B1235" s="38" t="n">
        <v>27</v>
      </c>
      <c r="C1235" s="38" t="s">
        <v>171</v>
      </c>
      <c r="D1235" s="38" t="s">
        <v>172</v>
      </c>
      <c r="E1235" s="38" t="s">
        <v>875</v>
      </c>
      <c r="F1235" s="38" t="str">
        <f aca="false">B1235&amp;"|"&amp;C1235&amp;"|"&amp;D1235</f>
        <v>27|U|A</v>
      </c>
      <c r="G1235" s="45" t="n">
        <f aca="false">INDEX('Transition Stepwise'!$J$2:$J$1137,MATCH(F1235,'Transition Stepwise'!$E$2:$E$1137,0))</f>
        <v>0.0727272727272727</v>
      </c>
      <c r="H1235" s="45" t="n">
        <f aca="false">INDEX(Background!$D$12:$D$27,MATCH(C1235&amp;D1235,Background!$E$12:$E$27,0))</f>
        <v>0.180787191460974</v>
      </c>
      <c r="I1235" s="49" t="n">
        <f aca="false">LN(G1235/H1235)</f>
        <v>-0.910604146889684</v>
      </c>
    </row>
    <row r="1236" customFormat="false" ht="15" hidden="false" customHeight="true" outlineLevel="0" collapsed="false">
      <c r="A1236" s="38" t="s">
        <v>856</v>
      </c>
      <c r="B1236" s="38" t="n">
        <v>28</v>
      </c>
      <c r="C1236" s="38" t="s">
        <v>172</v>
      </c>
      <c r="D1236" s="38" t="s">
        <v>172</v>
      </c>
      <c r="E1236" s="38" t="s">
        <v>875</v>
      </c>
      <c r="F1236" s="38" t="str">
        <f aca="false">B1236&amp;"|"&amp;C1236&amp;"|"&amp;D1236</f>
        <v>28|A|A</v>
      </c>
      <c r="G1236" s="45" t="n">
        <f aca="false">INDEX('Transition Stepwise'!$J$2:$J$1137,MATCH(F1236,'Transition Stepwise'!$E$2:$E$1137,0))</f>
        <v>0.142857142857143</v>
      </c>
      <c r="H1236" s="45" t="n">
        <f aca="false">INDEX(Background!$D$12:$D$27,MATCH(C1236&amp;D1236,Background!$E$12:$E$27,0))</f>
        <v>0.219568567026194</v>
      </c>
      <c r="I1236" s="49" t="n">
        <f aca="false">LN(G1236/H1236)</f>
        <v>-0.429819432059929</v>
      </c>
    </row>
    <row r="1237" customFormat="false" ht="15" hidden="false" customHeight="true" outlineLevel="0" collapsed="false">
      <c r="A1237" s="38" t="s">
        <v>856</v>
      </c>
      <c r="B1237" s="38" t="n">
        <v>29</v>
      </c>
      <c r="C1237" s="38" t="s">
        <v>172</v>
      </c>
      <c r="D1237" s="38" t="s">
        <v>171</v>
      </c>
      <c r="E1237" s="38" t="s">
        <v>875</v>
      </c>
      <c r="F1237" s="38" t="str">
        <f aca="false">B1237&amp;"|"&amp;C1237&amp;"|"&amp;D1237</f>
        <v>29|A|U</v>
      </c>
      <c r="G1237" s="45" t="n">
        <f aca="false">INDEX('Transition Stepwise'!$J$2:$J$1137,MATCH(F1237,'Transition Stepwise'!$E$2:$E$1137,0))</f>
        <v>0.0277777777777778</v>
      </c>
      <c r="H1237" s="45" t="n">
        <f aca="false">INDEX(Background!$D$12:$D$27,MATCH(C1237&amp;D1237,Background!$E$12:$E$27,0))</f>
        <v>0.194530046224961</v>
      </c>
      <c r="I1237" s="49" t="n">
        <f aca="false">LN(G1237/H1237)</f>
        <v>-1.94635028990749</v>
      </c>
    </row>
    <row r="1238" customFormat="false" ht="15" hidden="false" customHeight="true" outlineLevel="0" collapsed="false">
      <c r="A1238" s="38" t="s">
        <v>856</v>
      </c>
      <c r="B1238" s="38" t="n">
        <v>30</v>
      </c>
      <c r="C1238" s="38" t="s">
        <v>171</v>
      </c>
      <c r="D1238" s="38" t="s">
        <v>172</v>
      </c>
      <c r="E1238" s="38" t="s">
        <v>875</v>
      </c>
      <c r="F1238" s="38" t="str">
        <f aca="false">B1238&amp;"|"&amp;C1238&amp;"|"&amp;D1238</f>
        <v>30|U|A</v>
      </c>
      <c r="G1238" s="45" t="n">
        <f aca="false">INDEX('Transition Stepwise'!$J$2:$J$1137,MATCH(F1238,'Transition Stepwise'!$E$2:$E$1137,0))</f>
        <v>0.272727272727273</v>
      </c>
      <c r="H1238" s="45" t="n">
        <f aca="false">INDEX(Background!$D$12:$D$27,MATCH(C1238&amp;D1238,Background!$E$12:$E$27,0))</f>
        <v>0.180787191460974</v>
      </c>
      <c r="I1238" s="49" t="n">
        <f aca="false">LN(G1238/H1238)</f>
        <v>0.411151693092636</v>
      </c>
    </row>
    <row r="1239" customFormat="false" ht="15" hidden="false" customHeight="true" outlineLevel="0" collapsed="false">
      <c r="A1239" s="38" t="s">
        <v>856</v>
      </c>
      <c r="B1239" s="38" t="n">
        <v>31</v>
      </c>
      <c r="C1239" s="38" t="s">
        <v>172</v>
      </c>
      <c r="D1239" s="38" t="s">
        <v>171</v>
      </c>
      <c r="E1239" s="38" t="s">
        <v>875</v>
      </c>
      <c r="F1239" s="38" t="str">
        <f aca="false">B1239&amp;"|"&amp;C1239&amp;"|"&amp;D1239</f>
        <v>31|A|U</v>
      </c>
      <c r="G1239" s="45" t="n">
        <f aca="false">INDEX('Transition Stepwise'!$J$2:$J$1137,MATCH(F1239,'Transition Stepwise'!$E$2:$E$1137,0))</f>
        <v>0.137931034482759</v>
      </c>
      <c r="H1239" s="45" t="n">
        <f aca="false">INDEX(Background!$D$12:$D$27,MATCH(C1239&amp;D1239,Background!$E$12:$E$27,0))</f>
        <v>0.194530046224961</v>
      </c>
      <c r="I1239" s="49" t="n">
        <f aca="false">LN(G1239/H1239)</f>
        <v>-0.343832820317963</v>
      </c>
    </row>
    <row r="1240" customFormat="false" ht="15" hidden="false" customHeight="true" outlineLevel="0" collapsed="false">
      <c r="A1240" s="38" t="s">
        <v>856</v>
      </c>
      <c r="B1240" s="38" t="n">
        <v>32</v>
      </c>
      <c r="C1240" s="38" t="s">
        <v>171</v>
      </c>
      <c r="D1240" s="38" t="s">
        <v>171</v>
      </c>
      <c r="E1240" s="38" t="s">
        <v>875</v>
      </c>
      <c r="F1240" s="38" t="str">
        <f aca="false">B1240&amp;"|"&amp;C1240&amp;"|"&amp;D1240</f>
        <v>32|U|U</v>
      </c>
      <c r="G1240" s="45" t="n">
        <f aca="false">INDEX('Transition Stepwise'!$J$2:$J$1137,MATCH(F1240,'Transition Stepwise'!$E$2:$E$1137,0))</f>
        <v>0.936507936507937</v>
      </c>
      <c r="H1240" s="45" t="n">
        <f aca="false">INDEX(Background!$D$12:$D$27,MATCH(C1240&amp;D1240,Background!$E$12:$E$27,0))</f>
        <v>0.220480320213476</v>
      </c>
      <c r="I1240" s="49" t="n">
        <f aca="false">LN(G1240/H1240)</f>
        <v>1.44634955632504</v>
      </c>
    </row>
    <row r="1241" customFormat="false" ht="15" hidden="false" customHeight="true" outlineLevel="0" collapsed="false">
      <c r="A1241" s="38" t="s">
        <v>856</v>
      </c>
      <c r="B1241" s="38" t="n">
        <v>33</v>
      </c>
      <c r="C1241" s="38" t="s">
        <v>171</v>
      </c>
      <c r="D1241" s="38" t="s">
        <v>170</v>
      </c>
      <c r="E1241" s="38" t="s">
        <v>875</v>
      </c>
      <c r="F1241" s="38" t="str">
        <f aca="false">B1241&amp;"|"&amp;C1241&amp;"|"&amp;D1241</f>
        <v>33|U|C</v>
      </c>
      <c r="G1241" s="45" t="n">
        <f aca="false">INDEX('Transition Stepwise'!$J$2:$J$1137,MATCH(F1241,'Transition Stepwise'!$E$2:$E$1137,0))</f>
        <v>0.323383084577114</v>
      </c>
      <c r="H1241" s="45" t="n">
        <f aca="false">INDEX(Background!$D$12:$D$27,MATCH(C1241&amp;D1241,Background!$E$12:$E$27,0))</f>
        <v>0.377251501000667</v>
      </c>
      <c r="I1241" s="49" t="n">
        <f aca="false">LN(G1241/H1241)</f>
        <v>-0.154074435617016</v>
      </c>
    </row>
    <row r="1242" customFormat="false" ht="15" hidden="false" customHeight="true" outlineLevel="0" collapsed="false">
      <c r="A1242" s="38" t="s">
        <v>856</v>
      </c>
      <c r="B1242" s="38" t="n">
        <v>34</v>
      </c>
      <c r="C1242" s="38" t="s">
        <v>170</v>
      </c>
      <c r="D1242" s="38" t="s">
        <v>171</v>
      </c>
      <c r="E1242" s="38" t="s">
        <v>875</v>
      </c>
      <c r="F1242" s="38" t="str">
        <f aca="false">B1242&amp;"|"&amp;C1242&amp;"|"&amp;D1242</f>
        <v>34|C|U</v>
      </c>
      <c r="G1242" s="45" t="n">
        <f aca="false">INDEX('Transition Stepwise'!$J$2:$J$1137,MATCH(F1242,'Transition Stepwise'!$E$2:$E$1137,0))</f>
        <v>0.185714285714286</v>
      </c>
      <c r="H1242" s="45" t="n">
        <f aca="false">INDEX(Background!$D$12:$D$27,MATCH(C1242&amp;D1242,Background!$E$12:$E$27,0))</f>
        <v>0.196466244725738</v>
      </c>
      <c r="I1242" s="49" t="n">
        <f aca="false">LN(G1242/H1242)</f>
        <v>-0.0562812395924693</v>
      </c>
    </row>
    <row r="1243" customFormat="false" ht="15" hidden="false" customHeight="true" outlineLevel="0" collapsed="false">
      <c r="A1243" s="38" t="s">
        <v>856</v>
      </c>
      <c r="B1243" s="38" t="n">
        <v>35</v>
      </c>
      <c r="C1243" s="38" t="s">
        <v>171</v>
      </c>
      <c r="D1243" s="38" t="s">
        <v>172</v>
      </c>
      <c r="E1243" s="38" t="s">
        <v>875</v>
      </c>
      <c r="F1243" s="38" t="str">
        <f aca="false">B1243&amp;"|"&amp;C1243&amp;"|"&amp;D1243</f>
        <v>35|U|A</v>
      </c>
      <c r="G1243" s="45" t="n">
        <f aca="false">INDEX('Transition Stepwise'!$J$2:$J$1137,MATCH(F1243,'Transition Stepwise'!$E$2:$E$1137,0))</f>
        <v>0.177777777777778</v>
      </c>
      <c r="H1243" s="45" t="n">
        <f aca="false">INDEX(Background!$D$12:$D$27,MATCH(C1243&amp;D1243,Background!$E$12:$E$27,0))</f>
        <v>0.180787191460974</v>
      </c>
      <c r="I1243" s="49" t="n">
        <f aca="false">LN(G1243/H1243)</f>
        <v>-0.016786270867587</v>
      </c>
    </row>
    <row r="1244" customFormat="false" ht="15" hidden="false" customHeight="true" outlineLevel="0" collapsed="false">
      <c r="A1244" s="38" t="s">
        <v>856</v>
      </c>
      <c r="B1244" s="38" t="n">
        <v>36</v>
      </c>
      <c r="C1244" s="38" t="s">
        <v>172</v>
      </c>
      <c r="D1244" s="38" t="s">
        <v>172</v>
      </c>
      <c r="E1244" s="38" t="s">
        <v>875</v>
      </c>
      <c r="F1244" s="38" t="str">
        <f aca="false">B1244&amp;"|"&amp;C1244&amp;"|"&amp;D1244</f>
        <v>36|A|A</v>
      </c>
      <c r="G1244" s="45" t="n">
        <f aca="false">INDEX('Transition Stepwise'!$J$2:$J$1137,MATCH(F1244,'Transition Stepwise'!$E$2:$E$1137,0))</f>
        <v>0.553191489361702</v>
      </c>
      <c r="H1244" s="45" t="n">
        <f aca="false">INDEX(Background!$D$12:$D$27,MATCH(C1244&amp;D1244,Background!$E$12:$E$27,0))</f>
        <v>0.219568567026194</v>
      </c>
      <c r="I1244" s="49" t="n">
        <f aca="false">LN(G1244/H1244)</f>
        <v>0.924039653306808</v>
      </c>
    </row>
    <row r="1245" customFormat="false" ht="15" hidden="false" customHeight="true" outlineLevel="0" collapsed="false">
      <c r="A1245" s="38" t="s">
        <v>856</v>
      </c>
      <c r="B1245" s="38" t="n">
        <v>37</v>
      </c>
      <c r="C1245" s="38" t="s">
        <v>172</v>
      </c>
      <c r="D1245" s="38" t="s">
        <v>172</v>
      </c>
      <c r="E1245" s="38" t="s">
        <v>875</v>
      </c>
      <c r="F1245" s="38" t="str">
        <f aca="false">B1245&amp;"|"&amp;C1245&amp;"|"&amp;D1245</f>
        <v>37|A|A</v>
      </c>
      <c r="G1245" s="45" t="n">
        <f aca="false">INDEX('Transition Stepwise'!$J$2:$J$1137,MATCH(F1245,'Transition Stepwise'!$E$2:$E$1137,0))</f>
        <v>0.746753246753247</v>
      </c>
      <c r="H1245" s="45" t="n">
        <f aca="false">INDEX(Background!$D$12:$D$27,MATCH(C1245&amp;D1245,Background!$E$12:$E$27,0))</f>
        <v>0.219568567026194</v>
      </c>
      <c r="I1245" s="49" t="n">
        <f aca="false">LN(G1245/H1245)</f>
        <v>1.22407024294501</v>
      </c>
    </row>
    <row r="1246" customFormat="false" ht="15" hidden="false" customHeight="true" outlineLevel="0" collapsed="false">
      <c r="A1246" s="38" t="s">
        <v>856</v>
      </c>
      <c r="B1246" s="38" t="n">
        <v>38</v>
      </c>
      <c r="C1246" s="38" t="s">
        <v>172</v>
      </c>
      <c r="D1246" s="38" t="s">
        <v>172</v>
      </c>
      <c r="E1246" s="38" t="s">
        <v>875</v>
      </c>
      <c r="F1246" s="38" t="str">
        <f aca="false">B1246&amp;"|"&amp;C1246&amp;"|"&amp;D1246</f>
        <v>38|A|A</v>
      </c>
      <c r="G1246" s="45" t="n">
        <f aca="false">INDEX('Transition Stepwise'!$J$2:$J$1137,MATCH(F1246,'Transition Stepwise'!$E$2:$E$1137,0))</f>
        <v>0.113333333333333</v>
      </c>
      <c r="H1246" s="45" t="n">
        <f aca="false">INDEX(Background!$D$12:$D$27,MATCH(C1246&amp;D1246,Background!$E$12:$E$27,0))</f>
        <v>0.219568567026194</v>
      </c>
      <c r="I1246" s="49" t="n">
        <f aca="false">LN(G1246/H1246)</f>
        <v>-0.661331233044655</v>
      </c>
    </row>
    <row r="1247" customFormat="false" ht="15" hidden="false" customHeight="true" outlineLevel="0" collapsed="false">
      <c r="A1247" s="38" t="s">
        <v>856</v>
      </c>
      <c r="B1247" s="38" t="n">
        <v>39</v>
      </c>
      <c r="C1247" s="38" t="s">
        <v>172</v>
      </c>
      <c r="D1247" s="38" t="s">
        <v>172</v>
      </c>
      <c r="E1247" s="38" t="s">
        <v>875</v>
      </c>
      <c r="F1247" s="38" t="str">
        <f aca="false">B1247&amp;"|"&amp;C1247&amp;"|"&amp;D1247</f>
        <v>39|A|A</v>
      </c>
      <c r="G1247" s="45" t="n">
        <f aca="false">INDEX('Transition Stepwise'!$J$2:$J$1137,MATCH(F1247,'Transition Stepwise'!$E$2:$E$1137,0))</f>
        <v>0.0454545454545455</v>
      </c>
      <c r="H1247" s="45" t="n">
        <f aca="false">INDEX(Background!$D$12:$D$27,MATCH(C1247&amp;D1247,Background!$E$12:$E$27,0))</f>
        <v>0.219568567026194</v>
      </c>
      <c r="I1247" s="49" t="n">
        <f aca="false">LN(G1247/H1247)</f>
        <v>-1.57495173636293</v>
      </c>
    </row>
    <row r="1248" customFormat="false" ht="15" hidden="false" customHeight="true" outlineLevel="0" collapsed="false">
      <c r="A1248" s="38" t="s">
        <v>856</v>
      </c>
      <c r="B1248" s="38" t="n">
        <v>40</v>
      </c>
      <c r="C1248" s="38" t="s">
        <v>172</v>
      </c>
      <c r="D1248" s="38" t="s">
        <v>171</v>
      </c>
      <c r="E1248" s="38" t="s">
        <v>875</v>
      </c>
      <c r="F1248" s="38" t="str">
        <f aca="false">B1248&amp;"|"&amp;C1248&amp;"|"&amp;D1248</f>
        <v>40|A|U</v>
      </c>
      <c r="G1248" s="45" t="n">
        <f aca="false">INDEX('Transition Stepwise'!$J$2:$J$1137,MATCH(F1248,'Transition Stepwise'!$E$2:$E$1137,0))</f>
        <v>0.2</v>
      </c>
      <c r="H1248" s="45" t="n">
        <f aca="false">INDEX(Background!$D$12:$D$27,MATCH(C1248&amp;D1248,Background!$E$12:$E$27,0))</f>
        <v>0.194530046224961</v>
      </c>
      <c r="I1248" s="49" t="n">
        <f aca="false">LN(G1248/H1248)</f>
        <v>0.0277307361145204</v>
      </c>
    </row>
    <row r="1249" customFormat="false" ht="15" hidden="false" customHeight="true" outlineLevel="0" collapsed="false">
      <c r="A1249" s="38" t="s">
        <v>856</v>
      </c>
      <c r="B1249" s="38" t="n">
        <v>41</v>
      </c>
      <c r="C1249" s="38" t="s">
        <v>171</v>
      </c>
      <c r="D1249" s="38" t="s">
        <v>171</v>
      </c>
      <c r="E1249" s="38" t="s">
        <v>875</v>
      </c>
      <c r="F1249" s="38" t="str">
        <f aca="false">B1249&amp;"|"&amp;C1249&amp;"|"&amp;D1249</f>
        <v>41|U|U</v>
      </c>
      <c r="G1249" s="45" t="n">
        <f aca="false">INDEX('Transition Stepwise'!$J$2:$J$1137,MATCH(F1249,'Transition Stepwise'!$E$2:$E$1137,0))</f>
        <v>0.108108108108108</v>
      </c>
      <c r="H1249" s="45" t="n">
        <f aca="false">INDEX(Background!$D$12:$D$27,MATCH(C1249&amp;D1249,Background!$E$12:$E$27,0))</f>
        <v>0.220480320213476</v>
      </c>
      <c r="I1249" s="49" t="n">
        <f aca="false">LN(G1249/H1249)</f>
        <v>-0.712676712713477</v>
      </c>
    </row>
    <row r="1250" customFormat="false" ht="15" hidden="false" customHeight="true" outlineLevel="0" collapsed="false">
      <c r="A1250" s="38" t="s">
        <v>856</v>
      </c>
      <c r="B1250" s="38" t="n">
        <v>42</v>
      </c>
      <c r="C1250" s="38" t="s">
        <v>171</v>
      </c>
      <c r="D1250" s="38" t="s">
        <v>172</v>
      </c>
      <c r="E1250" s="38" t="s">
        <v>875</v>
      </c>
      <c r="F1250" s="38" t="str">
        <f aca="false">B1250&amp;"|"&amp;C1250&amp;"|"&amp;D1250</f>
        <v>42|U|A</v>
      </c>
      <c r="G1250" s="45" t="n">
        <f aca="false">INDEX('Transition Stepwise'!$J$2:$J$1137,MATCH(F1250,'Transition Stepwise'!$E$2:$E$1137,0))</f>
        <v>0.1</v>
      </c>
      <c r="H1250" s="45" t="n">
        <f aca="false">INDEX(Background!$D$12:$D$27,MATCH(C1250&amp;D1250,Background!$E$12:$E$27,0))</f>
        <v>0.180787191460974</v>
      </c>
      <c r="I1250" s="49" t="n">
        <f aca="false">LN(G1250/H1250)</f>
        <v>-0.592150415771149</v>
      </c>
    </row>
    <row r="1251" customFormat="false" ht="15" hidden="false" customHeight="true" outlineLevel="0" collapsed="false">
      <c r="A1251" s="38" t="s">
        <v>856</v>
      </c>
      <c r="B1251" s="38" t="n">
        <v>43</v>
      </c>
      <c r="C1251" s="38" t="s">
        <v>172</v>
      </c>
      <c r="D1251" s="38" t="s">
        <v>172</v>
      </c>
      <c r="E1251" s="38" t="s">
        <v>875</v>
      </c>
      <c r="F1251" s="38" t="str">
        <f aca="false">B1251&amp;"|"&amp;C1251&amp;"|"&amp;D1251</f>
        <v>43|A|A</v>
      </c>
      <c r="G1251" s="45" t="n">
        <f aca="false">INDEX('Transition Stepwise'!$J$2:$J$1137,MATCH(F1251,'Transition Stepwise'!$E$2:$E$1137,0))</f>
        <v>0.469387755102041</v>
      </c>
      <c r="H1251" s="45" t="n">
        <f aca="false">INDEX(Background!$D$12:$D$27,MATCH(C1251&amp;D1251,Background!$E$12:$E$27,0))</f>
        <v>0.219568567026194</v>
      </c>
      <c r="I1251" s="49" t="n">
        <f aca="false">LN(G1251/H1251)</f>
        <v>0.759764634813908</v>
      </c>
    </row>
    <row r="1252" customFormat="false" ht="15" hidden="false" customHeight="true" outlineLevel="0" collapsed="false">
      <c r="A1252" s="38" t="s">
        <v>856</v>
      </c>
      <c r="B1252" s="38" t="n">
        <v>44</v>
      </c>
      <c r="C1252" s="38" t="s">
        <v>172</v>
      </c>
      <c r="D1252" s="38" t="s">
        <v>169</v>
      </c>
      <c r="E1252" s="38" t="s">
        <v>875</v>
      </c>
      <c r="F1252" s="38" t="str">
        <f aca="false">B1252&amp;"|"&amp;C1252&amp;"|"&amp;D1252</f>
        <v>44|A|G</v>
      </c>
      <c r="G1252" s="45" t="n">
        <f aca="false">INDEX('Transition Stepwise'!$J$2:$J$1137,MATCH(F1252,'Transition Stepwise'!$E$2:$E$1137,0))</f>
        <v>0.852941176470588</v>
      </c>
      <c r="H1252" s="45" t="n">
        <f aca="false">INDEX(Background!$D$12:$D$27,MATCH(C1252&amp;D1252,Background!$E$12:$E$27,0))</f>
        <v>0.424884437596302</v>
      </c>
      <c r="I1252" s="49" t="n">
        <f aca="false">LN(G1252/H1252)</f>
        <v>0.696873363940791</v>
      </c>
    </row>
    <row r="1253" customFormat="false" ht="15" hidden="false" customHeight="true" outlineLevel="0" collapsed="false">
      <c r="A1253" s="38" t="s">
        <v>856</v>
      </c>
      <c r="B1253" s="38" t="n">
        <v>45</v>
      </c>
      <c r="C1253" s="38" t="s">
        <v>169</v>
      </c>
      <c r="D1253" s="38" t="s">
        <v>171</v>
      </c>
      <c r="E1253" s="38" t="s">
        <v>875</v>
      </c>
      <c r="F1253" s="38" t="str">
        <f aca="false">B1253&amp;"|"&amp;C1253&amp;"|"&amp;D1253</f>
        <v>45|G|U</v>
      </c>
      <c r="G1253" s="45" t="n">
        <f aca="false">INDEX('Transition Stepwise'!$J$2:$J$1137,MATCH(F1253,'Transition Stepwise'!$E$2:$E$1137,0))</f>
        <v>0.0364963503649635</v>
      </c>
      <c r="H1253" s="45" t="n">
        <f aca="false">INDEX(Background!$D$12:$D$27,MATCH(C1253&amp;D1253,Background!$E$12:$E$27,0))</f>
        <v>0.234763476347635</v>
      </c>
      <c r="I1253" s="49" t="n">
        <f aca="false">LN(G1253/H1253)</f>
        <v>-1.8613662580842</v>
      </c>
    </row>
    <row r="1254" customFormat="false" ht="15" hidden="false" customHeight="true" outlineLevel="0" collapsed="false">
      <c r="A1254" s="38" t="s">
        <v>856</v>
      </c>
      <c r="B1254" s="38" t="n">
        <v>46</v>
      </c>
      <c r="C1254" s="38" t="s">
        <v>171</v>
      </c>
      <c r="D1254" s="38" t="s">
        <v>171</v>
      </c>
      <c r="E1254" s="38" t="s">
        <v>875</v>
      </c>
      <c r="F1254" s="38" t="str">
        <f aca="false">B1254&amp;"|"&amp;C1254&amp;"|"&amp;D1254</f>
        <v>46|U|U</v>
      </c>
      <c r="G1254" s="45" t="n">
        <f aca="false">INDEX('Transition Stepwise'!$J$2:$J$1137,MATCH(F1254,'Transition Stepwise'!$E$2:$E$1137,0))</f>
        <v>0.125</v>
      </c>
      <c r="H1254" s="45" t="n">
        <f aca="false">INDEX(Background!$D$12:$D$27,MATCH(C1254&amp;D1254,Background!$E$12:$E$27,0))</f>
        <v>0.220480320213476</v>
      </c>
      <c r="I1254" s="49" t="n">
        <f aca="false">LN(G1254/H1254)</f>
        <v>-0.567494702868979</v>
      </c>
    </row>
    <row r="1255" customFormat="false" ht="15" hidden="false" customHeight="true" outlineLevel="0" collapsed="false">
      <c r="A1255" s="38" t="s">
        <v>856</v>
      </c>
      <c r="B1255" s="38" t="n">
        <v>47</v>
      </c>
      <c r="C1255" s="38" t="s">
        <v>171</v>
      </c>
      <c r="D1255" s="38" t="s">
        <v>169</v>
      </c>
      <c r="E1255" s="38" t="s">
        <v>875</v>
      </c>
      <c r="F1255" s="38" t="str">
        <f aca="false">B1255&amp;"|"&amp;C1255&amp;"|"&amp;D1255</f>
        <v>47|U|G</v>
      </c>
      <c r="G1255" s="45" t="n">
        <f aca="false">INDEX('Transition Stepwise'!$J$2:$J$1137,MATCH(F1255,'Transition Stepwise'!$E$2:$E$1137,0))</f>
        <v>0.0144927536231884</v>
      </c>
      <c r="H1255" s="45" t="n">
        <f aca="false">INDEX(Background!$D$12:$D$27,MATCH(C1255&amp;D1255,Background!$E$12:$E$27,0))</f>
        <v>0.221480987324883</v>
      </c>
      <c r="I1255" s="49" t="n">
        <f aca="false">LN(G1255/H1255)</f>
        <v>-2.72668797541115</v>
      </c>
    </row>
    <row r="1256" customFormat="false" ht="15" hidden="false" customHeight="true" outlineLevel="0" collapsed="false">
      <c r="A1256" s="38" t="s">
        <v>856</v>
      </c>
      <c r="B1256" s="38" t="n">
        <v>48</v>
      </c>
      <c r="C1256" s="38" t="s">
        <v>169</v>
      </c>
      <c r="D1256" s="38" t="s">
        <v>171</v>
      </c>
      <c r="E1256" s="38" t="s">
        <v>875</v>
      </c>
      <c r="F1256" s="38" t="str">
        <f aca="false">B1256&amp;"|"&amp;C1256&amp;"|"&amp;D1256</f>
        <v>48|G|U</v>
      </c>
      <c r="G1256" s="45" t="n">
        <f aca="false">INDEX('Transition Stepwise'!$J$2:$J$1137,MATCH(F1256,'Transition Stepwise'!$E$2:$E$1137,0))</f>
        <v>0.166666666666667</v>
      </c>
      <c r="H1256" s="45" t="n">
        <f aca="false">INDEX(Background!$D$12:$D$27,MATCH(C1256&amp;D1256,Background!$E$12:$E$27,0))</f>
        <v>0.234763476347635</v>
      </c>
      <c r="I1256" s="49" t="n">
        <f aca="false">LN(G1256/H1256)</f>
        <v>-0.342582713918229</v>
      </c>
    </row>
    <row r="1257" customFormat="false" ht="15" hidden="false" customHeight="true" outlineLevel="0" collapsed="false">
      <c r="A1257" s="38" t="s">
        <v>856</v>
      </c>
      <c r="B1257" s="38" t="n">
        <v>49</v>
      </c>
      <c r="C1257" s="38" t="s">
        <v>171</v>
      </c>
      <c r="D1257" s="38" t="s">
        <v>171</v>
      </c>
      <c r="E1257" s="38" t="s">
        <v>875</v>
      </c>
      <c r="F1257" s="38" t="str">
        <f aca="false">B1257&amp;"|"&amp;C1257&amp;"|"&amp;D1257</f>
        <v>49|U|U</v>
      </c>
      <c r="G1257" s="45" t="n">
        <f aca="false">INDEX('Transition Stepwise'!$J$2:$J$1137,MATCH(F1257,'Transition Stepwise'!$E$2:$E$1137,0))</f>
        <v>0.0666666666666667</v>
      </c>
      <c r="H1257" s="45" t="n">
        <f aca="false">INDEX(Background!$D$12:$D$27,MATCH(C1257&amp;D1257,Background!$E$12:$E$27,0))</f>
        <v>0.220480320213476</v>
      </c>
      <c r="I1257" s="49" t="n">
        <f aca="false">LN(G1257/H1257)</f>
        <v>-1.19610336229135</v>
      </c>
    </row>
    <row r="1258" customFormat="false" ht="15" hidden="false" customHeight="true" outlineLevel="0" collapsed="false">
      <c r="A1258" s="38" t="s">
        <v>856</v>
      </c>
      <c r="B1258" s="38" t="n">
        <v>50</v>
      </c>
      <c r="C1258" s="38" t="s">
        <v>171</v>
      </c>
      <c r="D1258" s="38" t="s">
        <v>171</v>
      </c>
      <c r="E1258" s="38" t="s">
        <v>875</v>
      </c>
      <c r="F1258" s="38" t="str">
        <f aca="false">B1258&amp;"|"&amp;C1258&amp;"|"&amp;D1258</f>
        <v>50|U|U</v>
      </c>
      <c r="G1258" s="45" t="n">
        <f aca="false">INDEX('Transition Stepwise'!$J$2:$J$1137,MATCH(F1258,'Transition Stepwise'!$E$2:$E$1137,0))</f>
        <v>0.128205128205128</v>
      </c>
      <c r="H1258" s="45" t="n">
        <f aca="false">INDEX(Background!$D$12:$D$27,MATCH(C1258&amp;D1258,Background!$E$12:$E$27,0))</f>
        <v>0.220480320213476</v>
      </c>
      <c r="I1258" s="49" t="n">
        <f aca="false">LN(G1258/H1258)</f>
        <v>-0.542176894884689</v>
      </c>
    </row>
    <row r="1259" customFormat="false" ht="15" hidden="false" customHeight="true" outlineLevel="0" collapsed="false">
      <c r="A1259" s="38" t="s">
        <v>856</v>
      </c>
      <c r="B1259" s="38" t="n">
        <v>51</v>
      </c>
      <c r="C1259" s="38" t="s">
        <v>171</v>
      </c>
      <c r="D1259" s="38" t="s">
        <v>170</v>
      </c>
      <c r="E1259" s="38" t="s">
        <v>875</v>
      </c>
      <c r="F1259" s="38" t="str">
        <f aca="false">B1259&amp;"|"&amp;C1259&amp;"|"&amp;D1259</f>
        <v>51|U|C</v>
      </c>
      <c r="G1259" s="45" t="n">
        <f aca="false">INDEX('Transition Stepwise'!$J$2:$J$1137,MATCH(F1259,'Transition Stepwise'!$E$2:$E$1137,0))</f>
        <v>0.0294117647058824</v>
      </c>
      <c r="H1259" s="45" t="n">
        <f aca="false">INDEX(Background!$D$12:$D$27,MATCH(C1259&amp;D1259,Background!$E$12:$E$27,0))</f>
        <v>0.377251501000667</v>
      </c>
      <c r="I1259" s="49" t="n">
        <f aca="false">LN(G1259/H1259)</f>
        <v>-2.55151732206974</v>
      </c>
    </row>
    <row r="1260" customFormat="false" ht="15" hidden="false" customHeight="true" outlineLevel="0" collapsed="false">
      <c r="A1260" s="38" t="s">
        <v>856</v>
      </c>
      <c r="B1260" s="38" t="n">
        <v>52</v>
      </c>
      <c r="C1260" s="38" t="s">
        <v>170</v>
      </c>
      <c r="D1260" s="38" t="s">
        <v>169</v>
      </c>
      <c r="E1260" s="38" t="s">
        <v>875</v>
      </c>
      <c r="F1260" s="38" t="str">
        <f aca="false">B1260&amp;"|"&amp;C1260&amp;"|"&amp;D1260</f>
        <v>52|C|G</v>
      </c>
      <c r="G1260" s="45" t="n">
        <f aca="false">INDEX('Transition Stepwise'!$J$2:$J$1137,MATCH(F1260,'Transition Stepwise'!$E$2:$E$1137,0))</f>
        <v>0.5</v>
      </c>
      <c r="H1260" s="45" t="n">
        <f aca="false">INDEX(Background!$D$12:$D$27,MATCH(C1260&amp;D1260,Background!$E$12:$E$27,0))</f>
        <v>0.296413502109705</v>
      </c>
      <c r="I1260" s="49" t="n">
        <f aca="false">LN(G1260/H1260)</f>
        <v>0.522852652361331</v>
      </c>
    </row>
    <row r="1261" customFormat="false" ht="15" hidden="false" customHeight="true" outlineLevel="0" collapsed="false">
      <c r="A1261" s="38" t="s">
        <v>856</v>
      </c>
      <c r="B1261" s="38" t="n">
        <v>53</v>
      </c>
      <c r="C1261" s="38" t="s">
        <v>169</v>
      </c>
      <c r="D1261" s="38" t="s">
        <v>172</v>
      </c>
      <c r="E1261" s="38" t="s">
        <v>875</v>
      </c>
      <c r="F1261" s="38" t="str">
        <f aca="false">B1261&amp;"|"&amp;C1261&amp;"|"&amp;D1261</f>
        <v>53|G|A</v>
      </c>
      <c r="G1261" s="45" t="n">
        <f aca="false">INDEX('Transition Stepwise'!$J$2:$J$1137,MATCH(F1261,'Transition Stepwise'!$E$2:$E$1137,0))</f>
        <v>0.0150753768844221</v>
      </c>
      <c r="H1261" s="45" t="n">
        <f aca="false">INDEX(Background!$D$12:$D$27,MATCH(C1261&amp;D1261,Background!$E$12:$E$27,0))</f>
        <v>0.164356435643564</v>
      </c>
      <c r="I1261" s="49" t="n">
        <f aca="false">LN(G1261/H1261)</f>
        <v>-2.38897471457762</v>
      </c>
    </row>
    <row r="1262" customFormat="false" ht="15" hidden="false" customHeight="true" outlineLevel="0" collapsed="false">
      <c r="A1262" s="38" t="s">
        <v>856</v>
      </c>
      <c r="B1262" s="38" t="n">
        <v>54</v>
      </c>
      <c r="C1262" s="38" t="s">
        <v>172</v>
      </c>
      <c r="D1262" s="38" t="s">
        <v>171</v>
      </c>
      <c r="E1262" s="38" t="s">
        <v>875</v>
      </c>
      <c r="F1262" s="38" t="str">
        <f aca="false">B1262&amp;"|"&amp;C1262&amp;"|"&amp;D1262</f>
        <v>54|A|U</v>
      </c>
      <c r="G1262" s="45" t="n">
        <f aca="false">INDEX('Transition Stepwise'!$J$2:$J$1137,MATCH(F1262,'Transition Stepwise'!$E$2:$E$1137,0))</f>
        <v>0.5</v>
      </c>
      <c r="H1262" s="45" t="n">
        <f aca="false">INDEX(Background!$D$12:$D$27,MATCH(C1262&amp;D1262,Background!$E$12:$E$27,0))</f>
        <v>0.194530046224961</v>
      </c>
      <c r="I1262" s="49" t="n">
        <f aca="false">LN(G1262/H1262)</f>
        <v>0.944021467988676</v>
      </c>
    </row>
    <row r="1263" customFormat="false" ht="15" hidden="false" customHeight="true" outlineLevel="0" collapsed="false">
      <c r="A1263" s="38" t="s">
        <v>856</v>
      </c>
      <c r="B1263" s="38" t="n">
        <v>55</v>
      </c>
      <c r="C1263" s="38" t="s">
        <v>171</v>
      </c>
      <c r="D1263" s="38" t="s">
        <v>170</v>
      </c>
      <c r="E1263" s="38" t="s">
        <v>875</v>
      </c>
      <c r="F1263" s="38" t="str">
        <f aca="false">B1263&amp;"|"&amp;C1263&amp;"|"&amp;D1263</f>
        <v>55|U|C</v>
      </c>
      <c r="G1263" s="45" t="n">
        <f aca="false">INDEX('Transition Stepwise'!$J$2:$J$1137,MATCH(F1263,'Transition Stepwise'!$E$2:$E$1137,0))</f>
        <v>0.975</v>
      </c>
      <c r="H1263" s="45" t="n">
        <f aca="false">INDEX(Background!$D$12:$D$27,MATCH(C1263&amp;D1263,Background!$E$12:$E$27,0))</f>
        <v>0.377251501000667</v>
      </c>
      <c r="I1263" s="49" t="n">
        <f aca="false">LN(G1263/H1263)</f>
        <v>0.949525394562133</v>
      </c>
    </row>
    <row r="1264" customFormat="false" ht="15" hidden="false" customHeight="true" outlineLevel="0" collapsed="false">
      <c r="A1264" s="38" t="s">
        <v>856</v>
      </c>
      <c r="B1264" s="38" t="n">
        <v>56</v>
      </c>
      <c r="C1264" s="38" t="s">
        <v>170</v>
      </c>
      <c r="D1264" s="38" t="s">
        <v>169</v>
      </c>
      <c r="E1264" s="38" t="s">
        <v>875</v>
      </c>
      <c r="F1264" s="38" t="str">
        <f aca="false">B1264&amp;"|"&amp;C1264&amp;"|"&amp;D1264</f>
        <v>56|C|G</v>
      </c>
      <c r="G1264" s="45" t="n">
        <f aca="false">INDEX('Transition Stepwise'!$J$2:$J$1137,MATCH(F1264,'Transition Stepwise'!$E$2:$E$1137,0))</f>
        <v>0.608040201005025</v>
      </c>
      <c r="H1264" s="45" t="n">
        <f aca="false">INDEX(Background!$D$12:$D$27,MATCH(C1264&amp;D1264,Background!$E$12:$E$27,0))</f>
        <v>0.296413502109705</v>
      </c>
      <c r="I1264" s="49" t="n">
        <f aca="false">LN(G1264/H1264)</f>
        <v>0.718485553793525</v>
      </c>
    </row>
    <row r="1265" customFormat="false" ht="15" hidden="false" customHeight="true" outlineLevel="0" collapsed="false">
      <c r="A1265" s="38" t="s">
        <v>856</v>
      </c>
      <c r="B1265" s="38" t="n">
        <v>57</v>
      </c>
      <c r="C1265" s="38" t="s">
        <v>169</v>
      </c>
      <c r="D1265" s="38" t="s">
        <v>171</v>
      </c>
      <c r="E1265" s="38" t="s">
        <v>875</v>
      </c>
      <c r="F1265" s="38" t="str">
        <f aca="false">B1265&amp;"|"&amp;C1265&amp;"|"&amp;D1265</f>
        <v>57|G|U</v>
      </c>
      <c r="G1265" s="45" t="n">
        <f aca="false">INDEX('Transition Stepwise'!$J$2:$J$1137,MATCH(F1265,'Transition Stepwise'!$E$2:$E$1137,0))</f>
        <v>0.008</v>
      </c>
      <c r="H1265" s="45" t="n">
        <f aca="false">INDEX(Background!$D$12:$D$27,MATCH(C1265&amp;D1265,Background!$E$12:$E$27,0))</f>
        <v>0.234763476347635</v>
      </c>
      <c r="I1265" s="49" t="n">
        <f aca="false">LN(G1265/H1265)</f>
        <v>-3.37913698199248</v>
      </c>
    </row>
    <row r="1266" customFormat="false" ht="15" hidden="false" customHeight="true" outlineLevel="0" collapsed="false">
      <c r="A1266" s="38" t="s">
        <v>856</v>
      </c>
      <c r="B1266" s="38" t="n">
        <v>58</v>
      </c>
      <c r="C1266" s="38" t="s">
        <v>171</v>
      </c>
      <c r="D1266" s="38" t="s">
        <v>171</v>
      </c>
      <c r="E1266" s="38" t="s">
        <v>875</v>
      </c>
      <c r="F1266" s="38" t="str">
        <f aca="false">B1266&amp;"|"&amp;C1266&amp;"|"&amp;D1266</f>
        <v>58|U|U</v>
      </c>
      <c r="G1266" s="45" t="n">
        <f aca="false">INDEX('Transition Stepwise'!$J$2:$J$1137,MATCH(F1266,'Transition Stepwise'!$E$2:$E$1137,0))</f>
        <v>0.2</v>
      </c>
      <c r="H1266" s="45" t="n">
        <f aca="false">INDEX(Background!$D$12:$D$27,MATCH(C1266&amp;D1266,Background!$E$12:$E$27,0))</f>
        <v>0.220480320213476</v>
      </c>
      <c r="I1266" s="49" t="n">
        <f aca="false">LN(G1266/H1266)</f>
        <v>-0.0974910736232437</v>
      </c>
    </row>
    <row r="1267" customFormat="false" ht="15" hidden="false" customHeight="true" outlineLevel="0" collapsed="false">
      <c r="A1267" s="38" t="s">
        <v>856</v>
      </c>
      <c r="B1267" s="38" t="n">
        <v>59</v>
      </c>
      <c r="C1267" s="38" t="s">
        <v>171</v>
      </c>
      <c r="D1267" s="38" t="s">
        <v>171</v>
      </c>
      <c r="E1267" s="38" t="s">
        <v>875</v>
      </c>
      <c r="F1267" s="38" t="str">
        <f aca="false">B1267&amp;"|"&amp;C1267&amp;"|"&amp;D1267</f>
        <v>59|U|U</v>
      </c>
      <c r="G1267" s="45" t="n">
        <f aca="false">INDEX('Transition Stepwise'!$J$2:$J$1137,MATCH(F1267,'Transition Stepwise'!$E$2:$E$1137,0))</f>
        <v>0.537037037037037</v>
      </c>
      <c r="H1267" s="45" t="n">
        <f aca="false">INDEX(Background!$D$12:$D$27,MATCH(C1267&amp;D1267,Background!$E$12:$E$27,0))</f>
        <v>0.220480320213476</v>
      </c>
      <c r="I1267" s="49" t="n">
        <f aca="false">LN(G1267/H1267)</f>
        <v>0.890258622233056</v>
      </c>
    </row>
    <row r="1268" customFormat="false" ht="15" hidden="false" customHeight="true" outlineLevel="0" collapsed="false">
      <c r="A1268" s="38" t="s">
        <v>856</v>
      </c>
      <c r="B1268" s="38" t="n">
        <v>60</v>
      </c>
      <c r="C1268" s="38" t="s">
        <v>171</v>
      </c>
      <c r="D1268" s="38" t="s">
        <v>170</v>
      </c>
      <c r="E1268" s="38" t="s">
        <v>875</v>
      </c>
      <c r="F1268" s="38" t="str">
        <f aca="false">B1268&amp;"|"&amp;C1268&amp;"|"&amp;D1268</f>
        <v>60|U|C</v>
      </c>
      <c r="G1268" s="45" t="n">
        <f aca="false">INDEX('Transition Stepwise'!$J$2:$J$1137,MATCH(F1268,'Transition Stepwise'!$E$2:$E$1137,0))</f>
        <v>0.975</v>
      </c>
      <c r="H1268" s="45" t="n">
        <f aca="false">INDEX(Background!$D$12:$D$27,MATCH(C1268&amp;D1268,Background!$E$12:$E$27,0))</f>
        <v>0.377251501000667</v>
      </c>
      <c r="I1268" s="49" t="n">
        <f aca="false">LN(G1268/H1268)</f>
        <v>0.949525394562133</v>
      </c>
    </row>
    <row r="1269" customFormat="false" ht="15" hidden="false" customHeight="true" outlineLevel="0" collapsed="false">
      <c r="A1269" s="38" t="s">
        <v>856</v>
      </c>
      <c r="B1269" s="38" t="n">
        <v>61</v>
      </c>
      <c r="C1269" s="38" t="s">
        <v>170</v>
      </c>
      <c r="D1269" s="38" t="s">
        <v>169</v>
      </c>
      <c r="E1269" s="38" t="s">
        <v>875</v>
      </c>
      <c r="F1269" s="38" t="str">
        <f aca="false">B1269&amp;"|"&amp;C1269&amp;"|"&amp;D1269</f>
        <v>61|C|G</v>
      </c>
      <c r="G1269" s="45" t="n">
        <f aca="false">INDEX('Transition Stepwise'!$J$2:$J$1137,MATCH(F1269,'Transition Stepwise'!$E$2:$E$1137,0))</f>
        <v>0.0149253731343284</v>
      </c>
      <c r="H1269" s="45" t="n">
        <f aca="false">INDEX(Background!$D$12:$D$27,MATCH(C1269&amp;D1269,Background!$E$12:$E$27,0))</f>
        <v>0.296413502109705</v>
      </c>
      <c r="I1269" s="49" t="n">
        <f aca="false">LN(G1269/H1269)</f>
        <v>-2.98869278646969</v>
      </c>
    </row>
    <row r="1270" customFormat="false" ht="15" hidden="false" customHeight="true" outlineLevel="0" collapsed="false">
      <c r="A1270" s="38" t="s">
        <v>856</v>
      </c>
      <c r="B1270" s="38" t="n">
        <v>62</v>
      </c>
      <c r="C1270" s="38" t="s">
        <v>169</v>
      </c>
      <c r="D1270" s="38" t="s">
        <v>172</v>
      </c>
      <c r="E1270" s="38" t="s">
        <v>875</v>
      </c>
      <c r="F1270" s="38" t="str">
        <f aca="false">B1270&amp;"|"&amp;C1270&amp;"|"&amp;D1270</f>
        <v>62|G|A</v>
      </c>
      <c r="G1270" s="45" t="n">
        <f aca="false">INDEX('Transition Stepwise'!$J$2:$J$1137,MATCH(F1270,'Transition Stepwise'!$E$2:$E$1137,0))</f>
        <v>0.166666666666667</v>
      </c>
      <c r="H1270" s="45" t="n">
        <f aca="false">INDEX(Background!$D$12:$D$27,MATCH(C1270&amp;D1270,Background!$E$12:$E$27,0))</f>
        <v>0.164356435643564</v>
      </c>
      <c r="I1270" s="49" t="n">
        <f aca="false">LN(G1270/H1270)</f>
        <v>0.0139583522507069</v>
      </c>
    </row>
    <row r="1271" customFormat="false" ht="15" hidden="false" customHeight="true" outlineLevel="0" collapsed="false">
      <c r="A1271" s="38" t="s">
        <v>856</v>
      </c>
      <c r="B1271" s="38" t="n">
        <v>63</v>
      </c>
      <c r="C1271" s="38" t="s">
        <v>172</v>
      </c>
      <c r="D1271" s="38" t="s">
        <v>172</v>
      </c>
      <c r="E1271" s="38" t="s">
        <v>875</v>
      </c>
      <c r="F1271" s="38" t="str">
        <f aca="false">B1271&amp;"|"&amp;C1271&amp;"|"&amp;D1271</f>
        <v>63|A|A</v>
      </c>
      <c r="G1271" s="45" t="n">
        <f aca="false">INDEX('Transition Stepwise'!$J$2:$J$1137,MATCH(F1271,'Transition Stepwise'!$E$2:$E$1137,0))</f>
        <v>0.192307692307692</v>
      </c>
      <c r="H1271" s="45" t="n">
        <f aca="false">INDEX(Background!$D$12:$D$27,MATCH(C1271&amp;D1271,Background!$E$12:$E$27,0))</f>
        <v>0.219568567026194</v>
      </c>
      <c r="I1271" s="49" t="n">
        <f aca="false">LN(G1271/H1271)</f>
        <v>-0.132567908591997</v>
      </c>
    </row>
    <row r="1272" customFormat="false" ht="15" hidden="false" customHeight="true" outlineLevel="0" collapsed="false">
      <c r="A1272" s="38" t="s">
        <v>856</v>
      </c>
      <c r="B1272" s="38" t="n">
        <v>64</v>
      </c>
      <c r="C1272" s="38" t="s">
        <v>172</v>
      </c>
      <c r="D1272" s="38" t="s">
        <v>172</v>
      </c>
      <c r="E1272" s="38" t="s">
        <v>875</v>
      </c>
      <c r="F1272" s="38" t="str">
        <f aca="false">B1272&amp;"|"&amp;C1272&amp;"|"&amp;D1272</f>
        <v>64|A|A</v>
      </c>
      <c r="G1272" s="45" t="n">
        <f aca="false">INDEX('Transition Stepwise'!$J$2:$J$1137,MATCH(F1272,'Transition Stepwise'!$E$2:$E$1137,0))</f>
        <v>0.0571428571428571</v>
      </c>
      <c r="H1272" s="45" t="n">
        <f aca="false">INDEX(Background!$D$12:$D$27,MATCH(C1272&amp;D1272,Background!$E$12:$E$27,0))</f>
        <v>0.219568567026194</v>
      </c>
      <c r="I1272" s="49" t="n">
        <f aca="false">LN(G1272/H1272)</f>
        <v>-1.34611016393408</v>
      </c>
    </row>
    <row r="1273" customFormat="false" ht="15" hidden="false" customHeight="true" outlineLevel="0" collapsed="false">
      <c r="A1273" s="38" t="s">
        <v>856</v>
      </c>
      <c r="B1273" s="38" t="n">
        <v>65</v>
      </c>
      <c r="C1273" s="38" t="s">
        <v>172</v>
      </c>
      <c r="D1273" s="38" t="s">
        <v>172</v>
      </c>
      <c r="E1273" s="38" t="s">
        <v>875</v>
      </c>
      <c r="F1273" s="38" t="str">
        <f aca="false">B1273&amp;"|"&amp;C1273&amp;"|"&amp;D1273</f>
        <v>65|A|A</v>
      </c>
      <c r="G1273" s="45" t="n">
        <f aca="false">INDEX('Transition Stepwise'!$J$2:$J$1137,MATCH(F1273,'Transition Stepwise'!$E$2:$E$1137,0))</f>
        <v>0.153846153846154</v>
      </c>
      <c r="H1273" s="45" t="n">
        <f aca="false">INDEX(Background!$D$12:$D$27,MATCH(C1273&amp;D1273,Background!$E$12:$E$27,0))</f>
        <v>0.219568567026194</v>
      </c>
      <c r="I1273" s="49" t="n">
        <f aca="false">LN(G1273/H1273)</f>
        <v>-0.355711459906207</v>
      </c>
    </row>
    <row r="1274" customFormat="false" ht="15" hidden="false" customHeight="true" outlineLevel="0" collapsed="false">
      <c r="A1274" s="38" t="s">
        <v>856</v>
      </c>
      <c r="B1274" s="38" t="n">
        <v>66</v>
      </c>
      <c r="C1274" s="38" t="s">
        <v>172</v>
      </c>
      <c r="D1274" s="38" t="s">
        <v>171</v>
      </c>
      <c r="E1274" s="38" t="s">
        <v>875</v>
      </c>
      <c r="F1274" s="38" t="str">
        <f aca="false">B1274&amp;"|"&amp;C1274&amp;"|"&amp;D1274</f>
        <v>66|A|U</v>
      </c>
      <c r="G1274" s="45" t="n">
        <f aca="false">INDEX('Transition Stepwise'!$J$2:$J$1137,MATCH(F1274,'Transition Stepwise'!$E$2:$E$1137,0))</f>
        <v>0.25531914893617</v>
      </c>
      <c r="H1274" s="45" t="n">
        <f aca="false">INDEX(Background!$D$12:$D$27,MATCH(C1274&amp;D1274,Background!$E$12:$E$27,0))</f>
        <v>0.194530046224961</v>
      </c>
      <c r="I1274" s="49" t="n">
        <f aca="false">LN(G1274/H1274)</f>
        <v>0.271927696626562</v>
      </c>
    </row>
    <row r="1275" customFormat="false" ht="15" hidden="false" customHeight="true" outlineLevel="0" collapsed="false">
      <c r="A1275" s="38" t="s">
        <v>856</v>
      </c>
      <c r="B1275" s="38" t="n">
        <v>67</v>
      </c>
      <c r="C1275" s="38" t="s">
        <v>171</v>
      </c>
      <c r="D1275" s="38" t="s">
        <v>169</v>
      </c>
      <c r="E1275" s="38" t="s">
        <v>875</v>
      </c>
      <c r="F1275" s="38" t="str">
        <f aca="false">B1275&amp;"|"&amp;C1275&amp;"|"&amp;D1275</f>
        <v>67|U|G</v>
      </c>
      <c r="G1275" s="45" t="n">
        <f aca="false">INDEX('Transition Stepwise'!$J$2:$J$1137,MATCH(F1275,'Transition Stepwise'!$E$2:$E$1137,0))</f>
        <v>0.285714285714286</v>
      </c>
      <c r="H1275" s="45" t="n">
        <f aca="false">INDEX(Background!$D$12:$D$27,MATCH(C1275&amp;D1275,Background!$E$12:$E$27,0))</f>
        <v>0.221480987324883</v>
      </c>
      <c r="I1275" s="49" t="n">
        <f aca="false">LN(G1275/H1275)</f>
        <v>0.254655560690741</v>
      </c>
    </row>
    <row r="1276" customFormat="false" ht="15" hidden="false" customHeight="true" outlineLevel="0" collapsed="false">
      <c r="A1276" s="38" t="s">
        <v>856</v>
      </c>
      <c r="B1276" s="38" t="n">
        <v>68</v>
      </c>
      <c r="C1276" s="38" t="s">
        <v>169</v>
      </c>
      <c r="D1276" s="38" t="s">
        <v>172</v>
      </c>
      <c r="E1276" s="38" t="s">
        <v>875</v>
      </c>
      <c r="F1276" s="38" t="str">
        <f aca="false">B1276&amp;"|"&amp;C1276&amp;"|"&amp;D1276</f>
        <v>68|G|A</v>
      </c>
      <c r="G1276" s="45" t="n">
        <f aca="false">INDEX('Transition Stepwise'!$J$2:$J$1137,MATCH(F1276,'Transition Stepwise'!$E$2:$E$1137,0))</f>
        <v>0.153846153846154</v>
      </c>
      <c r="H1276" s="45" t="n">
        <f aca="false">INDEX(Background!$D$12:$D$27,MATCH(C1276&amp;D1276,Background!$E$12:$E$27,0))</f>
        <v>0.164356435643564</v>
      </c>
      <c r="I1276" s="49" t="n">
        <f aca="false">LN(G1276/H1276)</f>
        <v>-0.0660843554228295</v>
      </c>
    </row>
    <row r="1277" customFormat="false" ht="15" hidden="false" customHeight="true" outlineLevel="0" collapsed="false">
      <c r="A1277" s="38" t="s">
        <v>856</v>
      </c>
      <c r="B1277" s="38" t="n">
        <v>69</v>
      </c>
      <c r="C1277" s="38" t="s">
        <v>172</v>
      </c>
      <c r="D1277" s="38" t="s">
        <v>172</v>
      </c>
      <c r="E1277" s="38" t="s">
        <v>875</v>
      </c>
      <c r="F1277" s="38" t="str">
        <f aca="false">B1277&amp;"|"&amp;C1277&amp;"|"&amp;D1277</f>
        <v>69|A|A</v>
      </c>
      <c r="G1277" s="45" t="n">
        <f aca="false">INDEX('Transition Stepwise'!$J$2:$J$1137,MATCH(F1277,'Transition Stepwise'!$E$2:$E$1137,0))</f>
        <v>0.206896551724138</v>
      </c>
      <c r="H1277" s="45" t="n">
        <f aca="false">INDEX(Background!$D$12:$D$27,MATCH(C1277&amp;D1277,Background!$E$12:$E$27,0))</f>
        <v>0.219568567026194</v>
      </c>
      <c r="I1277" s="49" t="n">
        <f aca="false">LN(G1277/H1277)</f>
        <v>-0.0594456437630343</v>
      </c>
    </row>
    <row r="1278" customFormat="false" ht="15" hidden="false" customHeight="true" outlineLevel="0" collapsed="false">
      <c r="A1278" s="38" t="s">
        <v>856</v>
      </c>
      <c r="B1278" s="38" t="n">
        <v>70</v>
      </c>
      <c r="C1278" s="38" t="s">
        <v>172</v>
      </c>
      <c r="D1278" s="38" t="s">
        <v>169</v>
      </c>
      <c r="E1278" s="38" t="s">
        <v>875</v>
      </c>
      <c r="F1278" s="38" t="str">
        <f aca="false">B1278&amp;"|"&amp;C1278&amp;"|"&amp;D1278</f>
        <v>70|A|G</v>
      </c>
      <c r="G1278" s="45" t="n">
        <f aca="false">INDEX('Transition Stepwise'!$J$2:$J$1137,MATCH(F1278,'Transition Stepwise'!$E$2:$E$1137,0))</f>
        <v>0.555555555555556</v>
      </c>
      <c r="H1278" s="45" t="n">
        <f aca="false">INDEX(Background!$D$12:$D$27,MATCH(C1278&amp;D1278,Background!$E$12:$E$27,0))</f>
        <v>0.424884437596302</v>
      </c>
      <c r="I1278" s="49" t="n">
        <f aca="false">LN(G1278/H1278)</f>
        <v>0.268151393668359</v>
      </c>
    </row>
    <row r="1279" customFormat="false" ht="15" hidden="false" customHeight="true" outlineLevel="0" collapsed="false">
      <c r="A1279" s="38" t="s">
        <v>856</v>
      </c>
      <c r="B1279" s="38" t="n">
        <v>71</v>
      </c>
      <c r="C1279" s="38" t="s">
        <v>169</v>
      </c>
      <c r="D1279" s="38" t="s">
        <v>169</v>
      </c>
      <c r="E1279" s="38" t="s">
        <v>875</v>
      </c>
      <c r="F1279" s="38" t="str">
        <f aca="false">B1279&amp;"|"&amp;C1279&amp;"|"&amp;D1279</f>
        <v>71|G|G</v>
      </c>
      <c r="G1279" s="45" t="n">
        <f aca="false">INDEX('Transition Stepwise'!$J$2:$J$1137,MATCH(F1279,'Transition Stepwise'!$E$2:$E$1137,0))</f>
        <v>0.0581395348837209</v>
      </c>
      <c r="H1279" s="45" t="n">
        <f aca="false">INDEX(Background!$D$12:$D$27,MATCH(C1279&amp;D1279,Background!$E$12:$E$27,0))</f>
        <v>0.344774477447745</v>
      </c>
      <c r="I1279" s="49" t="n">
        <f aca="false">LN(G1279/H1279)</f>
        <v>-1.78004461956385</v>
      </c>
    </row>
    <row r="1280" customFormat="false" ht="15" hidden="false" customHeight="true" outlineLevel="0" collapsed="false">
      <c r="A1280" s="38" t="s">
        <v>857</v>
      </c>
      <c r="B1280" s="38" t="n">
        <v>1</v>
      </c>
      <c r="C1280" s="38" t="s">
        <v>169</v>
      </c>
      <c r="D1280" s="38" t="s">
        <v>172</v>
      </c>
      <c r="E1280" s="38" t="s">
        <v>875</v>
      </c>
      <c r="F1280" s="38" t="str">
        <f aca="false">B1280&amp;"|"&amp;C1280&amp;"|"&amp;D1280</f>
        <v>1|G|A</v>
      </c>
      <c r="G1280" s="45" t="n">
        <f aca="false">INDEX('Transition Stepwise'!$J$2:$J$1137,MATCH(F1280,'Transition Stepwise'!$E$2:$E$1137,0))</f>
        <v>0.0448717948717949</v>
      </c>
      <c r="H1280" s="45" t="n">
        <f aca="false">INDEX(Background!$D$12:$D$27,MATCH(C1280&amp;D1280,Background!$E$12:$E$27,0))</f>
        <v>0.164356435643564</v>
      </c>
      <c r="I1280" s="49" t="n">
        <f aca="false">LN(G1280/H1280)</f>
        <v>-1.29822803671546</v>
      </c>
    </row>
    <row r="1281" customFormat="false" ht="15" hidden="false" customHeight="true" outlineLevel="0" collapsed="false">
      <c r="A1281" s="38" t="s">
        <v>857</v>
      </c>
      <c r="B1281" s="38" t="n">
        <v>2</v>
      </c>
      <c r="C1281" s="38" t="s">
        <v>172</v>
      </c>
      <c r="D1281" s="38" t="s">
        <v>172</v>
      </c>
      <c r="E1281" s="38" t="s">
        <v>875</v>
      </c>
      <c r="F1281" s="38" t="str">
        <f aca="false">B1281&amp;"|"&amp;C1281&amp;"|"&amp;D1281</f>
        <v>2|A|A</v>
      </c>
      <c r="G1281" s="45" t="n">
        <f aca="false">INDEX('Transition Stepwise'!$J$2:$J$1137,MATCH(F1281,'Transition Stepwise'!$E$2:$E$1137,0))</f>
        <v>0.1</v>
      </c>
      <c r="H1281" s="45" t="n">
        <f aca="false">INDEX(Background!$D$12:$D$27,MATCH(C1281&amp;D1281,Background!$E$12:$E$27,0))</f>
        <v>0.219568567026194</v>
      </c>
      <c r="I1281" s="49" t="n">
        <f aca="false">LN(G1281/H1281)</f>
        <v>-0.786494375998661</v>
      </c>
    </row>
    <row r="1282" customFormat="false" ht="15" hidden="false" customHeight="true" outlineLevel="0" collapsed="false">
      <c r="A1282" s="38" t="s">
        <v>857</v>
      </c>
      <c r="B1282" s="38" t="n">
        <v>3</v>
      </c>
      <c r="C1282" s="38" t="s">
        <v>172</v>
      </c>
      <c r="D1282" s="38" t="s">
        <v>172</v>
      </c>
      <c r="E1282" s="38" t="s">
        <v>875</v>
      </c>
      <c r="F1282" s="38" t="str">
        <f aca="false">B1282&amp;"|"&amp;C1282&amp;"|"&amp;D1282</f>
        <v>3|A|A</v>
      </c>
      <c r="G1282" s="45" t="n">
        <f aca="false">INDEX('Transition Stepwise'!$J$2:$J$1137,MATCH(F1282,'Transition Stepwise'!$E$2:$E$1137,0))</f>
        <v>0.166666666666667</v>
      </c>
      <c r="H1282" s="45" t="n">
        <f aca="false">INDEX(Background!$D$12:$D$27,MATCH(C1282&amp;D1282,Background!$E$12:$E$27,0))</f>
        <v>0.219568567026194</v>
      </c>
      <c r="I1282" s="49" t="n">
        <f aca="false">LN(G1282/H1282)</f>
        <v>-0.27566875223267</v>
      </c>
    </row>
    <row r="1283" customFormat="false" ht="15" hidden="false" customHeight="true" outlineLevel="0" collapsed="false">
      <c r="A1283" s="38" t="s">
        <v>857</v>
      </c>
      <c r="B1283" s="38" t="n">
        <v>4</v>
      </c>
      <c r="C1283" s="38" t="s">
        <v>172</v>
      </c>
      <c r="D1283" s="38" t="s">
        <v>171</v>
      </c>
      <c r="E1283" s="38" t="s">
        <v>875</v>
      </c>
      <c r="F1283" s="38" t="str">
        <f aca="false">B1283&amp;"|"&amp;C1283&amp;"|"&amp;D1283</f>
        <v>4|A|U</v>
      </c>
      <c r="G1283" s="45" t="n">
        <f aca="false">INDEX('Transition Stepwise'!$J$2:$J$1137,MATCH(F1283,'Transition Stepwise'!$E$2:$E$1137,0))</f>
        <v>0.105263157894737</v>
      </c>
      <c r="H1283" s="45" t="n">
        <f aca="false">INDEX(Background!$D$12:$D$27,MATCH(C1283&amp;D1283,Background!$E$12:$E$27,0))</f>
        <v>0.194530046224961</v>
      </c>
      <c r="I1283" s="49" t="n">
        <f aca="false">LN(G1283/H1283)</f>
        <v>-0.614123150057874</v>
      </c>
    </row>
    <row r="1284" customFormat="false" ht="15" hidden="false" customHeight="true" outlineLevel="0" collapsed="false">
      <c r="A1284" s="38" t="s">
        <v>857</v>
      </c>
      <c r="B1284" s="38" t="n">
        <v>5</v>
      </c>
      <c r="C1284" s="38" t="s">
        <v>171</v>
      </c>
      <c r="D1284" s="38" t="s">
        <v>171</v>
      </c>
      <c r="E1284" s="38" t="s">
        <v>875</v>
      </c>
      <c r="F1284" s="38" t="str">
        <f aca="false">B1284&amp;"|"&amp;C1284&amp;"|"&amp;D1284</f>
        <v>5|U|U</v>
      </c>
      <c r="G1284" s="45" t="n">
        <f aca="false">INDEX('Transition Stepwise'!$J$2:$J$1137,MATCH(F1284,'Transition Stepwise'!$E$2:$E$1137,0))</f>
        <v>0.24</v>
      </c>
      <c r="H1284" s="45" t="n">
        <f aca="false">INDEX(Background!$D$12:$D$27,MATCH(C1284&amp;D1284,Background!$E$12:$E$27,0))</f>
        <v>0.220480320213476</v>
      </c>
      <c r="I1284" s="49" t="n">
        <f aca="false">LN(G1284/H1284)</f>
        <v>0.0848304831707108</v>
      </c>
    </row>
    <row r="1285" customFormat="false" ht="15" hidden="false" customHeight="true" outlineLevel="0" collapsed="false">
      <c r="A1285" s="38" t="s">
        <v>857</v>
      </c>
      <c r="B1285" s="38" t="n">
        <v>6</v>
      </c>
      <c r="C1285" s="38" t="s">
        <v>171</v>
      </c>
      <c r="D1285" s="38" t="s">
        <v>171</v>
      </c>
      <c r="E1285" s="38" t="s">
        <v>875</v>
      </c>
      <c r="F1285" s="38" t="str">
        <f aca="false">B1285&amp;"|"&amp;C1285&amp;"|"&amp;D1285</f>
        <v>6|U|U</v>
      </c>
      <c r="G1285" s="45" t="n">
        <f aca="false">INDEX('Transition Stepwise'!$J$2:$J$1137,MATCH(F1285,'Transition Stepwise'!$E$2:$E$1137,0))</f>
        <v>0.0892857142857143</v>
      </c>
      <c r="H1285" s="45" t="n">
        <f aca="false">INDEX(Background!$D$12:$D$27,MATCH(C1285&amp;D1285,Background!$E$12:$E$27,0))</f>
        <v>0.220480320213476</v>
      </c>
      <c r="I1285" s="49" t="n">
        <f aca="false">LN(G1285/H1285)</f>
        <v>-0.903966939490192</v>
      </c>
    </row>
    <row r="1286" customFormat="false" ht="15" hidden="false" customHeight="true" outlineLevel="0" collapsed="false">
      <c r="A1286" s="38" t="s">
        <v>857</v>
      </c>
      <c r="B1286" s="38" t="n">
        <v>7</v>
      </c>
      <c r="C1286" s="38" t="s">
        <v>171</v>
      </c>
      <c r="D1286" s="38" t="s">
        <v>171</v>
      </c>
      <c r="E1286" s="38" t="s">
        <v>875</v>
      </c>
      <c r="F1286" s="38" t="str">
        <f aca="false">B1286&amp;"|"&amp;C1286&amp;"|"&amp;D1286</f>
        <v>7|U|U</v>
      </c>
      <c r="G1286" s="45" t="n">
        <f aca="false">INDEX('Transition Stepwise'!$J$2:$J$1137,MATCH(F1286,'Transition Stepwise'!$E$2:$E$1137,0))</f>
        <v>0.9375</v>
      </c>
      <c r="H1286" s="45" t="n">
        <f aca="false">INDEX(Background!$D$12:$D$27,MATCH(C1286&amp;D1286,Background!$E$12:$E$27,0))</f>
        <v>0.220480320213476</v>
      </c>
      <c r="I1286" s="49" t="n">
        <f aca="false">LN(G1286/H1286)</f>
        <v>1.44740831767329</v>
      </c>
    </row>
    <row r="1287" customFormat="false" ht="15" hidden="false" customHeight="true" outlineLevel="0" collapsed="false">
      <c r="A1287" s="38" t="s">
        <v>857</v>
      </c>
      <c r="B1287" s="38" t="n">
        <v>8</v>
      </c>
      <c r="C1287" s="38" t="s">
        <v>171</v>
      </c>
      <c r="D1287" s="38" t="s">
        <v>171</v>
      </c>
      <c r="E1287" s="38" t="s">
        <v>875</v>
      </c>
      <c r="F1287" s="38" t="str">
        <f aca="false">B1287&amp;"|"&amp;C1287&amp;"|"&amp;D1287</f>
        <v>8|U|U</v>
      </c>
      <c r="G1287" s="45" t="n">
        <f aca="false">INDEX('Transition Stepwise'!$J$2:$J$1137,MATCH(F1287,'Transition Stepwise'!$E$2:$E$1137,0))</f>
        <v>0.005</v>
      </c>
      <c r="H1287" s="45" t="n">
        <f aca="false">INDEX(Background!$D$12:$D$27,MATCH(C1287&amp;D1287,Background!$E$12:$E$27,0))</f>
        <v>0.220480320213476</v>
      </c>
      <c r="I1287" s="49" t="n">
        <f aca="false">LN(G1287/H1287)</f>
        <v>-3.78637052773718</v>
      </c>
    </row>
    <row r="1288" customFormat="false" ht="15" hidden="false" customHeight="true" outlineLevel="0" collapsed="false">
      <c r="A1288" s="38" t="s">
        <v>857</v>
      </c>
      <c r="B1288" s="38" t="n">
        <v>9</v>
      </c>
      <c r="C1288" s="38" t="s">
        <v>171</v>
      </c>
      <c r="D1288" s="38" t="s">
        <v>172</v>
      </c>
      <c r="E1288" s="38" t="s">
        <v>875</v>
      </c>
      <c r="F1288" s="38" t="str">
        <f aca="false">B1288&amp;"|"&amp;C1288&amp;"|"&amp;D1288</f>
        <v>9|U|A</v>
      </c>
      <c r="G1288" s="45" t="n">
        <f aca="false">INDEX('Transition Stepwise'!$J$2:$J$1137,MATCH(F1288,'Transition Stepwise'!$E$2:$E$1137,0))</f>
        <v>0.25</v>
      </c>
      <c r="H1288" s="45" t="n">
        <f aca="false">INDEX(Background!$D$12:$D$27,MATCH(C1288&amp;D1288,Background!$E$12:$E$27,0))</f>
        <v>0.180787191460974</v>
      </c>
      <c r="I1288" s="49" t="n">
        <f aca="false">LN(G1288/H1288)</f>
        <v>0.324140316103006</v>
      </c>
    </row>
    <row r="1289" customFormat="false" ht="15" hidden="false" customHeight="true" outlineLevel="0" collapsed="false">
      <c r="A1289" s="38" t="s">
        <v>857</v>
      </c>
      <c r="B1289" s="38" t="n">
        <v>10</v>
      </c>
      <c r="C1289" s="38" t="s">
        <v>172</v>
      </c>
      <c r="D1289" s="38" t="s">
        <v>171</v>
      </c>
      <c r="E1289" s="38" t="s">
        <v>875</v>
      </c>
      <c r="F1289" s="38" t="str">
        <f aca="false">B1289&amp;"|"&amp;C1289&amp;"|"&amp;D1289</f>
        <v>10|A|U</v>
      </c>
      <c r="G1289" s="45" t="n">
        <f aca="false">INDEX('Transition Stepwise'!$J$2:$J$1137,MATCH(F1289,'Transition Stepwise'!$E$2:$E$1137,0))</f>
        <v>0.25</v>
      </c>
      <c r="H1289" s="45" t="n">
        <f aca="false">INDEX(Background!$D$12:$D$27,MATCH(C1289&amp;D1289,Background!$E$12:$E$27,0))</f>
        <v>0.194530046224961</v>
      </c>
      <c r="I1289" s="49" t="n">
        <f aca="false">LN(G1289/H1289)</f>
        <v>0.25087428742873</v>
      </c>
    </row>
    <row r="1290" customFormat="false" ht="15" hidden="false" customHeight="true" outlineLevel="0" collapsed="false">
      <c r="A1290" s="38" t="s">
        <v>857</v>
      </c>
      <c r="B1290" s="38" t="n">
        <v>11</v>
      </c>
      <c r="C1290" s="38" t="s">
        <v>171</v>
      </c>
      <c r="D1290" s="38" t="s">
        <v>171</v>
      </c>
      <c r="E1290" s="38" t="s">
        <v>875</v>
      </c>
      <c r="F1290" s="38" t="str">
        <f aca="false">B1290&amp;"|"&amp;C1290&amp;"|"&amp;D1290</f>
        <v>11|U|U</v>
      </c>
      <c r="G1290" s="45" t="n">
        <f aca="false">INDEX('Transition Stepwise'!$J$2:$J$1137,MATCH(F1290,'Transition Stepwise'!$E$2:$E$1137,0))</f>
        <v>0.272727272727273</v>
      </c>
      <c r="H1290" s="45" t="n">
        <f aca="false">INDEX(Background!$D$12:$D$27,MATCH(C1290&amp;D1290,Background!$E$12:$E$27,0))</f>
        <v>0.220480320213476</v>
      </c>
      <c r="I1290" s="49" t="n">
        <f aca="false">LN(G1290/H1290)</f>
        <v>0.212663854680596</v>
      </c>
    </row>
    <row r="1291" customFormat="false" ht="15" hidden="false" customHeight="true" outlineLevel="0" collapsed="false">
      <c r="A1291" s="38" t="s">
        <v>857</v>
      </c>
      <c r="B1291" s="38" t="n">
        <v>12</v>
      </c>
      <c r="C1291" s="38" t="s">
        <v>171</v>
      </c>
      <c r="D1291" s="38" t="s">
        <v>171</v>
      </c>
      <c r="E1291" s="38" t="s">
        <v>875</v>
      </c>
      <c r="F1291" s="38" t="str">
        <f aca="false">B1291&amp;"|"&amp;C1291&amp;"|"&amp;D1291</f>
        <v>12|U|U</v>
      </c>
      <c r="G1291" s="45" t="n">
        <f aca="false">INDEX('Transition Stepwise'!$J$2:$J$1137,MATCH(F1291,'Transition Stepwise'!$E$2:$E$1137,0))</f>
        <v>0.0975609756097561</v>
      </c>
      <c r="H1291" s="45" t="n">
        <f aca="false">INDEX(Background!$D$12:$D$27,MATCH(C1291&amp;D1291,Background!$E$12:$E$27,0))</f>
        <v>0.220480320213476</v>
      </c>
      <c r="I1291" s="49" t="n">
        <f aca="false">LN(G1291/H1291)</f>
        <v>-0.81533086677356</v>
      </c>
    </row>
    <row r="1292" customFormat="false" ht="15" hidden="false" customHeight="true" outlineLevel="0" collapsed="false">
      <c r="A1292" s="38" t="s">
        <v>857</v>
      </c>
      <c r="B1292" s="38" t="n">
        <v>13</v>
      </c>
      <c r="C1292" s="38" t="s">
        <v>171</v>
      </c>
      <c r="D1292" s="38" t="s">
        <v>172</v>
      </c>
      <c r="E1292" s="38" t="s">
        <v>875</v>
      </c>
      <c r="F1292" s="38" t="str">
        <f aca="false">B1292&amp;"|"&amp;C1292&amp;"|"&amp;D1292</f>
        <v>13|U|A</v>
      </c>
      <c r="G1292" s="45" t="n">
        <f aca="false">INDEX('Transition Stepwise'!$J$2:$J$1137,MATCH(F1292,'Transition Stepwise'!$E$2:$E$1137,0))</f>
        <v>0.928571428571429</v>
      </c>
      <c r="H1292" s="45" t="n">
        <f aca="false">INDEX(Background!$D$12:$D$27,MATCH(C1292&amp;D1292,Background!$E$12:$E$27,0))</f>
        <v>0.180787191460974</v>
      </c>
      <c r="I1292" s="49" t="n">
        <f aca="false">LN(G1292/H1292)</f>
        <v>1.63632670506918</v>
      </c>
    </row>
    <row r="1293" customFormat="false" ht="15" hidden="false" customHeight="true" outlineLevel="0" collapsed="false">
      <c r="A1293" s="38" t="s">
        <v>857</v>
      </c>
      <c r="B1293" s="38" t="n">
        <v>14</v>
      </c>
      <c r="C1293" s="38" t="s">
        <v>172</v>
      </c>
      <c r="D1293" s="38" t="s">
        <v>171</v>
      </c>
      <c r="E1293" s="38" t="s">
        <v>875</v>
      </c>
      <c r="F1293" s="38" t="str">
        <f aca="false">B1293&amp;"|"&amp;C1293&amp;"|"&amp;D1293</f>
        <v>14|A|U</v>
      </c>
      <c r="G1293" s="45" t="n">
        <f aca="false">INDEX('Transition Stepwise'!$J$2:$J$1137,MATCH(F1293,'Transition Stepwise'!$E$2:$E$1137,0))</f>
        <v>0.015</v>
      </c>
      <c r="H1293" s="45" t="n">
        <f aca="false">INDEX(Background!$D$12:$D$27,MATCH(C1293&amp;D1293,Background!$E$12:$E$27,0))</f>
        <v>0.194530046224961</v>
      </c>
      <c r="I1293" s="49" t="n">
        <f aca="false">LN(G1293/H1293)</f>
        <v>-2.56253642933131</v>
      </c>
    </row>
    <row r="1294" customFormat="false" ht="15" hidden="false" customHeight="true" outlineLevel="0" collapsed="false">
      <c r="A1294" s="38" t="s">
        <v>857</v>
      </c>
      <c r="B1294" s="38" t="n">
        <v>15</v>
      </c>
      <c r="C1294" s="38" t="s">
        <v>171</v>
      </c>
      <c r="D1294" s="38" t="s">
        <v>171</v>
      </c>
      <c r="E1294" s="38" t="s">
        <v>875</v>
      </c>
      <c r="F1294" s="38" t="str">
        <f aca="false">B1294&amp;"|"&amp;C1294&amp;"|"&amp;D1294</f>
        <v>15|U|U</v>
      </c>
      <c r="G1294" s="45" t="n">
        <f aca="false">INDEX('Transition Stepwise'!$J$2:$J$1137,MATCH(F1294,'Transition Stepwise'!$E$2:$E$1137,0))</f>
        <v>0.2</v>
      </c>
      <c r="H1294" s="45" t="n">
        <f aca="false">INDEX(Background!$D$12:$D$27,MATCH(C1294&amp;D1294,Background!$E$12:$E$27,0))</f>
        <v>0.220480320213476</v>
      </c>
      <c r="I1294" s="49" t="n">
        <f aca="false">LN(G1294/H1294)</f>
        <v>-0.0974910736232437</v>
      </c>
    </row>
    <row r="1295" customFormat="false" ht="15" hidden="false" customHeight="true" outlineLevel="0" collapsed="false">
      <c r="A1295" s="38" t="s">
        <v>857</v>
      </c>
      <c r="B1295" s="38" t="n">
        <v>16</v>
      </c>
      <c r="C1295" s="38" t="s">
        <v>171</v>
      </c>
      <c r="D1295" s="38" t="s">
        <v>169</v>
      </c>
      <c r="E1295" s="38" t="s">
        <v>875</v>
      </c>
      <c r="F1295" s="38" t="str">
        <f aca="false">B1295&amp;"|"&amp;C1295&amp;"|"&amp;D1295</f>
        <v>16|U|G</v>
      </c>
      <c r="G1295" s="45" t="n">
        <f aca="false">INDEX('Transition Stepwise'!$J$2:$J$1137,MATCH(F1295,'Transition Stepwise'!$E$2:$E$1137,0))</f>
        <v>0.024390243902439</v>
      </c>
      <c r="H1295" s="45" t="n">
        <f aca="false">INDEX(Background!$D$12:$D$27,MATCH(C1295&amp;D1295,Background!$E$12:$E$27,0))</f>
        <v>0.221480987324883</v>
      </c>
      <c r="I1295" s="49" t="n">
        <f aca="false">LN(G1295/H1295)</f>
        <v>-2.2061535375182</v>
      </c>
    </row>
    <row r="1296" customFormat="false" ht="15" hidden="false" customHeight="true" outlineLevel="0" collapsed="false">
      <c r="A1296" s="38" t="s">
        <v>857</v>
      </c>
      <c r="B1296" s="38" t="n">
        <v>17</v>
      </c>
      <c r="C1296" s="38" t="s">
        <v>169</v>
      </c>
      <c r="D1296" s="38" t="s">
        <v>169</v>
      </c>
      <c r="E1296" s="38" t="s">
        <v>875</v>
      </c>
      <c r="F1296" s="38" t="str">
        <f aca="false">B1296&amp;"|"&amp;C1296&amp;"|"&amp;D1296</f>
        <v>17|G|G</v>
      </c>
      <c r="G1296" s="45" t="n">
        <f aca="false">INDEX('Transition Stepwise'!$J$2:$J$1137,MATCH(F1296,'Transition Stepwise'!$E$2:$E$1137,0))</f>
        <v>0.75</v>
      </c>
      <c r="H1296" s="45" t="n">
        <f aca="false">INDEX(Background!$D$12:$D$27,MATCH(C1296&amp;D1296,Background!$E$12:$E$27,0))</f>
        <v>0.344774477447745</v>
      </c>
      <c r="I1296" s="49" t="n">
        <f aca="false">LN(G1296/H1296)</f>
        <v>0.777182691803778</v>
      </c>
    </row>
    <row r="1297" customFormat="false" ht="15" hidden="false" customHeight="true" outlineLevel="0" collapsed="false">
      <c r="A1297" s="38" t="s">
        <v>857</v>
      </c>
      <c r="B1297" s="38" t="n">
        <v>18</v>
      </c>
      <c r="C1297" s="38" t="s">
        <v>169</v>
      </c>
      <c r="D1297" s="38" t="s">
        <v>169</v>
      </c>
      <c r="E1297" s="38" t="s">
        <v>875</v>
      </c>
      <c r="F1297" s="38" t="str">
        <f aca="false">B1297&amp;"|"&amp;C1297&amp;"|"&amp;D1297</f>
        <v>18|G|G</v>
      </c>
      <c r="G1297" s="45" t="n">
        <f aca="false">INDEX('Transition Stepwise'!$J$2:$J$1137,MATCH(F1297,'Transition Stepwise'!$E$2:$E$1137,0))</f>
        <v>0.975247524752475</v>
      </c>
      <c r="H1297" s="45" t="n">
        <f aca="false">INDEX(Background!$D$12:$D$27,MATCH(C1297&amp;D1297,Background!$E$12:$E$27,0))</f>
        <v>0.344774477447745</v>
      </c>
      <c r="I1297" s="49" t="n">
        <f aca="false">LN(G1297/H1297)</f>
        <v>1.03980079559234</v>
      </c>
    </row>
    <row r="1298" customFormat="false" ht="15" hidden="false" customHeight="true" outlineLevel="0" collapsed="false">
      <c r="A1298" s="38" t="s">
        <v>857</v>
      </c>
      <c r="B1298" s="38" t="n">
        <v>19</v>
      </c>
      <c r="C1298" s="38" t="s">
        <v>169</v>
      </c>
      <c r="D1298" s="38" t="s">
        <v>172</v>
      </c>
      <c r="E1298" s="38" t="s">
        <v>875</v>
      </c>
      <c r="F1298" s="38" t="str">
        <f aca="false">B1298&amp;"|"&amp;C1298&amp;"|"&amp;D1298</f>
        <v>19|G|A</v>
      </c>
      <c r="G1298" s="45" t="n">
        <f aca="false">INDEX('Transition Stepwise'!$J$2:$J$1137,MATCH(F1298,'Transition Stepwise'!$E$2:$E$1137,0))</f>
        <v>0.09</v>
      </c>
      <c r="H1298" s="45" t="n">
        <f aca="false">INDEX(Background!$D$12:$D$27,MATCH(C1298&amp;D1298,Background!$E$12:$E$27,0))</f>
        <v>0.164356435643564</v>
      </c>
      <c r="I1298" s="49" t="n">
        <f aca="false">LN(G1298/H1298)</f>
        <v>-0.60222778717311</v>
      </c>
    </row>
    <row r="1299" customFormat="false" ht="15" hidden="false" customHeight="true" outlineLevel="0" collapsed="false">
      <c r="A1299" s="38" t="s">
        <v>857</v>
      </c>
      <c r="B1299" s="38" t="n">
        <v>20</v>
      </c>
      <c r="C1299" s="38" t="s">
        <v>172</v>
      </c>
      <c r="D1299" s="38" t="s">
        <v>170</v>
      </c>
      <c r="E1299" s="38" t="s">
        <v>875</v>
      </c>
      <c r="F1299" s="38" t="str">
        <f aca="false">B1299&amp;"|"&amp;C1299&amp;"|"&amp;D1299</f>
        <v>20|A|C</v>
      </c>
      <c r="G1299" s="45" t="n">
        <f aca="false">INDEX('Transition Stepwise'!$J$2:$J$1137,MATCH(F1299,'Transition Stepwise'!$E$2:$E$1137,0))</f>
        <v>0.0476190476190476</v>
      </c>
      <c r="H1299" s="45" t="n">
        <f aca="false">INDEX(Background!$D$12:$D$27,MATCH(C1299&amp;D1299,Background!$E$12:$E$27,0))</f>
        <v>0.161016949152542</v>
      </c>
      <c r="I1299" s="49" t="n">
        <f aca="false">LN(G1299/H1299)</f>
        <v>-1.2182767924242</v>
      </c>
    </row>
    <row r="1300" customFormat="false" ht="15" hidden="false" customHeight="true" outlineLevel="0" collapsed="false">
      <c r="A1300" s="38" t="s">
        <v>857</v>
      </c>
      <c r="B1300" s="38" t="n">
        <v>21</v>
      </c>
      <c r="C1300" s="38" t="s">
        <v>170</v>
      </c>
      <c r="D1300" s="38" t="s">
        <v>172</v>
      </c>
      <c r="E1300" s="38" t="s">
        <v>875</v>
      </c>
      <c r="F1300" s="38" t="str">
        <f aca="false">B1300&amp;"|"&amp;C1300&amp;"|"&amp;D1300</f>
        <v>21|C|A</v>
      </c>
      <c r="G1300" s="45" t="n">
        <f aca="false">INDEX('Transition Stepwise'!$J$2:$J$1137,MATCH(F1300,'Transition Stepwise'!$E$2:$E$1137,0))</f>
        <v>0.5</v>
      </c>
      <c r="H1300" s="45" t="n">
        <f aca="false">INDEX(Background!$D$12:$D$27,MATCH(C1300&amp;D1300,Background!$E$12:$E$27,0))</f>
        <v>0.194883966244726</v>
      </c>
      <c r="I1300" s="49" t="n">
        <f aca="false">LN(G1300/H1300)</f>
        <v>0.942203761866766</v>
      </c>
    </row>
    <row r="1301" customFormat="false" ht="15" hidden="false" customHeight="true" outlineLevel="0" collapsed="false">
      <c r="A1301" s="38" t="s">
        <v>857</v>
      </c>
      <c r="B1301" s="38" t="n">
        <v>22</v>
      </c>
      <c r="C1301" s="38" t="s">
        <v>172</v>
      </c>
      <c r="D1301" s="38" t="s">
        <v>172</v>
      </c>
      <c r="E1301" s="38" t="s">
        <v>875</v>
      </c>
      <c r="F1301" s="38" t="str">
        <f aca="false">B1301&amp;"|"&amp;C1301&amp;"|"&amp;D1301</f>
        <v>22|A|A</v>
      </c>
      <c r="G1301" s="45" t="n">
        <f aca="false">INDEX('Transition Stepwise'!$J$2:$J$1137,MATCH(F1301,'Transition Stepwise'!$E$2:$E$1137,0))</f>
        <v>0.155555555555556</v>
      </c>
      <c r="H1301" s="45" t="n">
        <f aca="false">INDEX(Background!$D$12:$D$27,MATCH(C1301&amp;D1301,Background!$E$12:$E$27,0))</f>
        <v>0.219568567026194</v>
      </c>
      <c r="I1301" s="49" t="n">
        <f aca="false">LN(G1301/H1301)</f>
        <v>-0.344661623719622</v>
      </c>
    </row>
    <row r="1302" customFormat="false" ht="15" hidden="false" customHeight="true" outlineLevel="0" collapsed="false">
      <c r="A1302" s="38" t="s">
        <v>857</v>
      </c>
      <c r="B1302" s="38" t="n">
        <v>23</v>
      </c>
      <c r="C1302" s="38" t="s">
        <v>172</v>
      </c>
      <c r="D1302" s="38" t="s">
        <v>172</v>
      </c>
      <c r="E1302" s="38" t="s">
        <v>875</v>
      </c>
      <c r="F1302" s="38" t="str">
        <f aca="false">B1302&amp;"|"&amp;C1302&amp;"|"&amp;D1302</f>
        <v>23|A|A</v>
      </c>
      <c r="G1302" s="45" t="n">
        <f aca="false">INDEX('Transition Stepwise'!$J$2:$J$1137,MATCH(F1302,'Transition Stepwise'!$E$2:$E$1137,0))</f>
        <v>0.0967741935483871</v>
      </c>
      <c r="H1302" s="45" t="n">
        <f aca="false">INDEX(Background!$D$12:$D$27,MATCH(C1302&amp;D1302,Background!$E$12:$E$27,0))</f>
        <v>0.219568567026194</v>
      </c>
      <c r="I1302" s="49" t="n">
        <f aca="false">LN(G1302/H1302)</f>
        <v>-0.819284198821652</v>
      </c>
    </row>
    <row r="1303" customFormat="false" ht="15" hidden="false" customHeight="true" outlineLevel="0" collapsed="false">
      <c r="A1303" s="38" t="s">
        <v>857</v>
      </c>
      <c r="B1303" s="38" t="n">
        <v>24</v>
      </c>
      <c r="C1303" s="38" t="s">
        <v>172</v>
      </c>
      <c r="D1303" s="38" t="s">
        <v>171</v>
      </c>
      <c r="E1303" s="38" t="s">
        <v>875</v>
      </c>
      <c r="F1303" s="38" t="str">
        <f aca="false">B1303&amp;"|"&amp;C1303&amp;"|"&amp;D1303</f>
        <v>24|A|U</v>
      </c>
      <c r="G1303" s="45" t="n">
        <f aca="false">INDEX('Transition Stepwise'!$J$2:$J$1137,MATCH(F1303,'Transition Stepwise'!$E$2:$E$1137,0))</f>
        <v>0.268292682926829</v>
      </c>
      <c r="H1303" s="45" t="n">
        <f aca="false">INDEX(Background!$D$12:$D$27,MATCH(C1303&amp;D1303,Background!$E$12:$E$27,0))</f>
        <v>0.194530046224961</v>
      </c>
      <c r="I1303" s="49" t="n">
        <f aca="false">LN(G1303/H1303)</f>
        <v>0.321491854642684</v>
      </c>
    </row>
    <row r="1304" customFormat="false" ht="15" hidden="false" customHeight="true" outlineLevel="0" collapsed="false">
      <c r="A1304" s="38" t="s">
        <v>857</v>
      </c>
      <c r="B1304" s="38" t="n">
        <v>25</v>
      </c>
      <c r="C1304" s="38" t="s">
        <v>171</v>
      </c>
      <c r="D1304" s="38" t="s">
        <v>171</v>
      </c>
      <c r="E1304" s="38" t="s">
        <v>875</v>
      </c>
      <c r="F1304" s="38" t="str">
        <f aca="false">B1304&amp;"|"&amp;C1304&amp;"|"&amp;D1304</f>
        <v>25|U|U</v>
      </c>
      <c r="G1304" s="45" t="n">
        <f aca="false">INDEX('Transition Stepwise'!$J$2:$J$1137,MATCH(F1304,'Transition Stepwise'!$E$2:$E$1137,0))</f>
        <v>0.166666666666667</v>
      </c>
      <c r="H1304" s="45" t="n">
        <f aca="false">INDEX(Background!$D$12:$D$27,MATCH(C1304&amp;D1304,Background!$E$12:$E$27,0))</f>
        <v>0.220480320213476</v>
      </c>
      <c r="I1304" s="49" t="n">
        <f aca="false">LN(G1304/H1304)</f>
        <v>-0.279812630417198</v>
      </c>
    </row>
    <row r="1305" customFormat="false" ht="15" hidden="false" customHeight="true" outlineLevel="0" collapsed="false">
      <c r="A1305" s="38" t="s">
        <v>857</v>
      </c>
      <c r="B1305" s="38" t="n">
        <v>26</v>
      </c>
      <c r="C1305" s="38" t="s">
        <v>171</v>
      </c>
      <c r="D1305" s="38" t="s">
        <v>171</v>
      </c>
      <c r="E1305" s="38" t="s">
        <v>875</v>
      </c>
      <c r="F1305" s="38" t="str">
        <f aca="false">B1305&amp;"|"&amp;C1305&amp;"|"&amp;D1305</f>
        <v>26|U|U</v>
      </c>
      <c r="G1305" s="45" t="n">
        <f aca="false">INDEX('Transition Stepwise'!$J$2:$J$1137,MATCH(F1305,'Transition Stepwise'!$E$2:$E$1137,0))</f>
        <v>0.266666666666667</v>
      </c>
      <c r="H1305" s="45" t="n">
        <f aca="false">INDEX(Background!$D$12:$D$27,MATCH(C1305&amp;D1305,Background!$E$12:$E$27,0))</f>
        <v>0.220480320213476</v>
      </c>
      <c r="I1305" s="49" t="n">
        <f aca="false">LN(G1305/H1305)</f>
        <v>0.190190998828537</v>
      </c>
    </row>
    <row r="1306" customFormat="false" ht="15" hidden="false" customHeight="true" outlineLevel="0" collapsed="false">
      <c r="A1306" s="38" t="s">
        <v>857</v>
      </c>
      <c r="B1306" s="38" t="n">
        <v>27</v>
      </c>
      <c r="C1306" s="38" t="s">
        <v>171</v>
      </c>
      <c r="D1306" s="38" t="s">
        <v>171</v>
      </c>
      <c r="E1306" s="38" t="s">
        <v>875</v>
      </c>
      <c r="F1306" s="38" t="str">
        <f aca="false">B1306&amp;"|"&amp;C1306&amp;"|"&amp;D1306</f>
        <v>27|U|U</v>
      </c>
      <c r="G1306" s="45" t="n">
        <f aca="false">INDEX('Transition Stepwise'!$J$2:$J$1137,MATCH(F1306,'Transition Stepwise'!$E$2:$E$1137,0))</f>
        <v>0.327272727272727</v>
      </c>
      <c r="H1306" s="45" t="n">
        <f aca="false">INDEX(Background!$D$12:$D$27,MATCH(C1306&amp;D1306,Background!$E$12:$E$27,0))</f>
        <v>0.220480320213476</v>
      </c>
      <c r="I1306" s="49" t="n">
        <f aca="false">LN(G1306/H1306)</f>
        <v>0.39498541147455</v>
      </c>
    </row>
    <row r="1307" customFormat="false" ht="15" hidden="false" customHeight="true" outlineLevel="0" collapsed="false">
      <c r="A1307" s="38" t="s">
        <v>857</v>
      </c>
      <c r="B1307" s="38" t="n">
        <v>28</v>
      </c>
      <c r="C1307" s="38" t="s">
        <v>171</v>
      </c>
      <c r="D1307" s="38" t="s">
        <v>169</v>
      </c>
      <c r="E1307" s="38" t="s">
        <v>875</v>
      </c>
      <c r="F1307" s="38" t="str">
        <f aca="false">B1307&amp;"|"&amp;C1307&amp;"|"&amp;D1307</f>
        <v>28|U|G</v>
      </c>
      <c r="G1307" s="45" t="n">
        <f aca="false">INDEX('Transition Stepwise'!$J$2:$J$1137,MATCH(F1307,'Transition Stepwise'!$E$2:$E$1137,0))</f>
        <v>0.314814814814815</v>
      </c>
      <c r="H1307" s="45" t="n">
        <f aca="false">INDEX(Background!$D$12:$D$27,MATCH(C1307&amp;D1307,Background!$E$12:$E$27,0))</f>
        <v>0.221480987324883</v>
      </c>
      <c r="I1307" s="49" t="n">
        <f aca="false">LN(G1307/H1307)</f>
        <v>0.351647826678051</v>
      </c>
    </row>
    <row r="1308" customFormat="false" ht="15" hidden="false" customHeight="true" outlineLevel="0" collapsed="false">
      <c r="A1308" s="38" t="s">
        <v>857</v>
      </c>
      <c r="B1308" s="38" t="n">
        <v>29</v>
      </c>
      <c r="C1308" s="38" t="s">
        <v>169</v>
      </c>
      <c r="D1308" s="38" t="s">
        <v>172</v>
      </c>
      <c r="E1308" s="38" t="s">
        <v>875</v>
      </c>
      <c r="F1308" s="38" t="str">
        <f aca="false">B1308&amp;"|"&amp;C1308&amp;"|"&amp;D1308</f>
        <v>29|G|A</v>
      </c>
      <c r="G1308" s="45" t="n">
        <f aca="false">INDEX('Transition Stepwise'!$J$2:$J$1137,MATCH(F1308,'Transition Stepwise'!$E$2:$E$1137,0))</f>
        <v>0.0123456790123457</v>
      </c>
      <c r="H1308" s="45" t="n">
        <f aca="false">INDEX(Background!$D$12:$D$27,MATCH(C1308&amp;D1308,Background!$E$12:$E$27,0))</f>
        <v>0.164356435643564</v>
      </c>
      <c r="I1308" s="49" t="n">
        <f aca="false">LN(G1308/H1308)</f>
        <v>-2.58873133319368</v>
      </c>
    </row>
    <row r="1309" customFormat="false" ht="15" hidden="false" customHeight="true" outlineLevel="0" collapsed="false">
      <c r="A1309" s="38" t="s">
        <v>857</v>
      </c>
      <c r="B1309" s="38" t="n">
        <v>30</v>
      </c>
      <c r="C1309" s="38" t="s">
        <v>172</v>
      </c>
      <c r="D1309" s="38" t="s">
        <v>172</v>
      </c>
      <c r="E1309" s="38" t="s">
        <v>875</v>
      </c>
      <c r="F1309" s="38" t="str">
        <f aca="false">B1309&amp;"|"&amp;C1309&amp;"|"&amp;D1309</f>
        <v>30|A|A</v>
      </c>
      <c r="G1309" s="45" t="n">
        <f aca="false">INDEX('Transition Stepwise'!$J$2:$J$1137,MATCH(F1309,'Transition Stepwise'!$E$2:$E$1137,0))</f>
        <v>0.25</v>
      </c>
      <c r="H1309" s="45" t="n">
        <f aca="false">INDEX(Background!$D$12:$D$27,MATCH(C1309&amp;D1309,Background!$E$12:$E$27,0))</f>
        <v>0.219568567026194</v>
      </c>
      <c r="I1309" s="49" t="n">
        <f aca="false">LN(G1309/H1309)</f>
        <v>0.129796355875494</v>
      </c>
    </row>
    <row r="1310" customFormat="false" ht="15" hidden="false" customHeight="true" outlineLevel="0" collapsed="false">
      <c r="A1310" s="38" t="s">
        <v>857</v>
      </c>
      <c r="B1310" s="38" t="n">
        <v>31</v>
      </c>
      <c r="C1310" s="38" t="s">
        <v>172</v>
      </c>
      <c r="D1310" s="38" t="s">
        <v>169</v>
      </c>
      <c r="E1310" s="38" t="s">
        <v>875</v>
      </c>
      <c r="F1310" s="38" t="str">
        <f aca="false">B1310&amp;"|"&amp;C1310&amp;"|"&amp;D1310</f>
        <v>31|A|G</v>
      </c>
      <c r="G1310" s="45" t="n">
        <f aca="false">INDEX('Transition Stepwise'!$J$2:$J$1137,MATCH(F1310,'Transition Stepwise'!$E$2:$E$1137,0))</f>
        <v>0.0172413793103448</v>
      </c>
      <c r="H1310" s="45" t="n">
        <f aca="false">INDEX(Background!$D$12:$D$27,MATCH(C1310&amp;D1310,Background!$E$12:$E$27,0))</f>
        <v>0.424884437596302</v>
      </c>
      <c r="I1310" s="49" t="n">
        <f aca="false">LN(G1310/H1310)</f>
        <v>-3.20450495197594</v>
      </c>
    </row>
    <row r="1311" customFormat="false" ht="15" hidden="false" customHeight="true" outlineLevel="0" collapsed="false">
      <c r="A1311" s="38" t="s">
        <v>857</v>
      </c>
      <c r="B1311" s="38" t="n">
        <v>32</v>
      </c>
      <c r="C1311" s="38" t="s">
        <v>169</v>
      </c>
      <c r="D1311" s="38" t="s">
        <v>171</v>
      </c>
      <c r="E1311" s="38" t="s">
        <v>875</v>
      </c>
      <c r="F1311" s="38" t="str">
        <f aca="false">B1311&amp;"|"&amp;C1311&amp;"|"&amp;D1311</f>
        <v>32|G|U</v>
      </c>
      <c r="G1311" s="45" t="n">
        <f aca="false">INDEX('Transition Stepwise'!$J$2:$J$1137,MATCH(F1311,'Transition Stepwise'!$E$2:$E$1137,0))</f>
        <v>0.25</v>
      </c>
      <c r="H1311" s="45" t="n">
        <f aca="false">INDEX(Background!$D$12:$D$27,MATCH(C1311&amp;D1311,Background!$E$12:$E$27,0))</f>
        <v>0.234763476347635</v>
      </c>
      <c r="I1311" s="49" t="n">
        <f aca="false">LN(G1311/H1311)</f>
        <v>0.0628823941899354</v>
      </c>
    </row>
    <row r="1312" customFormat="false" ht="15" hidden="false" customHeight="true" outlineLevel="0" collapsed="false">
      <c r="A1312" s="38" t="s">
        <v>857</v>
      </c>
      <c r="B1312" s="38" t="n">
        <v>33</v>
      </c>
      <c r="C1312" s="38" t="s">
        <v>171</v>
      </c>
      <c r="D1312" s="38" t="s">
        <v>171</v>
      </c>
      <c r="E1312" s="38" t="s">
        <v>875</v>
      </c>
      <c r="F1312" s="38" t="str">
        <f aca="false">B1312&amp;"|"&amp;C1312&amp;"|"&amp;D1312</f>
        <v>33|U|U</v>
      </c>
      <c r="G1312" s="45" t="n">
        <f aca="false">INDEX('Transition Stepwise'!$J$2:$J$1137,MATCH(F1312,'Transition Stepwise'!$E$2:$E$1137,0))</f>
        <v>0.293532338308458</v>
      </c>
      <c r="H1312" s="45" t="n">
        <f aca="false">INDEX(Background!$D$12:$D$27,MATCH(C1312&amp;D1312,Background!$E$12:$E$27,0))</f>
        <v>0.220480320213476</v>
      </c>
      <c r="I1312" s="49" t="n">
        <f aca="false">LN(G1312/H1312)</f>
        <v>0.2861793746575</v>
      </c>
    </row>
    <row r="1313" customFormat="false" ht="15" hidden="false" customHeight="true" outlineLevel="0" collapsed="false">
      <c r="A1313" s="38" t="s">
        <v>857</v>
      </c>
      <c r="B1313" s="38" t="n">
        <v>34</v>
      </c>
      <c r="C1313" s="38" t="s">
        <v>171</v>
      </c>
      <c r="D1313" s="38" t="s">
        <v>171</v>
      </c>
      <c r="E1313" s="38" t="s">
        <v>875</v>
      </c>
      <c r="F1313" s="38" t="str">
        <f aca="false">B1313&amp;"|"&amp;C1313&amp;"|"&amp;D1313</f>
        <v>34|U|U</v>
      </c>
      <c r="G1313" s="45" t="n">
        <f aca="false">INDEX('Transition Stepwise'!$J$2:$J$1137,MATCH(F1313,'Transition Stepwise'!$E$2:$E$1137,0))</f>
        <v>0.17741935483871</v>
      </c>
      <c r="H1313" s="45" t="n">
        <f aca="false">INDEX(Background!$D$12:$D$27,MATCH(C1313&amp;D1313,Background!$E$12:$E$27,0))</f>
        <v>0.220480320213476</v>
      </c>
      <c r="I1313" s="49" t="n">
        <f aca="false">LN(G1313/H1313)</f>
        <v>-0.217292273435864</v>
      </c>
    </row>
    <row r="1314" customFormat="false" ht="15" hidden="false" customHeight="true" outlineLevel="0" collapsed="false">
      <c r="A1314" s="38" t="s">
        <v>857</v>
      </c>
      <c r="B1314" s="38" t="n">
        <v>35</v>
      </c>
      <c r="C1314" s="38" t="s">
        <v>171</v>
      </c>
      <c r="D1314" s="38" t="s">
        <v>172</v>
      </c>
      <c r="E1314" s="38" t="s">
        <v>875</v>
      </c>
      <c r="F1314" s="38" t="str">
        <f aca="false">B1314&amp;"|"&amp;C1314&amp;"|"&amp;D1314</f>
        <v>35|U|A</v>
      </c>
      <c r="G1314" s="45" t="n">
        <f aca="false">INDEX('Transition Stepwise'!$J$2:$J$1137,MATCH(F1314,'Transition Stepwise'!$E$2:$E$1137,0))</f>
        <v>0.177777777777778</v>
      </c>
      <c r="H1314" s="45" t="n">
        <f aca="false">INDEX(Background!$D$12:$D$27,MATCH(C1314&amp;D1314,Background!$E$12:$E$27,0))</f>
        <v>0.180787191460974</v>
      </c>
      <c r="I1314" s="49" t="n">
        <f aca="false">LN(G1314/H1314)</f>
        <v>-0.016786270867587</v>
      </c>
    </row>
    <row r="1315" customFormat="false" ht="15" hidden="false" customHeight="true" outlineLevel="0" collapsed="false">
      <c r="A1315" s="38" t="s">
        <v>857</v>
      </c>
      <c r="B1315" s="38" t="n">
        <v>36</v>
      </c>
      <c r="C1315" s="38" t="s">
        <v>172</v>
      </c>
      <c r="D1315" s="38" t="s">
        <v>172</v>
      </c>
      <c r="E1315" s="38" t="s">
        <v>875</v>
      </c>
      <c r="F1315" s="38" t="str">
        <f aca="false">B1315&amp;"|"&amp;C1315&amp;"|"&amp;D1315</f>
        <v>36|A|A</v>
      </c>
      <c r="G1315" s="45" t="n">
        <f aca="false">INDEX('Transition Stepwise'!$J$2:$J$1137,MATCH(F1315,'Transition Stepwise'!$E$2:$E$1137,0))</f>
        <v>0.553191489361702</v>
      </c>
      <c r="H1315" s="45" t="n">
        <f aca="false">INDEX(Background!$D$12:$D$27,MATCH(C1315&amp;D1315,Background!$E$12:$E$27,0))</f>
        <v>0.219568567026194</v>
      </c>
      <c r="I1315" s="49" t="n">
        <f aca="false">LN(G1315/H1315)</f>
        <v>0.924039653306808</v>
      </c>
    </row>
    <row r="1316" customFormat="false" ht="15" hidden="false" customHeight="true" outlineLevel="0" collapsed="false">
      <c r="A1316" s="38" t="s">
        <v>857</v>
      </c>
      <c r="B1316" s="38" t="n">
        <v>37</v>
      </c>
      <c r="C1316" s="38" t="s">
        <v>172</v>
      </c>
      <c r="D1316" s="38" t="s">
        <v>170</v>
      </c>
      <c r="E1316" s="38" t="s">
        <v>875</v>
      </c>
      <c r="F1316" s="38" t="str">
        <f aca="false">B1316&amp;"|"&amp;C1316&amp;"|"&amp;D1316</f>
        <v>37|A|C</v>
      </c>
      <c r="G1316" s="45" t="n">
        <f aca="false">INDEX('Transition Stepwise'!$J$2:$J$1137,MATCH(F1316,'Transition Stepwise'!$E$2:$E$1137,0))</f>
        <v>0.149350649350649</v>
      </c>
      <c r="H1316" s="45" t="n">
        <f aca="false">INDEX(Background!$D$12:$D$27,MATCH(C1316&amp;D1316,Background!$E$12:$E$27,0))</f>
        <v>0.161016949152542</v>
      </c>
      <c r="I1316" s="49" t="n">
        <f aca="false">LN(G1316/H1316)</f>
        <v>-0.0752127411852551</v>
      </c>
    </row>
    <row r="1317" customFormat="false" ht="15" hidden="false" customHeight="true" outlineLevel="0" collapsed="false">
      <c r="A1317" s="38" t="s">
        <v>857</v>
      </c>
      <c r="B1317" s="38" t="n">
        <v>38</v>
      </c>
      <c r="C1317" s="38" t="s">
        <v>170</v>
      </c>
      <c r="D1317" s="38" t="s">
        <v>170</v>
      </c>
      <c r="E1317" s="38" t="s">
        <v>875</v>
      </c>
      <c r="F1317" s="38" t="str">
        <f aca="false">B1317&amp;"|"&amp;C1317&amp;"|"&amp;D1317</f>
        <v>38|C|C</v>
      </c>
      <c r="G1317" s="45" t="n">
        <f aca="false">INDEX('Transition Stepwise'!$J$2:$J$1137,MATCH(F1317,'Transition Stepwise'!$E$2:$E$1137,0))</f>
        <v>0.272727272727273</v>
      </c>
      <c r="H1317" s="45" t="n">
        <f aca="false">INDEX(Background!$D$12:$D$27,MATCH(C1317&amp;D1317,Background!$E$12:$E$27,0))</f>
        <v>0.312236286919831</v>
      </c>
      <c r="I1317" s="49" t="n">
        <f aca="false">LN(G1317/H1317)</f>
        <v>-0.1352879361993</v>
      </c>
    </row>
    <row r="1318" customFormat="false" ht="15" hidden="false" customHeight="true" outlineLevel="0" collapsed="false">
      <c r="A1318" s="38" t="s">
        <v>857</v>
      </c>
      <c r="B1318" s="38" t="n">
        <v>39</v>
      </c>
      <c r="C1318" s="38" t="s">
        <v>170</v>
      </c>
      <c r="D1318" s="38" t="s">
        <v>171</v>
      </c>
      <c r="E1318" s="38" t="s">
        <v>875</v>
      </c>
      <c r="F1318" s="38" t="str">
        <f aca="false">B1318&amp;"|"&amp;C1318&amp;"|"&amp;D1318</f>
        <v>39|C|U</v>
      </c>
      <c r="G1318" s="45" t="n">
        <f aca="false">INDEX('Transition Stepwise'!$J$2:$J$1137,MATCH(F1318,'Transition Stepwise'!$E$2:$E$1137,0))</f>
        <v>0.0185185185185185</v>
      </c>
      <c r="H1318" s="45" t="n">
        <f aca="false">INDEX(Background!$D$12:$D$27,MATCH(C1318&amp;D1318,Background!$E$12:$E$27,0))</f>
        <v>0.196466244725738</v>
      </c>
      <c r="I1318" s="49" t="n">
        <f aca="false">LN(G1318/H1318)</f>
        <v>-2.36171940156892</v>
      </c>
    </row>
    <row r="1319" customFormat="false" ht="15" hidden="false" customHeight="true" outlineLevel="0" collapsed="false">
      <c r="A1319" s="38" t="s">
        <v>857</v>
      </c>
      <c r="B1319" s="38" t="n">
        <v>40</v>
      </c>
      <c r="C1319" s="38" t="s">
        <v>171</v>
      </c>
      <c r="D1319" s="38" t="s">
        <v>171</v>
      </c>
      <c r="E1319" s="38" t="s">
        <v>875</v>
      </c>
      <c r="F1319" s="38" t="str">
        <f aca="false">B1319&amp;"|"&amp;C1319&amp;"|"&amp;D1319</f>
        <v>40|U|U</v>
      </c>
      <c r="G1319" s="45" t="n">
        <f aca="false">INDEX('Transition Stepwise'!$J$2:$J$1137,MATCH(F1319,'Transition Stepwise'!$E$2:$E$1137,0))</f>
        <v>0.0833333333333333</v>
      </c>
      <c r="H1319" s="45" t="n">
        <f aca="false">INDEX(Background!$D$12:$D$27,MATCH(C1319&amp;D1319,Background!$E$12:$E$27,0))</f>
        <v>0.220480320213476</v>
      </c>
      <c r="I1319" s="49" t="n">
        <f aca="false">LN(G1319/H1319)</f>
        <v>-0.972959810977144</v>
      </c>
    </row>
    <row r="1320" customFormat="false" ht="15" hidden="false" customHeight="true" outlineLevel="0" collapsed="false">
      <c r="A1320" s="38" t="s">
        <v>857</v>
      </c>
      <c r="B1320" s="38" t="n">
        <v>41</v>
      </c>
      <c r="C1320" s="38" t="s">
        <v>171</v>
      </c>
      <c r="D1320" s="38" t="s">
        <v>172</v>
      </c>
      <c r="E1320" s="38" t="s">
        <v>875</v>
      </c>
      <c r="F1320" s="38" t="str">
        <f aca="false">B1320&amp;"|"&amp;C1320&amp;"|"&amp;D1320</f>
        <v>41|U|A</v>
      </c>
      <c r="G1320" s="45" t="n">
        <f aca="false">INDEX('Transition Stepwise'!$J$2:$J$1137,MATCH(F1320,'Transition Stepwise'!$E$2:$E$1137,0))</f>
        <v>0.216216216216216</v>
      </c>
      <c r="H1320" s="45" t="n">
        <f aca="false">INDEX(Background!$D$12:$D$27,MATCH(C1320&amp;D1320,Background!$E$12:$E$27,0))</f>
        <v>0.180787191460974</v>
      </c>
      <c r="I1320" s="49" t="n">
        <f aca="false">LN(G1320/H1320)</f>
        <v>0.178958306258508</v>
      </c>
    </row>
    <row r="1321" customFormat="false" ht="15" hidden="false" customHeight="true" outlineLevel="0" collapsed="false">
      <c r="A1321" s="38" t="s">
        <v>857</v>
      </c>
      <c r="B1321" s="38" t="n">
        <v>42</v>
      </c>
      <c r="C1321" s="38" t="s">
        <v>172</v>
      </c>
      <c r="D1321" s="38" t="s">
        <v>172</v>
      </c>
      <c r="E1321" s="38" t="s">
        <v>875</v>
      </c>
      <c r="F1321" s="38" t="str">
        <f aca="false">B1321&amp;"|"&amp;C1321&amp;"|"&amp;D1321</f>
        <v>42|A|A</v>
      </c>
      <c r="G1321" s="45" t="n">
        <f aca="false">INDEX('Transition Stepwise'!$J$2:$J$1137,MATCH(F1321,'Transition Stepwise'!$E$2:$E$1137,0))</f>
        <v>0.269230769230769</v>
      </c>
      <c r="H1321" s="45" t="n">
        <f aca="false">INDEX(Background!$D$12:$D$27,MATCH(C1321&amp;D1321,Background!$E$12:$E$27,0))</f>
        <v>0.219568567026194</v>
      </c>
      <c r="I1321" s="49" t="n">
        <f aca="false">LN(G1321/H1321)</f>
        <v>0.203904328029216</v>
      </c>
    </row>
    <row r="1322" customFormat="false" ht="15" hidden="false" customHeight="true" outlineLevel="0" collapsed="false">
      <c r="A1322" s="38" t="s">
        <v>857</v>
      </c>
      <c r="B1322" s="38" t="n">
        <v>43</v>
      </c>
      <c r="C1322" s="38" t="s">
        <v>172</v>
      </c>
      <c r="D1322" s="38" t="s">
        <v>172</v>
      </c>
      <c r="E1322" s="38" t="s">
        <v>875</v>
      </c>
      <c r="F1322" s="38" t="str">
        <f aca="false">B1322&amp;"|"&amp;C1322&amp;"|"&amp;D1322</f>
        <v>43|A|A</v>
      </c>
      <c r="G1322" s="45" t="n">
        <f aca="false">INDEX('Transition Stepwise'!$J$2:$J$1137,MATCH(F1322,'Transition Stepwise'!$E$2:$E$1137,0))</f>
        <v>0.469387755102041</v>
      </c>
      <c r="H1322" s="45" t="n">
        <f aca="false">INDEX(Background!$D$12:$D$27,MATCH(C1322&amp;D1322,Background!$E$12:$E$27,0))</f>
        <v>0.219568567026194</v>
      </c>
      <c r="I1322" s="49" t="n">
        <f aca="false">LN(G1322/H1322)</f>
        <v>0.759764634813908</v>
      </c>
    </row>
    <row r="1323" customFormat="false" ht="15" hidden="false" customHeight="true" outlineLevel="0" collapsed="false">
      <c r="A1323" s="38" t="s">
        <v>857</v>
      </c>
      <c r="B1323" s="38" t="n">
        <v>44</v>
      </c>
      <c r="C1323" s="38" t="s">
        <v>172</v>
      </c>
      <c r="D1323" s="38" t="s">
        <v>172</v>
      </c>
      <c r="E1323" s="38" t="s">
        <v>875</v>
      </c>
      <c r="F1323" s="38" t="str">
        <f aca="false">B1323&amp;"|"&amp;C1323&amp;"|"&amp;D1323</f>
        <v>44|A|A</v>
      </c>
      <c r="G1323" s="45" t="n">
        <f aca="false">INDEX('Transition Stepwise'!$J$2:$J$1137,MATCH(F1323,'Transition Stepwise'!$E$2:$E$1137,0))</f>
        <v>0.0196078431372549</v>
      </c>
      <c r="H1323" s="45" t="n">
        <f aca="false">INDEX(Background!$D$12:$D$27,MATCH(C1323&amp;D1323,Background!$E$12:$E$27,0))</f>
        <v>0.219568567026194</v>
      </c>
      <c r="I1323" s="49" t="n">
        <f aca="false">LN(G1323/H1323)</f>
        <v>-2.41573491572894</v>
      </c>
    </row>
    <row r="1324" customFormat="false" ht="15" hidden="false" customHeight="true" outlineLevel="0" collapsed="false">
      <c r="A1324" s="38" t="s">
        <v>857</v>
      </c>
      <c r="B1324" s="38" t="n">
        <v>45</v>
      </c>
      <c r="C1324" s="38" t="s">
        <v>172</v>
      </c>
      <c r="D1324" s="38" t="s">
        <v>176</v>
      </c>
      <c r="E1324" s="40" t="s">
        <v>876</v>
      </c>
      <c r="F1324" s="38"/>
      <c r="G1324" s="38"/>
      <c r="H1324" s="38"/>
      <c r="I1324" s="38"/>
    </row>
    <row r="1325" customFormat="false" ht="15" hidden="false" customHeight="true" outlineLevel="0" collapsed="false">
      <c r="A1325" s="38" t="s">
        <v>857</v>
      </c>
      <c r="B1325" s="38" t="n">
        <v>46</v>
      </c>
      <c r="C1325" s="38" t="s">
        <v>176</v>
      </c>
      <c r="D1325" s="38" t="s">
        <v>171</v>
      </c>
      <c r="E1325" s="40" t="s">
        <v>876</v>
      </c>
      <c r="F1325" s="38"/>
      <c r="G1325" s="38"/>
      <c r="H1325" s="38"/>
      <c r="I1325" s="38"/>
    </row>
    <row r="1326" customFormat="false" ht="15" hidden="false" customHeight="true" outlineLevel="0" collapsed="false">
      <c r="A1326" s="38" t="s">
        <v>857</v>
      </c>
      <c r="B1326" s="38" t="n">
        <v>47</v>
      </c>
      <c r="C1326" s="38" t="s">
        <v>171</v>
      </c>
      <c r="D1326" s="38" t="s">
        <v>172</v>
      </c>
      <c r="E1326" s="38" t="s">
        <v>875</v>
      </c>
      <c r="F1326" s="38" t="str">
        <f aca="false">B1326&amp;"|"&amp;C1326&amp;"|"&amp;D1326</f>
        <v>47|U|A</v>
      </c>
      <c r="G1326" s="45" t="n">
        <f aca="false">INDEX('Transition Stepwise'!$J$2:$J$1137,MATCH(F1326,'Transition Stepwise'!$E$2:$E$1137,0))</f>
        <v>0.0072463768115942</v>
      </c>
      <c r="H1326" s="45" t="n">
        <f aca="false">INDEX(Background!$D$12:$D$27,MATCH(C1326&amp;D1326,Background!$E$12:$E$27,0))</f>
        <v>0.180787191460974</v>
      </c>
      <c r="I1326" s="49" t="n">
        <f aca="false">LN(G1326/H1326)</f>
        <v>-3.21681900793431</v>
      </c>
    </row>
    <row r="1327" customFormat="false" ht="15" hidden="false" customHeight="true" outlineLevel="0" collapsed="false">
      <c r="A1327" s="38" t="s">
        <v>857</v>
      </c>
      <c r="B1327" s="38" t="n">
        <v>48</v>
      </c>
      <c r="C1327" s="38" t="s">
        <v>172</v>
      </c>
      <c r="D1327" s="38" t="s">
        <v>171</v>
      </c>
      <c r="E1327" s="38" t="s">
        <v>875</v>
      </c>
      <c r="F1327" s="38" t="str">
        <f aca="false">B1327&amp;"|"&amp;C1327&amp;"|"&amp;D1327</f>
        <v>48|A|U</v>
      </c>
      <c r="G1327" s="45" t="n">
        <f aca="false">INDEX('Transition Stepwise'!$J$2:$J$1137,MATCH(F1327,'Transition Stepwise'!$E$2:$E$1137,0))</f>
        <v>0.2</v>
      </c>
      <c r="H1327" s="45" t="n">
        <f aca="false">INDEX(Background!$D$12:$D$27,MATCH(C1327&amp;D1327,Background!$E$12:$E$27,0))</f>
        <v>0.194530046224961</v>
      </c>
      <c r="I1327" s="49" t="n">
        <f aca="false">LN(G1327/H1327)</f>
        <v>0.0277307361145204</v>
      </c>
    </row>
    <row r="1328" customFormat="false" ht="15" hidden="false" customHeight="true" outlineLevel="0" collapsed="false">
      <c r="A1328" s="38" t="s">
        <v>857</v>
      </c>
      <c r="B1328" s="38" t="n">
        <v>49</v>
      </c>
      <c r="C1328" s="38" t="s">
        <v>171</v>
      </c>
      <c r="D1328" s="38" t="s">
        <v>171</v>
      </c>
      <c r="E1328" s="38" t="s">
        <v>875</v>
      </c>
      <c r="F1328" s="38" t="str">
        <f aca="false">B1328&amp;"|"&amp;C1328&amp;"|"&amp;D1328</f>
        <v>49|U|U</v>
      </c>
      <c r="G1328" s="45" t="n">
        <f aca="false">INDEX('Transition Stepwise'!$J$2:$J$1137,MATCH(F1328,'Transition Stepwise'!$E$2:$E$1137,0))</f>
        <v>0.0666666666666667</v>
      </c>
      <c r="H1328" s="45" t="n">
        <f aca="false">INDEX(Background!$D$12:$D$27,MATCH(C1328&amp;D1328,Background!$E$12:$E$27,0))</f>
        <v>0.220480320213476</v>
      </c>
      <c r="I1328" s="49" t="n">
        <f aca="false">LN(G1328/H1328)</f>
        <v>-1.19610336229135</v>
      </c>
    </row>
    <row r="1329" customFormat="false" ht="15" hidden="false" customHeight="true" outlineLevel="0" collapsed="false">
      <c r="A1329" s="38" t="s">
        <v>857</v>
      </c>
      <c r="B1329" s="38" t="n">
        <v>50</v>
      </c>
      <c r="C1329" s="38" t="s">
        <v>171</v>
      </c>
      <c r="D1329" s="38" t="s">
        <v>172</v>
      </c>
      <c r="E1329" s="38" t="s">
        <v>875</v>
      </c>
      <c r="F1329" s="38" t="str">
        <f aca="false">B1329&amp;"|"&amp;C1329&amp;"|"&amp;D1329</f>
        <v>50|U|A</v>
      </c>
      <c r="G1329" s="45" t="n">
        <f aca="false">INDEX('Transition Stepwise'!$J$2:$J$1137,MATCH(F1329,'Transition Stepwise'!$E$2:$E$1137,0))</f>
        <v>0.153846153846154</v>
      </c>
      <c r="H1329" s="45" t="n">
        <f aca="false">INDEX(Background!$D$12:$D$27,MATCH(C1329&amp;D1329,Background!$E$12:$E$27,0))</f>
        <v>0.180787191460974</v>
      </c>
      <c r="I1329" s="49" t="n">
        <f aca="false">LN(G1329/H1329)</f>
        <v>-0.161367499678695</v>
      </c>
    </row>
    <row r="1330" customFormat="false" ht="15" hidden="false" customHeight="true" outlineLevel="0" collapsed="false">
      <c r="A1330" s="38" t="s">
        <v>857</v>
      </c>
      <c r="B1330" s="38" t="n">
        <v>51</v>
      </c>
      <c r="C1330" s="38" t="s">
        <v>172</v>
      </c>
      <c r="D1330" s="38" t="s">
        <v>172</v>
      </c>
      <c r="E1330" s="38" t="s">
        <v>875</v>
      </c>
      <c r="F1330" s="38" t="str">
        <f aca="false">B1330&amp;"|"&amp;C1330&amp;"|"&amp;D1330</f>
        <v>51|A|A</v>
      </c>
      <c r="G1330" s="45" t="n">
        <f aca="false">INDEX('Transition Stepwise'!$J$2:$J$1137,MATCH(F1330,'Transition Stepwise'!$E$2:$E$1137,0))</f>
        <v>0.0625</v>
      </c>
      <c r="H1330" s="45" t="n">
        <f aca="false">INDEX(Background!$D$12:$D$27,MATCH(C1330&amp;D1330,Background!$E$12:$E$27,0))</f>
        <v>0.219568567026194</v>
      </c>
      <c r="I1330" s="49" t="n">
        <f aca="false">LN(G1330/H1330)</f>
        <v>-1.2564980052444</v>
      </c>
    </row>
    <row r="1331" customFormat="false" ht="15" hidden="false" customHeight="true" outlineLevel="0" collapsed="false">
      <c r="A1331" s="38" t="s">
        <v>857</v>
      </c>
      <c r="B1331" s="38" t="n">
        <v>52</v>
      </c>
      <c r="C1331" s="38" t="s">
        <v>172</v>
      </c>
      <c r="D1331" s="38" t="s">
        <v>169</v>
      </c>
      <c r="E1331" s="38" t="s">
        <v>875</v>
      </c>
      <c r="F1331" s="38" t="str">
        <f aca="false">B1331&amp;"|"&amp;C1331&amp;"|"&amp;D1331</f>
        <v>52|A|G</v>
      </c>
      <c r="G1331" s="45" t="n">
        <f aca="false">INDEX('Transition Stepwise'!$J$2:$J$1137,MATCH(F1331,'Transition Stepwise'!$E$2:$E$1137,0))</f>
        <v>0.9</v>
      </c>
      <c r="H1331" s="45" t="n">
        <f aca="false">INDEX(Background!$D$12:$D$27,MATCH(C1331&amp;D1331,Background!$E$12:$E$27,0))</f>
        <v>0.424884437596302</v>
      </c>
      <c r="I1331" s="49" t="n">
        <f aca="false">LN(G1331/H1331)</f>
        <v>0.750577542912652</v>
      </c>
    </row>
    <row r="1332" customFormat="false" ht="15" hidden="false" customHeight="true" outlineLevel="0" collapsed="false">
      <c r="A1332" s="38" t="s">
        <v>857</v>
      </c>
      <c r="B1332" s="38" t="n">
        <v>53</v>
      </c>
      <c r="C1332" s="38" t="s">
        <v>169</v>
      </c>
      <c r="D1332" s="38" t="s">
        <v>172</v>
      </c>
      <c r="E1332" s="38" t="s">
        <v>875</v>
      </c>
      <c r="F1332" s="38" t="str">
        <f aca="false">B1332&amp;"|"&amp;C1332&amp;"|"&amp;D1332</f>
        <v>53|G|A</v>
      </c>
      <c r="G1332" s="45" t="n">
        <f aca="false">INDEX('Transition Stepwise'!$J$2:$J$1137,MATCH(F1332,'Transition Stepwise'!$E$2:$E$1137,0))</f>
        <v>0.0150753768844221</v>
      </c>
      <c r="H1332" s="45" t="n">
        <f aca="false">INDEX(Background!$D$12:$D$27,MATCH(C1332&amp;D1332,Background!$E$12:$E$27,0))</f>
        <v>0.164356435643564</v>
      </c>
      <c r="I1332" s="49" t="n">
        <f aca="false">LN(G1332/H1332)</f>
        <v>-2.38897471457762</v>
      </c>
    </row>
    <row r="1333" customFormat="false" ht="15" hidden="false" customHeight="true" outlineLevel="0" collapsed="false">
      <c r="A1333" s="38" t="s">
        <v>857</v>
      </c>
      <c r="B1333" s="38" t="n">
        <v>54</v>
      </c>
      <c r="C1333" s="38" t="s">
        <v>172</v>
      </c>
      <c r="D1333" s="38" t="s">
        <v>171</v>
      </c>
      <c r="E1333" s="38" t="s">
        <v>875</v>
      </c>
      <c r="F1333" s="38" t="str">
        <f aca="false">B1333&amp;"|"&amp;C1333&amp;"|"&amp;D1333</f>
        <v>54|A|U</v>
      </c>
      <c r="G1333" s="45" t="n">
        <f aca="false">INDEX('Transition Stepwise'!$J$2:$J$1137,MATCH(F1333,'Transition Stepwise'!$E$2:$E$1137,0))</f>
        <v>0.5</v>
      </c>
      <c r="H1333" s="45" t="n">
        <f aca="false">INDEX(Background!$D$12:$D$27,MATCH(C1333&amp;D1333,Background!$E$12:$E$27,0))</f>
        <v>0.194530046224961</v>
      </c>
      <c r="I1333" s="49" t="n">
        <f aca="false">LN(G1333/H1333)</f>
        <v>0.944021467988676</v>
      </c>
    </row>
    <row r="1334" customFormat="false" ht="15" hidden="false" customHeight="true" outlineLevel="0" collapsed="false">
      <c r="A1334" s="38" t="s">
        <v>857</v>
      </c>
      <c r="B1334" s="38" t="n">
        <v>55</v>
      </c>
      <c r="C1334" s="38" t="s">
        <v>171</v>
      </c>
      <c r="D1334" s="38" t="s">
        <v>170</v>
      </c>
      <c r="E1334" s="38" t="s">
        <v>875</v>
      </c>
      <c r="F1334" s="38" t="str">
        <f aca="false">B1334&amp;"|"&amp;C1334&amp;"|"&amp;D1334</f>
        <v>55|U|C</v>
      </c>
      <c r="G1334" s="45" t="n">
        <f aca="false">INDEX('Transition Stepwise'!$J$2:$J$1137,MATCH(F1334,'Transition Stepwise'!$E$2:$E$1137,0))</f>
        <v>0.975</v>
      </c>
      <c r="H1334" s="45" t="n">
        <f aca="false">INDEX(Background!$D$12:$D$27,MATCH(C1334&amp;D1334,Background!$E$12:$E$27,0))</f>
        <v>0.377251501000667</v>
      </c>
      <c r="I1334" s="49" t="n">
        <f aca="false">LN(G1334/H1334)</f>
        <v>0.949525394562133</v>
      </c>
    </row>
    <row r="1335" customFormat="false" ht="15" hidden="false" customHeight="true" outlineLevel="0" collapsed="false">
      <c r="A1335" s="38" t="s">
        <v>857</v>
      </c>
      <c r="B1335" s="38" t="n">
        <v>56</v>
      </c>
      <c r="C1335" s="38" t="s">
        <v>170</v>
      </c>
      <c r="D1335" s="38" t="s">
        <v>172</v>
      </c>
      <c r="E1335" s="38" t="s">
        <v>875</v>
      </c>
      <c r="F1335" s="38" t="str">
        <f aca="false">B1335&amp;"|"&amp;C1335&amp;"|"&amp;D1335</f>
        <v>56|C|A</v>
      </c>
      <c r="G1335" s="45" t="n">
        <f aca="false">INDEX('Transition Stepwise'!$J$2:$J$1137,MATCH(F1335,'Transition Stepwise'!$E$2:$E$1137,0))</f>
        <v>0.381909547738693</v>
      </c>
      <c r="H1335" s="45" t="n">
        <f aca="false">INDEX(Background!$D$12:$D$27,MATCH(C1335&amp;D1335,Background!$E$12:$E$27,0))</f>
        <v>0.194883966244726</v>
      </c>
      <c r="I1335" s="49" t="n">
        <f aca="false">LN(G1335/H1335)</f>
        <v>0.672779457988549</v>
      </c>
    </row>
    <row r="1336" customFormat="false" ht="15" hidden="false" customHeight="true" outlineLevel="0" collapsed="false">
      <c r="A1336" s="38" t="s">
        <v>857</v>
      </c>
      <c r="B1336" s="38" t="n">
        <v>57</v>
      </c>
      <c r="C1336" s="38" t="s">
        <v>172</v>
      </c>
      <c r="D1336" s="38" t="s">
        <v>171</v>
      </c>
      <c r="E1336" s="38" t="s">
        <v>875</v>
      </c>
      <c r="F1336" s="38" t="str">
        <f aca="false">B1336&amp;"|"&amp;C1336&amp;"|"&amp;D1336</f>
        <v>57|A|U</v>
      </c>
      <c r="G1336" s="45" t="n">
        <f aca="false">INDEX('Transition Stepwise'!$J$2:$J$1137,MATCH(F1336,'Transition Stepwise'!$E$2:$E$1137,0))</f>
        <v>0.025</v>
      </c>
      <c r="H1336" s="45" t="n">
        <f aca="false">INDEX(Background!$D$12:$D$27,MATCH(C1336&amp;D1336,Background!$E$12:$E$27,0))</f>
        <v>0.194530046224961</v>
      </c>
      <c r="I1336" s="49" t="n">
        <f aca="false">LN(G1336/H1336)</f>
        <v>-2.05171080556532</v>
      </c>
    </row>
    <row r="1337" customFormat="false" ht="15" hidden="false" customHeight="true" outlineLevel="0" collapsed="false">
      <c r="A1337" s="38" t="s">
        <v>857</v>
      </c>
      <c r="B1337" s="38" t="n">
        <v>58</v>
      </c>
      <c r="C1337" s="38" t="s">
        <v>171</v>
      </c>
      <c r="D1337" s="38" t="s">
        <v>172</v>
      </c>
      <c r="E1337" s="38" t="s">
        <v>875</v>
      </c>
      <c r="F1337" s="38" t="str">
        <f aca="false">B1337&amp;"|"&amp;C1337&amp;"|"&amp;D1337</f>
        <v>58|U|A</v>
      </c>
      <c r="G1337" s="45" t="n">
        <f aca="false">INDEX('Transition Stepwise'!$J$2:$J$1137,MATCH(F1337,'Transition Stepwise'!$E$2:$E$1137,0))</f>
        <v>0.2</v>
      </c>
      <c r="H1337" s="45" t="n">
        <f aca="false">INDEX(Background!$D$12:$D$27,MATCH(C1337&amp;D1337,Background!$E$12:$E$27,0))</f>
        <v>0.180787191460974</v>
      </c>
      <c r="I1337" s="49" t="n">
        <f aca="false">LN(G1337/H1337)</f>
        <v>0.100996764788796</v>
      </c>
    </row>
    <row r="1338" customFormat="false" ht="15" hidden="false" customHeight="true" outlineLevel="0" collapsed="false">
      <c r="A1338" s="38" t="s">
        <v>857</v>
      </c>
      <c r="B1338" s="38" t="n">
        <v>59</v>
      </c>
      <c r="C1338" s="38" t="s">
        <v>172</v>
      </c>
      <c r="D1338" s="38" t="s">
        <v>171</v>
      </c>
      <c r="E1338" s="38" t="s">
        <v>875</v>
      </c>
      <c r="F1338" s="38" t="str">
        <f aca="false">B1338&amp;"|"&amp;C1338&amp;"|"&amp;D1338</f>
        <v>59|A|U</v>
      </c>
      <c r="G1338" s="45" t="n">
        <f aca="false">INDEX('Transition Stepwise'!$J$2:$J$1137,MATCH(F1338,'Transition Stepwise'!$E$2:$E$1137,0))</f>
        <v>0.852631578947368</v>
      </c>
      <c r="H1338" s="45" t="n">
        <f aca="false">INDEX(Background!$D$12:$D$27,MATCH(C1338&amp;D1338,Background!$E$12:$E$27,0))</f>
        <v>0.194530046224961</v>
      </c>
      <c r="I1338" s="49" t="n">
        <f aca="false">LN(G1338/H1338)</f>
        <v>1.47774091162052</v>
      </c>
    </row>
    <row r="1339" customFormat="false" ht="15" hidden="false" customHeight="true" outlineLevel="0" collapsed="false">
      <c r="A1339" s="38" t="s">
        <v>857</v>
      </c>
      <c r="B1339" s="38" t="n">
        <v>60</v>
      </c>
      <c r="C1339" s="38" t="s">
        <v>171</v>
      </c>
      <c r="D1339" s="38" t="s">
        <v>170</v>
      </c>
      <c r="E1339" s="38" t="s">
        <v>875</v>
      </c>
      <c r="F1339" s="38" t="str">
        <f aca="false">B1339&amp;"|"&amp;C1339&amp;"|"&amp;D1339</f>
        <v>60|U|C</v>
      </c>
      <c r="G1339" s="45" t="n">
        <f aca="false">INDEX('Transition Stepwise'!$J$2:$J$1137,MATCH(F1339,'Transition Stepwise'!$E$2:$E$1137,0))</f>
        <v>0.975</v>
      </c>
      <c r="H1339" s="45" t="n">
        <f aca="false">INDEX(Background!$D$12:$D$27,MATCH(C1339&amp;D1339,Background!$E$12:$E$27,0))</f>
        <v>0.377251501000667</v>
      </c>
      <c r="I1339" s="49" t="n">
        <f aca="false">LN(G1339/H1339)</f>
        <v>0.949525394562133</v>
      </c>
    </row>
    <row r="1340" customFormat="false" ht="15" hidden="false" customHeight="true" outlineLevel="0" collapsed="false">
      <c r="A1340" s="38" t="s">
        <v>857</v>
      </c>
      <c r="B1340" s="38" t="n">
        <v>61</v>
      </c>
      <c r="C1340" s="38" t="s">
        <v>170</v>
      </c>
      <c r="D1340" s="38" t="s">
        <v>171</v>
      </c>
      <c r="E1340" s="38" t="s">
        <v>875</v>
      </c>
      <c r="F1340" s="38" t="str">
        <f aca="false">B1340&amp;"|"&amp;C1340&amp;"|"&amp;D1340</f>
        <v>61|C|U</v>
      </c>
      <c r="G1340" s="45" t="n">
        <f aca="false">INDEX('Transition Stepwise'!$J$2:$J$1137,MATCH(F1340,'Transition Stepwise'!$E$2:$E$1137,0))</f>
        <v>0.129353233830846</v>
      </c>
      <c r="H1340" s="45" t="n">
        <f aca="false">INDEX(Background!$D$12:$D$27,MATCH(C1340&amp;D1340,Background!$E$12:$E$27,0))</f>
        <v>0.196466244725738</v>
      </c>
      <c r="I1340" s="49" t="n">
        <f aca="false">LN(G1340/H1340)</f>
        <v>-0.417943725042241</v>
      </c>
    </row>
    <row r="1341" customFormat="false" ht="15" hidden="false" customHeight="true" outlineLevel="0" collapsed="false">
      <c r="A1341" s="38" t="s">
        <v>857</v>
      </c>
      <c r="B1341" s="38" t="n">
        <v>62</v>
      </c>
      <c r="C1341" s="38" t="s">
        <v>171</v>
      </c>
      <c r="D1341" s="38" t="s">
        <v>171</v>
      </c>
      <c r="E1341" s="38" t="s">
        <v>875</v>
      </c>
      <c r="F1341" s="38" t="str">
        <f aca="false">B1341&amp;"|"&amp;C1341&amp;"|"&amp;D1341</f>
        <v>62|U|U</v>
      </c>
      <c r="G1341" s="45" t="n">
        <f aca="false">INDEX('Transition Stepwise'!$J$2:$J$1137,MATCH(F1341,'Transition Stepwise'!$E$2:$E$1137,0))</f>
        <v>0.1</v>
      </c>
      <c r="H1341" s="45" t="n">
        <f aca="false">INDEX(Background!$D$12:$D$27,MATCH(C1341&amp;D1341,Background!$E$12:$E$27,0))</f>
        <v>0.220480320213476</v>
      </c>
      <c r="I1341" s="49" t="n">
        <f aca="false">LN(G1341/H1341)</f>
        <v>-0.790638254183189</v>
      </c>
    </row>
    <row r="1342" customFormat="false" ht="15" hidden="false" customHeight="true" outlineLevel="0" collapsed="false">
      <c r="A1342" s="38" t="s">
        <v>857</v>
      </c>
      <c r="B1342" s="38" t="n">
        <v>63</v>
      </c>
      <c r="C1342" s="38" t="s">
        <v>171</v>
      </c>
      <c r="D1342" s="38" t="s">
        <v>169</v>
      </c>
      <c r="E1342" s="38" t="s">
        <v>875</v>
      </c>
      <c r="F1342" s="38" t="str">
        <f aca="false">B1342&amp;"|"&amp;C1342&amp;"|"&amp;D1342</f>
        <v>63|U|G</v>
      </c>
      <c r="G1342" s="45" t="n">
        <f aca="false">INDEX('Transition Stepwise'!$J$2:$J$1137,MATCH(F1342,'Transition Stepwise'!$E$2:$E$1137,0))</f>
        <v>0.527777777777778</v>
      </c>
      <c r="H1342" s="45" t="n">
        <f aca="false">INDEX(Background!$D$12:$D$27,MATCH(C1342&amp;D1342,Background!$E$12:$E$27,0))</f>
        <v>0.221480987324883</v>
      </c>
      <c r="I1342" s="49" t="n">
        <f aca="false">LN(G1342/H1342)</f>
        <v>0.86833856989644</v>
      </c>
    </row>
    <row r="1343" customFormat="false" ht="15" hidden="false" customHeight="true" outlineLevel="0" collapsed="false">
      <c r="A1343" s="38" t="s">
        <v>857</v>
      </c>
      <c r="B1343" s="38" t="n">
        <v>64</v>
      </c>
      <c r="C1343" s="38" t="s">
        <v>169</v>
      </c>
      <c r="D1343" s="38" t="s">
        <v>172</v>
      </c>
      <c r="E1343" s="38" t="s">
        <v>875</v>
      </c>
      <c r="F1343" s="38" t="str">
        <f aca="false">B1343&amp;"|"&amp;C1343&amp;"|"&amp;D1343</f>
        <v>64|G|A</v>
      </c>
      <c r="G1343" s="45" t="n">
        <f aca="false">INDEX('Transition Stepwise'!$J$2:$J$1137,MATCH(F1343,'Transition Stepwise'!$E$2:$E$1137,0))</f>
        <v>0.03125</v>
      </c>
      <c r="H1343" s="45" t="n">
        <f aca="false">INDEX(Background!$D$12:$D$27,MATCH(C1343&amp;D1343,Background!$E$12:$E$27,0))</f>
        <v>0.164356435643564</v>
      </c>
      <c r="I1343" s="49" t="n">
        <f aca="false">LN(G1343/H1343)</f>
        <v>-1.66001808132096</v>
      </c>
    </row>
    <row r="1344" customFormat="false" ht="15" hidden="false" customHeight="true" outlineLevel="0" collapsed="false">
      <c r="A1344" s="38" t="s">
        <v>857</v>
      </c>
      <c r="B1344" s="38" t="n">
        <v>65</v>
      </c>
      <c r="C1344" s="38" t="s">
        <v>172</v>
      </c>
      <c r="D1344" s="38" t="s">
        <v>169</v>
      </c>
      <c r="E1344" s="38" t="s">
        <v>875</v>
      </c>
      <c r="F1344" s="38" t="str">
        <f aca="false">B1344&amp;"|"&amp;C1344&amp;"|"&amp;D1344</f>
        <v>65|A|G</v>
      </c>
      <c r="G1344" s="45" t="n">
        <f aca="false">INDEX('Transition Stepwise'!$J$2:$J$1137,MATCH(F1344,'Transition Stepwise'!$E$2:$E$1137,0))</f>
        <v>0.0769230769230769</v>
      </c>
      <c r="H1344" s="45" t="n">
        <f aca="false">INDEX(Background!$D$12:$D$27,MATCH(C1344&amp;D1344,Background!$E$12:$E$27,0))</f>
        <v>0.424884437596302</v>
      </c>
      <c r="I1344" s="49" t="n">
        <f aca="false">LN(G1344/H1344)</f>
        <v>-1.70901129889106</v>
      </c>
    </row>
    <row r="1345" customFormat="false" ht="15" hidden="false" customHeight="true" outlineLevel="0" collapsed="false">
      <c r="A1345" s="38" t="s">
        <v>857</v>
      </c>
      <c r="B1345" s="38" t="n">
        <v>66</v>
      </c>
      <c r="C1345" s="38" t="s">
        <v>169</v>
      </c>
      <c r="D1345" s="38" t="s">
        <v>172</v>
      </c>
      <c r="E1345" s="38" t="s">
        <v>875</v>
      </c>
      <c r="F1345" s="38" t="str">
        <f aca="false">B1345&amp;"|"&amp;C1345&amp;"|"&amp;D1345</f>
        <v>66|G|A</v>
      </c>
      <c r="G1345" s="45" t="n">
        <f aca="false">INDEX('Transition Stepwise'!$J$2:$J$1137,MATCH(F1345,'Transition Stepwise'!$E$2:$E$1137,0))</f>
        <v>0.166666666666667</v>
      </c>
      <c r="H1345" s="45" t="n">
        <f aca="false">INDEX(Background!$D$12:$D$27,MATCH(C1345&amp;D1345,Background!$E$12:$E$27,0))</f>
        <v>0.164356435643564</v>
      </c>
      <c r="I1345" s="49" t="n">
        <f aca="false">LN(G1345/H1345)</f>
        <v>0.0139583522507069</v>
      </c>
    </row>
    <row r="1346" customFormat="false" ht="15" hidden="false" customHeight="true" outlineLevel="0" collapsed="false">
      <c r="A1346" s="38" t="s">
        <v>857</v>
      </c>
      <c r="B1346" s="38" t="n">
        <v>67</v>
      </c>
      <c r="C1346" s="38" t="s">
        <v>172</v>
      </c>
      <c r="D1346" s="38" t="s">
        <v>172</v>
      </c>
      <c r="E1346" s="38" t="s">
        <v>875</v>
      </c>
      <c r="F1346" s="38" t="str">
        <f aca="false">B1346&amp;"|"&amp;C1346&amp;"|"&amp;D1346</f>
        <v>67|A|A</v>
      </c>
      <c r="G1346" s="45" t="n">
        <f aca="false">INDEX('Transition Stepwise'!$J$2:$J$1137,MATCH(F1346,'Transition Stepwise'!$E$2:$E$1137,0))</f>
        <v>0.0888888888888889</v>
      </c>
      <c r="H1346" s="45" t="n">
        <f aca="false">INDEX(Background!$D$12:$D$27,MATCH(C1346&amp;D1346,Background!$E$12:$E$27,0))</f>
        <v>0.219568567026194</v>
      </c>
      <c r="I1346" s="49" t="n">
        <f aca="false">LN(G1346/H1346)</f>
        <v>-0.904277411655044</v>
      </c>
    </row>
    <row r="1347" customFormat="false" ht="15" hidden="false" customHeight="true" outlineLevel="0" collapsed="false">
      <c r="A1347" s="38" t="s">
        <v>857</v>
      </c>
      <c r="B1347" s="38" t="n">
        <v>68</v>
      </c>
      <c r="C1347" s="38" t="s">
        <v>172</v>
      </c>
      <c r="D1347" s="38" t="s">
        <v>171</v>
      </c>
      <c r="E1347" s="38" t="s">
        <v>875</v>
      </c>
      <c r="F1347" s="38" t="str">
        <f aca="false">B1347&amp;"|"&amp;C1347&amp;"|"&amp;D1347</f>
        <v>68|A|U</v>
      </c>
      <c r="G1347" s="45" t="n">
        <f aca="false">INDEX('Transition Stepwise'!$J$2:$J$1137,MATCH(F1347,'Transition Stepwise'!$E$2:$E$1137,0))</f>
        <v>0.105263157894737</v>
      </c>
      <c r="H1347" s="45" t="n">
        <f aca="false">INDEX(Background!$D$12:$D$27,MATCH(C1347&amp;D1347,Background!$E$12:$E$27,0))</f>
        <v>0.194530046224961</v>
      </c>
      <c r="I1347" s="49" t="n">
        <f aca="false">LN(G1347/H1347)</f>
        <v>-0.614123150057874</v>
      </c>
    </row>
    <row r="1348" customFormat="false" ht="15" hidden="false" customHeight="true" outlineLevel="0" collapsed="false">
      <c r="A1348" s="38" t="s">
        <v>857</v>
      </c>
      <c r="B1348" s="38" t="n">
        <v>69</v>
      </c>
      <c r="C1348" s="38" t="s">
        <v>171</v>
      </c>
      <c r="D1348" s="38" t="s">
        <v>171</v>
      </c>
      <c r="E1348" s="38" t="s">
        <v>875</v>
      </c>
      <c r="F1348" s="38" t="str">
        <f aca="false">B1348&amp;"|"&amp;C1348&amp;"|"&amp;D1348</f>
        <v>69|U|U</v>
      </c>
      <c r="G1348" s="45" t="n">
        <f aca="false">INDEX('Transition Stepwise'!$J$2:$J$1137,MATCH(F1348,'Transition Stepwise'!$E$2:$E$1137,0))</f>
        <v>0.15</v>
      </c>
      <c r="H1348" s="45" t="n">
        <f aca="false">INDEX(Background!$D$12:$D$27,MATCH(C1348&amp;D1348,Background!$E$12:$E$27,0))</f>
        <v>0.220480320213476</v>
      </c>
      <c r="I1348" s="49" t="n">
        <f aca="false">LN(G1348/H1348)</f>
        <v>-0.385173146075025</v>
      </c>
    </row>
    <row r="1349" customFormat="false" ht="15" hidden="false" customHeight="true" outlineLevel="0" collapsed="false">
      <c r="A1349" s="38" t="s">
        <v>857</v>
      </c>
      <c r="B1349" s="38" t="n">
        <v>70</v>
      </c>
      <c r="C1349" s="38" t="s">
        <v>171</v>
      </c>
      <c r="D1349" s="38" t="s">
        <v>171</v>
      </c>
      <c r="E1349" s="38" t="s">
        <v>875</v>
      </c>
      <c r="F1349" s="38" t="str">
        <f aca="false">B1349&amp;"|"&amp;C1349&amp;"|"&amp;D1349</f>
        <v>70|U|U</v>
      </c>
      <c r="G1349" s="45" t="n">
        <f aca="false">INDEX('Transition Stepwise'!$J$2:$J$1137,MATCH(F1349,'Transition Stepwise'!$E$2:$E$1137,0))</f>
        <v>0.0294117647058824</v>
      </c>
      <c r="H1349" s="45" t="n">
        <f aca="false">INDEX(Background!$D$12:$D$27,MATCH(C1349&amp;D1349,Background!$E$12:$E$27,0))</f>
        <v>0.220480320213476</v>
      </c>
      <c r="I1349" s="49" t="n">
        <f aca="false">LN(G1349/H1349)</f>
        <v>-2.0144136858053</v>
      </c>
    </row>
    <row r="1350" customFormat="false" ht="15" hidden="false" customHeight="true" outlineLevel="0" collapsed="false">
      <c r="A1350" s="38" t="s">
        <v>857</v>
      </c>
      <c r="B1350" s="38" t="n">
        <v>71</v>
      </c>
      <c r="C1350" s="38" t="s">
        <v>171</v>
      </c>
      <c r="D1350" s="38" t="s">
        <v>169</v>
      </c>
      <c r="E1350" s="38" t="s">
        <v>875</v>
      </c>
      <c r="F1350" s="38" t="str">
        <f aca="false">B1350&amp;"|"&amp;C1350&amp;"|"&amp;D1350</f>
        <v>71|U|G</v>
      </c>
      <c r="G1350" s="45" t="n">
        <f aca="false">INDEX('Transition Stepwise'!$J$2:$J$1137,MATCH(F1350,'Transition Stepwise'!$E$2:$E$1137,0))</f>
        <v>0.0769230769230769</v>
      </c>
      <c r="H1350" s="45" t="n">
        <f aca="false">INDEX(Background!$D$12:$D$27,MATCH(C1350&amp;D1350,Background!$E$12:$E$27,0))</f>
        <v>0.221480987324883</v>
      </c>
      <c r="I1350" s="49" t="n">
        <f aca="false">LN(G1350/H1350)</f>
        <v>-1.05753082827543</v>
      </c>
    </row>
    <row r="1351" customFormat="false" ht="15" hidden="false" customHeight="true" outlineLevel="0" collapsed="false">
      <c r="A1351" s="38" t="s">
        <v>858</v>
      </c>
      <c r="B1351" s="38" t="n">
        <v>1</v>
      </c>
      <c r="C1351" s="38" t="s">
        <v>170</v>
      </c>
      <c r="D1351" s="38" t="s">
        <v>170</v>
      </c>
      <c r="E1351" s="38" t="s">
        <v>875</v>
      </c>
      <c r="F1351" s="38" t="str">
        <f aca="false">B1351&amp;"|"&amp;C1351&amp;"|"&amp;D1351</f>
        <v>1|C|C</v>
      </c>
      <c r="G1351" s="45" t="n">
        <f aca="false">INDEX('Transition Stepwise'!$J$2:$J$1137,MATCH(F1351,'Transition Stepwise'!$E$2:$E$1137,0))</f>
        <v>0.2</v>
      </c>
      <c r="H1351" s="45" t="n">
        <f aca="false">INDEX(Background!$D$12:$D$27,MATCH(C1351&amp;D1351,Background!$E$12:$E$27,0))</f>
        <v>0.312236286919831</v>
      </c>
      <c r="I1351" s="49" t="n">
        <f aca="false">LN(G1351/H1351)</f>
        <v>-0.445442864503139</v>
      </c>
    </row>
    <row r="1352" customFormat="false" ht="15" hidden="false" customHeight="true" outlineLevel="0" collapsed="false">
      <c r="A1352" s="38" t="s">
        <v>858</v>
      </c>
      <c r="B1352" s="38" t="n">
        <v>2</v>
      </c>
      <c r="C1352" s="38" t="s">
        <v>170</v>
      </c>
      <c r="D1352" s="38" t="s">
        <v>172</v>
      </c>
      <c r="E1352" s="38" t="s">
        <v>875</v>
      </c>
      <c r="F1352" s="38" t="str">
        <f aca="false">B1352&amp;"|"&amp;C1352&amp;"|"&amp;D1352</f>
        <v>2|C|A</v>
      </c>
      <c r="G1352" s="45" t="n">
        <f aca="false">INDEX('Transition Stepwise'!$J$2:$J$1137,MATCH(F1352,'Transition Stepwise'!$E$2:$E$1137,0))</f>
        <v>0.0348837209302326</v>
      </c>
      <c r="H1352" s="45" t="n">
        <f aca="false">INDEX(Background!$D$12:$D$27,MATCH(C1352&amp;D1352,Background!$E$12:$E$27,0))</f>
        <v>0.194883966244726</v>
      </c>
      <c r="I1352" s="49" t="n">
        <f aca="false">LN(G1352/H1352)</f>
        <v>-1.72038406515869</v>
      </c>
    </row>
    <row r="1353" customFormat="false" ht="15" hidden="false" customHeight="true" outlineLevel="0" collapsed="false">
      <c r="A1353" s="38" t="s">
        <v>858</v>
      </c>
      <c r="B1353" s="38" t="n">
        <v>3</v>
      </c>
      <c r="C1353" s="38" t="s">
        <v>172</v>
      </c>
      <c r="D1353" s="38" t="s">
        <v>170</v>
      </c>
      <c r="E1353" s="38" t="s">
        <v>875</v>
      </c>
      <c r="F1353" s="38" t="str">
        <f aca="false">B1353&amp;"|"&amp;C1353&amp;"|"&amp;D1353</f>
        <v>3|A|C</v>
      </c>
      <c r="G1353" s="45" t="n">
        <f aca="false">INDEX('Transition Stepwise'!$J$2:$J$1137,MATCH(F1353,'Transition Stepwise'!$E$2:$E$1137,0))</f>
        <v>0.222222222222222</v>
      </c>
      <c r="H1353" s="45" t="n">
        <f aca="false">INDEX(Background!$D$12:$D$27,MATCH(C1353&amp;D1353,Background!$E$12:$E$27,0))</f>
        <v>0.161016949152542</v>
      </c>
      <c r="I1353" s="49" t="n">
        <f aca="false">LN(G1353/H1353)</f>
        <v>0.32216824852295</v>
      </c>
    </row>
    <row r="1354" customFormat="false" ht="15" hidden="false" customHeight="true" outlineLevel="0" collapsed="false">
      <c r="A1354" s="38" t="s">
        <v>858</v>
      </c>
      <c r="B1354" s="38" t="n">
        <v>4</v>
      </c>
      <c r="C1354" s="38" t="s">
        <v>170</v>
      </c>
      <c r="D1354" s="38" t="s">
        <v>171</v>
      </c>
      <c r="E1354" s="38" t="s">
        <v>875</v>
      </c>
      <c r="F1354" s="38" t="str">
        <f aca="false">B1354&amp;"|"&amp;C1354&amp;"|"&amp;D1354</f>
        <v>4|C|U</v>
      </c>
      <c r="G1354" s="45" t="n">
        <f aca="false">INDEX('Transition Stepwise'!$J$2:$J$1137,MATCH(F1354,'Transition Stepwise'!$E$2:$E$1137,0))</f>
        <v>0.123076923076923</v>
      </c>
      <c r="H1354" s="45" t="n">
        <f aca="false">INDEX(Background!$D$12:$D$27,MATCH(C1354&amp;D1354,Background!$E$12:$E$27,0))</f>
        <v>0.196466244725738</v>
      </c>
      <c r="I1354" s="49" t="n">
        <f aca="false">LN(G1354/H1354)</f>
        <v>-0.467681083220448</v>
      </c>
    </row>
    <row r="1355" customFormat="false" ht="15" hidden="false" customHeight="true" outlineLevel="0" collapsed="false">
      <c r="A1355" s="38" t="s">
        <v>858</v>
      </c>
      <c r="B1355" s="38" t="n">
        <v>5</v>
      </c>
      <c r="C1355" s="38" t="s">
        <v>171</v>
      </c>
      <c r="D1355" s="38" t="s">
        <v>172</v>
      </c>
      <c r="E1355" s="38" t="s">
        <v>875</v>
      </c>
      <c r="F1355" s="38" t="str">
        <f aca="false">B1355&amp;"|"&amp;C1355&amp;"|"&amp;D1355</f>
        <v>5|U|A</v>
      </c>
      <c r="G1355" s="45" t="n">
        <f aca="false">INDEX('Transition Stepwise'!$J$2:$J$1137,MATCH(F1355,'Transition Stepwise'!$E$2:$E$1137,0))</f>
        <v>0.04</v>
      </c>
      <c r="H1355" s="45" t="n">
        <f aca="false">INDEX(Background!$D$12:$D$27,MATCH(C1355&amp;D1355,Background!$E$12:$E$27,0))</f>
        <v>0.180787191460974</v>
      </c>
      <c r="I1355" s="49" t="n">
        <f aca="false">LN(G1355/H1355)</f>
        <v>-1.5084411476453</v>
      </c>
    </row>
    <row r="1356" customFormat="false" ht="15" hidden="false" customHeight="true" outlineLevel="0" collapsed="false">
      <c r="A1356" s="38" t="s">
        <v>858</v>
      </c>
      <c r="B1356" s="38" t="n">
        <v>6</v>
      </c>
      <c r="C1356" s="38" t="s">
        <v>172</v>
      </c>
      <c r="D1356" s="38" t="s">
        <v>170</v>
      </c>
      <c r="E1356" s="38" t="s">
        <v>875</v>
      </c>
      <c r="F1356" s="38" t="str">
        <f aca="false">B1356&amp;"|"&amp;C1356&amp;"|"&amp;D1356</f>
        <v>6|A|C</v>
      </c>
      <c r="G1356" s="45" t="n">
        <f aca="false">INDEX('Transition Stepwise'!$J$2:$J$1137,MATCH(F1356,'Transition Stepwise'!$E$2:$E$1137,0))</f>
        <v>0.0526315789473684</v>
      </c>
      <c r="H1356" s="45" t="n">
        <f aca="false">INDEX(Background!$D$12:$D$27,MATCH(C1356&amp;D1356,Background!$E$12:$E$27,0))</f>
        <v>0.161016949152542</v>
      </c>
      <c r="I1356" s="49" t="n">
        <f aca="false">LN(G1356/H1356)</f>
        <v>-1.11819333386722</v>
      </c>
    </row>
    <row r="1357" customFormat="false" ht="15" hidden="false" customHeight="true" outlineLevel="0" collapsed="false">
      <c r="A1357" s="38" t="s">
        <v>858</v>
      </c>
      <c r="B1357" s="38" t="n">
        <v>7</v>
      </c>
      <c r="C1357" s="38" t="s">
        <v>170</v>
      </c>
      <c r="D1357" s="38" t="s">
        <v>171</v>
      </c>
      <c r="E1357" s="38" t="s">
        <v>875</v>
      </c>
      <c r="F1357" s="38" t="str">
        <f aca="false">B1357&amp;"|"&amp;C1357&amp;"|"&amp;D1357</f>
        <v>7|C|U</v>
      </c>
      <c r="G1357" s="45" t="n">
        <f aca="false">INDEX('Transition Stepwise'!$J$2:$J$1137,MATCH(F1357,'Transition Stepwise'!$E$2:$E$1137,0))</f>
        <v>0.571428571428571</v>
      </c>
      <c r="H1357" s="45" t="n">
        <f aca="false">INDEX(Background!$D$12:$D$27,MATCH(C1357&amp;D1357,Background!$E$12:$E$27,0))</f>
        <v>0.196466244725738</v>
      </c>
      <c r="I1357" s="49" t="n">
        <f aca="false">LN(G1357/H1357)</f>
        <v>1.06764885705993</v>
      </c>
    </row>
    <row r="1358" customFormat="false" ht="15" hidden="false" customHeight="true" outlineLevel="0" collapsed="false">
      <c r="A1358" s="38" t="s">
        <v>858</v>
      </c>
      <c r="B1358" s="38" t="n">
        <v>8</v>
      </c>
      <c r="C1358" s="38" t="s">
        <v>171</v>
      </c>
      <c r="D1358" s="38" t="s">
        <v>171</v>
      </c>
      <c r="E1358" s="38" t="s">
        <v>875</v>
      </c>
      <c r="F1358" s="38" t="str">
        <f aca="false">B1358&amp;"|"&amp;C1358&amp;"|"&amp;D1358</f>
        <v>8|U|U</v>
      </c>
      <c r="G1358" s="45" t="n">
        <f aca="false">INDEX('Transition Stepwise'!$J$2:$J$1137,MATCH(F1358,'Transition Stepwise'!$E$2:$E$1137,0))</f>
        <v>0.005</v>
      </c>
      <c r="H1358" s="45" t="n">
        <f aca="false">INDEX(Background!$D$12:$D$27,MATCH(C1358&amp;D1358,Background!$E$12:$E$27,0))</f>
        <v>0.220480320213476</v>
      </c>
      <c r="I1358" s="49" t="n">
        <f aca="false">LN(G1358/H1358)</f>
        <v>-3.78637052773718</v>
      </c>
    </row>
    <row r="1359" customFormat="false" ht="15" hidden="false" customHeight="true" outlineLevel="0" collapsed="false">
      <c r="A1359" s="38" t="s">
        <v>858</v>
      </c>
      <c r="B1359" s="38" t="n">
        <v>9</v>
      </c>
      <c r="C1359" s="38" t="s">
        <v>171</v>
      </c>
      <c r="D1359" s="38" t="s">
        <v>172</v>
      </c>
      <c r="E1359" s="38" t="s">
        <v>875</v>
      </c>
      <c r="F1359" s="38" t="str">
        <f aca="false">B1359&amp;"|"&amp;C1359&amp;"|"&amp;D1359</f>
        <v>9|U|A</v>
      </c>
      <c r="G1359" s="45" t="n">
        <f aca="false">INDEX('Transition Stepwise'!$J$2:$J$1137,MATCH(F1359,'Transition Stepwise'!$E$2:$E$1137,0))</f>
        <v>0.25</v>
      </c>
      <c r="H1359" s="45" t="n">
        <f aca="false">INDEX(Background!$D$12:$D$27,MATCH(C1359&amp;D1359,Background!$E$12:$E$27,0))</f>
        <v>0.180787191460974</v>
      </c>
      <c r="I1359" s="49" t="n">
        <f aca="false">LN(G1359/H1359)</f>
        <v>0.324140316103006</v>
      </c>
    </row>
    <row r="1360" customFormat="false" ht="15" hidden="false" customHeight="true" outlineLevel="0" collapsed="false">
      <c r="A1360" s="38" t="s">
        <v>858</v>
      </c>
      <c r="B1360" s="38" t="n">
        <v>10</v>
      </c>
      <c r="C1360" s="38" t="s">
        <v>172</v>
      </c>
      <c r="D1360" s="38" t="s">
        <v>171</v>
      </c>
      <c r="E1360" s="38" t="s">
        <v>875</v>
      </c>
      <c r="F1360" s="38" t="str">
        <f aca="false">B1360&amp;"|"&amp;C1360&amp;"|"&amp;D1360</f>
        <v>10|A|U</v>
      </c>
      <c r="G1360" s="45" t="n">
        <f aca="false">INDEX('Transition Stepwise'!$J$2:$J$1137,MATCH(F1360,'Transition Stepwise'!$E$2:$E$1137,0))</f>
        <v>0.25</v>
      </c>
      <c r="H1360" s="45" t="n">
        <f aca="false">INDEX(Background!$D$12:$D$27,MATCH(C1360&amp;D1360,Background!$E$12:$E$27,0))</f>
        <v>0.194530046224961</v>
      </c>
      <c r="I1360" s="49" t="n">
        <f aca="false">LN(G1360/H1360)</f>
        <v>0.25087428742873</v>
      </c>
    </row>
    <row r="1361" customFormat="false" ht="15" hidden="false" customHeight="true" outlineLevel="0" collapsed="false">
      <c r="A1361" s="38" t="s">
        <v>858</v>
      </c>
      <c r="B1361" s="38" t="n">
        <v>11</v>
      </c>
      <c r="C1361" s="38" t="s">
        <v>171</v>
      </c>
      <c r="D1361" s="38" t="s">
        <v>169</v>
      </c>
      <c r="E1361" s="38" t="s">
        <v>875</v>
      </c>
      <c r="F1361" s="38" t="str">
        <f aca="false">B1361&amp;"|"&amp;C1361&amp;"|"&amp;D1361</f>
        <v>11|U|G</v>
      </c>
      <c r="G1361" s="45" t="n">
        <f aca="false">INDEX('Transition Stepwise'!$J$2:$J$1137,MATCH(F1361,'Transition Stepwise'!$E$2:$E$1137,0))</f>
        <v>0.295454545454545</v>
      </c>
      <c r="H1361" s="45" t="n">
        <f aca="false">INDEX(Background!$D$12:$D$27,MATCH(C1361&amp;D1361,Background!$E$12:$E$27,0))</f>
        <v>0.221480987324883</v>
      </c>
      <c r="I1361" s="49" t="n">
        <f aca="false">LN(G1361/H1361)</f>
        <v>0.288178252729385</v>
      </c>
    </row>
    <row r="1362" customFormat="false" ht="15" hidden="false" customHeight="true" outlineLevel="0" collapsed="false">
      <c r="A1362" s="38" t="s">
        <v>858</v>
      </c>
      <c r="B1362" s="38" t="n">
        <v>12</v>
      </c>
      <c r="C1362" s="38" t="s">
        <v>169</v>
      </c>
      <c r="D1362" s="38" t="s">
        <v>172</v>
      </c>
      <c r="E1362" s="38" t="s">
        <v>875</v>
      </c>
      <c r="F1362" s="38" t="str">
        <f aca="false">B1362&amp;"|"&amp;C1362&amp;"|"&amp;D1362</f>
        <v>12|G|A</v>
      </c>
      <c r="G1362" s="45" t="n">
        <f aca="false">INDEX('Transition Stepwise'!$J$2:$J$1137,MATCH(F1362,'Transition Stepwise'!$E$2:$E$1137,0))</f>
        <v>0.142857142857143</v>
      </c>
      <c r="H1362" s="45" t="n">
        <f aca="false">INDEX(Background!$D$12:$D$27,MATCH(C1362&amp;D1362,Background!$E$12:$E$27,0))</f>
        <v>0.164356435643564</v>
      </c>
      <c r="I1362" s="49" t="n">
        <f aca="false">LN(G1362/H1362)</f>
        <v>-0.140192327576552</v>
      </c>
    </row>
    <row r="1363" customFormat="false" ht="15" hidden="false" customHeight="true" outlineLevel="0" collapsed="false">
      <c r="A1363" s="38" t="s">
        <v>858</v>
      </c>
      <c r="B1363" s="38" t="n">
        <v>13</v>
      </c>
      <c r="C1363" s="38" t="s">
        <v>172</v>
      </c>
      <c r="D1363" s="38" t="s">
        <v>172</v>
      </c>
      <c r="E1363" s="38" t="s">
        <v>875</v>
      </c>
      <c r="F1363" s="38" t="str">
        <f aca="false">B1363&amp;"|"&amp;C1363&amp;"|"&amp;D1363</f>
        <v>13|A|A</v>
      </c>
      <c r="G1363" s="45" t="n">
        <f aca="false">INDEX('Transition Stepwise'!$J$2:$J$1137,MATCH(F1363,'Transition Stepwise'!$E$2:$E$1137,0))</f>
        <v>0.764705882352941</v>
      </c>
      <c r="H1363" s="45" t="n">
        <f aca="false">INDEX(Background!$D$12:$D$27,MATCH(C1363&amp;D1363,Background!$E$12:$E$27,0))</f>
        <v>0.219568567026194</v>
      </c>
      <c r="I1363" s="49" t="n">
        <f aca="false">LN(G1363/H1363)</f>
        <v>1.24782673040071</v>
      </c>
    </row>
    <row r="1364" customFormat="false" ht="15" hidden="false" customHeight="true" outlineLevel="0" collapsed="false">
      <c r="A1364" s="38" t="s">
        <v>858</v>
      </c>
      <c r="B1364" s="38" t="n">
        <v>14</v>
      </c>
      <c r="C1364" s="38" t="s">
        <v>172</v>
      </c>
      <c r="D1364" s="38" t="s">
        <v>171</v>
      </c>
      <c r="E1364" s="38" t="s">
        <v>875</v>
      </c>
      <c r="F1364" s="38" t="str">
        <f aca="false">B1364&amp;"|"&amp;C1364&amp;"|"&amp;D1364</f>
        <v>14|A|U</v>
      </c>
      <c r="G1364" s="45" t="n">
        <f aca="false">INDEX('Transition Stepwise'!$J$2:$J$1137,MATCH(F1364,'Transition Stepwise'!$E$2:$E$1137,0))</f>
        <v>0.015</v>
      </c>
      <c r="H1364" s="45" t="n">
        <f aca="false">INDEX(Background!$D$12:$D$27,MATCH(C1364&amp;D1364,Background!$E$12:$E$27,0))</f>
        <v>0.194530046224961</v>
      </c>
      <c r="I1364" s="49" t="n">
        <f aca="false">LN(G1364/H1364)</f>
        <v>-2.56253642933131</v>
      </c>
    </row>
    <row r="1365" customFormat="false" ht="15" hidden="false" customHeight="true" outlineLevel="0" collapsed="false">
      <c r="A1365" s="38" t="s">
        <v>858</v>
      </c>
      <c r="B1365" s="38" t="n">
        <v>15</v>
      </c>
      <c r="C1365" s="38" t="s">
        <v>171</v>
      </c>
      <c r="D1365" s="38" t="s">
        <v>170</v>
      </c>
      <c r="E1365" s="38" t="s">
        <v>875</v>
      </c>
      <c r="F1365" s="38" t="str">
        <f aca="false">B1365&amp;"|"&amp;C1365&amp;"|"&amp;D1365</f>
        <v>15|U|C</v>
      </c>
      <c r="G1365" s="45" t="n">
        <f aca="false">INDEX('Transition Stepwise'!$J$2:$J$1137,MATCH(F1365,'Transition Stepwise'!$E$2:$E$1137,0))</f>
        <v>0.4</v>
      </c>
      <c r="H1365" s="45" t="n">
        <f aca="false">INDEX(Background!$D$12:$D$27,MATCH(C1365&amp;D1365,Background!$E$12:$E$27,0))</f>
        <v>0.377251501000667</v>
      </c>
      <c r="I1365" s="49" t="n">
        <f aca="false">LN(G1365/H1365)</f>
        <v>0.0585524706722676</v>
      </c>
    </row>
    <row r="1366" customFormat="false" ht="15" hidden="false" customHeight="true" outlineLevel="0" collapsed="false">
      <c r="A1366" s="38" t="s">
        <v>858</v>
      </c>
      <c r="B1366" s="38" t="n">
        <v>16</v>
      </c>
      <c r="C1366" s="38" t="s">
        <v>170</v>
      </c>
      <c r="D1366" s="38" t="s">
        <v>170</v>
      </c>
      <c r="E1366" s="38" t="s">
        <v>875</v>
      </c>
      <c r="F1366" s="38" t="str">
        <f aca="false">B1366&amp;"|"&amp;C1366&amp;"|"&amp;D1366</f>
        <v>16|C|C</v>
      </c>
      <c r="G1366" s="45" t="n">
        <f aca="false">INDEX('Transition Stepwise'!$J$2:$J$1137,MATCH(F1366,'Transition Stepwise'!$E$2:$E$1137,0))</f>
        <v>0.46</v>
      </c>
      <c r="H1366" s="45" t="n">
        <f aca="false">INDEX(Background!$D$12:$D$27,MATCH(C1366&amp;D1366,Background!$E$12:$E$27,0))</f>
        <v>0.312236286919831</v>
      </c>
      <c r="I1366" s="49" t="n">
        <f aca="false">LN(G1366/H1366)</f>
        <v>0.387466258431965</v>
      </c>
    </row>
    <row r="1367" customFormat="false" ht="15" hidden="false" customHeight="true" outlineLevel="0" collapsed="false">
      <c r="A1367" s="38" t="s">
        <v>858</v>
      </c>
      <c r="B1367" s="38" t="n">
        <v>17</v>
      </c>
      <c r="C1367" s="38" t="s">
        <v>170</v>
      </c>
      <c r="D1367" s="38" t="s">
        <v>169</v>
      </c>
      <c r="E1367" s="38" t="s">
        <v>875</v>
      </c>
      <c r="F1367" s="38" t="str">
        <f aca="false">B1367&amp;"|"&amp;C1367&amp;"|"&amp;D1367</f>
        <v>17|C|G</v>
      </c>
      <c r="G1367" s="45" t="n">
        <f aca="false">INDEX('Transition Stepwise'!$J$2:$J$1137,MATCH(F1367,'Transition Stepwise'!$E$2:$E$1137,0))</f>
        <v>0.955223880597015</v>
      </c>
      <c r="H1367" s="45" t="n">
        <f aca="false">INDEX(Background!$D$12:$D$27,MATCH(C1367&amp;D1367,Background!$E$12:$E$27,0))</f>
        <v>0.296413502109705</v>
      </c>
      <c r="I1367" s="49" t="n">
        <f aca="false">LN(G1367/H1367)</f>
        <v>1.17019029688998</v>
      </c>
    </row>
    <row r="1368" customFormat="false" ht="15" hidden="false" customHeight="true" outlineLevel="0" collapsed="false">
      <c r="A1368" s="38" t="s">
        <v>858</v>
      </c>
      <c r="B1368" s="38" t="n">
        <v>18</v>
      </c>
      <c r="C1368" s="38" t="s">
        <v>169</v>
      </c>
      <c r="D1368" s="38" t="s">
        <v>169</v>
      </c>
      <c r="E1368" s="38" t="s">
        <v>875</v>
      </c>
      <c r="F1368" s="38" t="str">
        <f aca="false">B1368&amp;"|"&amp;C1368&amp;"|"&amp;D1368</f>
        <v>18|G|G</v>
      </c>
      <c r="G1368" s="45" t="n">
        <f aca="false">INDEX('Transition Stepwise'!$J$2:$J$1137,MATCH(F1368,'Transition Stepwise'!$E$2:$E$1137,0))</f>
        <v>0.975247524752475</v>
      </c>
      <c r="H1368" s="45" t="n">
        <f aca="false">INDEX(Background!$D$12:$D$27,MATCH(C1368&amp;D1368,Background!$E$12:$E$27,0))</f>
        <v>0.344774477447745</v>
      </c>
      <c r="I1368" s="49" t="n">
        <f aca="false">LN(G1368/H1368)</f>
        <v>1.03980079559234</v>
      </c>
    </row>
    <row r="1369" customFormat="false" ht="15" hidden="false" customHeight="true" outlineLevel="0" collapsed="false">
      <c r="A1369" s="38" t="s">
        <v>858</v>
      </c>
      <c r="B1369" s="38" t="n">
        <v>19</v>
      </c>
      <c r="C1369" s="38" t="s">
        <v>169</v>
      </c>
      <c r="D1369" s="38" t="s">
        <v>170</v>
      </c>
      <c r="E1369" s="38" t="s">
        <v>875</v>
      </c>
      <c r="F1369" s="38" t="str">
        <f aca="false">B1369&amp;"|"&amp;C1369&amp;"|"&amp;D1369</f>
        <v>19|G|C</v>
      </c>
      <c r="G1369" s="45" t="n">
        <f aca="false">INDEX('Transition Stepwise'!$J$2:$J$1137,MATCH(F1369,'Transition Stepwise'!$E$2:$E$1137,0))</f>
        <v>0.23</v>
      </c>
      <c r="H1369" s="45" t="n">
        <f aca="false">INDEX(Background!$D$12:$D$27,MATCH(C1369&amp;D1369,Background!$E$12:$E$27,0))</f>
        <v>0.256105610561056</v>
      </c>
      <c r="I1369" s="49" t="n">
        <f aca="false">LN(G1369/H1369)</f>
        <v>-0.107510591738746</v>
      </c>
    </row>
    <row r="1370" customFormat="false" ht="15" hidden="false" customHeight="true" outlineLevel="0" collapsed="false">
      <c r="A1370" s="38" t="s">
        <v>858</v>
      </c>
      <c r="B1370" s="38" t="n">
        <v>20</v>
      </c>
      <c r="C1370" s="38" t="s">
        <v>170</v>
      </c>
      <c r="D1370" s="38" t="s">
        <v>170</v>
      </c>
      <c r="E1370" s="38" t="s">
        <v>875</v>
      </c>
      <c r="F1370" s="38" t="str">
        <f aca="false">B1370&amp;"|"&amp;C1370&amp;"|"&amp;D1370</f>
        <v>20|C|C</v>
      </c>
      <c r="G1370" s="45" t="n">
        <f aca="false">INDEX('Transition Stepwise'!$J$2:$J$1137,MATCH(F1370,'Transition Stepwise'!$E$2:$E$1137,0))</f>
        <v>0.0816326530612245</v>
      </c>
      <c r="H1370" s="45" t="n">
        <f aca="false">INDEX(Background!$D$12:$D$27,MATCH(C1370&amp;D1370,Background!$E$12:$E$27,0))</f>
        <v>0.312236286919831</v>
      </c>
      <c r="I1370" s="49" t="n">
        <f aca="false">LN(G1370/H1370)</f>
        <v>-1.34153088905977</v>
      </c>
    </row>
    <row r="1371" customFormat="false" ht="15" hidden="false" customHeight="true" outlineLevel="0" collapsed="false">
      <c r="A1371" s="38" t="s">
        <v>858</v>
      </c>
      <c r="B1371" s="38" t="n">
        <v>21</v>
      </c>
      <c r="C1371" s="38" t="s">
        <v>170</v>
      </c>
      <c r="D1371" s="38" t="s">
        <v>171</v>
      </c>
      <c r="E1371" s="38" t="s">
        <v>875</v>
      </c>
      <c r="F1371" s="38" t="str">
        <f aca="false">B1371&amp;"|"&amp;C1371&amp;"|"&amp;D1371</f>
        <v>21|C|U</v>
      </c>
      <c r="G1371" s="45" t="n">
        <f aca="false">INDEX('Transition Stepwise'!$J$2:$J$1137,MATCH(F1371,'Transition Stepwise'!$E$2:$E$1137,0))</f>
        <v>0.125</v>
      </c>
      <c r="H1371" s="45" t="n">
        <f aca="false">INDEX(Background!$D$12:$D$27,MATCH(C1371&amp;D1371,Background!$E$12:$E$27,0))</f>
        <v>0.196466244725738</v>
      </c>
      <c r="I1371" s="49" t="n">
        <f aca="false">LN(G1371/H1371)</f>
        <v>-0.452176896684483</v>
      </c>
    </row>
    <row r="1372" customFormat="false" ht="15" hidden="false" customHeight="true" outlineLevel="0" collapsed="false">
      <c r="A1372" s="38" t="s">
        <v>858</v>
      </c>
      <c r="B1372" s="38" t="n">
        <v>22</v>
      </c>
      <c r="C1372" s="38" t="s">
        <v>171</v>
      </c>
      <c r="D1372" s="38" t="s">
        <v>171</v>
      </c>
      <c r="E1372" s="38" t="s">
        <v>875</v>
      </c>
      <c r="F1372" s="38" t="str">
        <f aca="false">B1372&amp;"|"&amp;C1372&amp;"|"&amp;D1372</f>
        <v>22|U|U</v>
      </c>
      <c r="G1372" s="45" t="n">
        <f aca="false">INDEX('Transition Stepwise'!$J$2:$J$1137,MATCH(F1372,'Transition Stepwise'!$E$2:$E$1137,0))</f>
        <v>0.333333333333333</v>
      </c>
      <c r="H1372" s="45" t="n">
        <f aca="false">INDEX(Background!$D$12:$D$27,MATCH(C1372&amp;D1372,Background!$E$12:$E$27,0))</f>
        <v>0.220480320213476</v>
      </c>
      <c r="I1372" s="49" t="n">
        <f aca="false">LN(G1372/H1372)</f>
        <v>0.413334550142747</v>
      </c>
    </row>
    <row r="1373" customFormat="false" ht="15" hidden="false" customHeight="true" outlineLevel="0" collapsed="false">
      <c r="A1373" s="38" t="s">
        <v>858</v>
      </c>
      <c r="B1373" s="38" t="n">
        <v>23</v>
      </c>
      <c r="C1373" s="38" t="s">
        <v>171</v>
      </c>
      <c r="D1373" s="38" t="s">
        <v>172</v>
      </c>
      <c r="E1373" s="38" t="s">
        <v>875</v>
      </c>
      <c r="F1373" s="38" t="str">
        <f aca="false">B1373&amp;"|"&amp;C1373&amp;"|"&amp;D1373</f>
        <v>23|U|A</v>
      </c>
      <c r="G1373" s="45" t="n">
        <f aca="false">INDEX('Transition Stepwise'!$J$2:$J$1137,MATCH(F1373,'Transition Stepwise'!$E$2:$E$1137,0))</f>
        <v>0.375</v>
      </c>
      <c r="H1373" s="45" t="n">
        <f aca="false">INDEX(Background!$D$12:$D$27,MATCH(C1373&amp;D1373,Background!$E$12:$E$27,0))</f>
        <v>0.180787191460974</v>
      </c>
      <c r="I1373" s="49" t="n">
        <f aca="false">LN(G1373/H1373)</f>
        <v>0.729605424211171</v>
      </c>
    </row>
    <row r="1374" customFormat="false" ht="15" hidden="false" customHeight="true" outlineLevel="0" collapsed="false">
      <c r="A1374" s="38" t="s">
        <v>858</v>
      </c>
      <c r="B1374" s="38" t="n">
        <v>24</v>
      </c>
      <c r="C1374" s="38" t="s">
        <v>172</v>
      </c>
      <c r="D1374" s="38" t="s">
        <v>171</v>
      </c>
      <c r="E1374" s="38" t="s">
        <v>875</v>
      </c>
      <c r="F1374" s="38" t="str">
        <f aca="false">B1374&amp;"|"&amp;C1374&amp;"|"&amp;D1374</f>
        <v>24|A|U</v>
      </c>
      <c r="G1374" s="45" t="n">
        <f aca="false">INDEX('Transition Stepwise'!$J$2:$J$1137,MATCH(F1374,'Transition Stepwise'!$E$2:$E$1137,0))</f>
        <v>0.268292682926829</v>
      </c>
      <c r="H1374" s="45" t="n">
        <f aca="false">INDEX(Background!$D$12:$D$27,MATCH(C1374&amp;D1374,Background!$E$12:$E$27,0))</f>
        <v>0.194530046224961</v>
      </c>
      <c r="I1374" s="49" t="n">
        <f aca="false">LN(G1374/H1374)</f>
        <v>0.321491854642684</v>
      </c>
    </row>
    <row r="1375" customFormat="false" ht="15" hidden="false" customHeight="true" outlineLevel="0" collapsed="false">
      <c r="A1375" s="38" t="s">
        <v>858</v>
      </c>
      <c r="B1375" s="38" t="n">
        <v>25</v>
      </c>
      <c r="C1375" s="38" t="s">
        <v>171</v>
      </c>
      <c r="D1375" s="38" t="s">
        <v>171</v>
      </c>
      <c r="E1375" s="38" t="s">
        <v>875</v>
      </c>
      <c r="F1375" s="38" t="str">
        <f aca="false">B1375&amp;"|"&amp;C1375&amp;"|"&amp;D1375</f>
        <v>25|U|U</v>
      </c>
      <c r="G1375" s="45" t="n">
        <f aca="false">INDEX('Transition Stepwise'!$J$2:$J$1137,MATCH(F1375,'Transition Stepwise'!$E$2:$E$1137,0))</f>
        <v>0.166666666666667</v>
      </c>
      <c r="H1375" s="45" t="n">
        <f aca="false">INDEX(Background!$D$12:$D$27,MATCH(C1375&amp;D1375,Background!$E$12:$E$27,0))</f>
        <v>0.220480320213476</v>
      </c>
      <c r="I1375" s="49" t="n">
        <f aca="false">LN(G1375/H1375)</f>
        <v>-0.279812630417198</v>
      </c>
    </row>
    <row r="1376" customFormat="false" ht="15" hidden="false" customHeight="true" outlineLevel="0" collapsed="false">
      <c r="A1376" s="38" t="s">
        <v>858</v>
      </c>
      <c r="B1376" s="38" t="n">
        <v>26</v>
      </c>
      <c r="C1376" s="38" t="s">
        <v>171</v>
      </c>
      <c r="D1376" s="38" t="s">
        <v>169</v>
      </c>
      <c r="E1376" s="38" t="s">
        <v>875</v>
      </c>
      <c r="F1376" s="38" t="str">
        <f aca="false">B1376&amp;"|"&amp;C1376&amp;"|"&amp;D1376</f>
        <v>26|U|G</v>
      </c>
      <c r="G1376" s="45" t="n">
        <f aca="false">INDEX('Transition Stepwise'!$J$2:$J$1137,MATCH(F1376,'Transition Stepwise'!$E$2:$E$1137,0))</f>
        <v>0.133333333333333</v>
      </c>
      <c r="H1376" s="45" t="n">
        <f aca="false">INDEX(Background!$D$12:$D$27,MATCH(C1376&amp;D1376,Background!$E$12:$E$27,0))</f>
        <v>0.221480987324883</v>
      </c>
      <c r="I1376" s="49" t="n">
        <f aca="false">LN(G1376/H1376)</f>
        <v>-0.507484491356156</v>
      </c>
    </row>
    <row r="1377" customFormat="false" ht="15" hidden="false" customHeight="true" outlineLevel="0" collapsed="false">
      <c r="A1377" s="38" t="s">
        <v>858</v>
      </c>
      <c r="B1377" s="38" t="n">
        <v>27</v>
      </c>
      <c r="C1377" s="38" t="s">
        <v>169</v>
      </c>
      <c r="D1377" s="38" t="s">
        <v>172</v>
      </c>
      <c r="E1377" s="38" t="s">
        <v>875</v>
      </c>
      <c r="F1377" s="38" t="str">
        <f aca="false">B1377&amp;"|"&amp;C1377&amp;"|"&amp;D1377</f>
        <v>27|G|A</v>
      </c>
      <c r="G1377" s="45" t="n">
        <f aca="false">INDEX('Transition Stepwise'!$J$2:$J$1137,MATCH(F1377,'Transition Stepwise'!$E$2:$E$1137,0))</f>
        <v>0.142857142857143</v>
      </c>
      <c r="H1377" s="45" t="n">
        <f aca="false">INDEX(Background!$D$12:$D$27,MATCH(C1377&amp;D1377,Background!$E$12:$E$27,0))</f>
        <v>0.164356435643564</v>
      </c>
      <c r="I1377" s="49" t="n">
        <f aca="false">LN(G1377/H1377)</f>
        <v>-0.140192327576552</v>
      </c>
    </row>
    <row r="1378" customFormat="false" ht="15" hidden="false" customHeight="true" outlineLevel="0" collapsed="false">
      <c r="A1378" s="38" t="s">
        <v>858</v>
      </c>
      <c r="B1378" s="38" t="n">
        <v>28</v>
      </c>
      <c r="C1378" s="38" t="s">
        <v>172</v>
      </c>
      <c r="D1378" s="38" t="s">
        <v>171</v>
      </c>
      <c r="E1378" s="38" t="s">
        <v>875</v>
      </c>
      <c r="F1378" s="38" t="str">
        <f aca="false">B1378&amp;"|"&amp;C1378&amp;"|"&amp;D1378</f>
        <v>28|A|U</v>
      </c>
      <c r="G1378" s="45" t="n">
        <f aca="false">INDEX('Transition Stepwise'!$J$2:$J$1137,MATCH(F1378,'Transition Stepwise'!$E$2:$E$1137,0))</f>
        <v>0.392857142857143</v>
      </c>
      <c r="H1378" s="45" t="n">
        <f aca="false">INDEX(Background!$D$12:$D$27,MATCH(C1378&amp;D1378,Background!$E$12:$E$27,0))</f>
        <v>0.194530046224961</v>
      </c>
      <c r="I1378" s="49" t="n">
        <f aca="false">LN(G1378/H1378)</f>
        <v>0.702859411171787</v>
      </c>
    </row>
    <row r="1379" customFormat="false" ht="15" hidden="false" customHeight="true" outlineLevel="0" collapsed="false">
      <c r="A1379" s="38" t="s">
        <v>858</v>
      </c>
      <c r="B1379" s="38" t="n">
        <v>29</v>
      </c>
      <c r="C1379" s="38" t="s">
        <v>171</v>
      </c>
      <c r="D1379" s="38" t="s">
        <v>171</v>
      </c>
      <c r="E1379" s="38" t="s">
        <v>875</v>
      </c>
      <c r="F1379" s="38" t="str">
        <f aca="false">B1379&amp;"|"&amp;C1379&amp;"|"&amp;D1379</f>
        <v>29|U|U</v>
      </c>
      <c r="G1379" s="45" t="n">
        <f aca="false">INDEX('Transition Stepwise'!$J$2:$J$1137,MATCH(F1379,'Transition Stepwise'!$E$2:$E$1137,0))</f>
        <v>0.0169491525423729</v>
      </c>
      <c r="H1379" s="45" t="n">
        <f aca="false">INDEX(Background!$D$12:$D$27,MATCH(C1379&amp;D1379,Background!$E$12:$E$27,0))</f>
        <v>0.220480320213476</v>
      </c>
      <c r="I1379" s="49" t="n">
        <f aca="false">LN(G1379/H1379)</f>
        <v>-2.56559060509486</v>
      </c>
    </row>
    <row r="1380" customFormat="false" ht="15" hidden="false" customHeight="true" outlineLevel="0" collapsed="false">
      <c r="A1380" s="38" t="s">
        <v>858</v>
      </c>
      <c r="B1380" s="38" t="n">
        <v>30</v>
      </c>
      <c r="C1380" s="38" t="s">
        <v>171</v>
      </c>
      <c r="D1380" s="38" t="s">
        <v>172</v>
      </c>
      <c r="E1380" s="38" t="s">
        <v>875</v>
      </c>
      <c r="F1380" s="38" t="str">
        <f aca="false">B1380&amp;"|"&amp;C1380&amp;"|"&amp;D1380</f>
        <v>30|U|A</v>
      </c>
      <c r="G1380" s="45" t="n">
        <f aca="false">INDEX('Transition Stepwise'!$J$2:$J$1137,MATCH(F1380,'Transition Stepwise'!$E$2:$E$1137,0))</f>
        <v>0.272727272727273</v>
      </c>
      <c r="H1380" s="45" t="n">
        <f aca="false">INDEX(Background!$D$12:$D$27,MATCH(C1380&amp;D1380,Background!$E$12:$E$27,0))</f>
        <v>0.180787191460974</v>
      </c>
      <c r="I1380" s="49" t="n">
        <f aca="false">LN(G1380/H1380)</f>
        <v>0.411151693092636</v>
      </c>
    </row>
    <row r="1381" customFormat="false" ht="15" hidden="false" customHeight="true" outlineLevel="0" collapsed="false">
      <c r="A1381" s="38" t="s">
        <v>858</v>
      </c>
      <c r="B1381" s="38" t="n">
        <v>31</v>
      </c>
      <c r="C1381" s="38" t="s">
        <v>172</v>
      </c>
      <c r="D1381" s="38" t="s">
        <v>169</v>
      </c>
      <c r="E1381" s="38" t="s">
        <v>875</v>
      </c>
      <c r="F1381" s="38" t="str">
        <f aca="false">B1381&amp;"|"&amp;C1381&amp;"|"&amp;D1381</f>
        <v>31|A|G</v>
      </c>
      <c r="G1381" s="45" t="n">
        <f aca="false">INDEX('Transition Stepwise'!$J$2:$J$1137,MATCH(F1381,'Transition Stepwise'!$E$2:$E$1137,0))</f>
        <v>0.0172413793103448</v>
      </c>
      <c r="H1381" s="45" t="n">
        <f aca="false">INDEX(Background!$D$12:$D$27,MATCH(C1381&amp;D1381,Background!$E$12:$E$27,0))</f>
        <v>0.424884437596302</v>
      </c>
      <c r="I1381" s="49" t="n">
        <f aca="false">LN(G1381/H1381)</f>
        <v>-3.20450495197594</v>
      </c>
    </row>
    <row r="1382" customFormat="false" ht="15" hidden="false" customHeight="true" outlineLevel="0" collapsed="false">
      <c r="A1382" s="38" t="s">
        <v>858</v>
      </c>
      <c r="B1382" s="38" t="n">
        <v>32</v>
      </c>
      <c r="C1382" s="38" t="s">
        <v>169</v>
      </c>
      <c r="D1382" s="38" t="s">
        <v>171</v>
      </c>
      <c r="E1382" s="38" t="s">
        <v>875</v>
      </c>
      <c r="F1382" s="38" t="str">
        <f aca="false">B1382&amp;"|"&amp;C1382&amp;"|"&amp;D1382</f>
        <v>32|G|U</v>
      </c>
      <c r="G1382" s="45" t="n">
        <f aca="false">INDEX('Transition Stepwise'!$J$2:$J$1137,MATCH(F1382,'Transition Stepwise'!$E$2:$E$1137,0))</f>
        <v>0.25</v>
      </c>
      <c r="H1382" s="45" t="n">
        <f aca="false">INDEX(Background!$D$12:$D$27,MATCH(C1382&amp;D1382,Background!$E$12:$E$27,0))</f>
        <v>0.234763476347635</v>
      </c>
      <c r="I1382" s="49" t="n">
        <f aca="false">LN(G1382/H1382)</f>
        <v>0.0628823941899354</v>
      </c>
    </row>
    <row r="1383" customFormat="false" ht="15" hidden="false" customHeight="true" outlineLevel="0" collapsed="false">
      <c r="A1383" s="38" t="s">
        <v>858</v>
      </c>
      <c r="B1383" s="38" t="n">
        <v>33</v>
      </c>
      <c r="C1383" s="38" t="s">
        <v>171</v>
      </c>
      <c r="D1383" s="38" t="s">
        <v>171</v>
      </c>
      <c r="E1383" s="38" t="s">
        <v>875</v>
      </c>
      <c r="F1383" s="38" t="str">
        <f aca="false">B1383&amp;"|"&amp;C1383&amp;"|"&amp;D1383</f>
        <v>33|U|U</v>
      </c>
      <c r="G1383" s="45" t="n">
        <f aca="false">INDEX('Transition Stepwise'!$J$2:$J$1137,MATCH(F1383,'Transition Stepwise'!$E$2:$E$1137,0))</f>
        <v>0.293532338308458</v>
      </c>
      <c r="H1383" s="45" t="n">
        <f aca="false">INDEX(Background!$D$12:$D$27,MATCH(C1383&amp;D1383,Background!$E$12:$E$27,0))</f>
        <v>0.220480320213476</v>
      </c>
      <c r="I1383" s="49" t="n">
        <f aca="false">LN(G1383/H1383)</f>
        <v>0.2861793746575</v>
      </c>
    </row>
    <row r="1384" customFormat="false" ht="15" hidden="false" customHeight="true" outlineLevel="0" collapsed="false">
      <c r="A1384" s="38" t="s">
        <v>858</v>
      </c>
      <c r="B1384" s="38" t="n">
        <v>34</v>
      </c>
      <c r="C1384" s="38" t="s">
        <v>171</v>
      </c>
      <c r="D1384" s="38" t="s">
        <v>171</v>
      </c>
      <c r="E1384" s="38" t="s">
        <v>875</v>
      </c>
      <c r="F1384" s="38" t="str">
        <f aca="false">B1384&amp;"|"&amp;C1384&amp;"|"&amp;D1384</f>
        <v>34|U|U</v>
      </c>
      <c r="G1384" s="45" t="n">
        <f aca="false">INDEX('Transition Stepwise'!$J$2:$J$1137,MATCH(F1384,'Transition Stepwise'!$E$2:$E$1137,0))</f>
        <v>0.17741935483871</v>
      </c>
      <c r="H1384" s="45" t="n">
        <f aca="false">INDEX(Background!$D$12:$D$27,MATCH(C1384&amp;D1384,Background!$E$12:$E$27,0))</f>
        <v>0.220480320213476</v>
      </c>
      <c r="I1384" s="49" t="n">
        <f aca="false">LN(G1384/H1384)</f>
        <v>-0.217292273435864</v>
      </c>
    </row>
    <row r="1385" customFormat="false" ht="15" hidden="false" customHeight="true" outlineLevel="0" collapsed="false">
      <c r="A1385" s="38" t="s">
        <v>858</v>
      </c>
      <c r="B1385" s="38" t="n">
        <v>35</v>
      </c>
      <c r="C1385" s="38" t="s">
        <v>171</v>
      </c>
      <c r="D1385" s="38" t="s">
        <v>172</v>
      </c>
      <c r="E1385" s="38" t="s">
        <v>875</v>
      </c>
      <c r="F1385" s="38" t="str">
        <f aca="false">B1385&amp;"|"&amp;C1385&amp;"|"&amp;D1385</f>
        <v>35|U|A</v>
      </c>
      <c r="G1385" s="45" t="n">
        <f aca="false">INDEX('Transition Stepwise'!$J$2:$J$1137,MATCH(F1385,'Transition Stepwise'!$E$2:$E$1137,0))</f>
        <v>0.177777777777778</v>
      </c>
      <c r="H1385" s="45" t="n">
        <f aca="false">INDEX(Background!$D$12:$D$27,MATCH(C1385&amp;D1385,Background!$E$12:$E$27,0))</f>
        <v>0.180787191460974</v>
      </c>
      <c r="I1385" s="49" t="n">
        <f aca="false">LN(G1385/H1385)</f>
        <v>-0.016786270867587</v>
      </c>
    </row>
    <row r="1386" customFormat="false" ht="15" hidden="false" customHeight="true" outlineLevel="0" collapsed="false">
      <c r="A1386" s="38" t="s">
        <v>858</v>
      </c>
      <c r="B1386" s="38" t="n">
        <v>36</v>
      </c>
      <c r="C1386" s="38" t="s">
        <v>172</v>
      </c>
      <c r="D1386" s="38" t="s">
        <v>171</v>
      </c>
      <c r="E1386" s="38" t="s">
        <v>875</v>
      </c>
      <c r="F1386" s="38" t="str">
        <f aca="false">B1386&amp;"|"&amp;C1386&amp;"|"&amp;D1386</f>
        <v>36|A|U</v>
      </c>
      <c r="G1386" s="45" t="n">
        <f aca="false">INDEX('Transition Stepwise'!$J$2:$J$1137,MATCH(F1386,'Transition Stepwise'!$E$2:$E$1137,0))</f>
        <v>0.0212765957446809</v>
      </c>
      <c r="H1386" s="45" t="n">
        <f aca="false">INDEX(Background!$D$12:$D$27,MATCH(C1386&amp;D1386,Background!$E$12:$E$27,0))</f>
        <v>0.194530046224961</v>
      </c>
      <c r="I1386" s="49" t="n">
        <f aca="false">LN(G1386/H1386)</f>
        <v>-2.21297895316144</v>
      </c>
    </row>
    <row r="1387" customFormat="false" ht="15" hidden="false" customHeight="true" outlineLevel="0" collapsed="false">
      <c r="A1387" s="38" t="s">
        <v>858</v>
      </c>
      <c r="B1387" s="38" t="n">
        <v>37</v>
      </c>
      <c r="C1387" s="38" t="s">
        <v>171</v>
      </c>
      <c r="D1387" s="38" t="s">
        <v>171</v>
      </c>
      <c r="E1387" s="38" t="s">
        <v>875</v>
      </c>
      <c r="F1387" s="38" t="str">
        <f aca="false">B1387&amp;"|"&amp;C1387&amp;"|"&amp;D1387</f>
        <v>37|U|U</v>
      </c>
      <c r="G1387" s="45" t="n">
        <f aca="false">INDEX('Transition Stepwise'!$J$2:$J$1137,MATCH(F1387,'Transition Stepwise'!$E$2:$E$1137,0))</f>
        <v>0.25</v>
      </c>
      <c r="H1387" s="45" t="n">
        <f aca="false">INDEX(Background!$D$12:$D$27,MATCH(C1387&amp;D1387,Background!$E$12:$E$27,0))</f>
        <v>0.220480320213476</v>
      </c>
      <c r="I1387" s="49" t="n">
        <f aca="false">LN(G1387/H1387)</f>
        <v>0.125652477690966</v>
      </c>
    </row>
    <row r="1388" customFormat="false" ht="15" hidden="false" customHeight="true" outlineLevel="0" collapsed="false">
      <c r="A1388" s="38" t="s">
        <v>858</v>
      </c>
      <c r="B1388" s="38" t="n">
        <v>38</v>
      </c>
      <c r="C1388" s="38" t="s">
        <v>171</v>
      </c>
      <c r="D1388" s="38" t="s">
        <v>171</v>
      </c>
      <c r="E1388" s="38" t="s">
        <v>875</v>
      </c>
      <c r="F1388" s="38" t="str">
        <f aca="false">B1388&amp;"|"&amp;C1388&amp;"|"&amp;D1388</f>
        <v>38|U|U</v>
      </c>
      <c r="G1388" s="45" t="n">
        <f aca="false">INDEX('Transition Stepwise'!$J$2:$J$1137,MATCH(F1388,'Transition Stepwise'!$E$2:$E$1137,0))</f>
        <v>0.148148148148148</v>
      </c>
      <c r="H1388" s="45" t="n">
        <f aca="false">INDEX(Background!$D$12:$D$27,MATCH(C1388&amp;D1388,Background!$E$12:$E$27,0))</f>
        <v>0.220480320213476</v>
      </c>
      <c r="I1388" s="49" t="n">
        <f aca="false">LN(G1388/H1388)</f>
        <v>-0.397595666073582</v>
      </c>
    </row>
    <row r="1389" customFormat="false" ht="15" hidden="false" customHeight="true" outlineLevel="0" collapsed="false">
      <c r="A1389" s="38" t="s">
        <v>858</v>
      </c>
      <c r="B1389" s="38" t="n">
        <v>39</v>
      </c>
      <c r="C1389" s="38" t="s">
        <v>171</v>
      </c>
      <c r="D1389" s="38" t="s">
        <v>172</v>
      </c>
      <c r="E1389" s="38" t="s">
        <v>875</v>
      </c>
      <c r="F1389" s="38" t="str">
        <f aca="false">B1389&amp;"|"&amp;C1389&amp;"|"&amp;D1389</f>
        <v>39|U|A</v>
      </c>
      <c r="G1389" s="45" t="n">
        <f aca="false">INDEX('Transition Stepwise'!$J$2:$J$1137,MATCH(F1389,'Transition Stepwise'!$E$2:$E$1137,0))</f>
        <v>0.0317460317460317</v>
      </c>
      <c r="H1389" s="45" t="n">
        <f aca="false">INDEX(Background!$D$12:$D$27,MATCH(C1389&amp;D1389,Background!$E$12:$E$27,0))</f>
        <v>0.180787191460974</v>
      </c>
      <c r="I1389" s="49" t="n">
        <f aca="false">LN(G1389/H1389)</f>
        <v>-1.73955286860869</v>
      </c>
    </row>
    <row r="1390" customFormat="false" ht="15" hidden="false" customHeight="true" outlineLevel="0" collapsed="false">
      <c r="A1390" s="38" t="s">
        <v>858</v>
      </c>
      <c r="B1390" s="38" t="n">
        <v>40</v>
      </c>
      <c r="C1390" s="38" t="s">
        <v>172</v>
      </c>
      <c r="D1390" s="38" t="s">
        <v>172</v>
      </c>
      <c r="E1390" s="38" t="s">
        <v>875</v>
      </c>
      <c r="F1390" s="38" t="str">
        <f aca="false">B1390&amp;"|"&amp;C1390&amp;"|"&amp;D1390</f>
        <v>40|A|A</v>
      </c>
      <c r="G1390" s="45" t="n">
        <f aca="false">INDEX('Transition Stepwise'!$J$2:$J$1137,MATCH(F1390,'Transition Stepwise'!$E$2:$E$1137,0))</f>
        <v>0.2</v>
      </c>
      <c r="H1390" s="45" t="n">
        <f aca="false">INDEX(Background!$D$12:$D$27,MATCH(C1390&amp;D1390,Background!$E$12:$E$27,0))</f>
        <v>0.219568567026194</v>
      </c>
      <c r="I1390" s="49" t="n">
        <f aca="false">LN(G1390/H1390)</f>
        <v>-0.0933471954387156</v>
      </c>
    </row>
    <row r="1391" customFormat="false" ht="15" hidden="false" customHeight="true" outlineLevel="0" collapsed="false">
      <c r="A1391" s="38" t="s">
        <v>858</v>
      </c>
      <c r="B1391" s="38" t="n">
        <v>41</v>
      </c>
      <c r="C1391" s="38" t="s">
        <v>172</v>
      </c>
      <c r="D1391" s="38" t="s">
        <v>171</v>
      </c>
      <c r="E1391" s="38" t="s">
        <v>875</v>
      </c>
      <c r="F1391" s="38" t="str">
        <f aca="false">B1391&amp;"|"&amp;C1391&amp;"|"&amp;D1391</f>
        <v>41|A|U</v>
      </c>
      <c r="G1391" s="45" t="n">
        <f aca="false">INDEX('Transition Stepwise'!$J$2:$J$1137,MATCH(F1391,'Transition Stepwise'!$E$2:$E$1137,0))</f>
        <v>0.172413793103448</v>
      </c>
      <c r="H1391" s="45" t="n">
        <f aca="false">INDEX(Background!$D$12:$D$27,MATCH(C1391&amp;D1391,Background!$E$12:$E$27,0))</f>
        <v>0.194530046224961</v>
      </c>
      <c r="I1391" s="49" t="n">
        <f aca="false">LN(G1391/H1391)</f>
        <v>-0.120689269003753</v>
      </c>
    </row>
    <row r="1392" customFormat="false" ht="15" hidden="false" customHeight="true" outlineLevel="0" collapsed="false">
      <c r="A1392" s="38" t="s">
        <v>858</v>
      </c>
      <c r="B1392" s="38" t="n">
        <v>42</v>
      </c>
      <c r="C1392" s="38" t="s">
        <v>171</v>
      </c>
      <c r="D1392" s="38" t="s">
        <v>171</v>
      </c>
      <c r="E1392" s="38" t="s">
        <v>875</v>
      </c>
      <c r="F1392" s="38" t="str">
        <f aca="false">B1392&amp;"|"&amp;C1392&amp;"|"&amp;D1392</f>
        <v>42|U|U</v>
      </c>
      <c r="G1392" s="45" t="n">
        <f aca="false">INDEX('Transition Stepwise'!$J$2:$J$1137,MATCH(F1392,'Transition Stepwise'!$E$2:$E$1137,0))</f>
        <v>0.133333333333333</v>
      </c>
      <c r="H1392" s="45" t="n">
        <f aca="false">INDEX(Background!$D$12:$D$27,MATCH(C1392&amp;D1392,Background!$E$12:$E$27,0))</f>
        <v>0.220480320213476</v>
      </c>
      <c r="I1392" s="49" t="n">
        <f aca="false">LN(G1392/H1392)</f>
        <v>-0.502956181731408</v>
      </c>
    </row>
    <row r="1393" customFormat="false" ht="15" hidden="false" customHeight="true" outlineLevel="0" collapsed="false">
      <c r="A1393" s="38" t="s">
        <v>858</v>
      </c>
      <c r="B1393" s="38" t="n">
        <v>43</v>
      </c>
      <c r="C1393" s="38" t="s">
        <v>171</v>
      </c>
      <c r="D1393" s="38" t="s">
        <v>172</v>
      </c>
      <c r="E1393" s="38" t="s">
        <v>875</v>
      </c>
      <c r="F1393" s="38" t="str">
        <f aca="false">B1393&amp;"|"&amp;C1393&amp;"|"&amp;D1393</f>
        <v>43|U|A</v>
      </c>
      <c r="G1393" s="45" t="n">
        <f aca="false">INDEX('Transition Stepwise'!$J$2:$J$1137,MATCH(F1393,'Transition Stepwise'!$E$2:$E$1137,0))</f>
        <v>0.444444444444444</v>
      </c>
      <c r="H1393" s="45" t="n">
        <f aca="false">INDEX(Background!$D$12:$D$27,MATCH(C1393&amp;D1393,Background!$E$12:$E$27,0))</f>
        <v>0.180787191460974</v>
      </c>
      <c r="I1393" s="49" t="n">
        <f aca="false">LN(G1393/H1393)</f>
        <v>0.899504461006568</v>
      </c>
    </row>
    <row r="1394" customFormat="false" ht="15" hidden="false" customHeight="true" outlineLevel="0" collapsed="false">
      <c r="A1394" s="38" t="s">
        <v>858</v>
      </c>
      <c r="B1394" s="38" t="n">
        <v>44</v>
      </c>
      <c r="C1394" s="38" t="s">
        <v>172</v>
      </c>
      <c r="D1394" s="38" t="s">
        <v>171</v>
      </c>
      <c r="E1394" s="38" t="s">
        <v>875</v>
      </c>
      <c r="F1394" s="38" t="str">
        <f aca="false">B1394&amp;"|"&amp;C1394&amp;"|"&amp;D1394</f>
        <v>44|A|U</v>
      </c>
      <c r="G1394" s="45" t="n">
        <f aca="false">INDEX('Transition Stepwise'!$J$2:$J$1137,MATCH(F1394,'Transition Stepwise'!$E$2:$E$1137,0))</f>
        <v>0.0980392156862745</v>
      </c>
      <c r="H1394" s="45" t="n">
        <f aca="false">INDEX(Background!$D$12:$D$27,MATCH(C1394&amp;D1394,Background!$E$12:$E$27,0))</f>
        <v>0.194530046224961</v>
      </c>
      <c r="I1394" s="49" t="n">
        <f aca="false">LN(G1394/H1394)</f>
        <v>-0.685219071741605</v>
      </c>
    </row>
    <row r="1395" customFormat="false" ht="15" hidden="false" customHeight="true" outlineLevel="0" collapsed="false">
      <c r="A1395" s="38" t="s">
        <v>858</v>
      </c>
      <c r="B1395" s="38" t="n">
        <v>45</v>
      </c>
      <c r="C1395" s="38" t="s">
        <v>171</v>
      </c>
      <c r="D1395" s="38" t="s">
        <v>171</v>
      </c>
      <c r="E1395" s="38" t="s">
        <v>875</v>
      </c>
      <c r="F1395" s="38" t="str">
        <f aca="false">B1395&amp;"|"&amp;C1395&amp;"|"&amp;D1395</f>
        <v>45|U|U</v>
      </c>
      <c r="G1395" s="45" t="n">
        <f aca="false">INDEX('Transition Stepwise'!$J$2:$J$1137,MATCH(F1395,'Transition Stepwise'!$E$2:$E$1137,0))</f>
        <v>0.2</v>
      </c>
      <c r="H1395" s="45" t="n">
        <f aca="false">INDEX(Background!$D$12:$D$27,MATCH(C1395&amp;D1395,Background!$E$12:$E$27,0))</f>
        <v>0.220480320213476</v>
      </c>
      <c r="I1395" s="49" t="n">
        <f aca="false">LN(G1395/H1395)</f>
        <v>-0.0974910736232437</v>
      </c>
    </row>
    <row r="1396" customFormat="false" ht="15" hidden="false" customHeight="true" outlineLevel="0" collapsed="false">
      <c r="A1396" s="38" t="s">
        <v>858</v>
      </c>
      <c r="B1396" s="38" t="n">
        <v>46</v>
      </c>
      <c r="C1396" s="38" t="s">
        <v>171</v>
      </c>
      <c r="D1396" s="38" t="s">
        <v>172</v>
      </c>
      <c r="E1396" s="38" t="s">
        <v>875</v>
      </c>
      <c r="F1396" s="38" t="str">
        <f aca="false">B1396&amp;"|"&amp;C1396&amp;"|"&amp;D1396</f>
        <v>46|U|A</v>
      </c>
      <c r="G1396" s="45" t="n">
        <f aca="false">INDEX('Transition Stepwise'!$J$2:$J$1137,MATCH(F1396,'Transition Stepwise'!$E$2:$E$1137,0))</f>
        <v>0.375</v>
      </c>
      <c r="H1396" s="45" t="n">
        <f aca="false">INDEX(Background!$D$12:$D$27,MATCH(C1396&amp;D1396,Background!$E$12:$E$27,0))</f>
        <v>0.180787191460974</v>
      </c>
      <c r="I1396" s="49" t="n">
        <f aca="false">LN(G1396/H1396)</f>
        <v>0.729605424211171</v>
      </c>
    </row>
    <row r="1397" customFormat="false" ht="15" hidden="false" customHeight="true" outlineLevel="0" collapsed="false">
      <c r="A1397" s="38" t="s">
        <v>858</v>
      </c>
      <c r="B1397" s="38" t="n">
        <v>47</v>
      </c>
      <c r="C1397" s="38" t="s">
        <v>172</v>
      </c>
      <c r="D1397" s="38" t="s">
        <v>169</v>
      </c>
      <c r="E1397" s="38" t="s">
        <v>875</v>
      </c>
      <c r="F1397" s="38" t="str">
        <f aca="false">B1397&amp;"|"&amp;C1397&amp;"|"&amp;D1397</f>
        <v>47|A|G</v>
      </c>
      <c r="G1397" s="45" t="n">
        <f aca="false">INDEX('Transition Stepwise'!$J$2:$J$1137,MATCH(F1397,'Transition Stepwise'!$E$2:$E$1137,0))</f>
        <v>0.0666666666666667</v>
      </c>
      <c r="H1397" s="45" t="n">
        <f aca="false">INDEX(Background!$D$12:$D$27,MATCH(C1397&amp;D1397,Background!$E$12:$E$27,0))</f>
        <v>0.424884437596302</v>
      </c>
      <c r="I1397" s="49" t="n">
        <f aca="false">LN(G1397/H1397)</f>
        <v>-1.85211214253173</v>
      </c>
    </row>
    <row r="1398" customFormat="false" ht="15" hidden="false" customHeight="true" outlineLevel="0" collapsed="false">
      <c r="A1398" s="38" t="s">
        <v>858</v>
      </c>
      <c r="B1398" s="38" t="n">
        <v>48</v>
      </c>
      <c r="C1398" s="38" t="s">
        <v>169</v>
      </c>
      <c r="D1398" s="38" t="s">
        <v>172</v>
      </c>
      <c r="E1398" s="38" t="s">
        <v>875</v>
      </c>
      <c r="F1398" s="38" t="str">
        <f aca="false">B1398&amp;"|"&amp;C1398&amp;"|"&amp;D1398</f>
        <v>48|G|A</v>
      </c>
      <c r="G1398" s="45" t="n">
        <f aca="false">INDEX('Transition Stepwise'!$J$2:$J$1137,MATCH(F1398,'Transition Stepwise'!$E$2:$E$1137,0))</f>
        <v>0.166666666666667</v>
      </c>
      <c r="H1398" s="45" t="n">
        <f aca="false">INDEX(Background!$D$12:$D$27,MATCH(C1398&amp;D1398,Background!$E$12:$E$27,0))</f>
        <v>0.164356435643564</v>
      </c>
      <c r="I1398" s="49" t="n">
        <f aca="false">LN(G1398/H1398)</f>
        <v>0.0139583522507069</v>
      </c>
    </row>
    <row r="1399" customFormat="false" ht="15" hidden="false" customHeight="true" outlineLevel="0" collapsed="false">
      <c r="A1399" s="38" t="s">
        <v>858</v>
      </c>
      <c r="B1399" s="38" t="n">
        <v>49</v>
      </c>
      <c r="C1399" s="38" t="s">
        <v>172</v>
      </c>
      <c r="D1399" s="38" t="s">
        <v>171</v>
      </c>
      <c r="E1399" s="38" t="s">
        <v>875</v>
      </c>
      <c r="F1399" s="38" t="str">
        <f aca="false">B1399&amp;"|"&amp;C1399&amp;"|"&amp;D1399</f>
        <v>49|A|U</v>
      </c>
      <c r="G1399" s="45" t="n">
        <f aca="false">INDEX('Transition Stepwise'!$J$2:$J$1137,MATCH(F1399,'Transition Stepwise'!$E$2:$E$1137,0))</f>
        <v>0.2</v>
      </c>
      <c r="H1399" s="45" t="n">
        <f aca="false">INDEX(Background!$D$12:$D$27,MATCH(C1399&amp;D1399,Background!$E$12:$E$27,0))</f>
        <v>0.194530046224961</v>
      </c>
      <c r="I1399" s="49" t="n">
        <f aca="false">LN(G1399/H1399)</f>
        <v>0.0277307361145204</v>
      </c>
    </row>
    <row r="1400" customFormat="false" ht="15" hidden="false" customHeight="true" outlineLevel="0" collapsed="false">
      <c r="A1400" s="38" t="s">
        <v>858</v>
      </c>
      <c r="B1400" s="38" t="n">
        <v>50</v>
      </c>
      <c r="C1400" s="38" t="s">
        <v>171</v>
      </c>
      <c r="D1400" s="38" t="s">
        <v>171</v>
      </c>
      <c r="E1400" s="38" t="s">
        <v>875</v>
      </c>
      <c r="F1400" s="38" t="str">
        <f aca="false">B1400&amp;"|"&amp;C1400&amp;"|"&amp;D1400</f>
        <v>50|U|U</v>
      </c>
      <c r="G1400" s="45" t="n">
        <f aca="false">INDEX('Transition Stepwise'!$J$2:$J$1137,MATCH(F1400,'Transition Stepwise'!$E$2:$E$1137,0))</f>
        <v>0.128205128205128</v>
      </c>
      <c r="H1400" s="45" t="n">
        <f aca="false">INDEX(Background!$D$12:$D$27,MATCH(C1400&amp;D1400,Background!$E$12:$E$27,0))</f>
        <v>0.220480320213476</v>
      </c>
      <c r="I1400" s="49" t="n">
        <f aca="false">LN(G1400/H1400)</f>
        <v>-0.542176894884689</v>
      </c>
    </row>
    <row r="1401" customFormat="false" ht="15" hidden="false" customHeight="true" outlineLevel="0" collapsed="false">
      <c r="A1401" s="38" t="s">
        <v>858</v>
      </c>
      <c r="B1401" s="38" t="n">
        <v>51</v>
      </c>
      <c r="C1401" s="38" t="s">
        <v>171</v>
      </c>
      <c r="D1401" s="38" t="s">
        <v>170</v>
      </c>
      <c r="E1401" s="38" t="s">
        <v>875</v>
      </c>
      <c r="F1401" s="38" t="str">
        <f aca="false">B1401&amp;"|"&amp;C1401&amp;"|"&amp;D1401</f>
        <v>51|U|C</v>
      </c>
      <c r="G1401" s="45" t="n">
        <f aca="false">INDEX('Transition Stepwise'!$J$2:$J$1137,MATCH(F1401,'Transition Stepwise'!$E$2:$E$1137,0))</f>
        <v>0.0294117647058824</v>
      </c>
      <c r="H1401" s="45" t="n">
        <f aca="false">INDEX(Background!$D$12:$D$27,MATCH(C1401&amp;D1401,Background!$E$12:$E$27,0))</f>
        <v>0.377251501000667</v>
      </c>
      <c r="I1401" s="49" t="n">
        <f aca="false">LN(G1401/H1401)</f>
        <v>-2.55151732206974</v>
      </c>
    </row>
    <row r="1402" customFormat="false" ht="15" hidden="false" customHeight="true" outlineLevel="0" collapsed="false">
      <c r="A1402" s="38" t="s">
        <v>858</v>
      </c>
      <c r="B1402" s="38" t="n">
        <v>52</v>
      </c>
      <c r="C1402" s="38" t="s">
        <v>170</v>
      </c>
      <c r="D1402" s="38" t="s">
        <v>169</v>
      </c>
      <c r="E1402" s="38" t="s">
        <v>875</v>
      </c>
      <c r="F1402" s="38" t="str">
        <f aca="false">B1402&amp;"|"&amp;C1402&amp;"|"&amp;D1402</f>
        <v>52|C|G</v>
      </c>
      <c r="G1402" s="45" t="n">
        <f aca="false">INDEX('Transition Stepwise'!$J$2:$J$1137,MATCH(F1402,'Transition Stepwise'!$E$2:$E$1137,0))</f>
        <v>0.5</v>
      </c>
      <c r="H1402" s="45" t="n">
        <f aca="false">INDEX(Background!$D$12:$D$27,MATCH(C1402&amp;D1402,Background!$E$12:$E$27,0))</f>
        <v>0.296413502109705</v>
      </c>
      <c r="I1402" s="49" t="n">
        <f aca="false">LN(G1402/H1402)</f>
        <v>0.522852652361331</v>
      </c>
    </row>
    <row r="1403" customFormat="false" ht="15" hidden="false" customHeight="true" outlineLevel="0" collapsed="false">
      <c r="A1403" s="38" t="s">
        <v>858</v>
      </c>
      <c r="B1403" s="38" t="n">
        <v>53</v>
      </c>
      <c r="C1403" s="38" t="s">
        <v>169</v>
      </c>
      <c r="D1403" s="38" t="s">
        <v>171</v>
      </c>
      <c r="E1403" s="38" t="s">
        <v>875</v>
      </c>
      <c r="F1403" s="38" t="str">
        <f aca="false">B1403&amp;"|"&amp;C1403&amp;"|"&amp;D1403</f>
        <v>53|G|U</v>
      </c>
      <c r="G1403" s="45" t="n">
        <f aca="false">INDEX('Transition Stepwise'!$J$2:$J$1137,MATCH(F1403,'Transition Stepwise'!$E$2:$E$1137,0))</f>
        <v>0.974874371859297</v>
      </c>
      <c r="H1403" s="45" t="n">
        <f aca="false">INDEX(Background!$D$12:$D$27,MATCH(C1403&amp;D1403,Background!$E$12:$E$27,0))</f>
        <v>0.234763476347635</v>
      </c>
      <c r="I1403" s="49" t="n">
        <f aca="false">LN(G1403/H1403)</f>
        <v>1.42373008964866</v>
      </c>
    </row>
    <row r="1404" customFormat="false" ht="15" hidden="false" customHeight="true" outlineLevel="0" collapsed="false">
      <c r="A1404" s="38" t="s">
        <v>858</v>
      </c>
      <c r="B1404" s="38" t="n">
        <v>54</v>
      </c>
      <c r="C1404" s="38" t="s">
        <v>171</v>
      </c>
      <c r="D1404" s="38" t="s">
        <v>171</v>
      </c>
      <c r="E1404" s="38" t="s">
        <v>875</v>
      </c>
      <c r="F1404" s="38" t="str">
        <f aca="false">B1404&amp;"|"&amp;C1404&amp;"|"&amp;D1404</f>
        <v>54|U|U</v>
      </c>
      <c r="G1404" s="45" t="n">
        <f aca="false">INDEX('Transition Stepwise'!$J$2:$J$1137,MATCH(F1404,'Transition Stepwise'!$E$2:$E$1137,0))</f>
        <v>0.970149253731343</v>
      </c>
      <c r="H1404" s="45" t="n">
        <f aca="false">INDEX(Background!$D$12:$D$27,MATCH(C1404&amp;D1404,Background!$E$12:$E$27,0))</f>
        <v>0.220480320213476</v>
      </c>
      <c r="I1404" s="49" t="n">
        <f aca="false">LN(G1404/H1404)</f>
        <v>1.48164148931553</v>
      </c>
    </row>
    <row r="1405" customFormat="false" ht="15" hidden="false" customHeight="true" outlineLevel="0" collapsed="false">
      <c r="A1405" s="38" t="s">
        <v>858</v>
      </c>
      <c r="B1405" s="38" t="n">
        <v>55</v>
      </c>
      <c r="C1405" s="38" t="s">
        <v>171</v>
      </c>
      <c r="D1405" s="38" t="s">
        <v>170</v>
      </c>
      <c r="E1405" s="38" t="s">
        <v>875</v>
      </c>
      <c r="F1405" s="38" t="str">
        <f aca="false">B1405&amp;"|"&amp;C1405&amp;"|"&amp;D1405</f>
        <v>55|U|C</v>
      </c>
      <c r="G1405" s="45" t="n">
        <f aca="false">INDEX('Transition Stepwise'!$J$2:$J$1137,MATCH(F1405,'Transition Stepwise'!$E$2:$E$1137,0))</f>
        <v>0.975</v>
      </c>
      <c r="H1405" s="45" t="n">
        <f aca="false">INDEX(Background!$D$12:$D$27,MATCH(C1405&amp;D1405,Background!$E$12:$E$27,0))</f>
        <v>0.377251501000667</v>
      </c>
      <c r="I1405" s="49" t="n">
        <f aca="false">LN(G1405/H1405)</f>
        <v>0.949525394562133</v>
      </c>
    </row>
    <row r="1406" customFormat="false" ht="15" hidden="false" customHeight="true" outlineLevel="0" collapsed="false">
      <c r="A1406" s="38" t="s">
        <v>858</v>
      </c>
      <c r="B1406" s="38" t="n">
        <v>56</v>
      </c>
      <c r="C1406" s="38" t="s">
        <v>170</v>
      </c>
      <c r="D1406" s="38" t="s">
        <v>171</v>
      </c>
      <c r="E1406" s="38" t="s">
        <v>875</v>
      </c>
      <c r="F1406" s="38" t="str">
        <f aca="false">B1406&amp;"|"&amp;C1406&amp;"|"&amp;D1406</f>
        <v>56|C|U</v>
      </c>
      <c r="G1406" s="45" t="n">
        <f aca="false">INDEX('Transition Stepwise'!$J$2:$J$1137,MATCH(F1406,'Transition Stepwise'!$E$2:$E$1137,0))</f>
        <v>0.0050251256281407</v>
      </c>
      <c r="H1406" s="45" t="n">
        <f aca="false">INDEX(Background!$D$12:$D$27,MATCH(C1406&amp;D1406,Background!$E$12:$E$27,0))</f>
        <v>0.196466244725738</v>
      </c>
      <c r="I1406" s="49" t="n">
        <f aca="false">LN(G1406/H1406)</f>
        <v>-3.66604017972914</v>
      </c>
    </row>
    <row r="1407" customFormat="false" ht="15" hidden="false" customHeight="true" outlineLevel="0" collapsed="false">
      <c r="A1407" s="38" t="s">
        <v>858</v>
      </c>
      <c r="B1407" s="38" t="n">
        <v>57</v>
      </c>
      <c r="C1407" s="38" t="s">
        <v>171</v>
      </c>
      <c r="D1407" s="38" t="s">
        <v>172</v>
      </c>
      <c r="E1407" s="38" t="s">
        <v>875</v>
      </c>
      <c r="F1407" s="38" t="str">
        <f aca="false">B1407&amp;"|"&amp;C1407&amp;"|"&amp;D1407</f>
        <v>57|U|A</v>
      </c>
      <c r="G1407" s="45" t="n">
        <f aca="false">INDEX('Transition Stepwise'!$J$2:$J$1137,MATCH(F1407,'Transition Stepwise'!$E$2:$E$1137,0))</f>
        <v>0.2</v>
      </c>
      <c r="H1407" s="45" t="n">
        <f aca="false">INDEX(Background!$D$12:$D$27,MATCH(C1407&amp;D1407,Background!$E$12:$E$27,0))</f>
        <v>0.180787191460974</v>
      </c>
      <c r="I1407" s="49" t="n">
        <f aca="false">LN(G1407/H1407)</f>
        <v>0.100996764788796</v>
      </c>
    </row>
    <row r="1408" customFormat="false" ht="15" hidden="false" customHeight="true" outlineLevel="0" collapsed="false">
      <c r="A1408" s="38" t="s">
        <v>858</v>
      </c>
      <c r="B1408" s="38" t="n">
        <v>58</v>
      </c>
      <c r="C1408" s="38" t="s">
        <v>172</v>
      </c>
      <c r="D1408" s="38" t="s">
        <v>171</v>
      </c>
      <c r="E1408" s="38" t="s">
        <v>875</v>
      </c>
      <c r="F1408" s="38" t="str">
        <f aca="false">B1408&amp;"|"&amp;C1408&amp;"|"&amp;D1408</f>
        <v>58|A|U</v>
      </c>
      <c r="G1408" s="45" t="n">
        <f aca="false">INDEX('Transition Stepwise'!$J$2:$J$1137,MATCH(F1408,'Transition Stepwise'!$E$2:$E$1137,0))</f>
        <v>0.253731343283582</v>
      </c>
      <c r="H1408" s="45" t="n">
        <f aca="false">INDEX(Background!$D$12:$D$27,MATCH(C1408&amp;D1408,Background!$E$12:$E$27,0))</f>
        <v>0.194530046224961</v>
      </c>
      <c r="I1408" s="49" t="n">
        <f aca="false">LN(G1408/H1408)</f>
        <v>0.265689373213871</v>
      </c>
    </row>
    <row r="1409" customFormat="false" ht="15" hidden="false" customHeight="true" outlineLevel="0" collapsed="false">
      <c r="A1409" s="38" t="s">
        <v>858</v>
      </c>
      <c r="B1409" s="38" t="n">
        <v>59</v>
      </c>
      <c r="C1409" s="38" t="s">
        <v>171</v>
      </c>
      <c r="D1409" s="38" t="s">
        <v>172</v>
      </c>
      <c r="E1409" s="38" t="s">
        <v>875</v>
      </c>
      <c r="F1409" s="38" t="str">
        <f aca="false">B1409&amp;"|"&amp;C1409&amp;"|"&amp;D1409</f>
        <v>59|U|A</v>
      </c>
      <c r="G1409" s="45" t="n">
        <f aca="false">INDEX('Transition Stepwise'!$J$2:$J$1137,MATCH(F1409,'Transition Stepwise'!$E$2:$E$1137,0))</f>
        <v>0.0185185185185185</v>
      </c>
      <c r="H1409" s="45" t="n">
        <f aca="false">INDEX(Background!$D$12:$D$27,MATCH(C1409&amp;D1409,Background!$E$12:$E$27,0))</f>
        <v>0.180787191460974</v>
      </c>
      <c r="I1409" s="49" t="n">
        <f aca="false">LN(G1409/H1409)</f>
        <v>-2.27854936934138</v>
      </c>
    </row>
    <row r="1410" customFormat="false" ht="15" hidden="false" customHeight="true" outlineLevel="0" collapsed="false">
      <c r="A1410" s="38" t="s">
        <v>858</v>
      </c>
      <c r="B1410" s="38" t="n">
        <v>60</v>
      </c>
      <c r="C1410" s="38" t="s">
        <v>172</v>
      </c>
      <c r="D1410" s="38" t="s">
        <v>170</v>
      </c>
      <c r="E1410" s="38" t="s">
        <v>875</v>
      </c>
      <c r="F1410" s="38" t="str">
        <f aca="false">B1410&amp;"|"&amp;C1410&amp;"|"&amp;D1410</f>
        <v>60|A|C</v>
      </c>
      <c r="G1410" s="45" t="n">
        <f aca="false">INDEX('Transition Stepwise'!$J$2:$J$1137,MATCH(F1410,'Transition Stepwise'!$E$2:$E$1137,0))</f>
        <v>0.4</v>
      </c>
      <c r="H1410" s="45" t="n">
        <f aca="false">INDEX(Background!$D$12:$D$27,MATCH(C1410&amp;D1410,Background!$E$12:$E$27,0))</f>
        <v>0.161016949152542</v>
      </c>
      <c r="I1410" s="49" t="n">
        <f aca="false">LN(G1410/H1410)</f>
        <v>0.909954913425069</v>
      </c>
    </row>
    <row r="1411" customFormat="false" ht="15" hidden="false" customHeight="true" outlineLevel="0" collapsed="false">
      <c r="A1411" s="38" t="s">
        <v>858</v>
      </c>
      <c r="B1411" s="38" t="n">
        <v>61</v>
      </c>
      <c r="C1411" s="38" t="s">
        <v>170</v>
      </c>
      <c r="D1411" s="38" t="s">
        <v>171</v>
      </c>
      <c r="E1411" s="38" t="s">
        <v>875</v>
      </c>
      <c r="F1411" s="38" t="str">
        <f aca="false">B1411&amp;"|"&amp;C1411&amp;"|"&amp;D1411</f>
        <v>61|C|U</v>
      </c>
      <c r="G1411" s="45" t="n">
        <f aca="false">INDEX('Transition Stepwise'!$J$2:$J$1137,MATCH(F1411,'Transition Stepwise'!$E$2:$E$1137,0))</f>
        <v>0.129353233830846</v>
      </c>
      <c r="H1411" s="45" t="n">
        <f aca="false">INDEX(Background!$D$12:$D$27,MATCH(C1411&amp;D1411,Background!$E$12:$E$27,0))</f>
        <v>0.196466244725738</v>
      </c>
      <c r="I1411" s="49" t="n">
        <f aca="false">LN(G1411/H1411)</f>
        <v>-0.417943725042241</v>
      </c>
    </row>
    <row r="1412" customFormat="false" ht="15" hidden="false" customHeight="true" outlineLevel="0" collapsed="false">
      <c r="A1412" s="38" t="s">
        <v>858</v>
      </c>
      <c r="B1412" s="38" t="n">
        <v>62</v>
      </c>
      <c r="C1412" s="38" t="s">
        <v>171</v>
      </c>
      <c r="D1412" s="38" t="s">
        <v>172</v>
      </c>
      <c r="E1412" s="38" t="s">
        <v>875</v>
      </c>
      <c r="F1412" s="38" t="str">
        <f aca="false">B1412&amp;"|"&amp;C1412&amp;"|"&amp;D1412</f>
        <v>62|U|A</v>
      </c>
      <c r="G1412" s="45" t="n">
        <f aca="false">INDEX('Transition Stepwise'!$J$2:$J$1137,MATCH(F1412,'Transition Stepwise'!$E$2:$E$1137,0))</f>
        <v>0.1</v>
      </c>
      <c r="H1412" s="45" t="n">
        <f aca="false">INDEX(Background!$D$12:$D$27,MATCH(C1412&amp;D1412,Background!$E$12:$E$27,0))</f>
        <v>0.180787191460974</v>
      </c>
      <c r="I1412" s="49" t="n">
        <f aca="false">LN(G1412/H1412)</f>
        <v>-0.592150415771149</v>
      </c>
    </row>
    <row r="1413" customFormat="false" ht="15" hidden="false" customHeight="true" outlineLevel="0" collapsed="false">
      <c r="A1413" s="38" t="s">
        <v>858</v>
      </c>
      <c r="B1413" s="38" t="n">
        <v>63</v>
      </c>
      <c r="C1413" s="38" t="s">
        <v>172</v>
      </c>
      <c r="D1413" s="38" t="s">
        <v>169</v>
      </c>
      <c r="E1413" s="38" t="s">
        <v>875</v>
      </c>
      <c r="F1413" s="38" t="str">
        <f aca="false">B1413&amp;"|"&amp;C1413&amp;"|"&amp;D1413</f>
        <v>63|A|G</v>
      </c>
      <c r="G1413" s="45" t="n">
        <f aca="false">INDEX('Transition Stepwise'!$J$2:$J$1137,MATCH(F1413,'Transition Stepwise'!$E$2:$E$1137,0))</f>
        <v>0.384615384615385</v>
      </c>
      <c r="H1413" s="45" t="n">
        <f aca="false">INDEX(Background!$D$12:$D$27,MATCH(C1413&amp;D1413,Background!$E$12:$E$27,0))</f>
        <v>0.424884437596302</v>
      </c>
      <c r="I1413" s="49" t="n">
        <f aca="false">LN(G1413/H1413)</f>
        <v>-0.0995733864569581</v>
      </c>
    </row>
    <row r="1414" customFormat="false" ht="15" hidden="false" customHeight="true" outlineLevel="0" collapsed="false">
      <c r="A1414" s="38" t="s">
        <v>858</v>
      </c>
      <c r="B1414" s="38" t="n">
        <v>64</v>
      </c>
      <c r="C1414" s="38" t="s">
        <v>169</v>
      </c>
      <c r="D1414" s="38" t="s">
        <v>171</v>
      </c>
      <c r="E1414" s="38" t="s">
        <v>875</v>
      </c>
      <c r="F1414" s="38" t="str">
        <f aca="false">B1414&amp;"|"&amp;C1414&amp;"|"&amp;D1414</f>
        <v>64|G|U</v>
      </c>
      <c r="G1414" s="45" t="n">
        <f aca="false">INDEX('Transition Stepwise'!$J$2:$J$1137,MATCH(F1414,'Transition Stepwise'!$E$2:$E$1137,0))</f>
        <v>0.333333333333333</v>
      </c>
      <c r="H1414" s="45" t="n">
        <f aca="false">INDEX(Background!$D$12:$D$27,MATCH(C1414&amp;D1414,Background!$E$12:$E$27,0))</f>
        <v>0.234763476347635</v>
      </c>
      <c r="I1414" s="49" t="n">
        <f aca="false">LN(G1414/H1414)</f>
        <v>0.350564466641716</v>
      </c>
    </row>
    <row r="1415" customFormat="false" ht="15" hidden="false" customHeight="true" outlineLevel="0" collapsed="false">
      <c r="A1415" s="38" t="s">
        <v>858</v>
      </c>
      <c r="B1415" s="38" t="n">
        <v>65</v>
      </c>
      <c r="C1415" s="38" t="s">
        <v>171</v>
      </c>
      <c r="D1415" s="38" t="s">
        <v>169</v>
      </c>
      <c r="E1415" s="38" t="s">
        <v>875</v>
      </c>
      <c r="F1415" s="38" t="str">
        <f aca="false">B1415&amp;"|"&amp;C1415&amp;"|"&amp;D1415</f>
        <v>65|U|G</v>
      </c>
      <c r="G1415" s="45" t="n">
        <f aca="false">INDEX('Transition Stepwise'!$J$2:$J$1137,MATCH(F1415,'Transition Stepwise'!$E$2:$E$1137,0))</f>
        <v>0.0136986301369863</v>
      </c>
      <c r="H1415" s="45" t="n">
        <f aca="false">INDEX(Background!$D$12:$D$27,MATCH(C1415&amp;D1415,Background!$E$12:$E$27,0))</f>
        <v>0.221480987324883</v>
      </c>
      <c r="I1415" s="49" t="n">
        <f aca="false">LN(G1415/H1415)</f>
        <v>-2.78304091196228</v>
      </c>
    </row>
    <row r="1416" customFormat="false" ht="15" hidden="false" customHeight="true" outlineLevel="0" collapsed="false">
      <c r="A1416" s="38" t="s">
        <v>858</v>
      </c>
      <c r="B1416" s="38" t="n">
        <v>66</v>
      </c>
      <c r="C1416" s="38" t="s">
        <v>169</v>
      </c>
      <c r="D1416" s="38" t="s">
        <v>171</v>
      </c>
      <c r="E1416" s="38" t="s">
        <v>875</v>
      </c>
      <c r="F1416" s="38" t="str">
        <f aca="false">B1416&amp;"|"&amp;C1416&amp;"|"&amp;D1416</f>
        <v>66|G|U</v>
      </c>
      <c r="G1416" s="45" t="n">
        <f aca="false">INDEX('Transition Stepwise'!$J$2:$J$1137,MATCH(F1416,'Transition Stepwise'!$E$2:$E$1137,0))</f>
        <v>0.166666666666667</v>
      </c>
      <c r="H1416" s="45" t="n">
        <f aca="false">INDEX(Background!$D$12:$D$27,MATCH(C1416&amp;D1416,Background!$E$12:$E$27,0))</f>
        <v>0.234763476347635</v>
      </c>
      <c r="I1416" s="49" t="n">
        <f aca="false">LN(G1416/H1416)</f>
        <v>-0.342582713918229</v>
      </c>
    </row>
    <row r="1417" customFormat="false" ht="15" hidden="false" customHeight="true" outlineLevel="0" collapsed="false">
      <c r="A1417" s="38" t="s">
        <v>858</v>
      </c>
      <c r="B1417" s="38" t="n">
        <v>67</v>
      </c>
      <c r="C1417" s="38" t="s">
        <v>171</v>
      </c>
      <c r="D1417" s="38" t="s">
        <v>172</v>
      </c>
      <c r="E1417" s="38" t="s">
        <v>875</v>
      </c>
      <c r="F1417" s="38" t="str">
        <f aca="false">B1417&amp;"|"&amp;C1417&amp;"|"&amp;D1417</f>
        <v>67|U|A</v>
      </c>
      <c r="G1417" s="45" t="n">
        <f aca="false">INDEX('Transition Stepwise'!$J$2:$J$1137,MATCH(F1417,'Transition Stepwise'!$E$2:$E$1137,0))</f>
        <v>0.0238095238095238</v>
      </c>
      <c r="H1417" s="45" t="n">
        <f aca="false">INDEX(Background!$D$12:$D$27,MATCH(C1417&amp;D1417,Background!$E$12:$E$27,0))</f>
        <v>0.180787191460974</v>
      </c>
      <c r="I1417" s="49" t="n">
        <f aca="false">LN(G1417/H1417)</f>
        <v>-2.02723494106047</v>
      </c>
    </row>
    <row r="1418" customFormat="false" ht="15" hidden="false" customHeight="true" outlineLevel="0" collapsed="false">
      <c r="A1418" s="38" t="s">
        <v>858</v>
      </c>
      <c r="B1418" s="38" t="n">
        <v>68</v>
      </c>
      <c r="C1418" s="38" t="s">
        <v>172</v>
      </c>
      <c r="D1418" s="38" t="s">
        <v>169</v>
      </c>
      <c r="E1418" s="38" t="s">
        <v>875</v>
      </c>
      <c r="F1418" s="38" t="str">
        <f aca="false">B1418&amp;"|"&amp;C1418&amp;"|"&amp;D1418</f>
        <v>68|A|G</v>
      </c>
      <c r="G1418" s="45" t="n">
        <f aca="false">INDEX('Transition Stepwise'!$J$2:$J$1137,MATCH(F1418,'Transition Stepwise'!$E$2:$E$1137,0))</f>
        <v>0.368421052631579</v>
      </c>
      <c r="H1418" s="45" t="n">
        <f aca="false">INDEX(Background!$D$12:$D$27,MATCH(C1418&amp;D1418,Background!$E$12:$E$27,0))</f>
        <v>0.424884437596302</v>
      </c>
      <c r="I1418" s="49" t="n">
        <f aca="false">LN(G1418/H1418)</f>
        <v>-0.142590771540649</v>
      </c>
    </row>
    <row r="1419" customFormat="false" ht="15" hidden="false" customHeight="true" outlineLevel="0" collapsed="false">
      <c r="A1419" s="38" t="s">
        <v>858</v>
      </c>
      <c r="B1419" s="38" t="n">
        <v>69</v>
      </c>
      <c r="C1419" s="38" t="s">
        <v>169</v>
      </c>
      <c r="D1419" s="38" t="s">
        <v>171</v>
      </c>
      <c r="E1419" s="38" t="s">
        <v>875</v>
      </c>
      <c r="F1419" s="38" t="str">
        <f aca="false">B1419&amp;"|"&amp;C1419&amp;"|"&amp;D1419</f>
        <v>69|G|U</v>
      </c>
      <c r="G1419" s="45" t="n">
        <f aca="false">INDEX('Transition Stepwise'!$J$2:$J$1137,MATCH(F1419,'Transition Stepwise'!$E$2:$E$1137,0))</f>
        <v>0.148648648648649</v>
      </c>
      <c r="H1419" s="45" t="n">
        <f aca="false">INDEX(Background!$D$12:$D$27,MATCH(C1419&amp;D1419,Background!$E$12:$E$27,0))</f>
        <v>0.234763476347635</v>
      </c>
      <c r="I1419" s="49" t="n">
        <f aca="false">LN(G1419/H1419)</f>
        <v>-0.456993065095973</v>
      </c>
    </row>
    <row r="1420" customFormat="false" ht="15" hidden="false" customHeight="true" outlineLevel="0" collapsed="false">
      <c r="A1420" s="38" t="s">
        <v>858</v>
      </c>
      <c r="B1420" s="38" t="n">
        <v>70</v>
      </c>
      <c r="C1420" s="38" t="s">
        <v>171</v>
      </c>
      <c r="D1420" s="38" t="s">
        <v>169</v>
      </c>
      <c r="E1420" s="38" t="s">
        <v>875</v>
      </c>
      <c r="F1420" s="38" t="str">
        <f aca="false">B1420&amp;"|"&amp;C1420&amp;"|"&amp;D1420</f>
        <v>70|U|G</v>
      </c>
      <c r="G1420" s="45" t="n">
        <f aca="false">INDEX('Transition Stepwise'!$J$2:$J$1137,MATCH(F1420,'Transition Stepwise'!$E$2:$E$1137,0))</f>
        <v>0.0882352941176471</v>
      </c>
      <c r="H1420" s="45" t="n">
        <f aca="false">INDEX(Background!$D$12:$D$27,MATCH(C1420&amp;D1420,Background!$E$12:$E$27,0))</f>
        <v>0.221480987324883</v>
      </c>
      <c r="I1420" s="49" t="n">
        <f aca="false">LN(G1420/H1420)</f>
        <v>-0.920329706761943</v>
      </c>
    </row>
    <row r="1421" customFormat="false" ht="15" hidden="false" customHeight="true" outlineLevel="0" collapsed="false">
      <c r="A1421" s="38" t="s">
        <v>858</v>
      </c>
      <c r="B1421" s="38" t="n">
        <v>71</v>
      </c>
      <c r="C1421" s="38" t="s">
        <v>169</v>
      </c>
      <c r="D1421" s="38" t="s">
        <v>172</v>
      </c>
      <c r="E1421" s="38" t="s">
        <v>875</v>
      </c>
      <c r="F1421" s="38" t="str">
        <f aca="false">B1421&amp;"|"&amp;C1421&amp;"|"&amp;D1421</f>
        <v>71|G|A</v>
      </c>
      <c r="G1421" s="45" t="n">
        <f aca="false">INDEX('Transition Stepwise'!$J$2:$J$1137,MATCH(F1421,'Transition Stepwise'!$E$2:$E$1137,0))</f>
        <v>0.116279069767442</v>
      </c>
      <c r="H1421" s="45" t="n">
        <f aca="false">INDEX(Background!$D$12:$D$27,MATCH(C1421&amp;D1421,Background!$E$12:$E$27,0))</f>
        <v>0.164356435643564</v>
      </c>
      <c r="I1421" s="49" t="n">
        <f aca="false">LN(G1421/H1421)</f>
        <v>-0.3460443817807</v>
      </c>
    </row>
    <row r="1422" customFormat="false" ht="15" hidden="false" customHeight="true" outlineLevel="0" collapsed="false">
      <c r="A1422" s="38" t="s">
        <v>859</v>
      </c>
      <c r="B1422" s="38" t="n">
        <v>1</v>
      </c>
      <c r="C1422" s="38" t="s">
        <v>172</v>
      </c>
      <c r="D1422" s="38" t="s">
        <v>169</v>
      </c>
      <c r="E1422" s="38" t="s">
        <v>875</v>
      </c>
      <c r="F1422" s="38" t="str">
        <f aca="false">B1422&amp;"|"&amp;C1422&amp;"|"&amp;D1422</f>
        <v>1|A|G</v>
      </c>
      <c r="G1422" s="45" t="n">
        <f aca="false">INDEX('Transition Stepwise'!$J$2:$J$1137,MATCH(F1422,'Transition Stepwise'!$E$2:$E$1137,0))</f>
        <v>0.764705882352941</v>
      </c>
      <c r="H1422" s="45" t="n">
        <f aca="false">INDEX(Background!$D$12:$D$27,MATCH(C1422&amp;D1422,Background!$E$12:$E$27,0))</f>
        <v>0.424884437596302</v>
      </c>
      <c r="I1422" s="49" t="n">
        <f aca="false">LN(G1422/H1422)</f>
        <v>0.587674071975799</v>
      </c>
    </row>
    <row r="1423" customFormat="false" ht="15" hidden="false" customHeight="true" outlineLevel="0" collapsed="false">
      <c r="A1423" s="38" t="s">
        <v>859</v>
      </c>
      <c r="B1423" s="38" t="n">
        <v>2</v>
      </c>
      <c r="C1423" s="38" t="s">
        <v>169</v>
      </c>
      <c r="D1423" s="38" t="s">
        <v>170</v>
      </c>
      <c r="E1423" s="38" t="s">
        <v>875</v>
      </c>
      <c r="F1423" s="38" t="str">
        <f aca="false">B1423&amp;"|"&amp;C1423&amp;"|"&amp;D1423</f>
        <v>2|G|C</v>
      </c>
      <c r="G1423" s="45" t="n">
        <f aca="false">INDEX('Transition Stepwise'!$J$2:$J$1137,MATCH(F1423,'Transition Stepwise'!$E$2:$E$1137,0))</f>
        <v>0.229357798165138</v>
      </c>
      <c r="H1423" s="45" t="n">
        <f aca="false">INDEX(Background!$D$12:$D$27,MATCH(C1423&amp;D1423,Background!$E$12:$E$27,0))</f>
        <v>0.256105610561056</v>
      </c>
      <c r="I1423" s="49" t="n">
        <f aca="false">LN(G1423/H1423)</f>
        <v>-0.110306679040747</v>
      </c>
    </row>
    <row r="1424" customFormat="false" ht="15" hidden="false" customHeight="true" outlineLevel="0" collapsed="false">
      <c r="A1424" s="38" t="s">
        <v>859</v>
      </c>
      <c r="B1424" s="38" t="n">
        <v>3</v>
      </c>
      <c r="C1424" s="38" t="s">
        <v>170</v>
      </c>
      <c r="D1424" s="38" t="s">
        <v>172</v>
      </c>
      <c r="E1424" s="38" t="s">
        <v>875</v>
      </c>
      <c r="F1424" s="38" t="str">
        <f aca="false">B1424&amp;"|"&amp;C1424&amp;"|"&amp;D1424</f>
        <v>3|C|A</v>
      </c>
      <c r="G1424" s="45" t="n">
        <f aca="false">INDEX('Transition Stepwise'!$J$2:$J$1137,MATCH(F1424,'Transition Stepwise'!$E$2:$E$1137,0))</f>
        <v>0.0987654320987654</v>
      </c>
      <c r="H1424" s="45" t="n">
        <f aca="false">INDEX(Background!$D$12:$D$27,MATCH(C1424&amp;D1424,Background!$E$12:$E$27,0))</f>
        <v>0.194883966244726</v>
      </c>
      <c r="I1424" s="49" t="n">
        <f aca="false">LN(G1424/H1424)</f>
        <v>-0.679656670565892</v>
      </c>
    </row>
    <row r="1425" customFormat="false" ht="15" hidden="false" customHeight="true" outlineLevel="0" collapsed="false">
      <c r="A1425" s="38" t="s">
        <v>859</v>
      </c>
      <c r="B1425" s="38" t="n">
        <v>4</v>
      </c>
      <c r="C1425" s="38" t="s">
        <v>172</v>
      </c>
      <c r="D1425" s="38" t="s">
        <v>169</v>
      </c>
      <c r="E1425" s="38" t="s">
        <v>875</v>
      </c>
      <c r="F1425" s="38" t="str">
        <f aca="false">B1425&amp;"|"&amp;C1425&amp;"|"&amp;D1425</f>
        <v>4|A|G</v>
      </c>
      <c r="G1425" s="45" t="n">
        <f aca="false">INDEX('Transition Stepwise'!$J$2:$J$1137,MATCH(F1425,'Transition Stepwise'!$E$2:$E$1137,0))</f>
        <v>0.421052631578947</v>
      </c>
      <c r="H1425" s="45" t="n">
        <f aca="false">INDEX(Background!$D$12:$D$27,MATCH(C1425&amp;D1425,Background!$E$12:$E$27,0))</f>
        <v>0.424884437596302</v>
      </c>
      <c r="I1425" s="49" t="n">
        <f aca="false">LN(G1425/H1425)</f>
        <v>-0.00905937891612643</v>
      </c>
    </row>
    <row r="1426" customFormat="false" ht="15" hidden="false" customHeight="true" outlineLevel="0" collapsed="false">
      <c r="A1426" s="38" t="s">
        <v>859</v>
      </c>
      <c r="B1426" s="38" t="n">
        <v>5</v>
      </c>
      <c r="C1426" s="38" t="s">
        <v>169</v>
      </c>
      <c r="D1426" s="38" t="s">
        <v>169</v>
      </c>
      <c r="E1426" s="38" t="s">
        <v>875</v>
      </c>
      <c r="F1426" s="38" t="str">
        <f aca="false">B1426&amp;"|"&amp;C1426&amp;"|"&amp;D1426</f>
        <v>5|G|G</v>
      </c>
      <c r="G1426" s="45" t="n">
        <f aca="false">INDEX('Transition Stepwise'!$J$2:$J$1137,MATCH(F1426,'Transition Stepwise'!$E$2:$E$1137,0))</f>
        <v>0.301369863013699</v>
      </c>
      <c r="H1426" s="45" t="n">
        <f aca="false">INDEX(Background!$D$12:$D$27,MATCH(C1426&amp;D1426,Background!$E$12:$E$27,0))</f>
        <v>0.344774477447745</v>
      </c>
      <c r="I1426" s="49" t="n">
        <f aca="false">LN(G1426/H1426)</f>
        <v>-0.134552223534517</v>
      </c>
    </row>
    <row r="1427" customFormat="false" ht="15" hidden="false" customHeight="true" outlineLevel="0" collapsed="false">
      <c r="A1427" s="38" t="s">
        <v>859</v>
      </c>
      <c r="B1427" s="38" t="n">
        <v>6</v>
      </c>
      <c r="C1427" s="38" t="s">
        <v>169</v>
      </c>
      <c r="D1427" s="38" t="s">
        <v>171</v>
      </c>
      <c r="E1427" s="38" t="s">
        <v>875</v>
      </c>
      <c r="F1427" s="38" t="str">
        <f aca="false">B1427&amp;"|"&amp;C1427&amp;"|"&amp;D1427</f>
        <v>6|G|U</v>
      </c>
      <c r="G1427" s="45" t="n">
        <f aca="false">INDEX('Transition Stepwise'!$J$2:$J$1137,MATCH(F1427,'Transition Stepwise'!$E$2:$E$1137,0))</f>
        <v>0.269230769230769</v>
      </c>
      <c r="H1427" s="45" t="n">
        <f aca="false">INDEX(Background!$D$12:$D$27,MATCH(C1427&amp;D1427,Background!$E$12:$E$27,0))</f>
        <v>0.234763476347635</v>
      </c>
      <c r="I1427" s="49" t="n">
        <f aca="false">LN(G1427/H1427)</f>
        <v>0.136990366343657</v>
      </c>
    </row>
    <row r="1428" customFormat="false" ht="15" hidden="false" customHeight="true" outlineLevel="0" collapsed="false">
      <c r="A1428" s="38" t="s">
        <v>859</v>
      </c>
      <c r="B1428" s="38" t="n">
        <v>7</v>
      </c>
      <c r="C1428" s="38" t="s">
        <v>171</v>
      </c>
      <c r="D1428" s="38" t="s">
        <v>171</v>
      </c>
      <c r="E1428" s="38" t="s">
        <v>875</v>
      </c>
      <c r="F1428" s="38" t="str">
        <f aca="false">B1428&amp;"|"&amp;C1428&amp;"|"&amp;D1428</f>
        <v>7|U|U</v>
      </c>
      <c r="G1428" s="45" t="n">
        <f aca="false">INDEX('Transition Stepwise'!$J$2:$J$1137,MATCH(F1428,'Transition Stepwise'!$E$2:$E$1137,0))</f>
        <v>0.9375</v>
      </c>
      <c r="H1428" s="45" t="n">
        <f aca="false">INDEX(Background!$D$12:$D$27,MATCH(C1428&amp;D1428,Background!$E$12:$E$27,0))</f>
        <v>0.220480320213476</v>
      </c>
      <c r="I1428" s="49" t="n">
        <f aca="false">LN(G1428/H1428)</f>
        <v>1.44740831767329</v>
      </c>
    </row>
    <row r="1429" customFormat="false" ht="15" hidden="false" customHeight="true" outlineLevel="0" collapsed="false">
      <c r="A1429" s="38" t="s">
        <v>859</v>
      </c>
      <c r="B1429" s="38" t="n">
        <v>8</v>
      </c>
      <c r="C1429" s="38" t="s">
        <v>171</v>
      </c>
      <c r="D1429" s="38" t="s">
        <v>172</v>
      </c>
      <c r="E1429" s="38" t="s">
        <v>875</v>
      </c>
      <c r="F1429" s="38" t="str">
        <f aca="false">B1429&amp;"|"&amp;C1429&amp;"|"&amp;D1429</f>
        <v>8|U|A</v>
      </c>
      <c r="G1429" s="45" t="n">
        <f aca="false">INDEX('Transition Stepwise'!$J$2:$J$1137,MATCH(F1429,'Transition Stepwise'!$E$2:$E$1137,0))</f>
        <v>0.65</v>
      </c>
      <c r="H1429" s="45" t="n">
        <f aca="false">INDEX(Background!$D$12:$D$27,MATCH(C1429&amp;D1429,Background!$E$12:$E$27,0))</f>
        <v>0.180787191460974</v>
      </c>
      <c r="I1429" s="49" t="n">
        <f aca="false">LN(G1429/H1429)</f>
        <v>1.27965176113044</v>
      </c>
    </row>
    <row r="1430" customFormat="false" ht="15" hidden="false" customHeight="true" outlineLevel="0" collapsed="false">
      <c r="A1430" s="38" t="s">
        <v>859</v>
      </c>
      <c r="B1430" s="38" t="n">
        <v>9</v>
      </c>
      <c r="C1430" s="38" t="s">
        <v>172</v>
      </c>
      <c r="D1430" s="38" t="s">
        <v>169</v>
      </c>
      <c r="E1430" s="38" t="s">
        <v>875</v>
      </c>
      <c r="F1430" s="38" t="str">
        <f aca="false">B1430&amp;"|"&amp;C1430&amp;"|"&amp;D1430</f>
        <v>9|A|G</v>
      </c>
      <c r="G1430" s="45" t="n">
        <f aca="false">INDEX('Transition Stepwise'!$J$2:$J$1137,MATCH(F1430,'Transition Stepwise'!$E$2:$E$1137,0))</f>
        <v>0.962686567164179</v>
      </c>
      <c r="H1430" s="45" t="n">
        <f aca="false">INDEX(Background!$D$12:$D$27,MATCH(C1430&amp;D1430,Background!$E$12:$E$27,0))</f>
        <v>0.424884437596302</v>
      </c>
      <c r="I1430" s="49" t="n">
        <f aca="false">LN(G1430/H1430)</f>
        <v>0.817910662981239</v>
      </c>
    </row>
    <row r="1431" customFormat="false" ht="15" hidden="false" customHeight="true" outlineLevel="0" collapsed="false">
      <c r="A1431" s="38" t="s">
        <v>859</v>
      </c>
      <c r="B1431" s="38" t="n">
        <v>10</v>
      </c>
      <c r="C1431" s="38" t="s">
        <v>169</v>
      </c>
      <c r="D1431" s="38" t="s">
        <v>169</v>
      </c>
      <c r="E1431" s="38" t="s">
        <v>875</v>
      </c>
      <c r="F1431" s="38" t="str">
        <f aca="false">B1431&amp;"|"&amp;C1431&amp;"|"&amp;D1431</f>
        <v>10|G|G</v>
      </c>
      <c r="G1431" s="45" t="n">
        <f aca="false">INDEX('Transition Stepwise'!$J$2:$J$1137,MATCH(F1431,'Transition Stepwise'!$E$2:$E$1137,0))</f>
        <v>0.0307692307692308</v>
      </c>
      <c r="H1431" s="45" t="n">
        <f aca="false">INDEX(Background!$D$12:$D$27,MATCH(C1431&amp;D1431,Background!$E$12:$E$27,0))</f>
        <v>0.344774477447745</v>
      </c>
      <c r="I1431" s="49" t="n">
        <f aca="false">LN(G1431/H1431)</f>
        <v>-2.41637532508013</v>
      </c>
    </row>
    <row r="1432" customFormat="false" ht="15" hidden="false" customHeight="true" outlineLevel="0" collapsed="false">
      <c r="A1432" s="38" t="s">
        <v>859</v>
      </c>
      <c r="B1432" s="38" t="n">
        <v>11</v>
      </c>
      <c r="C1432" s="38" t="s">
        <v>169</v>
      </c>
      <c r="D1432" s="38" t="s">
        <v>171</v>
      </c>
      <c r="E1432" s="38" t="s">
        <v>875</v>
      </c>
      <c r="F1432" s="38" t="str">
        <f aca="false">B1432&amp;"|"&amp;C1432&amp;"|"&amp;D1432</f>
        <v>11|G|U</v>
      </c>
      <c r="G1432" s="45" t="n">
        <f aca="false">INDEX('Transition Stepwise'!$J$2:$J$1137,MATCH(F1432,'Transition Stepwise'!$E$2:$E$1137,0))</f>
        <v>0.2</v>
      </c>
      <c r="H1432" s="45" t="n">
        <f aca="false">INDEX(Background!$D$12:$D$27,MATCH(C1432&amp;D1432,Background!$E$12:$E$27,0))</f>
        <v>0.234763476347635</v>
      </c>
      <c r="I1432" s="49" t="n">
        <f aca="false">LN(G1432/H1432)</f>
        <v>-0.160261157124274</v>
      </c>
    </row>
    <row r="1433" customFormat="false" ht="15" hidden="false" customHeight="true" outlineLevel="0" collapsed="false">
      <c r="A1433" s="38" t="s">
        <v>859</v>
      </c>
      <c r="B1433" s="38" t="n">
        <v>12</v>
      </c>
      <c r="C1433" s="38" t="s">
        <v>171</v>
      </c>
      <c r="D1433" s="38" t="s">
        <v>171</v>
      </c>
      <c r="E1433" s="38" t="s">
        <v>875</v>
      </c>
      <c r="F1433" s="38" t="str">
        <f aca="false">B1433&amp;"|"&amp;C1433&amp;"|"&amp;D1433</f>
        <v>12|U|U</v>
      </c>
      <c r="G1433" s="45" t="n">
        <f aca="false">INDEX('Transition Stepwise'!$J$2:$J$1137,MATCH(F1433,'Transition Stepwise'!$E$2:$E$1137,0))</f>
        <v>0.0975609756097561</v>
      </c>
      <c r="H1433" s="45" t="n">
        <f aca="false">INDEX(Background!$D$12:$D$27,MATCH(C1433&amp;D1433,Background!$E$12:$E$27,0))</f>
        <v>0.220480320213476</v>
      </c>
      <c r="I1433" s="49" t="n">
        <f aca="false">LN(G1433/H1433)</f>
        <v>-0.81533086677356</v>
      </c>
    </row>
    <row r="1434" customFormat="false" ht="15" hidden="false" customHeight="true" outlineLevel="0" collapsed="false">
      <c r="A1434" s="38" t="s">
        <v>859</v>
      </c>
      <c r="B1434" s="38" t="n">
        <v>13</v>
      </c>
      <c r="C1434" s="38" t="s">
        <v>171</v>
      </c>
      <c r="D1434" s="38" t="s">
        <v>169</v>
      </c>
      <c r="E1434" s="38" t="s">
        <v>875</v>
      </c>
      <c r="F1434" s="38" t="str">
        <f aca="false">B1434&amp;"|"&amp;C1434&amp;"|"&amp;D1434</f>
        <v>13|U|G</v>
      </c>
      <c r="G1434" s="45" t="n">
        <f aca="false">INDEX('Transition Stepwise'!$J$2:$J$1137,MATCH(F1434,'Transition Stepwise'!$E$2:$E$1137,0))</f>
        <v>0.0238095238095238</v>
      </c>
      <c r="H1434" s="45" t="n">
        <f aca="false">INDEX(Background!$D$12:$D$27,MATCH(C1434&amp;D1434,Background!$E$12:$E$27,0))</f>
        <v>0.221480987324883</v>
      </c>
      <c r="I1434" s="49" t="n">
        <f aca="false">LN(G1434/H1434)</f>
        <v>-2.23025108909726</v>
      </c>
    </row>
    <row r="1435" customFormat="false" ht="15" hidden="false" customHeight="true" outlineLevel="0" collapsed="false">
      <c r="A1435" s="38" t="s">
        <v>859</v>
      </c>
      <c r="B1435" s="38" t="n">
        <v>14</v>
      </c>
      <c r="C1435" s="38" t="s">
        <v>169</v>
      </c>
      <c r="D1435" s="38" t="s">
        <v>170</v>
      </c>
      <c r="E1435" s="38" t="s">
        <v>875</v>
      </c>
      <c r="F1435" s="38" t="str">
        <f aca="false">B1435&amp;"|"&amp;C1435&amp;"|"&amp;D1435</f>
        <v>14|G|C</v>
      </c>
      <c r="G1435" s="45" t="n">
        <f aca="false">INDEX('Transition Stepwise'!$J$2:$J$1137,MATCH(F1435,'Transition Stepwise'!$E$2:$E$1137,0))</f>
        <v>0.4</v>
      </c>
      <c r="H1435" s="45" t="n">
        <f aca="false">INDEX(Background!$D$12:$D$27,MATCH(C1435&amp;D1435,Background!$E$12:$E$27,0))</f>
        <v>0.256105610561056</v>
      </c>
      <c r="I1435" s="49" t="n">
        <f aca="false">LN(G1435/H1435)</f>
        <v>0.445874646446041</v>
      </c>
    </row>
    <row r="1436" customFormat="false" ht="15" hidden="false" customHeight="true" outlineLevel="0" collapsed="false">
      <c r="A1436" s="38" t="s">
        <v>859</v>
      </c>
      <c r="B1436" s="38" t="n">
        <v>15</v>
      </c>
      <c r="C1436" s="38" t="s">
        <v>170</v>
      </c>
      <c r="D1436" s="38" t="s">
        <v>171</v>
      </c>
      <c r="E1436" s="38" t="s">
        <v>875</v>
      </c>
      <c r="F1436" s="38" t="str">
        <f aca="false">B1436&amp;"|"&amp;C1436&amp;"|"&amp;D1436</f>
        <v>15|C|U</v>
      </c>
      <c r="G1436" s="45" t="n">
        <f aca="false">INDEX('Transition Stepwise'!$J$2:$J$1137,MATCH(F1436,'Transition Stepwise'!$E$2:$E$1137,0))</f>
        <v>0.4</v>
      </c>
      <c r="H1436" s="45" t="n">
        <f aca="false">INDEX(Background!$D$12:$D$27,MATCH(C1436&amp;D1436,Background!$E$12:$E$27,0))</f>
        <v>0.196466244725738</v>
      </c>
      <c r="I1436" s="49" t="n">
        <f aca="false">LN(G1436/H1436)</f>
        <v>0.710973913121198</v>
      </c>
    </row>
    <row r="1437" customFormat="false" ht="15" hidden="false" customHeight="true" outlineLevel="0" collapsed="false">
      <c r="A1437" s="38" t="s">
        <v>859</v>
      </c>
      <c r="B1437" s="38" t="n">
        <v>16</v>
      </c>
      <c r="C1437" s="38" t="s">
        <v>171</v>
      </c>
      <c r="D1437" s="38" t="s">
        <v>172</v>
      </c>
      <c r="E1437" s="38" t="s">
        <v>875</v>
      </c>
      <c r="F1437" s="38" t="str">
        <f aca="false">B1437&amp;"|"&amp;C1437&amp;"|"&amp;D1437</f>
        <v>16|U|A</v>
      </c>
      <c r="G1437" s="45" t="n">
        <f aca="false">INDEX('Transition Stepwise'!$J$2:$J$1137,MATCH(F1437,'Transition Stepwise'!$E$2:$E$1137,0))</f>
        <v>0.0975609756097561</v>
      </c>
      <c r="H1437" s="45" t="n">
        <f aca="false">INDEX(Background!$D$12:$D$27,MATCH(C1437&amp;D1437,Background!$E$12:$E$27,0))</f>
        <v>0.180787191460974</v>
      </c>
      <c r="I1437" s="49" t="n">
        <f aca="false">LN(G1437/H1437)</f>
        <v>-0.616843028361521</v>
      </c>
    </row>
    <row r="1438" customFormat="false" ht="15" hidden="false" customHeight="true" outlineLevel="0" collapsed="false">
      <c r="A1438" s="38" t="s">
        <v>859</v>
      </c>
      <c r="B1438" s="38" t="n">
        <v>17</v>
      </c>
      <c r="C1438" s="38" t="s">
        <v>172</v>
      </c>
      <c r="D1438" s="38" t="s">
        <v>169</v>
      </c>
      <c r="E1438" s="38" t="s">
        <v>875</v>
      </c>
      <c r="F1438" s="38" t="str">
        <f aca="false">B1438&amp;"|"&amp;C1438&amp;"|"&amp;D1438</f>
        <v>17|A|G</v>
      </c>
      <c r="G1438" s="45" t="n">
        <f aca="false">INDEX('Transition Stepwise'!$J$2:$J$1137,MATCH(F1438,'Transition Stepwise'!$E$2:$E$1137,0))</f>
        <v>0.75</v>
      </c>
      <c r="H1438" s="45" t="n">
        <f aca="false">INDEX(Background!$D$12:$D$27,MATCH(C1438&amp;D1438,Background!$E$12:$E$27,0))</f>
        <v>0.424884437596302</v>
      </c>
      <c r="I1438" s="49" t="n">
        <f aca="false">LN(G1438/H1438)</f>
        <v>0.568255986118697</v>
      </c>
    </row>
    <row r="1439" customFormat="false" ht="15" hidden="false" customHeight="true" outlineLevel="0" collapsed="false">
      <c r="A1439" s="38" t="s">
        <v>859</v>
      </c>
      <c r="B1439" s="38" t="n">
        <v>18</v>
      </c>
      <c r="C1439" s="38" t="s">
        <v>169</v>
      </c>
      <c r="D1439" s="38" t="s">
        <v>169</v>
      </c>
      <c r="E1439" s="38" t="s">
        <v>875</v>
      </c>
      <c r="F1439" s="38" t="str">
        <f aca="false">B1439&amp;"|"&amp;C1439&amp;"|"&amp;D1439</f>
        <v>18|G|G</v>
      </c>
      <c r="G1439" s="45" t="n">
        <f aca="false">INDEX('Transition Stepwise'!$J$2:$J$1137,MATCH(F1439,'Transition Stepwise'!$E$2:$E$1137,0))</f>
        <v>0.975247524752475</v>
      </c>
      <c r="H1439" s="45" t="n">
        <f aca="false">INDEX(Background!$D$12:$D$27,MATCH(C1439&amp;D1439,Background!$E$12:$E$27,0))</f>
        <v>0.344774477447745</v>
      </c>
      <c r="I1439" s="49" t="n">
        <f aca="false">LN(G1439/H1439)</f>
        <v>1.03980079559234</v>
      </c>
    </row>
    <row r="1440" customFormat="false" ht="15" hidden="false" customHeight="true" outlineLevel="0" collapsed="false">
      <c r="A1440" s="38" t="s">
        <v>859</v>
      </c>
      <c r="B1440" s="38" t="n">
        <v>19</v>
      </c>
      <c r="C1440" s="38" t="s">
        <v>169</v>
      </c>
      <c r="D1440" s="38" t="s">
        <v>172</v>
      </c>
      <c r="E1440" s="38" t="s">
        <v>875</v>
      </c>
      <c r="F1440" s="38" t="str">
        <f aca="false">B1440&amp;"|"&amp;C1440&amp;"|"&amp;D1440</f>
        <v>19|G|A</v>
      </c>
      <c r="G1440" s="45" t="n">
        <f aca="false">INDEX('Transition Stepwise'!$J$2:$J$1137,MATCH(F1440,'Transition Stepwise'!$E$2:$E$1137,0))</f>
        <v>0.09</v>
      </c>
      <c r="H1440" s="45" t="n">
        <f aca="false">INDEX(Background!$D$12:$D$27,MATCH(C1440&amp;D1440,Background!$E$12:$E$27,0))</f>
        <v>0.164356435643564</v>
      </c>
      <c r="I1440" s="49" t="n">
        <f aca="false">LN(G1440/H1440)</f>
        <v>-0.60222778717311</v>
      </c>
    </row>
    <row r="1441" customFormat="false" ht="15" hidden="false" customHeight="true" outlineLevel="0" collapsed="false">
      <c r="A1441" s="38" t="s">
        <v>859</v>
      </c>
      <c r="B1441" s="38" t="n">
        <v>20</v>
      </c>
      <c r="C1441" s="38" t="s">
        <v>172</v>
      </c>
      <c r="D1441" s="38" t="s">
        <v>172</v>
      </c>
      <c r="E1441" s="38" t="s">
        <v>875</v>
      </c>
      <c r="F1441" s="38" t="str">
        <f aca="false">B1441&amp;"|"&amp;C1441&amp;"|"&amp;D1441</f>
        <v>20|A|A</v>
      </c>
      <c r="G1441" s="45" t="n">
        <f aca="false">INDEX('Transition Stepwise'!$J$2:$J$1137,MATCH(F1441,'Transition Stepwise'!$E$2:$E$1137,0))</f>
        <v>0.80952380952381</v>
      </c>
      <c r="H1441" s="45" t="n">
        <f aca="false">INDEX(Background!$D$12:$D$27,MATCH(C1441&amp;D1441,Background!$E$12:$E$27,0))</f>
        <v>0.219568567026194</v>
      </c>
      <c r="I1441" s="49" t="n">
        <f aca="false">LN(G1441/H1441)</f>
        <v>1.30478162332818</v>
      </c>
    </row>
    <row r="1442" customFormat="false" ht="15" hidden="false" customHeight="true" outlineLevel="0" collapsed="false">
      <c r="A1442" s="38" t="s">
        <v>859</v>
      </c>
      <c r="B1442" s="38" t="n">
        <v>21</v>
      </c>
      <c r="C1442" s="38" t="s">
        <v>172</v>
      </c>
      <c r="D1442" s="38" t="s">
        <v>172</v>
      </c>
      <c r="E1442" s="38" t="s">
        <v>875</v>
      </c>
      <c r="F1442" s="38" t="str">
        <f aca="false">B1442&amp;"|"&amp;C1442&amp;"|"&amp;D1442</f>
        <v>21|A|A</v>
      </c>
      <c r="G1442" s="45" t="n">
        <f aca="false">INDEX('Transition Stepwise'!$J$2:$J$1137,MATCH(F1442,'Transition Stepwise'!$E$2:$E$1137,0))</f>
        <v>0.159340659340659</v>
      </c>
      <c r="H1442" s="45" t="n">
        <f aca="false">INDEX(Background!$D$12:$D$27,MATCH(C1442&amp;D1442,Background!$E$12:$E$27,0))</f>
        <v>0.219568567026194</v>
      </c>
      <c r="I1442" s="49" t="n">
        <f aca="false">LN(G1442/H1442)</f>
        <v>-0.320620140094937</v>
      </c>
    </row>
    <row r="1443" customFormat="false" ht="15" hidden="false" customHeight="true" outlineLevel="0" collapsed="false">
      <c r="A1443" s="38" t="s">
        <v>859</v>
      </c>
      <c r="B1443" s="38" t="n">
        <v>22</v>
      </c>
      <c r="C1443" s="38" t="s">
        <v>172</v>
      </c>
      <c r="D1443" s="38" t="s">
        <v>172</v>
      </c>
      <c r="E1443" s="38" t="s">
        <v>875</v>
      </c>
      <c r="F1443" s="38" t="str">
        <f aca="false">B1443&amp;"|"&amp;C1443&amp;"|"&amp;D1443</f>
        <v>22|A|A</v>
      </c>
      <c r="G1443" s="45" t="n">
        <f aca="false">INDEX('Transition Stepwise'!$J$2:$J$1137,MATCH(F1443,'Transition Stepwise'!$E$2:$E$1137,0))</f>
        <v>0.155555555555556</v>
      </c>
      <c r="H1443" s="45" t="n">
        <f aca="false">INDEX(Background!$D$12:$D$27,MATCH(C1443&amp;D1443,Background!$E$12:$E$27,0))</f>
        <v>0.219568567026194</v>
      </c>
      <c r="I1443" s="49" t="n">
        <f aca="false">LN(G1443/H1443)</f>
        <v>-0.344661623719622</v>
      </c>
    </row>
    <row r="1444" customFormat="false" ht="15" hidden="false" customHeight="true" outlineLevel="0" collapsed="false">
      <c r="A1444" s="38" t="s">
        <v>859</v>
      </c>
      <c r="B1444" s="38" t="n">
        <v>23</v>
      </c>
      <c r="C1444" s="38" t="s">
        <v>172</v>
      </c>
      <c r="D1444" s="38" t="s">
        <v>171</v>
      </c>
      <c r="E1444" s="38" t="s">
        <v>875</v>
      </c>
      <c r="F1444" s="38" t="str">
        <f aca="false">B1444&amp;"|"&amp;C1444&amp;"|"&amp;D1444</f>
        <v>23|A|U</v>
      </c>
      <c r="G1444" s="45" t="n">
        <f aca="false">INDEX('Transition Stepwise'!$J$2:$J$1137,MATCH(F1444,'Transition Stepwise'!$E$2:$E$1137,0))</f>
        <v>0.032258064516129</v>
      </c>
      <c r="H1444" s="45" t="n">
        <f aca="false">INDEX(Background!$D$12:$D$27,MATCH(C1444&amp;D1444,Background!$E$12:$E$27,0))</f>
        <v>0.194530046224961</v>
      </c>
      <c r="I1444" s="49" t="n">
        <f aca="false">LN(G1444/H1444)</f>
        <v>-1.79681855593653</v>
      </c>
    </row>
    <row r="1445" customFormat="false" ht="15" hidden="false" customHeight="true" outlineLevel="0" collapsed="false">
      <c r="A1445" s="38" t="s">
        <v>859</v>
      </c>
      <c r="B1445" s="38" t="n">
        <v>24</v>
      </c>
      <c r="C1445" s="38" t="s">
        <v>171</v>
      </c>
      <c r="D1445" s="38" t="s">
        <v>171</v>
      </c>
      <c r="E1445" s="38" t="s">
        <v>875</v>
      </c>
      <c r="F1445" s="38" t="str">
        <f aca="false">B1445&amp;"|"&amp;C1445&amp;"|"&amp;D1445</f>
        <v>24|U|U</v>
      </c>
      <c r="G1445" s="45" t="n">
        <f aca="false">INDEX('Transition Stepwise'!$J$2:$J$1137,MATCH(F1445,'Transition Stepwise'!$E$2:$E$1137,0))</f>
        <v>0.0909090909090909</v>
      </c>
      <c r="H1445" s="45" t="n">
        <f aca="false">INDEX(Background!$D$12:$D$27,MATCH(C1445&amp;D1445,Background!$E$12:$E$27,0))</f>
        <v>0.220480320213476</v>
      </c>
      <c r="I1445" s="49" t="n">
        <f aca="false">LN(G1445/H1445)</f>
        <v>-0.885948433987514</v>
      </c>
    </row>
    <row r="1446" customFormat="false" ht="15" hidden="false" customHeight="true" outlineLevel="0" collapsed="false">
      <c r="A1446" s="38" t="s">
        <v>859</v>
      </c>
      <c r="B1446" s="38" t="n">
        <v>25</v>
      </c>
      <c r="C1446" s="38" t="s">
        <v>171</v>
      </c>
      <c r="D1446" s="38" t="s">
        <v>171</v>
      </c>
      <c r="E1446" s="38" t="s">
        <v>875</v>
      </c>
      <c r="F1446" s="38" t="str">
        <f aca="false">B1446&amp;"|"&amp;C1446&amp;"|"&amp;D1446</f>
        <v>25|U|U</v>
      </c>
      <c r="G1446" s="45" t="n">
        <f aca="false">INDEX('Transition Stepwise'!$J$2:$J$1137,MATCH(F1446,'Transition Stepwise'!$E$2:$E$1137,0))</f>
        <v>0.166666666666667</v>
      </c>
      <c r="H1446" s="45" t="n">
        <f aca="false">INDEX(Background!$D$12:$D$27,MATCH(C1446&amp;D1446,Background!$E$12:$E$27,0))</f>
        <v>0.220480320213476</v>
      </c>
      <c r="I1446" s="49" t="n">
        <f aca="false">LN(G1446/H1446)</f>
        <v>-0.279812630417198</v>
      </c>
    </row>
    <row r="1447" customFormat="false" ht="15" hidden="false" customHeight="true" outlineLevel="0" collapsed="false">
      <c r="A1447" s="38" t="s">
        <v>859</v>
      </c>
      <c r="B1447" s="38" t="n">
        <v>26</v>
      </c>
      <c r="C1447" s="38" t="s">
        <v>171</v>
      </c>
      <c r="D1447" s="38" t="s">
        <v>171</v>
      </c>
      <c r="E1447" s="38" t="s">
        <v>875</v>
      </c>
      <c r="F1447" s="38" t="str">
        <f aca="false">B1447&amp;"|"&amp;C1447&amp;"|"&amp;D1447</f>
        <v>26|U|U</v>
      </c>
      <c r="G1447" s="45" t="n">
        <f aca="false">INDEX('Transition Stepwise'!$J$2:$J$1137,MATCH(F1447,'Transition Stepwise'!$E$2:$E$1137,0))</f>
        <v>0.266666666666667</v>
      </c>
      <c r="H1447" s="45" t="n">
        <f aca="false">INDEX(Background!$D$12:$D$27,MATCH(C1447&amp;D1447,Background!$E$12:$E$27,0))</f>
        <v>0.220480320213476</v>
      </c>
      <c r="I1447" s="49" t="n">
        <f aca="false">LN(G1447/H1447)</f>
        <v>0.190190998828537</v>
      </c>
    </row>
    <row r="1448" customFormat="false" ht="15" hidden="false" customHeight="true" outlineLevel="0" collapsed="false">
      <c r="A1448" s="38" t="s">
        <v>859</v>
      </c>
      <c r="B1448" s="38" t="n">
        <v>27</v>
      </c>
      <c r="C1448" s="38" t="s">
        <v>171</v>
      </c>
      <c r="D1448" s="38" t="s">
        <v>172</v>
      </c>
      <c r="E1448" s="38" t="s">
        <v>875</v>
      </c>
      <c r="F1448" s="38" t="str">
        <f aca="false">B1448&amp;"|"&amp;C1448&amp;"|"&amp;D1448</f>
        <v>27|U|A</v>
      </c>
      <c r="G1448" s="45" t="n">
        <f aca="false">INDEX('Transition Stepwise'!$J$2:$J$1137,MATCH(F1448,'Transition Stepwise'!$E$2:$E$1137,0))</f>
        <v>0.0727272727272727</v>
      </c>
      <c r="H1448" s="45" t="n">
        <f aca="false">INDEX(Background!$D$12:$D$27,MATCH(C1448&amp;D1448,Background!$E$12:$E$27,0))</f>
        <v>0.180787191460974</v>
      </c>
      <c r="I1448" s="49" t="n">
        <f aca="false">LN(G1448/H1448)</f>
        <v>-0.910604146889684</v>
      </c>
    </row>
    <row r="1449" customFormat="false" ht="15" hidden="false" customHeight="true" outlineLevel="0" collapsed="false">
      <c r="A1449" s="38" t="s">
        <v>859</v>
      </c>
      <c r="B1449" s="38" t="n">
        <v>28</v>
      </c>
      <c r="C1449" s="38" t="s">
        <v>172</v>
      </c>
      <c r="D1449" s="38" t="s">
        <v>172</v>
      </c>
      <c r="E1449" s="38" t="s">
        <v>875</v>
      </c>
      <c r="F1449" s="38" t="str">
        <f aca="false">B1449&amp;"|"&amp;C1449&amp;"|"&amp;D1449</f>
        <v>28|A|A</v>
      </c>
      <c r="G1449" s="45" t="n">
        <f aca="false">INDEX('Transition Stepwise'!$J$2:$J$1137,MATCH(F1449,'Transition Stepwise'!$E$2:$E$1137,0))</f>
        <v>0.142857142857143</v>
      </c>
      <c r="H1449" s="45" t="n">
        <f aca="false">INDEX(Background!$D$12:$D$27,MATCH(C1449&amp;D1449,Background!$E$12:$E$27,0))</f>
        <v>0.219568567026194</v>
      </c>
      <c r="I1449" s="49" t="n">
        <f aca="false">LN(G1449/H1449)</f>
        <v>-0.429819432059929</v>
      </c>
    </row>
    <row r="1450" customFormat="false" ht="15" hidden="false" customHeight="true" outlineLevel="0" collapsed="false">
      <c r="A1450" s="38" t="s">
        <v>859</v>
      </c>
      <c r="B1450" s="38" t="n">
        <v>29</v>
      </c>
      <c r="C1450" s="38" t="s">
        <v>172</v>
      </c>
      <c r="D1450" s="38" t="s">
        <v>171</v>
      </c>
      <c r="E1450" s="38" t="s">
        <v>875</v>
      </c>
      <c r="F1450" s="38" t="str">
        <f aca="false">B1450&amp;"|"&amp;C1450&amp;"|"&amp;D1450</f>
        <v>29|A|U</v>
      </c>
      <c r="G1450" s="45" t="n">
        <f aca="false">INDEX('Transition Stepwise'!$J$2:$J$1137,MATCH(F1450,'Transition Stepwise'!$E$2:$E$1137,0))</f>
        <v>0.0277777777777778</v>
      </c>
      <c r="H1450" s="45" t="n">
        <f aca="false">INDEX(Background!$D$12:$D$27,MATCH(C1450&amp;D1450,Background!$E$12:$E$27,0))</f>
        <v>0.194530046224961</v>
      </c>
      <c r="I1450" s="49" t="n">
        <f aca="false">LN(G1450/H1450)</f>
        <v>-1.94635028990749</v>
      </c>
    </row>
    <row r="1451" customFormat="false" ht="15" hidden="false" customHeight="true" outlineLevel="0" collapsed="false">
      <c r="A1451" s="38" t="s">
        <v>859</v>
      </c>
      <c r="B1451" s="38" t="n">
        <v>30</v>
      </c>
      <c r="C1451" s="38" t="s">
        <v>171</v>
      </c>
      <c r="D1451" s="38" t="s">
        <v>170</v>
      </c>
      <c r="E1451" s="38" t="s">
        <v>875</v>
      </c>
      <c r="F1451" s="38" t="str">
        <f aca="false">B1451&amp;"|"&amp;C1451&amp;"|"&amp;D1451</f>
        <v>30|U|C</v>
      </c>
      <c r="G1451" s="45" t="n">
        <f aca="false">INDEX('Transition Stepwise'!$J$2:$J$1137,MATCH(F1451,'Transition Stepwise'!$E$2:$E$1137,0))</f>
        <v>0.181818181818182</v>
      </c>
      <c r="H1451" s="45" t="n">
        <f aca="false">INDEX(Background!$D$12:$D$27,MATCH(C1451&amp;D1451,Background!$E$12:$E$27,0))</f>
        <v>0.377251501000667</v>
      </c>
      <c r="I1451" s="49" t="n">
        <f aca="false">LN(G1451/H1451)</f>
        <v>-0.729904889692003</v>
      </c>
    </row>
    <row r="1452" customFormat="false" ht="15" hidden="false" customHeight="true" outlineLevel="0" collapsed="false">
      <c r="A1452" s="38" t="s">
        <v>859</v>
      </c>
      <c r="B1452" s="38" t="n">
        <v>31</v>
      </c>
      <c r="C1452" s="38" t="s">
        <v>170</v>
      </c>
      <c r="D1452" s="38" t="s">
        <v>171</v>
      </c>
      <c r="E1452" s="38" t="s">
        <v>875</v>
      </c>
      <c r="F1452" s="38" t="str">
        <f aca="false">B1452&amp;"|"&amp;C1452&amp;"|"&amp;D1452</f>
        <v>31|C|U</v>
      </c>
      <c r="G1452" s="45" t="n">
        <f aca="false">INDEX('Transition Stepwise'!$J$2:$J$1137,MATCH(F1452,'Transition Stepwise'!$E$2:$E$1137,0))</f>
        <v>0.407894736842105</v>
      </c>
      <c r="H1452" s="45" t="n">
        <f aca="false">INDEX(Background!$D$12:$D$27,MATCH(C1452&amp;D1452,Background!$E$12:$E$27,0))</f>
        <v>0.196466244725738</v>
      </c>
      <c r="I1452" s="49" t="n">
        <f aca="false">LN(G1452/H1452)</f>
        <v>0.730518509194168</v>
      </c>
    </row>
    <row r="1453" customFormat="false" ht="15" hidden="false" customHeight="true" outlineLevel="0" collapsed="false">
      <c r="A1453" s="38" t="s">
        <v>859</v>
      </c>
      <c r="B1453" s="38" t="n">
        <v>32</v>
      </c>
      <c r="C1453" s="38" t="s">
        <v>171</v>
      </c>
      <c r="D1453" s="38" t="s">
        <v>170</v>
      </c>
      <c r="E1453" s="38" t="s">
        <v>875</v>
      </c>
      <c r="F1453" s="38" t="str">
        <f aca="false">B1453&amp;"|"&amp;C1453&amp;"|"&amp;D1453</f>
        <v>32|U|C</v>
      </c>
      <c r="G1453" s="45" t="n">
        <f aca="false">INDEX('Transition Stepwise'!$J$2:$J$1137,MATCH(F1453,'Transition Stepwise'!$E$2:$E$1137,0))</f>
        <v>0.0158730158730159</v>
      </c>
      <c r="H1453" s="45" t="n">
        <f aca="false">INDEX(Background!$D$12:$D$27,MATCH(C1453&amp;D1453,Background!$E$12:$E$27,0))</f>
        <v>0.377251501000667</v>
      </c>
      <c r="I1453" s="49" t="n">
        <f aca="false">LN(G1453/H1453)</f>
        <v>-3.16829152384511</v>
      </c>
    </row>
    <row r="1454" customFormat="false" ht="15" hidden="false" customHeight="true" outlineLevel="0" collapsed="false">
      <c r="A1454" s="38" t="s">
        <v>859</v>
      </c>
      <c r="B1454" s="38" t="n">
        <v>33</v>
      </c>
      <c r="C1454" s="38" t="s">
        <v>170</v>
      </c>
      <c r="D1454" s="38" t="s">
        <v>170</v>
      </c>
      <c r="E1454" s="38" t="s">
        <v>875</v>
      </c>
      <c r="F1454" s="38" t="str">
        <f aca="false">B1454&amp;"|"&amp;C1454&amp;"|"&amp;D1454</f>
        <v>33|C|C</v>
      </c>
      <c r="G1454" s="45" t="n">
        <f aca="false">INDEX('Transition Stepwise'!$J$2:$J$1137,MATCH(F1454,'Transition Stepwise'!$E$2:$E$1137,0))</f>
        <v>0.4</v>
      </c>
      <c r="H1454" s="45" t="n">
        <f aca="false">INDEX(Background!$D$12:$D$27,MATCH(C1454&amp;D1454,Background!$E$12:$E$27,0))</f>
        <v>0.312236286919831</v>
      </c>
      <c r="I1454" s="49" t="n">
        <f aca="false">LN(G1454/H1454)</f>
        <v>0.247704316056806</v>
      </c>
    </row>
    <row r="1455" customFormat="false" ht="15" hidden="false" customHeight="true" outlineLevel="0" collapsed="false">
      <c r="A1455" s="38" t="s">
        <v>859</v>
      </c>
      <c r="B1455" s="38" t="n">
        <v>34</v>
      </c>
      <c r="C1455" s="38" t="s">
        <v>170</v>
      </c>
      <c r="D1455" s="38" t="s">
        <v>171</v>
      </c>
      <c r="E1455" s="38" t="s">
        <v>875</v>
      </c>
      <c r="F1455" s="38" t="str">
        <f aca="false">B1455&amp;"|"&amp;C1455&amp;"|"&amp;D1455</f>
        <v>34|C|U</v>
      </c>
      <c r="G1455" s="45" t="n">
        <f aca="false">INDEX('Transition Stepwise'!$J$2:$J$1137,MATCH(F1455,'Transition Stepwise'!$E$2:$E$1137,0))</f>
        <v>0.185714285714286</v>
      </c>
      <c r="H1455" s="45" t="n">
        <f aca="false">INDEX(Background!$D$12:$D$27,MATCH(C1455&amp;D1455,Background!$E$12:$E$27,0))</f>
        <v>0.196466244725738</v>
      </c>
      <c r="I1455" s="49" t="n">
        <f aca="false">LN(G1455/H1455)</f>
        <v>-0.0562812395924693</v>
      </c>
    </row>
    <row r="1456" customFormat="false" ht="15" hidden="false" customHeight="true" outlineLevel="0" collapsed="false">
      <c r="A1456" s="38" t="s">
        <v>859</v>
      </c>
      <c r="B1456" s="38" t="n">
        <v>35</v>
      </c>
      <c r="C1456" s="38" t="s">
        <v>171</v>
      </c>
      <c r="D1456" s="38" t="s">
        <v>172</v>
      </c>
      <c r="E1456" s="38" t="s">
        <v>875</v>
      </c>
      <c r="F1456" s="38" t="str">
        <f aca="false">B1456&amp;"|"&amp;C1456&amp;"|"&amp;D1456</f>
        <v>35|U|A</v>
      </c>
      <c r="G1456" s="45" t="n">
        <f aca="false">INDEX('Transition Stepwise'!$J$2:$J$1137,MATCH(F1456,'Transition Stepwise'!$E$2:$E$1137,0))</f>
        <v>0.177777777777778</v>
      </c>
      <c r="H1456" s="45" t="n">
        <f aca="false">INDEX(Background!$D$12:$D$27,MATCH(C1456&amp;D1456,Background!$E$12:$E$27,0))</f>
        <v>0.180787191460974</v>
      </c>
      <c r="I1456" s="49" t="n">
        <f aca="false">LN(G1456/H1456)</f>
        <v>-0.016786270867587</v>
      </c>
    </row>
    <row r="1457" customFormat="false" ht="15" hidden="false" customHeight="true" outlineLevel="0" collapsed="false">
      <c r="A1457" s="38" t="s">
        <v>859</v>
      </c>
      <c r="B1457" s="38" t="n">
        <v>36</v>
      </c>
      <c r="C1457" s="38" t="s">
        <v>172</v>
      </c>
      <c r="D1457" s="38" t="s">
        <v>172</v>
      </c>
      <c r="E1457" s="38" t="s">
        <v>875</v>
      </c>
      <c r="F1457" s="38" t="str">
        <f aca="false">B1457&amp;"|"&amp;C1457&amp;"|"&amp;D1457</f>
        <v>36|A|A</v>
      </c>
      <c r="G1457" s="45" t="n">
        <f aca="false">INDEX('Transition Stepwise'!$J$2:$J$1137,MATCH(F1457,'Transition Stepwise'!$E$2:$E$1137,0))</f>
        <v>0.553191489361702</v>
      </c>
      <c r="H1457" s="45" t="n">
        <f aca="false">INDEX(Background!$D$12:$D$27,MATCH(C1457&amp;D1457,Background!$E$12:$E$27,0))</f>
        <v>0.219568567026194</v>
      </c>
      <c r="I1457" s="49" t="n">
        <f aca="false">LN(G1457/H1457)</f>
        <v>0.924039653306808</v>
      </c>
    </row>
    <row r="1458" customFormat="false" ht="15" hidden="false" customHeight="true" outlineLevel="0" collapsed="false">
      <c r="A1458" s="38" t="s">
        <v>859</v>
      </c>
      <c r="B1458" s="38" t="n">
        <v>37</v>
      </c>
      <c r="C1458" s="38" t="s">
        <v>172</v>
      </c>
      <c r="D1458" s="38" t="s">
        <v>169</v>
      </c>
      <c r="E1458" s="38" t="s">
        <v>875</v>
      </c>
      <c r="F1458" s="38" t="str">
        <f aca="false">B1458&amp;"|"&amp;C1458&amp;"|"&amp;D1458</f>
        <v>37|A|G</v>
      </c>
      <c r="G1458" s="45" t="n">
        <f aca="false">INDEX('Transition Stepwise'!$J$2:$J$1137,MATCH(F1458,'Transition Stepwise'!$E$2:$E$1137,0))</f>
        <v>0.00649350649350649</v>
      </c>
      <c r="H1458" s="45" t="n">
        <f aca="false">INDEX(Background!$D$12:$D$27,MATCH(C1458&amp;D1458,Background!$E$12:$E$27,0))</f>
        <v>0.424884437596302</v>
      </c>
      <c r="I1458" s="49" t="n">
        <f aca="false">LN(G1458/H1458)</f>
        <v>-4.18101454384315</v>
      </c>
    </row>
    <row r="1459" customFormat="false" ht="15" hidden="false" customHeight="true" outlineLevel="0" collapsed="false">
      <c r="A1459" s="38" t="s">
        <v>859</v>
      </c>
      <c r="B1459" s="38" t="n">
        <v>38</v>
      </c>
      <c r="C1459" s="38" t="s">
        <v>169</v>
      </c>
      <c r="D1459" s="38" t="s">
        <v>169</v>
      </c>
      <c r="E1459" s="38" t="s">
        <v>875</v>
      </c>
      <c r="F1459" s="38" t="str">
        <f aca="false">B1459&amp;"|"&amp;C1459&amp;"|"&amp;D1459</f>
        <v>38|G|G</v>
      </c>
      <c r="G1459" s="45" t="n">
        <f aca="false">INDEX('Transition Stepwise'!$J$2:$J$1137,MATCH(F1459,'Transition Stepwise'!$E$2:$E$1137,0))</f>
        <v>0.2</v>
      </c>
      <c r="H1459" s="45" t="n">
        <f aca="false">INDEX(Background!$D$12:$D$27,MATCH(C1459&amp;D1459,Background!$E$12:$E$27,0))</f>
        <v>0.344774477447745</v>
      </c>
      <c r="I1459" s="49" t="n">
        <f aca="false">LN(G1459/H1459)</f>
        <v>-0.544573148178542</v>
      </c>
    </row>
    <row r="1460" customFormat="false" ht="15" hidden="false" customHeight="true" outlineLevel="0" collapsed="false">
      <c r="A1460" s="38" t="s">
        <v>859</v>
      </c>
      <c r="B1460" s="38" t="n">
        <v>39</v>
      </c>
      <c r="C1460" s="38" t="s">
        <v>169</v>
      </c>
      <c r="D1460" s="38" t="s">
        <v>169</v>
      </c>
      <c r="E1460" s="38" t="s">
        <v>875</v>
      </c>
      <c r="F1460" s="38" t="str">
        <f aca="false">B1460&amp;"|"&amp;C1460&amp;"|"&amp;D1460</f>
        <v>39|G|G</v>
      </c>
      <c r="G1460" s="45" t="n">
        <f aca="false">INDEX('Transition Stepwise'!$J$2:$J$1137,MATCH(F1460,'Transition Stepwise'!$E$2:$E$1137,0))</f>
        <v>0.381578947368421</v>
      </c>
      <c r="H1460" s="45" t="n">
        <f aca="false">INDEX(Background!$D$12:$D$27,MATCH(C1460&amp;D1460,Background!$E$12:$E$27,0))</f>
        <v>0.344774477447745</v>
      </c>
      <c r="I1460" s="49" t="n">
        <f aca="false">LN(G1460/H1460)</f>
        <v>0.101427253955701</v>
      </c>
    </row>
    <row r="1461" customFormat="false" ht="15" hidden="false" customHeight="true" outlineLevel="0" collapsed="false">
      <c r="A1461" s="38" t="s">
        <v>859</v>
      </c>
      <c r="B1461" s="38" t="n">
        <v>40</v>
      </c>
      <c r="C1461" s="38" t="s">
        <v>169</v>
      </c>
      <c r="D1461" s="38" t="s">
        <v>171</v>
      </c>
      <c r="E1461" s="38" t="s">
        <v>875</v>
      </c>
      <c r="F1461" s="38" t="str">
        <f aca="false">B1461&amp;"|"&amp;C1461&amp;"|"&amp;D1461</f>
        <v>40|G|U</v>
      </c>
      <c r="G1461" s="45" t="n">
        <f aca="false">INDEX('Transition Stepwise'!$J$2:$J$1137,MATCH(F1461,'Transition Stepwise'!$E$2:$E$1137,0))</f>
        <v>0.176470588235294</v>
      </c>
      <c r="H1461" s="45" t="n">
        <f aca="false">INDEX(Background!$D$12:$D$27,MATCH(C1461&amp;D1461,Background!$E$12:$E$27,0))</f>
        <v>0.234763476347635</v>
      </c>
      <c r="I1461" s="49" t="n">
        <f aca="false">LN(G1461/H1461)</f>
        <v>-0.28542430007828</v>
      </c>
    </row>
    <row r="1462" customFormat="false" ht="15" hidden="false" customHeight="true" outlineLevel="0" collapsed="false">
      <c r="A1462" s="38" t="s">
        <v>859</v>
      </c>
      <c r="B1462" s="38" t="n">
        <v>41</v>
      </c>
      <c r="C1462" s="38" t="s">
        <v>171</v>
      </c>
      <c r="D1462" s="38" t="s">
        <v>171</v>
      </c>
      <c r="E1462" s="38" t="s">
        <v>875</v>
      </c>
      <c r="F1462" s="38" t="str">
        <f aca="false">B1462&amp;"|"&amp;C1462&amp;"|"&amp;D1462</f>
        <v>41|U|U</v>
      </c>
      <c r="G1462" s="45" t="n">
        <f aca="false">INDEX('Transition Stepwise'!$J$2:$J$1137,MATCH(F1462,'Transition Stepwise'!$E$2:$E$1137,0))</f>
        <v>0.108108108108108</v>
      </c>
      <c r="H1462" s="45" t="n">
        <f aca="false">INDEX(Background!$D$12:$D$27,MATCH(C1462&amp;D1462,Background!$E$12:$E$27,0))</f>
        <v>0.220480320213476</v>
      </c>
      <c r="I1462" s="49" t="n">
        <f aca="false">LN(G1462/H1462)</f>
        <v>-0.712676712713477</v>
      </c>
    </row>
    <row r="1463" customFormat="false" ht="15" hidden="false" customHeight="true" outlineLevel="0" collapsed="false">
      <c r="A1463" s="38" t="s">
        <v>859</v>
      </c>
      <c r="B1463" s="38" t="n">
        <v>42</v>
      </c>
      <c r="C1463" s="38" t="s">
        <v>171</v>
      </c>
      <c r="D1463" s="38" t="s">
        <v>172</v>
      </c>
      <c r="E1463" s="38" t="s">
        <v>875</v>
      </c>
      <c r="F1463" s="38" t="str">
        <f aca="false">B1463&amp;"|"&amp;C1463&amp;"|"&amp;D1463</f>
        <v>42|U|A</v>
      </c>
      <c r="G1463" s="45" t="n">
        <f aca="false">INDEX('Transition Stepwise'!$J$2:$J$1137,MATCH(F1463,'Transition Stepwise'!$E$2:$E$1137,0))</f>
        <v>0.1</v>
      </c>
      <c r="H1463" s="45" t="n">
        <f aca="false">INDEX(Background!$D$12:$D$27,MATCH(C1463&amp;D1463,Background!$E$12:$E$27,0))</f>
        <v>0.180787191460974</v>
      </c>
      <c r="I1463" s="49" t="n">
        <f aca="false">LN(G1463/H1463)</f>
        <v>-0.592150415771149</v>
      </c>
    </row>
    <row r="1464" customFormat="false" ht="15" hidden="false" customHeight="true" outlineLevel="0" collapsed="false">
      <c r="A1464" s="38" t="s">
        <v>859</v>
      </c>
      <c r="B1464" s="38" t="n">
        <v>43</v>
      </c>
      <c r="C1464" s="38" t="s">
        <v>172</v>
      </c>
      <c r="D1464" s="38" t="s">
        <v>172</v>
      </c>
      <c r="E1464" s="38" t="s">
        <v>875</v>
      </c>
      <c r="F1464" s="38" t="str">
        <f aca="false">B1464&amp;"|"&amp;C1464&amp;"|"&amp;D1464</f>
        <v>43|A|A</v>
      </c>
      <c r="G1464" s="45" t="n">
        <f aca="false">INDEX('Transition Stepwise'!$J$2:$J$1137,MATCH(F1464,'Transition Stepwise'!$E$2:$E$1137,0))</f>
        <v>0.469387755102041</v>
      </c>
      <c r="H1464" s="45" t="n">
        <f aca="false">INDEX(Background!$D$12:$D$27,MATCH(C1464&amp;D1464,Background!$E$12:$E$27,0))</f>
        <v>0.219568567026194</v>
      </c>
      <c r="I1464" s="49" t="n">
        <f aca="false">LN(G1464/H1464)</f>
        <v>0.759764634813908</v>
      </c>
    </row>
    <row r="1465" customFormat="false" ht="15" hidden="false" customHeight="true" outlineLevel="0" collapsed="false">
      <c r="A1465" s="38" t="s">
        <v>859</v>
      </c>
      <c r="B1465" s="38" t="n">
        <v>44</v>
      </c>
      <c r="C1465" s="38" t="s">
        <v>172</v>
      </c>
      <c r="D1465" s="38" t="s">
        <v>169</v>
      </c>
      <c r="E1465" s="38" t="s">
        <v>875</v>
      </c>
      <c r="F1465" s="38" t="str">
        <f aca="false">B1465&amp;"|"&amp;C1465&amp;"|"&amp;D1465</f>
        <v>44|A|G</v>
      </c>
      <c r="G1465" s="45" t="n">
        <f aca="false">INDEX('Transition Stepwise'!$J$2:$J$1137,MATCH(F1465,'Transition Stepwise'!$E$2:$E$1137,0))</f>
        <v>0.852941176470588</v>
      </c>
      <c r="H1465" s="45" t="n">
        <f aca="false">INDEX(Background!$D$12:$D$27,MATCH(C1465&amp;D1465,Background!$E$12:$E$27,0))</f>
        <v>0.424884437596302</v>
      </c>
      <c r="I1465" s="49" t="n">
        <f aca="false">LN(G1465/H1465)</f>
        <v>0.696873363940791</v>
      </c>
    </row>
    <row r="1466" customFormat="false" ht="15" hidden="false" customHeight="true" outlineLevel="0" collapsed="false">
      <c r="A1466" s="38" t="s">
        <v>859</v>
      </c>
      <c r="B1466" s="38" t="n">
        <v>45</v>
      </c>
      <c r="C1466" s="38" t="s">
        <v>169</v>
      </c>
      <c r="D1466" s="38" t="s">
        <v>170</v>
      </c>
      <c r="E1466" s="38" t="s">
        <v>875</v>
      </c>
      <c r="F1466" s="38" t="str">
        <f aca="false">B1466&amp;"|"&amp;C1466&amp;"|"&amp;D1466</f>
        <v>45|G|C</v>
      </c>
      <c r="G1466" s="45" t="n">
        <f aca="false">INDEX('Transition Stepwise'!$J$2:$J$1137,MATCH(F1466,'Transition Stepwise'!$E$2:$E$1137,0))</f>
        <v>0.0218978102189781</v>
      </c>
      <c r="H1466" s="45" t="n">
        <f aca="false">INDEX(Background!$D$12:$D$27,MATCH(C1466&amp;D1466,Background!$E$12:$E$27,0))</f>
        <v>0.256105610561056</v>
      </c>
      <c r="I1466" s="49" t="n">
        <f aca="false">LN(G1466/H1466)</f>
        <v>-2.45920325883982</v>
      </c>
    </row>
    <row r="1467" customFormat="false" ht="15" hidden="false" customHeight="true" outlineLevel="0" collapsed="false">
      <c r="A1467" s="38" t="s">
        <v>859</v>
      </c>
      <c r="B1467" s="38" t="n">
        <v>46</v>
      </c>
      <c r="C1467" s="38" t="s">
        <v>170</v>
      </c>
      <c r="D1467" s="38" t="s">
        <v>172</v>
      </c>
      <c r="E1467" s="38" t="s">
        <v>875</v>
      </c>
      <c r="F1467" s="38" t="str">
        <f aca="false">B1467&amp;"|"&amp;C1467&amp;"|"&amp;D1467</f>
        <v>46|C|A</v>
      </c>
      <c r="G1467" s="45" t="n">
        <f aca="false">INDEX('Transition Stepwise'!$J$2:$J$1137,MATCH(F1467,'Transition Stepwise'!$E$2:$E$1137,0))</f>
        <v>0.25</v>
      </c>
      <c r="H1467" s="45" t="n">
        <f aca="false">INDEX(Background!$D$12:$D$27,MATCH(C1467&amp;D1467,Background!$E$12:$E$27,0))</f>
        <v>0.194883966244726</v>
      </c>
      <c r="I1467" s="49" t="n">
        <f aca="false">LN(G1467/H1467)</f>
        <v>0.24905658130682</v>
      </c>
    </row>
    <row r="1468" customFormat="false" ht="15" hidden="false" customHeight="true" outlineLevel="0" collapsed="false">
      <c r="A1468" s="38" t="s">
        <v>859</v>
      </c>
      <c r="B1468" s="38" t="n">
        <v>47</v>
      </c>
      <c r="C1468" s="38" t="s">
        <v>172</v>
      </c>
      <c r="D1468" s="38" t="s">
        <v>171</v>
      </c>
      <c r="E1468" s="38" t="s">
        <v>875</v>
      </c>
      <c r="F1468" s="38" t="str">
        <f aca="false">B1468&amp;"|"&amp;C1468&amp;"|"&amp;D1468</f>
        <v>47|A|U</v>
      </c>
      <c r="G1468" s="45" t="n">
        <f aca="false">INDEX('Transition Stepwise'!$J$2:$J$1137,MATCH(F1468,'Transition Stepwise'!$E$2:$E$1137,0))</f>
        <v>0.166666666666667</v>
      </c>
      <c r="H1468" s="45" t="n">
        <f aca="false">INDEX(Background!$D$12:$D$27,MATCH(C1468&amp;D1468,Background!$E$12:$E$27,0))</f>
        <v>0.194530046224961</v>
      </c>
      <c r="I1468" s="49" t="n">
        <f aca="false">LN(G1468/H1468)</f>
        <v>-0.154590820679434</v>
      </c>
    </row>
    <row r="1469" customFormat="false" ht="15" hidden="false" customHeight="true" outlineLevel="0" collapsed="false">
      <c r="A1469" s="38" t="s">
        <v>859</v>
      </c>
      <c r="B1469" s="38" t="n">
        <v>48</v>
      </c>
      <c r="C1469" s="38" t="s">
        <v>171</v>
      </c>
      <c r="D1469" s="38" t="s">
        <v>170</v>
      </c>
      <c r="E1469" s="38" t="s">
        <v>875</v>
      </c>
      <c r="F1469" s="38" t="str">
        <f aca="false">B1469&amp;"|"&amp;C1469&amp;"|"&amp;D1469</f>
        <v>48|U|C</v>
      </c>
      <c r="G1469" s="45" t="n">
        <f aca="false">INDEX('Transition Stepwise'!$J$2:$J$1137,MATCH(F1469,'Transition Stepwise'!$E$2:$E$1137,0))</f>
        <v>0.151515151515152</v>
      </c>
      <c r="H1469" s="45" t="n">
        <f aca="false">INDEX(Background!$D$12:$D$27,MATCH(C1469&amp;D1469,Background!$E$12:$E$27,0))</f>
        <v>0.377251501000667</v>
      </c>
      <c r="I1469" s="49" t="n">
        <f aca="false">LN(G1469/H1469)</f>
        <v>-0.912226446485957</v>
      </c>
    </row>
    <row r="1470" customFormat="false" ht="15" hidden="false" customHeight="true" outlineLevel="0" collapsed="false">
      <c r="A1470" s="38" t="s">
        <v>859</v>
      </c>
      <c r="B1470" s="38" t="n">
        <v>49</v>
      </c>
      <c r="C1470" s="38" t="s">
        <v>170</v>
      </c>
      <c r="D1470" s="38" t="s">
        <v>171</v>
      </c>
      <c r="E1470" s="38" t="s">
        <v>875</v>
      </c>
      <c r="F1470" s="38" t="str">
        <f aca="false">B1470&amp;"|"&amp;C1470&amp;"|"&amp;D1470</f>
        <v>49|C|U</v>
      </c>
      <c r="G1470" s="45" t="n">
        <f aca="false">INDEX('Transition Stepwise'!$J$2:$J$1137,MATCH(F1470,'Transition Stepwise'!$E$2:$E$1137,0))</f>
        <v>0.147540983606557</v>
      </c>
      <c r="H1470" s="45" t="n">
        <f aca="false">INDEX(Background!$D$12:$D$27,MATCH(C1470&amp;D1470,Background!$E$12:$E$27,0))</f>
        <v>0.196466244725738</v>
      </c>
      <c r="I1470" s="49" t="n">
        <f aca="false">LN(G1470/H1470)</f>
        <v>-0.286384641841739</v>
      </c>
    </row>
    <row r="1471" customFormat="false" ht="15" hidden="false" customHeight="true" outlineLevel="0" collapsed="false">
      <c r="A1471" s="38" t="s">
        <v>859</v>
      </c>
      <c r="B1471" s="38" t="n">
        <v>50</v>
      </c>
      <c r="C1471" s="38" t="s">
        <v>171</v>
      </c>
      <c r="D1471" s="38" t="s">
        <v>171</v>
      </c>
      <c r="E1471" s="38" t="s">
        <v>875</v>
      </c>
      <c r="F1471" s="38" t="str">
        <f aca="false">B1471&amp;"|"&amp;C1471&amp;"|"&amp;D1471</f>
        <v>50|U|U</v>
      </c>
      <c r="G1471" s="45" t="n">
        <f aca="false">INDEX('Transition Stepwise'!$J$2:$J$1137,MATCH(F1471,'Transition Stepwise'!$E$2:$E$1137,0))</f>
        <v>0.128205128205128</v>
      </c>
      <c r="H1471" s="45" t="n">
        <f aca="false">INDEX(Background!$D$12:$D$27,MATCH(C1471&amp;D1471,Background!$E$12:$E$27,0))</f>
        <v>0.220480320213476</v>
      </c>
      <c r="I1471" s="49" t="n">
        <f aca="false">LN(G1471/H1471)</f>
        <v>-0.542176894884689</v>
      </c>
    </row>
    <row r="1472" customFormat="false" ht="15" hidden="false" customHeight="true" outlineLevel="0" collapsed="false">
      <c r="A1472" s="38" t="s">
        <v>859</v>
      </c>
      <c r="B1472" s="38" t="n">
        <v>51</v>
      </c>
      <c r="C1472" s="38" t="s">
        <v>171</v>
      </c>
      <c r="D1472" s="38" t="s">
        <v>171</v>
      </c>
      <c r="E1472" s="38" t="s">
        <v>875</v>
      </c>
      <c r="F1472" s="38" t="str">
        <f aca="false">B1472&amp;"|"&amp;C1472&amp;"|"&amp;D1472</f>
        <v>51|U|U</v>
      </c>
      <c r="G1472" s="45" t="n">
        <f aca="false">INDEX('Transition Stepwise'!$J$2:$J$1137,MATCH(F1472,'Transition Stepwise'!$E$2:$E$1137,0))</f>
        <v>0.0588235294117647</v>
      </c>
      <c r="H1472" s="45" t="n">
        <f aca="false">INDEX(Background!$D$12:$D$27,MATCH(C1472&amp;D1472,Background!$E$12:$E$27,0))</f>
        <v>0.220480320213476</v>
      </c>
      <c r="I1472" s="49" t="n">
        <f aca="false">LN(G1472/H1472)</f>
        <v>-1.32126650524536</v>
      </c>
    </row>
    <row r="1473" customFormat="false" ht="15" hidden="false" customHeight="true" outlineLevel="0" collapsed="false">
      <c r="A1473" s="38" t="s">
        <v>859</v>
      </c>
      <c r="B1473" s="38" t="n">
        <v>52</v>
      </c>
      <c r="C1473" s="38" t="s">
        <v>171</v>
      </c>
      <c r="D1473" s="38" t="s">
        <v>169</v>
      </c>
      <c r="E1473" s="38" t="s">
        <v>875</v>
      </c>
      <c r="F1473" s="38" t="str">
        <f aca="false">B1473&amp;"|"&amp;C1473&amp;"|"&amp;D1473</f>
        <v>52|U|G</v>
      </c>
      <c r="G1473" s="45" t="n">
        <f aca="false">INDEX('Transition Stepwise'!$J$2:$J$1137,MATCH(F1473,'Transition Stepwise'!$E$2:$E$1137,0))</f>
        <v>0.5</v>
      </c>
      <c r="H1473" s="45" t="n">
        <f aca="false">INDEX(Background!$D$12:$D$27,MATCH(C1473&amp;D1473,Background!$E$12:$E$27,0))</f>
        <v>0.221480987324883</v>
      </c>
      <c r="I1473" s="49" t="n">
        <f aca="false">LN(G1473/H1473)</f>
        <v>0.814271348626164</v>
      </c>
    </row>
    <row r="1474" customFormat="false" ht="15" hidden="false" customHeight="true" outlineLevel="0" collapsed="false">
      <c r="A1474" s="38" t="s">
        <v>859</v>
      </c>
      <c r="B1474" s="38" t="n">
        <v>53</v>
      </c>
      <c r="C1474" s="38" t="s">
        <v>169</v>
      </c>
      <c r="D1474" s="38" t="s">
        <v>171</v>
      </c>
      <c r="E1474" s="38" t="s">
        <v>875</v>
      </c>
      <c r="F1474" s="38" t="str">
        <f aca="false">B1474&amp;"|"&amp;C1474&amp;"|"&amp;D1474</f>
        <v>53|G|U</v>
      </c>
      <c r="G1474" s="45" t="n">
        <f aca="false">INDEX('Transition Stepwise'!$J$2:$J$1137,MATCH(F1474,'Transition Stepwise'!$E$2:$E$1137,0))</f>
        <v>0.974874371859297</v>
      </c>
      <c r="H1474" s="45" t="n">
        <f aca="false">INDEX(Background!$D$12:$D$27,MATCH(C1474&amp;D1474,Background!$E$12:$E$27,0))</f>
        <v>0.234763476347635</v>
      </c>
      <c r="I1474" s="49" t="n">
        <f aca="false">LN(G1474/H1474)</f>
        <v>1.42373008964866</v>
      </c>
    </row>
    <row r="1475" customFormat="false" ht="15" hidden="false" customHeight="true" outlineLevel="0" collapsed="false">
      <c r="A1475" s="38" t="s">
        <v>859</v>
      </c>
      <c r="B1475" s="38" t="n">
        <v>54</v>
      </c>
      <c r="C1475" s="38" t="s">
        <v>171</v>
      </c>
      <c r="D1475" s="38" t="s">
        <v>170</v>
      </c>
      <c r="E1475" s="38" t="s">
        <v>875</v>
      </c>
      <c r="F1475" s="38" t="str">
        <f aca="false">B1475&amp;"|"&amp;C1475&amp;"|"&amp;D1475</f>
        <v>54|U|C</v>
      </c>
      <c r="G1475" s="45" t="n">
        <f aca="false">INDEX('Transition Stepwise'!$J$2:$J$1137,MATCH(F1475,'Transition Stepwise'!$E$2:$E$1137,0))</f>
        <v>0.00995024875621891</v>
      </c>
      <c r="H1475" s="45" t="n">
        <f aca="false">INDEX(Background!$D$12:$D$27,MATCH(C1475&amp;D1475,Background!$E$12:$E$27,0))</f>
        <v>0.377251501000667</v>
      </c>
      <c r="I1475" s="49" t="n">
        <f aca="false">LN(G1475/H1475)</f>
        <v>-3.63531452495271</v>
      </c>
    </row>
    <row r="1476" customFormat="false" ht="15" hidden="false" customHeight="true" outlineLevel="0" collapsed="false">
      <c r="A1476" s="38" t="s">
        <v>859</v>
      </c>
      <c r="B1476" s="38" t="n">
        <v>55</v>
      </c>
      <c r="C1476" s="38" t="s">
        <v>170</v>
      </c>
      <c r="D1476" s="38" t="s">
        <v>170</v>
      </c>
      <c r="E1476" s="38" t="s">
        <v>875</v>
      </c>
      <c r="F1476" s="38" t="str">
        <f aca="false">B1476&amp;"|"&amp;C1476&amp;"|"&amp;D1476</f>
        <v>55|C|C</v>
      </c>
      <c r="G1476" s="45" t="n">
        <f aca="false">INDEX('Transition Stepwise'!$J$2:$J$1137,MATCH(F1476,'Transition Stepwise'!$E$2:$E$1137,0))</f>
        <v>0.2</v>
      </c>
      <c r="H1476" s="45" t="n">
        <f aca="false">INDEX(Background!$D$12:$D$27,MATCH(C1476&amp;D1476,Background!$E$12:$E$27,0))</f>
        <v>0.312236286919831</v>
      </c>
      <c r="I1476" s="49" t="n">
        <f aca="false">LN(G1476/H1476)</f>
        <v>-0.445442864503139</v>
      </c>
    </row>
    <row r="1477" customFormat="false" ht="15" hidden="false" customHeight="true" outlineLevel="0" collapsed="false">
      <c r="A1477" s="38" t="s">
        <v>859</v>
      </c>
      <c r="B1477" s="38" t="n">
        <v>56</v>
      </c>
      <c r="C1477" s="38" t="s">
        <v>170</v>
      </c>
      <c r="D1477" s="38" t="s">
        <v>169</v>
      </c>
      <c r="E1477" s="38" t="s">
        <v>875</v>
      </c>
      <c r="F1477" s="38" t="str">
        <f aca="false">B1477&amp;"|"&amp;C1477&amp;"|"&amp;D1477</f>
        <v>56|C|G</v>
      </c>
      <c r="G1477" s="45" t="n">
        <f aca="false">INDEX('Transition Stepwise'!$J$2:$J$1137,MATCH(F1477,'Transition Stepwise'!$E$2:$E$1137,0))</f>
        <v>0.608040201005025</v>
      </c>
      <c r="H1477" s="45" t="n">
        <f aca="false">INDEX(Background!$D$12:$D$27,MATCH(C1477&amp;D1477,Background!$E$12:$E$27,0))</f>
        <v>0.296413502109705</v>
      </c>
      <c r="I1477" s="49" t="n">
        <f aca="false">LN(G1477/H1477)</f>
        <v>0.718485553793525</v>
      </c>
    </row>
    <row r="1478" customFormat="false" ht="15" hidden="false" customHeight="true" outlineLevel="0" collapsed="false">
      <c r="A1478" s="38" t="s">
        <v>859</v>
      </c>
      <c r="B1478" s="38" t="n">
        <v>57</v>
      </c>
      <c r="C1478" s="38" t="s">
        <v>169</v>
      </c>
      <c r="D1478" s="38" t="s">
        <v>172</v>
      </c>
      <c r="E1478" s="38" t="s">
        <v>875</v>
      </c>
      <c r="F1478" s="38" t="str">
        <f aca="false">B1478&amp;"|"&amp;C1478&amp;"|"&amp;D1478</f>
        <v>57|G|A</v>
      </c>
      <c r="G1478" s="45" t="n">
        <f aca="false">INDEX('Transition Stepwise'!$J$2:$J$1137,MATCH(F1478,'Transition Stepwise'!$E$2:$E$1137,0))</f>
        <v>0.976</v>
      </c>
      <c r="H1478" s="45" t="n">
        <f aca="false">INDEX(Background!$D$12:$D$27,MATCH(C1478&amp;D1478,Background!$E$12:$E$27,0))</f>
        <v>0.164356435643564</v>
      </c>
      <c r="I1478" s="49" t="n">
        <f aca="false">LN(G1478/H1478)</f>
        <v>1.78142512890972</v>
      </c>
    </row>
    <row r="1479" customFormat="false" ht="15" hidden="false" customHeight="true" outlineLevel="0" collapsed="false">
      <c r="A1479" s="38" t="s">
        <v>859</v>
      </c>
      <c r="B1479" s="38" t="n">
        <v>58</v>
      </c>
      <c r="C1479" s="38" t="s">
        <v>172</v>
      </c>
      <c r="D1479" s="38" t="s">
        <v>171</v>
      </c>
      <c r="E1479" s="38" t="s">
        <v>875</v>
      </c>
      <c r="F1479" s="38" t="str">
        <f aca="false">B1479&amp;"|"&amp;C1479&amp;"|"&amp;D1479</f>
        <v>58|A|U</v>
      </c>
      <c r="G1479" s="45" t="n">
        <f aca="false">INDEX('Transition Stepwise'!$J$2:$J$1137,MATCH(F1479,'Transition Stepwise'!$E$2:$E$1137,0))</f>
        <v>0.253731343283582</v>
      </c>
      <c r="H1479" s="45" t="n">
        <f aca="false">INDEX(Background!$D$12:$D$27,MATCH(C1479&amp;D1479,Background!$E$12:$E$27,0))</f>
        <v>0.194530046224961</v>
      </c>
      <c r="I1479" s="49" t="n">
        <f aca="false">LN(G1479/H1479)</f>
        <v>0.265689373213871</v>
      </c>
    </row>
    <row r="1480" customFormat="false" ht="15" hidden="false" customHeight="true" outlineLevel="0" collapsed="false">
      <c r="A1480" s="38" t="s">
        <v>859</v>
      </c>
      <c r="B1480" s="38" t="n">
        <v>59</v>
      </c>
      <c r="C1480" s="38" t="s">
        <v>171</v>
      </c>
      <c r="D1480" s="38" t="s">
        <v>170</v>
      </c>
      <c r="E1480" s="38" t="s">
        <v>875</v>
      </c>
      <c r="F1480" s="38" t="str">
        <f aca="false">B1480&amp;"|"&amp;C1480&amp;"|"&amp;D1480</f>
        <v>59|U|C</v>
      </c>
      <c r="G1480" s="45" t="n">
        <f aca="false">INDEX('Transition Stepwise'!$J$2:$J$1137,MATCH(F1480,'Transition Stepwise'!$E$2:$E$1137,0))</f>
        <v>0.425925925925926</v>
      </c>
      <c r="H1480" s="45" t="n">
        <f aca="false">INDEX(Background!$D$12:$D$27,MATCH(C1480&amp;D1480,Background!$E$12:$E$27,0))</f>
        <v>0.377251501000667</v>
      </c>
      <c r="I1480" s="49" t="n">
        <f aca="false">LN(G1480/H1480)</f>
        <v>0.121353371911298</v>
      </c>
    </row>
    <row r="1481" customFormat="false" ht="15" hidden="false" customHeight="true" outlineLevel="0" collapsed="false">
      <c r="A1481" s="38" t="s">
        <v>859</v>
      </c>
      <c r="B1481" s="38" t="n">
        <v>60</v>
      </c>
      <c r="C1481" s="38" t="s">
        <v>170</v>
      </c>
      <c r="D1481" s="38" t="s">
        <v>170</v>
      </c>
      <c r="E1481" s="38" t="s">
        <v>875</v>
      </c>
      <c r="F1481" s="38" t="str">
        <f aca="false">B1481&amp;"|"&amp;C1481&amp;"|"&amp;D1481</f>
        <v>60|C|C</v>
      </c>
      <c r="G1481" s="45" t="n">
        <f aca="false">INDEX('Transition Stepwise'!$J$2:$J$1137,MATCH(F1481,'Transition Stepwise'!$E$2:$E$1137,0))</f>
        <v>0.931818181818182</v>
      </c>
      <c r="H1481" s="45" t="n">
        <f aca="false">INDEX(Background!$D$12:$D$27,MATCH(C1481&amp;D1481,Background!$E$12:$E$27,0))</f>
        <v>0.312236286919831</v>
      </c>
      <c r="I1481" s="49" t="n">
        <f aca="false">LN(G1481/H1481)</f>
        <v>1.09337748071701</v>
      </c>
    </row>
    <row r="1482" customFormat="false" ht="15" hidden="false" customHeight="true" outlineLevel="0" collapsed="false">
      <c r="A1482" s="38" t="s">
        <v>859</v>
      </c>
      <c r="B1482" s="38" t="n">
        <v>61</v>
      </c>
      <c r="C1482" s="38" t="s">
        <v>170</v>
      </c>
      <c r="D1482" s="38" t="s">
        <v>170</v>
      </c>
      <c r="E1482" s="38" t="s">
        <v>875</v>
      </c>
      <c r="F1482" s="38" t="str">
        <f aca="false">B1482&amp;"|"&amp;C1482&amp;"|"&amp;D1482</f>
        <v>61|C|C</v>
      </c>
      <c r="G1482" s="45" t="n">
        <f aca="false">INDEX('Transition Stepwise'!$J$2:$J$1137,MATCH(F1482,'Transition Stepwise'!$E$2:$E$1137,0))</f>
        <v>0.835820895522388</v>
      </c>
      <c r="H1482" s="45" t="n">
        <f aca="false">INDEX(Background!$D$12:$D$27,MATCH(C1482&amp;D1482,Background!$E$12:$E$27,0))</f>
        <v>0.312236286919831</v>
      </c>
      <c r="I1482" s="49" t="n">
        <f aca="false">LN(G1482/H1482)</f>
        <v>0.984654119275145</v>
      </c>
    </row>
    <row r="1483" customFormat="false" ht="15" hidden="false" customHeight="true" outlineLevel="0" collapsed="false">
      <c r="A1483" s="38" t="s">
        <v>859</v>
      </c>
      <c r="B1483" s="38" t="n">
        <v>62</v>
      </c>
      <c r="C1483" s="38" t="s">
        <v>170</v>
      </c>
      <c r="D1483" s="38" t="s">
        <v>172</v>
      </c>
      <c r="E1483" s="38" t="s">
        <v>875</v>
      </c>
      <c r="F1483" s="38" t="str">
        <f aca="false">B1483&amp;"|"&amp;C1483&amp;"|"&amp;D1483</f>
        <v>62|C|A</v>
      </c>
      <c r="G1483" s="45" t="n">
        <f aca="false">INDEX('Transition Stepwise'!$J$2:$J$1137,MATCH(F1483,'Transition Stepwise'!$E$2:$E$1137,0))</f>
        <v>0.122093023255814</v>
      </c>
      <c r="H1483" s="45" t="n">
        <f aca="false">INDEX(Background!$D$12:$D$27,MATCH(C1483&amp;D1483,Background!$E$12:$E$27,0))</f>
        <v>0.194883966244726</v>
      </c>
      <c r="I1483" s="49" t="n">
        <f aca="false">LN(G1483/H1483)</f>
        <v>-0.467621096663319</v>
      </c>
    </row>
    <row r="1484" customFormat="false" ht="15" hidden="false" customHeight="true" outlineLevel="0" collapsed="false">
      <c r="A1484" s="38" t="s">
        <v>859</v>
      </c>
      <c r="B1484" s="38" t="n">
        <v>63</v>
      </c>
      <c r="C1484" s="38" t="s">
        <v>172</v>
      </c>
      <c r="D1484" s="38" t="s">
        <v>169</v>
      </c>
      <c r="E1484" s="38" t="s">
        <v>875</v>
      </c>
      <c r="F1484" s="38" t="str">
        <f aca="false">B1484&amp;"|"&amp;C1484&amp;"|"&amp;D1484</f>
        <v>63|A|G</v>
      </c>
      <c r="G1484" s="45" t="n">
        <f aca="false">INDEX('Transition Stepwise'!$J$2:$J$1137,MATCH(F1484,'Transition Stepwise'!$E$2:$E$1137,0))</f>
        <v>0.384615384615385</v>
      </c>
      <c r="H1484" s="45" t="n">
        <f aca="false">INDEX(Background!$D$12:$D$27,MATCH(C1484&amp;D1484,Background!$E$12:$E$27,0))</f>
        <v>0.424884437596302</v>
      </c>
      <c r="I1484" s="49" t="n">
        <f aca="false">LN(G1484/H1484)</f>
        <v>-0.0995733864569581</v>
      </c>
    </row>
    <row r="1485" customFormat="false" ht="15" hidden="false" customHeight="true" outlineLevel="0" collapsed="false">
      <c r="A1485" s="38" t="s">
        <v>859</v>
      </c>
      <c r="B1485" s="38" t="n">
        <v>64</v>
      </c>
      <c r="C1485" s="38" t="s">
        <v>169</v>
      </c>
      <c r="D1485" s="38" t="s">
        <v>169</v>
      </c>
      <c r="E1485" s="38" t="s">
        <v>875</v>
      </c>
      <c r="F1485" s="38" t="str">
        <f aca="false">B1485&amp;"|"&amp;C1485&amp;"|"&amp;D1485</f>
        <v>64|G|G</v>
      </c>
      <c r="G1485" s="45" t="n">
        <f aca="false">INDEX('Transition Stepwise'!$J$2:$J$1137,MATCH(F1485,'Transition Stepwise'!$E$2:$E$1137,0))</f>
        <v>0.395833333333333</v>
      </c>
      <c r="H1485" s="45" t="n">
        <f aca="false">INDEX(Background!$D$12:$D$27,MATCH(C1485&amp;D1485,Background!$E$12:$E$27,0))</f>
        <v>0.344774477447745</v>
      </c>
      <c r="I1485" s="49" t="n">
        <f aca="false">LN(G1485/H1485)</f>
        <v>0.138102732514108</v>
      </c>
    </row>
    <row r="1486" customFormat="false" ht="15" hidden="false" customHeight="true" outlineLevel="0" collapsed="false">
      <c r="A1486" s="38" t="s">
        <v>859</v>
      </c>
      <c r="B1486" s="38" t="n">
        <v>65</v>
      </c>
      <c r="C1486" s="38" t="s">
        <v>169</v>
      </c>
      <c r="D1486" s="38" t="s">
        <v>171</v>
      </c>
      <c r="E1486" s="38" t="s">
        <v>875</v>
      </c>
      <c r="F1486" s="38" t="str">
        <f aca="false">B1486&amp;"|"&amp;C1486&amp;"|"&amp;D1486</f>
        <v>65|G|U</v>
      </c>
      <c r="G1486" s="45" t="n">
        <f aca="false">INDEX('Transition Stepwise'!$J$2:$J$1137,MATCH(F1486,'Transition Stepwise'!$E$2:$E$1137,0))</f>
        <v>0.295081967213115</v>
      </c>
      <c r="H1486" s="45" t="n">
        <f aca="false">INDEX(Background!$D$12:$D$27,MATCH(C1486&amp;D1486,Background!$E$12:$E$27,0))</f>
        <v>0.234763476347635</v>
      </c>
      <c r="I1486" s="49" t="n">
        <f aca="false">LN(G1486/H1486)</f>
        <v>0.228674649032679</v>
      </c>
    </row>
    <row r="1487" customFormat="false" ht="15" hidden="false" customHeight="true" outlineLevel="0" collapsed="false">
      <c r="A1487" s="38" t="s">
        <v>859</v>
      </c>
      <c r="B1487" s="38" t="n">
        <v>66</v>
      </c>
      <c r="C1487" s="38" t="s">
        <v>171</v>
      </c>
      <c r="D1487" s="38" t="s">
        <v>171</v>
      </c>
      <c r="E1487" s="38" t="s">
        <v>875</v>
      </c>
      <c r="F1487" s="38" t="str">
        <f aca="false">B1487&amp;"|"&amp;C1487&amp;"|"&amp;D1487</f>
        <v>66|U|U</v>
      </c>
      <c r="G1487" s="45" t="n">
        <f aca="false">INDEX('Transition Stepwise'!$J$2:$J$1137,MATCH(F1487,'Transition Stepwise'!$E$2:$E$1137,0))</f>
        <v>0.226415094339623</v>
      </c>
      <c r="H1487" s="45" t="n">
        <f aca="false">INDEX(Background!$D$12:$D$27,MATCH(C1487&amp;D1487,Background!$E$12:$E$27,0))</f>
        <v>0.220480320213476</v>
      </c>
      <c r="I1487" s="49" t="n">
        <f aca="false">LN(G1487/H1487)</f>
        <v>0.0265615750467352</v>
      </c>
    </row>
    <row r="1488" customFormat="false" ht="15" hidden="false" customHeight="true" outlineLevel="0" collapsed="false">
      <c r="A1488" s="38" t="s">
        <v>859</v>
      </c>
      <c r="B1488" s="38" t="n">
        <v>67</v>
      </c>
      <c r="C1488" s="38" t="s">
        <v>171</v>
      </c>
      <c r="D1488" s="38" t="s">
        <v>171</v>
      </c>
      <c r="E1488" s="38" t="s">
        <v>875</v>
      </c>
      <c r="F1488" s="38" t="str">
        <f aca="false">B1488&amp;"|"&amp;C1488&amp;"|"&amp;D1488</f>
        <v>67|U|U</v>
      </c>
      <c r="G1488" s="45" t="n">
        <f aca="false">INDEX('Transition Stepwise'!$J$2:$J$1137,MATCH(F1488,'Transition Stepwise'!$E$2:$E$1137,0))</f>
        <v>0.238095238095238</v>
      </c>
      <c r="H1488" s="45" t="n">
        <f aca="false">INDEX(Background!$D$12:$D$27,MATCH(C1488&amp;D1488,Background!$E$12:$E$27,0))</f>
        <v>0.220480320213476</v>
      </c>
      <c r="I1488" s="49" t="n">
        <f aca="false">LN(G1488/H1488)</f>
        <v>0.076862313521534</v>
      </c>
    </row>
    <row r="1489" customFormat="false" ht="15" hidden="false" customHeight="true" outlineLevel="0" collapsed="false">
      <c r="A1489" s="38" t="s">
        <v>859</v>
      </c>
      <c r="B1489" s="38" t="n">
        <v>68</v>
      </c>
      <c r="C1489" s="38" t="s">
        <v>171</v>
      </c>
      <c r="D1489" s="38" t="s">
        <v>171</v>
      </c>
      <c r="E1489" s="38" t="s">
        <v>875</v>
      </c>
      <c r="F1489" s="38" t="str">
        <f aca="false">B1489&amp;"|"&amp;C1489&amp;"|"&amp;D1489</f>
        <v>68|U|U</v>
      </c>
      <c r="G1489" s="45" t="n">
        <f aca="false">INDEX('Transition Stepwise'!$J$2:$J$1137,MATCH(F1489,'Transition Stepwise'!$E$2:$E$1137,0))</f>
        <v>0.153846153846154</v>
      </c>
      <c r="H1489" s="45" t="n">
        <f aca="false">INDEX(Background!$D$12:$D$27,MATCH(C1489&amp;D1489,Background!$E$12:$E$27,0))</f>
        <v>0.220480320213476</v>
      </c>
      <c r="I1489" s="49" t="n">
        <f aca="false">LN(G1489/H1489)</f>
        <v>-0.359855338090735</v>
      </c>
    </row>
    <row r="1490" customFormat="false" ht="15" hidden="false" customHeight="true" outlineLevel="0" collapsed="false">
      <c r="A1490" s="38" t="s">
        <v>859</v>
      </c>
      <c r="B1490" s="38" t="n">
        <v>69</v>
      </c>
      <c r="C1490" s="38" t="s">
        <v>171</v>
      </c>
      <c r="D1490" s="38" t="s">
        <v>169</v>
      </c>
      <c r="E1490" s="38" t="s">
        <v>875</v>
      </c>
      <c r="F1490" s="38" t="str">
        <f aca="false">B1490&amp;"|"&amp;C1490&amp;"|"&amp;D1490</f>
        <v>69|U|G</v>
      </c>
      <c r="G1490" s="45" t="n">
        <f aca="false">INDEX('Transition Stepwise'!$J$2:$J$1137,MATCH(F1490,'Transition Stepwise'!$E$2:$E$1137,0))</f>
        <v>0.35</v>
      </c>
      <c r="H1490" s="45" t="n">
        <f aca="false">INDEX(Background!$D$12:$D$27,MATCH(C1490&amp;D1490,Background!$E$12:$E$27,0))</f>
        <v>0.221480987324883</v>
      </c>
      <c r="I1490" s="49" t="n">
        <f aca="false">LN(G1490/H1490)</f>
        <v>0.457596404687431</v>
      </c>
    </row>
    <row r="1491" customFormat="false" ht="15" hidden="false" customHeight="true" outlineLevel="0" collapsed="false">
      <c r="A1491" s="38" t="s">
        <v>859</v>
      </c>
      <c r="B1491" s="38" t="n">
        <v>70</v>
      </c>
      <c r="C1491" s="38" t="s">
        <v>169</v>
      </c>
      <c r="D1491" s="38" t="s">
        <v>171</v>
      </c>
      <c r="E1491" s="38" t="s">
        <v>875</v>
      </c>
      <c r="F1491" s="38" t="str">
        <f aca="false">B1491&amp;"|"&amp;C1491&amp;"|"&amp;D1491</f>
        <v>70|G|U</v>
      </c>
      <c r="G1491" s="45" t="n">
        <f aca="false">INDEX('Transition Stepwise'!$J$2:$J$1137,MATCH(F1491,'Transition Stepwise'!$E$2:$E$1137,0))</f>
        <v>0.0886075949367089</v>
      </c>
      <c r="H1491" s="45" t="n">
        <f aca="false">INDEX(Background!$D$12:$D$27,MATCH(C1491&amp;D1491,Background!$E$12:$E$27,0))</f>
        <v>0.234763476347635</v>
      </c>
      <c r="I1491" s="49" t="n">
        <f aca="false">LN(G1491/H1491)</f>
        <v>-0.974360948101882</v>
      </c>
    </row>
    <row r="1492" customFormat="false" ht="15" hidden="false" customHeight="true" outlineLevel="0" collapsed="false">
      <c r="A1492" s="38" t="s">
        <v>859</v>
      </c>
      <c r="B1492" s="38" t="n">
        <v>71</v>
      </c>
      <c r="C1492" s="38" t="s">
        <v>171</v>
      </c>
      <c r="D1492" s="38" t="s">
        <v>171</v>
      </c>
      <c r="E1492" s="38" t="s">
        <v>875</v>
      </c>
      <c r="F1492" s="38" t="str">
        <f aca="false">B1492&amp;"|"&amp;C1492&amp;"|"&amp;D1492</f>
        <v>71|U|U</v>
      </c>
      <c r="G1492" s="45" t="n">
        <f aca="false">INDEX('Transition Stepwise'!$J$2:$J$1137,MATCH(F1492,'Transition Stepwise'!$E$2:$E$1137,0))</f>
        <v>0.0769230769230769</v>
      </c>
      <c r="H1492" s="45" t="n">
        <f aca="false">INDEX(Background!$D$12:$D$27,MATCH(C1492&amp;D1492,Background!$E$12:$E$27,0))</f>
        <v>0.220480320213476</v>
      </c>
      <c r="I1492" s="49" t="n">
        <f aca="false">LN(G1492/H1492)</f>
        <v>-1.05300251865068</v>
      </c>
    </row>
    <row r="1493" customFormat="false" ht="15" hidden="false" customHeight="true" outlineLevel="0" collapsed="false">
      <c r="A1493" s="38" t="s">
        <v>860</v>
      </c>
      <c r="B1493" s="38" t="n">
        <v>1</v>
      </c>
      <c r="C1493" s="38" t="s">
        <v>172</v>
      </c>
      <c r="D1493" s="38" t="s">
        <v>172</v>
      </c>
      <c r="E1493" s="38" t="s">
        <v>875</v>
      </c>
      <c r="F1493" s="38" t="str">
        <f aca="false">B1493&amp;"|"&amp;C1493&amp;"|"&amp;D1493</f>
        <v>1|A|A</v>
      </c>
      <c r="G1493" s="45" t="n">
        <f aca="false">INDEX('Transition Stepwise'!$J$2:$J$1137,MATCH(F1493,'Transition Stepwise'!$E$2:$E$1137,0))</f>
        <v>0.0588235294117647</v>
      </c>
      <c r="H1493" s="45" t="n">
        <f aca="false">INDEX(Background!$D$12:$D$27,MATCH(C1493&amp;D1493,Background!$E$12:$E$27,0))</f>
        <v>0.219568567026194</v>
      </c>
      <c r="I1493" s="49" t="n">
        <f aca="false">LN(G1493/H1493)</f>
        <v>-1.31712262706083</v>
      </c>
    </row>
    <row r="1494" customFormat="false" ht="15" hidden="false" customHeight="true" outlineLevel="0" collapsed="false">
      <c r="A1494" s="38" t="s">
        <v>860</v>
      </c>
      <c r="B1494" s="38" t="n">
        <v>2</v>
      </c>
      <c r="C1494" s="38" t="s">
        <v>172</v>
      </c>
      <c r="D1494" s="38" t="s">
        <v>171</v>
      </c>
      <c r="E1494" s="38" t="s">
        <v>875</v>
      </c>
      <c r="F1494" s="38" t="str">
        <f aca="false">B1494&amp;"|"&amp;C1494&amp;"|"&amp;D1494</f>
        <v>2|A|U</v>
      </c>
      <c r="G1494" s="45" t="n">
        <f aca="false">INDEX('Transition Stepwise'!$J$2:$J$1137,MATCH(F1494,'Transition Stepwise'!$E$2:$E$1137,0))</f>
        <v>0.1</v>
      </c>
      <c r="H1494" s="45" t="n">
        <f aca="false">INDEX(Background!$D$12:$D$27,MATCH(C1494&amp;D1494,Background!$E$12:$E$27,0))</f>
        <v>0.194530046224961</v>
      </c>
      <c r="I1494" s="49" t="n">
        <f aca="false">LN(G1494/H1494)</f>
        <v>-0.665416444445425</v>
      </c>
    </row>
    <row r="1495" customFormat="false" ht="15" hidden="false" customHeight="true" outlineLevel="0" collapsed="false">
      <c r="A1495" s="38" t="s">
        <v>860</v>
      </c>
      <c r="B1495" s="38" t="n">
        <v>3</v>
      </c>
      <c r="C1495" s="38" t="s">
        <v>171</v>
      </c>
      <c r="D1495" s="38" t="s">
        <v>171</v>
      </c>
      <c r="E1495" s="38" t="s">
        <v>875</v>
      </c>
      <c r="F1495" s="38" t="str">
        <f aca="false">B1495&amp;"|"&amp;C1495&amp;"|"&amp;D1495</f>
        <v>3|U|U</v>
      </c>
      <c r="G1495" s="45" t="n">
        <f aca="false">INDEX('Transition Stepwise'!$J$2:$J$1137,MATCH(F1495,'Transition Stepwise'!$E$2:$E$1137,0))</f>
        <v>0.259259259259259</v>
      </c>
      <c r="H1495" s="45" t="n">
        <f aca="false">INDEX(Background!$D$12:$D$27,MATCH(C1495&amp;D1495,Background!$E$12:$E$27,0))</f>
        <v>0.220480320213476</v>
      </c>
      <c r="I1495" s="49" t="n">
        <f aca="false">LN(G1495/H1495)</f>
        <v>0.162020121861841</v>
      </c>
    </row>
    <row r="1496" customFormat="false" ht="15" hidden="false" customHeight="true" outlineLevel="0" collapsed="false">
      <c r="A1496" s="38" t="s">
        <v>860</v>
      </c>
      <c r="B1496" s="38" t="n">
        <v>4</v>
      </c>
      <c r="C1496" s="38" t="s">
        <v>171</v>
      </c>
      <c r="D1496" s="38" t="s">
        <v>170</v>
      </c>
      <c r="E1496" s="38" t="s">
        <v>875</v>
      </c>
      <c r="F1496" s="38" t="str">
        <f aca="false">B1496&amp;"|"&amp;C1496&amp;"|"&amp;D1496</f>
        <v>4|U|C</v>
      </c>
      <c r="G1496" s="45" t="n">
        <f aca="false">INDEX('Transition Stepwise'!$J$2:$J$1137,MATCH(F1496,'Transition Stepwise'!$E$2:$E$1137,0))</f>
        <v>0.5</v>
      </c>
      <c r="H1496" s="45" t="n">
        <f aca="false">INDEX(Background!$D$12:$D$27,MATCH(C1496&amp;D1496,Background!$E$12:$E$27,0))</f>
        <v>0.377251501000667</v>
      </c>
      <c r="I1496" s="49" t="n">
        <f aca="false">LN(G1496/H1496)</f>
        <v>0.281696021986477</v>
      </c>
    </row>
    <row r="1497" customFormat="false" ht="15" hidden="false" customHeight="true" outlineLevel="0" collapsed="false">
      <c r="A1497" s="38" t="s">
        <v>860</v>
      </c>
      <c r="B1497" s="38" t="n">
        <v>5</v>
      </c>
      <c r="C1497" s="38" t="s">
        <v>170</v>
      </c>
      <c r="D1497" s="38" t="s">
        <v>172</v>
      </c>
      <c r="E1497" s="38" t="s">
        <v>875</v>
      </c>
      <c r="F1497" s="38" t="str">
        <f aca="false">B1497&amp;"|"&amp;C1497&amp;"|"&amp;D1497</f>
        <v>5|C|A</v>
      </c>
      <c r="G1497" s="45" t="n">
        <f aca="false">INDEX('Transition Stepwise'!$J$2:$J$1137,MATCH(F1497,'Transition Stepwise'!$E$2:$E$1137,0))</f>
        <v>0.156626506024096</v>
      </c>
      <c r="H1497" s="45" t="n">
        <f aca="false">INDEX(Background!$D$12:$D$27,MATCH(C1497&amp;D1497,Background!$E$12:$E$27,0))</f>
        <v>0.194883966244726</v>
      </c>
      <c r="I1497" s="49" t="n">
        <f aca="false">LN(G1497/H1497)</f>
        <v>-0.218540307908351</v>
      </c>
    </row>
    <row r="1498" customFormat="false" ht="15" hidden="false" customHeight="true" outlineLevel="0" collapsed="false">
      <c r="A1498" s="38" t="s">
        <v>860</v>
      </c>
      <c r="B1498" s="38" t="n">
        <v>6</v>
      </c>
      <c r="C1498" s="38" t="s">
        <v>172</v>
      </c>
      <c r="D1498" s="38" t="s">
        <v>171</v>
      </c>
      <c r="E1498" s="38" t="s">
        <v>875</v>
      </c>
      <c r="F1498" s="38" t="str">
        <f aca="false">B1498&amp;"|"&amp;C1498&amp;"|"&amp;D1498</f>
        <v>6|A|U</v>
      </c>
      <c r="G1498" s="45" t="n">
        <f aca="false">INDEX('Transition Stepwise'!$J$2:$J$1137,MATCH(F1498,'Transition Stepwise'!$E$2:$E$1137,0))</f>
        <v>0.289473684210526</v>
      </c>
      <c r="H1498" s="45" t="n">
        <f aca="false">INDEX(Background!$D$12:$D$27,MATCH(C1498&amp;D1498,Background!$E$12:$E$27,0))</f>
        <v>0.194530046224961</v>
      </c>
      <c r="I1498" s="49" t="n">
        <f aca="false">LN(G1498/H1498)</f>
        <v>0.397477761620606</v>
      </c>
    </row>
    <row r="1499" customFormat="false" ht="15" hidden="false" customHeight="true" outlineLevel="0" collapsed="false">
      <c r="A1499" s="38" t="s">
        <v>860</v>
      </c>
      <c r="B1499" s="38" t="n">
        <v>7</v>
      </c>
      <c r="C1499" s="38" t="s">
        <v>171</v>
      </c>
      <c r="D1499" s="38" t="s">
        <v>171</v>
      </c>
      <c r="E1499" s="38" t="s">
        <v>875</v>
      </c>
      <c r="F1499" s="38" t="str">
        <f aca="false">B1499&amp;"|"&amp;C1499&amp;"|"&amp;D1499</f>
        <v>7|U|U</v>
      </c>
      <c r="G1499" s="45" t="n">
        <f aca="false">INDEX('Transition Stepwise'!$J$2:$J$1137,MATCH(F1499,'Transition Stepwise'!$E$2:$E$1137,0))</f>
        <v>0.9375</v>
      </c>
      <c r="H1499" s="45" t="n">
        <f aca="false">INDEX(Background!$D$12:$D$27,MATCH(C1499&amp;D1499,Background!$E$12:$E$27,0))</f>
        <v>0.220480320213476</v>
      </c>
      <c r="I1499" s="49" t="n">
        <f aca="false">LN(G1499/H1499)</f>
        <v>1.44740831767329</v>
      </c>
    </row>
    <row r="1500" customFormat="false" ht="15" hidden="false" customHeight="true" outlineLevel="0" collapsed="false">
      <c r="A1500" s="38" t="s">
        <v>860</v>
      </c>
      <c r="B1500" s="38" t="n">
        <v>8</v>
      </c>
      <c r="C1500" s="38" t="s">
        <v>171</v>
      </c>
      <c r="D1500" s="38" t="s">
        <v>171</v>
      </c>
      <c r="E1500" s="38" t="s">
        <v>875</v>
      </c>
      <c r="F1500" s="38" t="str">
        <f aca="false">B1500&amp;"|"&amp;C1500&amp;"|"&amp;D1500</f>
        <v>8|U|U</v>
      </c>
      <c r="G1500" s="45" t="n">
        <f aca="false">INDEX('Transition Stepwise'!$J$2:$J$1137,MATCH(F1500,'Transition Stepwise'!$E$2:$E$1137,0))</f>
        <v>0.005</v>
      </c>
      <c r="H1500" s="45" t="n">
        <f aca="false">INDEX(Background!$D$12:$D$27,MATCH(C1500&amp;D1500,Background!$E$12:$E$27,0))</f>
        <v>0.220480320213476</v>
      </c>
      <c r="I1500" s="49" t="n">
        <f aca="false">LN(G1500/H1500)</f>
        <v>-3.78637052773718</v>
      </c>
    </row>
    <row r="1501" customFormat="false" ht="15" hidden="false" customHeight="true" outlineLevel="0" collapsed="false">
      <c r="A1501" s="38" t="s">
        <v>860</v>
      </c>
      <c r="B1501" s="38" t="n">
        <v>9</v>
      </c>
      <c r="C1501" s="38" t="s">
        <v>171</v>
      </c>
      <c r="D1501" s="38" t="s">
        <v>172</v>
      </c>
      <c r="E1501" s="38" t="s">
        <v>875</v>
      </c>
      <c r="F1501" s="38" t="str">
        <f aca="false">B1501&amp;"|"&amp;C1501&amp;"|"&amp;D1501</f>
        <v>9|U|A</v>
      </c>
      <c r="G1501" s="45" t="n">
        <f aca="false">INDEX('Transition Stepwise'!$J$2:$J$1137,MATCH(F1501,'Transition Stepwise'!$E$2:$E$1137,0))</f>
        <v>0.25</v>
      </c>
      <c r="H1501" s="45" t="n">
        <f aca="false">INDEX(Background!$D$12:$D$27,MATCH(C1501&amp;D1501,Background!$E$12:$E$27,0))</f>
        <v>0.180787191460974</v>
      </c>
      <c r="I1501" s="49" t="n">
        <f aca="false">LN(G1501/H1501)</f>
        <v>0.324140316103006</v>
      </c>
    </row>
    <row r="1502" customFormat="false" ht="15" hidden="false" customHeight="true" outlineLevel="0" collapsed="false">
      <c r="A1502" s="38" t="s">
        <v>860</v>
      </c>
      <c r="B1502" s="38" t="n">
        <v>10</v>
      </c>
      <c r="C1502" s="38" t="s">
        <v>172</v>
      </c>
      <c r="D1502" s="38" t="s">
        <v>172</v>
      </c>
      <c r="E1502" s="38" t="s">
        <v>875</v>
      </c>
      <c r="F1502" s="38" t="str">
        <f aca="false">B1502&amp;"|"&amp;C1502&amp;"|"&amp;D1502</f>
        <v>10|A|A</v>
      </c>
      <c r="G1502" s="45" t="n">
        <f aca="false">INDEX('Transition Stepwise'!$J$2:$J$1137,MATCH(F1502,'Transition Stepwise'!$E$2:$E$1137,0))</f>
        <v>0.25</v>
      </c>
      <c r="H1502" s="45" t="n">
        <f aca="false">INDEX(Background!$D$12:$D$27,MATCH(C1502&amp;D1502,Background!$E$12:$E$27,0))</f>
        <v>0.219568567026194</v>
      </c>
      <c r="I1502" s="49" t="n">
        <f aca="false">LN(G1502/H1502)</f>
        <v>0.129796355875494</v>
      </c>
    </row>
    <row r="1503" customFormat="false" ht="15" hidden="false" customHeight="true" outlineLevel="0" collapsed="false">
      <c r="A1503" s="38" t="s">
        <v>860</v>
      </c>
      <c r="B1503" s="38" t="n">
        <v>11</v>
      </c>
      <c r="C1503" s="38" t="s">
        <v>172</v>
      </c>
      <c r="D1503" s="38" t="s">
        <v>171</v>
      </c>
      <c r="E1503" s="38" t="s">
        <v>875</v>
      </c>
      <c r="F1503" s="38" t="str">
        <f aca="false">B1503&amp;"|"&amp;C1503&amp;"|"&amp;D1503</f>
        <v>11|A|U</v>
      </c>
      <c r="G1503" s="45" t="n">
        <f aca="false">INDEX('Transition Stepwise'!$J$2:$J$1137,MATCH(F1503,'Transition Stepwise'!$E$2:$E$1137,0))</f>
        <v>0.363636363636364</v>
      </c>
      <c r="H1503" s="45" t="n">
        <f aca="false">INDEX(Background!$D$12:$D$27,MATCH(C1503&amp;D1503,Background!$E$12:$E$27,0))</f>
        <v>0.194530046224961</v>
      </c>
      <c r="I1503" s="49" t="n">
        <f aca="false">LN(G1503/H1503)</f>
        <v>0.625567736870141</v>
      </c>
    </row>
    <row r="1504" customFormat="false" ht="15" hidden="false" customHeight="true" outlineLevel="0" collapsed="false">
      <c r="A1504" s="38" t="s">
        <v>860</v>
      </c>
      <c r="B1504" s="38" t="n">
        <v>12</v>
      </c>
      <c r="C1504" s="38" t="s">
        <v>171</v>
      </c>
      <c r="D1504" s="38" t="s">
        <v>172</v>
      </c>
      <c r="E1504" s="38" t="s">
        <v>875</v>
      </c>
      <c r="F1504" s="38" t="str">
        <f aca="false">B1504&amp;"|"&amp;C1504&amp;"|"&amp;D1504</f>
        <v>12|U|A</v>
      </c>
      <c r="G1504" s="45" t="n">
        <f aca="false">INDEX('Transition Stepwise'!$J$2:$J$1137,MATCH(F1504,'Transition Stepwise'!$E$2:$E$1137,0))</f>
        <v>0.016260162601626</v>
      </c>
      <c r="H1504" s="45" t="n">
        <f aca="false">INDEX(Background!$D$12:$D$27,MATCH(C1504&amp;D1504,Background!$E$12:$E$27,0))</f>
        <v>0.180787191460974</v>
      </c>
      <c r="I1504" s="49" t="n">
        <f aca="false">LN(G1504/H1504)</f>
        <v>-2.40860249758958</v>
      </c>
    </row>
    <row r="1505" customFormat="false" ht="15" hidden="false" customHeight="true" outlineLevel="0" collapsed="false">
      <c r="A1505" s="38" t="s">
        <v>860</v>
      </c>
      <c r="B1505" s="38" t="n">
        <v>13</v>
      </c>
      <c r="C1505" s="38" t="s">
        <v>172</v>
      </c>
      <c r="D1505" s="38" t="s">
        <v>172</v>
      </c>
      <c r="E1505" s="38" t="s">
        <v>875</v>
      </c>
      <c r="F1505" s="38" t="str">
        <f aca="false">B1505&amp;"|"&amp;C1505&amp;"|"&amp;D1505</f>
        <v>13|A|A</v>
      </c>
      <c r="G1505" s="45" t="n">
        <f aca="false">INDEX('Transition Stepwise'!$J$2:$J$1137,MATCH(F1505,'Transition Stepwise'!$E$2:$E$1137,0))</f>
        <v>0.764705882352941</v>
      </c>
      <c r="H1505" s="45" t="n">
        <f aca="false">INDEX(Background!$D$12:$D$27,MATCH(C1505&amp;D1505,Background!$E$12:$E$27,0))</f>
        <v>0.219568567026194</v>
      </c>
      <c r="I1505" s="49" t="n">
        <f aca="false">LN(G1505/H1505)</f>
        <v>1.24782673040071</v>
      </c>
    </row>
    <row r="1506" customFormat="false" ht="15" hidden="false" customHeight="true" outlineLevel="0" collapsed="false">
      <c r="A1506" s="38" t="s">
        <v>860</v>
      </c>
      <c r="B1506" s="38" t="n">
        <v>14</v>
      </c>
      <c r="C1506" s="38" t="s">
        <v>172</v>
      </c>
      <c r="D1506" s="38" t="s">
        <v>171</v>
      </c>
      <c r="E1506" s="38" t="s">
        <v>875</v>
      </c>
      <c r="F1506" s="38" t="str">
        <f aca="false">B1506&amp;"|"&amp;C1506&amp;"|"&amp;D1506</f>
        <v>14|A|U</v>
      </c>
      <c r="G1506" s="45" t="n">
        <f aca="false">INDEX('Transition Stepwise'!$J$2:$J$1137,MATCH(F1506,'Transition Stepwise'!$E$2:$E$1137,0))</f>
        <v>0.015</v>
      </c>
      <c r="H1506" s="45" t="n">
        <f aca="false">INDEX(Background!$D$12:$D$27,MATCH(C1506&amp;D1506,Background!$E$12:$E$27,0))</f>
        <v>0.194530046224961</v>
      </c>
      <c r="I1506" s="49" t="n">
        <f aca="false">LN(G1506/H1506)</f>
        <v>-2.56253642933131</v>
      </c>
    </row>
    <row r="1507" customFormat="false" ht="15" hidden="false" customHeight="true" outlineLevel="0" collapsed="false">
      <c r="A1507" s="38" t="s">
        <v>860</v>
      </c>
      <c r="B1507" s="38" t="n">
        <v>15</v>
      </c>
      <c r="C1507" s="38" t="s">
        <v>171</v>
      </c>
      <c r="D1507" s="38" t="s">
        <v>172</v>
      </c>
      <c r="E1507" s="38" t="s">
        <v>875</v>
      </c>
      <c r="F1507" s="38" t="str">
        <f aca="false">B1507&amp;"|"&amp;C1507&amp;"|"&amp;D1507</f>
        <v>15|U|A</v>
      </c>
      <c r="G1507" s="45" t="n">
        <f aca="false">INDEX('Transition Stepwise'!$J$2:$J$1137,MATCH(F1507,'Transition Stepwise'!$E$2:$E$1137,0))</f>
        <v>0.2</v>
      </c>
      <c r="H1507" s="45" t="n">
        <f aca="false">INDEX(Background!$D$12:$D$27,MATCH(C1507&amp;D1507,Background!$E$12:$E$27,0))</f>
        <v>0.180787191460974</v>
      </c>
      <c r="I1507" s="49" t="n">
        <f aca="false">LN(G1507/H1507)</f>
        <v>0.100996764788796</v>
      </c>
    </row>
    <row r="1508" customFormat="false" ht="15" hidden="false" customHeight="true" outlineLevel="0" collapsed="false">
      <c r="A1508" s="38" t="s">
        <v>860</v>
      </c>
      <c r="B1508" s="38" t="n">
        <v>16</v>
      </c>
      <c r="C1508" s="38" t="s">
        <v>172</v>
      </c>
      <c r="D1508" s="38" t="s">
        <v>172</v>
      </c>
      <c r="E1508" s="38" t="s">
        <v>875</v>
      </c>
      <c r="F1508" s="38" t="str">
        <f aca="false">B1508&amp;"|"&amp;C1508&amp;"|"&amp;D1508</f>
        <v>16|A|A</v>
      </c>
      <c r="G1508" s="45" t="n">
        <f aca="false">INDEX('Transition Stepwise'!$J$2:$J$1137,MATCH(F1508,'Transition Stepwise'!$E$2:$E$1137,0))</f>
        <v>0.142857142857143</v>
      </c>
      <c r="H1508" s="45" t="n">
        <f aca="false">INDEX(Background!$D$12:$D$27,MATCH(C1508&amp;D1508,Background!$E$12:$E$27,0))</f>
        <v>0.219568567026194</v>
      </c>
      <c r="I1508" s="49" t="n">
        <f aca="false">LN(G1508/H1508)</f>
        <v>-0.429819432059929</v>
      </c>
    </row>
    <row r="1509" customFormat="false" ht="15" hidden="false" customHeight="true" outlineLevel="0" collapsed="false">
      <c r="A1509" s="38" t="s">
        <v>860</v>
      </c>
      <c r="B1509" s="38" t="n">
        <v>17</v>
      </c>
      <c r="C1509" s="38" t="s">
        <v>172</v>
      </c>
      <c r="D1509" s="38" t="s">
        <v>169</v>
      </c>
      <c r="E1509" s="38" t="s">
        <v>875</v>
      </c>
      <c r="F1509" s="38" t="str">
        <f aca="false">B1509&amp;"|"&amp;C1509&amp;"|"&amp;D1509</f>
        <v>17|A|G</v>
      </c>
      <c r="G1509" s="45" t="n">
        <f aca="false">INDEX('Transition Stepwise'!$J$2:$J$1137,MATCH(F1509,'Transition Stepwise'!$E$2:$E$1137,0))</f>
        <v>0.75</v>
      </c>
      <c r="H1509" s="45" t="n">
        <f aca="false">INDEX(Background!$D$12:$D$27,MATCH(C1509&amp;D1509,Background!$E$12:$E$27,0))</f>
        <v>0.424884437596302</v>
      </c>
      <c r="I1509" s="49" t="n">
        <f aca="false">LN(G1509/H1509)</f>
        <v>0.568255986118697</v>
      </c>
    </row>
    <row r="1510" customFormat="false" ht="15" hidden="false" customHeight="true" outlineLevel="0" collapsed="false">
      <c r="A1510" s="38" t="s">
        <v>860</v>
      </c>
      <c r="B1510" s="38" t="n">
        <v>18</v>
      </c>
      <c r="C1510" s="38" t="s">
        <v>169</v>
      </c>
      <c r="D1510" s="38" t="s">
        <v>169</v>
      </c>
      <c r="E1510" s="38" t="s">
        <v>875</v>
      </c>
      <c r="F1510" s="38" t="str">
        <f aca="false">B1510&amp;"|"&amp;C1510&amp;"|"&amp;D1510</f>
        <v>18|G|G</v>
      </c>
      <c r="G1510" s="45" t="n">
        <f aca="false">INDEX('Transition Stepwise'!$J$2:$J$1137,MATCH(F1510,'Transition Stepwise'!$E$2:$E$1137,0))</f>
        <v>0.975247524752475</v>
      </c>
      <c r="H1510" s="45" t="n">
        <f aca="false">INDEX(Background!$D$12:$D$27,MATCH(C1510&amp;D1510,Background!$E$12:$E$27,0))</f>
        <v>0.344774477447745</v>
      </c>
      <c r="I1510" s="49" t="n">
        <f aca="false">LN(G1510/H1510)</f>
        <v>1.03980079559234</v>
      </c>
    </row>
    <row r="1511" customFormat="false" ht="15" hidden="false" customHeight="true" outlineLevel="0" collapsed="false">
      <c r="A1511" s="38" t="s">
        <v>860</v>
      </c>
      <c r="B1511" s="38" t="n">
        <v>19</v>
      </c>
      <c r="C1511" s="38" t="s">
        <v>169</v>
      </c>
      <c r="D1511" s="38" t="s">
        <v>172</v>
      </c>
      <c r="E1511" s="38" t="s">
        <v>875</v>
      </c>
      <c r="F1511" s="38" t="str">
        <f aca="false">B1511&amp;"|"&amp;C1511&amp;"|"&amp;D1511</f>
        <v>19|G|A</v>
      </c>
      <c r="G1511" s="45" t="n">
        <f aca="false">INDEX('Transition Stepwise'!$J$2:$J$1137,MATCH(F1511,'Transition Stepwise'!$E$2:$E$1137,0))</f>
        <v>0.09</v>
      </c>
      <c r="H1511" s="45" t="n">
        <f aca="false">INDEX(Background!$D$12:$D$27,MATCH(C1511&amp;D1511,Background!$E$12:$E$27,0))</f>
        <v>0.164356435643564</v>
      </c>
      <c r="I1511" s="49" t="n">
        <f aca="false">LN(G1511/H1511)</f>
        <v>-0.60222778717311</v>
      </c>
    </row>
    <row r="1512" customFormat="false" ht="15" hidden="false" customHeight="true" outlineLevel="0" collapsed="false">
      <c r="A1512" s="38" t="s">
        <v>860</v>
      </c>
      <c r="B1512" s="38" t="n">
        <v>20</v>
      </c>
      <c r="C1512" s="38" t="s">
        <v>172</v>
      </c>
      <c r="D1512" s="38" t="s">
        <v>171</v>
      </c>
      <c r="E1512" s="38" t="s">
        <v>875</v>
      </c>
      <c r="F1512" s="38" t="str">
        <f aca="false">B1512&amp;"|"&amp;C1512&amp;"|"&amp;D1512</f>
        <v>20|A|U</v>
      </c>
      <c r="G1512" s="45" t="n">
        <f aca="false">INDEX('Transition Stepwise'!$J$2:$J$1137,MATCH(F1512,'Transition Stepwise'!$E$2:$E$1137,0))</f>
        <v>0.0952380952380952</v>
      </c>
      <c r="H1512" s="45" t="n">
        <f aca="false">INDEX(Background!$D$12:$D$27,MATCH(C1512&amp;D1512,Background!$E$12:$E$27,0))</f>
        <v>0.194530046224961</v>
      </c>
      <c r="I1512" s="49" t="n">
        <f aca="false">LN(G1512/H1512)</f>
        <v>-0.714206608614857</v>
      </c>
    </row>
    <row r="1513" customFormat="false" ht="15" hidden="false" customHeight="true" outlineLevel="0" collapsed="false">
      <c r="A1513" s="38" t="s">
        <v>860</v>
      </c>
      <c r="B1513" s="38" t="n">
        <v>21</v>
      </c>
      <c r="C1513" s="38" t="s">
        <v>171</v>
      </c>
      <c r="D1513" s="38" t="s">
        <v>171</v>
      </c>
      <c r="E1513" s="38" t="s">
        <v>875</v>
      </c>
      <c r="F1513" s="38" t="str">
        <f aca="false">B1513&amp;"|"&amp;C1513&amp;"|"&amp;D1513</f>
        <v>21|U|U</v>
      </c>
      <c r="G1513" s="45" t="n">
        <f aca="false">INDEX('Transition Stepwise'!$J$2:$J$1137,MATCH(F1513,'Transition Stepwise'!$E$2:$E$1137,0))</f>
        <v>0.285714285714286</v>
      </c>
      <c r="H1513" s="45" t="n">
        <f aca="false">INDEX(Background!$D$12:$D$27,MATCH(C1513&amp;D1513,Background!$E$12:$E$27,0))</f>
        <v>0.220480320213476</v>
      </c>
      <c r="I1513" s="49" t="n">
        <f aca="false">LN(G1513/H1513)</f>
        <v>0.259183870315489</v>
      </c>
    </row>
    <row r="1514" customFormat="false" ht="15" hidden="false" customHeight="true" outlineLevel="0" collapsed="false">
      <c r="A1514" s="38" t="s">
        <v>860</v>
      </c>
      <c r="B1514" s="38" t="n">
        <v>22</v>
      </c>
      <c r="C1514" s="38" t="s">
        <v>171</v>
      </c>
      <c r="D1514" s="38" t="s">
        <v>172</v>
      </c>
      <c r="E1514" s="38" t="s">
        <v>875</v>
      </c>
      <c r="F1514" s="38" t="str">
        <f aca="false">B1514&amp;"|"&amp;C1514&amp;"|"&amp;D1514</f>
        <v>22|U|A</v>
      </c>
      <c r="G1514" s="45" t="n">
        <f aca="false">INDEX('Transition Stepwise'!$J$2:$J$1137,MATCH(F1514,'Transition Stepwise'!$E$2:$E$1137,0))</f>
        <v>0.111111111111111</v>
      </c>
      <c r="H1514" s="45" t="n">
        <f aca="false">INDEX(Background!$D$12:$D$27,MATCH(C1514&amp;D1514,Background!$E$12:$E$27,0))</f>
        <v>0.180787191460974</v>
      </c>
      <c r="I1514" s="49" t="n">
        <f aca="false">LN(G1514/H1514)</f>
        <v>-0.486789900113323</v>
      </c>
    </row>
    <row r="1515" customFormat="false" ht="15" hidden="false" customHeight="true" outlineLevel="0" collapsed="false">
      <c r="A1515" s="38" t="s">
        <v>860</v>
      </c>
      <c r="B1515" s="38" t="n">
        <v>23</v>
      </c>
      <c r="C1515" s="38" t="s">
        <v>172</v>
      </c>
      <c r="D1515" s="38" t="s">
        <v>171</v>
      </c>
      <c r="E1515" s="38" t="s">
        <v>875</v>
      </c>
      <c r="F1515" s="38" t="str">
        <f aca="false">B1515&amp;"|"&amp;C1515&amp;"|"&amp;D1515</f>
        <v>23|A|U</v>
      </c>
      <c r="G1515" s="45" t="n">
        <f aca="false">INDEX('Transition Stepwise'!$J$2:$J$1137,MATCH(F1515,'Transition Stepwise'!$E$2:$E$1137,0))</f>
        <v>0.032258064516129</v>
      </c>
      <c r="H1515" s="45" t="n">
        <f aca="false">INDEX(Background!$D$12:$D$27,MATCH(C1515&amp;D1515,Background!$E$12:$E$27,0))</f>
        <v>0.194530046224961</v>
      </c>
      <c r="I1515" s="49" t="n">
        <f aca="false">LN(G1515/H1515)</f>
        <v>-1.79681855593653</v>
      </c>
    </row>
    <row r="1516" customFormat="false" ht="15" hidden="false" customHeight="true" outlineLevel="0" collapsed="false">
      <c r="A1516" s="38" t="s">
        <v>860</v>
      </c>
      <c r="B1516" s="38" t="n">
        <v>24</v>
      </c>
      <c r="C1516" s="38" t="s">
        <v>171</v>
      </c>
      <c r="D1516" s="38" t="s">
        <v>171</v>
      </c>
      <c r="E1516" s="38" t="s">
        <v>875</v>
      </c>
      <c r="F1516" s="38" t="str">
        <f aca="false">B1516&amp;"|"&amp;C1516&amp;"|"&amp;D1516</f>
        <v>24|U|U</v>
      </c>
      <c r="G1516" s="45" t="n">
        <f aca="false">INDEX('Transition Stepwise'!$J$2:$J$1137,MATCH(F1516,'Transition Stepwise'!$E$2:$E$1137,0))</f>
        <v>0.0909090909090909</v>
      </c>
      <c r="H1516" s="45" t="n">
        <f aca="false">INDEX(Background!$D$12:$D$27,MATCH(C1516&amp;D1516,Background!$E$12:$E$27,0))</f>
        <v>0.220480320213476</v>
      </c>
      <c r="I1516" s="49" t="n">
        <f aca="false">LN(G1516/H1516)</f>
        <v>-0.885948433987514</v>
      </c>
    </row>
    <row r="1517" customFormat="false" ht="15" hidden="false" customHeight="true" outlineLevel="0" collapsed="false">
      <c r="A1517" s="38" t="s">
        <v>860</v>
      </c>
      <c r="B1517" s="38" t="n">
        <v>25</v>
      </c>
      <c r="C1517" s="38" t="s">
        <v>171</v>
      </c>
      <c r="D1517" s="38" t="s">
        <v>171</v>
      </c>
      <c r="E1517" s="38" t="s">
        <v>875</v>
      </c>
      <c r="F1517" s="38" t="str">
        <f aca="false">B1517&amp;"|"&amp;C1517&amp;"|"&amp;D1517</f>
        <v>25|U|U</v>
      </c>
      <c r="G1517" s="45" t="n">
        <f aca="false">INDEX('Transition Stepwise'!$J$2:$J$1137,MATCH(F1517,'Transition Stepwise'!$E$2:$E$1137,0))</f>
        <v>0.166666666666667</v>
      </c>
      <c r="H1517" s="45" t="n">
        <f aca="false">INDEX(Background!$D$12:$D$27,MATCH(C1517&amp;D1517,Background!$E$12:$E$27,0))</f>
        <v>0.220480320213476</v>
      </c>
      <c r="I1517" s="49" t="n">
        <f aca="false">LN(G1517/H1517)</f>
        <v>-0.279812630417198</v>
      </c>
    </row>
    <row r="1518" customFormat="false" ht="15" hidden="false" customHeight="true" outlineLevel="0" collapsed="false">
      <c r="A1518" s="38" t="s">
        <v>860</v>
      </c>
      <c r="B1518" s="38" t="n">
        <v>26</v>
      </c>
      <c r="C1518" s="38" t="s">
        <v>171</v>
      </c>
      <c r="D1518" s="38" t="s">
        <v>169</v>
      </c>
      <c r="E1518" s="38" t="s">
        <v>875</v>
      </c>
      <c r="F1518" s="38" t="str">
        <f aca="false">B1518&amp;"|"&amp;C1518&amp;"|"&amp;D1518</f>
        <v>26|U|G</v>
      </c>
      <c r="G1518" s="45" t="n">
        <f aca="false">INDEX('Transition Stepwise'!$J$2:$J$1137,MATCH(F1518,'Transition Stepwise'!$E$2:$E$1137,0))</f>
        <v>0.133333333333333</v>
      </c>
      <c r="H1518" s="45" t="n">
        <f aca="false">INDEX(Background!$D$12:$D$27,MATCH(C1518&amp;D1518,Background!$E$12:$E$27,0))</f>
        <v>0.221480987324883</v>
      </c>
      <c r="I1518" s="49" t="n">
        <f aca="false">LN(G1518/H1518)</f>
        <v>-0.507484491356156</v>
      </c>
    </row>
    <row r="1519" customFormat="false" ht="15" hidden="false" customHeight="true" outlineLevel="0" collapsed="false">
      <c r="A1519" s="38" t="s">
        <v>860</v>
      </c>
      <c r="B1519" s="38" t="n">
        <v>27</v>
      </c>
      <c r="C1519" s="38" t="s">
        <v>169</v>
      </c>
      <c r="D1519" s="38" t="s">
        <v>169</v>
      </c>
      <c r="E1519" s="38" t="s">
        <v>875</v>
      </c>
      <c r="F1519" s="38" t="str">
        <f aca="false">B1519&amp;"|"&amp;C1519&amp;"|"&amp;D1519</f>
        <v>27|G|G</v>
      </c>
      <c r="G1519" s="45" t="n">
        <f aca="false">INDEX('Transition Stepwise'!$J$2:$J$1137,MATCH(F1519,'Transition Stepwise'!$E$2:$E$1137,0))</f>
        <v>0.114285714285714</v>
      </c>
      <c r="H1519" s="45" t="n">
        <f aca="false">INDEX(Background!$D$12:$D$27,MATCH(C1519&amp;D1519,Background!$E$12:$E$27,0))</f>
        <v>0.344774477447745</v>
      </c>
      <c r="I1519" s="49" t="n">
        <f aca="false">LN(G1519/H1519)</f>
        <v>-1.10418893611396</v>
      </c>
    </row>
    <row r="1520" customFormat="false" ht="15" hidden="false" customHeight="true" outlineLevel="0" collapsed="false">
      <c r="A1520" s="38" t="s">
        <v>860</v>
      </c>
      <c r="B1520" s="38" t="n">
        <v>28</v>
      </c>
      <c r="C1520" s="38" t="s">
        <v>169</v>
      </c>
      <c r="D1520" s="38" t="s">
        <v>172</v>
      </c>
      <c r="E1520" s="38" t="s">
        <v>875</v>
      </c>
      <c r="F1520" s="38" t="str">
        <f aca="false">B1520&amp;"|"&amp;C1520&amp;"|"&amp;D1520</f>
        <v>28|G|A</v>
      </c>
      <c r="G1520" s="45" t="n">
        <f aca="false">INDEX('Transition Stepwise'!$J$2:$J$1137,MATCH(F1520,'Transition Stepwise'!$E$2:$E$1137,0))</f>
        <v>0.192307692307692</v>
      </c>
      <c r="H1520" s="45" t="n">
        <f aca="false">INDEX(Background!$D$12:$D$27,MATCH(C1520&amp;D1520,Background!$E$12:$E$27,0))</f>
        <v>0.164356435643564</v>
      </c>
      <c r="I1520" s="49" t="n">
        <f aca="false">LN(G1520/H1520)</f>
        <v>0.15705919589138</v>
      </c>
    </row>
    <row r="1521" customFormat="false" ht="15" hidden="false" customHeight="true" outlineLevel="0" collapsed="false">
      <c r="A1521" s="38" t="s">
        <v>860</v>
      </c>
      <c r="B1521" s="38" t="n">
        <v>29</v>
      </c>
      <c r="C1521" s="38" t="s">
        <v>172</v>
      </c>
      <c r="D1521" s="38" t="s">
        <v>169</v>
      </c>
      <c r="E1521" s="38" t="s">
        <v>875</v>
      </c>
      <c r="F1521" s="38" t="str">
        <f aca="false">B1521&amp;"|"&amp;C1521&amp;"|"&amp;D1521</f>
        <v>29|A|G</v>
      </c>
      <c r="G1521" s="45" t="n">
        <f aca="false">INDEX('Transition Stepwise'!$J$2:$J$1137,MATCH(F1521,'Transition Stepwise'!$E$2:$E$1137,0))</f>
        <v>0.694444444444444</v>
      </c>
      <c r="H1521" s="45" t="n">
        <f aca="false">INDEX(Background!$D$12:$D$27,MATCH(C1521&amp;D1521,Background!$E$12:$E$27,0))</f>
        <v>0.424884437596302</v>
      </c>
      <c r="I1521" s="49" t="n">
        <f aca="false">LN(G1521/H1521)</f>
        <v>0.491294944982569</v>
      </c>
    </row>
    <row r="1522" customFormat="false" ht="15" hidden="false" customHeight="true" outlineLevel="0" collapsed="false">
      <c r="A1522" s="38" t="s">
        <v>860</v>
      </c>
      <c r="B1522" s="38" t="n">
        <v>30</v>
      </c>
      <c r="C1522" s="38" t="s">
        <v>169</v>
      </c>
      <c r="D1522" s="38" t="s">
        <v>171</v>
      </c>
      <c r="E1522" s="38" t="s">
        <v>875</v>
      </c>
      <c r="F1522" s="38" t="str">
        <f aca="false">B1522&amp;"|"&amp;C1522&amp;"|"&amp;D1522</f>
        <v>30|G|U</v>
      </c>
      <c r="G1522" s="45" t="n">
        <f aca="false">INDEX('Transition Stepwise'!$J$2:$J$1137,MATCH(F1522,'Transition Stepwise'!$E$2:$E$1137,0))</f>
        <v>0.116883116883117</v>
      </c>
      <c r="H1522" s="45" t="n">
        <f aca="false">INDEX(Background!$D$12:$D$27,MATCH(C1522&amp;D1522,Background!$E$12:$E$27,0))</f>
        <v>0.234763476347635</v>
      </c>
      <c r="I1522" s="49" t="n">
        <f aca="false">LN(G1522/H1522)</f>
        <v>-0.697404089207639</v>
      </c>
    </row>
    <row r="1523" customFormat="false" ht="15" hidden="false" customHeight="true" outlineLevel="0" collapsed="false">
      <c r="A1523" s="38" t="s">
        <v>860</v>
      </c>
      <c r="B1523" s="38" t="n">
        <v>31</v>
      </c>
      <c r="C1523" s="38" t="s">
        <v>171</v>
      </c>
      <c r="D1523" s="38" t="s">
        <v>172</v>
      </c>
      <c r="E1523" s="38" t="s">
        <v>875</v>
      </c>
      <c r="F1523" s="38" t="str">
        <f aca="false">B1523&amp;"|"&amp;C1523&amp;"|"&amp;D1523</f>
        <v>31|U|A</v>
      </c>
      <c r="G1523" s="45" t="n">
        <f aca="false">INDEX('Transition Stepwise'!$J$2:$J$1137,MATCH(F1523,'Transition Stepwise'!$E$2:$E$1137,0))</f>
        <v>0.0434782608695652</v>
      </c>
      <c r="H1523" s="45" t="n">
        <f aca="false">INDEX(Background!$D$12:$D$27,MATCH(C1523&amp;D1523,Background!$E$12:$E$27,0))</f>
        <v>0.180787191460974</v>
      </c>
      <c r="I1523" s="49" t="n">
        <f aca="false">LN(G1523/H1523)</f>
        <v>-1.42505953870625</v>
      </c>
    </row>
    <row r="1524" customFormat="false" ht="15" hidden="false" customHeight="true" outlineLevel="0" collapsed="false">
      <c r="A1524" s="38" t="s">
        <v>860</v>
      </c>
      <c r="B1524" s="38" t="n">
        <v>32</v>
      </c>
      <c r="C1524" s="38" t="s">
        <v>172</v>
      </c>
      <c r="D1524" s="38" t="s">
        <v>171</v>
      </c>
      <c r="E1524" s="38" t="s">
        <v>875</v>
      </c>
      <c r="F1524" s="38" t="str">
        <f aca="false">B1524&amp;"|"&amp;C1524&amp;"|"&amp;D1524</f>
        <v>32|A|U</v>
      </c>
      <c r="G1524" s="45" t="n">
        <f aca="false">INDEX('Transition Stepwise'!$J$2:$J$1137,MATCH(F1524,'Transition Stepwise'!$E$2:$E$1137,0))</f>
        <v>0.7</v>
      </c>
      <c r="H1524" s="45" t="n">
        <f aca="false">INDEX(Background!$D$12:$D$27,MATCH(C1524&amp;D1524,Background!$E$12:$E$27,0))</f>
        <v>0.194530046224961</v>
      </c>
      <c r="I1524" s="49" t="n">
        <f aca="false">LN(G1524/H1524)</f>
        <v>1.28049370460989</v>
      </c>
    </row>
    <row r="1525" customFormat="false" ht="15" hidden="false" customHeight="true" outlineLevel="0" collapsed="false">
      <c r="A1525" s="38" t="s">
        <v>860</v>
      </c>
      <c r="B1525" s="38" t="n">
        <v>33</v>
      </c>
      <c r="C1525" s="38" t="s">
        <v>171</v>
      </c>
      <c r="D1525" s="38" t="s">
        <v>170</v>
      </c>
      <c r="E1525" s="38" t="s">
        <v>875</v>
      </c>
      <c r="F1525" s="38" t="str">
        <f aca="false">B1525&amp;"|"&amp;C1525&amp;"|"&amp;D1525</f>
        <v>33|U|C</v>
      </c>
      <c r="G1525" s="45" t="n">
        <f aca="false">INDEX('Transition Stepwise'!$J$2:$J$1137,MATCH(F1525,'Transition Stepwise'!$E$2:$E$1137,0))</f>
        <v>0.323383084577114</v>
      </c>
      <c r="H1525" s="45" t="n">
        <f aca="false">INDEX(Background!$D$12:$D$27,MATCH(C1525&amp;D1525,Background!$E$12:$E$27,0))</f>
        <v>0.377251501000667</v>
      </c>
      <c r="I1525" s="49" t="n">
        <f aca="false">LN(G1525/H1525)</f>
        <v>-0.154074435617016</v>
      </c>
    </row>
    <row r="1526" customFormat="false" ht="15" hidden="false" customHeight="true" outlineLevel="0" collapsed="false">
      <c r="A1526" s="38" t="s">
        <v>860</v>
      </c>
      <c r="B1526" s="38" t="n">
        <v>34</v>
      </c>
      <c r="C1526" s="38" t="s">
        <v>170</v>
      </c>
      <c r="D1526" s="38" t="s">
        <v>171</v>
      </c>
      <c r="E1526" s="38" t="s">
        <v>875</v>
      </c>
      <c r="F1526" s="38" t="str">
        <f aca="false">B1526&amp;"|"&amp;C1526&amp;"|"&amp;D1526</f>
        <v>34|C|U</v>
      </c>
      <c r="G1526" s="45" t="n">
        <f aca="false">INDEX('Transition Stepwise'!$J$2:$J$1137,MATCH(F1526,'Transition Stepwise'!$E$2:$E$1137,0))</f>
        <v>0.185714285714286</v>
      </c>
      <c r="H1526" s="45" t="n">
        <f aca="false">INDEX(Background!$D$12:$D$27,MATCH(C1526&amp;D1526,Background!$E$12:$E$27,0))</f>
        <v>0.196466244725738</v>
      </c>
      <c r="I1526" s="49" t="n">
        <f aca="false">LN(G1526/H1526)</f>
        <v>-0.0562812395924693</v>
      </c>
    </row>
    <row r="1527" customFormat="false" ht="15" hidden="false" customHeight="true" outlineLevel="0" collapsed="false">
      <c r="A1527" s="38" t="s">
        <v>860</v>
      </c>
      <c r="B1527" s="38" t="n">
        <v>35</v>
      </c>
      <c r="C1527" s="38" t="s">
        <v>171</v>
      </c>
      <c r="D1527" s="38" t="s">
        <v>172</v>
      </c>
      <c r="E1527" s="38" t="s">
        <v>875</v>
      </c>
      <c r="F1527" s="38" t="str">
        <f aca="false">B1527&amp;"|"&amp;C1527&amp;"|"&amp;D1527</f>
        <v>35|U|A</v>
      </c>
      <c r="G1527" s="45" t="n">
        <f aca="false">INDEX('Transition Stepwise'!$J$2:$J$1137,MATCH(F1527,'Transition Stepwise'!$E$2:$E$1137,0))</f>
        <v>0.177777777777778</v>
      </c>
      <c r="H1527" s="45" t="n">
        <f aca="false">INDEX(Background!$D$12:$D$27,MATCH(C1527&amp;D1527,Background!$E$12:$E$27,0))</f>
        <v>0.180787191460974</v>
      </c>
      <c r="I1527" s="49" t="n">
        <f aca="false">LN(G1527/H1527)</f>
        <v>-0.016786270867587</v>
      </c>
    </row>
    <row r="1528" customFormat="false" ht="15" hidden="false" customHeight="true" outlineLevel="0" collapsed="false">
      <c r="A1528" s="38" t="s">
        <v>860</v>
      </c>
      <c r="B1528" s="38" t="n">
        <v>36</v>
      </c>
      <c r="C1528" s="38" t="s">
        <v>172</v>
      </c>
      <c r="D1528" s="38" t="s">
        <v>170</v>
      </c>
      <c r="E1528" s="38" t="s">
        <v>875</v>
      </c>
      <c r="F1528" s="38" t="str">
        <f aca="false">B1528&amp;"|"&amp;C1528&amp;"|"&amp;D1528</f>
        <v>36|A|C</v>
      </c>
      <c r="G1528" s="45" t="n">
        <f aca="false">INDEX('Transition Stepwise'!$J$2:$J$1137,MATCH(F1528,'Transition Stepwise'!$E$2:$E$1137,0))</f>
        <v>0.0425531914893617</v>
      </c>
      <c r="H1528" s="45" t="n">
        <f aca="false">INDEX(Background!$D$12:$D$27,MATCH(C1528&amp;D1528,Background!$E$12:$E$27,0))</f>
        <v>0.161016949152542</v>
      </c>
      <c r="I1528" s="49" t="n">
        <f aca="false">LN(G1528/H1528)</f>
        <v>-1.33075477585089</v>
      </c>
    </row>
    <row r="1529" customFormat="false" ht="15" hidden="false" customHeight="true" outlineLevel="0" collapsed="false">
      <c r="A1529" s="38" t="s">
        <v>860</v>
      </c>
      <c r="B1529" s="38" t="n">
        <v>37</v>
      </c>
      <c r="C1529" s="38" t="s">
        <v>170</v>
      </c>
      <c r="D1529" s="38" t="s">
        <v>171</v>
      </c>
      <c r="E1529" s="38" t="s">
        <v>875</v>
      </c>
      <c r="F1529" s="38" t="str">
        <f aca="false">B1529&amp;"|"&amp;C1529&amp;"|"&amp;D1529</f>
        <v>37|C|U</v>
      </c>
      <c r="G1529" s="45" t="n">
        <f aca="false">INDEX('Transition Stepwise'!$J$2:$J$1137,MATCH(F1529,'Transition Stepwise'!$E$2:$E$1137,0))</f>
        <v>0.2</v>
      </c>
      <c r="H1529" s="45" t="n">
        <f aca="false">INDEX(Background!$D$12:$D$27,MATCH(C1529&amp;D1529,Background!$E$12:$E$27,0))</f>
        <v>0.196466244725738</v>
      </c>
      <c r="I1529" s="49" t="n">
        <f aca="false">LN(G1529/H1529)</f>
        <v>0.0178267325612525</v>
      </c>
    </row>
    <row r="1530" customFormat="false" ht="15" hidden="false" customHeight="true" outlineLevel="0" collapsed="false">
      <c r="A1530" s="38" t="s">
        <v>860</v>
      </c>
      <c r="B1530" s="38" t="n">
        <v>38</v>
      </c>
      <c r="C1530" s="38" t="s">
        <v>171</v>
      </c>
      <c r="D1530" s="38" t="s">
        <v>169</v>
      </c>
      <c r="E1530" s="38" t="s">
        <v>875</v>
      </c>
      <c r="F1530" s="38" t="str">
        <f aca="false">B1530&amp;"|"&amp;C1530&amp;"|"&amp;D1530</f>
        <v>38|U|G</v>
      </c>
      <c r="G1530" s="45" t="n">
        <f aca="false">INDEX('Transition Stepwise'!$J$2:$J$1137,MATCH(F1530,'Transition Stepwise'!$E$2:$E$1137,0))</f>
        <v>0.555555555555556</v>
      </c>
      <c r="H1530" s="45" t="n">
        <f aca="false">INDEX(Background!$D$12:$D$27,MATCH(C1530&amp;D1530,Background!$E$12:$E$27,0))</f>
        <v>0.221480987324883</v>
      </c>
      <c r="I1530" s="49" t="n">
        <f aca="false">LN(G1530/H1530)</f>
        <v>0.91963186428399</v>
      </c>
    </row>
    <row r="1531" customFormat="false" ht="15" hidden="false" customHeight="true" outlineLevel="0" collapsed="false">
      <c r="A1531" s="38" t="s">
        <v>860</v>
      </c>
      <c r="B1531" s="38" t="n">
        <v>39</v>
      </c>
      <c r="C1531" s="38" t="s">
        <v>169</v>
      </c>
      <c r="D1531" s="38" t="s">
        <v>170</v>
      </c>
      <c r="E1531" s="38" t="s">
        <v>875</v>
      </c>
      <c r="F1531" s="38" t="str">
        <f aca="false">B1531&amp;"|"&amp;C1531&amp;"|"&amp;D1531</f>
        <v>39|G|C</v>
      </c>
      <c r="G1531" s="45" t="n">
        <f aca="false">INDEX('Transition Stepwise'!$J$2:$J$1137,MATCH(F1531,'Transition Stepwise'!$E$2:$E$1137,0))</f>
        <v>0.526315789473684</v>
      </c>
      <c r="H1531" s="45" t="n">
        <f aca="false">INDEX(Background!$D$12:$D$27,MATCH(C1531&amp;D1531,Background!$E$12:$E$27,0))</f>
        <v>0.256105610561056</v>
      </c>
      <c r="I1531" s="49" t="n">
        <f aca="false">LN(G1531/H1531)</f>
        <v>0.720311492147801</v>
      </c>
    </row>
    <row r="1532" customFormat="false" ht="15" hidden="false" customHeight="true" outlineLevel="0" collapsed="false">
      <c r="A1532" s="38" t="s">
        <v>860</v>
      </c>
      <c r="B1532" s="38" t="n">
        <v>40</v>
      </c>
      <c r="C1532" s="38" t="s">
        <v>170</v>
      </c>
      <c r="D1532" s="38" t="s">
        <v>171</v>
      </c>
      <c r="E1532" s="38" t="s">
        <v>875</v>
      </c>
      <c r="F1532" s="38" t="str">
        <f aca="false">B1532&amp;"|"&amp;C1532&amp;"|"&amp;D1532</f>
        <v>40|C|U</v>
      </c>
      <c r="G1532" s="45" t="n">
        <f aca="false">INDEX('Transition Stepwise'!$J$2:$J$1137,MATCH(F1532,'Transition Stepwise'!$E$2:$E$1137,0))</f>
        <v>0.17687074829932</v>
      </c>
      <c r="H1532" s="45" t="n">
        <f aca="false">INDEX(Background!$D$12:$D$27,MATCH(C1532&amp;D1532,Background!$E$12:$E$27,0))</f>
        <v>0.196466244725738</v>
      </c>
      <c r="I1532" s="49" t="n">
        <f aca="false">LN(G1532/H1532)</f>
        <v>-0.105071403761901</v>
      </c>
    </row>
    <row r="1533" customFormat="false" ht="15" hidden="false" customHeight="true" outlineLevel="0" collapsed="false">
      <c r="A1533" s="38" t="s">
        <v>860</v>
      </c>
      <c r="B1533" s="38" t="n">
        <v>41</v>
      </c>
      <c r="C1533" s="38" t="s">
        <v>171</v>
      </c>
      <c r="D1533" s="38" t="s">
        <v>171</v>
      </c>
      <c r="E1533" s="38" t="s">
        <v>875</v>
      </c>
      <c r="F1533" s="38" t="str">
        <f aca="false">B1533&amp;"|"&amp;C1533&amp;"|"&amp;D1533</f>
        <v>41|U|U</v>
      </c>
      <c r="G1533" s="45" t="n">
        <f aca="false">INDEX('Transition Stepwise'!$J$2:$J$1137,MATCH(F1533,'Transition Stepwise'!$E$2:$E$1137,0))</f>
        <v>0.108108108108108</v>
      </c>
      <c r="H1533" s="45" t="n">
        <f aca="false">INDEX(Background!$D$12:$D$27,MATCH(C1533&amp;D1533,Background!$E$12:$E$27,0))</f>
        <v>0.220480320213476</v>
      </c>
      <c r="I1533" s="49" t="n">
        <f aca="false">LN(G1533/H1533)</f>
        <v>-0.712676712713477</v>
      </c>
    </row>
    <row r="1534" customFormat="false" ht="15" hidden="false" customHeight="true" outlineLevel="0" collapsed="false">
      <c r="A1534" s="38" t="s">
        <v>860</v>
      </c>
      <c r="B1534" s="38" t="n">
        <v>42</v>
      </c>
      <c r="C1534" s="38" t="s">
        <v>171</v>
      </c>
      <c r="D1534" s="38" t="s">
        <v>171</v>
      </c>
      <c r="E1534" s="38" t="s">
        <v>875</v>
      </c>
      <c r="F1534" s="38" t="str">
        <f aca="false">B1534&amp;"|"&amp;C1534&amp;"|"&amp;D1534</f>
        <v>42|U|U</v>
      </c>
      <c r="G1534" s="45" t="n">
        <f aca="false">INDEX('Transition Stepwise'!$J$2:$J$1137,MATCH(F1534,'Transition Stepwise'!$E$2:$E$1137,0))</f>
        <v>0.133333333333333</v>
      </c>
      <c r="H1534" s="45" t="n">
        <f aca="false">INDEX(Background!$D$12:$D$27,MATCH(C1534&amp;D1534,Background!$E$12:$E$27,0))</f>
        <v>0.220480320213476</v>
      </c>
      <c r="I1534" s="49" t="n">
        <f aca="false">LN(G1534/H1534)</f>
        <v>-0.502956181731408</v>
      </c>
    </row>
    <row r="1535" customFormat="false" ht="15" hidden="false" customHeight="true" outlineLevel="0" collapsed="false">
      <c r="A1535" s="38" t="s">
        <v>860</v>
      </c>
      <c r="B1535" s="38" t="n">
        <v>43</v>
      </c>
      <c r="C1535" s="38" t="s">
        <v>171</v>
      </c>
      <c r="D1535" s="38" t="s">
        <v>169</v>
      </c>
      <c r="E1535" s="38" t="s">
        <v>875</v>
      </c>
      <c r="F1535" s="38" t="str">
        <f aca="false">B1535&amp;"|"&amp;C1535&amp;"|"&amp;D1535</f>
        <v>43|U|G</v>
      </c>
      <c r="G1535" s="45" t="n">
        <f aca="false">INDEX('Transition Stepwise'!$J$2:$J$1137,MATCH(F1535,'Transition Stepwise'!$E$2:$E$1137,0))</f>
        <v>0.194444444444444</v>
      </c>
      <c r="H1535" s="45" t="n">
        <f aca="false">INDEX(Background!$D$12:$D$27,MATCH(C1535&amp;D1535,Background!$E$12:$E$27,0))</f>
        <v>0.221480987324883</v>
      </c>
      <c r="I1535" s="49" t="n">
        <f aca="false">LN(G1535/H1535)</f>
        <v>-0.130190260214688</v>
      </c>
    </row>
    <row r="1536" customFormat="false" ht="15" hidden="false" customHeight="true" outlineLevel="0" collapsed="false">
      <c r="A1536" s="38" t="s">
        <v>860</v>
      </c>
      <c r="B1536" s="38" t="n">
        <v>44</v>
      </c>
      <c r="C1536" s="38" t="s">
        <v>169</v>
      </c>
      <c r="D1536" s="38" t="s">
        <v>171</v>
      </c>
      <c r="E1536" s="38" t="s">
        <v>875</v>
      </c>
      <c r="F1536" s="38" t="str">
        <f aca="false">B1536&amp;"|"&amp;C1536&amp;"|"&amp;D1536</f>
        <v>44|G|U</v>
      </c>
      <c r="G1536" s="45" t="n">
        <f aca="false">INDEX('Transition Stepwise'!$J$2:$J$1137,MATCH(F1536,'Transition Stepwise'!$E$2:$E$1137,0))</f>
        <v>0.16</v>
      </c>
      <c r="H1536" s="45" t="n">
        <f aca="false">INDEX(Background!$D$12:$D$27,MATCH(C1536&amp;D1536,Background!$E$12:$E$27,0))</f>
        <v>0.234763476347635</v>
      </c>
      <c r="I1536" s="49" t="n">
        <f aca="false">LN(G1536/H1536)</f>
        <v>-0.383404708438484</v>
      </c>
    </row>
    <row r="1537" customFormat="false" ht="15" hidden="false" customHeight="true" outlineLevel="0" collapsed="false">
      <c r="A1537" s="38" t="s">
        <v>860</v>
      </c>
      <c r="B1537" s="38" t="n">
        <v>45</v>
      </c>
      <c r="C1537" s="38" t="s">
        <v>171</v>
      </c>
      <c r="D1537" s="38" t="s">
        <v>172</v>
      </c>
      <c r="E1537" s="38" t="s">
        <v>875</v>
      </c>
      <c r="F1537" s="38" t="str">
        <f aca="false">B1537&amp;"|"&amp;C1537&amp;"|"&amp;D1537</f>
        <v>45|U|A</v>
      </c>
      <c r="G1537" s="45" t="n">
        <f aca="false">INDEX('Transition Stepwise'!$J$2:$J$1137,MATCH(F1537,'Transition Stepwise'!$E$2:$E$1137,0))</f>
        <v>0.08</v>
      </c>
      <c r="H1537" s="45" t="n">
        <f aca="false">INDEX(Background!$D$12:$D$27,MATCH(C1537&amp;D1537,Background!$E$12:$E$27,0))</f>
        <v>0.180787191460974</v>
      </c>
      <c r="I1537" s="49" t="n">
        <f aca="false">LN(G1537/H1537)</f>
        <v>-0.815293967085359</v>
      </c>
    </row>
    <row r="1538" customFormat="false" ht="15" hidden="false" customHeight="true" outlineLevel="0" collapsed="false">
      <c r="A1538" s="38" t="s">
        <v>860</v>
      </c>
      <c r="B1538" s="38" t="n">
        <v>46</v>
      </c>
      <c r="C1538" s="38" t="s">
        <v>172</v>
      </c>
      <c r="D1538" s="38" t="s">
        <v>171</v>
      </c>
      <c r="E1538" s="38" t="s">
        <v>875</v>
      </c>
      <c r="F1538" s="38" t="str">
        <f aca="false">B1538&amp;"|"&amp;C1538&amp;"|"&amp;D1538</f>
        <v>46|A|U</v>
      </c>
      <c r="G1538" s="45" t="n">
        <f aca="false">INDEX('Transition Stepwise'!$J$2:$J$1137,MATCH(F1538,'Transition Stepwise'!$E$2:$E$1137,0))</f>
        <v>0.65</v>
      </c>
      <c r="H1538" s="45" t="n">
        <f aca="false">INDEX(Background!$D$12:$D$27,MATCH(C1538&amp;D1538,Background!$E$12:$E$27,0))</f>
        <v>0.194530046224961</v>
      </c>
      <c r="I1538" s="49" t="n">
        <f aca="false">LN(G1538/H1538)</f>
        <v>1.20638573245617</v>
      </c>
    </row>
    <row r="1539" customFormat="false" ht="15" hidden="false" customHeight="true" outlineLevel="0" collapsed="false">
      <c r="A1539" s="38" t="s">
        <v>860</v>
      </c>
      <c r="B1539" s="38" t="n">
        <v>47</v>
      </c>
      <c r="C1539" s="38" t="s">
        <v>171</v>
      </c>
      <c r="D1539" s="38" t="s">
        <v>172</v>
      </c>
      <c r="E1539" s="38" t="s">
        <v>875</v>
      </c>
      <c r="F1539" s="38" t="str">
        <f aca="false">B1539&amp;"|"&amp;C1539&amp;"|"&amp;D1539</f>
        <v>47|U|A</v>
      </c>
      <c r="G1539" s="45" t="n">
        <f aca="false">INDEX('Transition Stepwise'!$J$2:$J$1137,MATCH(F1539,'Transition Stepwise'!$E$2:$E$1137,0))</f>
        <v>0.0072463768115942</v>
      </c>
      <c r="H1539" s="45" t="n">
        <f aca="false">INDEX(Background!$D$12:$D$27,MATCH(C1539&amp;D1539,Background!$E$12:$E$27,0))</f>
        <v>0.180787191460974</v>
      </c>
      <c r="I1539" s="49" t="n">
        <f aca="false">LN(G1539/H1539)</f>
        <v>-3.21681900793431</v>
      </c>
    </row>
    <row r="1540" customFormat="false" ht="15" hidden="false" customHeight="true" outlineLevel="0" collapsed="false">
      <c r="A1540" s="38" t="s">
        <v>860</v>
      </c>
      <c r="B1540" s="38" t="n">
        <v>48</v>
      </c>
      <c r="C1540" s="38" t="s">
        <v>172</v>
      </c>
      <c r="D1540" s="38" t="s">
        <v>169</v>
      </c>
      <c r="E1540" s="38" t="s">
        <v>875</v>
      </c>
      <c r="F1540" s="38" t="str">
        <f aca="false">B1540&amp;"|"&amp;C1540&amp;"|"&amp;D1540</f>
        <v>48|A|G</v>
      </c>
      <c r="G1540" s="45" t="n">
        <f aca="false">INDEX('Transition Stepwise'!$J$2:$J$1137,MATCH(F1540,'Transition Stepwise'!$E$2:$E$1137,0))</f>
        <v>0.2</v>
      </c>
      <c r="H1540" s="45" t="n">
        <f aca="false">INDEX(Background!$D$12:$D$27,MATCH(C1540&amp;D1540,Background!$E$12:$E$27,0))</f>
        <v>0.424884437596302</v>
      </c>
      <c r="I1540" s="49" t="n">
        <f aca="false">LN(G1540/H1540)</f>
        <v>-0.753499853863622</v>
      </c>
    </row>
    <row r="1541" customFormat="false" ht="15" hidden="false" customHeight="true" outlineLevel="0" collapsed="false">
      <c r="A1541" s="38" t="s">
        <v>860</v>
      </c>
      <c r="B1541" s="38" t="n">
        <v>49</v>
      </c>
      <c r="C1541" s="38" t="s">
        <v>169</v>
      </c>
      <c r="D1541" s="38" t="s">
        <v>169</v>
      </c>
      <c r="E1541" s="38" t="s">
        <v>875</v>
      </c>
      <c r="F1541" s="38" t="str">
        <f aca="false">B1541&amp;"|"&amp;C1541&amp;"|"&amp;D1541</f>
        <v>49|G|G</v>
      </c>
      <c r="G1541" s="45" t="n">
        <f aca="false">INDEX('Transition Stepwise'!$J$2:$J$1137,MATCH(F1541,'Transition Stepwise'!$E$2:$E$1137,0))</f>
        <v>0.298076923076923</v>
      </c>
      <c r="H1541" s="45" t="n">
        <f aca="false">INDEX(Background!$D$12:$D$27,MATCH(C1541&amp;D1541,Background!$E$12:$E$27,0))</f>
        <v>0.344774477447745</v>
      </c>
      <c r="I1541" s="49" t="n">
        <f aca="false">LN(G1541/H1541)</f>
        <v>-0.145538930400668</v>
      </c>
    </row>
    <row r="1542" customFormat="false" ht="15" hidden="false" customHeight="true" outlineLevel="0" collapsed="false">
      <c r="A1542" s="38" t="s">
        <v>860</v>
      </c>
      <c r="B1542" s="38" t="n">
        <v>50</v>
      </c>
      <c r="C1542" s="38" t="s">
        <v>169</v>
      </c>
      <c r="D1542" s="38" t="s">
        <v>170</v>
      </c>
      <c r="E1542" s="38" t="s">
        <v>875</v>
      </c>
      <c r="F1542" s="38" t="str">
        <f aca="false">B1542&amp;"|"&amp;C1542&amp;"|"&amp;D1542</f>
        <v>50|G|C</v>
      </c>
      <c r="G1542" s="45" t="n">
        <f aca="false">INDEX('Transition Stepwise'!$J$2:$J$1137,MATCH(F1542,'Transition Stepwise'!$E$2:$E$1137,0))</f>
        <v>0.263157894736842</v>
      </c>
      <c r="H1542" s="45" t="n">
        <f aca="false">INDEX(Background!$D$12:$D$27,MATCH(C1542&amp;D1542,Background!$E$12:$E$27,0))</f>
        <v>0.256105610561056</v>
      </c>
      <c r="I1542" s="49" t="n">
        <f aca="false">LN(G1542/H1542)</f>
        <v>0.0271643115878557</v>
      </c>
    </row>
    <row r="1543" customFormat="false" ht="15" hidden="false" customHeight="true" outlineLevel="0" collapsed="false">
      <c r="A1543" s="38" t="s">
        <v>860</v>
      </c>
      <c r="B1543" s="38" t="n">
        <v>51</v>
      </c>
      <c r="C1543" s="38" t="s">
        <v>170</v>
      </c>
      <c r="D1543" s="38" t="s">
        <v>172</v>
      </c>
      <c r="E1543" s="38" t="s">
        <v>875</v>
      </c>
      <c r="F1543" s="38" t="str">
        <f aca="false">B1543&amp;"|"&amp;C1543&amp;"|"&amp;D1543</f>
        <v>51|C|A</v>
      </c>
      <c r="G1543" s="45" t="n">
        <f aca="false">INDEX('Transition Stepwise'!$J$2:$J$1137,MATCH(F1543,'Transition Stepwise'!$E$2:$E$1137,0))</f>
        <v>0.222222222222222</v>
      </c>
      <c r="H1543" s="45" t="n">
        <f aca="false">INDEX(Background!$D$12:$D$27,MATCH(C1543&amp;D1543,Background!$E$12:$E$27,0))</f>
        <v>0.194883966244726</v>
      </c>
      <c r="I1543" s="49" t="n">
        <f aca="false">LN(G1543/H1543)</f>
        <v>0.131273545650437</v>
      </c>
    </row>
    <row r="1544" customFormat="false" ht="15" hidden="false" customHeight="true" outlineLevel="0" collapsed="false">
      <c r="A1544" s="38" t="s">
        <v>860</v>
      </c>
      <c r="B1544" s="38" t="n">
        <v>52</v>
      </c>
      <c r="C1544" s="38" t="s">
        <v>172</v>
      </c>
      <c r="D1544" s="38" t="s">
        <v>169</v>
      </c>
      <c r="E1544" s="38" t="s">
        <v>875</v>
      </c>
      <c r="F1544" s="38" t="str">
        <f aca="false">B1544&amp;"|"&amp;C1544&amp;"|"&amp;D1544</f>
        <v>52|A|G</v>
      </c>
      <c r="G1544" s="45" t="n">
        <f aca="false">INDEX('Transition Stepwise'!$J$2:$J$1137,MATCH(F1544,'Transition Stepwise'!$E$2:$E$1137,0))</f>
        <v>0.9</v>
      </c>
      <c r="H1544" s="45" t="n">
        <f aca="false">INDEX(Background!$D$12:$D$27,MATCH(C1544&amp;D1544,Background!$E$12:$E$27,0))</f>
        <v>0.424884437596302</v>
      </c>
      <c r="I1544" s="49" t="n">
        <f aca="false">LN(G1544/H1544)</f>
        <v>0.750577542912652</v>
      </c>
    </row>
    <row r="1545" customFormat="false" ht="15" hidden="false" customHeight="true" outlineLevel="0" collapsed="false">
      <c r="A1545" s="38" t="s">
        <v>860</v>
      </c>
      <c r="B1545" s="38" t="n">
        <v>53</v>
      </c>
      <c r="C1545" s="38" t="s">
        <v>169</v>
      </c>
      <c r="D1545" s="38" t="s">
        <v>172</v>
      </c>
      <c r="E1545" s="38" t="s">
        <v>875</v>
      </c>
      <c r="F1545" s="38" t="str">
        <f aca="false">B1545&amp;"|"&amp;C1545&amp;"|"&amp;D1545</f>
        <v>53|G|A</v>
      </c>
      <c r="G1545" s="45" t="n">
        <f aca="false">INDEX('Transition Stepwise'!$J$2:$J$1137,MATCH(F1545,'Transition Stepwise'!$E$2:$E$1137,0))</f>
        <v>0.0150753768844221</v>
      </c>
      <c r="H1545" s="45" t="n">
        <f aca="false">INDEX(Background!$D$12:$D$27,MATCH(C1545&amp;D1545,Background!$E$12:$E$27,0))</f>
        <v>0.164356435643564</v>
      </c>
      <c r="I1545" s="49" t="n">
        <f aca="false">LN(G1545/H1545)</f>
        <v>-2.38897471457762</v>
      </c>
    </row>
    <row r="1546" customFormat="false" ht="15" hidden="false" customHeight="true" outlineLevel="0" collapsed="false">
      <c r="A1546" s="38" t="s">
        <v>860</v>
      </c>
      <c r="B1546" s="38" t="n">
        <v>54</v>
      </c>
      <c r="C1546" s="38" t="s">
        <v>172</v>
      </c>
      <c r="D1546" s="38" t="s">
        <v>171</v>
      </c>
      <c r="E1546" s="38" t="s">
        <v>875</v>
      </c>
      <c r="F1546" s="38" t="str">
        <f aca="false">B1546&amp;"|"&amp;C1546&amp;"|"&amp;D1546</f>
        <v>54|A|U</v>
      </c>
      <c r="G1546" s="45" t="n">
        <f aca="false">INDEX('Transition Stepwise'!$J$2:$J$1137,MATCH(F1546,'Transition Stepwise'!$E$2:$E$1137,0))</f>
        <v>0.5</v>
      </c>
      <c r="H1546" s="45" t="n">
        <f aca="false">INDEX(Background!$D$12:$D$27,MATCH(C1546&amp;D1546,Background!$E$12:$E$27,0))</f>
        <v>0.194530046224961</v>
      </c>
      <c r="I1546" s="49" t="n">
        <f aca="false">LN(G1546/H1546)</f>
        <v>0.944021467988676</v>
      </c>
    </row>
    <row r="1547" customFormat="false" ht="15" hidden="false" customHeight="true" outlineLevel="0" collapsed="false">
      <c r="A1547" s="38" t="s">
        <v>860</v>
      </c>
      <c r="B1547" s="38" t="n">
        <v>55</v>
      </c>
      <c r="C1547" s="38" t="s">
        <v>171</v>
      </c>
      <c r="D1547" s="38" t="s">
        <v>170</v>
      </c>
      <c r="E1547" s="38" t="s">
        <v>875</v>
      </c>
      <c r="F1547" s="38" t="str">
        <f aca="false">B1547&amp;"|"&amp;C1547&amp;"|"&amp;D1547</f>
        <v>55|U|C</v>
      </c>
      <c r="G1547" s="45" t="n">
        <f aca="false">INDEX('Transition Stepwise'!$J$2:$J$1137,MATCH(F1547,'Transition Stepwise'!$E$2:$E$1137,0))</f>
        <v>0.975</v>
      </c>
      <c r="H1547" s="45" t="n">
        <f aca="false">INDEX(Background!$D$12:$D$27,MATCH(C1547&amp;D1547,Background!$E$12:$E$27,0))</f>
        <v>0.377251501000667</v>
      </c>
      <c r="I1547" s="49" t="n">
        <f aca="false">LN(G1547/H1547)</f>
        <v>0.949525394562133</v>
      </c>
    </row>
    <row r="1548" customFormat="false" ht="15" hidden="false" customHeight="true" outlineLevel="0" collapsed="false">
      <c r="A1548" s="38" t="s">
        <v>860</v>
      </c>
      <c r="B1548" s="38" t="n">
        <v>56</v>
      </c>
      <c r="C1548" s="38" t="s">
        <v>170</v>
      </c>
      <c r="D1548" s="38" t="s">
        <v>171</v>
      </c>
      <c r="E1548" s="38" t="s">
        <v>875</v>
      </c>
      <c r="F1548" s="38" t="str">
        <f aca="false">B1548&amp;"|"&amp;C1548&amp;"|"&amp;D1548</f>
        <v>56|C|U</v>
      </c>
      <c r="G1548" s="45" t="n">
        <f aca="false">INDEX('Transition Stepwise'!$J$2:$J$1137,MATCH(F1548,'Transition Stepwise'!$E$2:$E$1137,0))</f>
        <v>0.0050251256281407</v>
      </c>
      <c r="H1548" s="45" t="n">
        <f aca="false">INDEX(Background!$D$12:$D$27,MATCH(C1548&amp;D1548,Background!$E$12:$E$27,0))</f>
        <v>0.196466244725738</v>
      </c>
      <c r="I1548" s="49" t="n">
        <f aca="false">LN(G1548/H1548)</f>
        <v>-3.66604017972914</v>
      </c>
    </row>
    <row r="1549" customFormat="false" ht="15" hidden="false" customHeight="true" outlineLevel="0" collapsed="false">
      <c r="A1549" s="38" t="s">
        <v>860</v>
      </c>
      <c r="B1549" s="38" t="n">
        <v>57</v>
      </c>
      <c r="C1549" s="38" t="s">
        <v>171</v>
      </c>
      <c r="D1549" s="38" t="s">
        <v>170</v>
      </c>
      <c r="E1549" s="38" t="s">
        <v>875</v>
      </c>
      <c r="F1549" s="38" t="str">
        <f aca="false">B1549&amp;"|"&amp;C1549&amp;"|"&amp;D1549</f>
        <v>57|U|C</v>
      </c>
      <c r="G1549" s="45" t="n">
        <f aca="false">INDEX('Transition Stepwise'!$J$2:$J$1137,MATCH(F1549,'Transition Stepwise'!$E$2:$E$1137,0))</f>
        <v>0.4</v>
      </c>
      <c r="H1549" s="45" t="n">
        <f aca="false">INDEX(Background!$D$12:$D$27,MATCH(C1549&amp;D1549,Background!$E$12:$E$27,0))</f>
        <v>0.377251501000667</v>
      </c>
      <c r="I1549" s="49" t="n">
        <f aca="false">LN(G1549/H1549)</f>
        <v>0.0585524706722676</v>
      </c>
    </row>
    <row r="1550" customFormat="false" ht="15" hidden="false" customHeight="true" outlineLevel="0" collapsed="false">
      <c r="A1550" s="38" t="s">
        <v>860</v>
      </c>
      <c r="B1550" s="38" t="n">
        <v>58</v>
      </c>
      <c r="C1550" s="38" t="s">
        <v>170</v>
      </c>
      <c r="D1550" s="38" t="s">
        <v>171</v>
      </c>
      <c r="E1550" s="38" t="s">
        <v>875</v>
      </c>
      <c r="F1550" s="38" t="str">
        <f aca="false">B1550&amp;"|"&amp;C1550&amp;"|"&amp;D1550</f>
        <v>58|C|U</v>
      </c>
      <c r="G1550" s="45" t="n">
        <f aca="false">INDEX('Transition Stepwise'!$J$2:$J$1137,MATCH(F1550,'Transition Stepwise'!$E$2:$E$1137,0))</f>
        <v>0.2</v>
      </c>
      <c r="H1550" s="45" t="n">
        <f aca="false">INDEX(Background!$D$12:$D$27,MATCH(C1550&amp;D1550,Background!$E$12:$E$27,0))</f>
        <v>0.196466244725738</v>
      </c>
      <c r="I1550" s="49" t="n">
        <f aca="false">LN(G1550/H1550)</f>
        <v>0.0178267325612525</v>
      </c>
    </row>
    <row r="1551" customFormat="false" ht="15" hidden="false" customHeight="true" outlineLevel="0" collapsed="false">
      <c r="A1551" s="38" t="s">
        <v>860</v>
      </c>
      <c r="B1551" s="38" t="n">
        <v>59</v>
      </c>
      <c r="C1551" s="38" t="s">
        <v>171</v>
      </c>
      <c r="D1551" s="38" t="s">
        <v>172</v>
      </c>
      <c r="E1551" s="38" t="s">
        <v>875</v>
      </c>
      <c r="F1551" s="38" t="str">
        <f aca="false">B1551&amp;"|"&amp;C1551&amp;"|"&amp;D1551</f>
        <v>59|U|A</v>
      </c>
      <c r="G1551" s="45" t="n">
        <f aca="false">INDEX('Transition Stepwise'!$J$2:$J$1137,MATCH(F1551,'Transition Stepwise'!$E$2:$E$1137,0))</f>
        <v>0.0185185185185185</v>
      </c>
      <c r="H1551" s="45" t="n">
        <f aca="false">INDEX(Background!$D$12:$D$27,MATCH(C1551&amp;D1551,Background!$E$12:$E$27,0))</f>
        <v>0.180787191460974</v>
      </c>
      <c r="I1551" s="49" t="n">
        <f aca="false">LN(G1551/H1551)</f>
        <v>-2.27854936934138</v>
      </c>
    </row>
    <row r="1552" customFormat="false" ht="15" hidden="false" customHeight="true" outlineLevel="0" collapsed="false">
      <c r="A1552" s="38" t="s">
        <v>860</v>
      </c>
      <c r="B1552" s="38" t="n">
        <v>60</v>
      </c>
      <c r="C1552" s="38" t="s">
        <v>172</v>
      </c>
      <c r="D1552" s="38" t="s">
        <v>170</v>
      </c>
      <c r="E1552" s="38" t="s">
        <v>875</v>
      </c>
      <c r="F1552" s="38" t="str">
        <f aca="false">B1552&amp;"|"&amp;C1552&amp;"|"&amp;D1552</f>
        <v>60|A|C</v>
      </c>
      <c r="G1552" s="45" t="n">
        <f aca="false">INDEX('Transition Stepwise'!$J$2:$J$1137,MATCH(F1552,'Transition Stepwise'!$E$2:$E$1137,0))</f>
        <v>0.4</v>
      </c>
      <c r="H1552" s="45" t="n">
        <f aca="false">INDEX(Background!$D$12:$D$27,MATCH(C1552&amp;D1552,Background!$E$12:$E$27,0))</f>
        <v>0.161016949152542</v>
      </c>
      <c r="I1552" s="49" t="n">
        <f aca="false">LN(G1552/H1552)</f>
        <v>0.909954913425069</v>
      </c>
    </row>
    <row r="1553" customFormat="false" ht="15" hidden="false" customHeight="true" outlineLevel="0" collapsed="false">
      <c r="A1553" s="38" t="s">
        <v>860</v>
      </c>
      <c r="B1553" s="38" t="n">
        <v>61</v>
      </c>
      <c r="C1553" s="38" t="s">
        <v>170</v>
      </c>
      <c r="D1553" s="38" t="s">
        <v>171</v>
      </c>
      <c r="E1553" s="38" t="s">
        <v>875</v>
      </c>
      <c r="F1553" s="38" t="str">
        <f aca="false">B1553&amp;"|"&amp;C1553&amp;"|"&amp;D1553</f>
        <v>61|C|U</v>
      </c>
      <c r="G1553" s="45" t="n">
        <f aca="false">INDEX('Transition Stepwise'!$J$2:$J$1137,MATCH(F1553,'Transition Stepwise'!$E$2:$E$1137,0))</f>
        <v>0.129353233830846</v>
      </c>
      <c r="H1553" s="45" t="n">
        <f aca="false">INDEX(Background!$D$12:$D$27,MATCH(C1553&amp;D1553,Background!$E$12:$E$27,0))</f>
        <v>0.196466244725738</v>
      </c>
      <c r="I1553" s="49" t="n">
        <f aca="false">LN(G1553/H1553)</f>
        <v>-0.417943725042241</v>
      </c>
    </row>
    <row r="1554" customFormat="false" ht="15" hidden="false" customHeight="true" outlineLevel="0" collapsed="false">
      <c r="A1554" s="38" t="s">
        <v>860</v>
      </c>
      <c r="B1554" s="38" t="n">
        <v>62</v>
      </c>
      <c r="C1554" s="38" t="s">
        <v>171</v>
      </c>
      <c r="D1554" s="38" t="s">
        <v>171</v>
      </c>
      <c r="E1554" s="38" t="s">
        <v>875</v>
      </c>
      <c r="F1554" s="38" t="str">
        <f aca="false">B1554&amp;"|"&amp;C1554&amp;"|"&amp;D1554</f>
        <v>62|U|U</v>
      </c>
      <c r="G1554" s="45" t="n">
        <f aca="false">INDEX('Transition Stepwise'!$J$2:$J$1137,MATCH(F1554,'Transition Stepwise'!$E$2:$E$1137,0))</f>
        <v>0.1</v>
      </c>
      <c r="H1554" s="45" t="n">
        <f aca="false">INDEX(Background!$D$12:$D$27,MATCH(C1554&amp;D1554,Background!$E$12:$E$27,0))</f>
        <v>0.220480320213476</v>
      </c>
      <c r="I1554" s="49" t="n">
        <f aca="false">LN(G1554/H1554)</f>
        <v>-0.790638254183189</v>
      </c>
    </row>
    <row r="1555" customFormat="false" ht="15" hidden="false" customHeight="true" outlineLevel="0" collapsed="false">
      <c r="A1555" s="38" t="s">
        <v>860</v>
      </c>
      <c r="B1555" s="38" t="n">
        <v>63</v>
      </c>
      <c r="C1555" s="38" t="s">
        <v>171</v>
      </c>
      <c r="D1555" s="38" t="s">
        <v>171</v>
      </c>
      <c r="E1555" s="38" t="s">
        <v>875</v>
      </c>
      <c r="F1555" s="38" t="str">
        <f aca="false">B1555&amp;"|"&amp;C1555&amp;"|"&amp;D1555</f>
        <v>63|U|U</v>
      </c>
      <c r="G1555" s="45" t="n">
        <f aca="false">INDEX('Transition Stepwise'!$J$2:$J$1137,MATCH(F1555,'Transition Stepwise'!$E$2:$E$1137,0))</f>
        <v>0.138888888888889</v>
      </c>
      <c r="H1555" s="45" t="n">
        <f aca="false">INDEX(Background!$D$12:$D$27,MATCH(C1555&amp;D1555,Background!$E$12:$E$27,0))</f>
        <v>0.220480320213476</v>
      </c>
      <c r="I1555" s="49" t="n">
        <f aca="false">LN(G1555/H1555)</f>
        <v>-0.462134187211153</v>
      </c>
    </row>
    <row r="1556" customFormat="false" ht="15" hidden="false" customHeight="true" outlineLevel="0" collapsed="false">
      <c r="A1556" s="38" t="s">
        <v>860</v>
      </c>
      <c r="B1556" s="38" t="n">
        <v>64</v>
      </c>
      <c r="C1556" s="38" t="s">
        <v>171</v>
      </c>
      <c r="D1556" s="38" t="s">
        <v>170</v>
      </c>
      <c r="E1556" s="38" t="s">
        <v>875</v>
      </c>
      <c r="F1556" s="38" t="str">
        <f aca="false">B1556&amp;"|"&amp;C1556&amp;"|"&amp;D1556</f>
        <v>64|U|C</v>
      </c>
      <c r="G1556" s="45" t="n">
        <f aca="false">INDEX('Transition Stepwise'!$J$2:$J$1137,MATCH(F1556,'Transition Stepwise'!$E$2:$E$1137,0))</f>
        <v>0.486486486486487</v>
      </c>
      <c r="H1556" s="45" t="n">
        <f aca="false">INDEX(Background!$D$12:$D$27,MATCH(C1556&amp;D1556,Background!$E$12:$E$27,0))</f>
        <v>0.377251501000667</v>
      </c>
      <c r="I1556" s="49" t="n">
        <f aca="false">LN(G1556/H1556)</f>
        <v>0.254297047798363</v>
      </c>
    </row>
    <row r="1557" customFormat="false" ht="15" hidden="false" customHeight="true" outlineLevel="0" collapsed="false">
      <c r="A1557" s="38" t="s">
        <v>860</v>
      </c>
      <c r="B1557" s="38" t="n">
        <v>65</v>
      </c>
      <c r="C1557" s="38" t="s">
        <v>170</v>
      </c>
      <c r="D1557" s="38" t="s">
        <v>172</v>
      </c>
      <c r="E1557" s="38" t="s">
        <v>875</v>
      </c>
      <c r="F1557" s="38" t="str">
        <f aca="false">B1557&amp;"|"&amp;C1557&amp;"|"&amp;D1557</f>
        <v>65|C|A</v>
      </c>
      <c r="G1557" s="45" t="n">
        <f aca="false">INDEX('Transition Stepwise'!$J$2:$J$1137,MATCH(F1557,'Transition Stepwise'!$E$2:$E$1137,0))</f>
        <v>0.17910447761194</v>
      </c>
      <c r="H1557" s="45" t="n">
        <f aca="false">INDEX(Background!$D$12:$D$27,MATCH(C1557&amp;D1557,Background!$E$12:$E$27,0))</f>
        <v>0.194883966244726</v>
      </c>
      <c r="I1557" s="49" t="n">
        <f aca="false">LN(G1557/H1557)</f>
        <v>-0.0844350271762552</v>
      </c>
    </row>
    <row r="1558" customFormat="false" ht="15" hidden="false" customHeight="true" outlineLevel="0" collapsed="false">
      <c r="A1558" s="38" t="s">
        <v>860</v>
      </c>
      <c r="B1558" s="38" t="n">
        <v>66</v>
      </c>
      <c r="C1558" s="38" t="s">
        <v>172</v>
      </c>
      <c r="D1558" s="38" t="s">
        <v>171</v>
      </c>
      <c r="E1558" s="38" t="s">
        <v>875</v>
      </c>
      <c r="F1558" s="38" t="str">
        <f aca="false">B1558&amp;"|"&amp;C1558&amp;"|"&amp;D1558</f>
        <v>66|A|U</v>
      </c>
      <c r="G1558" s="45" t="n">
        <f aca="false">INDEX('Transition Stepwise'!$J$2:$J$1137,MATCH(F1558,'Transition Stepwise'!$E$2:$E$1137,0))</f>
        <v>0.25531914893617</v>
      </c>
      <c r="H1558" s="45" t="n">
        <f aca="false">INDEX(Background!$D$12:$D$27,MATCH(C1558&amp;D1558,Background!$E$12:$E$27,0))</f>
        <v>0.194530046224961</v>
      </c>
      <c r="I1558" s="49" t="n">
        <f aca="false">LN(G1558/H1558)</f>
        <v>0.271927696626562</v>
      </c>
    </row>
    <row r="1559" customFormat="false" ht="15" hidden="false" customHeight="true" outlineLevel="0" collapsed="false">
      <c r="A1559" s="38" t="s">
        <v>860</v>
      </c>
      <c r="B1559" s="38" t="n">
        <v>67</v>
      </c>
      <c r="C1559" s="38" t="s">
        <v>171</v>
      </c>
      <c r="D1559" s="38" t="s">
        <v>169</v>
      </c>
      <c r="E1559" s="38" t="s">
        <v>875</v>
      </c>
      <c r="F1559" s="38" t="str">
        <f aca="false">B1559&amp;"|"&amp;C1559&amp;"|"&amp;D1559</f>
        <v>67|U|G</v>
      </c>
      <c r="G1559" s="45" t="n">
        <f aca="false">INDEX('Transition Stepwise'!$J$2:$J$1137,MATCH(F1559,'Transition Stepwise'!$E$2:$E$1137,0))</f>
        <v>0.285714285714286</v>
      </c>
      <c r="H1559" s="45" t="n">
        <f aca="false">INDEX(Background!$D$12:$D$27,MATCH(C1559&amp;D1559,Background!$E$12:$E$27,0))</f>
        <v>0.221480987324883</v>
      </c>
      <c r="I1559" s="49" t="n">
        <f aca="false">LN(G1559/H1559)</f>
        <v>0.254655560690741</v>
      </c>
    </row>
    <row r="1560" customFormat="false" ht="15" hidden="false" customHeight="true" outlineLevel="0" collapsed="false">
      <c r="A1560" s="38" t="s">
        <v>860</v>
      </c>
      <c r="B1560" s="38" t="n">
        <v>68</v>
      </c>
      <c r="C1560" s="38" t="s">
        <v>169</v>
      </c>
      <c r="D1560" s="38" t="s">
        <v>169</v>
      </c>
      <c r="E1560" s="38" t="s">
        <v>875</v>
      </c>
      <c r="F1560" s="38" t="str">
        <f aca="false">B1560&amp;"|"&amp;C1560&amp;"|"&amp;D1560</f>
        <v>68|G|G</v>
      </c>
      <c r="G1560" s="45" t="n">
        <f aca="false">INDEX('Transition Stepwise'!$J$2:$J$1137,MATCH(F1560,'Transition Stepwise'!$E$2:$E$1137,0))</f>
        <v>0.54945054945055</v>
      </c>
      <c r="H1560" s="45" t="n">
        <f aca="false">INDEX(Background!$D$12:$D$27,MATCH(C1560&amp;D1560,Background!$E$12:$E$27,0))</f>
        <v>0.344774477447745</v>
      </c>
      <c r="I1560" s="49" t="n">
        <f aca="false">LN(G1560/H1560)</f>
        <v>0.466028263166855</v>
      </c>
    </row>
    <row r="1561" customFormat="false" ht="15" hidden="false" customHeight="true" outlineLevel="0" collapsed="false">
      <c r="A1561" s="38" t="s">
        <v>860</v>
      </c>
      <c r="B1561" s="38" t="n">
        <v>69</v>
      </c>
      <c r="C1561" s="38" t="s">
        <v>169</v>
      </c>
      <c r="D1561" s="38" t="s">
        <v>172</v>
      </c>
      <c r="E1561" s="38" t="s">
        <v>875</v>
      </c>
      <c r="F1561" s="38" t="str">
        <f aca="false">B1561&amp;"|"&amp;C1561&amp;"|"&amp;D1561</f>
        <v>69|G|A</v>
      </c>
      <c r="G1561" s="45" t="n">
        <f aca="false">INDEX('Transition Stepwise'!$J$2:$J$1137,MATCH(F1561,'Transition Stepwise'!$E$2:$E$1137,0))</f>
        <v>0.135135135135135</v>
      </c>
      <c r="H1561" s="45" t="n">
        <f aca="false">INDEX(Background!$D$12:$D$27,MATCH(C1561&amp;D1561,Background!$E$12:$E$27,0))</f>
        <v>0.164356435643564</v>
      </c>
      <c r="I1561" s="49" t="n">
        <f aca="false">LN(G1561/H1561)</f>
        <v>-0.195762178731362</v>
      </c>
    </row>
    <row r="1562" customFormat="false" ht="15" hidden="false" customHeight="true" outlineLevel="0" collapsed="false">
      <c r="A1562" s="38" t="s">
        <v>860</v>
      </c>
      <c r="B1562" s="38" t="n">
        <v>70</v>
      </c>
      <c r="C1562" s="38" t="s">
        <v>172</v>
      </c>
      <c r="D1562" s="38" t="s">
        <v>171</v>
      </c>
      <c r="E1562" s="38" t="s">
        <v>875</v>
      </c>
      <c r="F1562" s="38" t="str">
        <f aca="false">B1562&amp;"|"&amp;C1562&amp;"|"&amp;D1562</f>
        <v>70|A|U</v>
      </c>
      <c r="G1562" s="45" t="n">
        <f aca="false">INDEX('Transition Stepwise'!$J$2:$J$1137,MATCH(F1562,'Transition Stepwise'!$E$2:$E$1137,0))</f>
        <v>0.111111111111111</v>
      </c>
      <c r="H1562" s="45" t="n">
        <f aca="false">INDEX(Background!$D$12:$D$27,MATCH(C1562&amp;D1562,Background!$E$12:$E$27,0))</f>
        <v>0.194530046224961</v>
      </c>
      <c r="I1562" s="49" t="n">
        <f aca="false">LN(G1562/H1562)</f>
        <v>-0.560055928787599</v>
      </c>
    </row>
    <row r="1563" customFormat="false" ht="15" hidden="false" customHeight="true" outlineLevel="0" collapsed="false">
      <c r="A1563" s="38" t="s">
        <v>860</v>
      </c>
      <c r="B1563" s="38" t="n">
        <v>71</v>
      </c>
      <c r="C1563" s="38" t="s">
        <v>171</v>
      </c>
      <c r="D1563" s="38" t="s">
        <v>171</v>
      </c>
      <c r="E1563" s="38" t="s">
        <v>875</v>
      </c>
      <c r="F1563" s="38" t="str">
        <f aca="false">B1563&amp;"|"&amp;C1563&amp;"|"&amp;D1563</f>
        <v>71|U|U</v>
      </c>
      <c r="G1563" s="45" t="n">
        <f aca="false">INDEX('Transition Stepwise'!$J$2:$J$1137,MATCH(F1563,'Transition Stepwise'!$E$2:$E$1137,0))</f>
        <v>0.0769230769230769</v>
      </c>
      <c r="H1563" s="45" t="n">
        <f aca="false">INDEX(Background!$D$12:$D$27,MATCH(C1563&amp;D1563,Background!$E$12:$E$27,0))</f>
        <v>0.220480320213476</v>
      </c>
      <c r="I1563" s="49" t="n">
        <f aca="false">LN(G1563/H1563)</f>
        <v>-1.05300251865068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E11" activePane="bottomRight" state="frozen"/>
      <selection pane="topLeft" activeCell="A1" activeCellId="0" sqref="A1"/>
      <selection pane="topRight" activeCell="E1" activeCellId="0" sqref="E1"/>
      <selection pane="bottomLeft" activeCell="A11" activeCellId="0" sqref="A11"/>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4"/>
    <col collapsed="false" customWidth="true" hidden="false" outlineLevel="0" max="5" min="5" style="0" width="16"/>
    <col collapsed="false" customWidth="true" hidden="false" outlineLevel="0" max="6" min="6" style="0" width="18"/>
    <col collapsed="false" customWidth="true" hidden="false" outlineLevel="0" max="7" min="7" style="0" width="22"/>
    <col collapsed="false" customWidth="true" hidden="false" outlineLevel="0" max="8" min="8" style="0" width="24"/>
    <col collapsed="false" customWidth="true" hidden="false" outlineLevel="0" max="9" min="9" style="0" width="18"/>
    <col collapsed="false" customWidth="true" hidden="false" outlineLevel="0" max="10" min="10" style="0" width="14"/>
    <col collapsed="false" customWidth="true" hidden="false" outlineLevel="0" max="11" min="11" style="0" width="16"/>
    <col collapsed="false" customWidth="true" hidden="false" outlineLevel="0" max="12" min="12" style="0" width="14"/>
    <col collapsed="false" customWidth="true" hidden="false" outlineLevel="0" max="13" min="13" style="0" width="18"/>
    <col collapsed="false" customWidth="true" hidden="false" outlineLevel="0" max="14" min="14" style="0" width="14"/>
  </cols>
  <sheetData>
    <row r="1" customFormat="false" ht="15" hidden="false" customHeight="true" outlineLevel="0" collapsed="false">
      <c r="A1" s="37" t="s">
        <v>877</v>
      </c>
      <c r="B1" s="38"/>
      <c r="C1" s="38"/>
      <c r="D1" s="38"/>
      <c r="E1" s="38"/>
      <c r="F1" s="38"/>
      <c r="G1" s="38"/>
      <c r="H1" s="38"/>
      <c r="I1" s="38"/>
      <c r="J1" s="38"/>
      <c r="K1" s="38"/>
      <c r="L1" s="38"/>
      <c r="M1" s="38"/>
      <c r="N1" s="38"/>
    </row>
    <row r="2" customFormat="false" ht="15" hidden="false" customHeight="true" outlineLevel="0" collapsed="false">
      <c r="A2" s="38" t="s">
        <v>878</v>
      </c>
      <c r="B2" s="38"/>
      <c r="C2" s="38"/>
      <c r="D2" s="38"/>
      <c r="E2" s="38"/>
      <c r="F2" s="38"/>
      <c r="G2" s="38"/>
      <c r="H2" s="38"/>
      <c r="I2" s="38"/>
      <c r="J2" s="38"/>
      <c r="K2" s="38"/>
      <c r="L2" s="38"/>
      <c r="M2" s="38"/>
      <c r="N2" s="38"/>
    </row>
    <row r="3" customFormat="false" ht="15" hidden="false" customHeight="true" outlineLevel="0" collapsed="false">
      <c r="A3" s="38"/>
      <c r="B3" s="38"/>
      <c r="C3" s="38"/>
      <c r="D3" s="38"/>
      <c r="E3" s="38"/>
      <c r="F3" s="38"/>
      <c r="G3" s="38"/>
      <c r="H3" s="38"/>
      <c r="I3" s="38"/>
      <c r="J3" s="38"/>
      <c r="K3" s="38"/>
      <c r="L3" s="38"/>
      <c r="M3" s="38"/>
      <c r="N3" s="38"/>
    </row>
    <row r="4" customFormat="false" ht="15" hidden="false" customHeight="true" outlineLevel="0" collapsed="false">
      <c r="A4" s="39" t="s">
        <v>769</v>
      </c>
      <c r="B4" s="39" t="s">
        <v>770</v>
      </c>
      <c r="C4" s="39" t="s">
        <v>164</v>
      </c>
      <c r="D4" s="39" t="s">
        <v>484</v>
      </c>
      <c r="E4" s="39" t="s">
        <v>772</v>
      </c>
      <c r="F4" s="39" t="s">
        <v>879</v>
      </c>
      <c r="G4" s="39" t="s">
        <v>880</v>
      </c>
      <c r="H4" s="39" t="s">
        <v>881</v>
      </c>
      <c r="I4" s="39" t="s">
        <v>559</v>
      </c>
      <c r="J4" s="39" t="s">
        <v>576</v>
      </c>
      <c r="K4" s="39" t="s">
        <v>580</v>
      </c>
      <c r="L4" s="39" t="s">
        <v>584</v>
      </c>
      <c r="M4" s="39" t="s">
        <v>882</v>
      </c>
      <c r="N4" s="39" t="s">
        <v>883</v>
      </c>
    </row>
    <row r="5" customFormat="false" ht="15" hidden="false" customHeight="true" outlineLevel="0" collapsed="false">
      <c r="A5" s="38" t="s">
        <v>16</v>
      </c>
      <c r="B5" s="38" t="s">
        <v>846</v>
      </c>
      <c r="C5" s="38" t="s">
        <v>18</v>
      </c>
      <c r="D5" s="50" t="n">
        <v>0.6479</v>
      </c>
      <c r="E5" s="38" t="n">
        <f aca="false">COUNTIFS('Cand+Decoy Per-Position'!$A$2:$A$1585,$A5,'Cand+Decoy Per-Position'!$H$2:$H$1585,"&lt;&gt;")</f>
        <v>71</v>
      </c>
      <c r="F5" s="38" t="n">
        <f aca="false">COUNTIFS('Cand+Decoy Per-Transition'!$A$2:$A$1563,$A5,'Cand+Decoy Per-Transition'!$E$2:$E$1563,"yes")</f>
        <v>69</v>
      </c>
      <c r="G5" s="49" t="n">
        <f aca="false">AVERAGEIFS('Cand+Decoy Per-Position'!$H$2:$H$1585,'Cand+Decoy Per-Position'!$A$2:$A$1585,$A5)</f>
        <v>0.0381464473086666</v>
      </c>
      <c r="H5" s="49" t="n">
        <f aca="false">AVERAGEIFS('Cand+Decoy Per-Transition'!$I$2:$I$1563,'Cand+Decoy Per-Transition'!$A$2:$A$1563,$A5,'Cand+Decoy Per-Transition'!$E$2:$E$1563,"yes")</f>
        <v>0.0406224780236411</v>
      </c>
      <c r="I5" s="49" t="n">
        <f aca="false">AVERAGE(G5:H5)</f>
        <v>0.0393844626661538</v>
      </c>
      <c r="J5" s="50" t="n">
        <v>0.9048</v>
      </c>
      <c r="K5" s="38" t="s">
        <v>20</v>
      </c>
      <c r="L5" s="38" t="s">
        <v>21</v>
      </c>
      <c r="M5" s="38" t="s">
        <v>18</v>
      </c>
      <c r="N5" s="38" t="s">
        <v>875</v>
      </c>
    </row>
    <row r="6" customFormat="false" ht="15" hidden="false" customHeight="true" outlineLevel="0" collapsed="false">
      <c r="A6" s="38" t="s">
        <v>23</v>
      </c>
      <c r="B6" s="38" t="s">
        <v>846</v>
      </c>
      <c r="C6" s="38" t="s">
        <v>25</v>
      </c>
      <c r="D6" s="50" t="n">
        <v>0.4444</v>
      </c>
      <c r="E6" s="38" t="n">
        <f aca="false">COUNTIFS('Cand+Decoy Per-Position'!$A$2:$A$1585,$A6,'Cand+Decoy Per-Position'!$H$2:$H$1585,"&lt;&gt;")</f>
        <v>72</v>
      </c>
      <c r="F6" s="38" t="n">
        <f aca="false">COUNTIFS('Cand+Decoy Per-Transition'!$A$2:$A$1563,$A6,'Cand+Decoy Per-Transition'!$E$2:$E$1563,"yes")</f>
        <v>71</v>
      </c>
      <c r="G6" s="49" t="n">
        <f aca="false">AVERAGEIFS('Cand+Decoy Per-Position'!$H$2:$H$1585,'Cand+Decoy Per-Position'!$A$2:$A$1585,$A6)</f>
        <v>-0.187898486401662</v>
      </c>
      <c r="H6" s="49" t="n">
        <f aca="false">AVERAGEIFS('Cand+Decoy Per-Transition'!$I$2:$I$1563,'Cand+Decoy Per-Transition'!$A$2:$A$1563,$A6,'Cand+Decoy Per-Transition'!$E$2:$E$1563,"yes")</f>
        <v>-0.0967783581012945</v>
      </c>
      <c r="I6" s="49" t="n">
        <f aca="false">AVERAGE(G6:H6)</f>
        <v>-0.142338422251478</v>
      </c>
      <c r="J6" s="50" t="n">
        <v>0.9048</v>
      </c>
      <c r="K6" s="38" t="s">
        <v>20</v>
      </c>
      <c r="L6" s="38" t="s">
        <v>21</v>
      </c>
      <c r="M6" s="38" t="s">
        <v>25</v>
      </c>
      <c r="N6" s="38" t="s">
        <v>875</v>
      </c>
    </row>
    <row r="7" customFormat="false" ht="15" hidden="false" customHeight="true" outlineLevel="0" collapsed="false">
      <c r="A7" s="48" t="s">
        <v>854</v>
      </c>
      <c r="B7" s="48" t="s">
        <v>848</v>
      </c>
      <c r="C7" s="48" t="s">
        <v>37</v>
      </c>
      <c r="D7" s="51" t="n">
        <v>0.3056</v>
      </c>
      <c r="E7" s="48" t="n">
        <f aca="false">COUNTIFS('Cand+Decoy Per-Position'!$A$2:$A$1585,$A7,'Cand+Decoy Per-Position'!$H$2:$H$1585,"&lt;&gt;")</f>
        <v>72</v>
      </c>
      <c r="F7" s="48" t="n">
        <f aca="false">COUNTIFS('Cand+Decoy Per-Transition'!$A$2:$A$1563,$A7,'Cand+Decoy Per-Transition'!$E$2:$E$1563,"yes")</f>
        <v>71</v>
      </c>
      <c r="G7" s="52" t="n">
        <f aca="false">AVERAGEIFS('Cand+Decoy Per-Position'!$H$2:$H$1585,'Cand+Decoy Per-Position'!$A$2:$A$1585,$A7)</f>
        <v>-0.207232188403365</v>
      </c>
      <c r="H7" s="52" t="n">
        <f aca="false">AVERAGEIFS('Cand+Decoy Per-Transition'!$I$2:$I$1563,'Cand+Decoy Per-Transition'!$A$2:$A$1563,$A7,'Cand+Decoy Per-Transition'!$E$2:$E$1563,"yes")</f>
        <v>-0.170814690546335</v>
      </c>
      <c r="I7" s="52" t="n">
        <f aca="false">AVERAGE(G7:H7)</f>
        <v>-0.18902343947485</v>
      </c>
      <c r="J7" s="51" t="n">
        <v>0.9048</v>
      </c>
      <c r="K7" s="48" t="s">
        <v>884</v>
      </c>
      <c r="L7" s="48" t="s">
        <v>33</v>
      </c>
      <c r="M7" s="48" t="s">
        <v>37</v>
      </c>
      <c r="N7" s="48" t="s">
        <v>875</v>
      </c>
    </row>
    <row r="8" customFormat="false" ht="15" hidden="false" customHeight="true" outlineLevel="0" collapsed="false">
      <c r="A8" s="48" t="s">
        <v>849</v>
      </c>
      <c r="B8" s="48" t="s">
        <v>848</v>
      </c>
      <c r="C8" s="48" t="s">
        <v>37</v>
      </c>
      <c r="D8" s="51" t="n">
        <v>0.2917</v>
      </c>
      <c r="E8" s="48" t="n">
        <f aca="false">COUNTIFS('Cand+Decoy Per-Position'!$A$2:$A$1585,$A8,'Cand+Decoy Per-Position'!$H$2:$H$1585,"&lt;&gt;")</f>
        <v>72</v>
      </c>
      <c r="F8" s="48" t="n">
        <f aca="false">COUNTIFS('Cand+Decoy Per-Transition'!$A$2:$A$1563,$A8,'Cand+Decoy Per-Transition'!$E$2:$E$1563,"yes")</f>
        <v>71</v>
      </c>
      <c r="G8" s="52" t="n">
        <f aca="false">AVERAGEIFS('Cand+Decoy Per-Position'!$H$2:$H$1585,'Cand+Decoy Per-Position'!$A$2:$A$1585,$A8)</f>
        <v>-0.253678369993244</v>
      </c>
      <c r="H8" s="52" t="n">
        <f aca="false">AVERAGEIFS('Cand+Decoy Per-Transition'!$I$2:$I$1563,'Cand+Decoy Per-Transition'!$A$2:$A$1563,$A8,'Cand+Decoy Per-Transition'!$E$2:$E$1563,"yes")</f>
        <v>-0.144393859207487</v>
      </c>
      <c r="I8" s="52" t="n">
        <f aca="false">AVERAGE(G8:H8)</f>
        <v>-0.199036114600365</v>
      </c>
      <c r="J8" s="51" t="n">
        <v>0.9524</v>
      </c>
      <c r="K8" s="48" t="s">
        <v>885</v>
      </c>
      <c r="L8" s="48" t="s">
        <v>35</v>
      </c>
      <c r="M8" s="48" t="s">
        <v>37</v>
      </c>
      <c r="N8" s="48" t="s">
        <v>875</v>
      </c>
    </row>
    <row r="9" customFormat="false" ht="15" hidden="false" customHeight="true" outlineLevel="0" collapsed="false">
      <c r="A9" s="48" t="s">
        <v>859</v>
      </c>
      <c r="B9" s="48" t="s">
        <v>848</v>
      </c>
      <c r="C9" s="48" t="s">
        <v>25</v>
      </c>
      <c r="D9" s="51" t="n">
        <v>0.4028</v>
      </c>
      <c r="E9" s="48" t="n">
        <f aca="false">COUNTIFS('Cand+Decoy Per-Position'!$A$2:$A$1585,$A9,'Cand+Decoy Per-Position'!$H$2:$H$1585,"&lt;&gt;")</f>
        <v>72</v>
      </c>
      <c r="F9" s="48" t="n">
        <f aca="false">COUNTIFS('Cand+Decoy Per-Transition'!$A$2:$A$1563,$A9,'Cand+Decoy Per-Transition'!$E$2:$E$1563,"yes")</f>
        <v>71</v>
      </c>
      <c r="G9" s="52" t="n">
        <f aca="false">AVERAGEIFS('Cand+Decoy Per-Position'!$H$2:$H$1585,'Cand+Decoy Per-Position'!$A$2:$A$1585,$A9)</f>
        <v>-0.198718467287487</v>
      </c>
      <c r="H9" s="52" t="n">
        <f aca="false">AVERAGEIFS('Cand+Decoy Per-Transition'!$I$2:$I$1563,'Cand+Decoy Per-Transition'!$A$2:$A$1563,$A9,'Cand+Decoy Per-Transition'!$E$2:$E$1563,"yes")</f>
        <v>-0.243914650023182</v>
      </c>
      <c r="I9" s="52" t="n">
        <f aca="false">AVERAGE(G9:H9)</f>
        <v>-0.221316558655335</v>
      </c>
      <c r="J9" s="51" t="n">
        <v>0.9048</v>
      </c>
      <c r="K9" s="48" t="s">
        <v>885</v>
      </c>
      <c r="L9" s="48" t="s">
        <v>33</v>
      </c>
      <c r="M9" s="48" t="s">
        <v>25</v>
      </c>
      <c r="N9" s="48" t="s">
        <v>875</v>
      </c>
    </row>
    <row r="10" customFormat="false" ht="15" hidden="false" customHeight="true" outlineLevel="0" collapsed="false">
      <c r="A10" s="38" t="s">
        <v>27</v>
      </c>
      <c r="B10" s="38" t="s">
        <v>846</v>
      </c>
      <c r="C10" s="38" t="s">
        <v>25</v>
      </c>
      <c r="D10" s="50" t="n">
        <v>0.4583</v>
      </c>
      <c r="E10" s="38" t="n">
        <f aca="false">COUNTIFS('Cand+Decoy Per-Position'!$A$2:$A$1585,$A10,'Cand+Decoy Per-Position'!$H$2:$H$1585,"&lt;&gt;")</f>
        <v>72</v>
      </c>
      <c r="F10" s="38" t="n">
        <f aca="false">COUNTIFS('Cand+Decoy Per-Transition'!$A$2:$A$1563,$A10,'Cand+Decoy Per-Transition'!$E$2:$E$1563,"yes")</f>
        <v>71</v>
      </c>
      <c r="G10" s="49" t="n">
        <f aca="false">AVERAGEIFS('Cand+Decoy Per-Position'!$H$2:$H$1585,'Cand+Decoy Per-Position'!$A$2:$A$1585,$A10)</f>
        <v>-0.317202800962952</v>
      </c>
      <c r="H10" s="49" t="n">
        <f aca="false">AVERAGEIFS('Cand+Decoy Per-Transition'!$I$2:$I$1563,'Cand+Decoy Per-Transition'!$A$2:$A$1563,$A10,'Cand+Decoy Per-Transition'!$E$2:$E$1563,"yes")</f>
        <v>-0.160491125797778</v>
      </c>
      <c r="I10" s="49" t="n">
        <f aca="false">AVERAGE(G10:H10)</f>
        <v>-0.238846963380365</v>
      </c>
      <c r="J10" s="50" t="n">
        <v>0.9048</v>
      </c>
      <c r="K10" s="38" t="s">
        <v>28</v>
      </c>
      <c r="L10" s="38" t="s">
        <v>29</v>
      </c>
      <c r="M10" s="38" t="s">
        <v>25</v>
      </c>
      <c r="N10" s="38" t="s">
        <v>875</v>
      </c>
    </row>
    <row r="11" customFormat="false" ht="15" hidden="false" customHeight="true" outlineLevel="0" collapsed="false">
      <c r="A11" s="38" t="s">
        <v>31</v>
      </c>
      <c r="B11" s="38" t="s">
        <v>846</v>
      </c>
      <c r="C11" s="38" t="s">
        <v>25</v>
      </c>
      <c r="D11" s="50" t="n">
        <v>0.5493</v>
      </c>
      <c r="E11" s="38" t="n">
        <f aca="false">COUNTIFS('Cand+Decoy Per-Position'!$A$2:$A$1585,$A11,'Cand+Decoy Per-Position'!$H$2:$H$1585,"&lt;&gt;")</f>
        <v>71</v>
      </c>
      <c r="F11" s="38" t="n">
        <f aca="false">COUNTIFS('Cand+Decoy Per-Transition'!$A$2:$A$1563,$A11,'Cand+Decoy Per-Transition'!$E$2:$E$1563,"yes")</f>
        <v>69</v>
      </c>
      <c r="G11" s="49" t="n">
        <f aca="false">AVERAGEIFS('Cand+Decoy Per-Position'!$H$2:$H$1585,'Cand+Decoy Per-Position'!$A$2:$A$1585,$A11)</f>
        <v>-0.304420873641101</v>
      </c>
      <c r="H11" s="49" t="n">
        <f aca="false">AVERAGEIFS('Cand+Decoy Per-Transition'!$I$2:$I$1563,'Cand+Decoy Per-Transition'!$A$2:$A$1563,$A11,'Cand+Decoy Per-Transition'!$E$2:$E$1563,"yes")</f>
        <v>-0.189357594157793</v>
      </c>
      <c r="I11" s="49" t="n">
        <f aca="false">AVERAGE(G11:H11)</f>
        <v>-0.246889233899447</v>
      </c>
      <c r="J11" s="50" t="n">
        <v>0.9048</v>
      </c>
      <c r="K11" s="38" t="s">
        <v>32</v>
      </c>
      <c r="L11" s="38" t="s">
        <v>33</v>
      </c>
      <c r="M11" s="38" t="s">
        <v>25</v>
      </c>
      <c r="N11" s="38" t="s">
        <v>875</v>
      </c>
    </row>
    <row r="12" customFormat="false" ht="15" hidden="false" customHeight="true" outlineLevel="0" collapsed="false">
      <c r="A12" s="48" t="s">
        <v>855</v>
      </c>
      <c r="B12" s="48" t="s">
        <v>848</v>
      </c>
      <c r="C12" s="48" t="s">
        <v>37</v>
      </c>
      <c r="D12" s="51" t="n">
        <v>0.2254</v>
      </c>
      <c r="E12" s="48" t="n">
        <f aca="false">COUNTIFS('Cand+Decoy Per-Position'!$A$2:$A$1585,$A12,'Cand+Decoy Per-Position'!$H$2:$H$1585,"&lt;&gt;")</f>
        <v>71</v>
      </c>
      <c r="F12" s="48" t="n">
        <f aca="false">COUNTIFS('Cand+Decoy Per-Transition'!$A$2:$A$1563,$A12,'Cand+Decoy Per-Transition'!$E$2:$E$1563,"yes")</f>
        <v>69</v>
      </c>
      <c r="G12" s="52" t="n">
        <f aca="false">AVERAGEIFS('Cand+Decoy Per-Position'!$H$2:$H$1585,'Cand+Decoy Per-Position'!$A$2:$A$1585,$A12)</f>
        <v>-0.250348667478946</v>
      </c>
      <c r="H12" s="52" t="n">
        <f aca="false">AVERAGEIFS('Cand+Decoy Per-Transition'!$I$2:$I$1563,'Cand+Decoy Per-Transition'!$A$2:$A$1563,$A12,'Cand+Decoy Per-Transition'!$E$2:$E$1563,"yes")</f>
        <v>-0.286551624172505</v>
      </c>
      <c r="I12" s="52" t="n">
        <f aca="false">AVERAGE(G12:H12)</f>
        <v>-0.268450145825725</v>
      </c>
      <c r="J12" s="51" t="n">
        <v>0.9048</v>
      </c>
      <c r="K12" s="48" t="s">
        <v>884</v>
      </c>
      <c r="L12" s="48" t="s">
        <v>39</v>
      </c>
      <c r="M12" s="48" t="s">
        <v>37</v>
      </c>
      <c r="N12" s="48" t="s">
        <v>875</v>
      </c>
    </row>
    <row r="13" customFormat="false" ht="15" hidden="false" customHeight="true" outlineLevel="0" collapsed="false">
      <c r="A13" s="38" t="s">
        <v>34</v>
      </c>
      <c r="B13" s="38" t="s">
        <v>846</v>
      </c>
      <c r="C13" s="38" t="s">
        <v>18</v>
      </c>
      <c r="D13" s="50" t="n">
        <v>0.3286</v>
      </c>
      <c r="E13" s="38" t="n">
        <f aca="false">COUNTIFS('Cand+Decoy Per-Position'!$A$2:$A$1585,$A13,'Cand+Decoy Per-Position'!$H$2:$H$1585,"&lt;&gt;")</f>
        <v>70</v>
      </c>
      <c r="F13" s="38" t="n">
        <f aca="false">COUNTIFS('Cand+Decoy Per-Transition'!$A$2:$A$1563,$A13,'Cand+Decoy Per-Transition'!$E$2:$E$1563,"yes")</f>
        <v>67</v>
      </c>
      <c r="G13" s="49" t="n">
        <f aca="false">AVERAGEIFS('Cand+Decoy Per-Position'!$H$2:$H$1585,'Cand+Decoy Per-Position'!$A$2:$A$1585,$A13)</f>
        <v>-0.344900661119671</v>
      </c>
      <c r="H13" s="49" t="n">
        <f aca="false">AVERAGEIFS('Cand+Decoy Per-Transition'!$I$2:$I$1563,'Cand+Decoy Per-Transition'!$A$2:$A$1563,$A13,'Cand+Decoy Per-Transition'!$E$2:$E$1563,"yes")</f>
        <v>-0.228371159475167</v>
      </c>
      <c r="I13" s="49" t="n">
        <f aca="false">AVERAGE(G13:H13)</f>
        <v>-0.286635910297419</v>
      </c>
      <c r="J13" s="50" t="n">
        <v>0.9048</v>
      </c>
      <c r="K13" s="38" t="s">
        <v>32</v>
      </c>
      <c r="L13" s="38" t="s">
        <v>35</v>
      </c>
      <c r="M13" s="38" t="s">
        <v>18</v>
      </c>
      <c r="N13" s="38" t="s">
        <v>875</v>
      </c>
    </row>
    <row r="14" customFormat="false" ht="15" hidden="false" customHeight="true" outlineLevel="0" collapsed="false">
      <c r="A14" s="48" t="s">
        <v>850</v>
      </c>
      <c r="B14" s="48" t="s">
        <v>848</v>
      </c>
      <c r="C14" s="48" t="s">
        <v>37</v>
      </c>
      <c r="D14" s="51" t="n">
        <v>0.3239</v>
      </c>
      <c r="E14" s="48" t="n">
        <f aca="false">COUNTIFS('Cand+Decoy Per-Position'!$A$2:$A$1585,$A14,'Cand+Decoy Per-Position'!$H$2:$H$1585,"&lt;&gt;")</f>
        <v>71</v>
      </c>
      <c r="F14" s="48" t="n">
        <f aca="false">COUNTIFS('Cand+Decoy Per-Transition'!$A$2:$A$1563,$A14,'Cand+Decoy Per-Transition'!$E$2:$E$1563,"yes")</f>
        <v>69</v>
      </c>
      <c r="G14" s="52" t="n">
        <f aca="false">AVERAGEIFS('Cand+Decoy Per-Position'!$H$2:$H$1585,'Cand+Decoy Per-Position'!$A$2:$A$1585,$A14)</f>
        <v>-0.29549724654622</v>
      </c>
      <c r="H14" s="52" t="n">
        <f aca="false">AVERAGEIFS('Cand+Decoy Per-Transition'!$I$2:$I$1563,'Cand+Decoy Per-Transition'!$A$2:$A$1563,$A14,'Cand+Decoy Per-Transition'!$E$2:$E$1563,"yes")</f>
        <v>-0.283432883698843</v>
      </c>
      <c r="I14" s="52" t="n">
        <f aca="false">AVERAGE(G14:H14)</f>
        <v>-0.289465065122531</v>
      </c>
      <c r="J14" s="51" t="n">
        <v>0.9524</v>
      </c>
      <c r="K14" s="48" t="s">
        <v>20</v>
      </c>
      <c r="L14" s="48" t="s">
        <v>33</v>
      </c>
      <c r="M14" s="48" t="s">
        <v>37</v>
      </c>
      <c r="N14" s="48" t="s">
        <v>875</v>
      </c>
    </row>
    <row r="15" customFormat="false" ht="15" hidden="false" customHeight="true" outlineLevel="0" collapsed="false">
      <c r="A15" s="38" t="s">
        <v>36</v>
      </c>
      <c r="B15" s="38" t="s">
        <v>846</v>
      </c>
      <c r="C15" s="38" t="s">
        <v>37</v>
      </c>
      <c r="D15" s="50" t="n">
        <v>0.4429</v>
      </c>
      <c r="E15" s="38" t="n">
        <f aca="false">COUNTIFS('Cand+Decoy Per-Position'!$A$2:$A$1585,$A15,'Cand+Decoy Per-Position'!$H$2:$H$1585,"&lt;&gt;")</f>
        <v>70</v>
      </c>
      <c r="F15" s="38" t="n">
        <f aca="false">COUNTIFS('Cand+Decoy Per-Transition'!$A$2:$A$1563,$A15,'Cand+Decoy Per-Transition'!$E$2:$E$1563,"yes")</f>
        <v>68</v>
      </c>
      <c r="G15" s="49" t="n">
        <f aca="false">AVERAGEIFS('Cand+Decoy Per-Position'!$H$2:$H$1585,'Cand+Decoy Per-Position'!$A$2:$A$1585,$A15)</f>
        <v>-0.285438386160464</v>
      </c>
      <c r="H15" s="49" t="n">
        <f aca="false">AVERAGEIFS('Cand+Decoy Per-Transition'!$I$2:$I$1563,'Cand+Decoy Per-Transition'!$A$2:$A$1563,$A15,'Cand+Decoy Per-Transition'!$E$2:$E$1563,"yes")</f>
        <v>-0.295474282413886</v>
      </c>
      <c r="I15" s="49" t="n">
        <f aca="false">AVERAGE(G15:H15)</f>
        <v>-0.290456334287175</v>
      </c>
      <c r="J15" s="50" t="n">
        <v>0.9524</v>
      </c>
      <c r="K15" s="38" t="s">
        <v>32</v>
      </c>
      <c r="L15" s="38" t="s">
        <v>39</v>
      </c>
      <c r="M15" s="38" t="s">
        <v>37</v>
      </c>
      <c r="N15" s="38" t="s">
        <v>875</v>
      </c>
    </row>
    <row r="16" customFormat="false" ht="15" hidden="false" customHeight="true" outlineLevel="0" collapsed="false">
      <c r="A16" s="38" t="s">
        <v>40</v>
      </c>
      <c r="B16" s="38" t="s">
        <v>846</v>
      </c>
      <c r="C16" s="38" t="s">
        <v>37</v>
      </c>
      <c r="D16" s="50" t="n">
        <v>0.3</v>
      </c>
      <c r="E16" s="38" t="n">
        <f aca="false">COUNTIFS('Cand+Decoy Per-Position'!$A$2:$A$1585,$A16,'Cand+Decoy Per-Position'!$H$2:$H$1585,"&lt;&gt;")</f>
        <v>70</v>
      </c>
      <c r="F16" s="38" t="n">
        <f aca="false">COUNTIFS('Cand+Decoy Per-Transition'!$A$2:$A$1563,$A16,'Cand+Decoy Per-Transition'!$E$2:$E$1563,"yes")</f>
        <v>67</v>
      </c>
      <c r="G16" s="49" t="n">
        <f aca="false">AVERAGEIFS('Cand+Decoy Per-Position'!$H$2:$H$1585,'Cand+Decoy Per-Position'!$A$2:$A$1585,$A16)</f>
        <v>-0.370218201591107</v>
      </c>
      <c r="H16" s="49" t="n">
        <f aca="false">AVERAGEIFS('Cand+Decoy Per-Transition'!$I$2:$I$1563,'Cand+Decoy Per-Transition'!$A$2:$A$1563,$A16,'Cand+Decoy Per-Transition'!$E$2:$E$1563,"yes")</f>
        <v>-0.262441426298457</v>
      </c>
      <c r="I16" s="49" t="n">
        <f aca="false">AVERAGE(G16:H16)</f>
        <v>-0.316329813944782</v>
      </c>
      <c r="J16" s="50" t="n">
        <v>0.9048</v>
      </c>
      <c r="K16" s="38" t="s">
        <v>32</v>
      </c>
      <c r="L16" s="38" t="s">
        <v>35</v>
      </c>
      <c r="M16" s="38" t="s">
        <v>37</v>
      </c>
      <c r="N16" s="38" t="s">
        <v>875</v>
      </c>
    </row>
    <row r="17" customFormat="false" ht="15" hidden="false" customHeight="true" outlineLevel="0" collapsed="false">
      <c r="A17" s="48" t="s">
        <v>856</v>
      </c>
      <c r="B17" s="48" t="s">
        <v>848</v>
      </c>
      <c r="C17" s="48" t="s">
        <v>25</v>
      </c>
      <c r="D17" s="51" t="n">
        <v>0.2778</v>
      </c>
      <c r="E17" s="48" t="n">
        <f aca="false">COUNTIFS('Cand+Decoy Per-Position'!$A$2:$A$1585,$A17,'Cand+Decoy Per-Position'!$H$2:$H$1585,"&lt;&gt;")</f>
        <v>72</v>
      </c>
      <c r="F17" s="48" t="n">
        <f aca="false">COUNTIFS('Cand+Decoy Per-Transition'!$A$2:$A$1563,$A17,'Cand+Decoy Per-Transition'!$E$2:$E$1563,"yes")</f>
        <v>71</v>
      </c>
      <c r="G17" s="52" t="n">
        <f aca="false">AVERAGEIFS('Cand+Decoy Per-Position'!$H$2:$H$1585,'Cand+Decoy Per-Position'!$A$2:$A$1585,$A17)</f>
        <v>-0.336801509241828</v>
      </c>
      <c r="H17" s="52" t="n">
        <f aca="false">AVERAGEIFS('Cand+Decoy Per-Transition'!$I$2:$I$1563,'Cand+Decoy Per-Transition'!$A$2:$A$1563,$A17,'Cand+Decoy Per-Transition'!$E$2:$E$1563,"yes")</f>
        <v>-0.32173985434492</v>
      </c>
      <c r="I17" s="52" t="n">
        <f aca="false">AVERAGE(G17:H17)</f>
        <v>-0.329270681793374</v>
      </c>
      <c r="J17" s="51" t="n">
        <v>0.9048</v>
      </c>
      <c r="K17" s="48" t="s">
        <v>885</v>
      </c>
      <c r="L17" s="48" t="s">
        <v>39</v>
      </c>
      <c r="M17" s="48" t="s">
        <v>25</v>
      </c>
      <c r="N17" s="48" t="s">
        <v>875</v>
      </c>
    </row>
    <row r="18" customFormat="false" ht="15" hidden="false" customHeight="true" outlineLevel="0" collapsed="false">
      <c r="A18" s="48" t="s">
        <v>852</v>
      </c>
      <c r="B18" s="48" t="s">
        <v>848</v>
      </c>
      <c r="C18" s="48" t="s">
        <v>25</v>
      </c>
      <c r="D18" s="51" t="n">
        <v>0.3056</v>
      </c>
      <c r="E18" s="48" t="n">
        <f aca="false">COUNTIFS('Cand+Decoy Per-Position'!$A$2:$A$1585,$A18,'Cand+Decoy Per-Position'!$H$2:$H$1585,"&lt;&gt;")</f>
        <v>72</v>
      </c>
      <c r="F18" s="48" t="n">
        <f aca="false">COUNTIFS('Cand+Decoy Per-Transition'!$A$2:$A$1563,$A18,'Cand+Decoy Per-Transition'!$E$2:$E$1563,"yes")</f>
        <v>71</v>
      </c>
      <c r="G18" s="52" t="n">
        <f aca="false">AVERAGEIFS('Cand+Decoy Per-Position'!$H$2:$H$1585,'Cand+Decoy Per-Position'!$A$2:$A$1585,$A18)</f>
        <v>-0.369609576998846</v>
      </c>
      <c r="H18" s="52" t="n">
        <f aca="false">AVERAGEIFS('Cand+Decoy Per-Transition'!$I$2:$I$1563,'Cand+Decoy Per-Transition'!$A$2:$A$1563,$A18,'Cand+Decoy Per-Transition'!$E$2:$E$1563,"yes")</f>
        <v>-0.30401891167439</v>
      </c>
      <c r="I18" s="52" t="n">
        <f aca="false">AVERAGE(G18:H18)</f>
        <v>-0.336814244336618</v>
      </c>
      <c r="J18" s="51" t="n">
        <v>0.9524</v>
      </c>
      <c r="K18" s="48" t="s">
        <v>884</v>
      </c>
      <c r="L18" s="48" t="s">
        <v>33</v>
      </c>
      <c r="M18" s="48" t="s">
        <v>37</v>
      </c>
      <c r="N18" s="48" t="s">
        <v>886</v>
      </c>
    </row>
    <row r="19" customFormat="false" ht="15" hidden="false" customHeight="true" outlineLevel="0" collapsed="false">
      <c r="A19" s="48" t="s">
        <v>847</v>
      </c>
      <c r="B19" s="48" t="s">
        <v>848</v>
      </c>
      <c r="C19" s="48" t="s">
        <v>37</v>
      </c>
      <c r="D19" s="51" t="n">
        <v>0.4507</v>
      </c>
      <c r="E19" s="48" t="n">
        <f aca="false">COUNTIFS('Cand+Decoy Per-Position'!$A$2:$A$1585,$A19,'Cand+Decoy Per-Position'!$H$2:$H$1585,"&lt;&gt;")</f>
        <v>71</v>
      </c>
      <c r="F19" s="48" t="n">
        <f aca="false">COUNTIFS('Cand+Decoy Per-Transition'!$A$2:$A$1563,$A19,'Cand+Decoy Per-Transition'!$E$2:$E$1563,"yes")</f>
        <v>69</v>
      </c>
      <c r="G19" s="52" t="n">
        <f aca="false">AVERAGEIFS('Cand+Decoy Per-Position'!$H$2:$H$1585,'Cand+Decoy Per-Position'!$A$2:$A$1585,$A19)</f>
        <v>-0.367084374699219</v>
      </c>
      <c r="H19" s="52" t="n">
        <f aca="false">AVERAGEIFS('Cand+Decoy Per-Transition'!$I$2:$I$1563,'Cand+Decoy Per-Transition'!$A$2:$A$1563,$A19,'Cand+Decoy Per-Transition'!$E$2:$E$1563,"yes")</f>
        <v>-0.41884643661987</v>
      </c>
      <c r="I19" s="52" t="n">
        <f aca="false">AVERAGE(G19:H19)</f>
        <v>-0.392965405659545</v>
      </c>
      <c r="J19" s="51" t="n">
        <v>0.9048</v>
      </c>
      <c r="K19" s="48" t="s">
        <v>28</v>
      </c>
      <c r="L19" s="48" t="s">
        <v>39</v>
      </c>
      <c r="M19" s="48" t="s">
        <v>37</v>
      </c>
      <c r="N19" s="48" t="s">
        <v>875</v>
      </c>
    </row>
    <row r="20" customFormat="false" ht="15" hidden="false" customHeight="true" outlineLevel="0" collapsed="false">
      <c r="A20" s="48" t="s">
        <v>853</v>
      </c>
      <c r="B20" s="48" t="s">
        <v>848</v>
      </c>
      <c r="C20" s="48" t="s">
        <v>25</v>
      </c>
      <c r="D20" s="51" t="n">
        <v>0.3333</v>
      </c>
      <c r="E20" s="48" t="n">
        <f aca="false">COUNTIFS('Cand+Decoy Per-Position'!$A$2:$A$1585,$A20,'Cand+Decoy Per-Position'!$H$2:$H$1585,"&lt;&gt;")</f>
        <v>72</v>
      </c>
      <c r="F20" s="48" t="n">
        <f aca="false">COUNTIFS('Cand+Decoy Per-Transition'!$A$2:$A$1563,$A20,'Cand+Decoy Per-Transition'!$E$2:$E$1563,"yes")</f>
        <v>71</v>
      </c>
      <c r="G20" s="52" t="n">
        <f aca="false">AVERAGEIFS('Cand+Decoy Per-Position'!$H$2:$H$1585,'Cand+Decoy Per-Position'!$A$2:$A$1585,$A20)</f>
        <v>-0.489311352871358</v>
      </c>
      <c r="H20" s="52" t="n">
        <f aca="false">AVERAGEIFS('Cand+Decoy Per-Transition'!$I$2:$I$1563,'Cand+Decoy Per-Transition'!$A$2:$A$1563,$A20,'Cand+Decoy Per-Transition'!$E$2:$E$1563,"yes")</f>
        <v>-0.298963026744913</v>
      </c>
      <c r="I20" s="52" t="n">
        <f aca="false">AVERAGE(G20:H20)</f>
        <v>-0.394137189808135</v>
      </c>
      <c r="J20" s="51" t="n">
        <v>0.9048</v>
      </c>
      <c r="K20" s="48" t="s">
        <v>32</v>
      </c>
      <c r="L20" s="48" t="s">
        <v>39</v>
      </c>
      <c r="M20" s="48" t="s">
        <v>25</v>
      </c>
      <c r="N20" s="48" t="s">
        <v>875</v>
      </c>
    </row>
    <row r="21" customFormat="false" ht="15" hidden="false" customHeight="true" outlineLevel="0" collapsed="false">
      <c r="A21" s="48" t="s">
        <v>860</v>
      </c>
      <c r="B21" s="48" t="s">
        <v>848</v>
      </c>
      <c r="C21" s="48" t="s">
        <v>25</v>
      </c>
      <c r="D21" s="51" t="n">
        <v>0.2917</v>
      </c>
      <c r="E21" s="48" t="n">
        <f aca="false">COUNTIFS('Cand+Decoy Per-Position'!$A$2:$A$1585,$A21,'Cand+Decoy Per-Position'!$H$2:$H$1585,"&lt;&gt;")</f>
        <v>72</v>
      </c>
      <c r="F21" s="48" t="n">
        <f aca="false">COUNTIFS('Cand+Decoy Per-Transition'!$A$2:$A$1563,$A21,'Cand+Decoy Per-Transition'!$E$2:$E$1563,"yes")</f>
        <v>71</v>
      </c>
      <c r="G21" s="52" t="n">
        <f aca="false">AVERAGEIFS('Cand+Decoy Per-Position'!$H$2:$H$1585,'Cand+Decoy Per-Position'!$A$2:$A$1585,$A21)</f>
        <v>-0.512848769820774</v>
      </c>
      <c r="H21" s="52" t="n">
        <f aca="false">AVERAGEIFS('Cand+Decoy Per-Transition'!$I$2:$I$1563,'Cand+Decoy Per-Transition'!$A$2:$A$1563,$A21,'Cand+Decoy Per-Transition'!$E$2:$E$1563,"yes")</f>
        <v>-0.333750051767308</v>
      </c>
      <c r="I21" s="52" t="n">
        <f aca="false">AVERAGE(G21:H21)</f>
        <v>-0.423299410794041</v>
      </c>
      <c r="J21" s="51" t="n">
        <v>0.9524</v>
      </c>
      <c r="K21" s="48" t="s">
        <v>32</v>
      </c>
      <c r="L21" s="48" t="s">
        <v>35</v>
      </c>
      <c r="M21" s="48" t="s">
        <v>25</v>
      </c>
      <c r="N21" s="48" t="s">
        <v>875</v>
      </c>
    </row>
    <row r="22" customFormat="false" ht="15" hidden="false" customHeight="true" outlineLevel="0" collapsed="false">
      <c r="A22" s="48" t="s">
        <v>857</v>
      </c>
      <c r="B22" s="48" t="s">
        <v>848</v>
      </c>
      <c r="C22" s="48" t="s">
        <v>37</v>
      </c>
      <c r="D22" s="51" t="n">
        <v>0.2113</v>
      </c>
      <c r="E22" s="48" t="n">
        <f aca="false">COUNTIFS('Cand+Decoy Per-Position'!$A$2:$A$1585,$A22,'Cand+Decoy Per-Position'!$H$2:$H$1585,"&lt;&gt;")</f>
        <v>71</v>
      </c>
      <c r="F22" s="48" t="n">
        <f aca="false">COUNTIFS('Cand+Decoy Per-Transition'!$A$2:$A$1563,$A22,'Cand+Decoy Per-Transition'!$E$2:$E$1563,"yes")</f>
        <v>69</v>
      </c>
      <c r="G22" s="52" t="n">
        <f aca="false">AVERAGEIFS('Cand+Decoy Per-Position'!$H$2:$H$1585,'Cand+Decoy Per-Position'!$A$2:$A$1585,$A22)</f>
        <v>-0.401523023228113</v>
      </c>
      <c r="H22" s="52" t="n">
        <f aca="false">AVERAGEIFS('Cand+Decoy Per-Transition'!$I$2:$I$1563,'Cand+Decoy Per-Transition'!$A$2:$A$1563,$A22,'Cand+Decoy Per-Transition'!$E$2:$E$1563,"yes")</f>
        <v>-0.451434672303418</v>
      </c>
      <c r="I22" s="52" t="n">
        <f aca="false">AVERAGE(G22:H22)</f>
        <v>-0.426478847765766</v>
      </c>
      <c r="J22" s="51" t="n">
        <v>0.9048</v>
      </c>
      <c r="K22" s="48" t="s">
        <v>32</v>
      </c>
      <c r="L22" s="48" t="s">
        <v>35</v>
      </c>
      <c r="M22" s="48" t="s">
        <v>37</v>
      </c>
      <c r="N22" s="48" t="s">
        <v>875</v>
      </c>
    </row>
    <row r="23" customFormat="false" ht="15" hidden="false" customHeight="true" outlineLevel="0" collapsed="false">
      <c r="A23" s="48" t="s">
        <v>851</v>
      </c>
      <c r="B23" s="48" t="s">
        <v>848</v>
      </c>
      <c r="C23" s="48" t="s">
        <v>25</v>
      </c>
      <c r="D23" s="51" t="n">
        <v>0.338</v>
      </c>
      <c r="E23" s="48" t="n">
        <f aca="false">COUNTIFS('Cand+Decoy Per-Position'!$A$2:$A$1585,$A23,'Cand+Decoy Per-Position'!$H$2:$H$1585,"&lt;&gt;")</f>
        <v>71</v>
      </c>
      <c r="F23" s="48" t="n">
        <f aca="false">COUNTIFS('Cand+Decoy Per-Transition'!$A$2:$A$1563,$A23,'Cand+Decoy Per-Transition'!$E$2:$E$1563,"yes")</f>
        <v>69</v>
      </c>
      <c r="G23" s="52" t="n">
        <f aca="false">AVERAGEIFS('Cand+Decoy Per-Position'!$H$2:$H$1585,'Cand+Decoy Per-Position'!$A$2:$A$1585,$A23)</f>
        <v>-0.500559496360548</v>
      </c>
      <c r="H23" s="52" t="n">
        <f aca="false">AVERAGEIFS('Cand+Decoy Per-Transition'!$I$2:$I$1563,'Cand+Decoy Per-Transition'!$A$2:$A$1563,$A23,'Cand+Decoy Per-Transition'!$E$2:$E$1563,"yes")</f>
        <v>-0.398153760346698</v>
      </c>
      <c r="I23" s="52" t="n">
        <f aca="false">AVERAGE(G23:H23)</f>
        <v>-0.449356628353623</v>
      </c>
      <c r="J23" s="51" t="n">
        <v>0.9048</v>
      </c>
      <c r="K23" s="48" t="s">
        <v>32</v>
      </c>
      <c r="L23" s="48" t="s">
        <v>39</v>
      </c>
      <c r="M23" s="48" t="s">
        <v>25</v>
      </c>
      <c r="N23" s="48" t="s">
        <v>875</v>
      </c>
    </row>
    <row r="24" customFormat="false" ht="15" hidden="false" customHeight="true" outlineLevel="0" collapsed="false">
      <c r="A24" s="38" t="s">
        <v>41</v>
      </c>
      <c r="B24" s="38" t="s">
        <v>846</v>
      </c>
      <c r="C24" s="38" t="s">
        <v>37</v>
      </c>
      <c r="D24" s="50" t="n">
        <v>0.338</v>
      </c>
      <c r="E24" s="38" t="n">
        <f aca="false">COUNTIFS('Cand+Decoy Per-Position'!$A$2:$A$1585,$A24,'Cand+Decoy Per-Position'!$H$2:$H$1585,"&lt;&gt;")</f>
        <v>71</v>
      </c>
      <c r="F24" s="38" t="n">
        <f aca="false">COUNTIFS('Cand+Decoy Per-Transition'!$A$2:$A$1563,$A24,'Cand+Decoy Per-Transition'!$E$2:$E$1563,"yes")</f>
        <v>69</v>
      </c>
      <c r="G24" s="49" t="n">
        <f aca="false">AVERAGEIFS('Cand+Decoy Per-Position'!$H$2:$H$1585,'Cand+Decoy Per-Position'!$A$2:$A$1585,$A24)</f>
        <v>-0.52447719688146</v>
      </c>
      <c r="H24" s="49" t="n">
        <f aca="false">AVERAGEIFS('Cand+Decoy Per-Transition'!$I$2:$I$1563,'Cand+Decoy Per-Transition'!$A$2:$A$1563,$A24,'Cand+Decoy Per-Transition'!$E$2:$E$1563,"yes")</f>
        <v>-0.404169985504718</v>
      </c>
      <c r="I24" s="49" t="n">
        <f aca="false">AVERAGE(G24:H24)</f>
        <v>-0.464323591193089</v>
      </c>
      <c r="J24" s="50" t="n">
        <v>0.9524</v>
      </c>
      <c r="K24" s="38" t="s">
        <v>28</v>
      </c>
      <c r="L24" s="38" t="s">
        <v>35</v>
      </c>
      <c r="M24" s="38" t="s">
        <v>37</v>
      </c>
      <c r="N24" s="38" t="s">
        <v>875</v>
      </c>
    </row>
    <row r="25" customFormat="false" ht="15" hidden="false" customHeight="true" outlineLevel="0" collapsed="false">
      <c r="A25" s="48" t="s">
        <v>858</v>
      </c>
      <c r="B25" s="48" t="s">
        <v>848</v>
      </c>
      <c r="C25" s="48" t="s">
        <v>37</v>
      </c>
      <c r="D25" s="51" t="n">
        <v>0.3056</v>
      </c>
      <c r="E25" s="48" t="n">
        <f aca="false">COUNTIFS('Cand+Decoy Per-Position'!$A$2:$A$1585,$A25,'Cand+Decoy Per-Position'!$H$2:$H$1585,"&lt;&gt;")</f>
        <v>72</v>
      </c>
      <c r="F25" s="48" t="n">
        <f aca="false">COUNTIFS('Cand+Decoy Per-Transition'!$A$2:$A$1563,$A25,'Cand+Decoy Per-Transition'!$E$2:$E$1563,"yes")</f>
        <v>71</v>
      </c>
      <c r="G25" s="52" t="n">
        <f aca="false">AVERAGEIFS('Cand+Decoy Per-Position'!$H$2:$H$1585,'Cand+Decoy Per-Position'!$A$2:$A$1585,$A25)</f>
        <v>-0.54922118278785</v>
      </c>
      <c r="H25" s="52" t="n">
        <f aca="false">AVERAGEIFS('Cand+Decoy Per-Transition'!$I$2:$I$1563,'Cand+Decoy Per-Transition'!$A$2:$A$1563,$A25,'Cand+Decoy Per-Transition'!$E$2:$E$1563,"yes")</f>
        <v>-0.402325015540929</v>
      </c>
      <c r="I25" s="52" t="n">
        <f aca="false">AVERAGE(G25:H25)</f>
        <v>-0.475773099164389</v>
      </c>
      <c r="J25" s="51" t="n">
        <v>0.9048</v>
      </c>
      <c r="K25" s="48" t="s">
        <v>884</v>
      </c>
      <c r="L25" s="48" t="s">
        <v>33</v>
      </c>
      <c r="M25" s="48" t="s">
        <v>37</v>
      </c>
      <c r="N25" s="48" t="s">
        <v>875</v>
      </c>
    </row>
    <row r="26" customFormat="false" ht="15" hidden="false" customHeight="true" outlineLevel="0" collapsed="false">
      <c r="A26" s="38" t="s">
        <v>42</v>
      </c>
      <c r="B26" s="38" t="s">
        <v>846</v>
      </c>
      <c r="C26" s="38" t="s">
        <v>25</v>
      </c>
      <c r="D26" s="50" t="n">
        <v>0.4861</v>
      </c>
      <c r="E26" s="38" t="n">
        <f aca="false">COUNTIFS('Cand+Decoy Per-Position'!$A$2:$A$1585,$A26,'Cand+Decoy Per-Position'!$H$2:$H$1585,"&lt;&gt;")</f>
        <v>72</v>
      </c>
      <c r="F26" s="38" t="n">
        <f aca="false">COUNTIFS('Cand+Decoy Per-Transition'!$A$2:$A$1563,$A26,'Cand+Decoy Per-Transition'!$E$2:$E$1563,"yes")</f>
        <v>71</v>
      </c>
      <c r="G26" s="49" t="n">
        <f aca="false">AVERAGEIFS('Cand+Decoy Per-Position'!$H$2:$H$1585,'Cand+Decoy Per-Position'!$A$2:$A$1585,$A26)</f>
        <v>-0.505689386056389</v>
      </c>
      <c r="H26" s="49" t="n">
        <f aca="false">AVERAGEIFS('Cand+Decoy Per-Transition'!$I$2:$I$1563,'Cand+Decoy Per-Transition'!$A$2:$A$1563,$A26,'Cand+Decoy Per-Transition'!$E$2:$E$1563,"yes")</f>
        <v>-0.480718305330992</v>
      </c>
      <c r="I26" s="49" t="n">
        <f aca="false">AVERAGE(G26:H26)</f>
        <v>-0.49320384569369</v>
      </c>
      <c r="J26" s="50" t="n">
        <v>0.9048</v>
      </c>
      <c r="K26" s="38" t="s">
        <v>43</v>
      </c>
      <c r="L26" s="38" t="s">
        <v>29</v>
      </c>
      <c r="M26" s="38" t="s">
        <v>25</v>
      </c>
      <c r="N26" s="38" t="s">
        <v>875</v>
      </c>
    </row>
    <row r="27" customFormat="false" ht="15" hidden="false" customHeight="true" outlineLevel="0" collapsed="false">
      <c r="A27" s="38"/>
      <c r="B27" s="38"/>
      <c r="C27" s="38"/>
      <c r="D27" s="38"/>
      <c r="E27" s="38"/>
      <c r="F27" s="38"/>
      <c r="G27" s="38"/>
      <c r="H27" s="38"/>
      <c r="I27" s="38"/>
      <c r="J27" s="38"/>
      <c r="K27" s="38"/>
      <c r="L27" s="38"/>
      <c r="M27" s="38"/>
      <c r="N27" s="38"/>
    </row>
    <row r="28" customFormat="false" ht="15" hidden="false" customHeight="true" outlineLevel="0" collapsed="false">
      <c r="A28" s="38"/>
      <c r="B28" s="41" t="s">
        <v>50</v>
      </c>
      <c r="C28" s="49" t="n">
        <f aca="false">COUNT(I5:I26)</f>
        <v>22</v>
      </c>
      <c r="D28" s="38"/>
      <c r="E28" s="38"/>
      <c r="F28" s="38"/>
      <c r="G28" s="38"/>
      <c r="H28" s="38"/>
      <c r="I28" s="38"/>
      <c r="J28" s="38"/>
      <c r="K28" s="38"/>
      <c r="L28" s="38"/>
      <c r="M28" s="38"/>
      <c r="N28" s="38"/>
    </row>
    <row r="29" customFormat="false" ht="15" hidden="false" customHeight="true" outlineLevel="0" collapsed="false">
      <c r="A29" s="38"/>
      <c r="B29" s="41" t="s">
        <v>887</v>
      </c>
      <c r="C29" s="49" t="n">
        <f aca="false">AVERAGEIFS(I5:I26,B5:B26,"PREDICTED")</f>
        <v>-0.271071072475699</v>
      </c>
      <c r="D29" s="38"/>
      <c r="E29" s="38"/>
      <c r="F29" s="38"/>
      <c r="G29" s="38"/>
      <c r="H29" s="38"/>
      <c r="I29" s="38"/>
      <c r="J29" s="38"/>
      <c r="K29" s="38"/>
      <c r="L29" s="38"/>
      <c r="M29" s="38"/>
      <c r="N29" s="38"/>
    </row>
    <row r="30" customFormat="false" ht="15" hidden="false" customHeight="true" outlineLevel="0" collapsed="false">
      <c r="A30" s="38"/>
      <c r="B30" s="41" t="s">
        <v>888</v>
      </c>
      <c r="C30" s="49" t="n">
        <f aca="false">AVERAGEIFS(I5:I26,B5:B26,"DECOY")</f>
        <v>-0.338106679334946</v>
      </c>
      <c r="D30" s="38"/>
      <c r="E30" s="38"/>
      <c r="F30" s="38"/>
      <c r="G30" s="38"/>
      <c r="H30" s="38"/>
      <c r="I30" s="38"/>
      <c r="J30" s="38"/>
      <c r="K30" s="38"/>
      <c r="L30" s="38"/>
      <c r="M30" s="38"/>
      <c r="N30" s="38"/>
    </row>
    <row r="31" customFormat="false" ht="15" hidden="false" customHeight="true" outlineLevel="0" collapsed="false">
      <c r="A31" s="38"/>
      <c r="B31" s="41" t="s">
        <v>889</v>
      </c>
      <c r="C31" s="49" t="n">
        <f aca="false">AVERAGEIFS(G5:G26,B5:B26,"PREDICTED")</f>
        <v>-0.311344393945126</v>
      </c>
      <c r="D31" s="38"/>
      <c r="E31" s="38"/>
      <c r="F31" s="38"/>
      <c r="G31" s="38"/>
      <c r="H31" s="38"/>
      <c r="I31" s="38"/>
      <c r="J31" s="38"/>
      <c r="K31" s="38"/>
      <c r="L31" s="38"/>
      <c r="M31" s="38"/>
      <c r="N31" s="38"/>
    </row>
    <row r="32" customFormat="false" ht="15" hidden="false" customHeight="true" outlineLevel="0" collapsed="false">
      <c r="A32" s="38"/>
      <c r="B32" s="41" t="s">
        <v>890</v>
      </c>
      <c r="C32" s="49" t="n">
        <f aca="false">AVERAGEIFS(G5:G26,B5:B26,"DECOY")</f>
        <v>-0.364033401978292</v>
      </c>
      <c r="D32" s="38"/>
      <c r="E32" s="38"/>
      <c r="F32" s="38"/>
      <c r="G32" s="38"/>
      <c r="H32" s="38"/>
      <c r="I32" s="38"/>
      <c r="J32" s="38"/>
      <c r="K32" s="38"/>
      <c r="L32" s="38"/>
      <c r="M32" s="38"/>
      <c r="N32" s="38"/>
    </row>
    <row r="33" customFormat="false" ht="15" hidden="false" customHeight="true" outlineLevel="0" collapsed="false">
      <c r="A33" s="38"/>
      <c r="B33" s="41" t="s">
        <v>891</v>
      </c>
      <c r="C33" s="49" t="n">
        <f aca="false">AVERAGEIFS(H5:H26,B5:B26,"PREDICTED")</f>
        <v>-0.230797751006272</v>
      </c>
      <c r="D33" s="38"/>
      <c r="E33" s="38"/>
      <c r="F33" s="38"/>
      <c r="G33" s="38"/>
      <c r="H33" s="38"/>
      <c r="I33" s="38"/>
      <c r="J33" s="38"/>
      <c r="K33" s="38"/>
      <c r="L33" s="38"/>
      <c r="M33" s="38"/>
      <c r="N33" s="38"/>
    </row>
    <row r="34" customFormat="false" ht="15" hidden="false" customHeight="true" outlineLevel="0" collapsed="false">
      <c r="A34" s="38"/>
      <c r="B34" s="41" t="s">
        <v>892</v>
      </c>
      <c r="C34" s="49" t="n">
        <f aca="false">AVERAGEIFS(H5:H26,B5:B26,"DECOY")</f>
        <v>-0.3121799566916</v>
      </c>
      <c r="D34" s="38"/>
      <c r="E34" s="38"/>
      <c r="F34" s="38"/>
      <c r="G34" s="38"/>
      <c r="H34" s="38"/>
      <c r="I34" s="38"/>
      <c r="J34" s="38"/>
      <c r="K34" s="38"/>
      <c r="L34" s="38"/>
      <c r="M34" s="38"/>
      <c r="N34" s="38"/>
    </row>
    <row r="35" customFormat="false" ht="15" hidden="false" customHeight="true" outlineLevel="0" collapsed="false">
      <c r="A35" s="38"/>
      <c r="B35" s="41" t="s">
        <v>893</v>
      </c>
      <c r="C35" s="53" t="n">
        <v>-0.189</v>
      </c>
      <c r="D35" s="38" t="s">
        <v>894</v>
      </c>
      <c r="E35" s="38"/>
      <c r="F35" s="38"/>
      <c r="G35" s="38"/>
      <c r="H35" s="38"/>
      <c r="I35" s="38"/>
      <c r="J35" s="38"/>
      <c r="K35" s="38"/>
      <c r="L35" s="38"/>
      <c r="M35" s="38"/>
      <c r="N35" s="38"/>
    </row>
    <row r="36" customFormat="false" ht="15" hidden="false" customHeight="true" outlineLevel="0" collapsed="false">
      <c r="A36" s="38"/>
      <c r="B36" s="41" t="s">
        <v>895</v>
      </c>
      <c r="C36" s="53" t="n">
        <v>0.0394</v>
      </c>
      <c r="D36" s="38"/>
      <c r="E36" s="38"/>
      <c r="F36" s="38"/>
      <c r="G36" s="38"/>
      <c r="H36" s="38"/>
      <c r="I36" s="38"/>
      <c r="J36" s="38"/>
      <c r="K36" s="38"/>
      <c r="L36" s="38"/>
      <c r="M36" s="38"/>
      <c r="N36" s="38"/>
    </row>
    <row r="37" customFormat="false" ht="15" hidden="false" customHeight="true" outlineLevel="0" collapsed="false">
      <c r="A37" s="38"/>
      <c r="B37" s="41" t="s">
        <v>896</v>
      </c>
      <c r="C37" s="49" t="n">
        <f aca="false">AVERAGEIFS(D5:D26,B5:B26,"PREDICTED")</f>
        <v>0.443944444444444</v>
      </c>
      <c r="D37" s="38"/>
      <c r="E37" s="38"/>
      <c r="F37" s="38"/>
      <c r="G37" s="38"/>
      <c r="H37" s="38"/>
      <c r="I37" s="38"/>
      <c r="J37" s="38"/>
      <c r="K37" s="38"/>
      <c r="L37" s="38"/>
      <c r="M37" s="38"/>
      <c r="N37" s="38"/>
    </row>
    <row r="38" customFormat="false" ht="15" hidden="false" customHeight="true" outlineLevel="0" collapsed="false">
      <c r="A38" s="38"/>
      <c r="B38" s="41" t="s">
        <v>897</v>
      </c>
      <c r="C38" s="49" t="n">
        <f aca="false">AVERAGEIFS(D5:D26,B5:B26,"DECOY")</f>
        <v>0.312569230769231</v>
      </c>
      <c r="D38" s="38"/>
      <c r="E38" s="38"/>
      <c r="F38" s="38"/>
      <c r="G38" s="38"/>
      <c r="H38" s="38"/>
      <c r="I38" s="38"/>
      <c r="J38" s="38"/>
      <c r="K38" s="38"/>
      <c r="L38" s="38"/>
      <c r="M38" s="38"/>
      <c r="N38" s="38"/>
    </row>
    <row r="39" customFormat="false" ht="15" hidden="false" customHeight="true" outlineLevel="0" collapsed="false">
      <c r="A39" s="38"/>
      <c r="B39" s="41" t="s">
        <v>898</v>
      </c>
      <c r="C39" s="49" t="n">
        <f aca="false">AVERAGEIFS(J5:J26,B5:B26,"PREDICTED")</f>
        <v>0.915377777777778</v>
      </c>
      <c r="D39" s="38"/>
      <c r="E39" s="38"/>
      <c r="F39" s="38"/>
      <c r="G39" s="38"/>
      <c r="H39" s="38"/>
      <c r="I39" s="38"/>
      <c r="J39" s="38"/>
      <c r="K39" s="38"/>
      <c r="L39" s="38"/>
      <c r="M39" s="38"/>
      <c r="N39" s="38"/>
    </row>
    <row r="40" customFormat="false" ht="15" hidden="false" customHeight="true" outlineLevel="0" collapsed="false">
      <c r="A40" s="38"/>
      <c r="B40" s="41" t="s">
        <v>899</v>
      </c>
      <c r="C40" s="49" t="n">
        <f aca="false">AVERAGEIFS(J5:J26,B5:B26,"DECOY")</f>
        <v>0.919446153846154</v>
      </c>
      <c r="D40" s="38"/>
      <c r="E40" s="38"/>
      <c r="F40" s="38"/>
      <c r="G40" s="38"/>
      <c r="H40" s="38"/>
      <c r="I40" s="38"/>
      <c r="J40" s="38"/>
      <c r="K40" s="38"/>
      <c r="L40" s="38"/>
      <c r="M40" s="38"/>
      <c r="N40" s="38"/>
    </row>
    <row r="41" customFormat="false" ht="15" hidden="false" customHeight="true" outlineLevel="0" collapsed="false">
      <c r="A41" s="38"/>
      <c r="B41" s="41" t="s">
        <v>900</v>
      </c>
      <c r="C41" s="49" t="n">
        <f aca="false">CORREL(I5:I26,D5:D26)</f>
        <v>0.46530534535052</v>
      </c>
      <c r="D41" s="38"/>
      <c r="E41" s="38"/>
      <c r="F41" s="38"/>
      <c r="G41" s="38"/>
      <c r="H41" s="38"/>
      <c r="I41" s="38"/>
      <c r="J41" s="38"/>
      <c r="K41" s="38"/>
      <c r="L41" s="38"/>
      <c r="M41" s="38"/>
      <c r="N41"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 hidden="false" customHeight="true" outlineLevel="0" collapsed="false">
      <c r="A1" s="37" t="s">
        <v>901</v>
      </c>
      <c r="B1" s="38"/>
      <c r="C1" s="38"/>
      <c r="D1" s="38"/>
      <c r="E1" s="38"/>
      <c r="F1" s="38"/>
      <c r="G1" s="38"/>
      <c r="H1" s="38"/>
      <c r="I1" s="38"/>
      <c r="J1" s="38"/>
    </row>
    <row r="2" customFormat="false" ht="15" hidden="false" customHeight="true" outlineLevel="0" collapsed="false">
      <c r="A2" s="38" t="s">
        <v>902</v>
      </c>
      <c r="B2" s="38"/>
      <c r="C2" s="38"/>
      <c r="D2" s="38"/>
      <c r="E2" s="38"/>
      <c r="F2" s="38"/>
      <c r="G2" s="38"/>
      <c r="H2" s="38"/>
      <c r="I2" s="38"/>
      <c r="J2" s="38"/>
    </row>
    <row r="3" customFormat="false" ht="15" hidden="false" customHeight="true" outlineLevel="0" collapsed="false">
      <c r="A3" s="38"/>
      <c r="B3" s="38"/>
      <c r="C3" s="38"/>
      <c r="D3" s="38"/>
      <c r="E3" s="38"/>
      <c r="F3" s="38"/>
      <c r="G3" s="38"/>
      <c r="H3" s="38"/>
      <c r="I3" s="38"/>
      <c r="J3" s="38"/>
    </row>
    <row r="4" customFormat="false" ht="23.25" hidden="false" customHeight="true" outlineLevel="0" collapsed="false">
      <c r="A4" s="39" t="s">
        <v>903</v>
      </c>
      <c r="B4" s="39" t="s">
        <v>904</v>
      </c>
      <c r="C4" s="39" t="s">
        <v>905</v>
      </c>
      <c r="D4" s="39" t="s">
        <v>880</v>
      </c>
      <c r="E4" s="39" t="s">
        <v>881</v>
      </c>
      <c r="F4" s="39" t="s">
        <v>559</v>
      </c>
      <c r="G4" s="39" t="s">
        <v>576</v>
      </c>
      <c r="H4" s="39" t="s">
        <v>580</v>
      </c>
      <c r="I4" s="39" t="s">
        <v>584</v>
      </c>
      <c r="J4" s="39" t="s">
        <v>484</v>
      </c>
    </row>
    <row r="5" customFormat="false" ht="15" hidden="false" customHeight="true" outlineLevel="0" collapsed="false">
      <c r="A5" s="38" t="s">
        <v>906</v>
      </c>
      <c r="B5" s="38" t="s">
        <v>299</v>
      </c>
      <c r="C5" s="38" t="s">
        <v>187</v>
      </c>
      <c r="D5" s="53" t="n">
        <v>0.473621</v>
      </c>
      <c r="E5" s="53" t="n">
        <v>0.417411</v>
      </c>
      <c r="F5" s="53" t="n">
        <v>0.445516</v>
      </c>
      <c r="G5" s="53" t="n">
        <v>0.9524</v>
      </c>
      <c r="H5" s="53" t="n">
        <v>0.9167</v>
      </c>
      <c r="I5" s="53" t="n">
        <v>0.8</v>
      </c>
      <c r="J5" s="53" t="n">
        <v>0.6667</v>
      </c>
    </row>
    <row r="6" customFormat="false" ht="15" hidden="false" customHeight="true" outlineLevel="0" collapsed="false">
      <c r="A6" s="38" t="s">
        <v>907</v>
      </c>
      <c r="B6" s="38" t="s">
        <v>219</v>
      </c>
      <c r="C6" s="38" t="s">
        <v>191</v>
      </c>
      <c r="D6" s="53" t="n">
        <v>0.209252</v>
      </c>
      <c r="E6" s="53" t="n">
        <v>0.260491</v>
      </c>
      <c r="F6" s="53" t="n">
        <v>0.234871</v>
      </c>
      <c r="G6" s="53" t="n">
        <v>0.9524</v>
      </c>
      <c r="H6" s="53" t="n">
        <v>1</v>
      </c>
      <c r="I6" s="53" t="n">
        <v>1</v>
      </c>
      <c r="J6" s="53" t="n">
        <v>0.662</v>
      </c>
    </row>
    <row r="7" customFormat="false" ht="15" hidden="false" customHeight="true" outlineLevel="0" collapsed="false">
      <c r="A7" s="38" t="s">
        <v>908</v>
      </c>
      <c r="B7" s="38" t="s">
        <v>909</v>
      </c>
      <c r="C7" s="38" t="s">
        <v>187</v>
      </c>
      <c r="D7" s="53" t="n">
        <v>0.369819</v>
      </c>
      <c r="E7" s="53" t="n">
        <v>0.449825</v>
      </c>
      <c r="F7" s="53" t="n">
        <v>0.409822</v>
      </c>
      <c r="G7" s="53" t="n">
        <v>0.9524</v>
      </c>
      <c r="H7" s="53" t="n">
        <v>0.9167</v>
      </c>
      <c r="I7" s="53" t="n">
        <v>0.8</v>
      </c>
      <c r="J7" s="53" t="n">
        <v>0.5833</v>
      </c>
    </row>
    <row r="8" customFormat="false" ht="15" hidden="false" customHeight="true" outlineLevel="0" collapsed="false">
      <c r="A8" s="38" t="s">
        <v>910</v>
      </c>
      <c r="B8" s="38" t="s">
        <v>202</v>
      </c>
      <c r="C8" s="38" t="s">
        <v>232</v>
      </c>
      <c r="D8" s="53" t="n">
        <v>0.556943</v>
      </c>
      <c r="E8" s="53" t="n">
        <v>0.519441</v>
      </c>
      <c r="F8" s="53" t="n">
        <v>0.538192</v>
      </c>
      <c r="G8" s="53" t="n">
        <v>1</v>
      </c>
      <c r="H8" s="53" t="n">
        <v>0.9167</v>
      </c>
      <c r="I8" s="53" t="n">
        <v>0.8</v>
      </c>
      <c r="J8" s="53" t="n">
        <v>0.5915</v>
      </c>
    </row>
    <row r="9" customFormat="false" ht="15" hidden="false" customHeight="true" outlineLevel="0" collapsed="false">
      <c r="A9" s="38" t="s">
        <v>911</v>
      </c>
      <c r="B9" s="38" t="s">
        <v>909</v>
      </c>
      <c r="C9" s="38" t="s">
        <v>187</v>
      </c>
      <c r="D9" s="53" t="n">
        <v>0.381572</v>
      </c>
      <c r="E9" s="53" t="n">
        <v>0.461923</v>
      </c>
      <c r="F9" s="53" t="n">
        <v>0.421747</v>
      </c>
      <c r="G9" s="53" t="n">
        <v>0.9524</v>
      </c>
      <c r="H9" s="53" t="n">
        <v>0.9167</v>
      </c>
      <c r="I9" s="53" t="n">
        <v>0.8</v>
      </c>
      <c r="J9" s="53" t="n">
        <v>0.5694</v>
      </c>
    </row>
    <row r="10" customFormat="false" ht="15" hidden="false" customHeight="true" outlineLevel="0" collapsed="false">
      <c r="A10" s="38" t="s">
        <v>912</v>
      </c>
      <c r="B10" s="38" t="s">
        <v>221</v>
      </c>
      <c r="C10" s="38" t="s">
        <v>222</v>
      </c>
      <c r="D10" s="53" t="n">
        <v>0.435162</v>
      </c>
      <c r="E10" s="53" t="n">
        <v>0.315988</v>
      </c>
      <c r="F10" s="53" t="n">
        <v>0.375575</v>
      </c>
      <c r="G10" s="53" t="n">
        <v>1</v>
      </c>
      <c r="H10" s="53" t="n">
        <v>0.9167</v>
      </c>
      <c r="I10" s="53" t="n">
        <v>0.8</v>
      </c>
      <c r="J10" s="53" t="n">
        <v>0.5694</v>
      </c>
    </row>
    <row r="11" customFormat="false" ht="15" hidden="false" customHeight="true" outlineLevel="0" collapsed="false">
      <c r="A11" s="38" t="s">
        <v>913</v>
      </c>
      <c r="B11" s="38" t="s">
        <v>224</v>
      </c>
      <c r="C11" s="38" t="s">
        <v>225</v>
      </c>
      <c r="D11" s="53" t="n">
        <v>0.449563</v>
      </c>
      <c r="E11" s="53" t="n">
        <v>0.386094</v>
      </c>
      <c r="F11" s="53" t="n">
        <v>0.417828</v>
      </c>
      <c r="G11" s="53" t="n">
        <v>1</v>
      </c>
      <c r="H11" s="53" t="n">
        <v>0.75</v>
      </c>
      <c r="I11" s="53" t="n">
        <v>0.8</v>
      </c>
      <c r="J11" s="53" t="n">
        <v>0.5915</v>
      </c>
    </row>
    <row r="12" customFormat="false" ht="15" hidden="false" customHeight="true" outlineLevel="0" collapsed="false">
      <c r="A12" s="38" t="s">
        <v>914</v>
      </c>
      <c r="B12" s="38" t="s">
        <v>228</v>
      </c>
      <c r="C12" s="38" t="s">
        <v>247</v>
      </c>
      <c r="D12" s="53" t="n">
        <v>0.385695</v>
      </c>
      <c r="E12" s="53" t="n">
        <v>0.445985</v>
      </c>
      <c r="F12" s="53" t="n">
        <v>0.41584</v>
      </c>
      <c r="G12" s="53" t="n">
        <v>0.9524</v>
      </c>
      <c r="H12" s="53" t="n">
        <v>0.8333</v>
      </c>
      <c r="I12" s="53" t="n">
        <v>0.6</v>
      </c>
      <c r="J12" s="53" t="n">
        <v>0.6667</v>
      </c>
    </row>
    <row r="13" customFormat="false" ht="15" hidden="false" customHeight="true" outlineLevel="0" collapsed="false">
      <c r="A13" s="38" t="s">
        <v>915</v>
      </c>
      <c r="B13" s="38" t="s">
        <v>228</v>
      </c>
      <c r="C13" s="38" t="s">
        <v>247</v>
      </c>
      <c r="D13" s="53" t="n">
        <v>0.478094</v>
      </c>
      <c r="E13" s="53" t="n">
        <v>0.556172</v>
      </c>
      <c r="F13" s="53" t="n">
        <v>0.517133</v>
      </c>
      <c r="G13" s="53" t="n">
        <v>0.9524</v>
      </c>
      <c r="H13" s="53" t="n">
        <v>0.9167</v>
      </c>
      <c r="I13" s="53" t="n">
        <v>0.8</v>
      </c>
      <c r="J13" s="53" t="n">
        <v>0.6111</v>
      </c>
    </row>
    <row r="14" customFormat="false" ht="15" hidden="false" customHeight="true" outlineLevel="0" collapsed="false">
      <c r="A14" s="38" t="s">
        <v>916</v>
      </c>
      <c r="B14" s="38" t="s">
        <v>228</v>
      </c>
      <c r="C14" s="38" t="s">
        <v>229</v>
      </c>
      <c r="D14" s="53" t="n">
        <v>0.476058</v>
      </c>
      <c r="E14" s="53" t="n">
        <v>0.564778</v>
      </c>
      <c r="F14" s="53" t="n">
        <v>0.520418</v>
      </c>
      <c r="G14" s="53" t="n">
        <v>0.9524</v>
      </c>
      <c r="H14" s="53" t="n">
        <v>0.9167</v>
      </c>
      <c r="I14" s="53" t="n">
        <v>0.8</v>
      </c>
      <c r="J14" s="53" t="n">
        <v>0.6111</v>
      </c>
    </row>
    <row r="15" customFormat="false" ht="15" hidden="false" customHeight="true" outlineLevel="0" collapsed="false">
      <c r="A15" s="38" t="s">
        <v>917</v>
      </c>
      <c r="B15" s="38" t="s">
        <v>257</v>
      </c>
      <c r="C15" s="38" t="s">
        <v>258</v>
      </c>
      <c r="D15" s="53" t="n">
        <v>0.4744</v>
      </c>
      <c r="E15" s="53" t="n">
        <v>0.480875</v>
      </c>
      <c r="F15" s="53" t="n">
        <v>0.477638</v>
      </c>
      <c r="G15" s="53" t="n">
        <v>1</v>
      </c>
      <c r="H15" s="53" t="n">
        <v>1</v>
      </c>
      <c r="I15" s="53" t="n">
        <v>1</v>
      </c>
      <c r="J15" s="53" t="n">
        <v>0.5571</v>
      </c>
    </row>
    <row r="16" customFormat="false" ht="15" hidden="false" customHeight="true" outlineLevel="0" collapsed="false">
      <c r="A16" s="38" t="s">
        <v>918</v>
      </c>
      <c r="B16" s="38" t="s">
        <v>260</v>
      </c>
      <c r="C16" s="38" t="s">
        <v>261</v>
      </c>
      <c r="D16" s="53" t="n">
        <v>0.320424</v>
      </c>
      <c r="E16" s="53" t="n">
        <v>0.337076</v>
      </c>
      <c r="F16" s="53" t="n">
        <v>0.32875</v>
      </c>
      <c r="G16" s="53" t="n">
        <v>1</v>
      </c>
      <c r="H16" s="53" t="n">
        <v>1</v>
      </c>
      <c r="I16" s="53" t="n">
        <v>1</v>
      </c>
      <c r="J16" s="53" t="n">
        <v>0.6143</v>
      </c>
    </row>
    <row r="17" customFormat="false" ht="15" hidden="false" customHeight="true" outlineLevel="0" collapsed="false">
      <c r="A17" s="38" t="s">
        <v>919</v>
      </c>
      <c r="B17" s="38" t="s">
        <v>909</v>
      </c>
      <c r="C17" s="38" t="s">
        <v>187</v>
      </c>
      <c r="D17" s="53" t="n">
        <v>0.336488</v>
      </c>
      <c r="E17" s="53" t="n">
        <v>0.310581</v>
      </c>
      <c r="F17" s="53" t="n">
        <v>0.323535</v>
      </c>
      <c r="G17" s="53" t="n">
        <v>1</v>
      </c>
      <c r="H17" s="53" t="n">
        <v>0.8333</v>
      </c>
      <c r="I17" s="53" t="n">
        <v>0.8</v>
      </c>
      <c r="J17" s="53" t="n">
        <v>0.6056</v>
      </c>
    </row>
    <row r="18" customFormat="false" ht="15" hidden="false" customHeight="true" outlineLevel="0" collapsed="false">
      <c r="A18" s="38" t="s">
        <v>920</v>
      </c>
      <c r="B18" s="38" t="s">
        <v>267</v>
      </c>
      <c r="C18" s="38" t="s">
        <v>184</v>
      </c>
      <c r="D18" s="53" t="n">
        <v>0.67605</v>
      </c>
      <c r="E18" s="53" t="n">
        <v>0.644859</v>
      </c>
      <c r="F18" s="53" t="n">
        <v>0.660454</v>
      </c>
      <c r="G18" s="53" t="n">
        <v>1</v>
      </c>
      <c r="H18" s="53" t="n">
        <v>0.9167</v>
      </c>
      <c r="I18" s="53" t="n">
        <v>0.8</v>
      </c>
      <c r="J18" s="53" t="n">
        <v>0.5556</v>
      </c>
    </row>
    <row r="19" customFormat="false" ht="15" hidden="false" customHeight="true" outlineLevel="0" collapsed="false">
      <c r="A19" s="38" t="s">
        <v>921</v>
      </c>
      <c r="B19" s="38" t="s">
        <v>267</v>
      </c>
      <c r="C19" s="38" t="s">
        <v>182</v>
      </c>
      <c r="D19" s="53" t="n">
        <v>0.529319</v>
      </c>
      <c r="E19" s="53" t="n">
        <v>0.553343</v>
      </c>
      <c r="F19" s="53" t="n">
        <v>0.541331</v>
      </c>
      <c r="G19" s="53" t="n">
        <v>1</v>
      </c>
      <c r="H19" s="53" t="n">
        <v>1</v>
      </c>
      <c r="I19" s="53" t="n">
        <v>1</v>
      </c>
      <c r="J19" s="53" t="n">
        <v>0.6111</v>
      </c>
    </row>
    <row r="20" customFormat="false" ht="15" hidden="false" customHeight="true" outlineLevel="0" collapsed="false">
      <c r="A20" s="38" t="s">
        <v>922</v>
      </c>
      <c r="B20" s="38" t="s">
        <v>240</v>
      </c>
      <c r="C20" s="38" t="s">
        <v>241</v>
      </c>
      <c r="D20" s="53" t="n">
        <v>0.620209</v>
      </c>
      <c r="E20" s="53" t="n">
        <v>0.650754</v>
      </c>
      <c r="F20" s="53" t="n">
        <v>0.635482</v>
      </c>
      <c r="G20" s="53" t="n">
        <v>1</v>
      </c>
      <c r="H20" s="53" t="n">
        <v>0.9167</v>
      </c>
      <c r="I20" s="53" t="n">
        <v>0.8</v>
      </c>
      <c r="J20" s="53" t="n">
        <v>0.5417</v>
      </c>
    </row>
    <row r="21" customFormat="false" ht="15" hidden="false" customHeight="true" outlineLevel="0" collapsed="false">
      <c r="A21" s="38" t="s">
        <v>923</v>
      </c>
      <c r="B21" s="38" t="s">
        <v>274</v>
      </c>
      <c r="C21" s="38" t="s">
        <v>199</v>
      </c>
      <c r="D21" s="53" t="n">
        <v>0.592794</v>
      </c>
      <c r="E21" s="53" t="n">
        <v>0.582336</v>
      </c>
      <c r="F21" s="53" t="n">
        <v>0.587565</v>
      </c>
      <c r="G21" s="53" t="n">
        <v>1</v>
      </c>
      <c r="H21" s="53" t="n">
        <v>0.9167</v>
      </c>
      <c r="I21" s="53" t="n">
        <v>0.8</v>
      </c>
      <c r="J21" s="53" t="n">
        <v>0.5417</v>
      </c>
    </row>
    <row r="22" customFormat="false" ht="15" hidden="false" customHeight="true" outlineLevel="0" collapsed="false">
      <c r="A22" s="38" t="s">
        <v>924</v>
      </c>
      <c r="B22" s="38" t="s">
        <v>228</v>
      </c>
      <c r="C22" s="38" t="s">
        <v>247</v>
      </c>
      <c r="D22" s="53" t="n">
        <v>0.432924</v>
      </c>
      <c r="E22" s="53" t="n">
        <v>0.471521</v>
      </c>
      <c r="F22" s="53" t="n">
        <v>0.452222</v>
      </c>
      <c r="G22" s="53" t="n">
        <v>0.9524</v>
      </c>
      <c r="H22" s="53" t="n">
        <v>1</v>
      </c>
      <c r="I22" s="53" t="n">
        <v>1</v>
      </c>
      <c r="J22" s="53" t="n">
        <v>0.6056</v>
      </c>
    </row>
    <row r="23" customFormat="false" ht="15" hidden="false" customHeight="true" outlineLevel="0" collapsed="false">
      <c r="A23" s="38" t="s">
        <v>925</v>
      </c>
      <c r="B23" s="38" t="s">
        <v>228</v>
      </c>
      <c r="C23" s="38" t="s">
        <v>280</v>
      </c>
      <c r="D23" s="53" t="n">
        <v>0.40598</v>
      </c>
      <c r="E23" s="53" t="n">
        <v>0.478055</v>
      </c>
      <c r="F23" s="53" t="n">
        <v>0.442018</v>
      </c>
      <c r="G23" s="53" t="n">
        <v>0.9524</v>
      </c>
      <c r="H23" s="53" t="n">
        <v>1</v>
      </c>
      <c r="I23" s="53" t="n">
        <v>1</v>
      </c>
      <c r="J23" s="53" t="n">
        <v>0.6056</v>
      </c>
    </row>
    <row r="24" customFormat="false" ht="15" hidden="false" customHeight="true" outlineLevel="0" collapsed="false">
      <c r="A24" s="38" t="s">
        <v>926</v>
      </c>
      <c r="B24" s="38" t="s">
        <v>228</v>
      </c>
      <c r="C24" s="38" t="s">
        <v>276</v>
      </c>
      <c r="D24" s="53" t="n">
        <v>0.484485</v>
      </c>
      <c r="E24" s="53" t="n">
        <v>0.493564</v>
      </c>
      <c r="F24" s="53" t="n">
        <v>0.489024</v>
      </c>
      <c r="G24" s="53" t="n">
        <v>0.9524</v>
      </c>
      <c r="H24" s="53" t="n">
        <v>1</v>
      </c>
      <c r="I24" s="53" t="n">
        <v>1</v>
      </c>
      <c r="J24" s="53" t="n">
        <v>0.5493</v>
      </c>
    </row>
    <row r="25" customFormat="false" ht="15" hidden="false" customHeight="true" outlineLevel="0" collapsed="false">
      <c r="A25" s="38" t="s">
        <v>927</v>
      </c>
      <c r="B25" s="38" t="s">
        <v>202</v>
      </c>
      <c r="C25" s="38" t="s">
        <v>928</v>
      </c>
      <c r="D25" s="53" t="n">
        <v>0.421554</v>
      </c>
      <c r="E25" s="53" t="n">
        <v>0.470034</v>
      </c>
      <c r="F25" s="53" t="n">
        <v>0.445794</v>
      </c>
      <c r="G25" s="53" t="n">
        <v>1</v>
      </c>
      <c r="H25" s="53" t="n">
        <v>0.8333</v>
      </c>
      <c r="I25" s="53" t="n">
        <v>0.8</v>
      </c>
      <c r="J25" s="53" t="n">
        <v>0.6389</v>
      </c>
    </row>
    <row r="26" customFormat="false" ht="15" hidden="false" customHeight="true" outlineLevel="0" collapsed="false">
      <c r="A26" s="38" t="s">
        <v>929</v>
      </c>
      <c r="B26" s="38" t="s">
        <v>202</v>
      </c>
      <c r="C26" s="38" t="s">
        <v>928</v>
      </c>
      <c r="D26" s="53" t="n">
        <v>0.456449</v>
      </c>
      <c r="E26" s="53" t="n">
        <v>0.487579</v>
      </c>
      <c r="F26" s="53" t="n">
        <v>0.472014</v>
      </c>
      <c r="G26" s="53" t="n">
        <v>1</v>
      </c>
      <c r="H26" s="53" t="n">
        <v>0.8333</v>
      </c>
      <c r="I26" s="53" t="n">
        <v>0.8</v>
      </c>
      <c r="J26" s="53" t="n">
        <v>0.6528</v>
      </c>
    </row>
    <row r="27" customFormat="false" ht="15" hidden="false" customHeight="true" outlineLevel="0" collapsed="false">
      <c r="A27" s="38" t="s">
        <v>930</v>
      </c>
      <c r="B27" s="38" t="s">
        <v>216</v>
      </c>
      <c r="C27" s="38" t="s">
        <v>263</v>
      </c>
      <c r="D27" s="53" t="n">
        <v>0.646684</v>
      </c>
      <c r="E27" s="53" t="n">
        <v>0.668242</v>
      </c>
      <c r="F27" s="53" t="n">
        <v>0.657463</v>
      </c>
      <c r="G27" s="53" t="n">
        <v>0.9524</v>
      </c>
      <c r="H27" s="53" t="n">
        <v>1</v>
      </c>
      <c r="I27" s="53" t="n">
        <v>1</v>
      </c>
      <c r="J27" s="53" t="n">
        <v>0.5972</v>
      </c>
    </row>
    <row r="28" customFormat="false" ht="15" hidden="false" customHeight="true" outlineLevel="0" collapsed="false">
      <c r="A28" s="38" t="s">
        <v>931</v>
      </c>
      <c r="B28" s="38" t="s">
        <v>240</v>
      </c>
      <c r="C28" s="38" t="s">
        <v>241</v>
      </c>
      <c r="D28" s="53" t="n">
        <v>0.620045</v>
      </c>
      <c r="E28" s="53" t="n">
        <v>0.661172</v>
      </c>
      <c r="F28" s="53" t="n">
        <v>0.640608</v>
      </c>
      <c r="G28" s="53" t="n">
        <v>1</v>
      </c>
      <c r="H28" s="53" t="n">
        <v>0.9167</v>
      </c>
      <c r="I28" s="53" t="n">
        <v>0.8</v>
      </c>
      <c r="J28" s="53" t="n">
        <v>0.5278</v>
      </c>
    </row>
    <row r="29" customFormat="false" ht="15" hidden="false" customHeight="true" outlineLevel="0" collapsed="false">
      <c r="A29" s="38" t="s">
        <v>932</v>
      </c>
      <c r="B29" s="38" t="s">
        <v>240</v>
      </c>
      <c r="C29" s="38" t="s">
        <v>241</v>
      </c>
      <c r="D29" s="53" t="n">
        <v>0.618474</v>
      </c>
      <c r="E29" s="53" t="n">
        <v>0.666061</v>
      </c>
      <c r="F29" s="53" t="n">
        <v>0.642268</v>
      </c>
      <c r="G29" s="53" t="n">
        <v>1</v>
      </c>
      <c r="H29" s="53" t="n">
        <v>1</v>
      </c>
      <c r="I29" s="53" t="n">
        <v>1</v>
      </c>
      <c r="J29" s="53" t="n">
        <v>0.5417</v>
      </c>
    </row>
    <row r="30" customFormat="false" ht="15" hidden="false" customHeight="true" outlineLevel="0" collapsed="false">
      <c r="A30" s="38" t="s">
        <v>933</v>
      </c>
      <c r="B30" s="38" t="s">
        <v>255</v>
      </c>
      <c r="C30" s="38" t="s">
        <v>175</v>
      </c>
      <c r="D30" s="53" t="n">
        <v>0.323792</v>
      </c>
      <c r="E30" s="53" t="n">
        <v>0.33665</v>
      </c>
      <c r="F30" s="53" t="n">
        <v>0.330221</v>
      </c>
      <c r="G30" s="53" t="n">
        <v>1</v>
      </c>
      <c r="H30" s="53" t="n">
        <v>0.8333</v>
      </c>
      <c r="I30" s="53" t="n">
        <v>0.6</v>
      </c>
      <c r="J30" s="53" t="n">
        <v>0.5857</v>
      </c>
    </row>
    <row r="31" customFormat="false" ht="15" hidden="false" customHeight="true" outlineLevel="0" collapsed="false">
      <c r="A31" s="38" t="s">
        <v>934</v>
      </c>
      <c r="B31" s="38" t="s">
        <v>208</v>
      </c>
      <c r="C31" s="38" t="s">
        <v>329</v>
      </c>
      <c r="D31" s="53" t="n">
        <v>0.519289</v>
      </c>
      <c r="E31" s="53" t="n">
        <v>0.4901</v>
      </c>
      <c r="F31" s="53" t="n">
        <v>0.504695</v>
      </c>
      <c r="G31" s="53" t="n">
        <v>0.9524</v>
      </c>
      <c r="H31" s="53" t="n">
        <v>1</v>
      </c>
      <c r="I31" s="53" t="n">
        <v>1</v>
      </c>
      <c r="J31" s="53" t="n">
        <v>0.4857</v>
      </c>
    </row>
    <row r="32" customFormat="false" ht="15" hidden="false" customHeight="true" outlineLevel="0" collapsed="false">
      <c r="A32" s="38" t="s">
        <v>935</v>
      </c>
      <c r="B32" s="38" t="s">
        <v>257</v>
      </c>
      <c r="C32" s="38" t="s">
        <v>258</v>
      </c>
      <c r="D32" s="53" t="n">
        <v>0.516452</v>
      </c>
      <c r="E32" s="53" t="n">
        <v>0.558099</v>
      </c>
      <c r="F32" s="53" t="n">
        <v>0.537276</v>
      </c>
      <c r="G32" s="53" t="n">
        <v>0.9524</v>
      </c>
      <c r="H32" s="53" t="n">
        <v>0.9167</v>
      </c>
      <c r="I32" s="53" t="n">
        <v>1</v>
      </c>
      <c r="J32" s="53" t="n">
        <v>0.5286</v>
      </c>
    </row>
    <row r="33" customFormat="false" ht="15" hidden="false" customHeight="true" outlineLevel="0" collapsed="false">
      <c r="A33" s="38" t="s">
        <v>936</v>
      </c>
      <c r="B33" s="38" t="s">
        <v>257</v>
      </c>
      <c r="C33" s="38" t="s">
        <v>440</v>
      </c>
      <c r="D33" s="53" t="n">
        <v>0.409298</v>
      </c>
      <c r="E33" s="53" t="n">
        <v>0.477406</v>
      </c>
      <c r="F33" s="53" t="n">
        <v>0.443352</v>
      </c>
      <c r="G33" s="53" t="n">
        <v>0.9524</v>
      </c>
      <c r="H33" s="53" t="n">
        <v>1</v>
      </c>
      <c r="I33" s="53" t="n">
        <v>1</v>
      </c>
      <c r="J33" s="53" t="n">
        <v>0.6</v>
      </c>
    </row>
    <row r="34" customFormat="false" ht="15" hidden="false" customHeight="true" outlineLevel="0" collapsed="false">
      <c r="A34" s="38" t="s">
        <v>937</v>
      </c>
      <c r="B34" s="38" t="s">
        <v>267</v>
      </c>
      <c r="C34" s="38" t="s">
        <v>184</v>
      </c>
      <c r="D34" s="53" t="n">
        <v>0.500541</v>
      </c>
      <c r="E34" s="53" t="n">
        <v>0.47856</v>
      </c>
      <c r="F34" s="53" t="n">
        <v>0.489551</v>
      </c>
      <c r="G34" s="53" t="n">
        <v>0.9524</v>
      </c>
      <c r="H34" s="53" t="n">
        <v>1</v>
      </c>
      <c r="I34" s="53" t="n">
        <v>1</v>
      </c>
      <c r="J34" s="53" t="n">
        <v>0.5972</v>
      </c>
    </row>
    <row r="35" customFormat="false" ht="15" hidden="false" customHeight="true" outlineLevel="0" collapsed="false">
      <c r="A35" s="38" t="s">
        <v>938</v>
      </c>
      <c r="B35" s="38" t="s">
        <v>224</v>
      </c>
      <c r="C35" s="38" t="s">
        <v>196</v>
      </c>
      <c r="D35" s="53" t="n">
        <v>0.545797</v>
      </c>
      <c r="E35" s="53" t="n">
        <v>0.376366</v>
      </c>
      <c r="F35" s="53" t="n">
        <v>0.461081</v>
      </c>
      <c r="G35" s="53" t="n">
        <v>1</v>
      </c>
      <c r="H35" s="53" t="n">
        <v>1</v>
      </c>
      <c r="I35" s="53" t="n">
        <v>1</v>
      </c>
      <c r="J35" s="53" t="n">
        <v>0.6197</v>
      </c>
    </row>
    <row r="36" customFormat="false" ht="15" hidden="false" customHeight="true" outlineLevel="0" collapsed="false">
      <c r="A36" s="38" t="s">
        <v>939</v>
      </c>
      <c r="B36" s="38" t="s">
        <v>310</v>
      </c>
      <c r="C36" s="38" t="s">
        <v>311</v>
      </c>
      <c r="D36" s="53" t="n">
        <v>0.629048</v>
      </c>
      <c r="E36" s="53" t="n">
        <v>0.581193</v>
      </c>
      <c r="F36" s="53" t="n">
        <v>0.605121</v>
      </c>
      <c r="G36" s="53" t="n">
        <v>1</v>
      </c>
      <c r="H36" s="53" t="n">
        <v>0.9167</v>
      </c>
      <c r="I36" s="53" t="n">
        <v>0.8</v>
      </c>
      <c r="J36" s="53" t="n">
        <v>0.5493</v>
      </c>
    </row>
    <row r="37" customFormat="false" ht="15" hidden="false" customHeight="true" outlineLevel="0" collapsed="false">
      <c r="A37" s="38" t="s">
        <v>940</v>
      </c>
      <c r="B37" s="38" t="s">
        <v>267</v>
      </c>
      <c r="C37" s="38" t="s">
        <v>182</v>
      </c>
      <c r="D37" s="53" t="n">
        <v>0.477368</v>
      </c>
      <c r="E37" s="53" t="n">
        <v>0.504104</v>
      </c>
      <c r="F37" s="53" t="n">
        <v>0.490736</v>
      </c>
      <c r="G37" s="53" t="n">
        <v>1</v>
      </c>
      <c r="H37" s="53" t="n">
        <v>1</v>
      </c>
      <c r="I37" s="53" t="n">
        <v>1</v>
      </c>
      <c r="J37" s="53" t="n">
        <v>0.5972</v>
      </c>
    </row>
    <row r="38" customFormat="false" ht="15" hidden="false" customHeight="true" outlineLevel="0" collapsed="false">
      <c r="A38" s="38" t="s">
        <v>941</v>
      </c>
      <c r="B38" s="38" t="s">
        <v>267</v>
      </c>
      <c r="C38" s="38" t="s">
        <v>184</v>
      </c>
      <c r="D38" s="53" t="n">
        <v>0.645323</v>
      </c>
      <c r="E38" s="53" t="n">
        <v>0.652765</v>
      </c>
      <c r="F38" s="53" t="n">
        <v>0.649044</v>
      </c>
      <c r="G38" s="53" t="n">
        <v>0.9524</v>
      </c>
      <c r="H38" s="53" t="n">
        <v>1</v>
      </c>
      <c r="I38" s="53" t="n">
        <v>1</v>
      </c>
      <c r="J38" s="53" t="n">
        <v>0.5556</v>
      </c>
    </row>
    <row r="39" customFormat="false" ht="15" hidden="false" customHeight="true" outlineLevel="0" collapsed="false">
      <c r="A39" s="38" t="s">
        <v>942</v>
      </c>
      <c r="B39" s="38" t="s">
        <v>267</v>
      </c>
      <c r="C39" s="38" t="s">
        <v>184</v>
      </c>
      <c r="D39" s="53" t="n">
        <v>0.634785</v>
      </c>
      <c r="E39" s="53" t="n">
        <v>0.639053</v>
      </c>
      <c r="F39" s="53" t="n">
        <v>0.636919</v>
      </c>
      <c r="G39" s="53" t="n">
        <v>0.9524</v>
      </c>
      <c r="H39" s="53" t="n">
        <v>1</v>
      </c>
      <c r="I39" s="53" t="n">
        <v>1</v>
      </c>
      <c r="J39" s="53" t="n">
        <v>0.5556</v>
      </c>
    </row>
    <row r="40" customFormat="false" ht="15" hidden="false" customHeight="true" outlineLevel="0" collapsed="false">
      <c r="A40" s="38" t="s">
        <v>943</v>
      </c>
      <c r="B40" s="38" t="s">
        <v>267</v>
      </c>
      <c r="C40" s="38" t="s">
        <v>184</v>
      </c>
      <c r="D40" s="53" t="n">
        <v>0.645323</v>
      </c>
      <c r="E40" s="53" t="n">
        <v>0.652765</v>
      </c>
      <c r="F40" s="53" t="n">
        <v>0.649044</v>
      </c>
      <c r="G40" s="53" t="n">
        <v>0.9524</v>
      </c>
      <c r="H40" s="53" t="n">
        <v>1</v>
      </c>
      <c r="I40" s="53" t="n">
        <v>1</v>
      </c>
      <c r="J40" s="53" t="n">
        <v>0.5556</v>
      </c>
    </row>
    <row r="41" customFormat="false" ht="15" hidden="false" customHeight="true" outlineLevel="0" collapsed="false">
      <c r="A41" s="38" t="s">
        <v>944</v>
      </c>
      <c r="B41" s="38" t="s">
        <v>274</v>
      </c>
      <c r="C41" s="38" t="s">
        <v>199</v>
      </c>
      <c r="D41" s="53" t="n">
        <v>0.583911</v>
      </c>
      <c r="E41" s="53" t="n">
        <v>0.578976</v>
      </c>
      <c r="F41" s="53" t="n">
        <v>0.581443</v>
      </c>
      <c r="G41" s="53" t="n">
        <v>1</v>
      </c>
      <c r="H41" s="53" t="n">
        <v>1</v>
      </c>
      <c r="I41" s="53" t="n">
        <v>1</v>
      </c>
      <c r="J41" s="53" t="n">
        <v>0.5556</v>
      </c>
    </row>
    <row r="42" customFormat="false" ht="15" hidden="false" customHeight="true" outlineLevel="0" collapsed="false">
      <c r="A42" s="38" t="s">
        <v>945</v>
      </c>
      <c r="B42" s="38" t="s">
        <v>257</v>
      </c>
      <c r="C42" s="38" t="s">
        <v>440</v>
      </c>
      <c r="D42" s="53" t="n">
        <v>0.339386</v>
      </c>
      <c r="E42" s="53" t="n">
        <v>0.365424</v>
      </c>
      <c r="F42" s="53" t="n">
        <v>0.352405</v>
      </c>
      <c r="G42" s="53" t="n">
        <v>1</v>
      </c>
      <c r="H42" s="53" t="n">
        <v>1</v>
      </c>
      <c r="I42" s="53" t="n">
        <v>1</v>
      </c>
      <c r="J42" s="53" t="n">
        <v>0.6714</v>
      </c>
    </row>
    <row r="43" customFormat="false" ht="15" hidden="false" customHeight="true" outlineLevel="0" collapsed="false">
      <c r="A43" s="38" t="s">
        <v>946</v>
      </c>
      <c r="B43" s="38" t="s">
        <v>216</v>
      </c>
      <c r="C43" s="38" t="s">
        <v>263</v>
      </c>
      <c r="D43" s="53" t="n">
        <v>0.607891</v>
      </c>
      <c r="E43" s="53" t="n">
        <v>0.628844</v>
      </c>
      <c r="F43" s="53" t="n">
        <v>0.618368</v>
      </c>
      <c r="G43" s="53" t="n">
        <v>0.9524</v>
      </c>
      <c r="H43" s="53" t="n">
        <v>1</v>
      </c>
      <c r="I43" s="53" t="n">
        <v>1</v>
      </c>
      <c r="J43" s="53" t="n">
        <v>0.625</v>
      </c>
    </row>
    <row r="44" customFormat="false" ht="15" hidden="false" customHeight="true" outlineLevel="0" collapsed="false">
      <c r="A44" s="38" t="s">
        <v>947</v>
      </c>
      <c r="B44" s="38" t="s">
        <v>267</v>
      </c>
      <c r="C44" s="38" t="s">
        <v>182</v>
      </c>
      <c r="D44" s="53" t="n">
        <v>0.541402</v>
      </c>
      <c r="E44" s="53" t="n">
        <v>0.56335</v>
      </c>
      <c r="F44" s="53" t="n">
        <v>0.552376</v>
      </c>
      <c r="G44" s="53" t="n">
        <v>1</v>
      </c>
      <c r="H44" s="53" t="n">
        <v>1</v>
      </c>
      <c r="I44" s="53" t="n">
        <v>1</v>
      </c>
      <c r="J44" s="53" t="n">
        <v>0.6389</v>
      </c>
    </row>
    <row r="45" customFormat="false" ht="15" hidden="false" customHeight="true" outlineLevel="0" collapsed="false">
      <c r="A45" s="38" t="s">
        <v>948</v>
      </c>
      <c r="B45" s="38" t="s">
        <v>240</v>
      </c>
      <c r="C45" s="38" t="s">
        <v>241</v>
      </c>
      <c r="D45" s="53" t="n">
        <v>0.618474</v>
      </c>
      <c r="E45" s="53" t="n">
        <v>0.666061</v>
      </c>
      <c r="F45" s="53" t="n">
        <v>0.642268</v>
      </c>
      <c r="G45" s="53" t="n">
        <v>1</v>
      </c>
      <c r="H45" s="53" t="n">
        <v>1</v>
      </c>
      <c r="I45" s="53" t="n">
        <v>1</v>
      </c>
      <c r="J45" s="53" t="n">
        <v>0.5417</v>
      </c>
    </row>
    <row r="46" customFormat="false" ht="15" hidden="false" customHeight="true" outlineLevel="0" collapsed="false">
      <c r="A46" s="38" t="s">
        <v>949</v>
      </c>
      <c r="B46" s="38" t="s">
        <v>205</v>
      </c>
      <c r="C46" s="38" t="s">
        <v>365</v>
      </c>
      <c r="D46" s="53" t="n">
        <v>0.459687</v>
      </c>
      <c r="E46" s="53" t="n">
        <v>0.454563</v>
      </c>
      <c r="F46" s="53" t="n">
        <v>0.457125</v>
      </c>
      <c r="G46" s="53" t="n">
        <v>0.9524</v>
      </c>
      <c r="H46" s="53" t="n">
        <v>0.9167</v>
      </c>
      <c r="I46" s="53" t="n">
        <v>1</v>
      </c>
      <c r="J46" s="53" t="n">
        <v>0.5775</v>
      </c>
    </row>
    <row r="47" customFormat="false" ht="15" hidden="false" customHeight="true" outlineLevel="0" collapsed="false">
      <c r="A47" s="38" t="s">
        <v>950</v>
      </c>
      <c r="B47" s="38" t="s">
        <v>205</v>
      </c>
      <c r="C47" s="38" t="s">
        <v>365</v>
      </c>
      <c r="D47" s="53" t="n">
        <v>0.468226</v>
      </c>
      <c r="E47" s="53" t="n">
        <v>0.469667</v>
      </c>
      <c r="F47" s="53" t="n">
        <v>0.468947</v>
      </c>
      <c r="G47" s="53" t="n">
        <v>0.9524</v>
      </c>
      <c r="H47" s="53" t="n">
        <v>0.9167</v>
      </c>
      <c r="I47" s="53" t="n">
        <v>1</v>
      </c>
      <c r="J47" s="53" t="n">
        <v>0.5915</v>
      </c>
    </row>
    <row r="48" customFormat="false" ht="15" hidden="false" customHeight="true" outlineLevel="0" collapsed="false">
      <c r="A48" s="38" t="s">
        <v>951</v>
      </c>
      <c r="B48" s="38" t="s">
        <v>208</v>
      </c>
      <c r="C48" s="38" t="s">
        <v>209</v>
      </c>
      <c r="D48" s="53" t="n">
        <v>0.461281</v>
      </c>
      <c r="E48" s="53" t="n">
        <v>0.44372</v>
      </c>
      <c r="F48" s="53" t="n">
        <v>0.452501</v>
      </c>
      <c r="G48" s="53" t="n">
        <v>1</v>
      </c>
      <c r="H48" s="53" t="n">
        <v>0.8333</v>
      </c>
      <c r="I48" s="53" t="n">
        <v>0.8</v>
      </c>
      <c r="J48" s="53" t="n">
        <v>0.5143</v>
      </c>
    </row>
    <row r="49" customFormat="false" ht="15" hidden="false" customHeight="true" outlineLevel="0" collapsed="false">
      <c r="A49" s="38" t="s">
        <v>952</v>
      </c>
      <c r="B49" s="38" t="s">
        <v>208</v>
      </c>
      <c r="C49" s="38" t="s">
        <v>329</v>
      </c>
      <c r="D49" s="53" t="n">
        <v>0.473978</v>
      </c>
      <c r="E49" s="53" t="n">
        <v>0.455079</v>
      </c>
      <c r="F49" s="53" t="n">
        <v>0.464529</v>
      </c>
      <c r="G49" s="53" t="n">
        <v>1</v>
      </c>
      <c r="H49" s="53" t="n">
        <v>0.8333</v>
      </c>
      <c r="I49" s="53" t="n">
        <v>0.8</v>
      </c>
      <c r="J49" s="53" t="n">
        <v>0.5286</v>
      </c>
    </row>
    <row r="50" customFormat="false" ht="15" hidden="false" customHeight="true" outlineLevel="0" collapsed="false">
      <c r="A50" s="38" t="s">
        <v>953</v>
      </c>
      <c r="B50" s="38" t="s">
        <v>240</v>
      </c>
      <c r="C50" s="38" t="s">
        <v>241</v>
      </c>
      <c r="D50" s="53" t="n">
        <v>0.618474</v>
      </c>
      <c r="E50" s="53" t="n">
        <v>0.666061</v>
      </c>
      <c r="F50" s="53" t="n">
        <v>0.642268</v>
      </c>
      <c r="G50" s="53" t="n">
        <v>1</v>
      </c>
      <c r="H50" s="53" t="n">
        <v>1</v>
      </c>
      <c r="I50" s="53" t="n">
        <v>1</v>
      </c>
      <c r="J50" s="53" t="n">
        <v>0.5417</v>
      </c>
    </row>
    <row r="51" customFormat="false" ht="15" hidden="false" customHeight="true" outlineLevel="0" collapsed="false">
      <c r="A51" s="38" t="s">
        <v>954</v>
      </c>
      <c r="B51" s="38" t="s">
        <v>909</v>
      </c>
      <c r="C51" s="38" t="s">
        <v>187</v>
      </c>
      <c r="D51" s="53" t="n">
        <v>0.328372</v>
      </c>
      <c r="E51" s="53" t="n">
        <v>0.330742</v>
      </c>
      <c r="F51" s="53" t="n">
        <v>0.329557</v>
      </c>
      <c r="G51" s="53" t="n">
        <v>1</v>
      </c>
      <c r="H51" s="53" t="n">
        <v>0.8333</v>
      </c>
      <c r="I51" s="53" t="n">
        <v>0.8</v>
      </c>
      <c r="J51" s="53" t="n">
        <v>0.6056</v>
      </c>
    </row>
    <row r="52" customFormat="false" ht="15" hidden="false" customHeight="true" outlineLevel="0" collapsed="false">
      <c r="A52" s="38" t="s">
        <v>955</v>
      </c>
      <c r="B52" s="38" t="s">
        <v>255</v>
      </c>
      <c r="C52" s="38" t="s">
        <v>175</v>
      </c>
      <c r="D52" s="53" t="n">
        <v>0.385488</v>
      </c>
      <c r="E52" s="53" t="n">
        <v>0.338096</v>
      </c>
      <c r="F52" s="53" t="n">
        <v>0.361792</v>
      </c>
      <c r="G52" s="53" t="n">
        <v>1</v>
      </c>
      <c r="H52" s="53" t="n">
        <v>1</v>
      </c>
      <c r="I52" s="53" t="n">
        <v>1</v>
      </c>
      <c r="J52" s="53" t="n">
        <v>0.6056</v>
      </c>
    </row>
    <row r="53" customFormat="false" ht="15" hidden="false" customHeight="true" outlineLevel="0" collapsed="false">
      <c r="A53" s="38" t="s">
        <v>956</v>
      </c>
      <c r="B53" s="38" t="s">
        <v>909</v>
      </c>
      <c r="C53" s="38" t="s">
        <v>187</v>
      </c>
      <c r="D53" s="53" t="n">
        <v>0.328372</v>
      </c>
      <c r="E53" s="53" t="n">
        <v>0.330742</v>
      </c>
      <c r="F53" s="53" t="n">
        <v>0.329557</v>
      </c>
      <c r="G53" s="53" t="n">
        <v>1</v>
      </c>
      <c r="H53" s="53" t="n">
        <v>0.8333</v>
      </c>
      <c r="I53" s="53" t="n">
        <v>0.8</v>
      </c>
      <c r="J53" s="53" t="n">
        <v>0.6056</v>
      </c>
    </row>
    <row r="54" customFormat="false" ht="15" hidden="false" customHeight="true" outlineLevel="0" collapsed="false">
      <c r="A54" s="38" t="s">
        <v>957</v>
      </c>
      <c r="B54" s="38" t="s">
        <v>267</v>
      </c>
      <c r="C54" s="38" t="s">
        <v>184</v>
      </c>
      <c r="D54" s="53" t="n">
        <v>0.672633</v>
      </c>
      <c r="E54" s="53" t="n">
        <v>0.640563</v>
      </c>
      <c r="F54" s="53" t="n">
        <v>0.656598</v>
      </c>
      <c r="G54" s="53" t="n">
        <v>1</v>
      </c>
      <c r="H54" s="53" t="n">
        <v>0.9167</v>
      </c>
      <c r="I54" s="53" t="n">
        <v>0.8</v>
      </c>
      <c r="J54" s="53" t="n">
        <v>0.5556</v>
      </c>
    </row>
    <row r="55" customFormat="false" ht="15" hidden="false" customHeight="true" outlineLevel="0" collapsed="false">
      <c r="A55" s="38" t="s">
        <v>958</v>
      </c>
      <c r="B55" s="38" t="s">
        <v>267</v>
      </c>
      <c r="C55" s="38" t="s">
        <v>182</v>
      </c>
      <c r="D55" s="53" t="n">
        <v>0.541402</v>
      </c>
      <c r="E55" s="53" t="n">
        <v>0.56335</v>
      </c>
      <c r="F55" s="53" t="n">
        <v>0.552376</v>
      </c>
      <c r="G55" s="53" t="n">
        <v>1</v>
      </c>
      <c r="H55" s="53" t="n">
        <v>1</v>
      </c>
      <c r="I55" s="53" t="n">
        <v>1</v>
      </c>
      <c r="J55" s="53" t="n">
        <v>0.6389</v>
      </c>
    </row>
    <row r="56" customFormat="false" ht="15" hidden="false" customHeight="true" outlineLevel="0" collapsed="false">
      <c r="A56" s="38" t="s">
        <v>959</v>
      </c>
      <c r="B56" s="38" t="s">
        <v>267</v>
      </c>
      <c r="C56" s="38" t="s">
        <v>182</v>
      </c>
      <c r="D56" s="53" t="n">
        <v>0.529319</v>
      </c>
      <c r="E56" s="53" t="n">
        <v>0.553343</v>
      </c>
      <c r="F56" s="53" t="n">
        <v>0.541331</v>
      </c>
      <c r="G56" s="53" t="n">
        <v>1</v>
      </c>
      <c r="H56" s="53" t="n">
        <v>1</v>
      </c>
      <c r="I56" s="53" t="n">
        <v>1</v>
      </c>
      <c r="J56" s="53" t="n">
        <v>0.6111</v>
      </c>
    </row>
    <row r="57" customFormat="false" ht="15" hidden="false" customHeight="true" outlineLevel="0" collapsed="false">
      <c r="A57" s="38" t="s">
        <v>960</v>
      </c>
      <c r="B57" s="38" t="s">
        <v>299</v>
      </c>
      <c r="C57" s="38" t="s">
        <v>187</v>
      </c>
      <c r="D57" s="53" t="n">
        <v>0.571809</v>
      </c>
      <c r="E57" s="53" t="n">
        <v>0.58386</v>
      </c>
      <c r="F57" s="53" t="n">
        <v>0.577835</v>
      </c>
      <c r="G57" s="53" t="n">
        <v>0.9524</v>
      </c>
      <c r="H57" s="53" t="n">
        <v>1</v>
      </c>
      <c r="I57" s="53" t="n">
        <v>1</v>
      </c>
      <c r="J57" s="53" t="n">
        <v>0.5694</v>
      </c>
    </row>
    <row r="58" customFormat="false" ht="15" hidden="false" customHeight="true" outlineLevel="0" collapsed="false">
      <c r="A58" s="38" t="s">
        <v>961</v>
      </c>
      <c r="B58" s="38" t="s">
        <v>240</v>
      </c>
      <c r="C58" s="38" t="s">
        <v>241</v>
      </c>
      <c r="D58" s="53" t="n">
        <v>0.618474</v>
      </c>
      <c r="E58" s="53" t="n">
        <v>0.666061</v>
      </c>
      <c r="F58" s="53" t="n">
        <v>0.642268</v>
      </c>
      <c r="G58" s="53" t="n">
        <v>1</v>
      </c>
      <c r="H58" s="53" t="n">
        <v>1</v>
      </c>
      <c r="I58" s="53" t="n">
        <v>1</v>
      </c>
      <c r="J58" s="53" t="n">
        <v>0.5417</v>
      </c>
    </row>
    <row r="59" customFormat="false" ht="15" hidden="false" customHeight="true" outlineLevel="0" collapsed="false">
      <c r="A59" s="38" t="s">
        <v>962</v>
      </c>
      <c r="B59" s="38" t="s">
        <v>228</v>
      </c>
      <c r="C59" s="38" t="s">
        <v>280</v>
      </c>
      <c r="D59" s="53" t="n">
        <v>0.399294</v>
      </c>
      <c r="E59" s="53" t="n">
        <v>0.465696</v>
      </c>
      <c r="F59" s="53" t="n">
        <v>0.432495</v>
      </c>
      <c r="G59" s="53" t="n">
        <v>0.9524</v>
      </c>
      <c r="H59" s="53" t="n">
        <v>1</v>
      </c>
      <c r="I59" s="53" t="n">
        <v>1</v>
      </c>
      <c r="J59" s="53" t="n">
        <v>0.5634</v>
      </c>
    </row>
    <row r="60" customFormat="false" ht="15" hidden="false" customHeight="true" outlineLevel="0" collapsed="false">
      <c r="A60" s="38" t="s">
        <v>963</v>
      </c>
      <c r="B60" s="38" t="s">
        <v>255</v>
      </c>
      <c r="C60" s="38" t="s">
        <v>175</v>
      </c>
      <c r="D60" s="53" t="n">
        <v>0.321736</v>
      </c>
      <c r="E60" s="53" t="n">
        <v>0.352436</v>
      </c>
      <c r="F60" s="53" t="n">
        <v>0.337086</v>
      </c>
      <c r="G60" s="53" t="n">
        <v>1</v>
      </c>
      <c r="H60" s="53" t="n">
        <v>0.9167</v>
      </c>
      <c r="I60" s="53" t="n">
        <v>1</v>
      </c>
      <c r="J60" s="53" t="n">
        <v>0.6143</v>
      </c>
    </row>
    <row r="61" customFormat="false" ht="15" hidden="false" customHeight="true" outlineLevel="0" collapsed="false">
      <c r="A61" s="38" t="s">
        <v>964</v>
      </c>
      <c r="B61" s="38" t="s">
        <v>228</v>
      </c>
      <c r="C61" s="38" t="s">
        <v>280</v>
      </c>
      <c r="D61" s="53" t="n">
        <v>0.399294</v>
      </c>
      <c r="E61" s="53" t="n">
        <v>0.465696</v>
      </c>
      <c r="F61" s="53" t="n">
        <v>0.432495</v>
      </c>
      <c r="G61" s="53" t="n">
        <v>0.9524</v>
      </c>
      <c r="H61" s="53" t="n">
        <v>1</v>
      </c>
      <c r="I61" s="53" t="n">
        <v>1</v>
      </c>
      <c r="J61" s="53" t="n">
        <v>0.5634</v>
      </c>
    </row>
    <row r="62" customFormat="false" ht="15" hidden="false" customHeight="true" outlineLevel="0" collapsed="false">
      <c r="A62" s="38" t="s">
        <v>965</v>
      </c>
      <c r="B62" s="38" t="s">
        <v>255</v>
      </c>
      <c r="C62" s="38" t="s">
        <v>175</v>
      </c>
      <c r="D62" s="53" t="n">
        <v>0.321736</v>
      </c>
      <c r="E62" s="53" t="n">
        <v>0.352436</v>
      </c>
      <c r="F62" s="53" t="n">
        <v>0.337086</v>
      </c>
      <c r="G62" s="53" t="n">
        <v>1</v>
      </c>
      <c r="H62" s="53" t="n">
        <v>0.9167</v>
      </c>
      <c r="I62" s="53" t="n">
        <v>1</v>
      </c>
      <c r="J62" s="53" t="n">
        <v>0.6143</v>
      </c>
    </row>
    <row r="63" customFormat="false" ht="15" hidden="false" customHeight="true" outlineLevel="0" collapsed="false">
      <c r="A63" s="38" t="s">
        <v>966</v>
      </c>
      <c r="B63" s="38" t="s">
        <v>208</v>
      </c>
      <c r="C63" s="38" t="s">
        <v>209</v>
      </c>
      <c r="D63" s="53" t="n">
        <v>0.461281</v>
      </c>
      <c r="E63" s="53" t="n">
        <v>0.44372</v>
      </c>
      <c r="F63" s="53" t="n">
        <v>0.452501</v>
      </c>
      <c r="G63" s="53" t="n">
        <v>1</v>
      </c>
      <c r="H63" s="53" t="n">
        <v>0.8333</v>
      </c>
      <c r="I63" s="53" t="n">
        <v>0.8</v>
      </c>
      <c r="J63" s="53" t="n">
        <v>0.5143</v>
      </c>
    </row>
    <row r="64" customFormat="false" ht="15" hidden="false" customHeight="true" outlineLevel="0" collapsed="false">
      <c r="A64" s="38" t="s">
        <v>967</v>
      </c>
      <c r="B64" s="38" t="s">
        <v>257</v>
      </c>
      <c r="C64" s="38" t="s">
        <v>258</v>
      </c>
      <c r="D64" s="53" t="n">
        <v>0.404785</v>
      </c>
      <c r="E64" s="53" t="n">
        <v>0.392773</v>
      </c>
      <c r="F64" s="53" t="n">
        <v>0.398779</v>
      </c>
      <c r="G64" s="53" t="n">
        <v>1</v>
      </c>
      <c r="H64" s="53" t="n">
        <v>1</v>
      </c>
      <c r="I64" s="53" t="n">
        <v>1</v>
      </c>
      <c r="J64" s="53" t="n">
        <v>0.6286</v>
      </c>
    </row>
    <row r="65" customFormat="false" ht="15" hidden="false" customHeight="true" outlineLevel="0" collapsed="false">
      <c r="A65" s="38" t="s">
        <v>968</v>
      </c>
      <c r="B65" s="38" t="s">
        <v>267</v>
      </c>
      <c r="C65" s="38" t="s">
        <v>184</v>
      </c>
      <c r="D65" s="53" t="n">
        <v>0.672633</v>
      </c>
      <c r="E65" s="53" t="n">
        <v>0.640563</v>
      </c>
      <c r="F65" s="53" t="n">
        <v>0.656598</v>
      </c>
      <c r="G65" s="53" t="n">
        <v>1</v>
      </c>
      <c r="H65" s="53" t="n">
        <v>0.9167</v>
      </c>
      <c r="I65" s="53" t="n">
        <v>0.8</v>
      </c>
      <c r="J65" s="53" t="n">
        <v>0.5556</v>
      </c>
    </row>
    <row r="66" customFormat="false" ht="15" hidden="false" customHeight="true" outlineLevel="0" collapsed="false">
      <c r="A66" s="38" t="s">
        <v>969</v>
      </c>
      <c r="B66" s="38" t="s">
        <v>267</v>
      </c>
      <c r="C66" s="38" t="s">
        <v>182</v>
      </c>
      <c r="D66" s="53" t="n">
        <v>0.529319</v>
      </c>
      <c r="E66" s="53" t="n">
        <v>0.553343</v>
      </c>
      <c r="F66" s="53" t="n">
        <v>0.541331</v>
      </c>
      <c r="G66" s="53" t="n">
        <v>1</v>
      </c>
      <c r="H66" s="53" t="n">
        <v>1</v>
      </c>
      <c r="I66" s="53" t="n">
        <v>1</v>
      </c>
      <c r="J66" s="53" t="n">
        <v>0.6111</v>
      </c>
    </row>
    <row r="67" customFormat="false" ht="15" hidden="false" customHeight="true" outlineLevel="0" collapsed="false">
      <c r="A67" s="38" t="s">
        <v>970</v>
      </c>
      <c r="B67" s="38" t="s">
        <v>267</v>
      </c>
      <c r="C67" s="38" t="s">
        <v>182</v>
      </c>
      <c r="D67" s="53" t="n">
        <v>0.541402</v>
      </c>
      <c r="E67" s="53" t="n">
        <v>0.56335</v>
      </c>
      <c r="F67" s="53" t="n">
        <v>0.552376</v>
      </c>
      <c r="G67" s="53" t="n">
        <v>1</v>
      </c>
      <c r="H67" s="53" t="n">
        <v>1</v>
      </c>
      <c r="I67" s="53" t="n">
        <v>1</v>
      </c>
      <c r="J67" s="53" t="n">
        <v>0.6389</v>
      </c>
    </row>
    <row r="68" customFormat="false" ht="15" hidden="false" customHeight="true" outlineLevel="0" collapsed="false">
      <c r="A68" s="38" t="s">
        <v>971</v>
      </c>
      <c r="B68" s="38" t="s">
        <v>228</v>
      </c>
      <c r="C68" s="38" t="s">
        <v>276</v>
      </c>
      <c r="D68" s="53" t="n">
        <v>-0.051942</v>
      </c>
      <c r="E68" s="53" t="n">
        <v>0.109493</v>
      </c>
      <c r="F68" s="53" t="n">
        <v>0.028776</v>
      </c>
      <c r="G68" s="53" t="n">
        <v>0.95</v>
      </c>
      <c r="H68" s="53" t="n">
        <v>0.5</v>
      </c>
      <c r="I68" s="53" t="n">
        <v>0.4</v>
      </c>
      <c r="J68" s="53" t="n">
        <v>0.3731</v>
      </c>
    </row>
    <row r="69" customFormat="false" ht="15" hidden="false" customHeight="true" outlineLevel="0" collapsed="false">
      <c r="A69" s="38" t="s">
        <v>972</v>
      </c>
      <c r="B69" s="38" t="s">
        <v>211</v>
      </c>
      <c r="C69" s="38" t="s">
        <v>212</v>
      </c>
      <c r="D69" s="53" t="n">
        <v>0.571022</v>
      </c>
      <c r="E69" s="53" t="n">
        <v>0.491122</v>
      </c>
      <c r="F69" s="53" t="n">
        <v>0.531072</v>
      </c>
      <c r="G69" s="53" t="n">
        <v>1</v>
      </c>
      <c r="H69" s="53" t="n">
        <v>1</v>
      </c>
      <c r="I69" s="53" t="n">
        <v>1</v>
      </c>
      <c r="J69" s="53" t="n">
        <v>0.5714</v>
      </c>
    </row>
    <row r="70" customFormat="false" ht="15" hidden="false" customHeight="true" outlineLevel="0" collapsed="false">
      <c r="A70" s="38" t="s">
        <v>973</v>
      </c>
      <c r="B70" s="38" t="s">
        <v>211</v>
      </c>
      <c r="C70" s="38" t="s">
        <v>293</v>
      </c>
      <c r="D70" s="53" t="n">
        <v>0.41731</v>
      </c>
      <c r="E70" s="53" t="n">
        <v>0.398516</v>
      </c>
      <c r="F70" s="53" t="n">
        <v>0.407913</v>
      </c>
      <c r="G70" s="53" t="n">
        <v>0.9524</v>
      </c>
      <c r="H70" s="53" t="n">
        <v>0.9167</v>
      </c>
      <c r="I70" s="53" t="n">
        <v>1</v>
      </c>
      <c r="J70" s="53" t="n">
        <v>0.5857</v>
      </c>
    </row>
    <row r="71" customFormat="false" ht="15" hidden="false" customHeight="true" outlineLevel="0" collapsed="false">
      <c r="A71" s="38" t="s">
        <v>974</v>
      </c>
      <c r="B71" s="38" t="s">
        <v>260</v>
      </c>
      <c r="C71" s="38" t="s">
        <v>261</v>
      </c>
      <c r="D71" s="53" t="n">
        <v>0.579017</v>
      </c>
      <c r="E71" s="53" t="n">
        <v>0.530213</v>
      </c>
      <c r="F71" s="53" t="n">
        <v>0.554615</v>
      </c>
      <c r="G71" s="53" t="n">
        <v>1</v>
      </c>
      <c r="H71" s="53" t="n">
        <v>1</v>
      </c>
      <c r="I71" s="53" t="n">
        <v>1</v>
      </c>
      <c r="J71" s="53" t="n">
        <v>0.5139</v>
      </c>
    </row>
    <row r="72" customFormat="false" ht="15" hidden="false" customHeight="true" outlineLevel="0" collapsed="false">
      <c r="A72" s="38" t="s">
        <v>975</v>
      </c>
      <c r="B72" s="38" t="s">
        <v>219</v>
      </c>
      <c r="C72" s="38" t="s">
        <v>191</v>
      </c>
      <c r="D72" s="53" t="n">
        <v>0.470176</v>
      </c>
      <c r="E72" s="53" t="n">
        <v>0.516632</v>
      </c>
      <c r="F72" s="53" t="n">
        <v>0.493404</v>
      </c>
      <c r="G72" s="53" t="n">
        <v>1</v>
      </c>
      <c r="H72" s="53" t="n">
        <v>1</v>
      </c>
      <c r="I72" s="53" t="n">
        <v>1</v>
      </c>
      <c r="J72" s="53" t="n">
        <v>0.625</v>
      </c>
    </row>
    <row r="73" customFormat="false" ht="15" hidden="false" customHeight="true" outlineLevel="0" collapsed="false">
      <c r="A73" s="38" t="s">
        <v>976</v>
      </c>
      <c r="B73" s="38" t="s">
        <v>219</v>
      </c>
      <c r="C73" s="38" t="s">
        <v>193</v>
      </c>
      <c r="D73" s="53" t="n">
        <v>0.489757</v>
      </c>
      <c r="E73" s="53" t="n">
        <v>0.459898</v>
      </c>
      <c r="F73" s="53" t="n">
        <v>0.474828</v>
      </c>
      <c r="G73" s="53" t="n">
        <v>0.9524</v>
      </c>
      <c r="H73" s="53" t="n">
        <v>0.9167</v>
      </c>
      <c r="I73" s="53" t="n">
        <v>0.8</v>
      </c>
      <c r="J73" s="53" t="n">
        <v>0.6944</v>
      </c>
    </row>
    <row r="74" customFormat="false" ht="15" hidden="false" customHeight="true" outlineLevel="0" collapsed="false">
      <c r="A74" s="38" t="s">
        <v>977</v>
      </c>
      <c r="B74" s="38" t="s">
        <v>219</v>
      </c>
      <c r="C74" s="38" t="s">
        <v>243</v>
      </c>
      <c r="D74" s="53" t="n">
        <v>0.543498</v>
      </c>
      <c r="E74" s="53" t="n">
        <v>0.569066</v>
      </c>
      <c r="F74" s="53" t="n">
        <v>0.556282</v>
      </c>
      <c r="G74" s="53" t="n">
        <v>1</v>
      </c>
      <c r="H74" s="53" t="n">
        <v>1</v>
      </c>
      <c r="I74" s="53" t="n">
        <v>1</v>
      </c>
      <c r="J74" s="53" t="n">
        <v>0.6389</v>
      </c>
    </row>
    <row r="75" customFormat="false" ht="15" hidden="false" customHeight="true" outlineLevel="0" collapsed="false">
      <c r="A75" s="38" t="s">
        <v>978</v>
      </c>
      <c r="B75" s="38" t="s">
        <v>208</v>
      </c>
      <c r="C75" s="38" t="s">
        <v>25</v>
      </c>
      <c r="D75" s="53" t="n">
        <v>0.392357</v>
      </c>
      <c r="E75" s="53" t="n">
        <v>0.37326</v>
      </c>
      <c r="F75" s="53" t="n">
        <v>0.382809</v>
      </c>
      <c r="G75" s="53" t="n">
        <v>1</v>
      </c>
      <c r="H75" s="53" t="n">
        <v>1</v>
      </c>
      <c r="I75" s="53" t="n">
        <v>1</v>
      </c>
      <c r="J75" s="53" t="n">
        <v>0.5</v>
      </c>
    </row>
    <row r="76" customFormat="false" ht="15" hidden="false" customHeight="true" outlineLevel="0" collapsed="false">
      <c r="A76" s="38" t="s">
        <v>979</v>
      </c>
      <c r="B76" s="38" t="s">
        <v>208</v>
      </c>
      <c r="C76" s="38" t="s">
        <v>37</v>
      </c>
      <c r="D76" s="53" t="n">
        <v>0.477498</v>
      </c>
      <c r="E76" s="53" t="n">
        <v>0.4576</v>
      </c>
      <c r="F76" s="53" t="n">
        <v>0.467549</v>
      </c>
      <c r="G76" s="53" t="n">
        <v>1</v>
      </c>
      <c r="H76" s="53" t="n">
        <v>1</v>
      </c>
      <c r="I76" s="53" t="n">
        <v>1</v>
      </c>
      <c r="J76" s="53" t="n">
        <v>0.5</v>
      </c>
    </row>
    <row r="77" customFormat="false" ht="15" hidden="false" customHeight="true" outlineLevel="0" collapsed="false">
      <c r="A77" s="38" t="s">
        <v>980</v>
      </c>
      <c r="B77" s="38" t="s">
        <v>208</v>
      </c>
      <c r="C77" s="38" t="s">
        <v>329</v>
      </c>
      <c r="D77" s="53" t="n">
        <v>0.443127</v>
      </c>
      <c r="E77" s="53" t="n">
        <v>0.407536</v>
      </c>
      <c r="F77" s="53" t="n">
        <v>0.425331</v>
      </c>
      <c r="G77" s="53" t="n">
        <v>1</v>
      </c>
      <c r="H77" s="53" t="n">
        <v>1</v>
      </c>
      <c r="I77" s="53" t="n">
        <v>1</v>
      </c>
      <c r="J77" s="53" t="n">
        <v>0.5429</v>
      </c>
    </row>
    <row r="78" customFormat="false" ht="15" hidden="false" customHeight="true" outlineLevel="0" collapsed="false">
      <c r="A78" s="38" t="s">
        <v>981</v>
      </c>
      <c r="B78" s="38" t="s">
        <v>909</v>
      </c>
      <c r="C78" s="38" t="s">
        <v>187</v>
      </c>
      <c r="D78" s="53" t="n">
        <v>0.305849</v>
      </c>
      <c r="E78" s="53" t="n">
        <v>0.249785</v>
      </c>
      <c r="F78" s="53" t="n">
        <v>0.277817</v>
      </c>
      <c r="G78" s="53" t="n">
        <v>1</v>
      </c>
      <c r="H78" s="53" t="n">
        <v>0.9167</v>
      </c>
      <c r="I78" s="53" t="n">
        <v>0.8</v>
      </c>
      <c r="J78" s="53" t="n">
        <v>0.507</v>
      </c>
    </row>
    <row r="79" customFormat="false" ht="15" hidden="false" customHeight="true" outlineLevel="0" collapsed="false">
      <c r="A79" s="38" t="s">
        <v>982</v>
      </c>
      <c r="B79" s="38" t="s">
        <v>909</v>
      </c>
      <c r="C79" s="38" t="s">
        <v>187</v>
      </c>
      <c r="D79" s="53" t="n">
        <v>0.420097</v>
      </c>
      <c r="E79" s="53" t="n">
        <v>0.446655</v>
      </c>
      <c r="F79" s="53" t="n">
        <v>0.433376</v>
      </c>
      <c r="G79" s="53" t="n">
        <v>1</v>
      </c>
      <c r="H79" s="53" t="n">
        <v>0.9167</v>
      </c>
      <c r="I79" s="53" t="n">
        <v>0.8</v>
      </c>
      <c r="J79" s="53" t="n">
        <v>0.5694</v>
      </c>
    </row>
    <row r="80" customFormat="false" ht="15" hidden="false" customHeight="true" outlineLevel="0" collapsed="false">
      <c r="A80" s="38" t="s">
        <v>983</v>
      </c>
      <c r="B80" s="38" t="s">
        <v>299</v>
      </c>
      <c r="C80" s="38" t="s">
        <v>187</v>
      </c>
      <c r="D80" s="53" t="n">
        <v>0.596968</v>
      </c>
      <c r="E80" s="53" t="n">
        <v>0.606743</v>
      </c>
      <c r="F80" s="53" t="n">
        <v>0.601855</v>
      </c>
      <c r="G80" s="53" t="n">
        <v>1</v>
      </c>
      <c r="H80" s="53" t="n">
        <v>0.9167</v>
      </c>
      <c r="I80" s="53" t="n">
        <v>1</v>
      </c>
      <c r="J80" s="53" t="n">
        <v>0.6944</v>
      </c>
    </row>
    <row r="81" customFormat="false" ht="15" hidden="false" customHeight="true" outlineLevel="0" collapsed="false">
      <c r="A81" s="38" t="s">
        <v>984</v>
      </c>
      <c r="B81" s="38" t="s">
        <v>255</v>
      </c>
      <c r="C81" s="38" t="s">
        <v>175</v>
      </c>
      <c r="D81" s="53" t="n">
        <v>0.557623</v>
      </c>
      <c r="E81" s="53" t="n">
        <v>0.556539</v>
      </c>
      <c r="F81" s="53" t="n">
        <v>0.557081</v>
      </c>
      <c r="G81" s="53" t="n">
        <v>1</v>
      </c>
      <c r="H81" s="53" t="n">
        <v>1</v>
      </c>
      <c r="I81" s="53" t="n">
        <v>1</v>
      </c>
      <c r="J81" s="53" t="n">
        <v>0.6806</v>
      </c>
    </row>
    <row r="82" customFormat="false" ht="15" hidden="false" customHeight="true" outlineLevel="0" collapsed="false">
      <c r="A82" s="38" t="s">
        <v>985</v>
      </c>
      <c r="B82" s="38" t="s">
        <v>216</v>
      </c>
      <c r="C82" s="38" t="s">
        <v>217</v>
      </c>
      <c r="D82" s="53" t="n">
        <v>0.653626</v>
      </c>
      <c r="E82" s="53" t="n">
        <v>0.685827</v>
      </c>
      <c r="F82" s="53" t="n">
        <v>0.669726</v>
      </c>
      <c r="G82" s="53" t="n">
        <v>1</v>
      </c>
      <c r="H82" s="53" t="n">
        <v>0.9167</v>
      </c>
      <c r="I82" s="53" t="n">
        <v>0.8</v>
      </c>
      <c r="J82" s="53" t="n">
        <v>0.6111</v>
      </c>
    </row>
    <row r="83" customFormat="false" ht="15" hidden="false" customHeight="true" outlineLevel="0" collapsed="false">
      <c r="A83" s="38" t="s">
        <v>986</v>
      </c>
      <c r="B83" s="38" t="s">
        <v>909</v>
      </c>
      <c r="C83" s="38" t="s">
        <v>187</v>
      </c>
      <c r="D83" s="53" t="n">
        <v>0.548566</v>
      </c>
      <c r="E83" s="53" t="n">
        <v>0.560048</v>
      </c>
      <c r="F83" s="53" t="n">
        <v>0.554307</v>
      </c>
      <c r="G83" s="53" t="n">
        <v>0.9524</v>
      </c>
      <c r="H83" s="53" t="n">
        <v>0.9167</v>
      </c>
      <c r="I83" s="53" t="n">
        <v>0.8</v>
      </c>
      <c r="J83" s="53" t="n">
        <v>0.6944</v>
      </c>
    </row>
    <row r="84" customFormat="false" ht="15" hidden="false" customHeight="true" outlineLevel="0" collapsed="false">
      <c r="A84" s="38" t="s">
        <v>987</v>
      </c>
      <c r="B84" s="38" t="s">
        <v>909</v>
      </c>
      <c r="C84" s="38" t="s">
        <v>187</v>
      </c>
      <c r="D84" s="53" t="n">
        <v>0.570241</v>
      </c>
      <c r="E84" s="53" t="n">
        <v>0.576065</v>
      </c>
      <c r="F84" s="53" t="n">
        <v>0.573153</v>
      </c>
      <c r="G84" s="53" t="n">
        <v>0.9524</v>
      </c>
      <c r="H84" s="53" t="n">
        <v>0.9167</v>
      </c>
      <c r="I84" s="53" t="n">
        <v>0.8</v>
      </c>
      <c r="J84" s="53" t="n">
        <v>0.6944</v>
      </c>
    </row>
    <row r="85" customFormat="false" ht="15" hidden="false" customHeight="true" outlineLevel="0" collapsed="false">
      <c r="A85" s="38" t="s">
        <v>988</v>
      </c>
      <c r="B85" s="38" t="s">
        <v>299</v>
      </c>
      <c r="C85" s="38" t="s">
        <v>187</v>
      </c>
      <c r="D85" s="53" t="n">
        <v>0.570241</v>
      </c>
      <c r="E85" s="53" t="n">
        <v>0.576065</v>
      </c>
      <c r="F85" s="53" t="n">
        <v>0.573153</v>
      </c>
      <c r="G85" s="53" t="n">
        <v>0.9524</v>
      </c>
      <c r="H85" s="53" t="n">
        <v>0.9167</v>
      </c>
      <c r="I85" s="53" t="n">
        <v>0.8</v>
      </c>
      <c r="J85" s="53" t="n">
        <v>0.6944</v>
      </c>
    </row>
    <row r="86" customFormat="false" ht="15" hidden="false" customHeight="true" outlineLevel="0" collapsed="false">
      <c r="A86" s="38" t="s">
        <v>989</v>
      </c>
      <c r="B86" s="38" t="s">
        <v>240</v>
      </c>
      <c r="C86" s="38" t="s">
        <v>241</v>
      </c>
      <c r="D86" s="53" t="n">
        <v>0.624528</v>
      </c>
      <c r="E86" s="53" t="n">
        <v>0.65122</v>
      </c>
      <c r="F86" s="53" t="n">
        <v>0.637874</v>
      </c>
      <c r="G86" s="53" t="n">
        <v>1</v>
      </c>
      <c r="H86" s="53" t="n">
        <v>1</v>
      </c>
      <c r="I86" s="53" t="n">
        <v>1</v>
      </c>
      <c r="J86" s="53" t="n">
        <v>0.5972</v>
      </c>
    </row>
    <row r="87" customFormat="false" ht="15" hidden="false" customHeight="true" outlineLevel="0" collapsed="false">
      <c r="A87" s="38" t="s">
        <v>990</v>
      </c>
      <c r="B87" s="38" t="s">
        <v>202</v>
      </c>
      <c r="C87" s="38" t="s">
        <v>928</v>
      </c>
      <c r="D87" s="53" t="n">
        <v>0.430125</v>
      </c>
      <c r="E87" s="53" t="n">
        <v>0.455458</v>
      </c>
      <c r="F87" s="53" t="n">
        <v>0.442791</v>
      </c>
      <c r="G87" s="53" t="n">
        <v>1</v>
      </c>
      <c r="H87" s="53" t="n">
        <v>0.8333</v>
      </c>
      <c r="I87" s="53" t="n">
        <v>0.8</v>
      </c>
      <c r="J87" s="53" t="n">
        <v>0.5972</v>
      </c>
    </row>
    <row r="88" customFormat="false" ht="15" hidden="false" customHeight="true" outlineLevel="0" collapsed="false">
      <c r="A88" s="38" t="s">
        <v>991</v>
      </c>
      <c r="B88" s="38" t="s">
        <v>202</v>
      </c>
      <c r="C88" s="38" t="s">
        <v>928</v>
      </c>
      <c r="D88" s="53" t="n">
        <v>0.423258</v>
      </c>
      <c r="E88" s="53" t="n">
        <v>0.442019</v>
      </c>
      <c r="F88" s="53" t="n">
        <v>0.432639</v>
      </c>
      <c r="G88" s="53" t="n">
        <v>1</v>
      </c>
      <c r="H88" s="53" t="n">
        <v>0.8333</v>
      </c>
      <c r="I88" s="53" t="n">
        <v>0.8</v>
      </c>
      <c r="J88" s="53" t="n">
        <v>0.5694</v>
      </c>
    </row>
    <row r="89" customFormat="false" ht="15" hidden="false" customHeight="true" outlineLevel="0" collapsed="false">
      <c r="A89" s="38" t="s">
        <v>992</v>
      </c>
      <c r="B89" s="38" t="s">
        <v>208</v>
      </c>
      <c r="C89" s="38" t="s">
        <v>329</v>
      </c>
      <c r="D89" s="53" t="n">
        <v>0.4871</v>
      </c>
      <c r="E89" s="53" t="n">
        <v>0.469483</v>
      </c>
      <c r="F89" s="53" t="n">
        <v>0.478292</v>
      </c>
      <c r="G89" s="53" t="n">
        <v>0.9524</v>
      </c>
      <c r="H89" s="53" t="n">
        <v>0.8333</v>
      </c>
      <c r="I89" s="53" t="n">
        <v>0.8</v>
      </c>
      <c r="J89" s="53" t="n">
        <v>0.5429</v>
      </c>
    </row>
    <row r="90" customFormat="false" ht="15" hidden="false" customHeight="true" outlineLevel="0" collapsed="false">
      <c r="A90" s="38" t="s">
        <v>993</v>
      </c>
      <c r="B90" s="38" t="s">
        <v>208</v>
      </c>
      <c r="C90" s="38" t="s">
        <v>329</v>
      </c>
      <c r="D90" s="53" t="n">
        <v>0.473978</v>
      </c>
      <c r="E90" s="53" t="n">
        <v>0.455079</v>
      </c>
      <c r="F90" s="53" t="n">
        <v>0.464529</v>
      </c>
      <c r="G90" s="53" t="n">
        <v>1</v>
      </c>
      <c r="H90" s="53" t="n">
        <v>0.8333</v>
      </c>
      <c r="I90" s="53" t="n">
        <v>0.8</v>
      </c>
      <c r="J90" s="53" t="n">
        <v>0.5286</v>
      </c>
    </row>
    <row r="91" customFormat="false" ht="15" hidden="false" customHeight="true" outlineLevel="0" collapsed="false">
      <c r="A91" s="38" t="s">
        <v>994</v>
      </c>
      <c r="B91" s="38" t="s">
        <v>257</v>
      </c>
      <c r="C91" s="38" t="s">
        <v>440</v>
      </c>
      <c r="D91" s="53" t="n">
        <v>0.339386</v>
      </c>
      <c r="E91" s="53" t="n">
        <v>0.365424</v>
      </c>
      <c r="F91" s="53" t="n">
        <v>0.352405</v>
      </c>
      <c r="G91" s="53" t="n">
        <v>1</v>
      </c>
      <c r="H91" s="53" t="n">
        <v>1</v>
      </c>
      <c r="I91" s="53" t="n">
        <v>1</v>
      </c>
      <c r="J91" s="53" t="n">
        <v>0.6714</v>
      </c>
    </row>
    <row r="92" customFormat="false" ht="15" hidden="false" customHeight="true" outlineLevel="0" collapsed="false">
      <c r="A92" s="38" t="s">
        <v>995</v>
      </c>
      <c r="B92" s="38" t="s">
        <v>260</v>
      </c>
      <c r="C92" s="38" t="s">
        <v>261</v>
      </c>
      <c r="D92" s="53" t="n">
        <v>0.311024</v>
      </c>
      <c r="E92" s="53" t="n">
        <v>0.317379</v>
      </c>
      <c r="F92" s="53" t="n">
        <v>0.314202</v>
      </c>
      <c r="G92" s="53" t="n">
        <v>1</v>
      </c>
      <c r="H92" s="53" t="n">
        <v>1</v>
      </c>
      <c r="I92" s="53" t="n">
        <v>1</v>
      </c>
      <c r="J92" s="53" t="n">
        <v>0.5857</v>
      </c>
    </row>
    <row r="93" customFormat="false" ht="15" hidden="false" customHeight="true" outlineLevel="0" collapsed="false">
      <c r="A93" s="38" t="s">
        <v>996</v>
      </c>
      <c r="B93" s="38" t="s">
        <v>299</v>
      </c>
      <c r="C93" s="38" t="s">
        <v>187</v>
      </c>
      <c r="D93" s="53" t="n">
        <v>0.571809</v>
      </c>
      <c r="E93" s="53" t="n">
        <v>0.58386</v>
      </c>
      <c r="F93" s="53" t="n">
        <v>0.577835</v>
      </c>
      <c r="G93" s="53" t="n">
        <v>0.9524</v>
      </c>
      <c r="H93" s="53" t="n">
        <v>1</v>
      </c>
      <c r="I93" s="53" t="n">
        <v>1</v>
      </c>
      <c r="J93" s="53" t="n">
        <v>0.5694</v>
      </c>
    </row>
    <row r="94" customFormat="false" ht="15" hidden="false" customHeight="true" outlineLevel="0" collapsed="false">
      <c r="A94" s="38" t="s">
        <v>997</v>
      </c>
      <c r="B94" s="38" t="s">
        <v>909</v>
      </c>
      <c r="C94" s="38" t="s">
        <v>187</v>
      </c>
      <c r="D94" s="53" t="n">
        <v>0.328372</v>
      </c>
      <c r="E94" s="53" t="n">
        <v>0.330742</v>
      </c>
      <c r="F94" s="53" t="n">
        <v>0.329557</v>
      </c>
      <c r="G94" s="53" t="n">
        <v>1</v>
      </c>
      <c r="H94" s="53" t="n">
        <v>0.8333</v>
      </c>
      <c r="I94" s="53" t="n">
        <v>0.8</v>
      </c>
      <c r="J94" s="53" t="n">
        <v>0.6056</v>
      </c>
    </row>
    <row r="95" customFormat="false" ht="15" hidden="false" customHeight="true" outlineLevel="0" collapsed="false">
      <c r="A95" s="38" t="s">
        <v>998</v>
      </c>
      <c r="B95" s="38" t="s">
        <v>240</v>
      </c>
      <c r="C95" s="38" t="s">
        <v>241</v>
      </c>
      <c r="D95" s="53" t="n">
        <v>0.618474</v>
      </c>
      <c r="E95" s="53" t="n">
        <v>0.666061</v>
      </c>
      <c r="F95" s="53" t="n">
        <v>0.642268</v>
      </c>
      <c r="G95" s="53" t="n">
        <v>1</v>
      </c>
      <c r="H95" s="53" t="n">
        <v>1</v>
      </c>
      <c r="I95" s="53" t="n">
        <v>1</v>
      </c>
      <c r="J95" s="53" t="n">
        <v>0.5417</v>
      </c>
    </row>
    <row r="96" customFormat="false" ht="15" hidden="false" customHeight="true" outlineLevel="0" collapsed="false">
      <c r="A96" s="38" t="s">
        <v>999</v>
      </c>
      <c r="B96" s="38" t="s">
        <v>274</v>
      </c>
      <c r="C96" s="38" t="s">
        <v>199</v>
      </c>
      <c r="D96" s="53" t="n">
        <v>0.551948</v>
      </c>
      <c r="E96" s="53" t="n">
        <v>0.559345</v>
      </c>
      <c r="F96" s="53" t="n">
        <v>0.555647</v>
      </c>
      <c r="G96" s="53" t="n">
        <v>1</v>
      </c>
      <c r="H96" s="53" t="n">
        <v>1</v>
      </c>
      <c r="I96" s="53" t="n">
        <v>1</v>
      </c>
      <c r="J96" s="53" t="n">
        <v>0.5694</v>
      </c>
    </row>
    <row r="97" customFormat="false" ht="15" hidden="false" customHeight="true" outlineLevel="0" collapsed="false">
      <c r="A97" s="38" t="s">
        <v>1000</v>
      </c>
      <c r="B97" s="38" t="s">
        <v>274</v>
      </c>
      <c r="C97" s="38" t="s">
        <v>199</v>
      </c>
      <c r="D97" s="53" t="n">
        <v>0.56237</v>
      </c>
      <c r="E97" s="53" t="n">
        <v>0.566335</v>
      </c>
      <c r="F97" s="53" t="n">
        <v>0.564352</v>
      </c>
      <c r="G97" s="53" t="n">
        <v>1</v>
      </c>
      <c r="H97" s="53" t="n">
        <v>1</v>
      </c>
      <c r="I97" s="53" t="n">
        <v>1</v>
      </c>
      <c r="J97" s="53" t="n">
        <v>0.5556</v>
      </c>
    </row>
    <row r="98" customFormat="false" ht="15" hidden="false" customHeight="true" outlineLevel="0" collapsed="false">
      <c r="A98" s="38" t="s">
        <v>1001</v>
      </c>
      <c r="B98" s="38" t="s">
        <v>202</v>
      </c>
      <c r="C98" s="38" t="s">
        <v>235</v>
      </c>
      <c r="D98" s="53" t="n">
        <v>0.580502</v>
      </c>
      <c r="E98" s="53" t="n">
        <v>0.642099</v>
      </c>
      <c r="F98" s="53" t="n">
        <v>0.6113</v>
      </c>
      <c r="G98" s="53" t="n">
        <v>1</v>
      </c>
      <c r="H98" s="53" t="n">
        <v>1</v>
      </c>
      <c r="I98" s="53" t="n">
        <v>1</v>
      </c>
      <c r="J98" s="53" t="n">
        <v>0.6389</v>
      </c>
    </row>
    <row r="99" customFormat="false" ht="15" hidden="false" customHeight="true" outlineLevel="0" collapsed="false">
      <c r="A99" s="38" t="s">
        <v>1002</v>
      </c>
      <c r="B99" s="38" t="s">
        <v>299</v>
      </c>
      <c r="C99" s="38" t="s">
        <v>187</v>
      </c>
      <c r="D99" s="53" t="n">
        <v>0.518845</v>
      </c>
      <c r="E99" s="53" t="n">
        <v>0.534112</v>
      </c>
      <c r="F99" s="53" t="n">
        <v>0.526478</v>
      </c>
      <c r="G99" s="53" t="n">
        <v>0.9524</v>
      </c>
      <c r="H99" s="53" t="n">
        <v>0.9167</v>
      </c>
      <c r="I99" s="53" t="n">
        <v>0.8</v>
      </c>
      <c r="J99" s="53" t="n">
        <v>0.6667</v>
      </c>
    </row>
    <row r="100" customFormat="false" ht="15" hidden="false" customHeight="true" outlineLevel="0" collapsed="false">
      <c r="A100" s="38" t="s">
        <v>1003</v>
      </c>
      <c r="B100" s="38" t="s">
        <v>299</v>
      </c>
      <c r="C100" s="38" t="s">
        <v>187</v>
      </c>
      <c r="D100" s="53" t="n">
        <v>0.693225</v>
      </c>
      <c r="E100" s="53" t="n">
        <v>0.681355</v>
      </c>
      <c r="F100" s="53" t="n">
        <v>0.68729</v>
      </c>
      <c r="G100" s="53" t="n">
        <v>0.9524</v>
      </c>
      <c r="H100" s="53" t="n">
        <v>1</v>
      </c>
      <c r="I100" s="53" t="n">
        <v>1</v>
      </c>
      <c r="J100" s="53" t="n">
        <v>0.5278</v>
      </c>
    </row>
    <row r="101" customFormat="false" ht="15" hidden="false" customHeight="true" outlineLevel="0" collapsed="false">
      <c r="A101" s="38"/>
      <c r="B101" s="38"/>
      <c r="C101" s="38"/>
      <c r="D101" s="38"/>
      <c r="E101" s="38"/>
      <c r="F101" s="38"/>
      <c r="G101" s="38"/>
      <c r="H101" s="38"/>
      <c r="I101" s="38"/>
      <c r="J101" s="38"/>
    </row>
    <row r="102" customFormat="false" ht="15" hidden="false" customHeight="true" outlineLevel="0" collapsed="false">
      <c r="A102" s="38"/>
      <c r="B102" s="41" t="s">
        <v>50</v>
      </c>
      <c r="C102" s="49" t="n">
        <f aca="false">COUNT(F5:F100)</f>
        <v>96</v>
      </c>
      <c r="D102" s="38"/>
      <c r="E102" s="38"/>
      <c r="F102" s="38"/>
      <c r="G102" s="38"/>
      <c r="H102" s="38"/>
      <c r="I102" s="38"/>
      <c r="J102" s="38"/>
    </row>
    <row r="103" customFormat="false" ht="15" hidden="false" customHeight="true" outlineLevel="0" collapsed="false">
      <c r="A103" s="38"/>
      <c r="B103" s="41" t="s">
        <v>1004</v>
      </c>
      <c r="C103" s="49" t="n">
        <f aca="false">AVERAGE(D5:D100)</f>
        <v>0.489261541666667</v>
      </c>
      <c r="D103" s="38"/>
      <c r="E103" s="38"/>
      <c r="F103" s="38"/>
      <c r="G103" s="38"/>
      <c r="H103" s="38"/>
      <c r="I103" s="38"/>
      <c r="J103" s="38"/>
    </row>
    <row r="104" customFormat="false" ht="15" hidden="false" customHeight="true" outlineLevel="0" collapsed="false">
      <c r="A104" s="38"/>
      <c r="B104" s="41" t="s">
        <v>1005</v>
      </c>
      <c r="C104" s="49" t="n">
        <f aca="false">STDEVP(D5:D100)</f>
        <v>0.120159364901534</v>
      </c>
      <c r="D104" s="38"/>
      <c r="E104" s="38"/>
      <c r="F104" s="38"/>
      <c r="G104" s="38"/>
      <c r="H104" s="38"/>
      <c r="I104" s="38"/>
      <c r="J104" s="38"/>
    </row>
    <row r="105" customFormat="false" ht="15" hidden="false" customHeight="true" outlineLevel="0" collapsed="false">
      <c r="A105" s="38"/>
      <c r="B105" s="41" t="s">
        <v>1006</v>
      </c>
      <c r="C105" s="49" t="n">
        <f aca="false">AVERAGE(E5:E100)</f>
        <v>0.498966354166667</v>
      </c>
      <c r="D105" s="38"/>
      <c r="E105" s="38"/>
      <c r="F105" s="38"/>
      <c r="G105" s="38"/>
      <c r="H105" s="38"/>
      <c r="I105" s="38"/>
      <c r="J105" s="38"/>
    </row>
    <row r="106" customFormat="false" ht="15" hidden="false" customHeight="true" outlineLevel="0" collapsed="false">
      <c r="A106" s="38"/>
      <c r="B106" s="41" t="s">
        <v>1007</v>
      </c>
      <c r="C106" s="49" t="n">
        <f aca="false">STDEVP(E5:E100)</f>
        <v>0.117251110837131</v>
      </c>
      <c r="D106" s="38"/>
      <c r="E106" s="38"/>
      <c r="F106" s="38"/>
      <c r="G106" s="38"/>
      <c r="H106" s="38"/>
      <c r="I106" s="38"/>
      <c r="J106" s="38"/>
    </row>
    <row r="107" customFormat="false" ht="15" hidden="false" customHeight="true" outlineLevel="0" collapsed="false">
      <c r="A107" s="38"/>
      <c r="B107" s="41" t="s">
        <v>1008</v>
      </c>
      <c r="C107" s="49" t="n">
        <f aca="false">AVERAGE(F5:F100)</f>
        <v>0.494114010416667</v>
      </c>
      <c r="D107" s="38"/>
      <c r="E107" s="38"/>
      <c r="F107" s="38"/>
      <c r="G107" s="38"/>
      <c r="H107" s="38"/>
      <c r="I107" s="38"/>
      <c r="J107" s="38"/>
    </row>
    <row r="108" customFormat="false" ht="15" hidden="false" customHeight="true" outlineLevel="0" collapsed="false">
      <c r="A108" s="38"/>
      <c r="B108" s="41" t="s">
        <v>1009</v>
      </c>
      <c r="C108" s="49" t="n">
        <f aca="false">STDEVP(F5:F100)</f>
        <v>0.116641395983721</v>
      </c>
      <c r="D108" s="38"/>
      <c r="E108" s="38"/>
      <c r="F108" s="38"/>
      <c r="G108" s="38"/>
      <c r="H108" s="38"/>
      <c r="I108" s="38"/>
      <c r="J108" s="38"/>
    </row>
    <row r="109" customFormat="false" ht="15" hidden="false" customHeight="true" outlineLevel="0" collapsed="false">
      <c r="A109" s="38"/>
      <c r="B109" s="41" t="s">
        <v>1010</v>
      </c>
      <c r="C109" s="49" t="n">
        <f aca="false">MIN(F5:F100)</f>
        <v>0.028776</v>
      </c>
      <c r="D109" s="38"/>
      <c r="E109" s="38"/>
      <c r="F109" s="38"/>
      <c r="G109" s="38"/>
      <c r="H109" s="38"/>
      <c r="I109" s="38"/>
      <c r="J109" s="38"/>
    </row>
    <row r="110" customFormat="false" ht="15" hidden="false" customHeight="true" outlineLevel="0" collapsed="false">
      <c r="A110" s="38"/>
      <c r="B110" s="41" t="s">
        <v>1011</v>
      </c>
      <c r="C110" s="49" t="n">
        <f aca="false">MAX(F5:F100)</f>
        <v>0.68729</v>
      </c>
      <c r="D110" s="38"/>
      <c r="E110" s="38"/>
      <c r="F110" s="38"/>
      <c r="G110" s="38"/>
      <c r="H110" s="38"/>
      <c r="I110" s="38"/>
      <c r="J110" s="38"/>
    </row>
    <row r="111" customFormat="false" ht="15" hidden="false" customHeight="true" outlineLevel="0" collapsed="false">
      <c r="A111" s="38"/>
      <c r="B111" s="41" t="s">
        <v>1012</v>
      </c>
      <c r="C111" s="49" t="n">
        <f aca="false">AVERAGE(G5:G100)</f>
        <v>0.983116666666667</v>
      </c>
      <c r="D111" s="38"/>
      <c r="E111" s="38"/>
      <c r="F111" s="38"/>
      <c r="G111" s="38"/>
      <c r="H111" s="38"/>
      <c r="I111" s="38"/>
      <c r="J111" s="38"/>
    </row>
    <row r="112" customFormat="false" ht="15" hidden="false" customHeight="true" outlineLevel="0" collapsed="false">
      <c r="A112" s="38"/>
      <c r="B112" s="41" t="s">
        <v>1013</v>
      </c>
      <c r="C112" s="49" t="n">
        <f aca="false">AVERAGE(H5:H100)</f>
        <v>0.940977083333333</v>
      </c>
      <c r="D112" s="38"/>
      <c r="E112" s="38"/>
      <c r="F112" s="38"/>
      <c r="G112" s="38"/>
      <c r="H112" s="38"/>
      <c r="I112" s="38"/>
      <c r="J112" s="38"/>
    </row>
    <row r="113" customFormat="false" ht="15" hidden="false" customHeight="true" outlineLevel="0" collapsed="false">
      <c r="A113" s="38"/>
      <c r="B113" s="41" t="s">
        <v>1014</v>
      </c>
      <c r="C113" s="49" t="n">
        <f aca="false">CORREL(D5:D100,E5:E100)</f>
        <v>0.931049355136479</v>
      </c>
      <c r="D113" s="38"/>
      <c r="E113" s="38"/>
      <c r="F113" s="38"/>
      <c r="G113" s="38"/>
      <c r="H113" s="38"/>
      <c r="I113" s="38"/>
      <c r="J113"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9"/>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 hidden="false" customHeight="true" outlineLevel="0" collapsed="false">
      <c r="A1" s="37" t="s">
        <v>1015</v>
      </c>
      <c r="B1" s="38"/>
      <c r="C1" s="38"/>
      <c r="D1" s="38"/>
      <c r="E1" s="38"/>
      <c r="F1" s="38"/>
      <c r="G1" s="38"/>
      <c r="H1" s="38"/>
      <c r="I1" s="38"/>
      <c r="J1" s="38"/>
    </row>
    <row r="2" customFormat="false" ht="15" hidden="false" customHeight="true" outlineLevel="0" collapsed="false">
      <c r="A2" s="38" t="s">
        <v>1016</v>
      </c>
      <c r="B2" s="38"/>
      <c r="C2" s="38"/>
      <c r="D2" s="38"/>
      <c r="E2" s="38"/>
      <c r="F2" s="38"/>
      <c r="G2" s="38"/>
      <c r="H2" s="38"/>
      <c r="I2" s="38"/>
      <c r="J2" s="38"/>
    </row>
    <row r="3" customFormat="false" ht="15" hidden="false" customHeight="true" outlineLevel="0" collapsed="false">
      <c r="A3" s="38"/>
      <c r="B3" s="38"/>
      <c r="C3" s="38"/>
      <c r="D3" s="38"/>
      <c r="E3" s="38"/>
      <c r="F3" s="38"/>
      <c r="G3" s="38"/>
      <c r="H3" s="38"/>
      <c r="I3" s="38"/>
      <c r="J3" s="38"/>
    </row>
    <row r="4" customFormat="false" ht="23.25" hidden="false" customHeight="true" outlineLevel="0" collapsed="false">
      <c r="A4" s="39" t="s">
        <v>1017</v>
      </c>
      <c r="B4" s="39" t="s">
        <v>904</v>
      </c>
      <c r="C4" s="39" t="s">
        <v>1018</v>
      </c>
      <c r="D4" s="39" t="s">
        <v>880</v>
      </c>
      <c r="E4" s="39" t="s">
        <v>881</v>
      </c>
      <c r="F4" s="39" t="s">
        <v>559</v>
      </c>
      <c r="G4" s="39" t="s">
        <v>576</v>
      </c>
      <c r="H4" s="39" t="s">
        <v>580</v>
      </c>
      <c r="I4" s="39" t="s">
        <v>584</v>
      </c>
      <c r="J4" s="39" t="s">
        <v>484</v>
      </c>
    </row>
    <row r="5" customFormat="false" ht="15" hidden="false" customHeight="true" outlineLevel="0" collapsed="false">
      <c r="A5" s="38" t="n">
        <v>1</v>
      </c>
      <c r="B5" s="38" t="s">
        <v>1019</v>
      </c>
      <c r="C5" s="38"/>
      <c r="D5" s="53" t="n">
        <v>0.445304</v>
      </c>
      <c r="E5" s="53" t="n">
        <v>0.455213</v>
      </c>
      <c r="F5" s="53" t="n">
        <v>0.450259</v>
      </c>
      <c r="G5" s="53" t="n">
        <v>1</v>
      </c>
      <c r="H5" s="53" t="n">
        <v>0.9167</v>
      </c>
      <c r="I5" s="53" t="n">
        <v>0.8</v>
      </c>
      <c r="J5" s="53" t="n">
        <v>0.6197</v>
      </c>
    </row>
    <row r="6" customFormat="false" ht="15" hidden="false" customHeight="true" outlineLevel="0" collapsed="false">
      <c r="A6" s="38" t="n">
        <v>2</v>
      </c>
      <c r="B6" s="38" t="s">
        <v>1019</v>
      </c>
      <c r="C6" s="38"/>
      <c r="D6" s="53" t="n">
        <v>0.435419</v>
      </c>
      <c r="E6" s="53" t="n">
        <v>0.418781</v>
      </c>
      <c r="F6" s="53" t="n">
        <v>0.4271</v>
      </c>
      <c r="G6" s="53" t="n">
        <v>1</v>
      </c>
      <c r="H6" s="53" t="n">
        <v>0.8333</v>
      </c>
      <c r="I6" s="53" t="n">
        <v>0.8</v>
      </c>
      <c r="J6" s="53" t="n">
        <v>0.5915</v>
      </c>
    </row>
    <row r="7" customFormat="false" ht="15" hidden="false" customHeight="true" outlineLevel="0" collapsed="false">
      <c r="A7" s="38" t="n">
        <v>3</v>
      </c>
      <c r="B7" s="38" t="s">
        <v>1019</v>
      </c>
      <c r="C7" s="38"/>
      <c r="D7" s="53" t="n">
        <v>0.508278</v>
      </c>
      <c r="E7" s="53" t="n">
        <v>0.486015</v>
      </c>
      <c r="F7" s="53" t="n">
        <v>0.497147</v>
      </c>
      <c r="G7" s="53" t="n">
        <v>1</v>
      </c>
      <c r="H7" s="53" t="n">
        <v>1</v>
      </c>
      <c r="I7" s="53" t="n">
        <v>1</v>
      </c>
      <c r="J7" s="53" t="n">
        <v>0.5694</v>
      </c>
    </row>
    <row r="8" customFormat="false" ht="15" hidden="false" customHeight="true" outlineLevel="0" collapsed="false">
      <c r="A8" s="38" t="n">
        <v>4</v>
      </c>
      <c r="B8" s="38" t="s">
        <v>167</v>
      </c>
      <c r="C8" s="38"/>
      <c r="D8" s="53" t="n">
        <v>0.237401</v>
      </c>
      <c r="E8" s="53" t="n">
        <v>0.244342</v>
      </c>
      <c r="F8" s="53" t="n">
        <v>0.240871</v>
      </c>
      <c r="G8" s="53" t="n">
        <v>0.9524</v>
      </c>
      <c r="H8" s="53" t="n">
        <v>0.9167</v>
      </c>
      <c r="I8" s="53" t="n">
        <v>0.8</v>
      </c>
      <c r="J8" s="53" t="n">
        <v>0.5714</v>
      </c>
    </row>
    <row r="9" customFormat="false" ht="15" hidden="false" customHeight="true" outlineLevel="0" collapsed="false">
      <c r="A9" s="38" t="n">
        <v>5</v>
      </c>
      <c r="B9" s="38" t="s">
        <v>167</v>
      </c>
      <c r="C9" s="38"/>
      <c r="D9" s="53" t="n">
        <v>0.299756</v>
      </c>
      <c r="E9" s="53" t="n">
        <v>0.362426</v>
      </c>
      <c r="F9" s="53" t="n">
        <v>0.331091</v>
      </c>
      <c r="G9" s="53" t="n">
        <v>0.9524</v>
      </c>
      <c r="H9" s="53" t="n">
        <v>1</v>
      </c>
      <c r="I9" s="53" t="n">
        <v>1</v>
      </c>
      <c r="J9" s="53" t="n">
        <v>0.5714</v>
      </c>
    </row>
    <row r="10" customFormat="false" ht="15" hidden="false" customHeight="true" outlineLevel="0" collapsed="false">
      <c r="A10" s="38" t="n">
        <v>6</v>
      </c>
      <c r="B10" s="38" t="s">
        <v>167</v>
      </c>
      <c r="C10" s="38"/>
      <c r="D10" s="53" t="n">
        <v>0.299433</v>
      </c>
      <c r="E10" s="53" t="n">
        <v>0.31528</v>
      </c>
      <c r="F10" s="53" t="n">
        <v>0.307356</v>
      </c>
      <c r="G10" s="53" t="n">
        <v>0.9524</v>
      </c>
      <c r="H10" s="53" t="n">
        <v>1</v>
      </c>
      <c r="I10" s="53" t="n">
        <v>1</v>
      </c>
      <c r="J10" s="53" t="n">
        <v>0.6197</v>
      </c>
    </row>
    <row r="11" customFormat="false" ht="15" hidden="false" customHeight="true" outlineLevel="0" collapsed="false">
      <c r="A11" s="38" t="n">
        <v>7</v>
      </c>
      <c r="B11" s="38" t="s">
        <v>167</v>
      </c>
      <c r="C11" s="38"/>
      <c r="D11" s="53" t="n">
        <v>0.53242</v>
      </c>
      <c r="E11" s="53" t="n">
        <v>0.452353</v>
      </c>
      <c r="F11" s="53" t="n">
        <v>0.492386</v>
      </c>
      <c r="G11" s="53" t="n">
        <v>0.9524</v>
      </c>
      <c r="H11" s="53" t="n">
        <v>0.9167</v>
      </c>
      <c r="I11" s="53" t="n">
        <v>0.8</v>
      </c>
      <c r="J11" s="53" t="n">
        <v>0.6528</v>
      </c>
    </row>
    <row r="12" customFormat="false" ht="15" hidden="false" customHeight="true" outlineLevel="0" collapsed="false">
      <c r="A12" s="38" t="n">
        <v>8</v>
      </c>
      <c r="B12" s="38" t="s">
        <v>167</v>
      </c>
      <c r="C12" s="38"/>
      <c r="D12" s="53" t="n">
        <v>0.58485</v>
      </c>
      <c r="E12" s="53" t="n">
        <v>0.537523</v>
      </c>
      <c r="F12" s="53" t="n">
        <v>0.561187</v>
      </c>
      <c r="G12" s="53" t="n">
        <v>0.9524</v>
      </c>
      <c r="H12" s="53" t="n">
        <v>0.9167</v>
      </c>
      <c r="I12" s="53" t="n">
        <v>0.8</v>
      </c>
      <c r="J12" s="53" t="n">
        <v>0.625</v>
      </c>
    </row>
    <row r="13" customFormat="false" ht="15" hidden="false" customHeight="true" outlineLevel="0" collapsed="false">
      <c r="A13" s="38" t="n">
        <v>9</v>
      </c>
      <c r="B13" s="38" t="s">
        <v>1020</v>
      </c>
      <c r="C13" s="38"/>
      <c r="D13" s="53" t="n">
        <v>0.579865</v>
      </c>
      <c r="E13" s="53" t="n">
        <v>0.516876</v>
      </c>
      <c r="F13" s="53" t="n">
        <v>0.548371</v>
      </c>
      <c r="G13" s="53" t="n">
        <v>1</v>
      </c>
      <c r="H13" s="53" t="n">
        <v>1</v>
      </c>
      <c r="I13" s="53" t="n">
        <v>1</v>
      </c>
      <c r="J13" s="53" t="n">
        <v>0.5417</v>
      </c>
    </row>
    <row r="14" customFormat="false" ht="15" hidden="false" customHeight="true" outlineLevel="0" collapsed="false">
      <c r="A14" s="38" t="n">
        <v>10</v>
      </c>
      <c r="B14" s="38" t="s">
        <v>1020</v>
      </c>
      <c r="C14" s="38"/>
      <c r="D14" s="53" t="n">
        <v>0.579865</v>
      </c>
      <c r="E14" s="53" t="n">
        <v>0.516876</v>
      </c>
      <c r="F14" s="53" t="n">
        <v>0.548371</v>
      </c>
      <c r="G14" s="53" t="n">
        <v>1</v>
      </c>
      <c r="H14" s="53" t="n">
        <v>1</v>
      </c>
      <c r="I14" s="53" t="n">
        <v>1</v>
      </c>
      <c r="J14" s="53" t="n">
        <v>0.5417</v>
      </c>
    </row>
    <row r="15" customFormat="false" ht="15" hidden="false" customHeight="true" outlineLevel="0" collapsed="false">
      <c r="A15" s="38" t="n">
        <v>11</v>
      </c>
      <c r="B15" s="38" t="s">
        <v>1021</v>
      </c>
      <c r="C15" s="38"/>
      <c r="D15" s="53" t="n">
        <v>0.325075</v>
      </c>
      <c r="E15" s="53" t="n">
        <v>0.29727</v>
      </c>
      <c r="F15" s="53" t="n">
        <v>0.311172</v>
      </c>
      <c r="G15" s="53" t="n">
        <v>0.9524</v>
      </c>
      <c r="H15" s="53" t="n">
        <v>1</v>
      </c>
      <c r="I15" s="53" t="n">
        <v>1</v>
      </c>
      <c r="J15" s="53" t="n">
        <v>0.6429</v>
      </c>
    </row>
    <row r="16" customFormat="false" ht="15" hidden="false" customHeight="true" outlineLevel="0" collapsed="false">
      <c r="A16" s="38" t="n">
        <v>12</v>
      </c>
      <c r="B16" s="38" t="s">
        <v>178</v>
      </c>
      <c r="C16" s="38"/>
      <c r="D16" s="53" t="n">
        <v>0.24834</v>
      </c>
      <c r="E16" s="53" t="n">
        <v>0.339351</v>
      </c>
      <c r="F16" s="53" t="n">
        <v>0.293846</v>
      </c>
      <c r="G16" s="53" t="n">
        <v>0.9524</v>
      </c>
      <c r="H16" s="53" t="n">
        <v>0.8333</v>
      </c>
      <c r="I16" s="53" t="n">
        <v>1</v>
      </c>
      <c r="J16" s="53" t="n">
        <v>0.6056</v>
      </c>
    </row>
    <row r="17" customFormat="false" ht="15" hidden="false" customHeight="true" outlineLevel="0" collapsed="false">
      <c r="A17" s="38" t="n">
        <v>13</v>
      </c>
      <c r="B17" s="38" t="s">
        <v>178</v>
      </c>
      <c r="C17" s="38"/>
      <c r="D17" s="53" t="n">
        <v>0.24834</v>
      </c>
      <c r="E17" s="53" t="n">
        <v>0.339351</v>
      </c>
      <c r="F17" s="53" t="n">
        <v>0.293846</v>
      </c>
      <c r="G17" s="53" t="n">
        <v>0.9524</v>
      </c>
      <c r="H17" s="53" t="n">
        <v>0.8333</v>
      </c>
      <c r="I17" s="53" t="n">
        <v>1</v>
      </c>
      <c r="J17" s="53" t="n">
        <v>0.6056</v>
      </c>
    </row>
    <row r="18" customFormat="false" ht="15" hidden="false" customHeight="true" outlineLevel="0" collapsed="false">
      <c r="A18" s="38" t="n">
        <v>14</v>
      </c>
      <c r="B18" s="38" t="s">
        <v>178</v>
      </c>
      <c r="C18" s="38"/>
      <c r="D18" s="53" t="n">
        <v>0.241284</v>
      </c>
      <c r="E18" s="53" t="n">
        <v>0.246045</v>
      </c>
      <c r="F18" s="53" t="n">
        <v>0.243665</v>
      </c>
      <c r="G18" s="53" t="n">
        <v>0.8571</v>
      </c>
      <c r="H18" s="53" t="n">
        <v>0.6667</v>
      </c>
      <c r="I18" s="53" t="n">
        <v>0.8</v>
      </c>
      <c r="J18" s="53" t="n">
        <v>0.5915</v>
      </c>
    </row>
    <row r="19" customFormat="false" ht="15" hidden="false" customHeight="true" outlineLevel="0" collapsed="false">
      <c r="A19" s="38" t="n">
        <v>15</v>
      </c>
      <c r="B19" s="38" t="s">
        <v>178</v>
      </c>
      <c r="C19" s="38"/>
      <c r="D19" s="53" t="n">
        <v>0.243706</v>
      </c>
      <c r="E19" s="53" t="n">
        <v>0.310654</v>
      </c>
      <c r="F19" s="53" t="n">
        <v>0.27718</v>
      </c>
      <c r="G19" s="53" t="n">
        <v>0.9524</v>
      </c>
      <c r="H19" s="53" t="n">
        <v>0.8333</v>
      </c>
      <c r="I19" s="53" t="n">
        <v>1</v>
      </c>
      <c r="J19" s="53" t="n">
        <v>0.5352</v>
      </c>
    </row>
    <row r="20" customFormat="false" ht="15" hidden="false" customHeight="true" outlineLevel="0" collapsed="false">
      <c r="A20" s="38" t="n">
        <v>16</v>
      </c>
      <c r="B20" s="38" t="s">
        <v>1022</v>
      </c>
      <c r="C20" s="38"/>
      <c r="D20" s="53" t="n">
        <v>0.383102</v>
      </c>
      <c r="E20" s="53" t="n">
        <v>0.448036</v>
      </c>
      <c r="F20" s="53" t="n">
        <v>0.415569</v>
      </c>
      <c r="G20" s="53" t="n">
        <v>0.9524</v>
      </c>
      <c r="H20" s="53" t="n">
        <v>0.9167</v>
      </c>
      <c r="I20" s="53" t="n">
        <v>0.8</v>
      </c>
      <c r="J20" s="53" t="n">
        <v>0.5634</v>
      </c>
    </row>
    <row r="21" customFormat="false" ht="15" hidden="false" customHeight="true" outlineLevel="0" collapsed="false">
      <c r="A21" s="38" t="n">
        <v>17</v>
      </c>
      <c r="B21" s="38" t="s">
        <v>1022</v>
      </c>
      <c r="C21" s="38"/>
      <c r="D21" s="53" t="n">
        <v>0.471858</v>
      </c>
      <c r="E21" s="53" t="n">
        <v>0.464222</v>
      </c>
      <c r="F21" s="53" t="n">
        <v>0.46804</v>
      </c>
      <c r="G21" s="53" t="n">
        <v>0.9048</v>
      </c>
      <c r="H21" s="53" t="n">
        <v>1</v>
      </c>
      <c r="I21" s="53" t="n">
        <v>1</v>
      </c>
      <c r="J21" s="53" t="n">
        <v>0.6338</v>
      </c>
    </row>
    <row r="22" customFormat="false" ht="15" hidden="false" customHeight="true" outlineLevel="0" collapsed="false">
      <c r="A22" s="38" t="n">
        <v>18</v>
      </c>
      <c r="B22" s="38" t="s">
        <v>1022</v>
      </c>
      <c r="C22" s="38"/>
      <c r="D22" s="53" t="n">
        <v>0.471858</v>
      </c>
      <c r="E22" s="53" t="n">
        <v>0.464222</v>
      </c>
      <c r="F22" s="53" t="n">
        <v>0.46804</v>
      </c>
      <c r="G22" s="53" t="n">
        <v>0.9048</v>
      </c>
      <c r="H22" s="53" t="n">
        <v>1</v>
      </c>
      <c r="I22" s="53" t="n">
        <v>1</v>
      </c>
      <c r="J22" s="53" t="n">
        <v>0.6338</v>
      </c>
    </row>
    <row r="23" customFormat="false" ht="15" hidden="false" customHeight="true" outlineLevel="0" collapsed="false">
      <c r="A23" s="38" t="n">
        <v>19</v>
      </c>
      <c r="B23" s="38" t="s">
        <v>1023</v>
      </c>
      <c r="C23" s="38"/>
      <c r="D23" s="53" t="n">
        <v>0.389995</v>
      </c>
      <c r="E23" s="53" t="n">
        <v>0.487716</v>
      </c>
      <c r="F23" s="53" t="n">
        <v>0.438856</v>
      </c>
      <c r="G23" s="53" t="n">
        <v>0.9048</v>
      </c>
      <c r="H23" s="53" t="n">
        <v>1</v>
      </c>
      <c r="I23" s="53" t="n">
        <v>1</v>
      </c>
      <c r="J23" s="53" t="n">
        <v>0.6</v>
      </c>
    </row>
    <row r="24" customFormat="false" ht="15" hidden="false" customHeight="true" outlineLevel="0" collapsed="false">
      <c r="A24" s="38" t="n">
        <v>20</v>
      </c>
      <c r="B24" s="38" t="s">
        <v>1023</v>
      </c>
      <c r="C24" s="38"/>
      <c r="D24" s="53" t="n">
        <v>0.317368</v>
      </c>
      <c r="E24" s="53" t="n">
        <v>0.387301</v>
      </c>
      <c r="F24" s="53" t="n">
        <v>0.352335</v>
      </c>
      <c r="G24" s="53" t="n">
        <v>0.9524</v>
      </c>
      <c r="H24" s="53" t="n">
        <v>1</v>
      </c>
      <c r="I24" s="53" t="n">
        <v>1</v>
      </c>
      <c r="J24" s="53" t="n">
        <v>0.6</v>
      </c>
    </row>
    <row r="25" customFormat="false" ht="15" hidden="false" customHeight="true" outlineLevel="0" collapsed="false">
      <c r="A25" s="38" t="n">
        <v>21</v>
      </c>
      <c r="B25" s="38" t="s">
        <v>1024</v>
      </c>
      <c r="C25" s="38"/>
      <c r="D25" s="53" t="n">
        <v>0.315103</v>
      </c>
      <c r="E25" s="53" t="n">
        <v>0.268415</v>
      </c>
      <c r="F25" s="53" t="n">
        <v>0.291759</v>
      </c>
      <c r="G25" s="53" t="n">
        <v>0.9524</v>
      </c>
      <c r="H25" s="53" t="n">
        <v>1</v>
      </c>
      <c r="I25" s="53" t="n">
        <v>1</v>
      </c>
      <c r="J25" s="53" t="n">
        <v>0.5857</v>
      </c>
    </row>
    <row r="26" customFormat="false" ht="15" hidden="false" customHeight="true" outlineLevel="0" collapsed="false">
      <c r="A26" s="38" t="n">
        <v>22</v>
      </c>
      <c r="B26" s="38" t="s">
        <v>1024</v>
      </c>
      <c r="C26" s="38"/>
      <c r="D26" s="53" t="n">
        <v>0.321448</v>
      </c>
      <c r="E26" s="53" t="n">
        <v>0.295476</v>
      </c>
      <c r="F26" s="53" t="n">
        <v>0.308462</v>
      </c>
      <c r="G26" s="53" t="n">
        <v>0.9524</v>
      </c>
      <c r="H26" s="53" t="n">
        <v>1</v>
      </c>
      <c r="I26" s="53" t="n">
        <v>1</v>
      </c>
      <c r="J26" s="53" t="n">
        <v>0.6</v>
      </c>
    </row>
    <row r="27" customFormat="false" ht="15" hidden="false" customHeight="true" outlineLevel="0" collapsed="false">
      <c r="A27" s="38" t="n">
        <v>23</v>
      </c>
      <c r="B27" s="38" t="s">
        <v>1024</v>
      </c>
      <c r="C27" s="38"/>
      <c r="D27" s="53" t="n">
        <v>0.321448</v>
      </c>
      <c r="E27" s="53" t="n">
        <v>0.295476</v>
      </c>
      <c r="F27" s="53" t="n">
        <v>0.308462</v>
      </c>
      <c r="G27" s="53" t="n">
        <v>0.9524</v>
      </c>
      <c r="H27" s="53" t="n">
        <v>1</v>
      </c>
      <c r="I27" s="53" t="n">
        <v>1</v>
      </c>
      <c r="J27" s="53" t="n">
        <v>0.6</v>
      </c>
    </row>
    <row r="28" customFormat="false" ht="15" hidden="false" customHeight="true" outlineLevel="0" collapsed="false">
      <c r="A28" s="38" t="n">
        <v>24</v>
      </c>
      <c r="B28" s="38" t="s">
        <v>1024</v>
      </c>
      <c r="C28" s="38"/>
      <c r="D28" s="53" t="n">
        <v>0.421822</v>
      </c>
      <c r="E28" s="53" t="n">
        <v>0.406149</v>
      </c>
      <c r="F28" s="53" t="n">
        <v>0.413985</v>
      </c>
      <c r="G28" s="53" t="n">
        <v>0.9524</v>
      </c>
      <c r="H28" s="53" t="n">
        <v>1</v>
      </c>
      <c r="I28" s="53" t="n">
        <v>1</v>
      </c>
      <c r="J28" s="53" t="n">
        <v>0.6143</v>
      </c>
    </row>
    <row r="29" customFormat="false" ht="15" hidden="false" customHeight="true" outlineLevel="0" collapsed="false">
      <c r="A29" s="38" t="n">
        <v>25</v>
      </c>
      <c r="B29" s="38" t="s">
        <v>1024</v>
      </c>
      <c r="C29" s="38"/>
      <c r="D29" s="53" t="n">
        <v>0.432505</v>
      </c>
      <c r="E29" s="53" t="n">
        <v>0.436694</v>
      </c>
      <c r="F29" s="53" t="n">
        <v>0.4346</v>
      </c>
      <c r="G29" s="53" t="n">
        <v>0.9524</v>
      </c>
      <c r="H29" s="53" t="n">
        <v>0.9167</v>
      </c>
      <c r="I29" s="53" t="n">
        <v>0.8</v>
      </c>
      <c r="J29" s="53" t="n">
        <v>0.6143</v>
      </c>
    </row>
    <row r="30" customFormat="false" ht="15" hidden="false" customHeight="true" outlineLevel="0" collapsed="false">
      <c r="A30" s="38" t="n">
        <v>26</v>
      </c>
      <c r="B30" s="38" t="s">
        <v>1025</v>
      </c>
      <c r="C30" s="38"/>
      <c r="D30" s="53" t="n">
        <v>0.284415</v>
      </c>
      <c r="E30" s="53" t="n">
        <v>0.35168</v>
      </c>
      <c r="F30" s="53" t="n">
        <v>0.318048</v>
      </c>
      <c r="G30" s="53" t="n">
        <v>0.9524</v>
      </c>
      <c r="H30" s="53" t="n">
        <v>1</v>
      </c>
      <c r="I30" s="53" t="n">
        <v>1</v>
      </c>
      <c r="J30" s="53" t="n">
        <v>0.6714</v>
      </c>
    </row>
    <row r="31" customFormat="false" ht="15" hidden="false" customHeight="true" outlineLevel="0" collapsed="false">
      <c r="A31" s="38" t="n">
        <v>27</v>
      </c>
      <c r="B31" s="38" t="s">
        <v>1026</v>
      </c>
      <c r="C31" s="38"/>
      <c r="D31" s="53" t="n">
        <v>0.527458</v>
      </c>
      <c r="E31" s="53" t="n">
        <v>0.56373</v>
      </c>
      <c r="F31" s="53" t="n">
        <v>0.545594</v>
      </c>
      <c r="G31" s="53" t="n">
        <v>1</v>
      </c>
      <c r="H31" s="53" t="n">
        <v>0.9167</v>
      </c>
      <c r="I31" s="53" t="n">
        <v>1</v>
      </c>
      <c r="J31" s="53" t="n">
        <v>0.6667</v>
      </c>
    </row>
    <row r="32" customFormat="false" ht="15" hidden="false" customHeight="true" outlineLevel="0" collapsed="false">
      <c r="A32" s="38" t="n">
        <v>28</v>
      </c>
      <c r="B32" s="38" t="s">
        <v>1026</v>
      </c>
      <c r="C32" s="38"/>
      <c r="D32" s="53" t="n">
        <v>0.527458</v>
      </c>
      <c r="E32" s="53" t="n">
        <v>0.56373</v>
      </c>
      <c r="F32" s="53" t="n">
        <v>0.545594</v>
      </c>
      <c r="G32" s="53" t="n">
        <v>1</v>
      </c>
      <c r="H32" s="53" t="n">
        <v>0.9167</v>
      </c>
      <c r="I32" s="53" t="n">
        <v>1</v>
      </c>
      <c r="J32" s="53" t="n">
        <v>0.6667</v>
      </c>
    </row>
    <row r="33" customFormat="false" ht="15" hidden="false" customHeight="true" outlineLevel="0" collapsed="false">
      <c r="A33" s="38" t="n">
        <v>29</v>
      </c>
      <c r="B33" s="38" t="s">
        <v>1026</v>
      </c>
      <c r="C33" s="38"/>
      <c r="D33" s="53" t="n">
        <v>0.702844</v>
      </c>
      <c r="E33" s="53" t="n">
        <v>0.693135</v>
      </c>
      <c r="F33" s="53" t="n">
        <v>0.697989</v>
      </c>
      <c r="G33" s="53" t="n">
        <v>1</v>
      </c>
      <c r="H33" s="53" t="n">
        <v>0.9167</v>
      </c>
      <c r="I33" s="53" t="n">
        <v>0.8</v>
      </c>
      <c r="J33" s="53" t="n">
        <v>0.6389</v>
      </c>
    </row>
    <row r="34" customFormat="false" ht="15" hidden="false" customHeight="true" outlineLevel="0" collapsed="false">
      <c r="A34" s="38" t="n">
        <v>30</v>
      </c>
      <c r="B34" s="38" t="s">
        <v>1027</v>
      </c>
      <c r="C34" s="38"/>
      <c r="D34" s="53" t="n">
        <v>0.372476</v>
      </c>
      <c r="E34" s="53" t="n">
        <v>0.34038</v>
      </c>
      <c r="F34" s="53" t="n">
        <v>0.356428</v>
      </c>
      <c r="G34" s="53" t="n">
        <v>0.9524</v>
      </c>
      <c r="H34" s="53" t="n">
        <v>1</v>
      </c>
      <c r="I34" s="53" t="n">
        <v>1</v>
      </c>
      <c r="J34" s="53" t="n">
        <v>0.625</v>
      </c>
    </row>
    <row r="35" customFormat="false" ht="15" hidden="false" customHeight="true" outlineLevel="0" collapsed="false">
      <c r="A35" s="38" t="n">
        <v>31</v>
      </c>
      <c r="B35" s="38" t="s">
        <v>1027</v>
      </c>
      <c r="C35" s="38"/>
      <c r="D35" s="53" t="n">
        <v>0.372476</v>
      </c>
      <c r="E35" s="53" t="n">
        <v>0.34038</v>
      </c>
      <c r="F35" s="53" t="n">
        <v>0.356428</v>
      </c>
      <c r="G35" s="53" t="n">
        <v>0.9524</v>
      </c>
      <c r="H35" s="53" t="n">
        <v>1</v>
      </c>
      <c r="I35" s="53" t="n">
        <v>1</v>
      </c>
      <c r="J35" s="53" t="n">
        <v>0.625</v>
      </c>
    </row>
    <row r="36" customFormat="false" ht="15" hidden="false" customHeight="true" outlineLevel="0" collapsed="false">
      <c r="A36" s="38" t="n">
        <v>32</v>
      </c>
      <c r="B36" s="38" t="s">
        <v>1027</v>
      </c>
      <c r="C36" s="38"/>
      <c r="D36" s="53" t="n">
        <v>0.293999</v>
      </c>
      <c r="E36" s="53" t="n">
        <v>0.203926</v>
      </c>
      <c r="F36" s="53" t="n">
        <v>0.248963</v>
      </c>
      <c r="G36" s="53" t="n">
        <v>0.9524</v>
      </c>
      <c r="H36" s="53" t="n">
        <v>1</v>
      </c>
      <c r="I36" s="53" t="n">
        <v>1</v>
      </c>
      <c r="J36" s="53" t="n">
        <v>0.625</v>
      </c>
    </row>
    <row r="37" customFormat="false" ht="15" hidden="false" customHeight="true" outlineLevel="0" collapsed="false">
      <c r="A37" s="38" t="n">
        <v>33</v>
      </c>
      <c r="B37" s="38" t="s">
        <v>1027</v>
      </c>
      <c r="C37" s="38"/>
      <c r="D37" s="53" t="n">
        <v>0.335858</v>
      </c>
      <c r="E37" s="53" t="n">
        <v>0.291341</v>
      </c>
      <c r="F37" s="53" t="n">
        <v>0.3136</v>
      </c>
      <c r="G37" s="53" t="n">
        <v>0.9524</v>
      </c>
      <c r="H37" s="53" t="n">
        <v>1</v>
      </c>
      <c r="I37" s="53" t="n">
        <v>1</v>
      </c>
      <c r="J37" s="53" t="n">
        <v>0.6111</v>
      </c>
    </row>
    <row r="38" customFormat="false" ht="15" hidden="false" customHeight="true" outlineLevel="0" collapsed="false">
      <c r="A38" s="38" t="n">
        <v>34</v>
      </c>
      <c r="B38" s="38" t="s">
        <v>1027</v>
      </c>
      <c r="C38" s="38"/>
      <c r="D38" s="53" t="n">
        <v>0.350746</v>
      </c>
      <c r="E38" s="53" t="n">
        <v>0.33992</v>
      </c>
      <c r="F38" s="53" t="n">
        <v>0.345333</v>
      </c>
      <c r="G38" s="53" t="n">
        <v>0.9524</v>
      </c>
      <c r="H38" s="53" t="n">
        <v>1</v>
      </c>
      <c r="I38" s="53" t="n">
        <v>1</v>
      </c>
      <c r="J38" s="53" t="n">
        <v>0.5775</v>
      </c>
    </row>
    <row r="39" customFormat="false" ht="15" hidden="false" customHeight="true" outlineLevel="0" collapsed="false">
      <c r="A39" s="38" t="n">
        <v>35</v>
      </c>
      <c r="B39" s="38" t="s">
        <v>1027</v>
      </c>
      <c r="C39" s="38"/>
      <c r="D39" s="53" t="n">
        <v>0.469356</v>
      </c>
      <c r="E39" s="53" t="n">
        <v>0.418316</v>
      </c>
      <c r="F39" s="53" t="n">
        <v>0.443836</v>
      </c>
      <c r="G39" s="53" t="n">
        <v>0.9524</v>
      </c>
      <c r="H39" s="53" t="n">
        <v>1</v>
      </c>
      <c r="I39" s="53" t="n">
        <v>1</v>
      </c>
      <c r="J39" s="53" t="n">
        <v>0.625</v>
      </c>
    </row>
    <row r="40" customFormat="false" ht="15" hidden="false" customHeight="true" outlineLevel="0" collapsed="false">
      <c r="A40" s="38" t="n">
        <v>36</v>
      </c>
      <c r="B40" s="38" t="s">
        <v>1027</v>
      </c>
      <c r="C40" s="38"/>
      <c r="D40" s="53" t="n">
        <v>0.45039</v>
      </c>
      <c r="E40" s="53" t="n">
        <v>0.411862</v>
      </c>
      <c r="F40" s="53" t="n">
        <v>0.431126</v>
      </c>
      <c r="G40" s="53" t="n">
        <v>0.9524</v>
      </c>
      <c r="H40" s="53" t="n">
        <v>1</v>
      </c>
      <c r="I40" s="53" t="n">
        <v>1</v>
      </c>
      <c r="J40" s="53" t="n">
        <v>0.6111</v>
      </c>
    </row>
    <row r="41" customFormat="false" ht="15" hidden="false" customHeight="true" outlineLevel="0" collapsed="false">
      <c r="A41" s="38" t="n">
        <v>37</v>
      </c>
      <c r="B41" s="38" t="s">
        <v>1027</v>
      </c>
      <c r="C41" s="38"/>
      <c r="D41" s="53" t="n">
        <v>0.359632</v>
      </c>
      <c r="E41" s="53" t="n">
        <v>0.31736</v>
      </c>
      <c r="F41" s="53" t="n">
        <v>0.338496</v>
      </c>
      <c r="G41" s="53" t="n">
        <v>0.8571</v>
      </c>
      <c r="H41" s="53" t="n">
        <v>0.8333</v>
      </c>
      <c r="I41" s="53" t="n">
        <v>1</v>
      </c>
      <c r="J41" s="53" t="n">
        <v>0.5694</v>
      </c>
    </row>
    <row r="42" customFormat="false" ht="15" hidden="false" customHeight="true" outlineLevel="0" collapsed="false">
      <c r="A42" s="38" t="n">
        <v>38</v>
      </c>
      <c r="B42" s="38" t="s">
        <v>181</v>
      </c>
      <c r="C42" s="38"/>
      <c r="D42" s="53" t="n">
        <v>0.625779</v>
      </c>
      <c r="E42" s="53" t="n">
        <v>0.598044</v>
      </c>
      <c r="F42" s="53" t="n">
        <v>0.611912</v>
      </c>
      <c r="G42" s="53" t="n">
        <v>0.9524</v>
      </c>
      <c r="H42" s="53" t="n">
        <v>0.9167</v>
      </c>
      <c r="I42" s="53" t="n">
        <v>0.8</v>
      </c>
      <c r="J42" s="53" t="n">
        <v>0.5972</v>
      </c>
    </row>
    <row r="43" customFormat="false" ht="15" hidden="false" customHeight="true" outlineLevel="0" collapsed="false">
      <c r="A43" s="38" t="n">
        <v>39</v>
      </c>
      <c r="B43" s="38" t="s">
        <v>181</v>
      </c>
      <c r="C43" s="38"/>
      <c r="D43" s="53" t="n">
        <v>0.635841</v>
      </c>
      <c r="E43" s="53" t="n">
        <v>0.641556</v>
      </c>
      <c r="F43" s="53" t="n">
        <v>0.638698</v>
      </c>
      <c r="G43" s="53" t="n">
        <v>1</v>
      </c>
      <c r="H43" s="53" t="n">
        <v>0.9167</v>
      </c>
      <c r="I43" s="53" t="n">
        <v>0.8</v>
      </c>
      <c r="J43" s="53" t="n">
        <v>0.625</v>
      </c>
    </row>
    <row r="44" customFormat="false" ht="15" hidden="false" customHeight="true" outlineLevel="0" collapsed="false">
      <c r="A44" s="38" t="n">
        <v>40</v>
      </c>
      <c r="B44" s="38" t="s">
        <v>1028</v>
      </c>
      <c r="C44" s="38"/>
      <c r="D44" s="53" t="n">
        <v>0.38183</v>
      </c>
      <c r="E44" s="53" t="n">
        <v>0.453287</v>
      </c>
      <c r="F44" s="53" t="n">
        <v>0.417559</v>
      </c>
      <c r="G44" s="53" t="n">
        <v>0.9524</v>
      </c>
      <c r="H44" s="53" t="n">
        <v>1</v>
      </c>
      <c r="I44" s="53" t="n">
        <v>1</v>
      </c>
      <c r="J44" s="53" t="n">
        <v>0.6389</v>
      </c>
    </row>
    <row r="45" customFormat="false" ht="15" hidden="false" customHeight="true" outlineLevel="0" collapsed="false">
      <c r="A45" s="38" t="n">
        <v>41</v>
      </c>
      <c r="B45" s="38" t="s">
        <v>1028</v>
      </c>
      <c r="C45" s="38"/>
      <c r="D45" s="53" t="n">
        <v>0.38183</v>
      </c>
      <c r="E45" s="53" t="n">
        <v>0.453287</v>
      </c>
      <c r="F45" s="53" t="n">
        <v>0.417559</v>
      </c>
      <c r="G45" s="53" t="n">
        <v>0.9524</v>
      </c>
      <c r="H45" s="53" t="n">
        <v>1</v>
      </c>
      <c r="I45" s="53" t="n">
        <v>1</v>
      </c>
      <c r="J45" s="53" t="n">
        <v>0.6389</v>
      </c>
    </row>
    <row r="46" customFormat="false" ht="15" hidden="false" customHeight="true" outlineLevel="0" collapsed="false">
      <c r="A46" s="38" t="n">
        <v>42</v>
      </c>
      <c r="B46" s="38" t="s">
        <v>1028</v>
      </c>
      <c r="C46" s="38"/>
      <c r="D46" s="53" t="n">
        <v>0.38183</v>
      </c>
      <c r="E46" s="53" t="n">
        <v>0.453287</v>
      </c>
      <c r="F46" s="53" t="n">
        <v>0.417559</v>
      </c>
      <c r="G46" s="53" t="n">
        <v>0.9524</v>
      </c>
      <c r="H46" s="53" t="n">
        <v>1</v>
      </c>
      <c r="I46" s="53" t="n">
        <v>1</v>
      </c>
      <c r="J46" s="53" t="n">
        <v>0.6389</v>
      </c>
    </row>
    <row r="47" customFormat="false" ht="15" hidden="false" customHeight="true" outlineLevel="0" collapsed="false">
      <c r="A47" s="38" t="n">
        <v>43</v>
      </c>
      <c r="B47" s="38" t="s">
        <v>1028</v>
      </c>
      <c r="C47" s="38"/>
      <c r="D47" s="53" t="n">
        <v>0.4938</v>
      </c>
      <c r="E47" s="53" t="n">
        <v>0.442089</v>
      </c>
      <c r="F47" s="53" t="n">
        <v>0.467944</v>
      </c>
      <c r="G47" s="53" t="n">
        <v>1</v>
      </c>
      <c r="H47" s="53" t="n">
        <v>0.9167</v>
      </c>
      <c r="I47" s="53" t="n">
        <v>1</v>
      </c>
      <c r="J47" s="53" t="n">
        <v>0.6389</v>
      </c>
    </row>
    <row r="48" customFormat="false" ht="15" hidden="false" customHeight="true" outlineLevel="0" collapsed="false">
      <c r="A48" s="38" t="n">
        <v>44</v>
      </c>
      <c r="B48" s="38" t="s">
        <v>1029</v>
      </c>
      <c r="C48" s="38"/>
      <c r="D48" s="53" t="n">
        <v>0.579123</v>
      </c>
      <c r="E48" s="53" t="n">
        <v>0.5544</v>
      </c>
      <c r="F48" s="53" t="n">
        <v>0.566762</v>
      </c>
      <c r="G48" s="53" t="n">
        <v>1</v>
      </c>
      <c r="H48" s="53" t="n">
        <v>1</v>
      </c>
      <c r="I48" s="53" t="n">
        <v>1</v>
      </c>
      <c r="J48" s="53" t="n">
        <v>0.662</v>
      </c>
    </row>
    <row r="49" customFormat="false" ht="15" hidden="false" customHeight="true" outlineLevel="0" collapsed="false">
      <c r="A49" s="38" t="n">
        <v>45</v>
      </c>
      <c r="B49" s="38" t="s">
        <v>1029</v>
      </c>
      <c r="C49" s="38"/>
      <c r="D49" s="53" t="n">
        <v>0.589068</v>
      </c>
      <c r="E49" s="53" t="n">
        <v>0.564392</v>
      </c>
      <c r="F49" s="53" t="n">
        <v>0.57673</v>
      </c>
      <c r="G49" s="53" t="n">
        <v>0.9524</v>
      </c>
      <c r="H49" s="53" t="n">
        <v>1</v>
      </c>
      <c r="I49" s="53" t="n">
        <v>1</v>
      </c>
      <c r="J49" s="53" t="n">
        <v>0.662</v>
      </c>
    </row>
    <row r="50" customFormat="false" ht="15" hidden="false" customHeight="true" outlineLevel="0" collapsed="false">
      <c r="A50" s="38" t="n">
        <v>46</v>
      </c>
      <c r="B50" s="38" t="s">
        <v>190</v>
      </c>
      <c r="C50" s="38"/>
      <c r="D50" s="53" t="n">
        <v>0.241726</v>
      </c>
      <c r="E50" s="53" t="n">
        <v>0.281254</v>
      </c>
      <c r="F50" s="53" t="n">
        <v>0.26149</v>
      </c>
      <c r="G50" s="53" t="n">
        <v>0.9524</v>
      </c>
      <c r="H50" s="53" t="n">
        <v>0.8333</v>
      </c>
      <c r="I50" s="53" t="n">
        <v>0.6</v>
      </c>
      <c r="J50" s="53" t="n">
        <v>0.662</v>
      </c>
    </row>
    <row r="51" customFormat="false" ht="15" hidden="false" customHeight="true" outlineLevel="0" collapsed="false">
      <c r="A51" s="38" t="n">
        <v>47</v>
      </c>
      <c r="B51" s="38" t="s">
        <v>190</v>
      </c>
      <c r="C51" s="38"/>
      <c r="D51" s="53" t="n">
        <v>0.26183</v>
      </c>
      <c r="E51" s="53" t="n">
        <v>0.32553</v>
      </c>
      <c r="F51" s="53" t="n">
        <v>0.29368</v>
      </c>
      <c r="G51" s="53" t="n">
        <v>0.9524</v>
      </c>
      <c r="H51" s="53" t="n">
        <v>1</v>
      </c>
      <c r="I51" s="53" t="n">
        <v>1</v>
      </c>
      <c r="J51" s="53" t="n">
        <v>0.6338</v>
      </c>
    </row>
    <row r="52" customFormat="false" ht="15" hidden="false" customHeight="true" outlineLevel="0" collapsed="false">
      <c r="A52" s="38" t="n">
        <v>48</v>
      </c>
      <c r="B52" s="38" t="s">
        <v>190</v>
      </c>
      <c r="C52" s="38"/>
      <c r="D52" s="53" t="n">
        <v>0.242728</v>
      </c>
      <c r="E52" s="53" t="n">
        <v>0.271426</v>
      </c>
      <c r="F52" s="53" t="n">
        <v>0.257077</v>
      </c>
      <c r="G52" s="53" t="n">
        <v>0.9524</v>
      </c>
      <c r="H52" s="53" t="n">
        <v>0.9167</v>
      </c>
      <c r="I52" s="53" t="n">
        <v>0.8</v>
      </c>
      <c r="J52" s="53" t="n">
        <v>0.5915</v>
      </c>
    </row>
    <row r="53" customFormat="false" ht="15" hidden="false" customHeight="true" outlineLevel="0" collapsed="false">
      <c r="A53" s="38" t="n">
        <v>49</v>
      </c>
      <c r="B53" s="38" t="s">
        <v>1030</v>
      </c>
      <c r="C53" s="38"/>
      <c r="D53" s="53" t="n">
        <v>0.552808</v>
      </c>
      <c r="E53" s="53" t="n">
        <v>0.481876</v>
      </c>
      <c r="F53" s="53" t="n">
        <v>0.517342</v>
      </c>
      <c r="G53" s="53" t="n">
        <v>1</v>
      </c>
      <c r="H53" s="53" t="n">
        <v>1</v>
      </c>
      <c r="I53" s="53" t="n">
        <v>1</v>
      </c>
      <c r="J53" s="53" t="n">
        <v>0.6197</v>
      </c>
    </row>
    <row r="54" customFormat="false" ht="15" hidden="false" customHeight="true" outlineLevel="0" collapsed="false">
      <c r="A54" s="38" t="n">
        <v>50</v>
      </c>
      <c r="B54" s="38" t="s">
        <v>1030</v>
      </c>
      <c r="C54" s="38"/>
      <c r="D54" s="53" t="n">
        <v>0.469409</v>
      </c>
      <c r="E54" s="53" t="n">
        <v>0.445809</v>
      </c>
      <c r="F54" s="53" t="n">
        <v>0.457609</v>
      </c>
      <c r="G54" s="53" t="n">
        <v>1</v>
      </c>
      <c r="H54" s="53" t="n">
        <v>0.9167</v>
      </c>
      <c r="I54" s="53" t="n">
        <v>0.8</v>
      </c>
      <c r="J54" s="53" t="n">
        <v>0.5915</v>
      </c>
    </row>
    <row r="55" customFormat="false" ht="15" hidden="false" customHeight="true" outlineLevel="0" collapsed="false">
      <c r="A55" s="38" t="n">
        <v>51</v>
      </c>
      <c r="B55" s="38" t="s">
        <v>1030</v>
      </c>
      <c r="C55" s="38"/>
      <c r="D55" s="53" t="n">
        <v>0.428545</v>
      </c>
      <c r="E55" s="53" t="n">
        <v>0.344189</v>
      </c>
      <c r="F55" s="53" t="n">
        <v>0.386367</v>
      </c>
      <c r="G55" s="53" t="n">
        <v>0.9524</v>
      </c>
      <c r="H55" s="53" t="n">
        <v>1</v>
      </c>
      <c r="I55" s="53" t="n">
        <v>1</v>
      </c>
      <c r="J55" s="53" t="n">
        <v>0.6338</v>
      </c>
    </row>
    <row r="56" customFormat="false" ht="15" hidden="false" customHeight="true" outlineLevel="0" collapsed="false">
      <c r="A56" s="38" t="n">
        <v>52</v>
      </c>
      <c r="B56" s="38" t="s">
        <v>1030</v>
      </c>
      <c r="C56" s="38"/>
      <c r="D56" s="53" t="n">
        <v>0.424068</v>
      </c>
      <c r="E56" s="53" t="n">
        <v>0.439258</v>
      </c>
      <c r="F56" s="53" t="n">
        <v>0.431663</v>
      </c>
      <c r="G56" s="53" t="n">
        <v>1</v>
      </c>
      <c r="H56" s="53" t="n">
        <v>1</v>
      </c>
      <c r="I56" s="53" t="n">
        <v>1</v>
      </c>
      <c r="J56" s="53" t="n">
        <v>0.6389</v>
      </c>
    </row>
    <row r="57" customFormat="false" ht="15" hidden="false" customHeight="true" outlineLevel="0" collapsed="false">
      <c r="A57" s="38" t="n">
        <v>53</v>
      </c>
      <c r="B57" s="38" t="s">
        <v>1031</v>
      </c>
      <c r="C57" s="38"/>
      <c r="D57" s="53" t="n">
        <v>0.555845</v>
      </c>
      <c r="E57" s="53" t="n">
        <v>0.54984</v>
      </c>
      <c r="F57" s="53" t="n">
        <v>0.552842</v>
      </c>
      <c r="G57" s="53" t="n">
        <v>0.9524</v>
      </c>
      <c r="H57" s="53" t="n">
        <v>0.9167</v>
      </c>
      <c r="I57" s="53" t="n">
        <v>0.8</v>
      </c>
      <c r="J57" s="53" t="n">
        <v>0.6338</v>
      </c>
    </row>
    <row r="58" customFormat="false" ht="15" hidden="false" customHeight="true" outlineLevel="0" collapsed="false">
      <c r="A58" s="38" t="n">
        <v>54</v>
      </c>
      <c r="B58" s="38" t="s">
        <v>1031</v>
      </c>
      <c r="C58" s="38"/>
      <c r="D58" s="53" t="n">
        <v>0.625821</v>
      </c>
      <c r="E58" s="53" t="n">
        <v>0.565346</v>
      </c>
      <c r="F58" s="53" t="n">
        <v>0.595583</v>
      </c>
      <c r="G58" s="53" t="n">
        <v>0.9048</v>
      </c>
      <c r="H58" s="53" t="n">
        <v>0.9167</v>
      </c>
      <c r="I58" s="53" t="n">
        <v>0.8</v>
      </c>
      <c r="J58" s="53" t="n">
        <v>0.6338</v>
      </c>
    </row>
    <row r="59" customFormat="false" ht="15" hidden="false" customHeight="true" outlineLevel="0" collapsed="false">
      <c r="A59" s="38" t="n">
        <v>55</v>
      </c>
      <c r="B59" s="38" t="s">
        <v>1031</v>
      </c>
      <c r="C59" s="38"/>
      <c r="D59" s="53" t="n">
        <v>0.56429</v>
      </c>
      <c r="E59" s="53" t="n">
        <v>0.589078</v>
      </c>
      <c r="F59" s="53" t="n">
        <v>0.576684</v>
      </c>
      <c r="G59" s="53" t="n">
        <v>1</v>
      </c>
      <c r="H59" s="53" t="n">
        <v>0.9167</v>
      </c>
      <c r="I59" s="53" t="n">
        <v>0.8</v>
      </c>
      <c r="J59" s="53" t="n">
        <v>0.5833</v>
      </c>
    </row>
    <row r="60" customFormat="false" ht="15" hidden="false" customHeight="true" outlineLevel="0" collapsed="false">
      <c r="A60" s="38" t="n">
        <v>56</v>
      </c>
      <c r="B60" s="38" t="s">
        <v>1031</v>
      </c>
      <c r="C60" s="38"/>
      <c r="D60" s="53" t="n">
        <v>0.423362</v>
      </c>
      <c r="E60" s="53" t="n">
        <v>0.396582</v>
      </c>
      <c r="F60" s="53" t="n">
        <v>0.409972</v>
      </c>
      <c r="G60" s="53" t="n">
        <v>1</v>
      </c>
      <c r="H60" s="53" t="n">
        <v>0.9167</v>
      </c>
      <c r="I60" s="53" t="n">
        <v>0.8</v>
      </c>
      <c r="J60" s="53" t="n">
        <v>0.5139</v>
      </c>
    </row>
    <row r="61" customFormat="false" ht="15" hidden="false" customHeight="true" outlineLevel="0" collapsed="false">
      <c r="A61" s="38" t="n">
        <v>57</v>
      </c>
      <c r="B61" s="38" t="s">
        <v>1032</v>
      </c>
      <c r="C61" s="38"/>
      <c r="D61" s="53" t="n">
        <v>0.486749</v>
      </c>
      <c r="E61" s="53" t="n">
        <v>0.497934</v>
      </c>
      <c r="F61" s="53" t="n">
        <v>0.492341</v>
      </c>
      <c r="G61" s="53" t="n">
        <v>0.9524</v>
      </c>
      <c r="H61" s="53" t="n">
        <v>1</v>
      </c>
      <c r="I61" s="53" t="n">
        <v>1</v>
      </c>
      <c r="J61" s="53" t="n">
        <v>0.6667</v>
      </c>
    </row>
    <row r="62" customFormat="false" ht="15" hidden="false" customHeight="true" outlineLevel="0" collapsed="false">
      <c r="A62" s="38" t="n">
        <v>58</v>
      </c>
      <c r="B62" s="38" t="s">
        <v>1033</v>
      </c>
      <c r="C62" s="38"/>
      <c r="D62" s="53" t="n">
        <v>0.318165</v>
      </c>
      <c r="E62" s="53" t="n">
        <v>0.32707</v>
      </c>
      <c r="F62" s="53" t="n">
        <v>0.322618</v>
      </c>
      <c r="G62" s="53" t="n">
        <v>1</v>
      </c>
      <c r="H62" s="53" t="n">
        <v>1</v>
      </c>
      <c r="I62" s="53" t="n">
        <v>1</v>
      </c>
      <c r="J62" s="53" t="n">
        <v>0.6528</v>
      </c>
    </row>
    <row r="63" customFormat="false" ht="15" hidden="false" customHeight="true" outlineLevel="0" collapsed="false">
      <c r="A63" s="38" t="n">
        <v>59</v>
      </c>
      <c r="B63" s="38" t="s">
        <v>1034</v>
      </c>
      <c r="C63" s="38"/>
      <c r="D63" s="53" t="n">
        <v>0.45303</v>
      </c>
      <c r="E63" s="53" t="n">
        <v>0.520802</v>
      </c>
      <c r="F63" s="53" t="n">
        <v>0.486916</v>
      </c>
      <c r="G63" s="53" t="n">
        <v>0.9524</v>
      </c>
      <c r="H63" s="53" t="n">
        <v>1</v>
      </c>
      <c r="I63" s="53" t="n">
        <v>1</v>
      </c>
      <c r="J63" s="53" t="n">
        <v>0.625</v>
      </c>
    </row>
    <row r="64" customFormat="false" ht="15" hidden="false" customHeight="true" outlineLevel="0" collapsed="false">
      <c r="A64" s="38" t="n">
        <v>60</v>
      </c>
      <c r="B64" s="38" t="s">
        <v>1034</v>
      </c>
      <c r="C64" s="38"/>
      <c r="D64" s="53" t="n">
        <v>0.45303</v>
      </c>
      <c r="E64" s="53" t="n">
        <v>0.520802</v>
      </c>
      <c r="F64" s="53" t="n">
        <v>0.486916</v>
      </c>
      <c r="G64" s="53" t="n">
        <v>0.9524</v>
      </c>
      <c r="H64" s="53" t="n">
        <v>1</v>
      </c>
      <c r="I64" s="53" t="n">
        <v>1</v>
      </c>
      <c r="J64" s="53" t="n">
        <v>0.625</v>
      </c>
    </row>
    <row r="65" customFormat="false" ht="15" hidden="false" customHeight="true" outlineLevel="0" collapsed="false">
      <c r="A65" s="38" t="n">
        <v>61</v>
      </c>
      <c r="B65" s="38" t="s">
        <v>1034</v>
      </c>
      <c r="C65" s="38"/>
      <c r="D65" s="53" t="n">
        <v>0.377939</v>
      </c>
      <c r="E65" s="53" t="n">
        <v>0.423568</v>
      </c>
      <c r="F65" s="53" t="n">
        <v>0.400753</v>
      </c>
      <c r="G65" s="53" t="n">
        <v>0.9524</v>
      </c>
      <c r="H65" s="53" t="n">
        <v>0.8333</v>
      </c>
      <c r="I65" s="53" t="n">
        <v>1</v>
      </c>
      <c r="J65" s="53" t="n">
        <v>0.6389</v>
      </c>
    </row>
    <row r="66" customFormat="false" ht="15" hidden="false" customHeight="true" outlineLevel="0" collapsed="false">
      <c r="A66" s="38" t="n">
        <v>62</v>
      </c>
      <c r="B66" s="38" t="s">
        <v>1034</v>
      </c>
      <c r="C66" s="38"/>
      <c r="D66" s="53" t="n">
        <v>0.461757</v>
      </c>
      <c r="E66" s="53" t="n">
        <v>0.507693</v>
      </c>
      <c r="F66" s="53" t="n">
        <v>0.484725</v>
      </c>
      <c r="G66" s="53" t="n">
        <v>0.9524</v>
      </c>
      <c r="H66" s="53" t="n">
        <v>1</v>
      </c>
      <c r="I66" s="53" t="n">
        <v>1</v>
      </c>
      <c r="J66" s="53" t="n">
        <v>0.6111</v>
      </c>
    </row>
    <row r="67" customFormat="false" ht="15" hidden="false" customHeight="true" outlineLevel="0" collapsed="false">
      <c r="A67" s="38"/>
      <c r="B67" s="38"/>
      <c r="C67" s="38"/>
      <c r="D67" s="38"/>
      <c r="E67" s="38"/>
      <c r="F67" s="38"/>
      <c r="G67" s="38"/>
      <c r="H67" s="38"/>
      <c r="I67" s="38"/>
      <c r="J67" s="38"/>
    </row>
    <row r="68" customFormat="false" ht="15" hidden="false" customHeight="true" outlineLevel="0" collapsed="false">
      <c r="A68" s="38"/>
      <c r="B68" s="41" t="s">
        <v>50</v>
      </c>
      <c r="C68" s="49" t="n">
        <f aca="false">COUNT(F5:F66)</f>
        <v>62</v>
      </c>
      <c r="D68" s="38"/>
      <c r="E68" s="38"/>
      <c r="F68" s="38"/>
      <c r="G68" s="38"/>
      <c r="H68" s="38"/>
      <c r="I68" s="38"/>
      <c r="J68" s="38"/>
    </row>
    <row r="69" customFormat="false" ht="15" hidden="false" customHeight="true" outlineLevel="0" collapsed="false">
      <c r="A69" s="38"/>
      <c r="B69" s="41" t="s">
        <v>1004</v>
      </c>
      <c r="C69" s="49" t="n">
        <f aca="false">AVERAGE(D5:D66)</f>
        <v>0.421179903225806</v>
      </c>
      <c r="D69" s="38"/>
      <c r="E69" s="38"/>
      <c r="F69" s="38"/>
      <c r="G69" s="38"/>
      <c r="H69" s="38"/>
      <c r="I69" s="38"/>
      <c r="J69" s="38"/>
    </row>
    <row r="70" customFormat="false" ht="15" hidden="false" customHeight="true" outlineLevel="0" collapsed="false">
      <c r="A70" s="38"/>
      <c r="B70" s="41" t="s">
        <v>1005</v>
      </c>
      <c r="C70" s="49" t="n">
        <f aca="false">STDEVP(D5:D66)</f>
        <v>0.118153927837828</v>
      </c>
      <c r="D70" s="38"/>
      <c r="E70" s="38"/>
      <c r="F70" s="38"/>
      <c r="G70" s="38"/>
      <c r="H70" s="38"/>
      <c r="I70" s="38"/>
      <c r="J70" s="38"/>
    </row>
    <row r="71" customFormat="false" ht="15" hidden="false" customHeight="true" outlineLevel="0" collapsed="false">
      <c r="A71" s="38"/>
      <c r="B71" s="41" t="s">
        <v>1006</v>
      </c>
      <c r="C71" s="49" t="n">
        <f aca="false">AVERAGE(E5:E66)</f>
        <v>0.423810032258065</v>
      </c>
      <c r="D71" s="38"/>
      <c r="E71" s="38"/>
      <c r="F71" s="38"/>
      <c r="G71" s="38"/>
      <c r="H71" s="38"/>
      <c r="I71" s="38"/>
      <c r="J71" s="38"/>
    </row>
    <row r="72" customFormat="false" ht="15" hidden="false" customHeight="true" outlineLevel="0" collapsed="false">
      <c r="A72" s="38"/>
      <c r="B72" s="41" t="s">
        <v>1007</v>
      </c>
      <c r="C72" s="49" t="n">
        <f aca="false">STDEVP(E5:E66)</f>
        <v>0.10823485400738</v>
      </c>
      <c r="D72" s="38"/>
      <c r="E72" s="38"/>
      <c r="F72" s="38"/>
      <c r="G72" s="38"/>
      <c r="H72" s="38"/>
      <c r="I72" s="38"/>
      <c r="J72" s="38"/>
    </row>
    <row r="73" customFormat="false" ht="15" hidden="false" customHeight="true" outlineLevel="0" collapsed="false">
      <c r="A73" s="38"/>
      <c r="B73" s="41" t="s">
        <v>1008</v>
      </c>
      <c r="C73" s="49" t="n">
        <f aca="false">AVERAGE(F5:F66)</f>
        <v>0.422495032258065</v>
      </c>
      <c r="D73" s="38"/>
      <c r="E73" s="38"/>
      <c r="F73" s="38"/>
      <c r="G73" s="38"/>
      <c r="H73" s="38"/>
      <c r="I73" s="38"/>
      <c r="J73" s="38"/>
    </row>
    <row r="74" customFormat="false" ht="15" hidden="false" customHeight="true" outlineLevel="0" collapsed="false">
      <c r="A74" s="38"/>
      <c r="B74" s="41" t="s">
        <v>1009</v>
      </c>
      <c r="C74" s="49" t="n">
        <f aca="false">STDEVP(F5:F66)</f>
        <v>0.110618695875045</v>
      </c>
      <c r="D74" s="38"/>
      <c r="E74" s="38"/>
      <c r="F74" s="38"/>
      <c r="G74" s="38"/>
      <c r="H74" s="38"/>
      <c r="I74" s="38"/>
      <c r="J74" s="38"/>
    </row>
    <row r="75" customFormat="false" ht="15" hidden="false" customHeight="true" outlineLevel="0" collapsed="false">
      <c r="A75" s="38"/>
      <c r="B75" s="41" t="s">
        <v>1010</v>
      </c>
      <c r="C75" s="49" t="n">
        <f aca="false">MIN(F5:F66)</f>
        <v>0.240871</v>
      </c>
      <c r="D75" s="38"/>
      <c r="E75" s="38"/>
      <c r="F75" s="38"/>
      <c r="G75" s="38"/>
      <c r="H75" s="38"/>
      <c r="I75" s="38"/>
      <c r="J75" s="38"/>
    </row>
    <row r="76" customFormat="false" ht="15" hidden="false" customHeight="true" outlineLevel="0" collapsed="false">
      <c r="A76" s="38"/>
      <c r="B76" s="41" t="s">
        <v>1011</v>
      </c>
      <c r="C76" s="49" t="n">
        <f aca="false">MAX(F5:F66)</f>
        <v>0.697989</v>
      </c>
      <c r="D76" s="38"/>
      <c r="E76" s="38"/>
      <c r="F76" s="38"/>
      <c r="G76" s="38"/>
      <c r="H76" s="38"/>
      <c r="I76" s="38"/>
      <c r="J76" s="38"/>
    </row>
    <row r="77" customFormat="false" ht="15" hidden="false" customHeight="true" outlineLevel="0" collapsed="false">
      <c r="A77" s="38"/>
      <c r="B77" s="41" t="s">
        <v>1012</v>
      </c>
      <c r="C77" s="49" t="n">
        <f aca="false">AVERAGE(G5:G66)</f>
        <v>0.959306451612903</v>
      </c>
      <c r="D77" s="38"/>
      <c r="E77" s="38"/>
      <c r="F77" s="38"/>
      <c r="G77" s="38"/>
      <c r="H77" s="38"/>
      <c r="I77" s="38"/>
      <c r="J77" s="38"/>
    </row>
    <row r="78" customFormat="false" ht="15" hidden="false" customHeight="true" outlineLevel="0" collapsed="false">
      <c r="A78" s="38"/>
      <c r="B78" s="41" t="s">
        <v>1013</v>
      </c>
      <c r="C78" s="49" t="n">
        <f aca="false">AVERAGE(H5:H66)</f>
        <v>0.95161935483871</v>
      </c>
      <c r="D78" s="38"/>
      <c r="E78" s="38"/>
      <c r="F78" s="38"/>
      <c r="G78" s="38"/>
      <c r="H78" s="38"/>
      <c r="I78" s="38"/>
      <c r="J78" s="38"/>
    </row>
    <row r="79" customFormat="false" ht="15" hidden="false" customHeight="true" outlineLevel="0" collapsed="false">
      <c r="A79" s="38"/>
      <c r="B79" s="41" t="s">
        <v>1014</v>
      </c>
      <c r="C79" s="49" t="n">
        <f aca="false">CORREL(D5:D66,E5:E66)</f>
        <v>0.9098457565271</v>
      </c>
      <c r="D79" s="38"/>
      <c r="E79" s="38"/>
      <c r="F79" s="38"/>
      <c r="G79" s="38"/>
      <c r="H79" s="38"/>
      <c r="I79" s="38"/>
      <c r="J79"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7"/>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10" min="2" style="0" width="18"/>
  </cols>
  <sheetData>
    <row r="1" customFormat="false" ht="15" hidden="false" customHeight="true" outlineLevel="0" collapsed="false">
      <c r="A1" s="37" t="s">
        <v>1035</v>
      </c>
      <c r="B1" s="38"/>
      <c r="C1" s="38"/>
      <c r="D1" s="38"/>
      <c r="E1" s="38"/>
      <c r="F1" s="38"/>
      <c r="G1" s="38"/>
      <c r="H1" s="38"/>
      <c r="I1" s="38"/>
      <c r="J1" s="38"/>
    </row>
    <row r="2" customFormat="false" ht="15" hidden="false" customHeight="true" outlineLevel="0" collapsed="false">
      <c r="A2" s="38" t="s">
        <v>1036</v>
      </c>
      <c r="B2" s="38"/>
      <c r="C2" s="38"/>
      <c r="D2" s="38"/>
      <c r="E2" s="38"/>
      <c r="F2" s="38"/>
      <c r="G2" s="38"/>
      <c r="H2" s="38"/>
      <c r="I2" s="38"/>
      <c r="J2" s="38"/>
    </row>
    <row r="3" customFormat="false" ht="15" hidden="false" customHeight="true" outlineLevel="0" collapsed="false">
      <c r="A3" s="38"/>
      <c r="B3" s="38"/>
      <c r="C3" s="38"/>
      <c r="D3" s="38"/>
      <c r="E3" s="38"/>
      <c r="F3" s="38"/>
      <c r="G3" s="38"/>
      <c r="H3" s="38"/>
      <c r="I3" s="38"/>
      <c r="J3" s="38"/>
    </row>
    <row r="4" customFormat="false" ht="23.25" hidden="false" customHeight="true" outlineLevel="0" collapsed="false">
      <c r="A4" s="39" t="s">
        <v>1037</v>
      </c>
      <c r="B4" s="39" t="s">
        <v>1038</v>
      </c>
      <c r="C4" s="39" t="s">
        <v>904</v>
      </c>
      <c r="D4" s="39" t="s">
        <v>880</v>
      </c>
      <c r="E4" s="39" t="s">
        <v>881</v>
      </c>
      <c r="F4" s="39" t="s">
        <v>559</v>
      </c>
      <c r="G4" s="39" t="s">
        <v>576</v>
      </c>
      <c r="H4" s="39" t="s">
        <v>580</v>
      </c>
      <c r="I4" s="39" t="s">
        <v>584</v>
      </c>
      <c r="J4" s="39" t="s">
        <v>161</v>
      </c>
    </row>
    <row r="5" customFormat="false" ht="15" hidden="false" customHeight="true" outlineLevel="0" collapsed="false">
      <c r="A5" s="38" t="n">
        <v>1</v>
      </c>
      <c r="B5" s="38" t="s">
        <v>166</v>
      </c>
      <c r="C5" s="38" t="s">
        <v>167</v>
      </c>
      <c r="D5" s="53" t="n">
        <v>0.597114</v>
      </c>
      <c r="E5" s="53" t="n">
        <v>0.55463</v>
      </c>
      <c r="F5" s="53" t="n">
        <v>0.575872</v>
      </c>
      <c r="G5" s="53" t="n">
        <v>1</v>
      </c>
      <c r="H5" s="53" t="n">
        <v>0.8333</v>
      </c>
      <c r="I5" s="53" t="n">
        <v>0.8</v>
      </c>
      <c r="J5" s="38" t="s">
        <v>165</v>
      </c>
    </row>
    <row r="6" customFormat="false" ht="15" hidden="false" customHeight="true" outlineLevel="0" collapsed="false">
      <c r="A6" s="38" t="n">
        <v>2</v>
      </c>
      <c r="B6" s="38" t="s">
        <v>173</v>
      </c>
      <c r="C6" s="38" t="s">
        <v>174</v>
      </c>
      <c r="D6" s="53" t="n">
        <v>0.483171</v>
      </c>
      <c r="E6" s="53" t="n">
        <v>0.483387</v>
      </c>
      <c r="F6" s="53" t="n">
        <v>0.483279</v>
      </c>
      <c r="G6" s="53" t="n">
        <v>1</v>
      </c>
      <c r="H6" s="53" t="n">
        <v>0.9167</v>
      </c>
      <c r="I6" s="53" t="n">
        <v>0.8</v>
      </c>
      <c r="J6" s="38" t="s">
        <v>165</v>
      </c>
    </row>
    <row r="7" customFormat="false" ht="15" hidden="false" customHeight="true" outlineLevel="0" collapsed="false">
      <c r="A7" s="38" t="n">
        <v>3</v>
      </c>
      <c r="B7" s="38" t="s">
        <v>177</v>
      </c>
      <c r="C7" s="38" t="s">
        <v>178</v>
      </c>
      <c r="D7" s="53" t="n">
        <v>0.517711</v>
      </c>
      <c r="E7" s="53" t="n">
        <v>0.536967</v>
      </c>
      <c r="F7" s="53" t="n">
        <v>0.527339</v>
      </c>
      <c r="G7" s="53" t="n">
        <v>0.9524</v>
      </c>
      <c r="H7" s="53" t="n">
        <v>1</v>
      </c>
      <c r="I7" s="53" t="n">
        <v>1</v>
      </c>
      <c r="J7" s="38" t="s">
        <v>165</v>
      </c>
    </row>
    <row r="8" customFormat="false" ht="15" hidden="false" customHeight="true" outlineLevel="0" collapsed="false">
      <c r="A8" s="38" t="n">
        <v>4</v>
      </c>
      <c r="B8" s="38" t="s">
        <v>180</v>
      </c>
      <c r="C8" s="38" t="s">
        <v>181</v>
      </c>
      <c r="D8" s="53" t="n">
        <v>0.667802</v>
      </c>
      <c r="E8" s="53" t="n">
        <v>0.692145</v>
      </c>
      <c r="F8" s="53" t="n">
        <v>0.679974</v>
      </c>
      <c r="G8" s="53" t="n">
        <v>1</v>
      </c>
      <c r="H8" s="53" t="n">
        <v>0.9167</v>
      </c>
      <c r="I8" s="53" t="n">
        <v>0.8</v>
      </c>
      <c r="J8" s="38" t="s">
        <v>165</v>
      </c>
    </row>
    <row r="9" customFormat="false" ht="15" hidden="false" customHeight="true" outlineLevel="0" collapsed="false">
      <c r="A9" s="38" t="n">
        <v>5</v>
      </c>
      <c r="B9" s="38" t="s">
        <v>183</v>
      </c>
      <c r="C9" s="38" t="s">
        <v>181</v>
      </c>
      <c r="D9" s="53" t="n">
        <v>0.62675</v>
      </c>
      <c r="E9" s="53" t="n">
        <v>0.654852</v>
      </c>
      <c r="F9" s="53" t="n">
        <v>0.640801</v>
      </c>
      <c r="G9" s="53" t="n">
        <v>1</v>
      </c>
      <c r="H9" s="53" t="n">
        <v>0.9167</v>
      </c>
      <c r="I9" s="53" t="n">
        <v>0.8</v>
      </c>
      <c r="J9" s="38" t="s">
        <v>165</v>
      </c>
    </row>
    <row r="10" customFormat="false" ht="15" hidden="false" customHeight="true" outlineLevel="0" collapsed="false">
      <c r="A10" s="38" t="n">
        <v>6</v>
      </c>
      <c r="B10" s="38" t="s">
        <v>185</v>
      </c>
      <c r="C10" s="38" t="s">
        <v>186</v>
      </c>
      <c r="D10" s="53" t="n">
        <v>0.700893</v>
      </c>
      <c r="E10" s="53" t="n">
        <v>0.678011</v>
      </c>
      <c r="F10" s="53" t="n">
        <v>0.689452</v>
      </c>
      <c r="G10" s="53" t="n">
        <v>1</v>
      </c>
      <c r="H10" s="53" t="n">
        <v>0.9167</v>
      </c>
      <c r="I10" s="53" t="n">
        <v>0.8</v>
      </c>
      <c r="J10" s="38" t="s">
        <v>165</v>
      </c>
    </row>
    <row r="11" customFormat="false" ht="15" hidden="false" customHeight="true" outlineLevel="0" collapsed="false">
      <c r="A11" s="38" t="n">
        <v>7</v>
      </c>
      <c r="B11" s="38" t="s">
        <v>188</v>
      </c>
      <c r="C11" s="38" t="s">
        <v>186</v>
      </c>
      <c r="D11" s="53" t="n">
        <v>0.749902</v>
      </c>
      <c r="E11" s="53" t="n">
        <v>0.768124</v>
      </c>
      <c r="F11" s="53" t="n">
        <v>0.759013</v>
      </c>
      <c r="G11" s="53" t="n">
        <v>1</v>
      </c>
      <c r="H11" s="53" t="n">
        <v>1</v>
      </c>
      <c r="I11" s="53" t="n">
        <v>1</v>
      </c>
      <c r="J11" s="38" t="s">
        <v>165</v>
      </c>
    </row>
    <row r="12" customFormat="false" ht="15" hidden="false" customHeight="true" outlineLevel="0" collapsed="false">
      <c r="A12" s="38" t="n">
        <v>8</v>
      </c>
      <c r="B12" s="38" t="s">
        <v>189</v>
      </c>
      <c r="C12" s="38" t="s">
        <v>190</v>
      </c>
      <c r="D12" s="53" t="n">
        <v>0.265371</v>
      </c>
      <c r="E12" s="53" t="n">
        <v>0.381807</v>
      </c>
      <c r="F12" s="53" t="n">
        <v>0.323589</v>
      </c>
      <c r="G12" s="53" t="n">
        <v>1</v>
      </c>
      <c r="H12" s="53" t="n">
        <v>0.75</v>
      </c>
      <c r="I12" s="53" t="n">
        <v>0.8</v>
      </c>
      <c r="J12" s="38" t="s">
        <v>165</v>
      </c>
    </row>
    <row r="13" customFormat="false" ht="15" hidden="false" customHeight="true" outlineLevel="0" collapsed="false">
      <c r="A13" s="38" t="n">
        <v>9</v>
      </c>
      <c r="B13" s="38" t="s">
        <v>192</v>
      </c>
      <c r="C13" s="38" t="s">
        <v>190</v>
      </c>
      <c r="D13" s="53" t="n">
        <v>0.470152</v>
      </c>
      <c r="E13" s="53" t="n">
        <v>0.467571</v>
      </c>
      <c r="F13" s="53" t="n">
        <v>0.468862</v>
      </c>
      <c r="G13" s="53" t="n">
        <v>1</v>
      </c>
      <c r="H13" s="53" t="n">
        <v>0.9167</v>
      </c>
      <c r="I13" s="53" t="n">
        <v>0.8</v>
      </c>
      <c r="J13" s="38" t="s">
        <v>165</v>
      </c>
    </row>
    <row r="14" customFormat="false" ht="15" hidden="false" customHeight="true" outlineLevel="0" collapsed="false">
      <c r="A14" s="38" t="n">
        <v>10</v>
      </c>
      <c r="B14" s="38" t="s">
        <v>194</v>
      </c>
      <c r="C14" s="38" t="s">
        <v>195</v>
      </c>
      <c r="D14" s="53" t="n">
        <v>0.746095</v>
      </c>
      <c r="E14" s="53" t="n">
        <v>0.7103</v>
      </c>
      <c r="F14" s="53" t="n">
        <v>0.728197</v>
      </c>
      <c r="G14" s="53" t="n">
        <v>1</v>
      </c>
      <c r="H14" s="53" t="n">
        <v>1</v>
      </c>
      <c r="I14" s="53" t="n">
        <v>1</v>
      </c>
      <c r="J14" s="38" t="s">
        <v>165</v>
      </c>
    </row>
    <row r="15" customFormat="false" ht="15" hidden="false" customHeight="true" outlineLevel="0" collapsed="false">
      <c r="A15" s="38" t="n">
        <v>11</v>
      </c>
      <c r="B15" s="38" t="s">
        <v>197</v>
      </c>
      <c r="C15" s="38" t="s">
        <v>198</v>
      </c>
      <c r="D15" s="53" t="n">
        <v>0.531555</v>
      </c>
      <c r="E15" s="53" t="n">
        <v>0.51031</v>
      </c>
      <c r="F15" s="53" t="n">
        <v>0.520933</v>
      </c>
      <c r="G15" s="53" t="n">
        <v>1</v>
      </c>
      <c r="H15" s="53" t="n">
        <v>1</v>
      </c>
      <c r="I15" s="53" t="n">
        <v>1</v>
      </c>
      <c r="J15" s="38" t="s">
        <v>165</v>
      </c>
    </row>
    <row r="16" customFormat="false" ht="15" hidden="false" customHeight="true" outlineLevel="0" collapsed="false">
      <c r="A16" s="38" t="n">
        <v>12</v>
      </c>
      <c r="B16" s="38" t="s">
        <v>201</v>
      </c>
      <c r="C16" s="38" t="s">
        <v>202</v>
      </c>
      <c r="D16" s="53" t="n">
        <v>0.570927</v>
      </c>
      <c r="E16" s="53" t="n">
        <v>0.582046</v>
      </c>
      <c r="F16" s="53" t="n">
        <v>0.576486</v>
      </c>
      <c r="G16" s="53" t="n">
        <v>1</v>
      </c>
      <c r="H16" s="53" t="n">
        <v>1</v>
      </c>
      <c r="I16" s="53" t="n">
        <v>1</v>
      </c>
      <c r="J16" s="38" t="s">
        <v>200</v>
      </c>
    </row>
    <row r="17" customFormat="false" ht="15" hidden="false" customHeight="true" outlineLevel="0" collapsed="false">
      <c r="A17" s="38" t="n">
        <v>13</v>
      </c>
      <c r="B17" s="38" t="s">
        <v>204</v>
      </c>
      <c r="C17" s="38" t="s">
        <v>205</v>
      </c>
      <c r="D17" s="53" t="n">
        <v>0.61639</v>
      </c>
      <c r="E17" s="53" t="n">
        <v>0.624512</v>
      </c>
      <c r="F17" s="53" t="n">
        <v>0.620451</v>
      </c>
      <c r="G17" s="53" t="n">
        <v>0.9524</v>
      </c>
      <c r="H17" s="53" t="n">
        <v>1</v>
      </c>
      <c r="I17" s="53" t="n">
        <v>1</v>
      </c>
      <c r="J17" s="38" t="s">
        <v>200</v>
      </c>
    </row>
    <row r="18" customFormat="false" ht="15" hidden="false" customHeight="true" outlineLevel="0" collapsed="false">
      <c r="A18" s="38" t="n">
        <v>14</v>
      </c>
      <c r="B18" s="38" t="s">
        <v>207</v>
      </c>
      <c r="C18" s="38" t="s">
        <v>208</v>
      </c>
      <c r="D18" s="53" t="n">
        <v>0.406407</v>
      </c>
      <c r="E18" s="53" t="n">
        <v>0.372378</v>
      </c>
      <c r="F18" s="53" t="n">
        <v>0.389392</v>
      </c>
      <c r="G18" s="53" t="n">
        <v>0.9524</v>
      </c>
      <c r="H18" s="53" t="n">
        <v>1</v>
      </c>
      <c r="I18" s="53" t="n">
        <v>1</v>
      </c>
      <c r="J18" s="38" t="s">
        <v>200</v>
      </c>
    </row>
    <row r="19" customFormat="false" ht="15" hidden="false" customHeight="true" outlineLevel="0" collapsed="false">
      <c r="A19" s="38" t="n">
        <v>15</v>
      </c>
      <c r="B19" s="38" t="s">
        <v>210</v>
      </c>
      <c r="C19" s="38" t="s">
        <v>211</v>
      </c>
      <c r="D19" s="53" t="n">
        <v>0.567589</v>
      </c>
      <c r="E19" s="53" t="n">
        <v>0.498893</v>
      </c>
      <c r="F19" s="53" t="n">
        <v>0.533241</v>
      </c>
      <c r="G19" s="53" t="n">
        <v>1</v>
      </c>
      <c r="H19" s="53" t="n">
        <v>1</v>
      </c>
      <c r="I19" s="53" t="n">
        <v>1</v>
      </c>
      <c r="J19" s="38" t="s">
        <v>200</v>
      </c>
    </row>
    <row r="20" customFormat="false" ht="15" hidden="false" customHeight="true" outlineLevel="0" collapsed="false">
      <c r="A20" s="38" t="n">
        <v>16</v>
      </c>
      <c r="B20" s="38" t="s">
        <v>213</v>
      </c>
      <c r="C20" s="38" t="s">
        <v>211</v>
      </c>
      <c r="D20" s="53" t="n">
        <v>0.587625</v>
      </c>
      <c r="E20" s="53" t="n">
        <v>0.581503</v>
      </c>
      <c r="F20" s="53" t="n">
        <v>0.584564</v>
      </c>
      <c r="G20" s="53" t="n">
        <v>1</v>
      </c>
      <c r="H20" s="53" t="n">
        <v>1</v>
      </c>
      <c r="I20" s="53" t="n">
        <v>1</v>
      </c>
      <c r="J20" s="38" t="s">
        <v>200</v>
      </c>
    </row>
    <row r="21" customFormat="false" ht="15" hidden="false" customHeight="true" outlineLevel="0" collapsed="false">
      <c r="A21" s="38" t="n">
        <v>17</v>
      </c>
      <c r="B21" s="38" t="s">
        <v>215</v>
      </c>
      <c r="C21" s="38" t="s">
        <v>216</v>
      </c>
      <c r="D21" s="53" t="n">
        <v>0.537547</v>
      </c>
      <c r="E21" s="53" t="n">
        <v>0.600778</v>
      </c>
      <c r="F21" s="53" t="n">
        <v>0.569162</v>
      </c>
      <c r="G21" s="53" t="n">
        <v>1</v>
      </c>
      <c r="H21" s="53" t="n">
        <v>0.9167</v>
      </c>
      <c r="I21" s="53" t="n">
        <v>0.8</v>
      </c>
      <c r="J21" s="38" t="s">
        <v>200</v>
      </c>
    </row>
    <row r="22" customFormat="false" ht="15" hidden="false" customHeight="true" outlineLevel="0" collapsed="false">
      <c r="A22" s="38" t="n">
        <v>18</v>
      </c>
      <c r="B22" s="38" t="s">
        <v>218</v>
      </c>
      <c r="C22" s="38" t="s">
        <v>219</v>
      </c>
      <c r="D22" s="53" t="n">
        <v>0.469836</v>
      </c>
      <c r="E22" s="53" t="n">
        <v>0.496297</v>
      </c>
      <c r="F22" s="53" t="n">
        <v>0.483067</v>
      </c>
      <c r="G22" s="53" t="n">
        <v>1</v>
      </c>
      <c r="H22" s="53" t="n">
        <v>1</v>
      </c>
      <c r="I22" s="53" t="n">
        <v>1</v>
      </c>
      <c r="J22" s="38" t="s">
        <v>200</v>
      </c>
    </row>
    <row r="23" customFormat="false" ht="15" hidden="false" customHeight="true" outlineLevel="0" collapsed="false">
      <c r="A23" s="38" t="n">
        <v>19</v>
      </c>
      <c r="B23" s="38" t="s">
        <v>220</v>
      </c>
      <c r="C23" s="38" t="s">
        <v>221</v>
      </c>
      <c r="D23" s="53" t="n">
        <v>0.404749</v>
      </c>
      <c r="E23" s="53" t="n">
        <v>0.344429</v>
      </c>
      <c r="F23" s="53" t="n">
        <v>0.374589</v>
      </c>
      <c r="G23" s="53" t="n">
        <v>0.9524</v>
      </c>
      <c r="H23" s="53" t="n">
        <v>0.9167</v>
      </c>
      <c r="I23" s="53" t="n">
        <v>0.8</v>
      </c>
      <c r="J23" s="38" t="s">
        <v>200</v>
      </c>
    </row>
    <row r="24" customFormat="false" ht="15" hidden="false" customHeight="true" outlineLevel="0" collapsed="false">
      <c r="A24" s="38" t="n">
        <v>20</v>
      </c>
      <c r="B24" s="38" t="s">
        <v>223</v>
      </c>
      <c r="C24" s="38" t="s">
        <v>224</v>
      </c>
      <c r="D24" s="53" t="n">
        <v>0.564101</v>
      </c>
      <c r="E24" s="53" t="n">
        <v>0.63824</v>
      </c>
      <c r="F24" s="53" t="n">
        <v>0.60117</v>
      </c>
      <c r="G24" s="53" t="n">
        <v>1</v>
      </c>
      <c r="H24" s="53" t="n">
        <v>1</v>
      </c>
      <c r="I24" s="53" t="n">
        <v>1</v>
      </c>
      <c r="J24" s="38" t="s">
        <v>200</v>
      </c>
    </row>
    <row r="25" customFormat="false" ht="15" hidden="false" customHeight="true" outlineLevel="0" collapsed="false">
      <c r="A25" s="38" t="n">
        <v>21</v>
      </c>
      <c r="B25" s="38" t="s">
        <v>226</v>
      </c>
      <c r="C25" s="38" t="s">
        <v>224</v>
      </c>
      <c r="D25" s="53" t="n">
        <v>0.520368</v>
      </c>
      <c r="E25" s="53" t="n">
        <v>0.604578</v>
      </c>
      <c r="F25" s="53" t="n">
        <v>0.562473</v>
      </c>
      <c r="G25" s="53" t="n">
        <v>1</v>
      </c>
      <c r="H25" s="53" t="n">
        <v>1</v>
      </c>
      <c r="I25" s="53" t="n">
        <v>1</v>
      </c>
      <c r="J25" s="38" t="s">
        <v>200</v>
      </c>
    </row>
    <row r="26" customFormat="false" ht="15" hidden="false" customHeight="true" outlineLevel="0" collapsed="false">
      <c r="A26" s="38" t="n">
        <v>22</v>
      </c>
      <c r="B26" s="38" t="s">
        <v>227</v>
      </c>
      <c r="C26" s="38" t="s">
        <v>228</v>
      </c>
      <c r="D26" s="53" t="n">
        <v>0.615507</v>
      </c>
      <c r="E26" s="53" t="n">
        <v>0.671263</v>
      </c>
      <c r="F26" s="53" t="n">
        <v>0.643385</v>
      </c>
      <c r="G26" s="53" t="n">
        <v>1</v>
      </c>
      <c r="H26" s="53" t="n">
        <v>1</v>
      </c>
      <c r="I26" s="53" t="n">
        <v>1</v>
      </c>
      <c r="J26" s="38" t="s">
        <v>200</v>
      </c>
    </row>
    <row r="27" customFormat="false" ht="15" hidden="false" customHeight="true" outlineLevel="0" collapsed="false">
      <c r="A27" s="38" t="n">
        <v>23</v>
      </c>
      <c r="B27" s="38" t="s">
        <v>231</v>
      </c>
      <c r="C27" s="38" t="s">
        <v>202</v>
      </c>
      <c r="D27" s="53" t="n">
        <v>0.536394</v>
      </c>
      <c r="E27" s="53" t="n">
        <v>0.483878</v>
      </c>
      <c r="F27" s="53" t="n">
        <v>0.510136</v>
      </c>
      <c r="G27" s="53" t="n">
        <v>1</v>
      </c>
      <c r="H27" s="53" t="n">
        <v>0.9167</v>
      </c>
      <c r="I27" s="53" t="n">
        <v>0.8</v>
      </c>
      <c r="J27" s="38" t="s">
        <v>230</v>
      </c>
    </row>
    <row r="28" customFormat="false" ht="15" hidden="false" customHeight="true" outlineLevel="0" collapsed="false">
      <c r="A28" s="38" t="n">
        <v>24</v>
      </c>
      <c r="B28" s="38" t="s">
        <v>233</v>
      </c>
      <c r="C28" s="38" t="s">
        <v>202</v>
      </c>
      <c r="D28" s="53" t="n">
        <v>0.479116</v>
      </c>
      <c r="E28" s="53" t="n">
        <v>0.492133</v>
      </c>
      <c r="F28" s="53" t="n">
        <v>0.485624</v>
      </c>
      <c r="G28" s="53" t="n">
        <v>1</v>
      </c>
      <c r="H28" s="53" t="n">
        <v>0.9167</v>
      </c>
      <c r="I28" s="53" t="n">
        <v>0.8</v>
      </c>
      <c r="J28" s="38" t="s">
        <v>230</v>
      </c>
    </row>
    <row r="29" customFormat="false" ht="15" hidden="false" customHeight="true" outlineLevel="0" collapsed="false">
      <c r="A29" s="38" t="n">
        <v>25</v>
      </c>
      <c r="B29" s="38" t="s">
        <v>234</v>
      </c>
      <c r="C29" s="38" t="s">
        <v>202</v>
      </c>
      <c r="D29" s="53" t="n">
        <v>0.605932</v>
      </c>
      <c r="E29" s="53" t="n">
        <v>0.577252</v>
      </c>
      <c r="F29" s="53" t="n">
        <v>0.591592</v>
      </c>
      <c r="G29" s="53" t="n">
        <v>1</v>
      </c>
      <c r="H29" s="53" t="n">
        <v>1</v>
      </c>
      <c r="I29" s="53" t="n">
        <v>1</v>
      </c>
      <c r="J29" s="38" t="s">
        <v>230</v>
      </c>
    </row>
    <row r="30" customFormat="false" ht="15" hidden="false" customHeight="true" outlineLevel="0" collapsed="false">
      <c r="A30" s="38" t="n">
        <v>26</v>
      </c>
      <c r="B30" s="38" t="s">
        <v>236</v>
      </c>
      <c r="C30" s="38" t="s">
        <v>205</v>
      </c>
      <c r="D30" s="53" t="n">
        <v>0.608695</v>
      </c>
      <c r="E30" s="53" t="n">
        <v>0.592434</v>
      </c>
      <c r="F30" s="53" t="n">
        <v>0.600564</v>
      </c>
      <c r="G30" s="53" t="n">
        <v>1</v>
      </c>
      <c r="H30" s="53" t="n">
        <v>0.9167</v>
      </c>
      <c r="I30" s="53" t="n">
        <v>0.8</v>
      </c>
      <c r="J30" s="38" t="s">
        <v>230</v>
      </c>
    </row>
    <row r="31" customFormat="false" ht="15" hidden="false" customHeight="true" outlineLevel="0" collapsed="false">
      <c r="A31" s="38" t="n">
        <v>27</v>
      </c>
      <c r="B31" s="38" t="s">
        <v>237</v>
      </c>
      <c r="C31" s="38" t="s">
        <v>211</v>
      </c>
      <c r="D31" s="53" t="n">
        <v>0.483913</v>
      </c>
      <c r="E31" s="53" t="n">
        <v>0.426726</v>
      </c>
      <c r="F31" s="53" t="n">
        <v>0.455319</v>
      </c>
      <c r="G31" s="53" t="n">
        <v>1</v>
      </c>
      <c r="H31" s="53" t="n">
        <v>0.9167</v>
      </c>
      <c r="I31" s="53" t="n">
        <v>0.8</v>
      </c>
      <c r="J31" s="38" t="s">
        <v>230</v>
      </c>
    </row>
    <row r="32" customFormat="false" ht="15" hidden="false" customHeight="true" outlineLevel="0" collapsed="false">
      <c r="A32" s="38" t="n">
        <v>28</v>
      </c>
      <c r="B32" s="38" t="s">
        <v>238</v>
      </c>
      <c r="C32" s="38" t="s">
        <v>216</v>
      </c>
      <c r="D32" s="53" t="n">
        <v>0.606813</v>
      </c>
      <c r="E32" s="53" t="n">
        <v>0.595129</v>
      </c>
      <c r="F32" s="53" t="n">
        <v>0.600971</v>
      </c>
      <c r="G32" s="53" t="n">
        <v>1</v>
      </c>
      <c r="H32" s="53" t="n">
        <v>0.8333</v>
      </c>
      <c r="I32" s="53" t="n">
        <v>0.8</v>
      </c>
      <c r="J32" s="38" t="s">
        <v>230</v>
      </c>
    </row>
    <row r="33" customFormat="false" ht="15" hidden="false" customHeight="true" outlineLevel="0" collapsed="false">
      <c r="A33" s="38" t="n">
        <v>29</v>
      </c>
      <c r="B33" s="38" t="s">
        <v>239</v>
      </c>
      <c r="C33" s="38" t="s">
        <v>240</v>
      </c>
      <c r="D33" s="53" t="n">
        <v>0.572571</v>
      </c>
      <c r="E33" s="53" t="n">
        <v>0.589681</v>
      </c>
      <c r="F33" s="53" t="n">
        <v>0.581126</v>
      </c>
      <c r="G33" s="53" t="n">
        <v>1</v>
      </c>
      <c r="H33" s="53" t="n">
        <v>0.9167</v>
      </c>
      <c r="I33" s="53" t="n">
        <v>0.8</v>
      </c>
      <c r="J33" s="38" t="s">
        <v>230</v>
      </c>
    </row>
    <row r="34" customFormat="false" ht="15" hidden="false" customHeight="true" outlineLevel="0" collapsed="false">
      <c r="A34" s="38" t="n">
        <v>30</v>
      </c>
      <c r="B34" s="38" t="s">
        <v>242</v>
      </c>
      <c r="C34" s="38" t="s">
        <v>219</v>
      </c>
      <c r="D34" s="53" t="n">
        <v>0.336473</v>
      </c>
      <c r="E34" s="53" t="n">
        <v>0.29693</v>
      </c>
      <c r="F34" s="53" t="n">
        <v>0.316701</v>
      </c>
      <c r="G34" s="53" t="n">
        <v>0.9524</v>
      </c>
      <c r="H34" s="53" t="n">
        <v>0.9167</v>
      </c>
      <c r="I34" s="53" t="n">
        <v>0.8</v>
      </c>
      <c r="J34" s="38" t="s">
        <v>230</v>
      </c>
    </row>
    <row r="35" customFormat="false" ht="15" hidden="false" customHeight="true" outlineLevel="0" collapsed="false">
      <c r="A35" s="38" t="n">
        <v>31</v>
      </c>
      <c r="B35" s="38" t="s">
        <v>244</v>
      </c>
      <c r="C35" s="38" t="s">
        <v>224</v>
      </c>
      <c r="D35" s="53" t="n">
        <v>0.640594</v>
      </c>
      <c r="E35" s="53" t="n">
        <v>0.645768</v>
      </c>
      <c r="F35" s="53" t="n">
        <v>0.643181</v>
      </c>
      <c r="G35" s="53" t="n">
        <v>1</v>
      </c>
      <c r="H35" s="53" t="n">
        <v>0.9167</v>
      </c>
      <c r="I35" s="53" t="n">
        <v>0.8</v>
      </c>
      <c r="J35" s="38" t="s">
        <v>230</v>
      </c>
    </row>
    <row r="36" customFormat="false" ht="15" hidden="false" customHeight="true" outlineLevel="0" collapsed="false">
      <c r="A36" s="38" t="n">
        <v>32</v>
      </c>
      <c r="B36" s="38" t="s">
        <v>245</v>
      </c>
      <c r="C36" s="38" t="s">
        <v>224</v>
      </c>
      <c r="D36" s="53" t="n">
        <v>0.557577</v>
      </c>
      <c r="E36" s="53" t="n">
        <v>0.48525</v>
      </c>
      <c r="F36" s="53" t="n">
        <v>0.521413</v>
      </c>
      <c r="G36" s="53" t="n">
        <v>1</v>
      </c>
      <c r="H36" s="53" t="n">
        <v>0.9167</v>
      </c>
      <c r="I36" s="53" t="n">
        <v>0.8</v>
      </c>
      <c r="J36" s="38" t="s">
        <v>230</v>
      </c>
    </row>
    <row r="37" customFormat="false" ht="15" hidden="false" customHeight="true" outlineLevel="0" collapsed="false">
      <c r="A37" s="38" t="n">
        <v>33</v>
      </c>
      <c r="B37" s="38" t="s">
        <v>246</v>
      </c>
      <c r="C37" s="38" t="s">
        <v>228</v>
      </c>
      <c r="D37" s="53" t="n">
        <v>0.403859</v>
      </c>
      <c r="E37" s="53" t="n">
        <v>0.502848</v>
      </c>
      <c r="F37" s="53" t="n">
        <v>0.453354</v>
      </c>
      <c r="G37" s="53" t="n">
        <v>0.9524</v>
      </c>
      <c r="H37" s="53" t="n">
        <v>1</v>
      </c>
      <c r="I37" s="53" t="n">
        <v>1</v>
      </c>
      <c r="J37" s="38" t="s">
        <v>230</v>
      </c>
    </row>
    <row r="38" customFormat="false" ht="15" hidden="false" customHeight="true" outlineLevel="0" collapsed="false">
      <c r="A38" s="38" t="n">
        <v>34</v>
      </c>
      <c r="B38" s="38" t="s">
        <v>248</v>
      </c>
      <c r="C38" s="38" t="s">
        <v>228</v>
      </c>
      <c r="D38" s="53" t="n">
        <v>0.414751</v>
      </c>
      <c r="E38" s="53" t="n">
        <v>0.49683</v>
      </c>
      <c r="F38" s="53" t="n">
        <v>0.455791</v>
      </c>
      <c r="G38" s="53" t="n">
        <v>0.9524</v>
      </c>
      <c r="H38" s="53" t="n">
        <v>0.9167</v>
      </c>
      <c r="I38" s="53" t="n">
        <v>0.8</v>
      </c>
      <c r="J38" s="38" t="s">
        <v>230</v>
      </c>
    </row>
    <row r="39" customFormat="false" ht="15" hidden="false" customHeight="true" outlineLevel="0" collapsed="false">
      <c r="A39" s="38" t="n">
        <v>35</v>
      </c>
      <c r="B39" s="38" t="s">
        <v>250</v>
      </c>
      <c r="C39" s="38" t="s">
        <v>251</v>
      </c>
      <c r="D39" s="53" t="n">
        <v>0.398153</v>
      </c>
      <c r="E39" s="53" t="n">
        <v>0.470726</v>
      </c>
      <c r="F39" s="53" t="n">
        <v>0.434439</v>
      </c>
      <c r="G39" s="53" t="n">
        <v>0.9524</v>
      </c>
      <c r="H39" s="53" t="n">
        <v>0.9167</v>
      </c>
      <c r="I39" s="53" t="n">
        <v>0.8</v>
      </c>
      <c r="J39" s="38" t="s">
        <v>249</v>
      </c>
    </row>
    <row r="40" customFormat="false" ht="15" hidden="false" customHeight="true" outlineLevel="0" collapsed="false">
      <c r="A40" s="38" t="n">
        <v>36</v>
      </c>
      <c r="B40" s="38" t="s">
        <v>253</v>
      </c>
      <c r="C40" s="38" t="s">
        <v>205</v>
      </c>
      <c r="D40" s="53" t="n">
        <v>0.479492</v>
      </c>
      <c r="E40" s="53" t="n">
        <v>0.432394</v>
      </c>
      <c r="F40" s="53" t="n">
        <v>0.455943</v>
      </c>
      <c r="G40" s="53" t="n">
        <v>1</v>
      </c>
      <c r="H40" s="53" t="n">
        <v>0.9167</v>
      </c>
      <c r="I40" s="53" t="n">
        <v>1</v>
      </c>
      <c r="J40" s="38" t="s">
        <v>249</v>
      </c>
    </row>
    <row r="41" customFormat="false" ht="15" hidden="false" customHeight="true" outlineLevel="0" collapsed="false">
      <c r="A41" s="38" t="n">
        <v>37</v>
      </c>
      <c r="B41" s="38" t="s">
        <v>254</v>
      </c>
      <c r="C41" s="38" t="s">
        <v>255</v>
      </c>
      <c r="D41" s="53" t="n">
        <v>0.309321</v>
      </c>
      <c r="E41" s="53" t="n">
        <v>0.260401</v>
      </c>
      <c r="F41" s="53" t="n">
        <v>0.284861</v>
      </c>
      <c r="G41" s="53" t="n">
        <v>1</v>
      </c>
      <c r="H41" s="53" t="n">
        <v>0.8333</v>
      </c>
      <c r="I41" s="53" t="n">
        <v>0.8</v>
      </c>
      <c r="J41" s="38" t="s">
        <v>249</v>
      </c>
    </row>
    <row r="42" customFormat="false" ht="15" hidden="false" customHeight="true" outlineLevel="0" collapsed="false">
      <c r="A42" s="38" t="n">
        <v>38</v>
      </c>
      <c r="B42" s="38" t="s">
        <v>256</v>
      </c>
      <c r="C42" s="38" t="s">
        <v>257</v>
      </c>
      <c r="D42" s="53" t="n">
        <v>0.36342</v>
      </c>
      <c r="E42" s="53" t="n">
        <v>0.439853</v>
      </c>
      <c r="F42" s="53" t="n">
        <v>0.401637</v>
      </c>
      <c r="G42" s="53" t="n">
        <v>0.9524</v>
      </c>
      <c r="H42" s="53" t="n">
        <v>1</v>
      </c>
      <c r="I42" s="53" t="n">
        <v>1</v>
      </c>
      <c r="J42" s="38" t="s">
        <v>249</v>
      </c>
    </row>
    <row r="43" customFormat="false" ht="15" hidden="false" customHeight="true" outlineLevel="0" collapsed="false">
      <c r="A43" s="38" t="n">
        <v>39</v>
      </c>
      <c r="B43" s="38" t="s">
        <v>259</v>
      </c>
      <c r="C43" s="38" t="s">
        <v>260</v>
      </c>
      <c r="D43" s="53" t="n">
        <v>0.331909</v>
      </c>
      <c r="E43" s="53" t="n">
        <v>0.365316</v>
      </c>
      <c r="F43" s="53" t="n">
        <v>0.348612</v>
      </c>
      <c r="G43" s="53" t="n">
        <v>1</v>
      </c>
      <c r="H43" s="53" t="n">
        <v>1</v>
      </c>
      <c r="I43" s="53" t="n">
        <v>1</v>
      </c>
      <c r="J43" s="38" t="s">
        <v>249</v>
      </c>
    </row>
    <row r="44" customFormat="false" ht="15" hidden="false" customHeight="true" outlineLevel="0" collapsed="false">
      <c r="A44" s="38" t="n">
        <v>40</v>
      </c>
      <c r="B44" s="38" t="s">
        <v>262</v>
      </c>
      <c r="C44" s="38" t="s">
        <v>216</v>
      </c>
      <c r="D44" s="53" t="n">
        <v>0.450844</v>
      </c>
      <c r="E44" s="53" t="n">
        <v>0.426989</v>
      </c>
      <c r="F44" s="53" t="n">
        <v>0.438917</v>
      </c>
      <c r="G44" s="53" t="n">
        <v>0.9524</v>
      </c>
      <c r="H44" s="53" t="n">
        <v>1</v>
      </c>
      <c r="I44" s="53" t="n">
        <v>1</v>
      </c>
      <c r="J44" s="38" t="s">
        <v>249</v>
      </c>
    </row>
    <row r="45" customFormat="false" ht="15" hidden="false" customHeight="true" outlineLevel="0" collapsed="false">
      <c r="A45" s="38" t="n">
        <v>41</v>
      </c>
      <c r="B45" s="38" t="s">
        <v>264</v>
      </c>
      <c r="C45" s="38" t="s">
        <v>216</v>
      </c>
      <c r="D45" s="53" t="n">
        <v>0.539647</v>
      </c>
      <c r="E45" s="53" t="n">
        <v>0.55926</v>
      </c>
      <c r="F45" s="53" t="n">
        <v>0.549454</v>
      </c>
      <c r="G45" s="53" t="n">
        <v>0.9524</v>
      </c>
      <c r="H45" s="53" t="n">
        <v>0.9167</v>
      </c>
      <c r="I45" s="53" t="n">
        <v>0.8</v>
      </c>
      <c r="J45" s="38" t="s">
        <v>249</v>
      </c>
    </row>
    <row r="46" customFormat="false" ht="15" hidden="false" customHeight="true" outlineLevel="0" collapsed="false">
      <c r="A46" s="38" t="n">
        <v>42</v>
      </c>
      <c r="B46" s="38" t="s">
        <v>266</v>
      </c>
      <c r="C46" s="38" t="s">
        <v>267</v>
      </c>
      <c r="D46" s="53" t="n">
        <v>0.519479</v>
      </c>
      <c r="E46" s="53" t="n">
        <v>0.515107</v>
      </c>
      <c r="F46" s="53" t="n">
        <v>0.517293</v>
      </c>
      <c r="G46" s="53" t="n">
        <v>1</v>
      </c>
      <c r="H46" s="53" t="n">
        <v>0.9167</v>
      </c>
      <c r="I46" s="53" t="n">
        <v>1</v>
      </c>
      <c r="J46" s="38" t="s">
        <v>249</v>
      </c>
    </row>
    <row r="47" customFormat="false" ht="15" hidden="false" customHeight="true" outlineLevel="0" collapsed="false">
      <c r="A47" s="38" t="n">
        <v>43</v>
      </c>
      <c r="B47" s="38" t="s">
        <v>268</v>
      </c>
      <c r="C47" s="38" t="s">
        <v>269</v>
      </c>
      <c r="D47" s="53" t="n">
        <v>0.582113</v>
      </c>
      <c r="E47" s="53" t="n">
        <v>0.568868</v>
      </c>
      <c r="F47" s="53" t="n">
        <v>0.575491</v>
      </c>
      <c r="G47" s="53" t="n">
        <v>0.9524</v>
      </c>
      <c r="H47" s="53" t="n">
        <v>1</v>
      </c>
      <c r="I47" s="53" t="n">
        <v>1</v>
      </c>
      <c r="J47" s="38" t="s">
        <v>249</v>
      </c>
    </row>
    <row r="48" customFormat="false" ht="15" hidden="false" customHeight="true" outlineLevel="0" collapsed="false">
      <c r="A48" s="38" t="n">
        <v>44</v>
      </c>
      <c r="B48" s="38" t="s">
        <v>270</v>
      </c>
      <c r="C48" s="38" t="s">
        <v>240</v>
      </c>
      <c r="D48" s="53" t="n">
        <v>0.522152</v>
      </c>
      <c r="E48" s="53" t="n">
        <v>0.517667</v>
      </c>
      <c r="F48" s="53" t="n">
        <v>0.519909</v>
      </c>
      <c r="G48" s="53" t="n">
        <v>1</v>
      </c>
      <c r="H48" s="53" t="n">
        <v>1</v>
      </c>
      <c r="I48" s="53" t="n">
        <v>1</v>
      </c>
      <c r="J48" s="38" t="s">
        <v>249</v>
      </c>
    </row>
    <row r="49" customFormat="false" ht="15" hidden="false" customHeight="true" outlineLevel="0" collapsed="false">
      <c r="A49" s="38" t="n">
        <v>45</v>
      </c>
      <c r="B49" s="38" t="s">
        <v>271</v>
      </c>
      <c r="C49" s="38" t="s">
        <v>224</v>
      </c>
      <c r="D49" s="53" t="n">
        <v>0.50643</v>
      </c>
      <c r="E49" s="53" t="n">
        <v>0.521468</v>
      </c>
      <c r="F49" s="53" t="n">
        <v>0.513949</v>
      </c>
      <c r="G49" s="53" t="n">
        <v>0.9524</v>
      </c>
      <c r="H49" s="53" t="n">
        <v>0.9167</v>
      </c>
      <c r="I49" s="53" t="n">
        <v>0.8</v>
      </c>
      <c r="J49" s="38" t="s">
        <v>249</v>
      </c>
    </row>
    <row r="50" customFormat="false" ht="15" hidden="false" customHeight="true" outlineLevel="0" collapsed="false">
      <c r="A50" s="38" t="n">
        <v>46</v>
      </c>
      <c r="B50" s="38" t="s">
        <v>273</v>
      </c>
      <c r="C50" s="38" t="s">
        <v>274</v>
      </c>
      <c r="D50" s="53" t="n">
        <v>0.315366</v>
      </c>
      <c r="E50" s="53" t="n">
        <v>0.335934</v>
      </c>
      <c r="F50" s="53" t="n">
        <v>0.32565</v>
      </c>
      <c r="G50" s="53" t="n">
        <v>0.9524</v>
      </c>
      <c r="H50" s="53" t="n">
        <v>1</v>
      </c>
      <c r="I50" s="53" t="n">
        <v>1</v>
      </c>
      <c r="J50" s="38" t="s">
        <v>249</v>
      </c>
    </row>
    <row r="51" customFormat="false" ht="15" hidden="false" customHeight="true" outlineLevel="0" collapsed="false">
      <c r="A51" s="38" t="n">
        <v>47</v>
      </c>
      <c r="B51" s="38" t="s">
        <v>275</v>
      </c>
      <c r="C51" s="38" t="s">
        <v>228</v>
      </c>
      <c r="D51" s="53" t="n">
        <v>0.433857</v>
      </c>
      <c r="E51" s="53" t="n">
        <v>0.435004</v>
      </c>
      <c r="F51" s="53" t="n">
        <v>0.43443</v>
      </c>
      <c r="G51" s="53" t="n">
        <v>0.9524</v>
      </c>
      <c r="H51" s="53" t="n">
        <v>1</v>
      </c>
      <c r="I51" s="53" t="n">
        <v>1</v>
      </c>
      <c r="J51" s="38" t="s">
        <v>249</v>
      </c>
    </row>
    <row r="52" customFormat="false" ht="15" hidden="false" customHeight="true" outlineLevel="0" collapsed="false">
      <c r="A52" s="38" t="n">
        <v>48</v>
      </c>
      <c r="B52" s="38" t="s">
        <v>277</v>
      </c>
      <c r="C52" s="38" t="s">
        <v>278</v>
      </c>
      <c r="D52" s="53" t="n">
        <v>0.359935</v>
      </c>
      <c r="E52" s="53" t="n">
        <v>0.401366</v>
      </c>
      <c r="F52" s="53" t="n">
        <v>0.380651</v>
      </c>
      <c r="G52" s="53" t="n">
        <v>0.9524</v>
      </c>
      <c r="H52" s="53" t="n">
        <v>1</v>
      </c>
      <c r="I52" s="53" t="n">
        <v>1</v>
      </c>
      <c r="J52" s="38" t="s">
        <v>249</v>
      </c>
    </row>
    <row r="53" customFormat="false" ht="15" hidden="false" customHeight="true" outlineLevel="0" collapsed="false">
      <c r="A53" s="38" t="n">
        <v>49</v>
      </c>
      <c r="B53" s="38" t="s">
        <v>279</v>
      </c>
      <c r="C53" s="38" t="s">
        <v>278</v>
      </c>
      <c r="D53" s="53" t="n">
        <v>0.347424</v>
      </c>
      <c r="E53" s="53" t="n">
        <v>0.386789</v>
      </c>
      <c r="F53" s="53" t="n">
        <v>0.367106</v>
      </c>
      <c r="G53" s="53" t="n">
        <v>0.9524</v>
      </c>
      <c r="H53" s="53" t="n">
        <v>1</v>
      </c>
      <c r="I53" s="53" t="n">
        <v>1</v>
      </c>
      <c r="J53" s="38" t="s">
        <v>249</v>
      </c>
    </row>
    <row r="54" customFormat="false" ht="15" hidden="false" customHeight="true" outlineLevel="0" collapsed="false">
      <c r="A54" s="38" t="n">
        <v>50</v>
      </c>
      <c r="B54" s="38" t="s">
        <v>282</v>
      </c>
      <c r="C54" s="38" t="s">
        <v>224</v>
      </c>
      <c r="D54" s="53" t="n">
        <v>0.55584</v>
      </c>
      <c r="E54" s="53" t="n">
        <v>0.629512</v>
      </c>
      <c r="F54" s="53" t="n">
        <v>0.592676</v>
      </c>
      <c r="G54" s="53" t="n">
        <v>1</v>
      </c>
      <c r="H54" s="53" t="n">
        <v>1</v>
      </c>
      <c r="I54" s="53" t="n">
        <v>1</v>
      </c>
      <c r="J54" s="38" t="s">
        <v>281</v>
      </c>
    </row>
    <row r="55" customFormat="false" ht="15" hidden="false" customHeight="true" outlineLevel="0" collapsed="false">
      <c r="A55" s="38" t="n">
        <v>51</v>
      </c>
      <c r="B55" s="38" t="s">
        <v>283</v>
      </c>
      <c r="C55" s="38" t="s">
        <v>211</v>
      </c>
      <c r="D55" s="53" t="n">
        <v>0.536253</v>
      </c>
      <c r="E55" s="53" t="n">
        <v>0.511882</v>
      </c>
      <c r="F55" s="53" t="n">
        <v>0.524068</v>
      </c>
      <c r="G55" s="53" t="n">
        <v>0.9524</v>
      </c>
      <c r="H55" s="53" t="n">
        <v>1</v>
      </c>
      <c r="I55" s="53" t="n">
        <v>1</v>
      </c>
      <c r="J55" s="38" t="s">
        <v>281</v>
      </c>
    </row>
    <row r="56" customFormat="false" ht="15" hidden="false" customHeight="true" outlineLevel="0" collapsed="false">
      <c r="A56" s="38" t="n">
        <v>52</v>
      </c>
      <c r="B56" s="38" t="s">
        <v>284</v>
      </c>
      <c r="C56" s="38" t="s">
        <v>202</v>
      </c>
      <c r="D56" s="53" t="n">
        <v>0.528247</v>
      </c>
      <c r="E56" s="53" t="n">
        <v>0.577599</v>
      </c>
      <c r="F56" s="53" t="n">
        <v>0.552923</v>
      </c>
      <c r="G56" s="53" t="n">
        <v>1</v>
      </c>
      <c r="H56" s="53" t="n">
        <v>1</v>
      </c>
      <c r="I56" s="53" t="n">
        <v>1</v>
      </c>
      <c r="J56" s="38" t="s">
        <v>281</v>
      </c>
    </row>
    <row r="57" customFormat="false" ht="15" hidden="false" customHeight="true" outlineLevel="0" collapsed="false">
      <c r="A57" s="38" t="n">
        <v>53</v>
      </c>
      <c r="B57" s="38" t="s">
        <v>285</v>
      </c>
      <c r="C57" s="38" t="s">
        <v>202</v>
      </c>
      <c r="D57" s="53" t="n">
        <v>0.547555</v>
      </c>
      <c r="E57" s="53" t="n">
        <v>0.596174</v>
      </c>
      <c r="F57" s="53" t="n">
        <v>0.571865</v>
      </c>
      <c r="G57" s="53" t="n">
        <v>1</v>
      </c>
      <c r="H57" s="53" t="n">
        <v>1</v>
      </c>
      <c r="I57" s="53" t="n">
        <v>1</v>
      </c>
      <c r="J57" s="38" t="s">
        <v>281</v>
      </c>
    </row>
    <row r="58" customFormat="false" ht="15" hidden="false" customHeight="true" outlineLevel="0" collapsed="false">
      <c r="A58" s="38" t="n">
        <v>54</v>
      </c>
      <c r="B58" s="38" t="s">
        <v>286</v>
      </c>
      <c r="C58" s="38" t="s">
        <v>205</v>
      </c>
      <c r="D58" s="53" t="n">
        <v>0.646576</v>
      </c>
      <c r="E58" s="53" t="n">
        <v>0.617058</v>
      </c>
      <c r="F58" s="53" t="n">
        <v>0.631817</v>
      </c>
      <c r="G58" s="53" t="n">
        <v>1</v>
      </c>
      <c r="H58" s="53" t="n">
        <v>0.9167</v>
      </c>
      <c r="I58" s="53" t="n">
        <v>0.8</v>
      </c>
      <c r="J58" s="38" t="s">
        <v>281</v>
      </c>
    </row>
    <row r="59" customFormat="false" ht="15" hidden="false" customHeight="true" outlineLevel="0" collapsed="false">
      <c r="A59" s="38" t="n">
        <v>55</v>
      </c>
      <c r="B59" s="38" t="s">
        <v>287</v>
      </c>
      <c r="C59" s="38" t="s">
        <v>251</v>
      </c>
      <c r="D59" s="53" t="n">
        <v>0.594781</v>
      </c>
      <c r="E59" s="53" t="n">
        <v>0.636691</v>
      </c>
      <c r="F59" s="53" t="n">
        <v>0.615736</v>
      </c>
      <c r="G59" s="53" t="n">
        <v>0.9524</v>
      </c>
      <c r="H59" s="53" t="n">
        <v>1</v>
      </c>
      <c r="I59" s="53" t="n">
        <v>1</v>
      </c>
      <c r="J59" s="38" t="s">
        <v>281</v>
      </c>
    </row>
    <row r="60" customFormat="false" ht="15" hidden="false" customHeight="true" outlineLevel="0" collapsed="false">
      <c r="A60" s="38" t="n">
        <v>56</v>
      </c>
      <c r="B60" s="38" t="s">
        <v>288</v>
      </c>
      <c r="C60" s="38" t="s">
        <v>251</v>
      </c>
      <c r="D60" s="53" t="n">
        <v>0.618689</v>
      </c>
      <c r="E60" s="53" t="n">
        <v>0.657453</v>
      </c>
      <c r="F60" s="53" t="n">
        <v>0.638071</v>
      </c>
      <c r="G60" s="53" t="n">
        <v>0.9524</v>
      </c>
      <c r="H60" s="53" t="n">
        <v>0.9167</v>
      </c>
      <c r="I60" s="53" t="n">
        <v>0.8</v>
      </c>
      <c r="J60" s="38" t="s">
        <v>281</v>
      </c>
    </row>
    <row r="61" customFormat="false" ht="15" hidden="false" customHeight="true" outlineLevel="0" collapsed="false">
      <c r="A61" s="38" t="n">
        <v>57</v>
      </c>
      <c r="B61" s="38" t="s">
        <v>289</v>
      </c>
      <c r="C61" s="38" t="s">
        <v>290</v>
      </c>
      <c r="D61" s="53" t="n">
        <v>0.386563</v>
      </c>
      <c r="E61" s="53" t="n">
        <v>0.395632</v>
      </c>
      <c r="F61" s="53" t="n">
        <v>0.391097</v>
      </c>
      <c r="G61" s="53" t="n">
        <v>0.9524</v>
      </c>
      <c r="H61" s="53" t="n">
        <v>0.9167</v>
      </c>
      <c r="I61" s="53" t="n">
        <v>1</v>
      </c>
      <c r="J61" s="38" t="s">
        <v>281</v>
      </c>
    </row>
    <row r="62" customFormat="false" ht="15" hidden="false" customHeight="true" outlineLevel="0" collapsed="false">
      <c r="A62" s="38" t="n">
        <v>58</v>
      </c>
      <c r="B62" s="38" t="s">
        <v>291</v>
      </c>
      <c r="C62" s="38" t="s">
        <v>290</v>
      </c>
      <c r="D62" s="53" t="n">
        <v>0.411319</v>
      </c>
      <c r="E62" s="53" t="n">
        <v>0.409559</v>
      </c>
      <c r="F62" s="53" t="n">
        <v>0.410439</v>
      </c>
      <c r="G62" s="53" t="n">
        <v>0.9524</v>
      </c>
      <c r="H62" s="53" t="n">
        <v>0.9167</v>
      </c>
      <c r="I62" s="53" t="n">
        <v>1</v>
      </c>
      <c r="J62" s="38" t="s">
        <v>281</v>
      </c>
    </row>
    <row r="63" customFormat="false" ht="15" hidden="false" customHeight="true" outlineLevel="0" collapsed="false">
      <c r="A63" s="38" t="n">
        <v>59</v>
      </c>
      <c r="B63" s="38" t="s">
        <v>292</v>
      </c>
      <c r="C63" s="38" t="s">
        <v>211</v>
      </c>
      <c r="D63" s="53" t="n">
        <v>0.40782</v>
      </c>
      <c r="E63" s="53" t="n">
        <v>0.363135</v>
      </c>
      <c r="F63" s="53" t="n">
        <v>0.385477</v>
      </c>
      <c r="G63" s="53" t="n">
        <v>0.9524</v>
      </c>
      <c r="H63" s="53" t="n">
        <v>0.9167</v>
      </c>
      <c r="I63" s="53" t="n">
        <v>1</v>
      </c>
      <c r="J63" s="38" t="s">
        <v>281</v>
      </c>
    </row>
    <row r="64" customFormat="false" ht="15" hidden="false" customHeight="true" outlineLevel="0" collapsed="false">
      <c r="A64" s="38" t="n">
        <v>60</v>
      </c>
      <c r="B64" s="38" t="s">
        <v>294</v>
      </c>
      <c r="C64" s="38" t="s">
        <v>216</v>
      </c>
      <c r="D64" s="53" t="n">
        <v>0.614817</v>
      </c>
      <c r="E64" s="53" t="n">
        <v>0.587632</v>
      </c>
      <c r="F64" s="53" t="n">
        <v>0.601224</v>
      </c>
      <c r="G64" s="53" t="n">
        <v>1</v>
      </c>
      <c r="H64" s="53" t="n">
        <v>1</v>
      </c>
      <c r="I64" s="53" t="n">
        <v>1</v>
      </c>
      <c r="J64" s="38" t="s">
        <v>281</v>
      </c>
    </row>
    <row r="65" customFormat="false" ht="15" hidden="false" customHeight="true" outlineLevel="0" collapsed="false">
      <c r="A65" s="38" t="n">
        <v>61</v>
      </c>
      <c r="B65" s="38" t="s">
        <v>295</v>
      </c>
      <c r="C65" s="38" t="s">
        <v>296</v>
      </c>
      <c r="D65" s="53" t="n">
        <v>0.27971</v>
      </c>
      <c r="E65" s="53" t="n">
        <v>0.366576</v>
      </c>
      <c r="F65" s="53" t="n">
        <v>0.323143</v>
      </c>
      <c r="G65" s="53" t="n">
        <v>0.9524</v>
      </c>
      <c r="H65" s="53" t="n">
        <v>0.8333</v>
      </c>
      <c r="I65" s="53" t="n">
        <v>1</v>
      </c>
      <c r="J65" s="38" t="s">
        <v>281</v>
      </c>
    </row>
    <row r="66" customFormat="false" ht="15" hidden="false" customHeight="true" outlineLevel="0" collapsed="false">
      <c r="A66" s="38" t="n">
        <v>62</v>
      </c>
      <c r="B66" s="38" t="s">
        <v>298</v>
      </c>
      <c r="C66" s="38" t="s">
        <v>299</v>
      </c>
      <c r="D66" s="53" t="n">
        <v>0.685435</v>
      </c>
      <c r="E66" s="53" t="n">
        <v>0.656079</v>
      </c>
      <c r="F66" s="53" t="n">
        <v>0.670757</v>
      </c>
      <c r="G66" s="53" t="n">
        <v>0.9524</v>
      </c>
      <c r="H66" s="53" t="n">
        <v>1</v>
      </c>
      <c r="I66" s="53" t="n">
        <v>1</v>
      </c>
      <c r="J66" s="38" t="s">
        <v>281</v>
      </c>
    </row>
    <row r="67" customFormat="false" ht="15" hidden="false" customHeight="true" outlineLevel="0" collapsed="false">
      <c r="A67" s="38" t="n">
        <v>63</v>
      </c>
      <c r="B67" s="38" t="s">
        <v>300</v>
      </c>
      <c r="C67" s="38" t="s">
        <v>240</v>
      </c>
      <c r="D67" s="53" t="n">
        <v>0.558661</v>
      </c>
      <c r="E67" s="53" t="n">
        <v>0.471364</v>
      </c>
      <c r="F67" s="53" t="n">
        <v>0.515012</v>
      </c>
      <c r="G67" s="53" t="n">
        <v>1</v>
      </c>
      <c r="H67" s="53" t="n">
        <v>1</v>
      </c>
      <c r="I67" s="53" t="n">
        <v>1</v>
      </c>
      <c r="J67" s="38" t="s">
        <v>281</v>
      </c>
    </row>
    <row r="68" customFormat="false" ht="15" hidden="false" customHeight="true" outlineLevel="0" collapsed="false">
      <c r="A68" s="38" t="n">
        <v>64</v>
      </c>
      <c r="B68" s="38" t="s">
        <v>301</v>
      </c>
      <c r="C68" s="38" t="s">
        <v>219</v>
      </c>
      <c r="D68" s="53" t="n">
        <v>0.415555</v>
      </c>
      <c r="E68" s="53" t="n">
        <v>0.395945</v>
      </c>
      <c r="F68" s="53" t="n">
        <v>0.40575</v>
      </c>
      <c r="G68" s="53" t="n">
        <v>0.9524</v>
      </c>
      <c r="H68" s="53" t="n">
        <v>0.9167</v>
      </c>
      <c r="I68" s="53" t="n">
        <v>0.8</v>
      </c>
      <c r="J68" s="38" t="s">
        <v>281</v>
      </c>
    </row>
    <row r="69" customFormat="false" ht="15" hidden="false" customHeight="true" outlineLevel="0" collapsed="false">
      <c r="A69" s="38" t="n">
        <v>65</v>
      </c>
      <c r="B69" s="38" t="s">
        <v>302</v>
      </c>
      <c r="C69" s="38" t="s">
        <v>219</v>
      </c>
      <c r="D69" s="53" t="n">
        <v>0.555219</v>
      </c>
      <c r="E69" s="53" t="n">
        <v>0.584669</v>
      </c>
      <c r="F69" s="53" t="n">
        <v>0.569944</v>
      </c>
      <c r="G69" s="53" t="n">
        <v>1</v>
      </c>
      <c r="H69" s="53" t="n">
        <v>1</v>
      </c>
      <c r="I69" s="53" t="n">
        <v>1</v>
      </c>
      <c r="J69" s="38" t="s">
        <v>281</v>
      </c>
    </row>
    <row r="70" customFormat="false" ht="15" hidden="false" customHeight="true" outlineLevel="0" collapsed="false">
      <c r="A70" s="38" t="n">
        <v>66</v>
      </c>
      <c r="B70" s="38" t="s">
        <v>303</v>
      </c>
      <c r="C70" s="38" t="s">
        <v>221</v>
      </c>
      <c r="D70" s="53" t="n">
        <v>0.503256</v>
      </c>
      <c r="E70" s="53" t="n">
        <v>0.445917</v>
      </c>
      <c r="F70" s="53" t="n">
        <v>0.474586</v>
      </c>
      <c r="G70" s="53" t="n">
        <v>0.9524</v>
      </c>
      <c r="H70" s="53" t="n">
        <v>0.9167</v>
      </c>
      <c r="I70" s="53" t="n">
        <v>0.8</v>
      </c>
      <c r="J70" s="38" t="s">
        <v>281</v>
      </c>
    </row>
    <row r="71" customFormat="false" ht="15" hidden="false" customHeight="true" outlineLevel="0" collapsed="false">
      <c r="A71" s="38" t="n">
        <v>67</v>
      </c>
      <c r="B71" s="38" t="s">
        <v>305</v>
      </c>
      <c r="C71" s="38" t="s">
        <v>224</v>
      </c>
      <c r="D71" s="53" t="n">
        <v>0.534121</v>
      </c>
      <c r="E71" s="53" t="n">
        <v>0.603407</v>
      </c>
      <c r="F71" s="53" t="n">
        <v>0.568764</v>
      </c>
      <c r="G71" s="53" t="n">
        <v>1</v>
      </c>
      <c r="H71" s="53" t="n">
        <v>1</v>
      </c>
      <c r="I71" s="53" t="n">
        <v>1</v>
      </c>
      <c r="J71" s="38" t="s">
        <v>281</v>
      </c>
    </row>
    <row r="72" customFormat="false" ht="15" hidden="false" customHeight="true" outlineLevel="0" collapsed="false">
      <c r="A72" s="38" t="n">
        <v>68</v>
      </c>
      <c r="B72" s="38" t="s">
        <v>306</v>
      </c>
      <c r="C72" s="38" t="s">
        <v>224</v>
      </c>
      <c r="D72" s="53" t="n">
        <v>0.663694</v>
      </c>
      <c r="E72" s="53" t="n">
        <v>0.693494</v>
      </c>
      <c r="F72" s="53" t="n">
        <v>0.678594</v>
      </c>
      <c r="G72" s="53" t="n">
        <v>0.9524</v>
      </c>
      <c r="H72" s="53" t="n">
        <v>1</v>
      </c>
      <c r="I72" s="53" t="n">
        <v>1</v>
      </c>
      <c r="J72" s="38" t="s">
        <v>281</v>
      </c>
    </row>
    <row r="73" customFormat="false" ht="15" hidden="false" customHeight="true" outlineLevel="0" collapsed="false">
      <c r="A73" s="38" t="n">
        <v>69</v>
      </c>
      <c r="B73" s="38" t="s">
        <v>308</v>
      </c>
      <c r="C73" s="38" t="s">
        <v>224</v>
      </c>
      <c r="D73" s="53" t="n">
        <v>0.675276</v>
      </c>
      <c r="E73" s="53" t="n">
        <v>0.676739</v>
      </c>
      <c r="F73" s="53" t="n">
        <v>0.676007</v>
      </c>
      <c r="G73" s="53" t="n">
        <v>0.9524</v>
      </c>
      <c r="H73" s="53" t="n">
        <v>1</v>
      </c>
      <c r="I73" s="53" t="n">
        <v>1</v>
      </c>
      <c r="J73" s="38" t="s">
        <v>281</v>
      </c>
    </row>
    <row r="74" customFormat="false" ht="15" hidden="false" customHeight="true" outlineLevel="0" collapsed="false">
      <c r="A74" s="38" t="n">
        <v>70</v>
      </c>
      <c r="B74" s="38" t="s">
        <v>309</v>
      </c>
      <c r="C74" s="38" t="s">
        <v>310</v>
      </c>
      <c r="D74" s="53" t="n">
        <v>0.429611</v>
      </c>
      <c r="E74" s="53" t="n">
        <v>0.502784</v>
      </c>
      <c r="F74" s="53" t="n">
        <v>0.466198</v>
      </c>
      <c r="G74" s="53" t="n">
        <v>1</v>
      </c>
      <c r="H74" s="53" t="n">
        <v>0.8333</v>
      </c>
      <c r="I74" s="53" t="n">
        <v>1</v>
      </c>
      <c r="J74" s="38" t="s">
        <v>281</v>
      </c>
    </row>
    <row r="75" customFormat="false" ht="15" hidden="false" customHeight="true" outlineLevel="0" collapsed="false">
      <c r="A75" s="38" t="n">
        <v>71</v>
      </c>
      <c r="B75" s="38" t="s">
        <v>312</v>
      </c>
      <c r="C75" s="38" t="s">
        <v>228</v>
      </c>
      <c r="D75" s="53" t="n">
        <v>0.605201</v>
      </c>
      <c r="E75" s="53" t="n">
        <v>0.651063</v>
      </c>
      <c r="F75" s="53" t="n">
        <v>0.628132</v>
      </c>
      <c r="G75" s="53" t="n">
        <v>1</v>
      </c>
      <c r="H75" s="53" t="n">
        <v>1</v>
      </c>
      <c r="I75" s="53" t="n">
        <v>1</v>
      </c>
      <c r="J75" s="38" t="s">
        <v>281</v>
      </c>
    </row>
    <row r="76" customFormat="false" ht="15" hidden="false" customHeight="true" outlineLevel="0" collapsed="false">
      <c r="A76" s="38" t="n">
        <v>72</v>
      </c>
      <c r="B76" s="38" t="s">
        <v>313</v>
      </c>
      <c r="C76" s="38" t="s">
        <v>228</v>
      </c>
      <c r="D76" s="53" t="n">
        <v>0.615507</v>
      </c>
      <c r="E76" s="53" t="n">
        <v>0.671263</v>
      </c>
      <c r="F76" s="53" t="n">
        <v>0.643385</v>
      </c>
      <c r="G76" s="53" t="n">
        <v>1</v>
      </c>
      <c r="H76" s="53" t="n">
        <v>1</v>
      </c>
      <c r="I76" s="53" t="n">
        <v>1</v>
      </c>
      <c r="J76" s="38" t="s">
        <v>281</v>
      </c>
    </row>
    <row r="77" customFormat="false" ht="15" hidden="false" customHeight="true" outlineLevel="0" collapsed="false">
      <c r="A77" s="38" t="n">
        <v>73</v>
      </c>
      <c r="B77" s="38" t="s">
        <v>314</v>
      </c>
      <c r="C77" s="38" t="s">
        <v>228</v>
      </c>
      <c r="D77" s="53" t="n">
        <v>0.668248</v>
      </c>
      <c r="E77" s="53" t="n">
        <v>0.641743</v>
      </c>
      <c r="F77" s="53" t="n">
        <v>0.654996</v>
      </c>
      <c r="G77" s="53" t="n">
        <v>1</v>
      </c>
      <c r="H77" s="53" t="n">
        <v>1</v>
      </c>
      <c r="I77" s="53" t="n">
        <v>1</v>
      </c>
      <c r="J77" s="38" t="s">
        <v>281</v>
      </c>
    </row>
    <row r="78" customFormat="false" ht="15" hidden="false" customHeight="true" outlineLevel="0" collapsed="false">
      <c r="A78" s="38" t="n">
        <v>74</v>
      </c>
      <c r="B78" s="38" t="s">
        <v>316</v>
      </c>
      <c r="C78" s="38" t="s">
        <v>202</v>
      </c>
      <c r="D78" s="53" t="n">
        <v>0.62887</v>
      </c>
      <c r="E78" s="53" t="n">
        <v>0.591033</v>
      </c>
      <c r="F78" s="53" t="n">
        <v>0.609951</v>
      </c>
      <c r="G78" s="53" t="n">
        <v>1</v>
      </c>
      <c r="H78" s="53" t="n">
        <v>0.9167</v>
      </c>
      <c r="I78" s="53" t="n">
        <v>0.8</v>
      </c>
      <c r="J78" s="38" t="s">
        <v>315</v>
      </c>
    </row>
    <row r="79" customFormat="false" ht="15" hidden="false" customHeight="true" outlineLevel="0" collapsed="false">
      <c r="A79" s="38" t="n">
        <v>75</v>
      </c>
      <c r="B79" s="38" t="s">
        <v>317</v>
      </c>
      <c r="C79" s="38" t="s">
        <v>202</v>
      </c>
      <c r="D79" s="53" t="n">
        <v>0.54182</v>
      </c>
      <c r="E79" s="53" t="n">
        <v>0.46444</v>
      </c>
      <c r="F79" s="53" t="n">
        <v>0.50313</v>
      </c>
      <c r="G79" s="53" t="n">
        <v>1</v>
      </c>
      <c r="H79" s="53" t="n">
        <v>0.9167</v>
      </c>
      <c r="I79" s="53" t="n">
        <v>0.8</v>
      </c>
      <c r="J79" s="38" t="s">
        <v>315</v>
      </c>
    </row>
    <row r="80" customFormat="false" ht="15" hidden="false" customHeight="true" outlineLevel="0" collapsed="false">
      <c r="A80" s="38" t="n">
        <v>76</v>
      </c>
      <c r="B80" s="38" t="s">
        <v>318</v>
      </c>
      <c r="C80" s="38" t="s">
        <v>202</v>
      </c>
      <c r="D80" s="53" t="n">
        <v>0.634778</v>
      </c>
      <c r="E80" s="53" t="n">
        <v>0.627994</v>
      </c>
      <c r="F80" s="53" t="n">
        <v>0.631386</v>
      </c>
      <c r="G80" s="53" t="n">
        <v>1</v>
      </c>
      <c r="H80" s="53" t="n">
        <v>1</v>
      </c>
      <c r="I80" s="53" t="n">
        <v>1</v>
      </c>
      <c r="J80" s="38" t="s">
        <v>315</v>
      </c>
    </row>
    <row r="81" customFormat="false" ht="15" hidden="false" customHeight="true" outlineLevel="0" collapsed="false">
      <c r="A81" s="38" t="n">
        <v>77</v>
      </c>
      <c r="B81" s="38" t="s">
        <v>319</v>
      </c>
      <c r="C81" s="38" t="s">
        <v>205</v>
      </c>
      <c r="D81" s="53" t="n">
        <v>0.526484</v>
      </c>
      <c r="E81" s="53" t="n">
        <v>0.513367</v>
      </c>
      <c r="F81" s="53" t="n">
        <v>0.519925</v>
      </c>
      <c r="G81" s="53" t="n">
        <v>1</v>
      </c>
      <c r="H81" s="53" t="n">
        <v>1</v>
      </c>
      <c r="I81" s="53" t="n">
        <v>1</v>
      </c>
      <c r="J81" s="38" t="s">
        <v>315</v>
      </c>
    </row>
    <row r="82" customFormat="false" ht="15" hidden="false" customHeight="true" outlineLevel="0" collapsed="false">
      <c r="A82" s="38" t="n">
        <v>78</v>
      </c>
      <c r="B82" s="38" t="s">
        <v>321</v>
      </c>
      <c r="C82" s="38" t="s">
        <v>205</v>
      </c>
      <c r="D82" s="53" t="n">
        <v>0.569323</v>
      </c>
      <c r="E82" s="53" t="n">
        <v>0.55281</v>
      </c>
      <c r="F82" s="53" t="n">
        <v>0.561067</v>
      </c>
      <c r="G82" s="53" t="n">
        <v>1</v>
      </c>
      <c r="H82" s="53" t="n">
        <v>1</v>
      </c>
      <c r="I82" s="53" t="n">
        <v>1</v>
      </c>
      <c r="J82" s="38" t="s">
        <v>315</v>
      </c>
    </row>
    <row r="83" customFormat="false" ht="15" hidden="false" customHeight="true" outlineLevel="0" collapsed="false">
      <c r="A83" s="38" t="n">
        <v>79</v>
      </c>
      <c r="B83" s="38" t="s">
        <v>322</v>
      </c>
      <c r="C83" s="38" t="s">
        <v>251</v>
      </c>
      <c r="D83" s="53" t="n">
        <v>0.563472</v>
      </c>
      <c r="E83" s="53" t="n">
        <v>0.612358</v>
      </c>
      <c r="F83" s="53" t="n">
        <v>0.587915</v>
      </c>
      <c r="G83" s="53" t="n">
        <v>1</v>
      </c>
      <c r="H83" s="53" t="n">
        <v>0.9167</v>
      </c>
      <c r="I83" s="53" t="n">
        <v>1</v>
      </c>
      <c r="J83" s="38" t="s">
        <v>315</v>
      </c>
    </row>
    <row r="84" customFormat="false" ht="15" hidden="false" customHeight="true" outlineLevel="0" collapsed="false">
      <c r="A84" s="38" t="n">
        <v>80</v>
      </c>
      <c r="B84" s="38" t="s">
        <v>323</v>
      </c>
      <c r="C84" s="38" t="s">
        <v>251</v>
      </c>
      <c r="D84" s="53" t="n">
        <v>0.566319</v>
      </c>
      <c r="E84" s="53" t="n">
        <v>0.632316</v>
      </c>
      <c r="F84" s="53" t="n">
        <v>0.599318</v>
      </c>
      <c r="G84" s="53" t="n">
        <v>1</v>
      </c>
      <c r="H84" s="53" t="n">
        <v>0.9167</v>
      </c>
      <c r="I84" s="53" t="n">
        <v>1</v>
      </c>
      <c r="J84" s="38" t="s">
        <v>315</v>
      </c>
    </row>
    <row r="85" customFormat="false" ht="15" hidden="false" customHeight="true" outlineLevel="0" collapsed="false">
      <c r="A85" s="38" t="n">
        <v>81</v>
      </c>
      <c r="B85" s="38" t="s">
        <v>324</v>
      </c>
      <c r="C85" s="38" t="s">
        <v>290</v>
      </c>
      <c r="D85" s="53" t="n">
        <v>0.448105</v>
      </c>
      <c r="E85" s="53" t="n">
        <v>0.497613</v>
      </c>
      <c r="F85" s="53" t="n">
        <v>0.472859</v>
      </c>
      <c r="G85" s="53" t="n">
        <v>0.9524</v>
      </c>
      <c r="H85" s="53" t="n">
        <v>0.8333</v>
      </c>
      <c r="I85" s="53" t="n">
        <v>0.8</v>
      </c>
      <c r="J85" s="38" t="s">
        <v>315</v>
      </c>
    </row>
    <row r="86" customFormat="false" ht="15" hidden="false" customHeight="true" outlineLevel="0" collapsed="false">
      <c r="A86" s="38" t="n">
        <v>82</v>
      </c>
      <c r="B86" s="38" t="s">
        <v>325</v>
      </c>
      <c r="C86" s="38" t="s">
        <v>290</v>
      </c>
      <c r="D86" s="53" t="n">
        <v>0.448105</v>
      </c>
      <c r="E86" s="53" t="n">
        <v>0.497613</v>
      </c>
      <c r="F86" s="53" t="n">
        <v>0.472859</v>
      </c>
      <c r="G86" s="53" t="n">
        <v>0.9524</v>
      </c>
      <c r="H86" s="53" t="n">
        <v>0.8333</v>
      </c>
      <c r="I86" s="53" t="n">
        <v>0.8</v>
      </c>
      <c r="J86" s="38" t="s">
        <v>315</v>
      </c>
    </row>
    <row r="87" customFormat="false" ht="15" hidden="false" customHeight="true" outlineLevel="0" collapsed="false">
      <c r="A87" s="38" t="n">
        <v>83</v>
      </c>
      <c r="B87" s="38" t="s">
        <v>326</v>
      </c>
      <c r="C87" s="38" t="s">
        <v>290</v>
      </c>
      <c r="D87" s="53" t="n">
        <v>-0.400845</v>
      </c>
      <c r="E87" s="53" t="n">
        <v>-0.013942</v>
      </c>
      <c r="F87" s="53" t="n">
        <v>-0.207394</v>
      </c>
      <c r="G87" s="53" t="n">
        <v>0.619</v>
      </c>
      <c r="H87" s="53" t="n">
        <v>0.4167</v>
      </c>
      <c r="I87" s="53" t="n">
        <v>0.2</v>
      </c>
      <c r="J87" s="38" t="s">
        <v>315</v>
      </c>
    </row>
    <row r="88" customFormat="false" ht="15" hidden="false" customHeight="true" outlineLevel="0" collapsed="false">
      <c r="A88" s="38" t="n">
        <v>84</v>
      </c>
      <c r="B88" s="38" t="s">
        <v>327</v>
      </c>
      <c r="C88" s="38" t="s">
        <v>208</v>
      </c>
      <c r="D88" s="53" t="n">
        <v>0.26449</v>
      </c>
      <c r="E88" s="53" t="n">
        <v>0.30513</v>
      </c>
      <c r="F88" s="53" t="n">
        <v>0.28481</v>
      </c>
      <c r="G88" s="53" t="n">
        <v>0.9524</v>
      </c>
      <c r="H88" s="53" t="n">
        <v>0.9167</v>
      </c>
      <c r="I88" s="53" t="n">
        <v>1</v>
      </c>
      <c r="J88" s="38" t="s">
        <v>315</v>
      </c>
    </row>
    <row r="89" customFormat="false" ht="15" hidden="false" customHeight="true" outlineLevel="0" collapsed="false">
      <c r="A89" s="38" t="n">
        <v>85</v>
      </c>
      <c r="B89" s="38" t="s">
        <v>328</v>
      </c>
      <c r="C89" s="38" t="s">
        <v>208</v>
      </c>
      <c r="D89" s="53" t="n">
        <v>0.247898</v>
      </c>
      <c r="E89" s="53" t="n">
        <v>0.348029</v>
      </c>
      <c r="F89" s="53" t="n">
        <v>0.297963</v>
      </c>
      <c r="G89" s="53" t="n">
        <v>1</v>
      </c>
      <c r="H89" s="53" t="n">
        <v>0.8333</v>
      </c>
      <c r="I89" s="53" t="n">
        <v>0.8</v>
      </c>
      <c r="J89" s="38" t="s">
        <v>315</v>
      </c>
    </row>
    <row r="90" customFormat="false" ht="15" hidden="false" customHeight="true" outlineLevel="0" collapsed="false">
      <c r="A90" s="38" t="n">
        <v>86</v>
      </c>
      <c r="B90" s="38" t="s">
        <v>330</v>
      </c>
      <c r="C90" s="38" t="s">
        <v>211</v>
      </c>
      <c r="D90" s="53" t="n">
        <v>0.599123</v>
      </c>
      <c r="E90" s="53" t="n">
        <v>0.603594</v>
      </c>
      <c r="F90" s="53" t="n">
        <v>0.601359</v>
      </c>
      <c r="G90" s="53" t="n">
        <v>1</v>
      </c>
      <c r="H90" s="53" t="n">
        <v>1</v>
      </c>
      <c r="I90" s="53" t="n">
        <v>1</v>
      </c>
      <c r="J90" s="38" t="s">
        <v>315</v>
      </c>
    </row>
    <row r="91" customFormat="false" ht="15" hidden="false" customHeight="true" outlineLevel="0" collapsed="false">
      <c r="A91" s="38" t="n">
        <v>87</v>
      </c>
      <c r="B91" s="38" t="s">
        <v>331</v>
      </c>
      <c r="C91" s="38" t="s">
        <v>211</v>
      </c>
      <c r="D91" s="53" t="n">
        <v>0.51484</v>
      </c>
      <c r="E91" s="53" t="n">
        <v>0.464301</v>
      </c>
      <c r="F91" s="53" t="n">
        <v>0.48957</v>
      </c>
      <c r="G91" s="53" t="n">
        <v>1</v>
      </c>
      <c r="H91" s="53" t="n">
        <v>1</v>
      </c>
      <c r="I91" s="53" t="n">
        <v>1</v>
      </c>
      <c r="J91" s="38" t="s">
        <v>315</v>
      </c>
    </row>
    <row r="92" customFormat="false" ht="15" hidden="false" customHeight="true" outlineLevel="0" collapsed="false">
      <c r="A92" s="38" t="n">
        <v>88</v>
      </c>
      <c r="B92" s="38" t="s">
        <v>332</v>
      </c>
      <c r="C92" s="38" t="s">
        <v>211</v>
      </c>
      <c r="D92" s="53" t="n">
        <v>0.595772</v>
      </c>
      <c r="E92" s="53" t="n">
        <v>0.547212</v>
      </c>
      <c r="F92" s="53" t="n">
        <v>0.571492</v>
      </c>
      <c r="G92" s="53" t="n">
        <v>1</v>
      </c>
      <c r="H92" s="53" t="n">
        <v>1</v>
      </c>
      <c r="I92" s="53" t="n">
        <v>1</v>
      </c>
      <c r="J92" s="38" t="s">
        <v>315</v>
      </c>
    </row>
    <row r="93" customFormat="false" ht="15" hidden="false" customHeight="true" outlineLevel="0" collapsed="false">
      <c r="A93" s="38" t="n">
        <v>89</v>
      </c>
      <c r="B93" s="38" t="s">
        <v>333</v>
      </c>
      <c r="C93" s="38" t="s">
        <v>260</v>
      </c>
      <c r="D93" s="53" t="n">
        <v>0.556129</v>
      </c>
      <c r="E93" s="53" t="n">
        <v>0.543897</v>
      </c>
      <c r="F93" s="53" t="n">
        <v>0.550013</v>
      </c>
      <c r="G93" s="53" t="n">
        <v>1</v>
      </c>
      <c r="H93" s="53" t="n">
        <v>0.9167</v>
      </c>
      <c r="I93" s="53" t="n">
        <v>0.8</v>
      </c>
      <c r="J93" s="38" t="s">
        <v>315</v>
      </c>
    </row>
    <row r="94" customFormat="false" ht="15" hidden="false" customHeight="true" outlineLevel="0" collapsed="false">
      <c r="A94" s="38" t="n">
        <v>90</v>
      </c>
      <c r="B94" s="38" t="s">
        <v>334</v>
      </c>
      <c r="C94" s="38" t="s">
        <v>267</v>
      </c>
      <c r="D94" s="53" t="n">
        <v>0.668561</v>
      </c>
      <c r="E94" s="53" t="n">
        <v>0.66908</v>
      </c>
      <c r="F94" s="53" t="n">
        <v>0.668821</v>
      </c>
      <c r="G94" s="53" t="n">
        <v>1</v>
      </c>
      <c r="H94" s="53" t="n">
        <v>1</v>
      </c>
      <c r="I94" s="53" t="n">
        <v>1</v>
      </c>
      <c r="J94" s="38" t="s">
        <v>315</v>
      </c>
    </row>
    <row r="95" customFormat="false" ht="15" hidden="false" customHeight="true" outlineLevel="0" collapsed="false">
      <c r="A95" s="38" t="n">
        <v>91</v>
      </c>
      <c r="B95" s="38" t="s">
        <v>335</v>
      </c>
      <c r="C95" s="38" t="s">
        <v>299</v>
      </c>
      <c r="D95" s="53" t="n">
        <v>0.666999</v>
      </c>
      <c r="E95" s="53" t="n">
        <v>0.663432</v>
      </c>
      <c r="F95" s="53" t="n">
        <v>0.665215</v>
      </c>
      <c r="G95" s="53" t="n">
        <v>1</v>
      </c>
      <c r="H95" s="53" t="n">
        <v>1</v>
      </c>
      <c r="I95" s="53" t="n">
        <v>1</v>
      </c>
      <c r="J95" s="38" t="s">
        <v>315</v>
      </c>
    </row>
    <row r="96" customFormat="false" ht="15" hidden="false" customHeight="true" outlineLevel="0" collapsed="false">
      <c r="A96" s="38" t="n">
        <v>92</v>
      </c>
      <c r="B96" s="38" t="s">
        <v>336</v>
      </c>
      <c r="C96" s="38" t="s">
        <v>299</v>
      </c>
      <c r="D96" s="53" t="n">
        <v>0.55493</v>
      </c>
      <c r="E96" s="53" t="n">
        <v>0.584286</v>
      </c>
      <c r="F96" s="53" t="n">
        <v>0.569608</v>
      </c>
      <c r="G96" s="53" t="n">
        <v>0.9524</v>
      </c>
      <c r="H96" s="53" t="n">
        <v>0.9167</v>
      </c>
      <c r="I96" s="53" t="n">
        <v>0.8</v>
      </c>
      <c r="J96" s="38" t="s">
        <v>315</v>
      </c>
    </row>
    <row r="97" customFormat="false" ht="15" hidden="false" customHeight="true" outlineLevel="0" collapsed="false">
      <c r="A97" s="38" t="n">
        <v>93</v>
      </c>
      <c r="B97" s="38" t="s">
        <v>337</v>
      </c>
      <c r="C97" s="38" t="s">
        <v>299</v>
      </c>
      <c r="D97" s="53" t="n">
        <v>0.568186</v>
      </c>
      <c r="E97" s="53" t="n">
        <v>0.590712</v>
      </c>
      <c r="F97" s="53" t="n">
        <v>0.579449</v>
      </c>
      <c r="G97" s="53" t="n">
        <v>1</v>
      </c>
      <c r="H97" s="53" t="n">
        <v>0.9167</v>
      </c>
      <c r="I97" s="53" t="n">
        <v>0.8</v>
      </c>
      <c r="J97" s="38" t="s">
        <v>315</v>
      </c>
    </row>
    <row r="98" customFormat="false" ht="15" hidden="false" customHeight="true" outlineLevel="0" collapsed="false">
      <c r="A98" s="38" t="n">
        <v>94</v>
      </c>
      <c r="B98" s="38" t="s">
        <v>338</v>
      </c>
      <c r="C98" s="38" t="s">
        <v>240</v>
      </c>
      <c r="D98" s="53" t="n">
        <v>0.588626</v>
      </c>
      <c r="E98" s="53" t="n">
        <v>0.469003</v>
      </c>
      <c r="F98" s="53" t="n">
        <v>0.528815</v>
      </c>
      <c r="G98" s="53" t="n">
        <v>1</v>
      </c>
      <c r="H98" s="53" t="n">
        <v>0.9167</v>
      </c>
      <c r="I98" s="53" t="n">
        <v>1</v>
      </c>
      <c r="J98" s="38" t="s">
        <v>315</v>
      </c>
    </row>
    <row r="99" customFormat="false" ht="15" hidden="false" customHeight="true" outlineLevel="0" collapsed="false">
      <c r="A99" s="38" t="n">
        <v>95</v>
      </c>
      <c r="B99" s="38" t="s">
        <v>339</v>
      </c>
      <c r="C99" s="38" t="s">
        <v>219</v>
      </c>
      <c r="D99" s="53" t="n">
        <v>0.495411</v>
      </c>
      <c r="E99" s="53" t="n">
        <v>0.556465</v>
      </c>
      <c r="F99" s="53" t="n">
        <v>0.525938</v>
      </c>
      <c r="G99" s="53" t="n">
        <v>1</v>
      </c>
      <c r="H99" s="53" t="n">
        <v>0.9167</v>
      </c>
      <c r="I99" s="53" t="n">
        <v>0.8</v>
      </c>
      <c r="J99" s="38" t="s">
        <v>315</v>
      </c>
    </row>
    <row r="100" customFormat="false" ht="15" hidden="false" customHeight="true" outlineLevel="0" collapsed="false">
      <c r="A100" s="38" t="n">
        <v>96</v>
      </c>
      <c r="B100" s="38" t="s">
        <v>340</v>
      </c>
      <c r="C100" s="38" t="s">
        <v>219</v>
      </c>
      <c r="D100" s="53" t="n">
        <v>0.550151</v>
      </c>
      <c r="E100" s="53" t="n">
        <v>0.590996</v>
      </c>
      <c r="F100" s="53" t="n">
        <v>0.570573</v>
      </c>
      <c r="G100" s="53" t="n">
        <v>1</v>
      </c>
      <c r="H100" s="53" t="n">
        <v>0.9167</v>
      </c>
      <c r="I100" s="53" t="n">
        <v>0.8</v>
      </c>
      <c r="J100" s="38" t="s">
        <v>315</v>
      </c>
    </row>
    <row r="101" customFormat="false" ht="15" hidden="false" customHeight="true" outlineLevel="0" collapsed="false">
      <c r="A101" s="38" t="n">
        <v>97</v>
      </c>
      <c r="B101" s="38" t="s">
        <v>341</v>
      </c>
      <c r="C101" s="38" t="s">
        <v>219</v>
      </c>
      <c r="D101" s="53" t="n">
        <v>0.547381</v>
      </c>
      <c r="E101" s="53" t="n">
        <v>0.562049</v>
      </c>
      <c r="F101" s="53" t="n">
        <v>0.554715</v>
      </c>
      <c r="G101" s="53" t="n">
        <v>1</v>
      </c>
      <c r="H101" s="53" t="n">
        <v>1</v>
      </c>
      <c r="I101" s="53" t="n">
        <v>1</v>
      </c>
      <c r="J101" s="38" t="s">
        <v>315</v>
      </c>
    </row>
    <row r="102" customFormat="false" ht="15" hidden="false" customHeight="true" outlineLevel="0" collapsed="false">
      <c r="A102" s="38" t="n">
        <v>98</v>
      </c>
      <c r="B102" s="38" t="s">
        <v>342</v>
      </c>
      <c r="C102" s="38" t="s">
        <v>221</v>
      </c>
      <c r="D102" s="53" t="n">
        <v>0.363967</v>
      </c>
      <c r="E102" s="53" t="n">
        <v>0.38222</v>
      </c>
      <c r="F102" s="53" t="n">
        <v>0.373094</v>
      </c>
      <c r="G102" s="53" t="n">
        <v>0.9524</v>
      </c>
      <c r="H102" s="53" t="n">
        <v>0.9167</v>
      </c>
      <c r="I102" s="53" t="n">
        <v>0.8</v>
      </c>
      <c r="J102" s="38" t="s">
        <v>315</v>
      </c>
    </row>
    <row r="103" customFormat="false" ht="15" hidden="false" customHeight="true" outlineLevel="0" collapsed="false">
      <c r="A103" s="38" t="n">
        <v>99</v>
      </c>
      <c r="B103" s="38" t="s">
        <v>343</v>
      </c>
      <c r="C103" s="38" t="s">
        <v>224</v>
      </c>
      <c r="D103" s="53" t="n">
        <v>0.571409</v>
      </c>
      <c r="E103" s="53" t="n">
        <v>0.598985</v>
      </c>
      <c r="F103" s="53" t="n">
        <v>0.585197</v>
      </c>
      <c r="G103" s="53" t="n">
        <v>1</v>
      </c>
      <c r="H103" s="53" t="n">
        <v>1</v>
      </c>
      <c r="I103" s="53" t="n">
        <v>1</v>
      </c>
      <c r="J103" s="38" t="s">
        <v>315</v>
      </c>
    </row>
    <row r="104" customFormat="false" ht="15" hidden="false" customHeight="true" outlineLevel="0" collapsed="false">
      <c r="A104" s="38" t="n">
        <v>100</v>
      </c>
      <c r="B104" s="38" t="s">
        <v>344</v>
      </c>
      <c r="C104" s="38" t="s">
        <v>224</v>
      </c>
      <c r="D104" s="53" t="n">
        <v>0.558745</v>
      </c>
      <c r="E104" s="53" t="n">
        <v>0.581643</v>
      </c>
      <c r="F104" s="53" t="n">
        <v>0.570194</v>
      </c>
      <c r="G104" s="53" t="n">
        <v>1</v>
      </c>
      <c r="H104" s="53" t="n">
        <v>1</v>
      </c>
      <c r="I104" s="53" t="n">
        <v>1</v>
      </c>
      <c r="J104" s="38" t="s">
        <v>315</v>
      </c>
    </row>
    <row r="105" customFormat="false" ht="15" hidden="false" customHeight="true" outlineLevel="0" collapsed="false">
      <c r="A105" s="38" t="n">
        <v>101</v>
      </c>
      <c r="B105" s="38" t="s">
        <v>345</v>
      </c>
      <c r="C105" s="38" t="s">
        <v>224</v>
      </c>
      <c r="D105" s="53" t="n">
        <v>0.647538</v>
      </c>
      <c r="E105" s="53" t="n">
        <v>0.614714</v>
      </c>
      <c r="F105" s="53" t="n">
        <v>0.631126</v>
      </c>
      <c r="G105" s="53" t="n">
        <v>0.7619</v>
      </c>
      <c r="H105" s="53" t="n">
        <v>1</v>
      </c>
      <c r="I105" s="53" t="n">
        <v>1</v>
      </c>
      <c r="J105" s="38" t="s">
        <v>315</v>
      </c>
    </row>
    <row r="106" customFormat="false" ht="15" hidden="false" customHeight="true" outlineLevel="0" collapsed="false">
      <c r="A106" s="38" t="n">
        <v>102</v>
      </c>
      <c r="B106" s="38" t="s">
        <v>346</v>
      </c>
      <c r="C106" s="38" t="s">
        <v>310</v>
      </c>
      <c r="D106" s="53" t="n">
        <v>0.622895</v>
      </c>
      <c r="E106" s="53" t="n">
        <v>0.635387</v>
      </c>
      <c r="F106" s="53" t="n">
        <v>0.629141</v>
      </c>
      <c r="G106" s="53" t="n">
        <v>1</v>
      </c>
      <c r="H106" s="53" t="n">
        <v>0.9167</v>
      </c>
      <c r="I106" s="53" t="n">
        <v>0.8</v>
      </c>
      <c r="J106" s="38" t="s">
        <v>315</v>
      </c>
    </row>
    <row r="107" customFormat="false" ht="15" hidden="false" customHeight="true" outlineLevel="0" collapsed="false">
      <c r="A107" s="38" t="n">
        <v>103</v>
      </c>
      <c r="B107" s="38" t="s">
        <v>347</v>
      </c>
      <c r="C107" s="38" t="s">
        <v>310</v>
      </c>
      <c r="D107" s="53" t="n">
        <v>0.556454</v>
      </c>
      <c r="E107" s="53" t="n">
        <v>0.593619</v>
      </c>
      <c r="F107" s="53" t="n">
        <v>0.575037</v>
      </c>
      <c r="G107" s="53" t="n">
        <v>1</v>
      </c>
      <c r="H107" s="53" t="n">
        <v>1</v>
      </c>
      <c r="I107" s="53" t="n">
        <v>1</v>
      </c>
      <c r="J107" s="38" t="s">
        <v>315</v>
      </c>
    </row>
    <row r="108" customFormat="false" ht="15" hidden="false" customHeight="true" outlineLevel="0" collapsed="false">
      <c r="A108" s="38" t="n">
        <v>104</v>
      </c>
      <c r="B108" s="38" t="s">
        <v>348</v>
      </c>
      <c r="C108" s="38" t="s">
        <v>310</v>
      </c>
      <c r="D108" s="53" t="n">
        <v>0.556454</v>
      </c>
      <c r="E108" s="53" t="n">
        <v>0.593619</v>
      </c>
      <c r="F108" s="53" t="n">
        <v>0.575037</v>
      </c>
      <c r="G108" s="53" t="n">
        <v>1</v>
      </c>
      <c r="H108" s="53" t="n">
        <v>1</v>
      </c>
      <c r="I108" s="53" t="n">
        <v>1</v>
      </c>
      <c r="J108" s="38" t="s">
        <v>315</v>
      </c>
    </row>
    <row r="109" customFormat="false" ht="15" hidden="false" customHeight="true" outlineLevel="0" collapsed="false">
      <c r="A109" s="38" t="n">
        <v>105</v>
      </c>
      <c r="B109" s="38" t="s">
        <v>349</v>
      </c>
      <c r="C109" s="38" t="s">
        <v>274</v>
      </c>
      <c r="D109" s="53" t="n">
        <v>0.416931</v>
      </c>
      <c r="E109" s="53" t="n">
        <v>0.437605</v>
      </c>
      <c r="F109" s="53" t="n">
        <v>0.427268</v>
      </c>
      <c r="G109" s="53" t="n">
        <v>0.9524</v>
      </c>
      <c r="H109" s="53" t="n">
        <v>1</v>
      </c>
      <c r="I109" s="53" t="n">
        <v>1</v>
      </c>
      <c r="J109" s="38" t="s">
        <v>315</v>
      </c>
    </row>
    <row r="110" customFormat="false" ht="15" hidden="false" customHeight="true" outlineLevel="0" collapsed="false">
      <c r="A110" s="38" t="n">
        <v>106</v>
      </c>
      <c r="B110" s="38" t="s">
        <v>350</v>
      </c>
      <c r="C110" s="38" t="s">
        <v>228</v>
      </c>
      <c r="D110" s="53" t="n">
        <v>0.570388</v>
      </c>
      <c r="E110" s="53" t="n">
        <v>0.618468</v>
      </c>
      <c r="F110" s="53" t="n">
        <v>0.594428</v>
      </c>
      <c r="G110" s="53" t="n">
        <v>1</v>
      </c>
      <c r="H110" s="53" t="n">
        <v>0.9167</v>
      </c>
      <c r="I110" s="53" t="n">
        <v>0.8</v>
      </c>
      <c r="J110" s="38" t="s">
        <v>315</v>
      </c>
    </row>
    <row r="111" customFormat="false" ht="15" hidden="false" customHeight="true" outlineLevel="0" collapsed="false">
      <c r="A111" s="38" t="n">
        <v>107</v>
      </c>
      <c r="B111" s="38" t="s">
        <v>351</v>
      </c>
      <c r="C111" s="38" t="s">
        <v>228</v>
      </c>
      <c r="D111" s="53" t="n">
        <v>0.551172</v>
      </c>
      <c r="E111" s="53" t="n">
        <v>0.605128</v>
      </c>
      <c r="F111" s="53" t="n">
        <v>0.57815</v>
      </c>
      <c r="G111" s="53" t="n">
        <v>1</v>
      </c>
      <c r="H111" s="53" t="n">
        <v>0.9167</v>
      </c>
      <c r="I111" s="53" t="n">
        <v>0.8</v>
      </c>
      <c r="J111" s="38" t="s">
        <v>315</v>
      </c>
    </row>
    <row r="112" customFormat="false" ht="15" hidden="false" customHeight="true" outlineLevel="0" collapsed="false">
      <c r="A112" s="38" t="n">
        <v>108</v>
      </c>
      <c r="B112" s="38" t="s">
        <v>352</v>
      </c>
      <c r="C112" s="38" t="s">
        <v>228</v>
      </c>
      <c r="D112" s="53" t="n">
        <v>0.583252</v>
      </c>
      <c r="E112" s="53" t="n">
        <v>0.59406</v>
      </c>
      <c r="F112" s="53" t="n">
        <v>0.588656</v>
      </c>
      <c r="G112" s="53" t="n">
        <v>1</v>
      </c>
      <c r="H112" s="53" t="n">
        <v>1</v>
      </c>
      <c r="I112" s="53" t="n">
        <v>1</v>
      </c>
      <c r="J112" s="38" t="s">
        <v>315</v>
      </c>
    </row>
    <row r="113" customFormat="false" ht="15" hidden="false" customHeight="true" outlineLevel="0" collapsed="false">
      <c r="A113" s="38" t="n">
        <v>109</v>
      </c>
      <c r="B113" s="38" t="s">
        <v>353</v>
      </c>
      <c r="C113" s="38" t="s">
        <v>228</v>
      </c>
      <c r="D113" s="53" t="n">
        <v>0.446453</v>
      </c>
      <c r="E113" s="53" t="n">
        <v>0.388736</v>
      </c>
      <c r="F113" s="53" t="n">
        <v>0.417595</v>
      </c>
      <c r="G113" s="53" t="n">
        <v>0.8571</v>
      </c>
      <c r="H113" s="53" t="n">
        <v>0.9167</v>
      </c>
      <c r="I113" s="53" t="n">
        <v>1</v>
      </c>
      <c r="J113" s="38" t="s">
        <v>315</v>
      </c>
    </row>
    <row r="114" customFormat="false" ht="15" hidden="false" customHeight="true" outlineLevel="0" collapsed="false">
      <c r="A114" s="38" t="n">
        <v>110</v>
      </c>
      <c r="B114" s="38" t="s">
        <v>355</v>
      </c>
      <c r="C114" s="38" t="s">
        <v>202</v>
      </c>
      <c r="D114" s="53" t="n">
        <v>0.5939</v>
      </c>
      <c r="E114" s="53" t="n">
        <v>0.620936</v>
      </c>
      <c r="F114" s="53" t="n">
        <v>0.607418</v>
      </c>
      <c r="G114" s="53" t="n">
        <v>1</v>
      </c>
      <c r="H114" s="53" t="n">
        <v>1</v>
      </c>
      <c r="I114" s="53" t="n">
        <v>1</v>
      </c>
      <c r="J114" s="38" t="s">
        <v>354</v>
      </c>
    </row>
    <row r="115" customFormat="false" ht="15" hidden="false" customHeight="true" outlineLevel="0" collapsed="false">
      <c r="A115" s="38" t="n">
        <v>111</v>
      </c>
      <c r="B115" s="38" t="s">
        <v>356</v>
      </c>
      <c r="C115" s="38" t="s">
        <v>240</v>
      </c>
      <c r="D115" s="53" t="n">
        <v>0.664322</v>
      </c>
      <c r="E115" s="53" t="n">
        <v>0.646153</v>
      </c>
      <c r="F115" s="53" t="n">
        <v>0.655237</v>
      </c>
      <c r="G115" s="53" t="n">
        <v>1</v>
      </c>
      <c r="H115" s="53" t="n">
        <v>1</v>
      </c>
      <c r="I115" s="53" t="n">
        <v>1</v>
      </c>
      <c r="J115" s="38" t="s">
        <v>354</v>
      </c>
    </row>
    <row r="116" customFormat="false" ht="15" hidden="false" customHeight="true" outlineLevel="0" collapsed="false">
      <c r="A116" s="38" t="n">
        <v>112</v>
      </c>
      <c r="B116" s="38" t="s">
        <v>357</v>
      </c>
      <c r="C116" s="38" t="s">
        <v>211</v>
      </c>
      <c r="D116" s="53" t="n">
        <v>0.569855</v>
      </c>
      <c r="E116" s="53" t="n">
        <v>0.439952</v>
      </c>
      <c r="F116" s="53" t="n">
        <v>0.504904</v>
      </c>
      <c r="G116" s="53" t="n">
        <v>1</v>
      </c>
      <c r="H116" s="53" t="n">
        <v>1</v>
      </c>
      <c r="I116" s="53" t="n">
        <v>1</v>
      </c>
      <c r="J116" s="38" t="s">
        <v>354</v>
      </c>
    </row>
    <row r="117" customFormat="false" ht="15" hidden="false" customHeight="true" outlineLevel="0" collapsed="false">
      <c r="A117" s="38" t="n">
        <v>113</v>
      </c>
      <c r="B117" s="38" t="s">
        <v>358</v>
      </c>
      <c r="C117" s="38" t="s">
        <v>216</v>
      </c>
      <c r="D117" s="53" t="n">
        <v>0.588509</v>
      </c>
      <c r="E117" s="53" t="n">
        <v>0.567083</v>
      </c>
      <c r="F117" s="53" t="n">
        <v>0.577796</v>
      </c>
      <c r="G117" s="53" t="n">
        <v>1</v>
      </c>
      <c r="H117" s="53" t="n">
        <v>1</v>
      </c>
      <c r="I117" s="53" t="n">
        <v>1</v>
      </c>
      <c r="J117" s="38" t="s">
        <v>354</v>
      </c>
    </row>
    <row r="118" customFormat="false" ht="15" hidden="false" customHeight="true" outlineLevel="0" collapsed="false">
      <c r="A118" s="38" t="n">
        <v>114</v>
      </c>
      <c r="B118" s="38" t="s">
        <v>359</v>
      </c>
      <c r="C118" s="38" t="s">
        <v>267</v>
      </c>
      <c r="D118" s="53" t="n">
        <v>0.630586</v>
      </c>
      <c r="E118" s="53" t="n">
        <v>0.593403</v>
      </c>
      <c r="F118" s="53" t="n">
        <v>0.611995</v>
      </c>
      <c r="G118" s="53" t="n">
        <v>1</v>
      </c>
      <c r="H118" s="53" t="n">
        <v>1</v>
      </c>
      <c r="I118" s="53" t="n">
        <v>1</v>
      </c>
      <c r="J118" s="38" t="s">
        <v>354</v>
      </c>
    </row>
    <row r="119" customFormat="false" ht="15" hidden="false" customHeight="true" outlineLevel="0" collapsed="false">
      <c r="A119" s="38" t="n">
        <v>115</v>
      </c>
      <c r="B119" s="38" t="s">
        <v>360</v>
      </c>
      <c r="C119" s="38" t="s">
        <v>296</v>
      </c>
      <c r="D119" s="53" t="n">
        <v>0.250195</v>
      </c>
      <c r="E119" s="53" t="n">
        <v>0.286965</v>
      </c>
      <c r="F119" s="53" t="n">
        <v>0.26858</v>
      </c>
      <c r="G119" s="53" t="n">
        <v>0.9524</v>
      </c>
      <c r="H119" s="53" t="n">
        <v>0.75</v>
      </c>
      <c r="I119" s="53" t="n">
        <v>0.8</v>
      </c>
      <c r="J119" s="38" t="s">
        <v>354</v>
      </c>
    </row>
    <row r="120" customFormat="false" ht="15" hidden="false" customHeight="true" outlineLevel="0" collapsed="false">
      <c r="A120" s="38" t="n">
        <v>116</v>
      </c>
      <c r="B120" s="38" t="s">
        <v>362</v>
      </c>
      <c r="C120" s="38" t="s">
        <v>299</v>
      </c>
      <c r="D120" s="53" t="n">
        <v>0.587129</v>
      </c>
      <c r="E120" s="53" t="n">
        <v>0.618421</v>
      </c>
      <c r="F120" s="53" t="n">
        <v>0.602775</v>
      </c>
      <c r="G120" s="53" t="n">
        <v>1</v>
      </c>
      <c r="H120" s="53" t="n">
        <v>1</v>
      </c>
      <c r="I120" s="53" t="n">
        <v>1</v>
      </c>
      <c r="J120" s="38" t="s">
        <v>354</v>
      </c>
    </row>
    <row r="121" customFormat="false" ht="15" hidden="false" customHeight="true" outlineLevel="0" collapsed="false">
      <c r="A121" s="38" t="n">
        <v>117</v>
      </c>
      <c r="B121" s="38" t="s">
        <v>363</v>
      </c>
      <c r="C121" s="38" t="s">
        <v>219</v>
      </c>
      <c r="D121" s="53" t="n">
        <v>0.589595</v>
      </c>
      <c r="E121" s="53" t="n">
        <v>0.668292</v>
      </c>
      <c r="F121" s="53" t="n">
        <v>0.628943</v>
      </c>
      <c r="G121" s="53" t="n">
        <v>1</v>
      </c>
      <c r="H121" s="53" t="n">
        <v>1</v>
      </c>
      <c r="I121" s="53" t="n">
        <v>1</v>
      </c>
      <c r="J121" s="38" t="s">
        <v>354</v>
      </c>
    </row>
    <row r="122" customFormat="false" ht="15" hidden="false" customHeight="true" outlineLevel="0" collapsed="false">
      <c r="A122" s="38" t="n">
        <v>118</v>
      </c>
      <c r="B122" s="38" t="s">
        <v>364</v>
      </c>
      <c r="C122" s="38" t="s">
        <v>205</v>
      </c>
      <c r="D122" s="53" t="n">
        <v>0.515549</v>
      </c>
      <c r="E122" s="53" t="n">
        <v>0.518304</v>
      </c>
      <c r="F122" s="53" t="n">
        <v>0.516926</v>
      </c>
      <c r="G122" s="53" t="n">
        <v>0.9524</v>
      </c>
      <c r="H122" s="53" t="n">
        <v>0.9167</v>
      </c>
      <c r="I122" s="53" t="n">
        <v>1</v>
      </c>
      <c r="J122" s="38" t="s">
        <v>354</v>
      </c>
    </row>
    <row r="123" customFormat="false" ht="15" hidden="false" customHeight="true" outlineLevel="0" collapsed="false">
      <c r="A123" s="38" t="n">
        <v>119</v>
      </c>
      <c r="B123" s="38" t="s">
        <v>366</v>
      </c>
      <c r="C123" s="38" t="s">
        <v>221</v>
      </c>
      <c r="D123" s="53" t="n">
        <v>0.406655</v>
      </c>
      <c r="E123" s="53" t="n">
        <v>0.388111</v>
      </c>
      <c r="F123" s="53" t="n">
        <v>0.397383</v>
      </c>
      <c r="G123" s="53" t="n">
        <v>0.9524</v>
      </c>
      <c r="H123" s="53" t="n">
        <v>1</v>
      </c>
      <c r="I123" s="53" t="n">
        <v>1</v>
      </c>
      <c r="J123" s="38" t="s">
        <v>354</v>
      </c>
    </row>
    <row r="124" customFormat="false" ht="15" hidden="false" customHeight="true" outlineLevel="0" collapsed="false">
      <c r="A124" s="38" t="n">
        <v>120</v>
      </c>
      <c r="B124" s="38" t="s">
        <v>367</v>
      </c>
      <c r="C124" s="38" t="s">
        <v>224</v>
      </c>
      <c r="D124" s="53" t="n">
        <v>0.686235</v>
      </c>
      <c r="E124" s="53" t="n">
        <v>0.709358</v>
      </c>
      <c r="F124" s="53" t="n">
        <v>0.697796</v>
      </c>
      <c r="G124" s="53" t="n">
        <v>1</v>
      </c>
      <c r="H124" s="53" t="n">
        <v>0.8333</v>
      </c>
      <c r="I124" s="53" t="n">
        <v>0.8</v>
      </c>
      <c r="J124" s="38" t="s">
        <v>354</v>
      </c>
    </row>
    <row r="125" customFormat="false" ht="15" hidden="false" customHeight="true" outlineLevel="0" collapsed="false">
      <c r="A125" s="38" t="n">
        <v>121</v>
      </c>
      <c r="B125" s="38" t="s">
        <v>368</v>
      </c>
      <c r="C125" s="38" t="s">
        <v>228</v>
      </c>
      <c r="D125" s="53" t="n">
        <v>0.554879</v>
      </c>
      <c r="E125" s="53" t="n">
        <v>0.583876</v>
      </c>
      <c r="F125" s="53" t="n">
        <v>0.569378</v>
      </c>
      <c r="G125" s="53" t="n">
        <v>0.95</v>
      </c>
      <c r="H125" s="53" t="n">
        <v>1</v>
      </c>
      <c r="I125" s="53" t="n">
        <v>1</v>
      </c>
      <c r="J125" s="38" t="s">
        <v>354</v>
      </c>
    </row>
    <row r="126" customFormat="false" ht="15" hidden="false" customHeight="true" outlineLevel="0" collapsed="false">
      <c r="A126" s="38" t="n">
        <v>122</v>
      </c>
      <c r="B126" s="38" t="s">
        <v>369</v>
      </c>
      <c r="C126" s="38" t="s">
        <v>310</v>
      </c>
      <c r="D126" s="53" t="n">
        <v>0.440582</v>
      </c>
      <c r="E126" s="53" t="n">
        <v>0.422974</v>
      </c>
      <c r="F126" s="53" t="n">
        <v>0.431778</v>
      </c>
      <c r="G126" s="53" t="n">
        <v>1</v>
      </c>
      <c r="H126" s="53" t="n">
        <v>0.9167</v>
      </c>
      <c r="I126" s="53" t="n">
        <v>1</v>
      </c>
      <c r="J126" s="38" t="s">
        <v>354</v>
      </c>
    </row>
    <row r="127" customFormat="false" ht="15" hidden="false" customHeight="true" outlineLevel="0" collapsed="false">
      <c r="A127" s="38" t="n">
        <v>123</v>
      </c>
      <c r="B127" s="38" t="s">
        <v>370</v>
      </c>
      <c r="C127" s="38" t="s">
        <v>216</v>
      </c>
      <c r="D127" s="53" t="n">
        <v>0.560653</v>
      </c>
      <c r="E127" s="53" t="n">
        <v>0.569052</v>
      </c>
      <c r="F127" s="53" t="n">
        <v>0.564853</v>
      </c>
      <c r="G127" s="53" t="n">
        <v>0.9524</v>
      </c>
      <c r="H127" s="53" t="n">
        <v>0.9167</v>
      </c>
      <c r="I127" s="53" t="n">
        <v>0.8</v>
      </c>
      <c r="J127" s="38" t="s">
        <v>354</v>
      </c>
    </row>
    <row r="128" customFormat="false" ht="15" hidden="false" customHeight="true" outlineLevel="0" collapsed="false">
      <c r="A128" s="38" t="n">
        <v>124</v>
      </c>
      <c r="B128" s="38" t="s">
        <v>372</v>
      </c>
      <c r="C128" s="38" t="s">
        <v>240</v>
      </c>
      <c r="D128" s="53" t="n">
        <v>0.609485</v>
      </c>
      <c r="E128" s="53" t="n">
        <v>0.647139</v>
      </c>
      <c r="F128" s="53" t="n">
        <v>0.628312</v>
      </c>
      <c r="G128" s="53" t="n">
        <v>1</v>
      </c>
      <c r="H128" s="53" t="n">
        <v>1</v>
      </c>
      <c r="I128" s="53" t="n">
        <v>1</v>
      </c>
      <c r="J128" s="38" t="s">
        <v>371</v>
      </c>
    </row>
    <row r="129" customFormat="false" ht="15" hidden="false" customHeight="true" outlineLevel="0" collapsed="false">
      <c r="A129" s="38" t="n">
        <v>125</v>
      </c>
      <c r="B129" s="38" t="s">
        <v>373</v>
      </c>
      <c r="C129" s="38" t="s">
        <v>296</v>
      </c>
      <c r="D129" s="53" t="n">
        <v>-0.091383</v>
      </c>
      <c r="E129" s="53" t="n">
        <v>-0.057691</v>
      </c>
      <c r="F129" s="53" t="n">
        <v>-0.074537</v>
      </c>
      <c r="G129" s="53" t="n">
        <v>0.9524</v>
      </c>
      <c r="H129" s="53" t="n">
        <v>0.5833</v>
      </c>
      <c r="I129" s="53" t="n">
        <v>0.6</v>
      </c>
      <c r="J129" s="38" t="s">
        <v>371</v>
      </c>
    </row>
    <row r="130" customFormat="false" ht="15" hidden="false" customHeight="true" outlineLevel="0" collapsed="false">
      <c r="A130" s="38" t="n">
        <v>126</v>
      </c>
      <c r="B130" s="38" t="s">
        <v>375</v>
      </c>
      <c r="C130" s="38" t="s">
        <v>296</v>
      </c>
      <c r="D130" s="53" t="n">
        <v>0.33933</v>
      </c>
      <c r="E130" s="53" t="n">
        <v>0.387212</v>
      </c>
      <c r="F130" s="53" t="n">
        <v>0.363271</v>
      </c>
      <c r="G130" s="53" t="n">
        <v>0.9524</v>
      </c>
      <c r="H130" s="53" t="n">
        <v>1</v>
      </c>
      <c r="I130" s="53" t="n">
        <v>1</v>
      </c>
      <c r="J130" s="38" t="s">
        <v>371</v>
      </c>
    </row>
    <row r="131" customFormat="false" ht="15" hidden="false" customHeight="true" outlineLevel="0" collapsed="false">
      <c r="A131" s="38" t="n">
        <v>127</v>
      </c>
      <c r="B131" s="38" t="s">
        <v>377</v>
      </c>
      <c r="C131" s="38" t="s">
        <v>208</v>
      </c>
      <c r="D131" s="53" t="n">
        <v>0.455173</v>
      </c>
      <c r="E131" s="53" t="n">
        <v>0.411758</v>
      </c>
      <c r="F131" s="53" t="n">
        <v>0.433466</v>
      </c>
      <c r="G131" s="53" t="n">
        <v>1</v>
      </c>
      <c r="H131" s="53" t="n">
        <v>0.8333</v>
      </c>
      <c r="I131" s="53" t="n">
        <v>0.8</v>
      </c>
      <c r="J131" s="38" t="s">
        <v>371</v>
      </c>
    </row>
    <row r="132" customFormat="false" ht="15" hidden="false" customHeight="true" outlineLevel="0" collapsed="false">
      <c r="A132" s="38" t="n">
        <v>128</v>
      </c>
      <c r="B132" s="38" t="s">
        <v>378</v>
      </c>
      <c r="C132" s="38" t="s">
        <v>205</v>
      </c>
      <c r="D132" s="53" t="n">
        <v>-0.031879</v>
      </c>
      <c r="E132" s="53" t="n">
        <v>-0.11423</v>
      </c>
      <c r="F132" s="53" t="n">
        <v>-0.073055</v>
      </c>
      <c r="G132" s="53" t="n">
        <v>0.9524</v>
      </c>
      <c r="H132" s="53" t="n">
        <v>0.6364</v>
      </c>
      <c r="I132" s="53" t="n">
        <v>0.75</v>
      </c>
      <c r="J132" s="38" t="s">
        <v>371</v>
      </c>
    </row>
    <row r="133" customFormat="false" ht="15" hidden="false" customHeight="true" outlineLevel="0" collapsed="false">
      <c r="A133" s="38" t="n">
        <v>129</v>
      </c>
      <c r="B133" s="38" t="s">
        <v>380</v>
      </c>
      <c r="C133" s="38" t="s">
        <v>205</v>
      </c>
      <c r="D133" s="53" t="n">
        <v>0.43249</v>
      </c>
      <c r="E133" s="53" t="n">
        <v>0.415445</v>
      </c>
      <c r="F133" s="53" t="n">
        <v>0.423968</v>
      </c>
      <c r="G133" s="53" t="n">
        <v>1</v>
      </c>
      <c r="H133" s="53" t="n">
        <v>0.9167</v>
      </c>
      <c r="I133" s="53" t="n">
        <v>1</v>
      </c>
      <c r="J133" s="38" t="s">
        <v>371</v>
      </c>
    </row>
    <row r="134" customFormat="false" ht="15" hidden="false" customHeight="true" outlineLevel="0" collapsed="false">
      <c r="A134" s="38" t="n">
        <v>130</v>
      </c>
      <c r="B134" s="38" t="s">
        <v>381</v>
      </c>
      <c r="C134" s="38" t="s">
        <v>205</v>
      </c>
      <c r="D134" s="53" t="n">
        <v>0.509561</v>
      </c>
      <c r="E134" s="53" t="n">
        <v>0.44979</v>
      </c>
      <c r="F134" s="53" t="n">
        <v>0.479675</v>
      </c>
      <c r="G134" s="53" t="n">
        <v>1</v>
      </c>
      <c r="H134" s="53" t="n">
        <v>0.9167</v>
      </c>
      <c r="I134" s="53" t="n">
        <v>1</v>
      </c>
      <c r="J134" s="38" t="s">
        <v>371</v>
      </c>
    </row>
    <row r="135" customFormat="false" ht="15" hidden="false" customHeight="true" outlineLevel="0" collapsed="false">
      <c r="A135" s="38" t="n">
        <v>131</v>
      </c>
      <c r="B135" s="38" t="s">
        <v>382</v>
      </c>
      <c r="C135" s="38" t="s">
        <v>205</v>
      </c>
      <c r="D135" s="53" t="n">
        <v>0.545263</v>
      </c>
      <c r="E135" s="53" t="n">
        <v>0.484216</v>
      </c>
      <c r="F135" s="53" t="n">
        <v>0.51474</v>
      </c>
      <c r="G135" s="53" t="n">
        <v>1</v>
      </c>
      <c r="H135" s="53" t="n">
        <v>0.9167</v>
      </c>
      <c r="I135" s="53" t="n">
        <v>1</v>
      </c>
      <c r="J135" s="38" t="s">
        <v>371</v>
      </c>
    </row>
    <row r="136" customFormat="false" ht="15" hidden="false" customHeight="true" outlineLevel="0" collapsed="false">
      <c r="A136" s="38" t="n">
        <v>132</v>
      </c>
      <c r="B136" s="38" t="s">
        <v>383</v>
      </c>
      <c r="C136" s="38" t="s">
        <v>224</v>
      </c>
      <c r="D136" s="53" t="n">
        <v>0.487576</v>
      </c>
      <c r="E136" s="53" t="n">
        <v>0.484008</v>
      </c>
      <c r="F136" s="53" t="n">
        <v>0.485792</v>
      </c>
      <c r="G136" s="53" t="n">
        <v>0.9524</v>
      </c>
      <c r="H136" s="53" t="n">
        <v>0.9167</v>
      </c>
      <c r="I136" s="53" t="n">
        <v>1</v>
      </c>
      <c r="J136" s="38" t="s">
        <v>371</v>
      </c>
    </row>
    <row r="137" customFormat="false" ht="15" hidden="false" customHeight="true" outlineLevel="0" collapsed="false">
      <c r="A137" s="38" t="n">
        <v>133</v>
      </c>
      <c r="B137" s="38" t="s">
        <v>384</v>
      </c>
      <c r="C137" s="38" t="s">
        <v>310</v>
      </c>
      <c r="D137" s="53" t="n">
        <v>0.480686</v>
      </c>
      <c r="E137" s="53" t="n">
        <v>0.489731</v>
      </c>
      <c r="F137" s="53" t="n">
        <v>0.485209</v>
      </c>
      <c r="G137" s="53" t="n">
        <v>1</v>
      </c>
      <c r="H137" s="53" t="n">
        <v>0.9167</v>
      </c>
      <c r="I137" s="53" t="n">
        <v>1</v>
      </c>
      <c r="J137" s="38" t="s">
        <v>371</v>
      </c>
    </row>
    <row r="138" customFormat="false" ht="15" hidden="false" customHeight="true" outlineLevel="0" collapsed="false">
      <c r="A138" s="38" t="n">
        <v>134</v>
      </c>
      <c r="B138" s="38" t="s">
        <v>385</v>
      </c>
      <c r="C138" s="38" t="s">
        <v>274</v>
      </c>
      <c r="D138" s="53" t="n">
        <v>0.552022</v>
      </c>
      <c r="E138" s="53" t="n">
        <v>0.531588</v>
      </c>
      <c r="F138" s="53" t="n">
        <v>0.541805</v>
      </c>
      <c r="G138" s="53" t="n">
        <v>1</v>
      </c>
      <c r="H138" s="53" t="n">
        <v>1</v>
      </c>
      <c r="I138" s="53" t="n">
        <v>1</v>
      </c>
      <c r="J138" s="38" t="s">
        <v>371</v>
      </c>
    </row>
    <row r="139" customFormat="false" ht="15" hidden="false" customHeight="true" outlineLevel="0" collapsed="false">
      <c r="A139" s="38" t="n">
        <v>135</v>
      </c>
      <c r="B139" s="38" t="s">
        <v>387</v>
      </c>
      <c r="C139" s="38" t="s">
        <v>202</v>
      </c>
      <c r="D139" s="53" t="n">
        <v>0.601929</v>
      </c>
      <c r="E139" s="53" t="n">
        <v>0.615049</v>
      </c>
      <c r="F139" s="53" t="n">
        <v>0.608489</v>
      </c>
      <c r="G139" s="53" t="n">
        <v>1</v>
      </c>
      <c r="H139" s="53" t="n">
        <v>1</v>
      </c>
      <c r="I139" s="53" t="n">
        <v>1</v>
      </c>
      <c r="J139" s="38" t="s">
        <v>386</v>
      </c>
    </row>
    <row r="140" customFormat="false" ht="15" hidden="false" customHeight="true" outlineLevel="0" collapsed="false">
      <c r="A140" s="38" t="n">
        <v>136</v>
      </c>
      <c r="B140" s="38" t="s">
        <v>388</v>
      </c>
      <c r="C140" s="38" t="s">
        <v>255</v>
      </c>
      <c r="D140" s="53" t="n">
        <v>0.536232</v>
      </c>
      <c r="E140" s="53" t="n">
        <v>0.521198</v>
      </c>
      <c r="F140" s="53" t="n">
        <v>0.528715</v>
      </c>
      <c r="G140" s="53" t="n">
        <v>1</v>
      </c>
      <c r="H140" s="53" t="n">
        <v>1</v>
      </c>
      <c r="I140" s="53" t="n">
        <v>1</v>
      </c>
      <c r="J140" s="38" t="s">
        <v>386</v>
      </c>
    </row>
    <row r="141" customFormat="false" ht="15" hidden="false" customHeight="true" outlineLevel="0" collapsed="false">
      <c r="A141" s="38" t="n">
        <v>137</v>
      </c>
      <c r="B141" s="38" t="s">
        <v>389</v>
      </c>
      <c r="C141" s="38" t="s">
        <v>257</v>
      </c>
      <c r="D141" s="53" t="n">
        <v>0.329998</v>
      </c>
      <c r="E141" s="53" t="n">
        <v>0.413614</v>
      </c>
      <c r="F141" s="53" t="n">
        <v>0.371806</v>
      </c>
      <c r="G141" s="53" t="n">
        <v>0.9524</v>
      </c>
      <c r="H141" s="53" t="n">
        <v>1</v>
      </c>
      <c r="I141" s="53" t="n">
        <v>1</v>
      </c>
      <c r="J141" s="38" t="s">
        <v>386</v>
      </c>
    </row>
    <row r="142" customFormat="false" ht="15" hidden="false" customHeight="true" outlineLevel="0" collapsed="false">
      <c r="A142" s="38" t="n">
        <v>138</v>
      </c>
      <c r="B142" s="38" t="s">
        <v>390</v>
      </c>
      <c r="C142" s="38" t="s">
        <v>240</v>
      </c>
      <c r="D142" s="53" t="n">
        <v>0.571167</v>
      </c>
      <c r="E142" s="53" t="n">
        <v>0.533476</v>
      </c>
      <c r="F142" s="53" t="n">
        <v>0.552321</v>
      </c>
      <c r="G142" s="53" t="n">
        <v>1</v>
      </c>
      <c r="H142" s="53" t="n">
        <v>0.9167</v>
      </c>
      <c r="I142" s="53" t="n">
        <v>0.8</v>
      </c>
      <c r="J142" s="38" t="s">
        <v>386</v>
      </c>
    </row>
    <row r="143" customFormat="false" ht="15" hidden="false" customHeight="true" outlineLevel="0" collapsed="false">
      <c r="A143" s="38" t="n">
        <v>139</v>
      </c>
      <c r="B143" s="38" t="s">
        <v>391</v>
      </c>
      <c r="C143" s="38" t="s">
        <v>211</v>
      </c>
      <c r="D143" s="53" t="n">
        <v>0.514268</v>
      </c>
      <c r="E143" s="53" t="n">
        <v>0.459352</v>
      </c>
      <c r="F143" s="53" t="n">
        <v>0.48681</v>
      </c>
      <c r="G143" s="53" t="n">
        <v>1</v>
      </c>
      <c r="H143" s="53" t="n">
        <v>0.9167</v>
      </c>
      <c r="I143" s="53" t="n">
        <v>1</v>
      </c>
      <c r="J143" s="38" t="s">
        <v>386</v>
      </c>
    </row>
    <row r="144" customFormat="false" ht="15" hidden="false" customHeight="true" outlineLevel="0" collapsed="false">
      <c r="A144" s="38" t="n">
        <v>140</v>
      </c>
      <c r="B144" s="38" t="s">
        <v>392</v>
      </c>
      <c r="C144" s="38" t="s">
        <v>260</v>
      </c>
      <c r="D144" s="53" t="n">
        <v>0.383676</v>
      </c>
      <c r="E144" s="53" t="n">
        <v>0.433117</v>
      </c>
      <c r="F144" s="53" t="n">
        <v>0.408397</v>
      </c>
      <c r="G144" s="53" t="n">
        <v>0.9524</v>
      </c>
      <c r="H144" s="53" t="n">
        <v>1</v>
      </c>
      <c r="I144" s="53" t="n">
        <v>1</v>
      </c>
      <c r="J144" s="38" t="s">
        <v>386</v>
      </c>
    </row>
    <row r="145" customFormat="false" ht="15" hidden="false" customHeight="true" outlineLevel="0" collapsed="false">
      <c r="A145" s="38" t="n">
        <v>141</v>
      </c>
      <c r="B145" s="38" t="s">
        <v>393</v>
      </c>
      <c r="C145" s="38" t="s">
        <v>216</v>
      </c>
      <c r="D145" s="53" t="n">
        <v>0.63794</v>
      </c>
      <c r="E145" s="53" t="n">
        <v>0.574958</v>
      </c>
      <c r="F145" s="53" t="n">
        <v>0.606449</v>
      </c>
      <c r="G145" s="53" t="n">
        <v>1</v>
      </c>
      <c r="H145" s="53" t="n">
        <v>0.9167</v>
      </c>
      <c r="I145" s="53" t="n">
        <v>0.8</v>
      </c>
      <c r="J145" s="38" t="s">
        <v>386</v>
      </c>
    </row>
    <row r="146" customFormat="false" ht="15" hidden="false" customHeight="true" outlineLevel="0" collapsed="false">
      <c r="A146" s="38" t="n">
        <v>142</v>
      </c>
      <c r="B146" s="38" t="s">
        <v>394</v>
      </c>
      <c r="C146" s="38" t="s">
        <v>267</v>
      </c>
      <c r="D146" s="53" t="n">
        <v>0.567676</v>
      </c>
      <c r="E146" s="53" t="n">
        <v>0.558737</v>
      </c>
      <c r="F146" s="53" t="n">
        <v>0.563206</v>
      </c>
      <c r="G146" s="53" t="n">
        <v>0.9524</v>
      </c>
      <c r="H146" s="53" t="n">
        <v>0.9167</v>
      </c>
      <c r="I146" s="53" t="n">
        <v>1</v>
      </c>
      <c r="J146" s="38" t="s">
        <v>386</v>
      </c>
    </row>
    <row r="147" customFormat="false" ht="15" hidden="false" customHeight="true" outlineLevel="0" collapsed="false">
      <c r="A147" s="38" t="n">
        <v>143</v>
      </c>
      <c r="B147" s="38" t="s">
        <v>395</v>
      </c>
      <c r="C147" s="38" t="s">
        <v>267</v>
      </c>
      <c r="D147" s="53" t="n">
        <v>0.596416</v>
      </c>
      <c r="E147" s="53" t="n">
        <v>0.611602</v>
      </c>
      <c r="F147" s="53" t="n">
        <v>0.604009</v>
      </c>
      <c r="G147" s="53" t="n">
        <v>1</v>
      </c>
      <c r="H147" s="53" t="n">
        <v>1</v>
      </c>
      <c r="I147" s="53" t="n">
        <v>1</v>
      </c>
      <c r="J147" s="38" t="s">
        <v>386</v>
      </c>
    </row>
    <row r="148" customFormat="false" ht="15" hidden="false" customHeight="true" outlineLevel="0" collapsed="false">
      <c r="A148" s="38" t="n">
        <v>144</v>
      </c>
      <c r="B148" s="38" t="s">
        <v>396</v>
      </c>
      <c r="C148" s="38" t="s">
        <v>296</v>
      </c>
      <c r="D148" s="53" t="n">
        <v>0.384582</v>
      </c>
      <c r="E148" s="53" t="n">
        <v>0.406606</v>
      </c>
      <c r="F148" s="53" t="n">
        <v>0.395594</v>
      </c>
      <c r="G148" s="53" t="n">
        <v>0.9524</v>
      </c>
      <c r="H148" s="53" t="n">
        <v>0.8333</v>
      </c>
      <c r="I148" s="53" t="n">
        <v>1</v>
      </c>
      <c r="J148" s="38" t="s">
        <v>386</v>
      </c>
    </row>
    <row r="149" customFormat="false" ht="15" hidden="false" customHeight="true" outlineLevel="0" collapsed="false">
      <c r="A149" s="38" t="n">
        <v>145</v>
      </c>
      <c r="B149" s="38" t="s">
        <v>398</v>
      </c>
      <c r="C149" s="38" t="s">
        <v>296</v>
      </c>
      <c r="D149" s="53" t="n">
        <v>0.384269</v>
      </c>
      <c r="E149" s="53" t="n">
        <v>0.354705</v>
      </c>
      <c r="F149" s="53" t="n">
        <v>0.369487</v>
      </c>
      <c r="G149" s="53" t="n">
        <v>0.9524</v>
      </c>
      <c r="H149" s="53" t="n">
        <v>0.75</v>
      </c>
      <c r="I149" s="53" t="n">
        <v>0.8</v>
      </c>
      <c r="J149" s="38" t="s">
        <v>386</v>
      </c>
    </row>
    <row r="150" customFormat="false" ht="15" hidden="false" customHeight="true" outlineLevel="0" collapsed="false">
      <c r="A150" s="38" t="n">
        <v>146</v>
      </c>
      <c r="B150" s="38" t="s">
        <v>400</v>
      </c>
      <c r="C150" s="38" t="s">
        <v>296</v>
      </c>
      <c r="D150" s="53" t="n">
        <v>0.393524</v>
      </c>
      <c r="E150" s="53" t="n">
        <v>0.453969</v>
      </c>
      <c r="F150" s="53" t="n">
        <v>0.423746</v>
      </c>
      <c r="G150" s="53" t="n">
        <v>0.9524</v>
      </c>
      <c r="H150" s="53" t="n">
        <v>0.75</v>
      </c>
      <c r="I150" s="53" t="n">
        <v>0.8</v>
      </c>
      <c r="J150" s="38" t="s">
        <v>386</v>
      </c>
    </row>
    <row r="151" customFormat="false" ht="15" hidden="false" customHeight="true" outlineLevel="0" collapsed="false">
      <c r="A151" s="38" t="n">
        <v>147</v>
      </c>
      <c r="B151" s="38" t="s">
        <v>401</v>
      </c>
      <c r="C151" s="38" t="s">
        <v>299</v>
      </c>
      <c r="D151" s="53" t="n">
        <v>0.615386</v>
      </c>
      <c r="E151" s="53" t="n">
        <v>0.611073</v>
      </c>
      <c r="F151" s="53" t="n">
        <v>0.61323</v>
      </c>
      <c r="G151" s="53" t="n">
        <v>1</v>
      </c>
      <c r="H151" s="53" t="n">
        <v>0.9167</v>
      </c>
      <c r="I151" s="53" t="n">
        <v>0.8</v>
      </c>
      <c r="J151" s="38" t="s">
        <v>386</v>
      </c>
    </row>
    <row r="152" customFormat="false" ht="15" hidden="false" customHeight="true" outlineLevel="0" collapsed="false">
      <c r="A152" s="38" t="n">
        <v>148</v>
      </c>
      <c r="B152" s="38" t="s">
        <v>402</v>
      </c>
      <c r="C152" s="38" t="s">
        <v>219</v>
      </c>
      <c r="D152" s="53" t="n">
        <v>0.5706</v>
      </c>
      <c r="E152" s="53" t="n">
        <v>0.634572</v>
      </c>
      <c r="F152" s="53" t="n">
        <v>0.602586</v>
      </c>
      <c r="G152" s="53" t="n">
        <v>1</v>
      </c>
      <c r="H152" s="53" t="n">
        <v>0.9167</v>
      </c>
      <c r="I152" s="53" t="n">
        <v>0.8</v>
      </c>
      <c r="J152" s="38" t="s">
        <v>386</v>
      </c>
    </row>
    <row r="153" customFormat="false" ht="15" hidden="false" customHeight="true" outlineLevel="0" collapsed="false">
      <c r="A153" s="38" t="n">
        <v>149</v>
      </c>
      <c r="B153" s="38" t="s">
        <v>403</v>
      </c>
      <c r="C153" s="38" t="s">
        <v>208</v>
      </c>
      <c r="D153" s="53" t="n">
        <v>0.391641</v>
      </c>
      <c r="E153" s="53" t="n">
        <v>0.438545</v>
      </c>
      <c r="F153" s="53" t="n">
        <v>0.415093</v>
      </c>
      <c r="G153" s="53" t="n">
        <v>0.9048</v>
      </c>
      <c r="H153" s="53" t="n">
        <v>1</v>
      </c>
      <c r="I153" s="53" t="n">
        <v>1</v>
      </c>
      <c r="J153" s="38" t="s">
        <v>386</v>
      </c>
    </row>
    <row r="154" customFormat="false" ht="15" hidden="false" customHeight="true" outlineLevel="0" collapsed="false">
      <c r="A154" s="38" t="n">
        <v>150</v>
      </c>
      <c r="B154" s="38" t="s">
        <v>404</v>
      </c>
      <c r="C154" s="38" t="s">
        <v>205</v>
      </c>
      <c r="D154" s="53" t="n">
        <v>0.541657</v>
      </c>
      <c r="E154" s="53" t="n">
        <v>0.452325</v>
      </c>
      <c r="F154" s="53" t="n">
        <v>0.496991</v>
      </c>
      <c r="G154" s="53" t="n">
        <v>1</v>
      </c>
      <c r="H154" s="53" t="n">
        <v>1</v>
      </c>
      <c r="I154" s="53" t="n">
        <v>1</v>
      </c>
      <c r="J154" s="38" t="s">
        <v>386</v>
      </c>
    </row>
    <row r="155" customFormat="false" ht="15" hidden="false" customHeight="true" outlineLevel="0" collapsed="false">
      <c r="A155" s="38" t="n">
        <v>151</v>
      </c>
      <c r="B155" s="38" t="s">
        <v>405</v>
      </c>
      <c r="C155" s="38" t="s">
        <v>221</v>
      </c>
      <c r="D155" s="53" t="n">
        <v>0.370229</v>
      </c>
      <c r="E155" s="53" t="n">
        <v>0.335235</v>
      </c>
      <c r="F155" s="53" t="n">
        <v>0.352732</v>
      </c>
      <c r="G155" s="53" t="n">
        <v>0.9524</v>
      </c>
      <c r="H155" s="53" t="n">
        <v>1</v>
      </c>
      <c r="I155" s="53" t="n">
        <v>1</v>
      </c>
      <c r="J155" s="38" t="s">
        <v>386</v>
      </c>
    </row>
    <row r="156" customFormat="false" ht="15" hidden="false" customHeight="true" outlineLevel="0" collapsed="false">
      <c r="A156" s="38" t="n">
        <v>152</v>
      </c>
      <c r="B156" s="38" t="s">
        <v>406</v>
      </c>
      <c r="C156" s="38" t="s">
        <v>224</v>
      </c>
      <c r="D156" s="53" t="n">
        <v>0.655144</v>
      </c>
      <c r="E156" s="53" t="n">
        <v>0.650913</v>
      </c>
      <c r="F156" s="53" t="n">
        <v>0.653029</v>
      </c>
      <c r="G156" s="53" t="n">
        <v>1</v>
      </c>
      <c r="H156" s="53" t="n">
        <v>0.9167</v>
      </c>
      <c r="I156" s="53" t="n">
        <v>0.8</v>
      </c>
      <c r="J156" s="38" t="s">
        <v>386</v>
      </c>
    </row>
    <row r="157" customFormat="false" ht="15" hidden="false" customHeight="true" outlineLevel="0" collapsed="false">
      <c r="A157" s="38" t="n">
        <v>153</v>
      </c>
      <c r="B157" s="38" t="s">
        <v>407</v>
      </c>
      <c r="C157" s="38" t="s">
        <v>224</v>
      </c>
      <c r="D157" s="53" t="n">
        <v>0.625215</v>
      </c>
      <c r="E157" s="53" t="n">
        <v>0.631852</v>
      </c>
      <c r="F157" s="53" t="n">
        <v>0.628534</v>
      </c>
      <c r="G157" s="53" t="n">
        <v>1</v>
      </c>
      <c r="H157" s="53" t="n">
        <v>1</v>
      </c>
      <c r="I157" s="53" t="n">
        <v>1</v>
      </c>
      <c r="J157" s="38" t="s">
        <v>386</v>
      </c>
    </row>
    <row r="158" customFormat="false" ht="15" hidden="false" customHeight="true" outlineLevel="0" collapsed="false">
      <c r="A158" s="38" t="n">
        <v>154</v>
      </c>
      <c r="B158" s="38" t="s">
        <v>408</v>
      </c>
      <c r="C158" s="38" t="s">
        <v>228</v>
      </c>
      <c r="D158" s="53" t="n">
        <v>0.569913</v>
      </c>
      <c r="E158" s="53" t="n">
        <v>0.543677</v>
      </c>
      <c r="F158" s="53" t="n">
        <v>0.556795</v>
      </c>
      <c r="G158" s="53" t="n">
        <v>1</v>
      </c>
      <c r="H158" s="53" t="n">
        <v>0.9167</v>
      </c>
      <c r="I158" s="53" t="n">
        <v>0.8</v>
      </c>
      <c r="J158" s="38" t="s">
        <v>386</v>
      </c>
    </row>
    <row r="159" customFormat="false" ht="15" hidden="false" customHeight="true" outlineLevel="0" collapsed="false">
      <c r="A159" s="38" t="n">
        <v>155</v>
      </c>
      <c r="B159" s="38" t="s">
        <v>409</v>
      </c>
      <c r="C159" s="38" t="s">
        <v>228</v>
      </c>
      <c r="D159" s="53" t="n">
        <v>0.569913</v>
      </c>
      <c r="E159" s="53" t="n">
        <v>0.543677</v>
      </c>
      <c r="F159" s="53" t="n">
        <v>0.556795</v>
      </c>
      <c r="G159" s="53" t="n">
        <v>1</v>
      </c>
      <c r="H159" s="53" t="n">
        <v>0.9167</v>
      </c>
      <c r="I159" s="53" t="n">
        <v>0.8</v>
      </c>
      <c r="J159" s="38" t="s">
        <v>386</v>
      </c>
    </row>
    <row r="160" customFormat="false" ht="15" hidden="false" customHeight="true" outlineLevel="0" collapsed="false">
      <c r="A160" s="38" t="n">
        <v>156</v>
      </c>
      <c r="B160" s="38" t="s">
        <v>410</v>
      </c>
      <c r="C160" s="38" t="s">
        <v>310</v>
      </c>
      <c r="D160" s="53" t="n">
        <v>0.482793</v>
      </c>
      <c r="E160" s="53" t="n">
        <v>0.455881</v>
      </c>
      <c r="F160" s="53" t="n">
        <v>0.469337</v>
      </c>
      <c r="G160" s="53" t="n">
        <v>1</v>
      </c>
      <c r="H160" s="53" t="n">
        <v>0.9167</v>
      </c>
      <c r="I160" s="53" t="n">
        <v>1</v>
      </c>
      <c r="J160" s="38" t="s">
        <v>386</v>
      </c>
    </row>
    <row r="161" customFormat="false" ht="15" hidden="false" customHeight="true" outlineLevel="0" collapsed="false">
      <c r="A161" s="38" t="n">
        <v>157</v>
      </c>
      <c r="B161" s="38" t="s">
        <v>411</v>
      </c>
      <c r="C161" s="38" t="s">
        <v>310</v>
      </c>
      <c r="D161" s="53" t="n">
        <v>0.529562</v>
      </c>
      <c r="E161" s="53" t="n">
        <v>0.492175</v>
      </c>
      <c r="F161" s="53" t="n">
        <v>0.510869</v>
      </c>
      <c r="G161" s="53" t="n">
        <v>1</v>
      </c>
      <c r="H161" s="53" t="n">
        <v>1</v>
      </c>
      <c r="I161" s="53" t="n">
        <v>1</v>
      </c>
      <c r="J161" s="38" t="s">
        <v>386</v>
      </c>
    </row>
    <row r="162" customFormat="false" ht="15" hidden="false" customHeight="true" outlineLevel="0" collapsed="false">
      <c r="A162" s="38" t="n">
        <v>158</v>
      </c>
      <c r="B162" s="38" t="s">
        <v>412</v>
      </c>
      <c r="C162" s="38" t="s">
        <v>216</v>
      </c>
      <c r="D162" s="53" t="n">
        <v>0.568158</v>
      </c>
      <c r="E162" s="53" t="n">
        <v>0.578562</v>
      </c>
      <c r="F162" s="53" t="n">
        <v>0.57336</v>
      </c>
      <c r="G162" s="53" t="n">
        <v>0.9524</v>
      </c>
      <c r="H162" s="53" t="n">
        <v>1</v>
      </c>
      <c r="I162" s="53" t="n">
        <v>1</v>
      </c>
      <c r="J162" s="38" t="s">
        <v>386</v>
      </c>
    </row>
    <row r="163" customFormat="false" ht="15" hidden="false" customHeight="true" outlineLevel="0" collapsed="false">
      <c r="A163" s="38" t="n">
        <v>159</v>
      </c>
      <c r="B163" s="38" t="s">
        <v>413</v>
      </c>
      <c r="C163" s="38" t="s">
        <v>216</v>
      </c>
      <c r="D163" s="53" t="n">
        <v>0.540033</v>
      </c>
      <c r="E163" s="53" t="n">
        <v>0.550939</v>
      </c>
      <c r="F163" s="53" t="n">
        <v>0.545486</v>
      </c>
      <c r="G163" s="53" t="n">
        <v>0.9524</v>
      </c>
      <c r="H163" s="53" t="n">
        <v>1</v>
      </c>
      <c r="I163" s="53" t="n">
        <v>1</v>
      </c>
      <c r="J163" s="38" t="s">
        <v>386</v>
      </c>
    </row>
    <row r="164" customFormat="false" ht="15" hidden="false" customHeight="true" outlineLevel="0" collapsed="false">
      <c r="A164" s="38" t="n">
        <v>160</v>
      </c>
      <c r="B164" s="38" t="s">
        <v>414</v>
      </c>
      <c r="C164" s="38" t="s">
        <v>202</v>
      </c>
      <c r="D164" s="53" t="n">
        <v>0.601929</v>
      </c>
      <c r="E164" s="53" t="n">
        <v>0.615049</v>
      </c>
      <c r="F164" s="53" t="n">
        <v>0.608489</v>
      </c>
      <c r="G164" s="53" t="n">
        <v>1</v>
      </c>
      <c r="H164" s="53" t="n">
        <v>1</v>
      </c>
      <c r="I164" s="53" t="n">
        <v>1</v>
      </c>
      <c r="J164" s="38" t="s">
        <v>386</v>
      </c>
    </row>
    <row r="165" customFormat="false" ht="15" hidden="false" customHeight="true" outlineLevel="0" collapsed="false">
      <c r="A165" s="38" t="n">
        <v>161</v>
      </c>
      <c r="B165" s="38" t="s">
        <v>415</v>
      </c>
      <c r="C165" s="38" t="s">
        <v>211</v>
      </c>
      <c r="D165" s="53" t="n">
        <v>0.496745</v>
      </c>
      <c r="E165" s="53" t="n">
        <v>0.439211</v>
      </c>
      <c r="F165" s="53" t="n">
        <v>0.467978</v>
      </c>
      <c r="G165" s="53" t="n">
        <v>1</v>
      </c>
      <c r="H165" s="53" t="n">
        <v>0.9167</v>
      </c>
      <c r="I165" s="53" t="n">
        <v>1</v>
      </c>
      <c r="J165" s="38" t="s">
        <v>386</v>
      </c>
    </row>
    <row r="166" customFormat="false" ht="15" hidden="false" customHeight="true" outlineLevel="0" collapsed="false">
      <c r="A166" s="38" t="n">
        <v>162</v>
      </c>
      <c r="B166" s="38" t="s">
        <v>416</v>
      </c>
      <c r="C166" s="38" t="s">
        <v>216</v>
      </c>
      <c r="D166" s="53" t="n">
        <v>0.543431</v>
      </c>
      <c r="E166" s="53" t="n">
        <v>0.607964</v>
      </c>
      <c r="F166" s="53" t="n">
        <v>0.575698</v>
      </c>
      <c r="G166" s="53" t="n">
        <v>1</v>
      </c>
      <c r="H166" s="53" t="n">
        <v>0.9167</v>
      </c>
      <c r="I166" s="53" t="n">
        <v>0.8</v>
      </c>
      <c r="J166" s="38" t="s">
        <v>386</v>
      </c>
    </row>
    <row r="167" customFormat="false" ht="15" hidden="false" customHeight="true" outlineLevel="0" collapsed="false">
      <c r="A167" s="38" t="n">
        <v>163</v>
      </c>
      <c r="B167" s="38" t="s">
        <v>417</v>
      </c>
      <c r="C167" s="38" t="s">
        <v>216</v>
      </c>
      <c r="D167" s="53" t="n">
        <v>0.543431</v>
      </c>
      <c r="E167" s="53" t="n">
        <v>0.607964</v>
      </c>
      <c r="F167" s="53" t="n">
        <v>0.575698</v>
      </c>
      <c r="G167" s="53" t="n">
        <v>1</v>
      </c>
      <c r="H167" s="53" t="n">
        <v>0.9167</v>
      </c>
      <c r="I167" s="53" t="n">
        <v>0.8</v>
      </c>
      <c r="J167" s="38" t="s">
        <v>386</v>
      </c>
    </row>
    <row r="168" customFormat="false" ht="15" hidden="false" customHeight="true" outlineLevel="0" collapsed="false">
      <c r="A168" s="38" t="n">
        <v>164</v>
      </c>
      <c r="B168" s="38" t="s">
        <v>418</v>
      </c>
      <c r="C168" s="38" t="s">
        <v>219</v>
      </c>
      <c r="D168" s="53" t="n">
        <v>0.5706</v>
      </c>
      <c r="E168" s="53" t="n">
        <v>0.634572</v>
      </c>
      <c r="F168" s="53" t="n">
        <v>0.602586</v>
      </c>
      <c r="G168" s="53" t="n">
        <v>1</v>
      </c>
      <c r="H168" s="53" t="n">
        <v>0.9167</v>
      </c>
      <c r="I168" s="53" t="n">
        <v>0.8</v>
      </c>
      <c r="J168" s="38" t="s">
        <v>386</v>
      </c>
    </row>
    <row r="169" customFormat="false" ht="15" hidden="false" customHeight="true" outlineLevel="0" collapsed="false">
      <c r="A169" s="38" t="n">
        <v>165</v>
      </c>
      <c r="B169" s="38" t="s">
        <v>420</v>
      </c>
      <c r="C169" s="38" t="s">
        <v>216</v>
      </c>
      <c r="D169" s="53" t="n">
        <v>0.682966</v>
      </c>
      <c r="E169" s="53" t="n">
        <v>0.671398</v>
      </c>
      <c r="F169" s="53" t="n">
        <v>0.677182</v>
      </c>
      <c r="G169" s="53" t="n">
        <v>1</v>
      </c>
      <c r="H169" s="53" t="n">
        <v>1</v>
      </c>
      <c r="I169" s="53" t="n">
        <v>1</v>
      </c>
      <c r="J169" s="38" t="s">
        <v>419</v>
      </c>
    </row>
    <row r="170" customFormat="false" ht="15" hidden="false" customHeight="true" outlineLevel="0" collapsed="false">
      <c r="A170" s="38" t="n">
        <v>166</v>
      </c>
      <c r="B170" s="38" t="s">
        <v>422</v>
      </c>
      <c r="C170" s="38" t="s">
        <v>274</v>
      </c>
      <c r="D170" s="53" t="n">
        <v>0.569739</v>
      </c>
      <c r="E170" s="53" t="n">
        <v>0.529356</v>
      </c>
      <c r="F170" s="53" t="n">
        <v>0.549547</v>
      </c>
      <c r="G170" s="53" t="n">
        <v>1</v>
      </c>
      <c r="H170" s="53" t="n">
        <v>0.9167</v>
      </c>
      <c r="I170" s="53" t="n">
        <v>0.8</v>
      </c>
      <c r="J170" s="38" t="s">
        <v>421</v>
      </c>
    </row>
    <row r="171" customFormat="false" ht="15" hidden="false" customHeight="true" outlineLevel="0" collapsed="false">
      <c r="A171" s="38" t="n">
        <v>167</v>
      </c>
      <c r="B171" s="38" t="s">
        <v>423</v>
      </c>
      <c r="C171" s="38" t="s">
        <v>290</v>
      </c>
      <c r="D171" s="53" t="n">
        <v>0.300675</v>
      </c>
      <c r="E171" s="53" t="n">
        <v>0.474361</v>
      </c>
      <c r="F171" s="53" t="n">
        <v>0.387518</v>
      </c>
      <c r="G171" s="53" t="n">
        <v>1</v>
      </c>
      <c r="H171" s="53" t="n">
        <v>0.9167</v>
      </c>
      <c r="I171" s="53" t="n">
        <v>1</v>
      </c>
      <c r="J171" s="38" t="s">
        <v>419</v>
      </c>
    </row>
    <row r="172" customFormat="false" ht="15" hidden="false" customHeight="true" outlineLevel="0" collapsed="false">
      <c r="A172" s="38" t="n">
        <v>168</v>
      </c>
      <c r="B172" s="38" t="s">
        <v>424</v>
      </c>
      <c r="C172" s="38" t="s">
        <v>290</v>
      </c>
      <c r="D172" s="53" t="n">
        <v>0.40988</v>
      </c>
      <c r="E172" s="53" t="n">
        <v>0.554086</v>
      </c>
      <c r="F172" s="53" t="n">
        <v>0.481983</v>
      </c>
      <c r="G172" s="53" t="n">
        <v>1</v>
      </c>
      <c r="H172" s="53" t="n">
        <v>0.8333</v>
      </c>
      <c r="I172" s="53" t="n">
        <v>0.8</v>
      </c>
      <c r="J172" s="38" t="s">
        <v>421</v>
      </c>
    </row>
    <row r="173" customFormat="false" ht="15" hidden="false" customHeight="true" outlineLevel="0" collapsed="false">
      <c r="A173" s="38" t="n">
        <v>169</v>
      </c>
      <c r="B173" s="38" t="s">
        <v>425</v>
      </c>
      <c r="C173" s="38" t="s">
        <v>290</v>
      </c>
      <c r="D173" s="53" t="n">
        <v>0.305018</v>
      </c>
      <c r="E173" s="53" t="n">
        <v>0.456312</v>
      </c>
      <c r="F173" s="53" t="n">
        <v>0.380665</v>
      </c>
      <c r="G173" s="53" t="n">
        <v>1</v>
      </c>
      <c r="H173" s="53" t="n">
        <v>0.9167</v>
      </c>
      <c r="I173" s="53" t="n">
        <v>1</v>
      </c>
      <c r="J173" s="38" t="s">
        <v>419</v>
      </c>
    </row>
    <row r="174" customFormat="false" ht="15" hidden="false" customHeight="true" outlineLevel="0" collapsed="false">
      <c r="A174" s="38" t="n">
        <v>170</v>
      </c>
      <c r="B174" s="38" t="s">
        <v>426</v>
      </c>
      <c r="C174" s="38" t="s">
        <v>290</v>
      </c>
      <c r="D174" s="53" t="n">
        <v>0.304819</v>
      </c>
      <c r="E174" s="53" t="n">
        <v>0.468727</v>
      </c>
      <c r="F174" s="53" t="n">
        <v>0.386773</v>
      </c>
      <c r="G174" s="53" t="n">
        <v>1</v>
      </c>
      <c r="H174" s="53" t="n">
        <v>0.9167</v>
      </c>
      <c r="I174" s="53" t="n">
        <v>1</v>
      </c>
      <c r="J174" s="38" t="s">
        <v>419</v>
      </c>
    </row>
    <row r="175" customFormat="false" ht="15" hidden="false" customHeight="true" outlineLevel="0" collapsed="false">
      <c r="A175" s="38" t="n">
        <v>171</v>
      </c>
      <c r="B175" s="38" t="s">
        <v>428</v>
      </c>
      <c r="C175" s="38" t="s">
        <v>290</v>
      </c>
      <c r="D175" s="53" t="n">
        <v>0.401631</v>
      </c>
      <c r="E175" s="53" t="n">
        <v>0.388214</v>
      </c>
      <c r="F175" s="53" t="n">
        <v>0.394922</v>
      </c>
      <c r="G175" s="53" t="n">
        <v>0.9048</v>
      </c>
      <c r="H175" s="53" t="n">
        <v>0.9167</v>
      </c>
      <c r="I175" s="53" t="n">
        <v>0.8</v>
      </c>
      <c r="J175" s="38" t="s">
        <v>427</v>
      </c>
    </row>
    <row r="176" customFormat="false" ht="15" hidden="false" customHeight="true" outlineLevel="0" collapsed="false">
      <c r="A176" s="38" t="n">
        <v>172</v>
      </c>
      <c r="B176" s="38" t="s">
        <v>430</v>
      </c>
      <c r="C176" s="38" t="s">
        <v>211</v>
      </c>
      <c r="D176" s="53" t="n">
        <v>0.531847</v>
      </c>
      <c r="E176" s="53" t="n">
        <v>0.471191</v>
      </c>
      <c r="F176" s="53" t="n">
        <v>0.501519</v>
      </c>
      <c r="G176" s="53" t="n">
        <v>0.9524</v>
      </c>
      <c r="H176" s="53" t="n">
        <v>0.9167</v>
      </c>
      <c r="I176" s="53" t="n">
        <v>0.8</v>
      </c>
      <c r="J176" s="38" t="s">
        <v>429</v>
      </c>
    </row>
    <row r="177" customFormat="false" ht="15" hidden="false" customHeight="true" outlineLevel="0" collapsed="false">
      <c r="A177" s="38" t="n">
        <v>173</v>
      </c>
      <c r="B177" s="38" t="s">
        <v>432</v>
      </c>
      <c r="C177" s="38" t="s">
        <v>216</v>
      </c>
      <c r="D177" s="53" t="n">
        <v>0.251532</v>
      </c>
      <c r="E177" s="53" t="n">
        <v>0.296837</v>
      </c>
      <c r="F177" s="53" t="n">
        <v>0.274185</v>
      </c>
      <c r="G177" s="53" t="n">
        <v>0.9524</v>
      </c>
      <c r="H177" s="53" t="n">
        <v>0.8333</v>
      </c>
      <c r="I177" s="53" t="n">
        <v>0.6</v>
      </c>
      <c r="J177" s="38" t="s">
        <v>431</v>
      </c>
    </row>
    <row r="178" customFormat="false" ht="15" hidden="false" customHeight="true" outlineLevel="0" collapsed="false">
      <c r="A178" s="38" t="n">
        <v>174</v>
      </c>
      <c r="B178" s="38" t="s">
        <v>434</v>
      </c>
      <c r="C178" s="38" t="s">
        <v>216</v>
      </c>
      <c r="D178" s="53" t="n">
        <v>0.362412</v>
      </c>
      <c r="E178" s="53" t="n">
        <v>0.334572</v>
      </c>
      <c r="F178" s="53" t="n">
        <v>0.348492</v>
      </c>
      <c r="G178" s="53" t="n">
        <v>1</v>
      </c>
      <c r="H178" s="53" t="n">
        <v>0.9167</v>
      </c>
      <c r="I178" s="53" t="n">
        <v>0.8</v>
      </c>
      <c r="J178" s="38" t="s">
        <v>433</v>
      </c>
    </row>
    <row r="179" customFormat="false" ht="15" hidden="false" customHeight="true" outlineLevel="0" collapsed="false">
      <c r="A179" s="38" t="n">
        <v>175</v>
      </c>
      <c r="B179" s="38" t="s">
        <v>436</v>
      </c>
      <c r="C179" s="38" t="s">
        <v>437</v>
      </c>
      <c r="D179" s="53" t="n">
        <v>0.089672</v>
      </c>
      <c r="E179" s="53" t="n">
        <v>-0.01431</v>
      </c>
      <c r="F179" s="53" t="n">
        <v>0.037681</v>
      </c>
      <c r="G179" s="53" t="n">
        <v>1</v>
      </c>
      <c r="H179" s="53" t="n">
        <v>0.8333</v>
      </c>
      <c r="I179" s="53" t="n">
        <v>0.8</v>
      </c>
      <c r="J179" s="38" t="s">
        <v>435</v>
      </c>
    </row>
    <row r="180" customFormat="false" ht="15" hidden="false" customHeight="true" outlineLevel="0" collapsed="false">
      <c r="A180" s="38" t="n">
        <v>176</v>
      </c>
      <c r="B180" s="38" t="s">
        <v>439</v>
      </c>
      <c r="C180" s="38" t="s">
        <v>257</v>
      </c>
      <c r="D180" s="53" t="n">
        <v>0.451103</v>
      </c>
      <c r="E180" s="53" t="n">
        <v>0.45478</v>
      </c>
      <c r="F180" s="53" t="n">
        <v>0.452941</v>
      </c>
      <c r="G180" s="53" t="n">
        <v>1</v>
      </c>
      <c r="H180" s="53" t="n">
        <v>0.9167</v>
      </c>
      <c r="I180" s="53" t="n">
        <v>0.8</v>
      </c>
      <c r="J180" s="38" t="s">
        <v>438</v>
      </c>
    </row>
    <row r="181" customFormat="false" ht="15" hidden="false" customHeight="true" outlineLevel="0" collapsed="false">
      <c r="A181" s="38" t="n">
        <v>177</v>
      </c>
      <c r="B181" s="38" t="s">
        <v>441</v>
      </c>
      <c r="C181" s="38" t="s">
        <v>216</v>
      </c>
      <c r="D181" s="53" t="n">
        <v>0.366503</v>
      </c>
      <c r="E181" s="53" t="n">
        <v>0.362543</v>
      </c>
      <c r="F181" s="53" t="n">
        <v>0.364523</v>
      </c>
      <c r="G181" s="53" t="n">
        <v>1</v>
      </c>
      <c r="H181" s="53" t="n">
        <v>0.8333</v>
      </c>
      <c r="I181" s="53" t="n">
        <v>0.8</v>
      </c>
      <c r="J181" s="38" t="s">
        <v>438</v>
      </c>
    </row>
    <row r="182" customFormat="false" ht="15" hidden="false" customHeight="true" outlineLevel="0" collapsed="false">
      <c r="A182" s="38" t="n">
        <v>178</v>
      </c>
      <c r="B182" s="38" t="s">
        <v>442</v>
      </c>
      <c r="C182" s="38" t="s">
        <v>310</v>
      </c>
      <c r="D182" s="53" t="n">
        <v>0.66956</v>
      </c>
      <c r="E182" s="53" t="n">
        <v>0.657515</v>
      </c>
      <c r="F182" s="53" t="n">
        <v>0.663538</v>
      </c>
      <c r="G182" s="53" t="n">
        <v>1</v>
      </c>
      <c r="H182" s="53" t="n">
        <v>1</v>
      </c>
      <c r="I182" s="53" t="n">
        <v>1</v>
      </c>
      <c r="J182" s="38" t="s">
        <v>438</v>
      </c>
    </row>
    <row r="183" customFormat="false" ht="15" hidden="false" customHeight="true" outlineLevel="0" collapsed="false">
      <c r="A183" s="38" t="n">
        <v>179</v>
      </c>
      <c r="B183" s="38" t="s">
        <v>443</v>
      </c>
      <c r="C183" s="38" t="s">
        <v>267</v>
      </c>
      <c r="D183" s="53" t="n">
        <v>0.661828</v>
      </c>
      <c r="E183" s="53" t="n">
        <v>0.65516</v>
      </c>
      <c r="F183" s="53" t="n">
        <v>0.658494</v>
      </c>
      <c r="G183" s="53" t="n">
        <v>1</v>
      </c>
      <c r="H183" s="53" t="n">
        <v>1</v>
      </c>
      <c r="I183" s="53" t="n">
        <v>1</v>
      </c>
      <c r="J183" s="38" t="s">
        <v>438</v>
      </c>
    </row>
    <row r="184" customFormat="false" ht="15" hidden="false" customHeight="true" outlineLevel="0" collapsed="false">
      <c r="A184" s="38" t="n">
        <v>180</v>
      </c>
      <c r="B184" s="38" t="s">
        <v>444</v>
      </c>
      <c r="C184" s="38" t="s">
        <v>208</v>
      </c>
      <c r="D184" s="53" t="n">
        <v>0.356936</v>
      </c>
      <c r="E184" s="53" t="n">
        <v>0.44893</v>
      </c>
      <c r="F184" s="53" t="n">
        <v>0.402933</v>
      </c>
      <c r="G184" s="53" t="n">
        <v>1</v>
      </c>
      <c r="H184" s="53" t="n">
        <v>1</v>
      </c>
      <c r="I184" s="53" t="n">
        <v>1</v>
      </c>
      <c r="J184" s="38" t="s">
        <v>438</v>
      </c>
    </row>
    <row r="185" customFormat="false" ht="15" hidden="false" customHeight="true" outlineLevel="0" collapsed="false">
      <c r="A185" s="38" t="n">
        <v>181</v>
      </c>
      <c r="B185" s="38" t="s">
        <v>446</v>
      </c>
      <c r="C185" s="38" t="s">
        <v>216</v>
      </c>
      <c r="D185" s="53" t="n">
        <v>0.538882</v>
      </c>
      <c r="E185" s="53" t="n">
        <v>0.474506</v>
      </c>
      <c r="F185" s="53" t="n">
        <v>0.506694</v>
      </c>
      <c r="G185" s="53" t="n">
        <v>1</v>
      </c>
      <c r="H185" s="53" t="n">
        <v>0.8333</v>
      </c>
      <c r="I185" s="53" t="n">
        <v>0.8</v>
      </c>
      <c r="J185" s="38" t="s">
        <v>445</v>
      </c>
    </row>
    <row r="186" customFormat="false" ht="15" hidden="false" customHeight="true" outlineLevel="0" collapsed="false">
      <c r="A186" s="38" t="n">
        <v>182</v>
      </c>
      <c r="B186" s="38" t="s">
        <v>448</v>
      </c>
      <c r="C186" s="38" t="s">
        <v>228</v>
      </c>
      <c r="D186" s="53" t="n">
        <v>0.550679</v>
      </c>
      <c r="E186" s="53" t="n">
        <v>0.505387</v>
      </c>
      <c r="F186" s="53" t="n">
        <v>0.528033</v>
      </c>
      <c r="G186" s="53" t="n">
        <v>0.9524</v>
      </c>
      <c r="H186" s="53" t="n">
        <v>0.9167</v>
      </c>
      <c r="I186" s="53" t="n">
        <v>0.8</v>
      </c>
      <c r="J186" s="38" t="s">
        <v>447</v>
      </c>
    </row>
    <row r="187" customFormat="false" ht="15" hidden="false" customHeight="true" outlineLevel="0" collapsed="false">
      <c r="A187" s="38" t="n">
        <v>183</v>
      </c>
      <c r="B187" s="38" t="s">
        <v>449</v>
      </c>
      <c r="C187" s="38" t="s">
        <v>228</v>
      </c>
      <c r="D187" s="53" t="n">
        <v>0.494915</v>
      </c>
      <c r="E187" s="53" t="n">
        <v>0.456249</v>
      </c>
      <c r="F187" s="53" t="n">
        <v>0.475582</v>
      </c>
      <c r="G187" s="53" t="n">
        <v>0.9524</v>
      </c>
      <c r="H187" s="53" t="n">
        <v>0.9167</v>
      </c>
      <c r="I187" s="53" t="n">
        <v>0.8</v>
      </c>
      <c r="J187" s="38" t="s">
        <v>447</v>
      </c>
    </row>
    <row r="188" customFormat="false" ht="15" hidden="false" customHeight="true" outlineLevel="0" collapsed="false">
      <c r="A188" s="38" t="n">
        <v>184</v>
      </c>
      <c r="B188" s="38" t="s">
        <v>451</v>
      </c>
      <c r="C188" s="38" t="s">
        <v>310</v>
      </c>
      <c r="D188" s="53" t="n">
        <v>0.41978</v>
      </c>
      <c r="E188" s="53" t="n">
        <v>0.48274</v>
      </c>
      <c r="F188" s="53" t="n">
        <v>0.45126</v>
      </c>
      <c r="G188" s="53" t="n">
        <v>0.9524</v>
      </c>
      <c r="H188" s="53" t="n">
        <v>0.9167</v>
      </c>
      <c r="I188" s="53" t="n">
        <v>0.8</v>
      </c>
      <c r="J188" s="38" t="s">
        <v>450</v>
      </c>
    </row>
    <row r="189" customFormat="false" ht="15" hidden="false" customHeight="true" outlineLevel="0" collapsed="false">
      <c r="A189" s="38" t="n">
        <v>185</v>
      </c>
      <c r="B189" s="38" t="s">
        <v>453</v>
      </c>
      <c r="C189" s="38" t="s">
        <v>202</v>
      </c>
      <c r="D189" s="53" t="n">
        <v>0.251216</v>
      </c>
      <c r="E189" s="53" t="n">
        <v>0.363479</v>
      </c>
      <c r="F189" s="53" t="n">
        <v>0.307347</v>
      </c>
      <c r="G189" s="53" t="n">
        <v>0.85</v>
      </c>
      <c r="H189" s="53" t="n">
        <v>0.5833</v>
      </c>
      <c r="I189" s="53" t="n">
        <v>0.2</v>
      </c>
      <c r="J189" s="38" t="s">
        <v>452</v>
      </c>
    </row>
    <row r="190" customFormat="false" ht="15" hidden="false" customHeight="true" outlineLevel="0" collapsed="false">
      <c r="A190" s="38" t="n">
        <v>186</v>
      </c>
      <c r="B190" s="38" t="s">
        <v>454</v>
      </c>
      <c r="C190" s="38" t="s">
        <v>202</v>
      </c>
      <c r="D190" s="53" t="n">
        <v>0.558711</v>
      </c>
      <c r="E190" s="53" t="n">
        <v>0.601297</v>
      </c>
      <c r="F190" s="53" t="n">
        <v>0.580004</v>
      </c>
      <c r="G190" s="53" t="n">
        <v>1</v>
      </c>
      <c r="H190" s="53" t="n">
        <v>1</v>
      </c>
      <c r="I190" s="53" t="n">
        <v>1</v>
      </c>
      <c r="J190" s="38" t="s">
        <v>452</v>
      </c>
    </row>
    <row r="191" customFormat="false" ht="15" hidden="false" customHeight="true" outlineLevel="0" collapsed="false">
      <c r="A191" s="38" t="n">
        <v>187</v>
      </c>
      <c r="B191" s="38" t="s">
        <v>455</v>
      </c>
      <c r="C191" s="38" t="s">
        <v>290</v>
      </c>
      <c r="D191" s="53" t="n">
        <v>0.582861</v>
      </c>
      <c r="E191" s="53" t="n">
        <v>0.641606</v>
      </c>
      <c r="F191" s="53" t="n">
        <v>0.612233</v>
      </c>
      <c r="G191" s="53" t="n">
        <v>1</v>
      </c>
      <c r="H191" s="53" t="n">
        <v>0.9167</v>
      </c>
      <c r="I191" s="53" t="n">
        <v>0.8</v>
      </c>
      <c r="J191" s="38" t="s">
        <v>452</v>
      </c>
    </row>
    <row r="192" customFormat="false" ht="15" hidden="false" customHeight="true" outlineLevel="0" collapsed="false">
      <c r="A192" s="38" t="n">
        <v>188</v>
      </c>
      <c r="B192" s="38" t="s">
        <v>456</v>
      </c>
      <c r="C192" s="38" t="s">
        <v>255</v>
      </c>
      <c r="D192" s="53" t="n">
        <v>0.34815</v>
      </c>
      <c r="E192" s="53" t="n">
        <v>0.371753</v>
      </c>
      <c r="F192" s="53" t="n">
        <v>0.359952</v>
      </c>
      <c r="G192" s="53" t="n">
        <v>1</v>
      </c>
      <c r="H192" s="53" t="n">
        <v>0.8333</v>
      </c>
      <c r="I192" s="53" t="n">
        <v>0.8</v>
      </c>
      <c r="J192" s="38" t="s">
        <v>452</v>
      </c>
    </row>
    <row r="193" customFormat="false" ht="15" hidden="false" customHeight="true" outlineLevel="0" collapsed="false">
      <c r="A193" s="38" t="n">
        <v>189</v>
      </c>
      <c r="B193" s="38" t="s">
        <v>457</v>
      </c>
      <c r="C193" s="38" t="s">
        <v>257</v>
      </c>
      <c r="D193" s="53" t="n">
        <v>0.3576</v>
      </c>
      <c r="E193" s="53" t="n">
        <v>0.410365</v>
      </c>
      <c r="F193" s="53" t="n">
        <v>0.383982</v>
      </c>
      <c r="G193" s="53" t="n">
        <v>1</v>
      </c>
      <c r="H193" s="53" t="n">
        <v>1</v>
      </c>
      <c r="I193" s="53" t="n">
        <v>1</v>
      </c>
      <c r="J193" s="38" t="s">
        <v>452</v>
      </c>
    </row>
    <row r="194" customFormat="false" ht="15" hidden="false" customHeight="true" outlineLevel="0" collapsed="false">
      <c r="A194" s="38" t="n">
        <v>190</v>
      </c>
      <c r="B194" s="38" t="s">
        <v>458</v>
      </c>
      <c r="C194" s="38" t="s">
        <v>240</v>
      </c>
      <c r="D194" s="53" t="n">
        <v>0.610844</v>
      </c>
      <c r="E194" s="53" t="n">
        <v>0.64196</v>
      </c>
      <c r="F194" s="53" t="n">
        <v>0.626402</v>
      </c>
      <c r="G194" s="53" t="n">
        <v>1</v>
      </c>
      <c r="H194" s="53" t="n">
        <v>0.9167</v>
      </c>
      <c r="I194" s="53" t="n">
        <v>0.8</v>
      </c>
      <c r="J194" s="38" t="s">
        <v>452</v>
      </c>
    </row>
    <row r="195" customFormat="false" ht="15" hidden="false" customHeight="true" outlineLevel="0" collapsed="false">
      <c r="A195" s="38" t="n">
        <v>191</v>
      </c>
      <c r="B195" s="38" t="s">
        <v>459</v>
      </c>
      <c r="C195" s="38" t="s">
        <v>260</v>
      </c>
      <c r="D195" s="53" t="n">
        <v>0.298701</v>
      </c>
      <c r="E195" s="53" t="n">
        <v>0.3165</v>
      </c>
      <c r="F195" s="53" t="n">
        <v>0.307601</v>
      </c>
      <c r="G195" s="53" t="n">
        <v>1</v>
      </c>
      <c r="H195" s="53" t="n">
        <v>1</v>
      </c>
      <c r="I195" s="53" t="n">
        <v>1</v>
      </c>
      <c r="J195" s="38" t="s">
        <v>452</v>
      </c>
    </row>
    <row r="196" customFormat="false" ht="15" hidden="false" customHeight="true" outlineLevel="0" collapsed="false">
      <c r="A196" s="38" t="n">
        <v>192</v>
      </c>
      <c r="B196" s="38" t="s">
        <v>460</v>
      </c>
      <c r="C196" s="38" t="s">
        <v>216</v>
      </c>
      <c r="D196" s="53" t="n">
        <v>0.467454</v>
      </c>
      <c r="E196" s="53" t="n">
        <v>0.484329</v>
      </c>
      <c r="F196" s="53" t="n">
        <v>0.475891</v>
      </c>
      <c r="G196" s="53" t="n">
        <v>1</v>
      </c>
      <c r="H196" s="53" t="n">
        <v>0.9167</v>
      </c>
      <c r="I196" s="53" t="n">
        <v>1</v>
      </c>
      <c r="J196" s="38" t="s">
        <v>452</v>
      </c>
    </row>
    <row r="197" customFormat="false" ht="15" hidden="false" customHeight="true" outlineLevel="0" collapsed="false">
      <c r="A197" s="38" t="n">
        <v>193</v>
      </c>
      <c r="B197" s="38" t="s">
        <v>461</v>
      </c>
      <c r="C197" s="38" t="s">
        <v>216</v>
      </c>
      <c r="D197" s="53" t="n">
        <v>0.608334</v>
      </c>
      <c r="E197" s="53" t="n">
        <v>0.600807</v>
      </c>
      <c r="F197" s="53" t="n">
        <v>0.604571</v>
      </c>
      <c r="G197" s="53" t="n">
        <v>0.9524</v>
      </c>
      <c r="H197" s="53" t="n">
        <v>1</v>
      </c>
      <c r="I197" s="53" t="n">
        <v>1</v>
      </c>
      <c r="J197" s="38" t="s">
        <v>452</v>
      </c>
    </row>
    <row r="198" customFormat="false" ht="15" hidden="false" customHeight="true" outlineLevel="0" collapsed="false">
      <c r="A198" s="38" t="n">
        <v>194</v>
      </c>
      <c r="B198" s="38" t="s">
        <v>462</v>
      </c>
      <c r="C198" s="38" t="s">
        <v>267</v>
      </c>
      <c r="D198" s="53" t="n">
        <v>0.666147</v>
      </c>
      <c r="E198" s="53" t="n">
        <v>0.6185</v>
      </c>
      <c r="F198" s="53" t="n">
        <v>0.642324</v>
      </c>
      <c r="G198" s="53" t="n">
        <v>1</v>
      </c>
      <c r="H198" s="53" t="n">
        <v>0.9167</v>
      </c>
      <c r="I198" s="53" t="n">
        <v>0.8</v>
      </c>
      <c r="J198" s="38" t="s">
        <v>452</v>
      </c>
    </row>
    <row r="199" customFormat="false" ht="15" hidden="false" customHeight="true" outlineLevel="0" collapsed="false">
      <c r="A199" s="38" t="n">
        <v>195</v>
      </c>
      <c r="B199" s="38" t="s">
        <v>463</v>
      </c>
      <c r="C199" s="38" t="s">
        <v>267</v>
      </c>
      <c r="D199" s="53" t="n">
        <v>0.573738</v>
      </c>
      <c r="E199" s="53" t="n">
        <v>0.566564</v>
      </c>
      <c r="F199" s="53" t="n">
        <v>0.570151</v>
      </c>
      <c r="G199" s="53" t="n">
        <v>0.9524</v>
      </c>
      <c r="H199" s="53" t="n">
        <v>1</v>
      </c>
      <c r="I199" s="53" t="n">
        <v>1</v>
      </c>
      <c r="J199" s="38" t="s">
        <v>452</v>
      </c>
    </row>
    <row r="200" customFormat="false" ht="15" hidden="false" customHeight="true" outlineLevel="0" collapsed="false">
      <c r="A200" s="38" t="n">
        <v>196</v>
      </c>
      <c r="B200" s="38" t="s">
        <v>464</v>
      </c>
      <c r="C200" s="38" t="s">
        <v>251</v>
      </c>
      <c r="D200" s="53" t="n">
        <v>0.468183</v>
      </c>
      <c r="E200" s="53" t="n">
        <v>0.469185</v>
      </c>
      <c r="F200" s="53" t="n">
        <v>0.468684</v>
      </c>
      <c r="G200" s="53" t="n">
        <v>1</v>
      </c>
      <c r="H200" s="53" t="n">
        <v>0.9167</v>
      </c>
      <c r="I200" s="53" t="n">
        <v>1</v>
      </c>
      <c r="J200" s="38" t="s">
        <v>452</v>
      </c>
    </row>
    <row r="201" customFormat="false" ht="15" hidden="false" customHeight="true" outlineLevel="0" collapsed="false">
      <c r="A201" s="38" t="n">
        <v>197</v>
      </c>
      <c r="B201" s="38" t="s">
        <v>465</v>
      </c>
      <c r="C201" s="38" t="s">
        <v>221</v>
      </c>
      <c r="D201" s="53" t="n">
        <v>0.49672</v>
      </c>
      <c r="E201" s="53" t="n">
        <v>0.475539</v>
      </c>
      <c r="F201" s="53" t="n">
        <v>0.486129</v>
      </c>
      <c r="G201" s="53" t="n">
        <v>0.8095</v>
      </c>
      <c r="H201" s="53" t="n">
        <v>0.9167</v>
      </c>
      <c r="I201" s="53" t="n">
        <v>1</v>
      </c>
      <c r="J201" s="38" t="s">
        <v>452</v>
      </c>
    </row>
    <row r="202" customFormat="false" ht="15" hidden="false" customHeight="true" outlineLevel="0" collapsed="false">
      <c r="A202" s="38" t="n">
        <v>198</v>
      </c>
      <c r="B202" s="38" t="s">
        <v>467</v>
      </c>
      <c r="C202" s="38" t="s">
        <v>224</v>
      </c>
      <c r="D202" s="53" t="n">
        <v>0.293574</v>
      </c>
      <c r="E202" s="53" t="n">
        <v>0.183902</v>
      </c>
      <c r="F202" s="53" t="n">
        <v>0.238738</v>
      </c>
      <c r="G202" s="53" t="n">
        <v>0.9048</v>
      </c>
      <c r="H202" s="53" t="n">
        <v>0.8333</v>
      </c>
      <c r="I202" s="53" t="n">
        <v>0.8</v>
      </c>
      <c r="J202" s="38" t="s">
        <v>452</v>
      </c>
    </row>
    <row r="203" customFormat="false" ht="15" hidden="false" customHeight="true" outlineLevel="0" collapsed="false">
      <c r="A203" s="38" t="n">
        <v>199</v>
      </c>
      <c r="B203" s="38" t="s">
        <v>468</v>
      </c>
      <c r="C203" s="38" t="s">
        <v>224</v>
      </c>
      <c r="D203" s="53" t="n">
        <v>0.528672</v>
      </c>
      <c r="E203" s="53" t="n">
        <v>0.49317</v>
      </c>
      <c r="F203" s="53" t="n">
        <v>0.510921</v>
      </c>
      <c r="G203" s="53" t="n">
        <v>0.9524</v>
      </c>
      <c r="H203" s="53" t="n">
        <v>0.9167</v>
      </c>
      <c r="I203" s="53" t="n">
        <v>0.8</v>
      </c>
      <c r="J203" s="38" t="s">
        <v>452</v>
      </c>
    </row>
    <row r="204" customFormat="false" ht="15" hidden="false" customHeight="true" outlineLevel="0" collapsed="false">
      <c r="A204" s="38"/>
      <c r="B204" s="38"/>
      <c r="C204" s="38"/>
      <c r="D204" s="38"/>
      <c r="E204" s="38"/>
      <c r="F204" s="38"/>
      <c r="G204" s="38"/>
      <c r="H204" s="38"/>
      <c r="I204" s="38"/>
      <c r="J204" s="38"/>
    </row>
    <row r="205" customFormat="false" ht="15" hidden="false" customHeight="true" outlineLevel="0" collapsed="false">
      <c r="A205" s="38"/>
      <c r="B205" s="38"/>
      <c r="C205" s="38"/>
      <c r="D205" s="38"/>
      <c r="E205" s="38"/>
      <c r="F205" s="38"/>
      <c r="G205" s="38"/>
      <c r="H205" s="38"/>
      <c r="I205" s="38"/>
      <c r="J205" s="38"/>
    </row>
    <row r="206" customFormat="false" ht="15" hidden="false" customHeight="true" outlineLevel="0" collapsed="false">
      <c r="A206" s="38"/>
      <c r="B206" s="41" t="s">
        <v>50</v>
      </c>
      <c r="C206" s="49" t="n">
        <f aca="false">COUNT(F5:F203)</f>
        <v>199</v>
      </c>
      <c r="D206" s="38"/>
      <c r="E206" s="38"/>
      <c r="F206" s="38"/>
      <c r="G206" s="38"/>
      <c r="H206" s="38"/>
      <c r="I206" s="38"/>
      <c r="J206" s="38"/>
    </row>
    <row r="207" customFormat="false" ht="15" hidden="false" customHeight="true" outlineLevel="0" collapsed="false">
      <c r="A207" s="38"/>
      <c r="B207" s="41" t="s">
        <v>1004</v>
      </c>
      <c r="C207" s="49" t="n">
        <f aca="false">AVERAGE(D5:D203)</f>
        <v>0.501500698492462</v>
      </c>
      <c r="D207" s="38"/>
      <c r="E207" s="38"/>
      <c r="F207" s="38"/>
      <c r="G207" s="38"/>
      <c r="H207" s="38"/>
      <c r="I207" s="38"/>
      <c r="J207" s="38"/>
    </row>
    <row r="208" customFormat="false" ht="15" hidden="false" customHeight="true" outlineLevel="0" collapsed="false">
      <c r="A208" s="38"/>
      <c r="B208" s="41" t="s">
        <v>1005</v>
      </c>
      <c r="C208" s="49" t="n">
        <f aca="false">STDEVP(D5:D203)</f>
        <v>0.142608789477299</v>
      </c>
      <c r="D208" s="38"/>
      <c r="E208" s="38"/>
      <c r="F208" s="38"/>
      <c r="G208" s="38"/>
      <c r="H208" s="38"/>
      <c r="I208" s="38"/>
      <c r="J208" s="38"/>
    </row>
    <row r="209" customFormat="false" ht="15" hidden="false" customHeight="true" outlineLevel="0" collapsed="false">
      <c r="A209" s="38"/>
      <c r="B209" s="41" t="s">
        <v>1006</v>
      </c>
      <c r="C209" s="49" t="n">
        <f aca="false">AVERAGE(E5:E203)</f>
        <v>0.510684869346734</v>
      </c>
      <c r="D209" s="38"/>
      <c r="E209" s="38"/>
      <c r="F209" s="38"/>
      <c r="G209" s="38"/>
      <c r="H209" s="38"/>
      <c r="I209" s="38"/>
      <c r="J209" s="38"/>
    </row>
    <row r="210" customFormat="false" ht="15" hidden="false" customHeight="true" outlineLevel="0" collapsed="false">
      <c r="A210" s="38"/>
      <c r="B210" s="41" t="s">
        <v>1007</v>
      </c>
      <c r="C210" s="49" t="n">
        <f aca="false">STDEVP(E5:E203)</f>
        <v>0.132548976242549</v>
      </c>
      <c r="D210" s="38"/>
      <c r="E210" s="38"/>
      <c r="F210" s="38"/>
      <c r="G210" s="38"/>
      <c r="H210" s="38"/>
      <c r="I210" s="38"/>
      <c r="J210" s="38"/>
    </row>
    <row r="211" customFormat="false" ht="15" hidden="false" customHeight="true" outlineLevel="0" collapsed="false">
      <c r="A211" s="38"/>
      <c r="B211" s="41" t="s">
        <v>1008</v>
      </c>
      <c r="C211" s="49" t="n">
        <f aca="false">AVERAGE(F5:F203)</f>
        <v>0.506092783919598</v>
      </c>
      <c r="D211" s="38"/>
      <c r="E211" s="38"/>
      <c r="F211" s="38"/>
      <c r="G211" s="38"/>
      <c r="H211" s="38"/>
      <c r="I211" s="38"/>
      <c r="J211" s="38"/>
    </row>
    <row r="212" customFormat="false" ht="15" hidden="false" customHeight="true" outlineLevel="0" collapsed="false">
      <c r="A212" s="38"/>
      <c r="B212" s="41" t="s">
        <v>1009</v>
      </c>
      <c r="C212" s="49" t="n">
        <f aca="false">STDEVP(F5:F203)</f>
        <v>0.134656684682518</v>
      </c>
      <c r="D212" s="38"/>
      <c r="E212" s="38"/>
      <c r="F212" s="38"/>
      <c r="G212" s="38"/>
      <c r="H212" s="38"/>
      <c r="I212" s="38"/>
      <c r="J212" s="38"/>
    </row>
    <row r="213" customFormat="false" ht="15" hidden="false" customHeight="true" outlineLevel="0" collapsed="false">
      <c r="A213" s="38"/>
      <c r="B213" s="41" t="s">
        <v>1010</v>
      </c>
      <c r="C213" s="49" t="n">
        <f aca="false">MIN(F5:F203)</f>
        <v>-0.207394</v>
      </c>
      <c r="D213" s="38"/>
      <c r="E213" s="38"/>
      <c r="F213" s="38"/>
      <c r="G213" s="38"/>
      <c r="H213" s="38"/>
      <c r="I213" s="38"/>
      <c r="J213" s="38"/>
    </row>
    <row r="214" customFormat="false" ht="15" hidden="false" customHeight="true" outlineLevel="0" collapsed="false">
      <c r="A214" s="38"/>
      <c r="B214" s="41" t="s">
        <v>1011</v>
      </c>
      <c r="C214" s="49" t="n">
        <f aca="false">MAX(F5:F203)</f>
        <v>0.759013</v>
      </c>
      <c r="D214" s="38"/>
      <c r="E214" s="38"/>
      <c r="F214" s="38"/>
      <c r="G214" s="38"/>
      <c r="H214" s="38"/>
      <c r="I214" s="38"/>
      <c r="J214" s="38"/>
    </row>
    <row r="215" customFormat="false" ht="15" hidden="false" customHeight="true" outlineLevel="0" collapsed="false">
      <c r="A215" s="38"/>
      <c r="B215" s="41" t="s">
        <v>1012</v>
      </c>
      <c r="C215" s="49" t="n">
        <f aca="false">AVERAGE(G5:G203)</f>
        <v>0.978421608040201</v>
      </c>
      <c r="D215" s="38"/>
      <c r="E215" s="38"/>
      <c r="F215" s="38"/>
      <c r="G215" s="38"/>
      <c r="H215" s="38"/>
      <c r="I215" s="38"/>
      <c r="J215" s="38"/>
    </row>
    <row r="216" customFormat="false" ht="15" hidden="false" customHeight="true" outlineLevel="0" collapsed="false">
      <c r="A216" s="38"/>
      <c r="B216" s="41" t="s">
        <v>1013</v>
      </c>
      <c r="C216" s="49" t="n">
        <f aca="false">AVERAGE(H5:H203)</f>
        <v>0.935788442211055</v>
      </c>
      <c r="D216" s="38"/>
      <c r="E216" s="38"/>
      <c r="F216" s="38"/>
      <c r="G216" s="38"/>
      <c r="H216" s="38"/>
      <c r="I216" s="38"/>
      <c r="J216" s="38"/>
    </row>
    <row r="217" customFormat="false" ht="15" hidden="false" customHeight="true" outlineLevel="0" collapsed="false">
      <c r="A217" s="38"/>
      <c r="B217" s="41" t="s">
        <v>1014</v>
      </c>
      <c r="C217" s="49" t="n">
        <f aca="false">CORREL(D5:D203,E5:E203)</f>
        <v>0.915828055880955</v>
      </c>
      <c r="D217" s="38"/>
      <c r="E217" s="38"/>
      <c r="F217" s="38"/>
      <c r="G217" s="38"/>
      <c r="H217" s="38"/>
      <c r="I217" s="38"/>
      <c r="J217"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22"/>
    <col collapsed="false" customWidth="true" hidden="false" outlineLevel="0" max="4" min="4" style="0" width="24"/>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14"/>
  </cols>
  <sheetData>
    <row r="1" customFormat="false" ht="15" hidden="false" customHeight="true" outlineLevel="0" collapsed="false">
      <c r="A1" s="37" t="s">
        <v>1039</v>
      </c>
      <c r="B1" s="38"/>
      <c r="C1" s="38"/>
      <c r="D1" s="38"/>
      <c r="E1" s="38"/>
      <c r="F1" s="38"/>
      <c r="G1" s="38"/>
      <c r="H1" s="38"/>
    </row>
    <row r="2" customFormat="false" ht="15" hidden="false" customHeight="true" outlineLevel="0" collapsed="false">
      <c r="A2" s="38" t="s">
        <v>1040</v>
      </c>
      <c r="B2" s="38"/>
      <c r="C2" s="38"/>
      <c r="D2" s="38"/>
      <c r="E2" s="38"/>
      <c r="F2" s="38"/>
      <c r="G2" s="38"/>
      <c r="H2" s="38"/>
    </row>
    <row r="3" customFormat="false" ht="15" hidden="false" customHeight="true" outlineLevel="0" collapsed="false">
      <c r="A3" s="38"/>
      <c r="B3" s="38"/>
      <c r="C3" s="38"/>
      <c r="D3" s="38"/>
      <c r="E3" s="38"/>
      <c r="F3" s="38"/>
      <c r="G3" s="38"/>
      <c r="H3" s="38"/>
    </row>
    <row r="4" customFormat="false" ht="15" hidden="false" customHeight="true" outlineLevel="0" collapsed="false">
      <c r="A4" s="39" t="s">
        <v>1041</v>
      </c>
      <c r="B4" s="39" t="s">
        <v>1042</v>
      </c>
      <c r="C4" s="39" t="s">
        <v>880</v>
      </c>
      <c r="D4" s="39" t="s">
        <v>881</v>
      </c>
      <c r="E4" s="39" t="s">
        <v>559</v>
      </c>
      <c r="F4" s="39" t="s">
        <v>576</v>
      </c>
      <c r="G4" s="39" t="s">
        <v>580</v>
      </c>
      <c r="H4" s="39" t="s">
        <v>584</v>
      </c>
    </row>
    <row r="5" customFormat="false" ht="15" hidden="false" customHeight="true" outlineLevel="0" collapsed="false">
      <c r="A5" s="38" t="s">
        <v>906</v>
      </c>
      <c r="B5" s="38" t="n">
        <v>1</v>
      </c>
      <c r="C5" s="53" t="n">
        <v>-0.998365</v>
      </c>
      <c r="D5" s="53" t="n">
        <v>-0.393002</v>
      </c>
      <c r="E5" s="53" t="n">
        <v>-0.695683</v>
      </c>
      <c r="F5" s="53" t="n">
        <v>0.142857</v>
      </c>
      <c r="G5" s="53" t="n">
        <v>0.166667</v>
      </c>
      <c r="H5" s="53" t="n">
        <v>0.2</v>
      </c>
    </row>
    <row r="6" customFormat="false" ht="15" hidden="false" customHeight="true" outlineLevel="0" collapsed="false">
      <c r="A6" s="38" t="s">
        <v>906</v>
      </c>
      <c r="B6" s="38" t="n">
        <v>2</v>
      </c>
      <c r="C6" s="53" t="n">
        <v>-0.582487</v>
      </c>
      <c r="D6" s="53" t="n">
        <v>-0.453401</v>
      </c>
      <c r="E6" s="53" t="n">
        <v>-0.517944</v>
      </c>
      <c r="F6" s="53" t="n">
        <v>0.333333</v>
      </c>
      <c r="G6" s="53" t="n">
        <v>0.25</v>
      </c>
      <c r="H6" s="53" t="n">
        <v>0.2</v>
      </c>
    </row>
    <row r="7" customFormat="false" ht="15" hidden="false" customHeight="true" outlineLevel="0" collapsed="false">
      <c r="A7" s="38" t="s">
        <v>906</v>
      </c>
      <c r="B7" s="38" t="n">
        <v>3</v>
      </c>
      <c r="C7" s="53" t="n">
        <v>-0.596311</v>
      </c>
      <c r="D7" s="53" t="n">
        <v>-0.300695</v>
      </c>
      <c r="E7" s="53" t="n">
        <v>-0.448503</v>
      </c>
      <c r="F7" s="53" t="n">
        <v>0.333333</v>
      </c>
      <c r="G7" s="53" t="n">
        <v>0.333333</v>
      </c>
      <c r="H7" s="53" t="n">
        <v>0.8</v>
      </c>
    </row>
    <row r="8" customFormat="false" ht="15" hidden="false" customHeight="true" outlineLevel="0" collapsed="false">
      <c r="A8" s="38" t="s">
        <v>906</v>
      </c>
      <c r="B8" s="38" t="n">
        <v>4</v>
      </c>
      <c r="C8" s="53" t="n">
        <v>-0.714058</v>
      </c>
      <c r="D8" s="53" t="n">
        <v>-0.404745</v>
      </c>
      <c r="E8" s="53" t="n">
        <v>-0.559401</v>
      </c>
      <c r="F8" s="53" t="n">
        <v>0.238095</v>
      </c>
      <c r="G8" s="53" t="n">
        <v>0.25</v>
      </c>
      <c r="H8" s="53" t="n">
        <v>0</v>
      </c>
    </row>
    <row r="9" customFormat="false" ht="15" hidden="false" customHeight="true" outlineLevel="0" collapsed="false">
      <c r="A9" s="38" t="s">
        <v>906</v>
      </c>
      <c r="B9" s="38" t="n">
        <v>5</v>
      </c>
      <c r="C9" s="53" t="n">
        <v>-0.772775</v>
      </c>
      <c r="D9" s="53" t="n">
        <v>-0.289039</v>
      </c>
      <c r="E9" s="53" t="n">
        <v>-0.530907</v>
      </c>
      <c r="F9" s="53" t="n">
        <v>0.47619</v>
      </c>
      <c r="G9" s="53" t="n">
        <v>0.166667</v>
      </c>
      <c r="H9" s="53" t="n">
        <v>0</v>
      </c>
    </row>
    <row r="10" customFormat="false" ht="15" hidden="false" customHeight="true" outlineLevel="0" collapsed="false">
      <c r="A10" s="38" t="s">
        <v>906</v>
      </c>
      <c r="B10" s="38" t="n">
        <v>6</v>
      </c>
      <c r="C10" s="53" t="n">
        <v>-0.809914</v>
      </c>
      <c r="D10" s="53" t="n">
        <v>-0.443568</v>
      </c>
      <c r="E10" s="53" t="n">
        <v>-0.626741</v>
      </c>
      <c r="F10" s="53" t="n">
        <v>0.190476</v>
      </c>
      <c r="G10" s="53" t="n">
        <v>0.166667</v>
      </c>
      <c r="H10" s="53" t="n">
        <v>0.2</v>
      </c>
    </row>
    <row r="11" customFormat="false" ht="15" hidden="false" customHeight="true" outlineLevel="0" collapsed="false">
      <c r="A11" s="38" t="s">
        <v>906</v>
      </c>
      <c r="B11" s="38" t="n">
        <v>7</v>
      </c>
      <c r="C11" s="53" t="n">
        <v>-0.93954</v>
      </c>
      <c r="D11" s="53" t="n">
        <v>-0.511385</v>
      </c>
      <c r="E11" s="53" t="n">
        <v>-0.725462</v>
      </c>
      <c r="F11" s="53" t="n">
        <v>0.52381</v>
      </c>
      <c r="G11" s="53" t="n">
        <v>0.25</v>
      </c>
      <c r="H11" s="53" t="n">
        <v>0</v>
      </c>
    </row>
    <row r="12" customFormat="false" ht="15" hidden="false" customHeight="true" outlineLevel="0" collapsed="false">
      <c r="A12" s="38" t="s">
        <v>906</v>
      </c>
      <c r="B12" s="38" t="n">
        <v>8</v>
      </c>
      <c r="C12" s="53" t="n">
        <v>-0.457242</v>
      </c>
      <c r="D12" s="53" t="n">
        <v>-0.236616</v>
      </c>
      <c r="E12" s="53" t="n">
        <v>-0.346929</v>
      </c>
      <c r="F12" s="53" t="n">
        <v>0.52381</v>
      </c>
      <c r="G12" s="53" t="n">
        <v>0.333333</v>
      </c>
      <c r="H12" s="53" t="n">
        <v>0</v>
      </c>
    </row>
    <row r="13" customFormat="false" ht="15" hidden="false" customHeight="true" outlineLevel="0" collapsed="false">
      <c r="A13" s="38" t="s">
        <v>906</v>
      </c>
      <c r="B13" s="38" t="n">
        <v>9</v>
      </c>
      <c r="C13" s="53" t="n">
        <v>-1.064409</v>
      </c>
      <c r="D13" s="53" t="n">
        <v>-0.42353</v>
      </c>
      <c r="E13" s="53" t="n">
        <v>-0.74397</v>
      </c>
      <c r="F13" s="53" t="n">
        <v>0.47619</v>
      </c>
      <c r="G13" s="53" t="n">
        <v>0</v>
      </c>
      <c r="H13" s="53" t="n">
        <v>0</v>
      </c>
    </row>
    <row r="14" customFormat="false" ht="15" hidden="false" customHeight="true" outlineLevel="0" collapsed="false">
      <c r="A14" s="38" t="s">
        <v>906</v>
      </c>
      <c r="B14" s="38" t="n">
        <v>10</v>
      </c>
      <c r="C14" s="53" t="n">
        <v>-0.675688</v>
      </c>
      <c r="D14" s="53" t="n">
        <v>-0.459805</v>
      </c>
      <c r="E14" s="53" t="n">
        <v>-0.567747</v>
      </c>
      <c r="F14" s="53" t="n">
        <v>0.47619</v>
      </c>
      <c r="G14" s="53" t="n">
        <v>0.416667</v>
      </c>
      <c r="H14" s="53" t="n">
        <v>0.4</v>
      </c>
    </row>
    <row r="15" customFormat="false" ht="15" hidden="false" customHeight="true" outlineLevel="0" collapsed="false">
      <c r="A15" s="38" t="s">
        <v>907</v>
      </c>
      <c r="B15" s="38" t="n">
        <v>1</v>
      </c>
      <c r="C15" s="53" t="n">
        <v>-0.732353</v>
      </c>
      <c r="D15" s="53" t="n">
        <v>-0.364456</v>
      </c>
      <c r="E15" s="53" t="n">
        <v>-0.548405</v>
      </c>
      <c r="F15" s="53" t="n">
        <v>0.380952</v>
      </c>
      <c r="G15" s="53" t="n">
        <v>0.25</v>
      </c>
      <c r="H15" s="53" t="n">
        <v>0</v>
      </c>
    </row>
    <row r="16" customFormat="false" ht="15" hidden="false" customHeight="true" outlineLevel="0" collapsed="false">
      <c r="A16" s="38" t="s">
        <v>907</v>
      </c>
      <c r="B16" s="38" t="n">
        <v>2</v>
      </c>
      <c r="C16" s="53" t="n">
        <v>-1.051801</v>
      </c>
      <c r="D16" s="53" t="n">
        <v>-0.496404</v>
      </c>
      <c r="E16" s="53" t="n">
        <v>-0.774102</v>
      </c>
      <c r="F16" s="53" t="n">
        <v>0.285714</v>
      </c>
      <c r="G16" s="53" t="n">
        <v>0.166667</v>
      </c>
      <c r="H16" s="53" t="n">
        <v>0.2</v>
      </c>
    </row>
    <row r="17" customFormat="false" ht="15" hidden="false" customHeight="true" outlineLevel="0" collapsed="false">
      <c r="A17" s="38" t="s">
        <v>907</v>
      </c>
      <c r="B17" s="38" t="n">
        <v>3</v>
      </c>
      <c r="C17" s="53" t="n">
        <v>-0.810962</v>
      </c>
      <c r="D17" s="53" t="n">
        <v>-0.417293</v>
      </c>
      <c r="E17" s="53" t="n">
        <v>-0.614127</v>
      </c>
      <c r="F17" s="53" t="n">
        <v>0.380952</v>
      </c>
      <c r="G17" s="53" t="n">
        <v>0.166667</v>
      </c>
      <c r="H17" s="53" t="n">
        <v>0.2</v>
      </c>
    </row>
    <row r="18" customFormat="false" ht="15" hidden="false" customHeight="true" outlineLevel="0" collapsed="false">
      <c r="A18" s="38" t="s">
        <v>907</v>
      </c>
      <c r="B18" s="38" t="n">
        <v>4</v>
      </c>
      <c r="C18" s="53" t="n">
        <v>-0.65791</v>
      </c>
      <c r="D18" s="53" t="n">
        <v>-0.335716</v>
      </c>
      <c r="E18" s="53" t="n">
        <v>-0.496813</v>
      </c>
      <c r="F18" s="53" t="n">
        <v>0.571429</v>
      </c>
      <c r="G18" s="53" t="n">
        <v>0.416667</v>
      </c>
      <c r="H18" s="53" t="n">
        <v>0.6</v>
      </c>
    </row>
    <row r="19" customFormat="false" ht="15" hidden="false" customHeight="true" outlineLevel="0" collapsed="false">
      <c r="A19" s="38" t="s">
        <v>907</v>
      </c>
      <c r="B19" s="38" t="n">
        <v>5</v>
      </c>
      <c r="C19" s="53" t="n">
        <v>-0.679959</v>
      </c>
      <c r="D19" s="53" t="n">
        <v>-0.536954</v>
      </c>
      <c r="E19" s="53" t="n">
        <v>-0.608457</v>
      </c>
      <c r="F19" s="53" t="n">
        <v>0.52381</v>
      </c>
      <c r="G19" s="53" t="n">
        <v>0.416667</v>
      </c>
      <c r="H19" s="53" t="n">
        <v>0.2</v>
      </c>
    </row>
    <row r="20" customFormat="false" ht="15" hidden="false" customHeight="true" outlineLevel="0" collapsed="false">
      <c r="A20" s="38" t="s">
        <v>907</v>
      </c>
      <c r="B20" s="38" t="n">
        <v>6</v>
      </c>
      <c r="C20" s="53" t="n">
        <v>-0.832452</v>
      </c>
      <c r="D20" s="53" t="n">
        <v>-0.432817</v>
      </c>
      <c r="E20" s="53" t="n">
        <v>-0.632634</v>
      </c>
      <c r="F20" s="53" t="n">
        <v>0.428571</v>
      </c>
      <c r="G20" s="53" t="n">
        <v>0.333333</v>
      </c>
      <c r="H20" s="53" t="n">
        <v>0.2</v>
      </c>
    </row>
    <row r="21" customFormat="false" ht="15" hidden="false" customHeight="true" outlineLevel="0" collapsed="false">
      <c r="A21" s="38" t="s">
        <v>907</v>
      </c>
      <c r="B21" s="38" t="n">
        <v>7</v>
      </c>
      <c r="C21" s="53" t="n">
        <v>-0.650862</v>
      </c>
      <c r="D21" s="53" t="n">
        <v>-0.483248</v>
      </c>
      <c r="E21" s="53" t="n">
        <v>-0.567055</v>
      </c>
      <c r="F21" s="53" t="n">
        <v>0.380952</v>
      </c>
      <c r="G21" s="53" t="n">
        <v>0.333333</v>
      </c>
      <c r="H21" s="53" t="n">
        <v>0.4</v>
      </c>
    </row>
    <row r="22" customFormat="false" ht="15" hidden="false" customHeight="true" outlineLevel="0" collapsed="false">
      <c r="A22" s="38" t="s">
        <v>907</v>
      </c>
      <c r="B22" s="38" t="n">
        <v>8</v>
      </c>
      <c r="C22" s="53" t="n">
        <v>-0.631031</v>
      </c>
      <c r="D22" s="53" t="n">
        <v>-0.361343</v>
      </c>
      <c r="E22" s="53" t="n">
        <v>-0.496187</v>
      </c>
      <c r="F22" s="53" t="n">
        <v>0.333333</v>
      </c>
      <c r="G22" s="53" t="n">
        <v>0.166667</v>
      </c>
      <c r="H22" s="53" t="n">
        <v>0.2</v>
      </c>
    </row>
    <row r="23" customFormat="false" ht="15" hidden="false" customHeight="true" outlineLevel="0" collapsed="false">
      <c r="A23" s="38" t="s">
        <v>907</v>
      </c>
      <c r="B23" s="38" t="n">
        <v>9</v>
      </c>
      <c r="C23" s="53" t="n">
        <v>-0.954997</v>
      </c>
      <c r="D23" s="53" t="n">
        <v>-0.42975</v>
      </c>
      <c r="E23" s="53" t="n">
        <v>-0.692374</v>
      </c>
      <c r="F23" s="53" t="n">
        <v>0.380952</v>
      </c>
      <c r="G23" s="53" t="n">
        <v>0.083333</v>
      </c>
      <c r="H23" s="53" t="n">
        <v>0.2</v>
      </c>
    </row>
    <row r="24" customFormat="false" ht="15" hidden="false" customHeight="true" outlineLevel="0" collapsed="false">
      <c r="A24" s="38" t="s">
        <v>907</v>
      </c>
      <c r="B24" s="38" t="n">
        <v>10</v>
      </c>
      <c r="C24" s="53" t="n">
        <v>-0.726673</v>
      </c>
      <c r="D24" s="53" t="n">
        <v>-0.382513</v>
      </c>
      <c r="E24" s="53" t="n">
        <v>-0.554593</v>
      </c>
      <c r="F24" s="53" t="n">
        <v>0.428571</v>
      </c>
      <c r="G24" s="53" t="n">
        <v>0.166667</v>
      </c>
      <c r="H24" s="53" t="n">
        <v>0.2</v>
      </c>
    </row>
    <row r="25" customFormat="false" ht="15" hidden="false" customHeight="true" outlineLevel="0" collapsed="false">
      <c r="A25" s="38" t="s">
        <v>908</v>
      </c>
      <c r="B25" s="38" t="n">
        <v>1</v>
      </c>
      <c r="C25" s="53" t="n">
        <v>-0.93084</v>
      </c>
      <c r="D25" s="53" t="n">
        <v>-0.55863</v>
      </c>
      <c r="E25" s="53" t="n">
        <v>-0.744735</v>
      </c>
      <c r="F25" s="53" t="n">
        <v>0.333333</v>
      </c>
      <c r="G25" s="53" t="n">
        <v>0.25</v>
      </c>
      <c r="H25" s="53" t="n">
        <v>0.4</v>
      </c>
    </row>
    <row r="26" customFormat="false" ht="15" hidden="false" customHeight="true" outlineLevel="0" collapsed="false">
      <c r="A26" s="38" t="s">
        <v>908</v>
      </c>
      <c r="B26" s="38" t="n">
        <v>2</v>
      </c>
      <c r="C26" s="53" t="n">
        <v>-0.683512</v>
      </c>
      <c r="D26" s="53" t="n">
        <v>-0.4133</v>
      </c>
      <c r="E26" s="53" t="n">
        <v>-0.548406</v>
      </c>
      <c r="F26" s="53" t="n">
        <v>0.285714</v>
      </c>
      <c r="G26" s="53" t="n">
        <v>0.416667</v>
      </c>
      <c r="H26" s="53" t="n">
        <v>0.4</v>
      </c>
    </row>
    <row r="27" customFormat="false" ht="15" hidden="false" customHeight="true" outlineLevel="0" collapsed="false">
      <c r="A27" s="38" t="s">
        <v>908</v>
      </c>
      <c r="B27" s="38" t="n">
        <v>3</v>
      </c>
      <c r="C27" s="53" t="n">
        <v>-1.041978</v>
      </c>
      <c r="D27" s="53" t="n">
        <v>-0.48277</v>
      </c>
      <c r="E27" s="53" t="n">
        <v>-0.762374</v>
      </c>
      <c r="F27" s="53" t="n">
        <v>0.380952</v>
      </c>
      <c r="G27" s="53" t="n">
        <v>0.166667</v>
      </c>
      <c r="H27" s="53" t="n">
        <v>0.2</v>
      </c>
    </row>
    <row r="28" customFormat="false" ht="15" hidden="false" customHeight="true" outlineLevel="0" collapsed="false">
      <c r="A28" s="38" t="s">
        <v>908</v>
      </c>
      <c r="B28" s="38" t="n">
        <v>4</v>
      </c>
      <c r="C28" s="53" t="n">
        <v>-0.575283</v>
      </c>
      <c r="D28" s="53" t="n">
        <v>-0.396075</v>
      </c>
      <c r="E28" s="53" t="n">
        <v>-0.485679</v>
      </c>
      <c r="F28" s="53" t="n">
        <v>0.380952</v>
      </c>
      <c r="G28" s="53" t="n">
        <v>0.166667</v>
      </c>
      <c r="H28" s="53" t="n">
        <v>0.2</v>
      </c>
    </row>
    <row r="29" customFormat="false" ht="15" hidden="false" customHeight="true" outlineLevel="0" collapsed="false">
      <c r="A29" s="38" t="s">
        <v>908</v>
      </c>
      <c r="B29" s="38" t="n">
        <v>5</v>
      </c>
      <c r="C29" s="53" t="n">
        <v>-0.773412</v>
      </c>
      <c r="D29" s="53" t="n">
        <v>-0.424204</v>
      </c>
      <c r="E29" s="53" t="n">
        <v>-0.598808</v>
      </c>
      <c r="F29" s="53" t="n">
        <v>0.52381</v>
      </c>
      <c r="G29" s="53" t="n">
        <v>0.333333</v>
      </c>
      <c r="H29" s="53" t="n">
        <v>0</v>
      </c>
    </row>
    <row r="30" customFormat="false" ht="15" hidden="false" customHeight="true" outlineLevel="0" collapsed="false">
      <c r="A30" s="38" t="s">
        <v>908</v>
      </c>
      <c r="B30" s="38" t="n">
        <v>6</v>
      </c>
      <c r="C30" s="53" t="n">
        <v>-0.738767</v>
      </c>
      <c r="D30" s="53" t="n">
        <v>-0.456412</v>
      </c>
      <c r="E30" s="53" t="n">
        <v>-0.597589</v>
      </c>
      <c r="F30" s="53" t="n">
        <v>0.285714</v>
      </c>
      <c r="G30" s="53" t="n">
        <v>0.333333</v>
      </c>
      <c r="H30" s="53" t="n">
        <v>0.4</v>
      </c>
    </row>
    <row r="31" customFormat="false" ht="15" hidden="false" customHeight="true" outlineLevel="0" collapsed="false">
      <c r="A31" s="38" t="s">
        <v>908</v>
      </c>
      <c r="B31" s="38" t="n">
        <v>7</v>
      </c>
      <c r="C31" s="53" t="n">
        <v>-0.837854</v>
      </c>
      <c r="D31" s="53" t="n">
        <v>-0.507878</v>
      </c>
      <c r="E31" s="53" t="n">
        <v>-0.672866</v>
      </c>
      <c r="F31" s="53" t="n">
        <v>0.380952</v>
      </c>
      <c r="G31" s="53" t="n">
        <v>0.166667</v>
      </c>
      <c r="H31" s="53" t="n">
        <v>0.2</v>
      </c>
    </row>
    <row r="32" customFormat="false" ht="15" hidden="false" customHeight="true" outlineLevel="0" collapsed="false">
      <c r="A32" s="38" t="s">
        <v>908</v>
      </c>
      <c r="B32" s="38" t="n">
        <v>8</v>
      </c>
      <c r="C32" s="53" t="n">
        <v>-0.937755</v>
      </c>
      <c r="D32" s="53" t="n">
        <v>-0.505409</v>
      </c>
      <c r="E32" s="53" t="n">
        <v>-0.721582</v>
      </c>
      <c r="F32" s="53" t="n">
        <v>0.380952</v>
      </c>
      <c r="G32" s="53" t="n">
        <v>0.333333</v>
      </c>
      <c r="H32" s="53" t="n">
        <v>0.4</v>
      </c>
    </row>
    <row r="33" customFormat="false" ht="15" hidden="false" customHeight="true" outlineLevel="0" collapsed="false">
      <c r="A33" s="38" t="s">
        <v>908</v>
      </c>
      <c r="B33" s="38" t="n">
        <v>9</v>
      </c>
      <c r="C33" s="53" t="n">
        <v>-0.675106</v>
      </c>
      <c r="D33" s="53" t="n">
        <v>-0.284459</v>
      </c>
      <c r="E33" s="53" t="n">
        <v>-0.479783</v>
      </c>
      <c r="F33" s="53" t="n">
        <v>0.190476</v>
      </c>
      <c r="G33" s="53" t="n">
        <v>0.166667</v>
      </c>
      <c r="H33" s="53" t="n">
        <v>0.2</v>
      </c>
    </row>
    <row r="34" customFormat="false" ht="15" hidden="false" customHeight="true" outlineLevel="0" collapsed="false">
      <c r="A34" s="38" t="s">
        <v>908</v>
      </c>
      <c r="B34" s="38" t="n">
        <v>10</v>
      </c>
      <c r="C34" s="53" t="n">
        <v>-0.955766</v>
      </c>
      <c r="D34" s="53" t="n">
        <v>-0.413608</v>
      </c>
      <c r="E34" s="53" t="n">
        <v>-0.684687</v>
      </c>
      <c r="F34" s="53" t="n">
        <v>0.52381</v>
      </c>
      <c r="G34" s="53" t="n">
        <v>0.166667</v>
      </c>
      <c r="H34" s="53" t="n">
        <v>0.2</v>
      </c>
    </row>
    <row r="35" customFormat="false" ht="15" hidden="false" customHeight="true" outlineLevel="0" collapsed="false">
      <c r="A35" s="38" t="s">
        <v>910</v>
      </c>
      <c r="B35" s="38" t="n">
        <v>1</v>
      </c>
      <c r="C35" s="53" t="n">
        <v>-0.887188</v>
      </c>
      <c r="D35" s="53" t="n">
        <v>-0.482287</v>
      </c>
      <c r="E35" s="53" t="n">
        <v>-0.684738</v>
      </c>
      <c r="F35" s="53" t="n">
        <v>0.47619</v>
      </c>
      <c r="G35" s="53" t="n">
        <v>0.5</v>
      </c>
      <c r="H35" s="53" t="n">
        <v>0.8</v>
      </c>
    </row>
    <row r="36" customFormat="false" ht="15" hidden="false" customHeight="true" outlineLevel="0" collapsed="false">
      <c r="A36" s="38" t="s">
        <v>910</v>
      </c>
      <c r="B36" s="38" t="n">
        <v>2</v>
      </c>
      <c r="C36" s="53" t="n">
        <v>-0.606865</v>
      </c>
      <c r="D36" s="53" t="n">
        <v>-0.38393</v>
      </c>
      <c r="E36" s="53" t="n">
        <v>-0.495397</v>
      </c>
      <c r="F36" s="53" t="n">
        <v>0.380952</v>
      </c>
      <c r="G36" s="53" t="n">
        <v>0.25</v>
      </c>
      <c r="H36" s="53" t="n">
        <v>0.2</v>
      </c>
    </row>
    <row r="37" customFormat="false" ht="15" hidden="false" customHeight="true" outlineLevel="0" collapsed="false">
      <c r="A37" s="38" t="s">
        <v>910</v>
      </c>
      <c r="B37" s="38" t="n">
        <v>3</v>
      </c>
      <c r="C37" s="53" t="n">
        <v>-0.703453</v>
      </c>
      <c r="D37" s="53" t="n">
        <v>-0.513719</v>
      </c>
      <c r="E37" s="53" t="n">
        <v>-0.608586</v>
      </c>
      <c r="F37" s="53" t="n">
        <v>0.142857</v>
      </c>
      <c r="G37" s="53" t="n">
        <v>0.333333</v>
      </c>
      <c r="H37" s="53" t="n">
        <v>0.2</v>
      </c>
    </row>
    <row r="38" customFormat="false" ht="15" hidden="false" customHeight="true" outlineLevel="0" collapsed="false">
      <c r="A38" s="38" t="s">
        <v>910</v>
      </c>
      <c r="B38" s="38" t="n">
        <v>4</v>
      </c>
      <c r="C38" s="53" t="n">
        <v>-0.449587</v>
      </c>
      <c r="D38" s="53" t="n">
        <v>-0.331754</v>
      </c>
      <c r="E38" s="53" t="n">
        <v>-0.390671</v>
      </c>
      <c r="F38" s="53" t="n">
        <v>0.428571</v>
      </c>
      <c r="G38" s="53" t="n">
        <v>0.416667</v>
      </c>
      <c r="H38" s="53" t="n">
        <v>0.4</v>
      </c>
    </row>
    <row r="39" customFormat="false" ht="15" hidden="false" customHeight="true" outlineLevel="0" collapsed="false">
      <c r="A39" s="38" t="s">
        <v>910</v>
      </c>
      <c r="B39" s="38" t="n">
        <v>5</v>
      </c>
      <c r="C39" s="53" t="n">
        <v>-0.864693</v>
      </c>
      <c r="D39" s="53" t="n">
        <v>-0.298474</v>
      </c>
      <c r="E39" s="53" t="n">
        <v>-0.581584</v>
      </c>
      <c r="F39" s="53" t="n">
        <v>0.666667</v>
      </c>
      <c r="G39" s="53" t="n">
        <v>0.333333</v>
      </c>
      <c r="H39" s="53" t="n">
        <v>0.2</v>
      </c>
    </row>
    <row r="40" customFormat="false" ht="15" hidden="false" customHeight="true" outlineLevel="0" collapsed="false">
      <c r="A40" s="38" t="s">
        <v>910</v>
      </c>
      <c r="B40" s="38" t="n">
        <v>6</v>
      </c>
      <c r="C40" s="53" t="n">
        <v>-0.72316</v>
      </c>
      <c r="D40" s="53" t="n">
        <v>-0.46672</v>
      </c>
      <c r="E40" s="53" t="n">
        <v>-0.59494</v>
      </c>
      <c r="F40" s="53" t="n">
        <v>0.428571</v>
      </c>
      <c r="G40" s="53" t="n">
        <v>0.416667</v>
      </c>
      <c r="H40" s="53" t="n">
        <v>0.4</v>
      </c>
    </row>
    <row r="41" customFormat="false" ht="15" hidden="false" customHeight="true" outlineLevel="0" collapsed="false">
      <c r="A41" s="38" t="s">
        <v>910</v>
      </c>
      <c r="B41" s="38" t="n">
        <v>7</v>
      </c>
      <c r="C41" s="53" t="n">
        <v>-0.699018</v>
      </c>
      <c r="D41" s="53" t="n">
        <v>-0.60148</v>
      </c>
      <c r="E41" s="53" t="n">
        <v>-0.650249</v>
      </c>
      <c r="F41" s="53" t="n">
        <v>0.285714</v>
      </c>
      <c r="G41" s="53" t="n">
        <v>0.25</v>
      </c>
      <c r="H41" s="53" t="n">
        <v>0.4</v>
      </c>
    </row>
    <row r="42" customFormat="false" ht="15" hidden="false" customHeight="true" outlineLevel="0" collapsed="false">
      <c r="A42" s="38" t="s">
        <v>910</v>
      </c>
      <c r="B42" s="38" t="n">
        <v>8</v>
      </c>
      <c r="C42" s="53" t="n">
        <v>-0.914394</v>
      </c>
      <c r="D42" s="53" t="n">
        <v>-0.411845</v>
      </c>
      <c r="E42" s="53" t="n">
        <v>-0.663119</v>
      </c>
      <c r="F42" s="53" t="n">
        <v>0.52381</v>
      </c>
      <c r="G42" s="53" t="n">
        <v>0.166667</v>
      </c>
      <c r="H42" s="53" t="n">
        <v>0</v>
      </c>
    </row>
    <row r="43" customFormat="false" ht="15" hidden="false" customHeight="true" outlineLevel="0" collapsed="false">
      <c r="A43" s="38" t="s">
        <v>910</v>
      </c>
      <c r="B43" s="38" t="n">
        <v>9</v>
      </c>
      <c r="C43" s="53" t="n">
        <v>-0.608219</v>
      </c>
      <c r="D43" s="53" t="n">
        <v>-0.437706</v>
      </c>
      <c r="E43" s="53" t="n">
        <v>-0.522963</v>
      </c>
      <c r="F43" s="53" t="n">
        <v>0.285714</v>
      </c>
      <c r="G43" s="53" t="n">
        <v>0.416667</v>
      </c>
      <c r="H43" s="53" t="n">
        <v>0.8</v>
      </c>
    </row>
    <row r="44" customFormat="false" ht="15" hidden="false" customHeight="true" outlineLevel="0" collapsed="false">
      <c r="A44" s="38" t="s">
        <v>910</v>
      </c>
      <c r="B44" s="38" t="n">
        <v>10</v>
      </c>
      <c r="C44" s="53" t="n">
        <v>-0.514224</v>
      </c>
      <c r="D44" s="53" t="n">
        <v>-0.421445</v>
      </c>
      <c r="E44" s="53" t="n">
        <v>-0.467834</v>
      </c>
      <c r="F44" s="53" t="n">
        <v>0.571429</v>
      </c>
      <c r="G44" s="53" t="n">
        <v>0.333333</v>
      </c>
      <c r="H44" s="53" t="n">
        <v>0.4</v>
      </c>
    </row>
    <row r="45" customFormat="false" ht="15" hidden="false" customHeight="true" outlineLevel="0" collapsed="false">
      <c r="A45" s="38" t="s">
        <v>911</v>
      </c>
      <c r="B45" s="38" t="n">
        <v>1</v>
      </c>
      <c r="C45" s="53" t="n">
        <v>-0.600086</v>
      </c>
      <c r="D45" s="53" t="n">
        <v>-0.255001</v>
      </c>
      <c r="E45" s="53" t="n">
        <v>-0.427543</v>
      </c>
      <c r="F45" s="53" t="n">
        <v>0.428571</v>
      </c>
      <c r="G45" s="53" t="n">
        <v>0.333333</v>
      </c>
      <c r="H45" s="53" t="n">
        <v>0.2</v>
      </c>
    </row>
    <row r="46" customFormat="false" ht="15" hidden="false" customHeight="true" outlineLevel="0" collapsed="false">
      <c r="A46" s="38" t="s">
        <v>911</v>
      </c>
      <c r="B46" s="38" t="n">
        <v>2</v>
      </c>
      <c r="C46" s="53" t="n">
        <v>-0.64213</v>
      </c>
      <c r="D46" s="53" t="n">
        <v>-0.336379</v>
      </c>
      <c r="E46" s="53" t="n">
        <v>-0.489255</v>
      </c>
      <c r="F46" s="53" t="n">
        <v>0.333333</v>
      </c>
      <c r="G46" s="53" t="n">
        <v>0.5</v>
      </c>
      <c r="H46" s="53" t="n">
        <v>0.4</v>
      </c>
    </row>
    <row r="47" customFormat="false" ht="15" hidden="false" customHeight="true" outlineLevel="0" collapsed="false">
      <c r="A47" s="38" t="s">
        <v>911</v>
      </c>
      <c r="B47" s="38" t="n">
        <v>3</v>
      </c>
      <c r="C47" s="53" t="n">
        <v>-0.833306</v>
      </c>
      <c r="D47" s="53" t="n">
        <v>-0.593984</v>
      </c>
      <c r="E47" s="53" t="n">
        <v>-0.713645</v>
      </c>
      <c r="F47" s="53" t="n">
        <v>0.333333</v>
      </c>
      <c r="G47" s="53" t="n">
        <v>0.333333</v>
      </c>
      <c r="H47" s="53" t="n">
        <v>0.4</v>
      </c>
    </row>
    <row r="48" customFormat="false" ht="15" hidden="false" customHeight="true" outlineLevel="0" collapsed="false">
      <c r="A48" s="38" t="s">
        <v>911</v>
      </c>
      <c r="B48" s="38" t="n">
        <v>4</v>
      </c>
      <c r="C48" s="53" t="n">
        <v>-0.548659</v>
      </c>
      <c r="D48" s="53" t="n">
        <v>-0.395925</v>
      </c>
      <c r="E48" s="53" t="n">
        <v>-0.472292</v>
      </c>
      <c r="F48" s="53" t="n">
        <v>0.428571</v>
      </c>
      <c r="G48" s="53" t="n">
        <v>0.5</v>
      </c>
      <c r="H48" s="53" t="n">
        <v>0.2</v>
      </c>
    </row>
    <row r="49" customFormat="false" ht="15" hidden="false" customHeight="true" outlineLevel="0" collapsed="false">
      <c r="A49" s="38" t="s">
        <v>911</v>
      </c>
      <c r="B49" s="38" t="n">
        <v>5</v>
      </c>
      <c r="C49" s="53" t="n">
        <v>-0.899225</v>
      </c>
      <c r="D49" s="53" t="n">
        <v>-0.34115</v>
      </c>
      <c r="E49" s="53" t="n">
        <v>-0.620188</v>
      </c>
      <c r="F49" s="53" t="n">
        <v>0.238095</v>
      </c>
      <c r="G49" s="53" t="n">
        <v>0.083333</v>
      </c>
      <c r="H49" s="53" t="n">
        <v>0</v>
      </c>
    </row>
    <row r="50" customFormat="false" ht="15" hidden="false" customHeight="true" outlineLevel="0" collapsed="false">
      <c r="A50" s="38" t="s">
        <v>911</v>
      </c>
      <c r="B50" s="38" t="n">
        <v>6</v>
      </c>
      <c r="C50" s="53" t="n">
        <v>-0.904081</v>
      </c>
      <c r="D50" s="53" t="n">
        <v>-0.472961</v>
      </c>
      <c r="E50" s="53" t="n">
        <v>-0.688521</v>
      </c>
      <c r="F50" s="53" t="n">
        <v>0.47619</v>
      </c>
      <c r="G50" s="53" t="n">
        <v>0.166667</v>
      </c>
      <c r="H50" s="53" t="n">
        <v>0.2</v>
      </c>
    </row>
    <row r="51" customFormat="false" ht="15" hidden="false" customHeight="true" outlineLevel="0" collapsed="false">
      <c r="A51" s="38" t="s">
        <v>911</v>
      </c>
      <c r="B51" s="38" t="n">
        <v>7</v>
      </c>
      <c r="C51" s="53" t="n">
        <v>-0.540862</v>
      </c>
      <c r="D51" s="53" t="n">
        <v>-0.411045</v>
      </c>
      <c r="E51" s="53" t="n">
        <v>-0.475954</v>
      </c>
      <c r="F51" s="53" t="n">
        <v>0.47619</v>
      </c>
      <c r="G51" s="53" t="n">
        <v>0.333333</v>
      </c>
      <c r="H51" s="53" t="n">
        <v>0.2</v>
      </c>
    </row>
    <row r="52" customFormat="false" ht="15" hidden="false" customHeight="true" outlineLevel="0" collapsed="false">
      <c r="A52" s="38" t="s">
        <v>911</v>
      </c>
      <c r="B52" s="38" t="n">
        <v>8</v>
      </c>
      <c r="C52" s="53" t="n">
        <v>-0.714352</v>
      </c>
      <c r="D52" s="53" t="n">
        <v>-0.339212</v>
      </c>
      <c r="E52" s="53" t="n">
        <v>-0.526782</v>
      </c>
      <c r="F52" s="53" t="n">
        <v>0.238095</v>
      </c>
      <c r="G52" s="53" t="n">
        <v>0.25</v>
      </c>
      <c r="H52" s="53" t="n">
        <v>0.4</v>
      </c>
    </row>
    <row r="53" customFormat="false" ht="15" hidden="false" customHeight="true" outlineLevel="0" collapsed="false">
      <c r="A53" s="38" t="s">
        <v>911</v>
      </c>
      <c r="B53" s="38" t="n">
        <v>9</v>
      </c>
      <c r="C53" s="53" t="n">
        <v>-0.914498</v>
      </c>
      <c r="D53" s="53" t="n">
        <v>-0.473372</v>
      </c>
      <c r="E53" s="53" t="n">
        <v>-0.693935</v>
      </c>
      <c r="F53" s="53" t="n">
        <v>0.285714</v>
      </c>
      <c r="G53" s="53" t="n">
        <v>0.166667</v>
      </c>
      <c r="H53" s="53" t="n">
        <v>0.2</v>
      </c>
    </row>
    <row r="54" customFormat="false" ht="15" hidden="false" customHeight="true" outlineLevel="0" collapsed="false">
      <c r="A54" s="38" t="s">
        <v>911</v>
      </c>
      <c r="B54" s="38" t="n">
        <v>10</v>
      </c>
      <c r="C54" s="53" t="n">
        <v>-1.008776</v>
      </c>
      <c r="D54" s="53" t="n">
        <v>-0.36992</v>
      </c>
      <c r="E54" s="53" t="n">
        <v>-0.689348</v>
      </c>
      <c r="F54" s="53" t="n">
        <v>0.47619</v>
      </c>
      <c r="G54" s="53" t="n">
        <v>0.083333</v>
      </c>
      <c r="H54" s="53" t="n">
        <v>0</v>
      </c>
    </row>
    <row r="55" customFormat="false" ht="15" hidden="false" customHeight="true" outlineLevel="0" collapsed="false">
      <c r="A55" s="38" t="s">
        <v>912</v>
      </c>
      <c r="B55" s="38" t="n">
        <v>1</v>
      </c>
      <c r="C55" s="53" t="n">
        <v>-0.592793</v>
      </c>
      <c r="D55" s="53" t="n">
        <v>-0.34669</v>
      </c>
      <c r="E55" s="53" t="n">
        <v>-0.469742</v>
      </c>
      <c r="F55" s="53" t="n">
        <v>0.238095</v>
      </c>
      <c r="G55" s="53" t="n">
        <v>0.25</v>
      </c>
      <c r="H55" s="53" t="n">
        <v>0.4</v>
      </c>
    </row>
    <row r="56" customFormat="false" ht="15" hidden="false" customHeight="true" outlineLevel="0" collapsed="false">
      <c r="A56" s="38" t="s">
        <v>912</v>
      </c>
      <c r="B56" s="38" t="n">
        <v>2</v>
      </c>
      <c r="C56" s="53" t="n">
        <v>-0.931207</v>
      </c>
      <c r="D56" s="53" t="n">
        <v>-0.520829</v>
      </c>
      <c r="E56" s="53" t="n">
        <v>-0.726018</v>
      </c>
      <c r="F56" s="53" t="n">
        <v>0.380952</v>
      </c>
      <c r="G56" s="53" t="n">
        <v>0</v>
      </c>
      <c r="H56" s="53" t="n">
        <v>0</v>
      </c>
    </row>
    <row r="57" customFormat="false" ht="15" hidden="false" customHeight="true" outlineLevel="0" collapsed="false">
      <c r="A57" s="38" t="s">
        <v>912</v>
      </c>
      <c r="B57" s="38" t="n">
        <v>3</v>
      </c>
      <c r="C57" s="53" t="n">
        <v>-1.095364</v>
      </c>
      <c r="D57" s="53" t="n">
        <v>-0.579331</v>
      </c>
      <c r="E57" s="53" t="n">
        <v>-0.837348</v>
      </c>
      <c r="F57" s="53" t="n">
        <v>0.380952</v>
      </c>
      <c r="G57" s="53" t="n">
        <v>0.166667</v>
      </c>
      <c r="H57" s="53" t="n">
        <v>0.2</v>
      </c>
    </row>
    <row r="58" customFormat="false" ht="15" hidden="false" customHeight="true" outlineLevel="0" collapsed="false">
      <c r="A58" s="38" t="s">
        <v>912</v>
      </c>
      <c r="B58" s="38" t="n">
        <v>4</v>
      </c>
      <c r="C58" s="53" t="n">
        <v>-1.074795</v>
      </c>
      <c r="D58" s="53" t="n">
        <v>-0.59668</v>
      </c>
      <c r="E58" s="53" t="n">
        <v>-0.835738</v>
      </c>
      <c r="F58" s="53" t="n">
        <v>0.380952</v>
      </c>
      <c r="G58" s="53" t="n">
        <v>0.083333</v>
      </c>
      <c r="H58" s="53" t="n">
        <v>0.2</v>
      </c>
    </row>
    <row r="59" customFormat="false" ht="15" hidden="false" customHeight="true" outlineLevel="0" collapsed="false">
      <c r="A59" s="38" t="s">
        <v>912</v>
      </c>
      <c r="B59" s="38" t="n">
        <v>5</v>
      </c>
      <c r="C59" s="53" t="n">
        <v>-0.526471</v>
      </c>
      <c r="D59" s="53" t="n">
        <v>-0.297956</v>
      </c>
      <c r="E59" s="53" t="n">
        <v>-0.412213</v>
      </c>
      <c r="F59" s="53" t="n">
        <v>0.380952</v>
      </c>
      <c r="G59" s="53" t="n">
        <v>0.5</v>
      </c>
      <c r="H59" s="53" t="n">
        <v>0.4</v>
      </c>
    </row>
    <row r="60" customFormat="false" ht="15" hidden="false" customHeight="true" outlineLevel="0" collapsed="false">
      <c r="A60" s="38" t="s">
        <v>912</v>
      </c>
      <c r="B60" s="38" t="n">
        <v>6</v>
      </c>
      <c r="C60" s="53" t="n">
        <v>-0.877819</v>
      </c>
      <c r="D60" s="53" t="n">
        <v>-0.468387</v>
      </c>
      <c r="E60" s="53" t="n">
        <v>-0.673103</v>
      </c>
      <c r="F60" s="53" t="n">
        <v>0.333333</v>
      </c>
      <c r="G60" s="53" t="n">
        <v>0</v>
      </c>
      <c r="H60" s="53" t="n">
        <v>0</v>
      </c>
    </row>
    <row r="61" customFormat="false" ht="15" hidden="false" customHeight="true" outlineLevel="0" collapsed="false">
      <c r="A61" s="38" t="s">
        <v>912</v>
      </c>
      <c r="B61" s="38" t="n">
        <v>7</v>
      </c>
      <c r="C61" s="53" t="n">
        <v>-0.704768</v>
      </c>
      <c r="D61" s="53" t="n">
        <v>-0.431386</v>
      </c>
      <c r="E61" s="53" t="n">
        <v>-0.568077</v>
      </c>
      <c r="F61" s="53" t="n">
        <v>0.238095</v>
      </c>
      <c r="G61" s="53" t="n">
        <v>0.333333</v>
      </c>
      <c r="H61" s="53" t="n">
        <v>0.2</v>
      </c>
    </row>
    <row r="62" customFormat="false" ht="15" hidden="false" customHeight="true" outlineLevel="0" collapsed="false">
      <c r="A62" s="38" t="s">
        <v>912</v>
      </c>
      <c r="B62" s="38" t="n">
        <v>8</v>
      </c>
      <c r="C62" s="53" t="n">
        <v>-0.785988</v>
      </c>
      <c r="D62" s="53" t="n">
        <v>-0.216635</v>
      </c>
      <c r="E62" s="53" t="n">
        <v>-0.501312</v>
      </c>
      <c r="F62" s="53" t="n">
        <v>0.52381</v>
      </c>
      <c r="G62" s="53" t="n">
        <v>0.166667</v>
      </c>
      <c r="H62" s="53" t="n">
        <v>0</v>
      </c>
    </row>
    <row r="63" customFormat="false" ht="15" hidden="false" customHeight="true" outlineLevel="0" collapsed="false">
      <c r="A63" s="38" t="s">
        <v>912</v>
      </c>
      <c r="B63" s="38" t="n">
        <v>9</v>
      </c>
      <c r="C63" s="53" t="n">
        <v>-0.994959</v>
      </c>
      <c r="D63" s="53" t="n">
        <v>-0.378624</v>
      </c>
      <c r="E63" s="53" t="n">
        <v>-0.686791</v>
      </c>
      <c r="F63" s="53" t="n">
        <v>0.238095</v>
      </c>
      <c r="G63" s="53" t="n">
        <v>0.083333</v>
      </c>
      <c r="H63" s="53" t="n">
        <v>0</v>
      </c>
    </row>
    <row r="64" customFormat="false" ht="15" hidden="false" customHeight="true" outlineLevel="0" collapsed="false">
      <c r="A64" s="38" t="s">
        <v>912</v>
      </c>
      <c r="B64" s="38" t="n">
        <v>10</v>
      </c>
      <c r="C64" s="53" t="n">
        <v>-0.750613</v>
      </c>
      <c r="D64" s="53" t="n">
        <v>-0.273149</v>
      </c>
      <c r="E64" s="53" t="n">
        <v>-0.511881</v>
      </c>
      <c r="F64" s="53" t="n">
        <v>0.380952</v>
      </c>
      <c r="G64" s="53" t="n">
        <v>0.25</v>
      </c>
      <c r="H64" s="53" t="n">
        <v>0</v>
      </c>
    </row>
    <row r="65" customFormat="false" ht="15" hidden="false" customHeight="true" outlineLevel="0" collapsed="false">
      <c r="A65" s="38" t="s">
        <v>913</v>
      </c>
      <c r="B65" s="38" t="n">
        <v>1</v>
      </c>
      <c r="C65" s="53" t="n">
        <v>-0.631498</v>
      </c>
      <c r="D65" s="53" t="n">
        <v>-0.466413</v>
      </c>
      <c r="E65" s="53" t="n">
        <v>-0.548955</v>
      </c>
      <c r="F65" s="53" t="n">
        <v>0.285714</v>
      </c>
      <c r="G65" s="53" t="n">
        <v>0.416667</v>
      </c>
      <c r="H65" s="53" t="n">
        <v>0.4</v>
      </c>
    </row>
    <row r="66" customFormat="false" ht="15" hidden="false" customHeight="true" outlineLevel="0" collapsed="false">
      <c r="A66" s="38" t="s">
        <v>913</v>
      </c>
      <c r="B66" s="38" t="n">
        <v>2</v>
      </c>
      <c r="C66" s="53" t="n">
        <v>-0.784406</v>
      </c>
      <c r="D66" s="53" t="n">
        <v>-0.367283</v>
      </c>
      <c r="E66" s="53" t="n">
        <v>-0.575845</v>
      </c>
      <c r="F66" s="53" t="n">
        <v>0.380952</v>
      </c>
      <c r="G66" s="53" t="n">
        <v>0.083333</v>
      </c>
      <c r="H66" s="53" t="n">
        <v>0</v>
      </c>
    </row>
    <row r="67" customFormat="false" ht="15" hidden="false" customHeight="true" outlineLevel="0" collapsed="false">
      <c r="A67" s="38" t="s">
        <v>913</v>
      </c>
      <c r="B67" s="38" t="n">
        <v>3</v>
      </c>
      <c r="C67" s="53" t="n">
        <v>-1.009775</v>
      </c>
      <c r="D67" s="53" t="n">
        <v>-0.433051</v>
      </c>
      <c r="E67" s="53" t="n">
        <v>-0.721413</v>
      </c>
      <c r="F67" s="53" t="n">
        <v>0.380952</v>
      </c>
      <c r="G67" s="53" t="n">
        <v>0</v>
      </c>
      <c r="H67" s="53" t="n">
        <v>0</v>
      </c>
    </row>
    <row r="68" customFormat="false" ht="15" hidden="false" customHeight="true" outlineLevel="0" collapsed="false">
      <c r="A68" s="38" t="s">
        <v>913</v>
      </c>
      <c r="B68" s="38" t="n">
        <v>4</v>
      </c>
      <c r="C68" s="53" t="n">
        <v>-0.688188</v>
      </c>
      <c r="D68" s="53" t="n">
        <v>-0.451526</v>
      </c>
      <c r="E68" s="53" t="n">
        <v>-0.569857</v>
      </c>
      <c r="F68" s="53" t="n">
        <v>0.333333</v>
      </c>
      <c r="G68" s="53" t="n">
        <v>0.333333</v>
      </c>
      <c r="H68" s="53" t="n">
        <v>0.2</v>
      </c>
    </row>
    <row r="69" customFormat="false" ht="15" hidden="false" customHeight="true" outlineLevel="0" collapsed="false">
      <c r="A69" s="38" t="s">
        <v>913</v>
      </c>
      <c r="B69" s="38" t="n">
        <v>5</v>
      </c>
      <c r="C69" s="53" t="n">
        <v>-1.021212</v>
      </c>
      <c r="D69" s="53" t="n">
        <v>-0.429343</v>
      </c>
      <c r="E69" s="53" t="n">
        <v>-0.725277</v>
      </c>
      <c r="F69" s="53" t="n">
        <v>0.52381</v>
      </c>
      <c r="G69" s="53" t="n">
        <v>0.25</v>
      </c>
      <c r="H69" s="53" t="n">
        <v>0</v>
      </c>
    </row>
    <row r="70" customFormat="false" ht="15" hidden="false" customHeight="true" outlineLevel="0" collapsed="false">
      <c r="A70" s="38" t="s">
        <v>913</v>
      </c>
      <c r="B70" s="38" t="n">
        <v>6</v>
      </c>
      <c r="C70" s="53" t="n">
        <v>-0.707791</v>
      </c>
      <c r="D70" s="53" t="n">
        <v>-0.452861</v>
      </c>
      <c r="E70" s="53" t="n">
        <v>-0.580326</v>
      </c>
      <c r="F70" s="53" t="n">
        <v>0.47619</v>
      </c>
      <c r="G70" s="53" t="n">
        <v>0.25</v>
      </c>
      <c r="H70" s="53" t="n">
        <v>0.2</v>
      </c>
    </row>
    <row r="71" customFormat="false" ht="15" hidden="false" customHeight="true" outlineLevel="0" collapsed="false">
      <c r="A71" s="38" t="s">
        <v>913</v>
      </c>
      <c r="B71" s="38" t="n">
        <v>7</v>
      </c>
      <c r="C71" s="53" t="n">
        <v>-1.004658</v>
      </c>
      <c r="D71" s="53" t="n">
        <v>-0.436036</v>
      </c>
      <c r="E71" s="53" t="n">
        <v>-0.720347</v>
      </c>
      <c r="F71" s="53" t="n">
        <v>0.380952</v>
      </c>
      <c r="G71" s="53" t="n">
        <v>0.083333</v>
      </c>
      <c r="H71" s="53" t="n">
        <v>0.2</v>
      </c>
    </row>
    <row r="72" customFormat="false" ht="15" hidden="false" customHeight="true" outlineLevel="0" collapsed="false">
      <c r="A72" s="38" t="s">
        <v>913</v>
      </c>
      <c r="B72" s="38" t="n">
        <v>8</v>
      </c>
      <c r="C72" s="53" t="n">
        <v>-0.655314</v>
      </c>
      <c r="D72" s="53" t="n">
        <v>-0.242328</v>
      </c>
      <c r="E72" s="53" t="n">
        <v>-0.448821</v>
      </c>
      <c r="F72" s="53" t="n">
        <v>0.285714</v>
      </c>
      <c r="G72" s="53" t="n">
        <v>0.416667</v>
      </c>
      <c r="H72" s="53" t="n">
        <v>0.4</v>
      </c>
    </row>
    <row r="73" customFormat="false" ht="15" hidden="false" customHeight="true" outlineLevel="0" collapsed="false">
      <c r="A73" s="38" t="s">
        <v>913</v>
      </c>
      <c r="B73" s="38" t="n">
        <v>9</v>
      </c>
      <c r="C73" s="53" t="n">
        <v>-0.954995</v>
      </c>
      <c r="D73" s="53" t="n">
        <v>-0.413683</v>
      </c>
      <c r="E73" s="53" t="n">
        <v>-0.684339</v>
      </c>
      <c r="F73" s="53" t="n">
        <v>0.238095</v>
      </c>
      <c r="G73" s="53" t="n">
        <v>0</v>
      </c>
      <c r="H73" s="53" t="n">
        <v>0</v>
      </c>
    </row>
    <row r="74" customFormat="false" ht="15" hidden="false" customHeight="true" outlineLevel="0" collapsed="false">
      <c r="A74" s="38" t="s">
        <v>913</v>
      </c>
      <c r="B74" s="38" t="n">
        <v>10</v>
      </c>
      <c r="C74" s="53" t="n">
        <v>-0.628463</v>
      </c>
      <c r="D74" s="53" t="n">
        <v>-0.357459</v>
      </c>
      <c r="E74" s="53" t="n">
        <v>-0.492961</v>
      </c>
      <c r="F74" s="53" t="n">
        <v>0.571429</v>
      </c>
      <c r="G74" s="53" t="n">
        <v>0.333333</v>
      </c>
      <c r="H74" s="53" t="n">
        <v>0.2</v>
      </c>
    </row>
    <row r="75" customFormat="false" ht="15" hidden="false" customHeight="true" outlineLevel="0" collapsed="false">
      <c r="A75" s="38" t="s">
        <v>914</v>
      </c>
      <c r="B75" s="38" t="n">
        <v>1</v>
      </c>
      <c r="C75" s="53" t="n">
        <v>-0.857031</v>
      </c>
      <c r="D75" s="53" t="n">
        <v>-0.326478</v>
      </c>
      <c r="E75" s="53" t="n">
        <v>-0.591754</v>
      </c>
      <c r="F75" s="53" t="n">
        <v>0.333333</v>
      </c>
      <c r="G75" s="53" t="n">
        <v>0</v>
      </c>
      <c r="H75" s="53" t="n">
        <v>0</v>
      </c>
    </row>
    <row r="76" customFormat="false" ht="15" hidden="false" customHeight="true" outlineLevel="0" collapsed="false">
      <c r="A76" s="38" t="s">
        <v>914</v>
      </c>
      <c r="B76" s="38" t="n">
        <v>2</v>
      </c>
      <c r="C76" s="53" t="n">
        <v>-0.690329</v>
      </c>
      <c r="D76" s="53" t="n">
        <v>-0.493686</v>
      </c>
      <c r="E76" s="53" t="n">
        <v>-0.592008</v>
      </c>
      <c r="F76" s="53" t="n">
        <v>0.52381</v>
      </c>
      <c r="G76" s="53" t="n">
        <v>0.25</v>
      </c>
      <c r="H76" s="53" t="n">
        <v>0.4</v>
      </c>
    </row>
    <row r="77" customFormat="false" ht="15" hidden="false" customHeight="true" outlineLevel="0" collapsed="false">
      <c r="A77" s="38" t="s">
        <v>914</v>
      </c>
      <c r="B77" s="38" t="n">
        <v>3</v>
      </c>
      <c r="C77" s="53" t="n">
        <v>-0.652233</v>
      </c>
      <c r="D77" s="53" t="n">
        <v>-0.493348</v>
      </c>
      <c r="E77" s="53" t="n">
        <v>-0.57279</v>
      </c>
      <c r="F77" s="53" t="n">
        <v>0.333333</v>
      </c>
      <c r="G77" s="53" t="n">
        <v>0.416667</v>
      </c>
      <c r="H77" s="53" t="n">
        <v>0.4</v>
      </c>
    </row>
    <row r="78" customFormat="false" ht="15" hidden="false" customHeight="true" outlineLevel="0" collapsed="false">
      <c r="A78" s="38" t="s">
        <v>914</v>
      </c>
      <c r="B78" s="38" t="n">
        <v>4</v>
      </c>
      <c r="C78" s="53" t="n">
        <v>-0.717672</v>
      </c>
      <c r="D78" s="53" t="n">
        <v>-0.501331</v>
      </c>
      <c r="E78" s="53" t="n">
        <v>-0.609501</v>
      </c>
      <c r="F78" s="53" t="n">
        <v>0.333333</v>
      </c>
      <c r="G78" s="53" t="n">
        <v>0.25</v>
      </c>
      <c r="H78" s="53" t="n">
        <v>0.4</v>
      </c>
    </row>
    <row r="79" customFormat="false" ht="15" hidden="false" customHeight="true" outlineLevel="0" collapsed="false">
      <c r="A79" s="38" t="s">
        <v>914</v>
      </c>
      <c r="B79" s="38" t="n">
        <v>5</v>
      </c>
      <c r="C79" s="53" t="n">
        <v>-0.844711</v>
      </c>
      <c r="D79" s="53" t="n">
        <v>-0.537384</v>
      </c>
      <c r="E79" s="53" t="n">
        <v>-0.691047</v>
      </c>
      <c r="F79" s="53" t="n">
        <v>0.52381</v>
      </c>
      <c r="G79" s="53" t="n">
        <v>0.25</v>
      </c>
      <c r="H79" s="53" t="n">
        <v>0.4</v>
      </c>
    </row>
    <row r="80" customFormat="false" ht="15" hidden="false" customHeight="true" outlineLevel="0" collapsed="false">
      <c r="A80" s="38" t="s">
        <v>914</v>
      </c>
      <c r="B80" s="38" t="n">
        <v>6</v>
      </c>
      <c r="C80" s="53" t="n">
        <v>-0.895949</v>
      </c>
      <c r="D80" s="53" t="n">
        <v>-0.704188</v>
      </c>
      <c r="E80" s="53" t="n">
        <v>-0.800068</v>
      </c>
      <c r="F80" s="53" t="n">
        <v>0.333333</v>
      </c>
      <c r="G80" s="53" t="n">
        <v>0.25</v>
      </c>
      <c r="H80" s="53" t="n">
        <v>0.4</v>
      </c>
    </row>
    <row r="81" customFormat="false" ht="15" hidden="false" customHeight="true" outlineLevel="0" collapsed="false">
      <c r="A81" s="38" t="s">
        <v>914</v>
      </c>
      <c r="B81" s="38" t="n">
        <v>7</v>
      </c>
      <c r="C81" s="53" t="n">
        <v>-0.80463</v>
      </c>
      <c r="D81" s="53" t="n">
        <v>-0.458812</v>
      </c>
      <c r="E81" s="53" t="n">
        <v>-0.631721</v>
      </c>
      <c r="F81" s="53" t="n">
        <v>0.380952</v>
      </c>
      <c r="G81" s="53" t="n">
        <v>0.166667</v>
      </c>
      <c r="H81" s="53" t="n">
        <v>0.2</v>
      </c>
    </row>
    <row r="82" customFormat="false" ht="15" hidden="false" customHeight="true" outlineLevel="0" collapsed="false">
      <c r="A82" s="38" t="s">
        <v>914</v>
      </c>
      <c r="B82" s="38" t="n">
        <v>8</v>
      </c>
      <c r="C82" s="53" t="n">
        <v>-0.753634</v>
      </c>
      <c r="D82" s="53" t="n">
        <v>-0.400802</v>
      </c>
      <c r="E82" s="53" t="n">
        <v>-0.577218</v>
      </c>
      <c r="F82" s="53" t="n">
        <v>0.285714</v>
      </c>
      <c r="G82" s="53" t="n">
        <v>0.083333</v>
      </c>
      <c r="H82" s="53" t="n">
        <v>0</v>
      </c>
    </row>
    <row r="83" customFormat="false" ht="15" hidden="false" customHeight="true" outlineLevel="0" collapsed="false">
      <c r="A83" s="38" t="s">
        <v>914</v>
      </c>
      <c r="B83" s="38" t="n">
        <v>9</v>
      </c>
      <c r="C83" s="53" t="n">
        <v>-0.731864</v>
      </c>
      <c r="D83" s="53" t="n">
        <v>-0.428168</v>
      </c>
      <c r="E83" s="53" t="n">
        <v>-0.580016</v>
      </c>
      <c r="F83" s="53" t="n">
        <v>0.428571</v>
      </c>
      <c r="G83" s="53" t="n">
        <v>0.25</v>
      </c>
      <c r="H83" s="53" t="n">
        <v>0.4</v>
      </c>
    </row>
    <row r="84" customFormat="false" ht="15" hidden="false" customHeight="true" outlineLevel="0" collapsed="false">
      <c r="A84" s="38" t="s">
        <v>914</v>
      </c>
      <c r="B84" s="38" t="n">
        <v>10</v>
      </c>
      <c r="C84" s="53" t="n">
        <v>-0.665765</v>
      </c>
      <c r="D84" s="53" t="n">
        <v>-0.507937</v>
      </c>
      <c r="E84" s="53" t="n">
        <v>-0.586851</v>
      </c>
      <c r="F84" s="53" t="n">
        <v>0.428571</v>
      </c>
      <c r="G84" s="53" t="n">
        <v>0.083333</v>
      </c>
      <c r="H84" s="53" t="n">
        <v>0</v>
      </c>
    </row>
    <row r="85" customFormat="false" ht="15" hidden="false" customHeight="true" outlineLevel="0" collapsed="false">
      <c r="A85" s="38" t="s">
        <v>915</v>
      </c>
      <c r="B85" s="38" t="n">
        <v>1</v>
      </c>
      <c r="C85" s="53" t="n">
        <v>-0.887777</v>
      </c>
      <c r="D85" s="53" t="n">
        <v>-0.456343</v>
      </c>
      <c r="E85" s="53" t="n">
        <v>-0.67206</v>
      </c>
      <c r="F85" s="53" t="n">
        <v>0.285714</v>
      </c>
      <c r="G85" s="53" t="n">
        <v>0.166667</v>
      </c>
      <c r="H85" s="53" t="n">
        <v>0.4</v>
      </c>
    </row>
    <row r="86" customFormat="false" ht="15" hidden="false" customHeight="true" outlineLevel="0" collapsed="false">
      <c r="A86" s="38" t="s">
        <v>915</v>
      </c>
      <c r="B86" s="38" t="n">
        <v>2</v>
      </c>
      <c r="C86" s="53" t="n">
        <v>-0.752802</v>
      </c>
      <c r="D86" s="53" t="n">
        <v>-0.504683</v>
      </c>
      <c r="E86" s="53" t="n">
        <v>-0.628742</v>
      </c>
      <c r="F86" s="53" t="n">
        <v>0.380952</v>
      </c>
      <c r="G86" s="53" t="n">
        <v>0.25</v>
      </c>
      <c r="H86" s="53" t="n">
        <v>0.4</v>
      </c>
    </row>
    <row r="87" customFormat="false" ht="15" hidden="false" customHeight="true" outlineLevel="0" collapsed="false">
      <c r="A87" s="38" t="s">
        <v>915</v>
      </c>
      <c r="B87" s="38" t="n">
        <v>3</v>
      </c>
      <c r="C87" s="53" t="n">
        <v>-0.831545</v>
      </c>
      <c r="D87" s="53" t="n">
        <v>-0.286204</v>
      </c>
      <c r="E87" s="53" t="n">
        <v>-0.558875</v>
      </c>
      <c r="F87" s="53" t="n">
        <v>0.47619</v>
      </c>
      <c r="G87" s="53" t="n">
        <v>0.166667</v>
      </c>
      <c r="H87" s="53" t="n">
        <v>0.2</v>
      </c>
    </row>
    <row r="88" customFormat="false" ht="15" hidden="false" customHeight="true" outlineLevel="0" collapsed="false">
      <c r="A88" s="38" t="s">
        <v>915</v>
      </c>
      <c r="B88" s="38" t="n">
        <v>4</v>
      </c>
      <c r="C88" s="53" t="n">
        <v>-0.687794</v>
      </c>
      <c r="D88" s="53" t="n">
        <v>-0.427052</v>
      </c>
      <c r="E88" s="53" t="n">
        <v>-0.557423</v>
      </c>
      <c r="F88" s="53" t="n">
        <v>0.47619</v>
      </c>
      <c r="G88" s="53" t="n">
        <v>0.25</v>
      </c>
      <c r="H88" s="53" t="n">
        <v>0.4</v>
      </c>
    </row>
    <row r="89" customFormat="false" ht="15" hidden="false" customHeight="true" outlineLevel="0" collapsed="false">
      <c r="A89" s="38" t="s">
        <v>915</v>
      </c>
      <c r="B89" s="38" t="n">
        <v>5</v>
      </c>
      <c r="C89" s="53" t="n">
        <v>-0.563649</v>
      </c>
      <c r="D89" s="53" t="n">
        <v>-0.407554</v>
      </c>
      <c r="E89" s="53" t="n">
        <v>-0.485601</v>
      </c>
      <c r="F89" s="53" t="n">
        <v>0.380952</v>
      </c>
      <c r="G89" s="53" t="n">
        <v>0.5</v>
      </c>
      <c r="H89" s="53" t="n">
        <v>0.4</v>
      </c>
    </row>
    <row r="90" customFormat="false" ht="15" hidden="false" customHeight="true" outlineLevel="0" collapsed="false">
      <c r="A90" s="38" t="s">
        <v>915</v>
      </c>
      <c r="B90" s="38" t="n">
        <v>6</v>
      </c>
      <c r="C90" s="53" t="n">
        <v>-0.802474</v>
      </c>
      <c r="D90" s="53" t="n">
        <v>-0.547862</v>
      </c>
      <c r="E90" s="53" t="n">
        <v>-0.675168</v>
      </c>
      <c r="F90" s="53" t="n">
        <v>0.428571</v>
      </c>
      <c r="G90" s="53" t="n">
        <v>0.333333</v>
      </c>
      <c r="H90" s="53" t="n">
        <v>0.2</v>
      </c>
    </row>
    <row r="91" customFormat="false" ht="15" hidden="false" customHeight="true" outlineLevel="0" collapsed="false">
      <c r="A91" s="38" t="s">
        <v>915</v>
      </c>
      <c r="B91" s="38" t="n">
        <v>7</v>
      </c>
      <c r="C91" s="53" t="n">
        <v>-0.719895</v>
      </c>
      <c r="D91" s="53" t="n">
        <v>-0.547295</v>
      </c>
      <c r="E91" s="53" t="n">
        <v>-0.633595</v>
      </c>
      <c r="F91" s="53" t="n">
        <v>0.285714</v>
      </c>
      <c r="G91" s="53" t="n">
        <v>0.333333</v>
      </c>
      <c r="H91" s="53" t="n">
        <v>0.4</v>
      </c>
    </row>
    <row r="92" customFormat="false" ht="15" hidden="false" customHeight="true" outlineLevel="0" collapsed="false">
      <c r="A92" s="38" t="s">
        <v>915</v>
      </c>
      <c r="B92" s="38" t="n">
        <v>8</v>
      </c>
      <c r="C92" s="53" t="n">
        <v>-0.693243</v>
      </c>
      <c r="D92" s="53" t="n">
        <v>-0.408645</v>
      </c>
      <c r="E92" s="53" t="n">
        <v>-0.550944</v>
      </c>
      <c r="F92" s="53" t="n">
        <v>0.285714</v>
      </c>
      <c r="G92" s="53" t="n">
        <v>0.25</v>
      </c>
      <c r="H92" s="53" t="n">
        <v>0</v>
      </c>
    </row>
    <row r="93" customFormat="false" ht="15" hidden="false" customHeight="true" outlineLevel="0" collapsed="false">
      <c r="A93" s="38" t="s">
        <v>915</v>
      </c>
      <c r="B93" s="38" t="n">
        <v>9</v>
      </c>
      <c r="C93" s="53" t="n">
        <v>-0.760489</v>
      </c>
      <c r="D93" s="53" t="n">
        <v>-0.507255</v>
      </c>
      <c r="E93" s="53" t="n">
        <v>-0.633872</v>
      </c>
      <c r="F93" s="53" t="n">
        <v>0.47619</v>
      </c>
      <c r="G93" s="53" t="n">
        <v>0.166667</v>
      </c>
      <c r="H93" s="53" t="n">
        <v>0.4</v>
      </c>
    </row>
    <row r="94" customFormat="false" ht="15" hidden="false" customHeight="true" outlineLevel="0" collapsed="false">
      <c r="A94" s="38" t="s">
        <v>915</v>
      </c>
      <c r="B94" s="38" t="n">
        <v>10</v>
      </c>
      <c r="C94" s="53" t="n">
        <v>-0.87114</v>
      </c>
      <c r="D94" s="53" t="n">
        <v>-0.544243</v>
      </c>
      <c r="E94" s="53" t="n">
        <v>-0.707691</v>
      </c>
      <c r="F94" s="53" t="n">
        <v>0.380952</v>
      </c>
      <c r="G94" s="53" t="n">
        <v>0</v>
      </c>
      <c r="H94" s="53" t="n">
        <v>0</v>
      </c>
    </row>
    <row r="95" customFormat="false" ht="15" hidden="false" customHeight="true" outlineLevel="0" collapsed="false">
      <c r="A95" s="38" t="s">
        <v>916</v>
      </c>
      <c r="B95" s="38" t="n">
        <v>1</v>
      </c>
      <c r="C95" s="53" t="n">
        <v>-0.757927</v>
      </c>
      <c r="D95" s="53" t="n">
        <v>-0.4705</v>
      </c>
      <c r="E95" s="53" t="n">
        <v>-0.614213</v>
      </c>
      <c r="F95" s="53" t="n">
        <v>0.380952</v>
      </c>
      <c r="G95" s="53" t="n">
        <v>0.25</v>
      </c>
      <c r="H95" s="53" t="n">
        <v>0.2</v>
      </c>
    </row>
    <row r="96" customFormat="false" ht="15" hidden="false" customHeight="true" outlineLevel="0" collapsed="false">
      <c r="A96" s="38" t="s">
        <v>916</v>
      </c>
      <c r="B96" s="38" t="n">
        <v>2</v>
      </c>
      <c r="C96" s="53" t="n">
        <v>-0.761645</v>
      </c>
      <c r="D96" s="53" t="n">
        <v>-0.540729</v>
      </c>
      <c r="E96" s="53" t="n">
        <v>-0.651187</v>
      </c>
      <c r="F96" s="53" t="n">
        <v>0.47619</v>
      </c>
      <c r="G96" s="53" t="n">
        <v>0.166667</v>
      </c>
      <c r="H96" s="53" t="n">
        <v>0.2</v>
      </c>
    </row>
    <row r="97" customFormat="false" ht="15" hidden="false" customHeight="true" outlineLevel="0" collapsed="false">
      <c r="A97" s="38" t="s">
        <v>916</v>
      </c>
      <c r="B97" s="38" t="n">
        <v>3</v>
      </c>
      <c r="C97" s="53" t="n">
        <v>-0.577992</v>
      </c>
      <c r="D97" s="53" t="n">
        <v>-0.277444</v>
      </c>
      <c r="E97" s="53" t="n">
        <v>-0.427718</v>
      </c>
      <c r="F97" s="53" t="n">
        <v>0.428571</v>
      </c>
      <c r="G97" s="53" t="n">
        <v>0.416667</v>
      </c>
      <c r="H97" s="53" t="n">
        <v>0.6</v>
      </c>
    </row>
    <row r="98" customFormat="false" ht="15" hidden="false" customHeight="true" outlineLevel="0" collapsed="false">
      <c r="A98" s="38" t="s">
        <v>916</v>
      </c>
      <c r="B98" s="38" t="n">
        <v>4</v>
      </c>
      <c r="C98" s="53" t="n">
        <v>-0.829909</v>
      </c>
      <c r="D98" s="53" t="n">
        <v>-0.447491</v>
      </c>
      <c r="E98" s="53" t="n">
        <v>-0.6387</v>
      </c>
      <c r="F98" s="53" t="n">
        <v>0.428571</v>
      </c>
      <c r="G98" s="53" t="n">
        <v>0.083333</v>
      </c>
      <c r="H98" s="53" t="n">
        <v>0.2</v>
      </c>
    </row>
    <row r="99" customFormat="false" ht="15" hidden="false" customHeight="true" outlineLevel="0" collapsed="false">
      <c r="A99" s="38" t="s">
        <v>916</v>
      </c>
      <c r="B99" s="38" t="n">
        <v>5</v>
      </c>
      <c r="C99" s="53" t="n">
        <v>-0.875531</v>
      </c>
      <c r="D99" s="53" t="n">
        <v>-0.410036</v>
      </c>
      <c r="E99" s="53" t="n">
        <v>-0.642784</v>
      </c>
      <c r="F99" s="53" t="n">
        <v>0.428571</v>
      </c>
      <c r="G99" s="53" t="n">
        <v>0.083333</v>
      </c>
      <c r="H99" s="53" t="n">
        <v>0</v>
      </c>
    </row>
    <row r="100" customFormat="false" ht="15" hidden="false" customHeight="true" outlineLevel="0" collapsed="false">
      <c r="A100" s="38" t="s">
        <v>916</v>
      </c>
      <c r="B100" s="38" t="n">
        <v>6</v>
      </c>
      <c r="C100" s="53" t="n">
        <v>-0.800367</v>
      </c>
      <c r="D100" s="53" t="n">
        <v>-0.358334</v>
      </c>
      <c r="E100" s="53" t="n">
        <v>-0.57935</v>
      </c>
      <c r="F100" s="53" t="n">
        <v>0.333333</v>
      </c>
      <c r="G100" s="53" t="n">
        <v>0.166667</v>
      </c>
      <c r="H100" s="53" t="n">
        <v>0.2</v>
      </c>
    </row>
    <row r="101" customFormat="false" ht="15" hidden="false" customHeight="true" outlineLevel="0" collapsed="false">
      <c r="A101" s="38" t="s">
        <v>916</v>
      </c>
      <c r="B101" s="38" t="n">
        <v>7</v>
      </c>
      <c r="C101" s="53" t="n">
        <v>-0.644661</v>
      </c>
      <c r="D101" s="53" t="n">
        <v>-0.328867</v>
      </c>
      <c r="E101" s="53" t="n">
        <v>-0.486764</v>
      </c>
      <c r="F101" s="53" t="n">
        <v>0.238095</v>
      </c>
      <c r="G101" s="53" t="n">
        <v>0.166667</v>
      </c>
      <c r="H101" s="53" t="n">
        <v>0</v>
      </c>
    </row>
    <row r="102" customFormat="false" ht="15" hidden="false" customHeight="true" outlineLevel="0" collapsed="false">
      <c r="A102" s="38" t="s">
        <v>916</v>
      </c>
      <c r="B102" s="38" t="n">
        <v>8</v>
      </c>
      <c r="C102" s="53" t="n">
        <v>-0.816453</v>
      </c>
      <c r="D102" s="53" t="n">
        <v>-0.41178</v>
      </c>
      <c r="E102" s="53" t="n">
        <v>-0.614117</v>
      </c>
      <c r="F102" s="53" t="n">
        <v>0.47619</v>
      </c>
      <c r="G102" s="53" t="n">
        <v>0.166667</v>
      </c>
      <c r="H102" s="53" t="n">
        <v>0.2</v>
      </c>
    </row>
    <row r="103" customFormat="false" ht="15" hidden="false" customHeight="true" outlineLevel="0" collapsed="false">
      <c r="A103" s="38" t="s">
        <v>916</v>
      </c>
      <c r="B103" s="38" t="n">
        <v>9</v>
      </c>
      <c r="C103" s="53" t="n">
        <v>-0.828604</v>
      </c>
      <c r="D103" s="53" t="n">
        <v>-0.419598</v>
      </c>
      <c r="E103" s="53" t="n">
        <v>-0.624101</v>
      </c>
      <c r="F103" s="53" t="n">
        <v>0.333333</v>
      </c>
      <c r="G103" s="53" t="n">
        <v>0.25</v>
      </c>
      <c r="H103" s="53" t="n">
        <v>0.4</v>
      </c>
    </row>
    <row r="104" customFormat="false" ht="15" hidden="false" customHeight="true" outlineLevel="0" collapsed="false">
      <c r="A104" s="38" t="s">
        <v>916</v>
      </c>
      <c r="B104" s="38" t="n">
        <v>10</v>
      </c>
      <c r="C104" s="53" t="n">
        <v>-0.780359</v>
      </c>
      <c r="D104" s="53" t="n">
        <v>-0.475578</v>
      </c>
      <c r="E104" s="53" t="n">
        <v>-0.627969</v>
      </c>
      <c r="F104" s="53" t="n">
        <v>0.333333</v>
      </c>
      <c r="G104" s="53" t="n">
        <v>0.166667</v>
      </c>
      <c r="H104" s="53" t="n">
        <v>0.2</v>
      </c>
    </row>
    <row r="105" customFormat="false" ht="15" hidden="false" customHeight="true" outlineLevel="0" collapsed="false">
      <c r="A105" s="38" t="s">
        <v>917</v>
      </c>
      <c r="B105" s="38" t="n">
        <v>1</v>
      </c>
      <c r="C105" s="53" t="n">
        <v>-0.87544</v>
      </c>
      <c r="D105" s="53" t="n">
        <v>-0.360244</v>
      </c>
      <c r="E105" s="53" t="n">
        <v>-0.617842</v>
      </c>
      <c r="F105" s="53" t="n">
        <v>0.52381</v>
      </c>
      <c r="G105" s="53" t="n">
        <v>0.333333</v>
      </c>
      <c r="H105" s="53" t="n">
        <v>0.2</v>
      </c>
    </row>
    <row r="106" customFormat="false" ht="15" hidden="false" customHeight="true" outlineLevel="0" collapsed="false">
      <c r="A106" s="38" t="s">
        <v>917</v>
      </c>
      <c r="B106" s="38" t="n">
        <v>2</v>
      </c>
      <c r="C106" s="53" t="n">
        <v>-0.820459</v>
      </c>
      <c r="D106" s="53" t="n">
        <v>-0.562304</v>
      </c>
      <c r="E106" s="53" t="n">
        <v>-0.691381</v>
      </c>
      <c r="F106" s="53" t="n">
        <v>0.428571</v>
      </c>
      <c r="G106" s="53" t="n">
        <v>0.333333</v>
      </c>
      <c r="H106" s="53" t="n">
        <v>0.6</v>
      </c>
    </row>
    <row r="107" customFormat="false" ht="15" hidden="false" customHeight="true" outlineLevel="0" collapsed="false">
      <c r="A107" s="38" t="s">
        <v>917</v>
      </c>
      <c r="B107" s="38" t="n">
        <v>3</v>
      </c>
      <c r="C107" s="53" t="n">
        <v>-0.890931</v>
      </c>
      <c r="D107" s="53" t="n">
        <v>-0.381514</v>
      </c>
      <c r="E107" s="53" t="n">
        <v>-0.636223</v>
      </c>
      <c r="F107" s="53" t="n">
        <v>0.428571</v>
      </c>
      <c r="G107" s="53" t="n">
        <v>0.25</v>
      </c>
      <c r="H107" s="53" t="n">
        <v>0.2</v>
      </c>
    </row>
    <row r="108" customFormat="false" ht="15" hidden="false" customHeight="true" outlineLevel="0" collapsed="false">
      <c r="A108" s="38" t="s">
        <v>917</v>
      </c>
      <c r="B108" s="38" t="n">
        <v>4</v>
      </c>
      <c r="C108" s="53" t="n">
        <v>-0.426542</v>
      </c>
      <c r="D108" s="53" t="n">
        <v>-0.213152</v>
      </c>
      <c r="E108" s="53" t="n">
        <v>-0.319847</v>
      </c>
      <c r="F108" s="53" t="n">
        <v>0.47619</v>
      </c>
      <c r="G108" s="53" t="n">
        <v>0.416667</v>
      </c>
      <c r="H108" s="53" t="n">
        <v>0.2</v>
      </c>
    </row>
    <row r="109" customFormat="false" ht="15" hidden="false" customHeight="true" outlineLevel="0" collapsed="false">
      <c r="A109" s="38" t="s">
        <v>917</v>
      </c>
      <c r="B109" s="38" t="n">
        <v>5</v>
      </c>
      <c r="C109" s="53" t="n">
        <v>-0.925175</v>
      </c>
      <c r="D109" s="53" t="n">
        <v>-0.324155</v>
      </c>
      <c r="E109" s="53" t="n">
        <v>-0.624665</v>
      </c>
      <c r="F109" s="53" t="n">
        <v>0.571429</v>
      </c>
      <c r="G109" s="53" t="n">
        <v>0.083333</v>
      </c>
      <c r="H109" s="53" t="n">
        <v>0</v>
      </c>
    </row>
    <row r="110" customFormat="false" ht="15" hidden="false" customHeight="true" outlineLevel="0" collapsed="false">
      <c r="A110" s="38" t="s">
        <v>917</v>
      </c>
      <c r="B110" s="38" t="n">
        <v>6</v>
      </c>
      <c r="C110" s="53" t="n">
        <v>-0.937187</v>
      </c>
      <c r="D110" s="53" t="n">
        <v>-0.477224</v>
      </c>
      <c r="E110" s="53" t="n">
        <v>-0.707205</v>
      </c>
      <c r="F110" s="53" t="n">
        <v>0.428571</v>
      </c>
      <c r="G110" s="53" t="n">
        <v>0.166667</v>
      </c>
      <c r="H110" s="53" t="n">
        <v>0</v>
      </c>
    </row>
    <row r="111" customFormat="false" ht="15" hidden="false" customHeight="true" outlineLevel="0" collapsed="false">
      <c r="A111" s="38" t="s">
        <v>917</v>
      </c>
      <c r="B111" s="38" t="n">
        <v>7</v>
      </c>
      <c r="C111" s="53" t="n">
        <v>-0.547244</v>
      </c>
      <c r="D111" s="53" t="n">
        <v>-0.240018</v>
      </c>
      <c r="E111" s="53" t="n">
        <v>-0.393631</v>
      </c>
      <c r="F111" s="53" t="n">
        <v>0.52381</v>
      </c>
      <c r="G111" s="53" t="n">
        <v>0.333333</v>
      </c>
      <c r="H111" s="53" t="n">
        <v>0.6</v>
      </c>
    </row>
    <row r="112" customFormat="false" ht="15" hidden="false" customHeight="true" outlineLevel="0" collapsed="false">
      <c r="A112" s="38" t="s">
        <v>917</v>
      </c>
      <c r="B112" s="38" t="n">
        <v>8</v>
      </c>
      <c r="C112" s="53" t="n">
        <v>-0.756259</v>
      </c>
      <c r="D112" s="53" t="n">
        <v>-0.325736</v>
      </c>
      <c r="E112" s="53" t="n">
        <v>-0.540998</v>
      </c>
      <c r="F112" s="53" t="n">
        <v>0.428571</v>
      </c>
      <c r="G112" s="53" t="n">
        <v>0.333333</v>
      </c>
      <c r="H112" s="53" t="n">
        <v>0.4</v>
      </c>
    </row>
    <row r="113" customFormat="false" ht="15" hidden="false" customHeight="true" outlineLevel="0" collapsed="false">
      <c r="A113" s="38" t="s">
        <v>917</v>
      </c>
      <c r="B113" s="38" t="n">
        <v>9</v>
      </c>
      <c r="C113" s="53" t="n">
        <v>-1.012732</v>
      </c>
      <c r="D113" s="53" t="n">
        <v>-0.313036</v>
      </c>
      <c r="E113" s="53" t="n">
        <v>-0.662884</v>
      </c>
      <c r="F113" s="53" t="n">
        <v>0.428571</v>
      </c>
      <c r="G113" s="53" t="n">
        <v>0.083333</v>
      </c>
      <c r="H113" s="53" t="n">
        <v>0</v>
      </c>
    </row>
    <row r="114" customFormat="false" ht="15" hidden="false" customHeight="true" outlineLevel="0" collapsed="false">
      <c r="A114" s="38" t="s">
        <v>917</v>
      </c>
      <c r="B114" s="38" t="n">
        <v>10</v>
      </c>
      <c r="C114" s="53" t="n">
        <v>-0.812121</v>
      </c>
      <c r="D114" s="53" t="n">
        <v>-0.511848</v>
      </c>
      <c r="E114" s="53" t="n">
        <v>-0.661985</v>
      </c>
      <c r="F114" s="53" t="n">
        <v>0.47619</v>
      </c>
      <c r="G114" s="53" t="n">
        <v>0.25</v>
      </c>
      <c r="H114" s="53" t="n">
        <v>0.4</v>
      </c>
    </row>
    <row r="115" customFormat="false" ht="15" hidden="false" customHeight="true" outlineLevel="0" collapsed="false">
      <c r="A115" s="38" t="s">
        <v>918</v>
      </c>
      <c r="B115" s="38" t="n">
        <v>1</v>
      </c>
      <c r="C115" s="53" t="n">
        <v>-0.870305</v>
      </c>
      <c r="D115" s="53" t="n">
        <v>-0.369916</v>
      </c>
      <c r="E115" s="53" t="n">
        <v>-0.620111</v>
      </c>
      <c r="F115" s="53" t="n">
        <v>0.428571</v>
      </c>
      <c r="G115" s="53" t="n">
        <v>0.083333</v>
      </c>
      <c r="H115" s="53" t="n">
        <v>0</v>
      </c>
    </row>
    <row r="116" customFormat="false" ht="15" hidden="false" customHeight="true" outlineLevel="0" collapsed="false">
      <c r="A116" s="38" t="s">
        <v>918</v>
      </c>
      <c r="B116" s="38" t="n">
        <v>2</v>
      </c>
      <c r="C116" s="53" t="n">
        <v>-0.688385</v>
      </c>
      <c r="D116" s="53" t="n">
        <v>-0.37954</v>
      </c>
      <c r="E116" s="53" t="n">
        <v>-0.533962</v>
      </c>
      <c r="F116" s="53" t="n">
        <v>0.380952</v>
      </c>
      <c r="G116" s="53" t="n">
        <v>0.333333</v>
      </c>
      <c r="H116" s="53" t="n">
        <v>0.2</v>
      </c>
    </row>
    <row r="117" customFormat="false" ht="15" hidden="false" customHeight="true" outlineLevel="0" collapsed="false">
      <c r="A117" s="38" t="s">
        <v>918</v>
      </c>
      <c r="B117" s="38" t="n">
        <v>3</v>
      </c>
      <c r="C117" s="53" t="n">
        <v>-0.654901</v>
      </c>
      <c r="D117" s="53" t="n">
        <v>-0.328872</v>
      </c>
      <c r="E117" s="53" t="n">
        <v>-0.491886</v>
      </c>
      <c r="F117" s="53" t="n">
        <v>0.285714</v>
      </c>
      <c r="G117" s="53" t="n">
        <v>0.333333</v>
      </c>
      <c r="H117" s="53" t="n">
        <v>0.2</v>
      </c>
    </row>
    <row r="118" customFormat="false" ht="15" hidden="false" customHeight="true" outlineLevel="0" collapsed="false">
      <c r="A118" s="38" t="s">
        <v>918</v>
      </c>
      <c r="B118" s="38" t="n">
        <v>4</v>
      </c>
      <c r="C118" s="53" t="n">
        <v>-1.163327</v>
      </c>
      <c r="D118" s="53" t="n">
        <v>-0.53752</v>
      </c>
      <c r="E118" s="53" t="n">
        <v>-0.850424</v>
      </c>
      <c r="F118" s="53" t="n">
        <v>0.380952</v>
      </c>
      <c r="G118" s="53" t="n">
        <v>0.166667</v>
      </c>
      <c r="H118" s="53" t="n">
        <v>0.2</v>
      </c>
    </row>
    <row r="119" customFormat="false" ht="15" hidden="false" customHeight="true" outlineLevel="0" collapsed="false">
      <c r="A119" s="38" t="s">
        <v>918</v>
      </c>
      <c r="B119" s="38" t="n">
        <v>5</v>
      </c>
      <c r="C119" s="53" t="n">
        <v>-0.692381</v>
      </c>
      <c r="D119" s="53" t="n">
        <v>-0.423416</v>
      </c>
      <c r="E119" s="53" t="n">
        <v>-0.557899</v>
      </c>
      <c r="F119" s="53" t="n">
        <v>0.47619</v>
      </c>
      <c r="G119" s="53" t="n">
        <v>0.166667</v>
      </c>
      <c r="H119" s="53" t="n">
        <v>0.2</v>
      </c>
    </row>
    <row r="120" customFormat="false" ht="15" hidden="false" customHeight="true" outlineLevel="0" collapsed="false">
      <c r="A120" s="38" t="s">
        <v>918</v>
      </c>
      <c r="B120" s="38" t="n">
        <v>6</v>
      </c>
      <c r="C120" s="53" t="n">
        <v>-0.85814</v>
      </c>
      <c r="D120" s="53" t="n">
        <v>-0.586251</v>
      </c>
      <c r="E120" s="53" t="n">
        <v>-0.722195</v>
      </c>
      <c r="F120" s="53" t="n">
        <v>0.52381</v>
      </c>
      <c r="G120" s="53" t="n">
        <v>0.25</v>
      </c>
      <c r="H120" s="53" t="n">
        <v>0.4</v>
      </c>
    </row>
    <row r="121" customFormat="false" ht="15" hidden="false" customHeight="true" outlineLevel="0" collapsed="false">
      <c r="A121" s="38" t="s">
        <v>918</v>
      </c>
      <c r="B121" s="38" t="n">
        <v>7</v>
      </c>
      <c r="C121" s="53" t="n">
        <v>-0.786036</v>
      </c>
      <c r="D121" s="53" t="n">
        <v>-0.224592</v>
      </c>
      <c r="E121" s="53" t="n">
        <v>-0.505314</v>
      </c>
      <c r="F121" s="53" t="n">
        <v>0.428571</v>
      </c>
      <c r="G121" s="53" t="n">
        <v>0.166667</v>
      </c>
      <c r="H121" s="53" t="n">
        <v>0</v>
      </c>
    </row>
    <row r="122" customFormat="false" ht="15" hidden="false" customHeight="true" outlineLevel="0" collapsed="false">
      <c r="A122" s="38" t="s">
        <v>918</v>
      </c>
      <c r="B122" s="38" t="n">
        <v>8</v>
      </c>
      <c r="C122" s="53" t="n">
        <v>-1.00747</v>
      </c>
      <c r="D122" s="53" t="n">
        <v>-0.317922</v>
      </c>
      <c r="E122" s="53" t="n">
        <v>-0.662696</v>
      </c>
      <c r="F122" s="53" t="n">
        <v>0.333333</v>
      </c>
      <c r="G122" s="53" t="n">
        <v>0.083333</v>
      </c>
      <c r="H122" s="53" t="n">
        <v>0.2</v>
      </c>
    </row>
    <row r="123" customFormat="false" ht="15" hidden="false" customHeight="true" outlineLevel="0" collapsed="false">
      <c r="A123" s="38" t="s">
        <v>918</v>
      </c>
      <c r="B123" s="38" t="n">
        <v>9</v>
      </c>
      <c r="C123" s="53" t="n">
        <v>-0.70106</v>
      </c>
      <c r="D123" s="53" t="n">
        <v>-0.382669</v>
      </c>
      <c r="E123" s="53" t="n">
        <v>-0.541864</v>
      </c>
      <c r="F123" s="53" t="n">
        <v>0.52381</v>
      </c>
      <c r="G123" s="53" t="n">
        <v>0.166667</v>
      </c>
      <c r="H123" s="53" t="n">
        <v>0.2</v>
      </c>
    </row>
    <row r="124" customFormat="false" ht="15" hidden="false" customHeight="true" outlineLevel="0" collapsed="false">
      <c r="A124" s="38" t="s">
        <v>918</v>
      </c>
      <c r="B124" s="38" t="n">
        <v>10</v>
      </c>
      <c r="C124" s="53" t="n">
        <v>-0.465082</v>
      </c>
      <c r="D124" s="53" t="n">
        <v>-0.309765</v>
      </c>
      <c r="E124" s="53" t="n">
        <v>-0.387424</v>
      </c>
      <c r="F124" s="53" t="n">
        <v>0.619048</v>
      </c>
      <c r="G124" s="53" t="n">
        <v>0.333333</v>
      </c>
      <c r="H124" s="53" t="n">
        <v>0.4</v>
      </c>
    </row>
    <row r="125" customFormat="false" ht="15" hidden="false" customHeight="true" outlineLevel="0" collapsed="false">
      <c r="A125" s="38" t="s">
        <v>919</v>
      </c>
      <c r="B125" s="38" t="n">
        <v>1</v>
      </c>
      <c r="C125" s="53" t="n">
        <v>-0.710905</v>
      </c>
      <c r="D125" s="53" t="n">
        <v>-0.374415</v>
      </c>
      <c r="E125" s="53" t="n">
        <v>-0.54266</v>
      </c>
      <c r="F125" s="53" t="n">
        <v>0.380952</v>
      </c>
      <c r="G125" s="53" t="n">
        <v>0.333333</v>
      </c>
      <c r="H125" s="53" t="n">
        <v>0.6</v>
      </c>
    </row>
    <row r="126" customFormat="false" ht="15" hidden="false" customHeight="true" outlineLevel="0" collapsed="false">
      <c r="A126" s="38" t="s">
        <v>919</v>
      </c>
      <c r="B126" s="38" t="n">
        <v>2</v>
      </c>
      <c r="C126" s="53" t="n">
        <v>-0.76542</v>
      </c>
      <c r="D126" s="53" t="n">
        <v>-0.466006</v>
      </c>
      <c r="E126" s="53" t="n">
        <v>-0.615713</v>
      </c>
      <c r="F126" s="53" t="n">
        <v>0.238095</v>
      </c>
      <c r="G126" s="53" t="n">
        <v>0.25</v>
      </c>
      <c r="H126" s="53" t="n">
        <v>0.4</v>
      </c>
    </row>
    <row r="127" customFormat="false" ht="15" hidden="false" customHeight="true" outlineLevel="0" collapsed="false">
      <c r="A127" s="38" t="s">
        <v>919</v>
      </c>
      <c r="B127" s="38" t="n">
        <v>3</v>
      </c>
      <c r="C127" s="53" t="n">
        <v>-0.711132</v>
      </c>
      <c r="D127" s="53" t="n">
        <v>-0.484439</v>
      </c>
      <c r="E127" s="53" t="n">
        <v>-0.597785</v>
      </c>
      <c r="F127" s="53" t="n">
        <v>0.380952</v>
      </c>
      <c r="G127" s="53" t="n">
        <v>0.083333</v>
      </c>
      <c r="H127" s="53" t="n">
        <v>0.2</v>
      </c>
    </row>
    <row r="128" customFormat="false" ht="15" hidden="false" customHeight="true" outlineLevel="0" collapsed="false">
      <c r="A128" s="38" t="s">
        <v>919</v>
      </c>
      <c r="B128" s="38" t="n">
        <v>4</v>
      </c>
      <c r="C128" s="53" t="n">
        <v>-0.624959</v>
      </c>
      <c r="D128" s="53" t="n">
        <v>-0.330806</v>
      </c>
      <c r="E128" s="53" t="n">
        <v>-0.477882</v>
      </c>
      <c r="F128" s="53" t="n">
        <v>0.190476</v>
      </c>
      <c r="G128" s="53" t="n">
        <v>0.166667</v>
      </c>
      <c r="H128" s="53" t="n">
        <v>0.4</v>
      </c>
    </row>
    <row r="129" customFormat="false" ht="15" hidden="false" customHeight="true" outlineLevel="0" collapsed="false">
      <c r="A129" s="38" t="s">
        <v>919</v>
      </c>
      <c r="B129" s="38" t="n">
        <v>5</v>
      </c>
      <c r="C129" s="53" t="n">
        <v>-0.781514</v>
      </c>
      <c r="D129" s="53" t="n">
        <v>-0.399202</v>
      </c>
      <c r="E129" s="53" t="n">
        <v>-0.590358</v>
      </c>
      <c r="F129" s="53" t="n">
        <v>0.238095</v>
      </c>
      <c r="G129" s="53" t="n">
        <v>0.416667</v>
      </c>
      <c r="H129" s="53" t="n">
        <v>0.4</v>
      </c>
    </row>
    <row r="130" customFormat="false" ht="15" hidden="false" customHeight="true" outlineLevel="0" collapsed="false">
      <c r="A130" s="38" t="s">
        <v>919</v>
      </c>
      <c r="B130" s="38" t="n">
        <v>6</v>
      </c>
      <c r="C130" s="53" t="n">
        <v>-0.565139</v>
      </c>
      <c r="D130" s="53" t="n">
        <v>-0.171814</v>
      </c>
      <c r="E130" s="53" t="n">
        <v>-0.368476</v>
      </c>
      <c r="F130" s="53" t="n">
        <v>0.380952</v>
      </c>
      <c r="G130" s="53" t="n">
        <v>0.416667</v>
      </c>
      <c r="H130" s="53" t="n">
        <v>0.6</v>
      </c>
    </row>
    <row r="131" customFormat="false" ht="15" hidden="false" customHeight="true" outlineLevel="0" collapsed="false">
      <c r="A131" s="38" t="s">
        <v>919</v>
      </c>
      <c r="B131" s="38" t="n">
        <v>7</v>
      </c>
      <c r="C131" s="53" t="n">
        <v>-0.767098</v>
      </c>
      <c r="D131" s="53" t="n">
        <v>-0.329895</v>
      </c>
      <c r="E131" s="53" t="n">
        <v>-0.548496</v>
      </c>
      <c r="F131" s="53" t="n">
        <v>0.285714</v>
      </c>
      <c r="G131" s="53" t="n">
        <v>0.166667</v>
      </c>
      <c r="H131" s="53" t="n">
        <v>0</v>
      </c>
    </row>
    <row r="132" customFormat="false" ht="15" hidden="false" customHeight="true" outlineLevel="0" collapsed="false">
      <c r="A132" s="38" t="s">
        <v>919</v>
      </c>
      <c r="B132" s="38" t="n">
        <v>8</v>
      </c>
      <c r="C132" s="53" t="n">
        <v>-0.567976</v>
      </c>
      <c r="D132" s="53" t="n">
        <v>-0.169102</v>
      </c>
      <c r="E132" s="53" t="n">
        <v>-0.368539</v>
      </c>
      <c r="F132" s="53" t="n">
        <v>0.333333</v>
      </c>
      <c r="G132" s="53" t="n">
        <v>0.333333</v>
      </c>
      <c r="H132" s="53" t="n">
        <v>0.4</v>
      </c>
    </row>
    <row r="133" customFormat="false" ht="15" hidden="false" customHeight="true" outlineLevel="0" collapsed="false">
      <c r="A133" s="38" t="s">
        <v>919</v>
      </c>
      <c r="B133" s="38" t="n">
        <v>9</v>
      </c>
      <c r="C133" s="53" t="n">
        <v>-0.939763</v>
      </c>
      <c r="D133" s="53" t="n">
        <v>-0.393007</v>
      </c>
      <c r="E133" s="53" t="n">
        <v>-0.666385</v>
      </c>
      <c r="F133" s="53" t="n">
        <v>0.285714</v>
      </c>
      <c r="G133" s="53" t="n">
        <v>0.25</v>
      </c>
      <c r="H133" s="53" t="n">
        <v>0.2</v>
      </c>
    </row>
    <row r="134" customFormat="false" ht="15" hidden="false" customHeight="true" outlineLevel="0" collapsed="false">
      <c r="A134" s="38" t="s">
        <v>919</v>
      </c>
      <c r="B134" s="38" t="n">
        <v>10</v>
      </c>
      <c r="C134" s="53" t="n">
        <v>-0.516359</v>
      </c>
      <c r="D134" s="53" t="n">
        <v>-0.170404</v>
      </c>
      <c r="E134" s="53" t="n">
        <v>-0.343381</v>
      </c>
      <c r="F134" s="53" t="n">
        <v>0.52381</v>
      </c>
      <c r="G134" s="53" t="n">
        <v>0.166667</v>
      </c>
      <c r="H134" s="53" t="n">
        <v>0</v>
      </c>
    </row>
    <row r="135" customFormat="false" ht="15" hidden="false" customHeight="true" outlineLevel="0" collapsed="false">
      <c r="A135" s="38" t="s">
        <v>920</v>
      </c>
      <c r="B135" s="38" t="n">
        <v>1</v>
      </c>
      <c r="C135" s="53" t="n">
        <v>-0.662975</v>
      </c>
      <c r="D135" s="53" t="n">
        <v>-0.319728</v>
      </c>
      <c r="E135" s="53" t="n">
        <v>-0.491351</v>
      </c>
      <c r="F135" s="53" t="n">
        <v>0.333333</v>
      </c>
      <c r="G135" s="53" t="n">
        <v>0.25</v>
      </c>
      <c r="H135" s="53" t="n">
        <v>0.2</v>
      </c>
    </row>
    <row r="136" customFormat="false" ht="15" hidden="false" customHeight="true" outlineLevel="0" collapsed="false">
      <c r="A136" s="38" t="s">
        <v>920</v>
      </c>
      <c r="B136" s="38" t="n">
        <v>2</v>
      </c>
      <c r="C136" s="53" t="n">
        <v>-0.59326</v>
      </c>
      <c r="D136" s="53" t="n">
        <v>-0.401006</v>
      </c>
      <c r="E136" s="53" t="n">
        <v>-0.497133</v>
      </c>
      <c r="F136" s="53" t="n">
        <v>0.380952</v>
      </c>
      <c r="G136" s="53" t="n">
        <v>0.166667</v>
      </c>
      <c r="H136" s="53" t="n">
        <v>0.2</v>
      </c>
    </row>
    <row r="137" customFormat="false" ht="15" hidden="false" customHeight="true" outlineLevel="0" collapsed="false">
      <c r="A137" s="38" t="s">
        <v>920</v>
      </c>
      <c r="B137" s="38" t="n">
        <v>3</v>
      </c>
      <c r="C137" s="53" t="n">
        <v>-1.068407</v>
      </c>
      <c r="D137" s="53" t="n">
        <v>-0.587547</v>
      </c>
      <c r="E137" s="53" t="n">
        <v>-0.827977</v>
      </c>
      <c r="F137" s="53" t="n">
        <v>0.428571</v>
      </c>
      <c r="G137" s="53" t="n">
        <v>0.166667</v>
      </c>
      <c r="H137" s="53" t="n">
        <v>0.2</v>
      </c>
    </row>
    <row r="138" customFormat="false" ht="15" hidden="false" customHeight="true" outlineLevel="0" collapsed="false">
      <c r="A138" s="38" t="s">
        <v>920</v>
      </c>
      <c r="B138" s="38" t="n">
        <v>4</v>
      </c>
      <c r="C138" s="53" t="n">
        <v>-1.020442</v>
      </c>
      <c r="D138" s="53" t="n">
        <v>-0.444907</v>
      </c>
      <c r="E138" s="53" t="n">
        <v>-0.732675</v>
      </c>
      <c r="F138" s="53" t="n">
        <v>0.428571</v>
      </c>
      <c r="G138" s="53" t="n">
        <v>0.25</v>
      </c>
      <c r="H138" s="53" t="n">
        <v>0.2</v>
      </c>
    </row>
    <row r="139" customFormat="false" ht="15" hidden="false" customHeight="true" outlineLevel="0" collapsed="false">
      <c r="A139" s="38" t="s">
        <v>920</v>
      </c>
      <c r="B139" s="38" t="n">
        <v>5</v>
      </c>
      <c r="C139" s="53" t="n">
        <v>-0.762508</v>
      </c>
      <c r="D139" s="53" t="n">
        <v>-0.494461</v>
      </c>
      <c r="E139" s="53" t="n">
        <v>-0.628484</v>
      </c>
      <c r="F139" s="53" t="n">
        <v>0.238095</v>
      </c>
      <c r="G139" s="53" t="n">
        <v>0.25</v>
      </c>
      <c r="H139" s="53" t="n">
        <v>0.2</v>
      </c>
    </row>
    <row r="140" customFormat="false" ht="15" hidden="false" customHeight="true" outlineLevel="0" collapsed="false">
      <c r="A140" s="38" t="s">
        <v>920</v>
      </c>
      <c r="B140" s="38" t="n">
        <v>6</v>
      </c>
      <c r="C140" s="53" t="n">
        <v>-0.808414</v>
      </c>
      <c r="D140" s="53" t="n">
        <v>-0.457732</v>
      </c>
      <c r="E140" s="53" t="n">
        <v>-0.633073</v>
      </c>
      <c r="F140" s="53" t="n">
        <v>0.285714</v>
      </c>
      <c r="G140" s="53" t="n">
        <v>0.166667</v>
      </c>
      <c r="H140" s="53" t="n">
        <v>0.2</v>
      </c>
    </row>
    <row r="141" customFormat="false" ht="15" hidden="false" customHeight="true" outlineLevel="0" collapsed="false">
      <c r="A141" s="38" t="s">
        <v>920</v>
      </c>
      <c r="B141" s="38" t="n">
        <v>7</v>
      </c>
      <c r="C141" s="53" t="n">
        <v>-0.703362</v>
      </c>
      <c r="D141" s="53" t="n">
        <v>-0.488373</v>
      </c>
      <c r="E141" s="53" t="n">
        <v>-0.595867</v>
      </c>
      <c r="F141" s="53" t="n">
        <v>0.47619</v>
      </c>
      <c r="G141" s="53" t="n">
        <v>0.166667</v>
      </c>
      <c r="H141" s="53" t="n">
        <v>0</v>
      </c>
    </row>
    <row r="142" customFormat="false" ht="15" hidden="false" customHeight="true" outlineLevel="0" collapsed="false">
      <c r="A142" s="38" t="s">
        <v>920</v>
      </c>
      <c r="B142" s="38" t="n">
        <v>8</v>
      </c>
      <c r="C142" s="53" t="n">
        <v>-0.905773</v>
      </c>
      <c r="D142" s="53" t="n">
        <v>-0.351212</v>
      </c>
      <c r="E142" s="53" t="n">
        <v>-0.628492</v>
      </c>
      <c r="F142" s="53" t="n">
        <v>0.47619</v>
      </c>
      <c r="G142" s="53" t="n">
        <v>0.25</v>
      </c>
      <c r="H142" s="53" t="n">
        <v>0.4</v>
      </c>
    </row>
    <row r="143" customFormat="false" ht="15" hidden="false" customHeight="true" outlineLevel="0" collapsed="false">
      <c r="A143" s="38" t="s">
        <v>920</v>
      </c>
      <c r="B143" s="38" t="n">
        <v>9</v>
      </c>
      <c r="C143" s="53" t="n">
        <v>-0.793119</v>
      </c>
      <c r="D143" s="53" t="n">
        <v>-0.611619</v>
      </c>
      <c r="E143" s="53" t="n">
        <v>-0.702369</v>
      </c>
      <c r="F143" s="53" t="n">
        <v>0.380952</v>
      </c>
      <c r="G143" s="53" t="n">
        <v>0.083333</v>
      </c>
      <c r="H143" s="53" t="n">
        <v>0</v>
      </c>
    </row>
    <row r="144" customFormat="false" ht="15" hidden="false" customHeight="true" outlineLevel="0" collapsed="false">
      <c r="A144" s="38" t="s">
        <v>920</v>
      </c>
      <c r="B144" s="38" t="n">
        <v>10</v>
      </c>
      <c r="C144" s="53" t="n">
        <v>-0.993737</v>
      </c>
      <c r="D144" s="53" t="n">
        <v>-0.529518</v>
      </c>
      <c r="E144" s="53" t="n">
        <v>-0.761627</v>
      </c>
      <c r="F144" s="53" t="n">
        <v>0.380952</v>
      </c>
      <c r="G144" s="53" t="n">
        <v>0.166667</v>
      </c>
      <c r="H144" s="53" t="n">
        <v>0</v>
      </c>
    </row>
    <row r="145" customFormat="false" ht="15" hidden="false" customHeight="true" outlineLevel="0" collapsed="false">
      <c r="A145" s="38" t="s">
        <v>921</v>
      </c>
      <c r="B145" s="38" t="n">
        <v>1</v>
      </c>
      <c r="C145" s="53" t="n">
        <v>-0.958008</v>
      </c>
      <c r="D145" s="53" t="n">
        <v>-0.59254</v>
      </c>
      <c r="E145" s="53" t="n">
        <v>-0.775274</v>
      </c>
      <c r="F145" s="53" t="n">
        <v>0.380952</v>
      </c>
      <c r="G145" s="53" t="n">
        <v>0.083333</v>
      </c>
      <c r="H145" s="53" t="n">
        <v>0.2</v>
      </c>
    </row>
    <row r="146" customFormat="false" ht="15" hidden="false" customHeight="true" outlineLevel="0" collapsed="false">
      <c r="A146" s="38" t="s">
        <v>921</v>
      </c>
      <c r="B146" s="38" t="n">
        <v>2</v>
      </c>
      <c r="C146" s="53" t="n">
        <v>-0.952633</v>
      </c>
      <c r="D146" s="53" t="n">
        <v>-0.430766</v>
      </c>
      <c r="E146" s="53" t="n">
        <v>-0.691699</v>
      </c>
      <c r="F146" s="53" t="n">
        <v>0.52381</v>
      </c>
      <c r="G146" s="53" t="n">
        <v>0</v>
      </c>
      <c r="H146" s="53" t="n">
        <v>0</v>
      </c>
    </row>
    <row r="147" customFormat="false" ht="15" hidden="false" customHeight="true" outlineLevel="0" collapsed="false">
      <c r="A147" s="38" t="s">
        <v>921</v>
      </c>
      <c r="B147" s="38" t="n">
        <v>3</v>
      </c>
      <c r="C147" s="53" t="n">
        <v>-0.496287</v>
      </c>
      <c r="D147" s="53" t="n">
        <v>-0.430476</v>
      </c>
      <c r="E147" s="53" t="n">
        <v>-0.463381</v>
      </c>
      <c r="F147" s="53" t="n">
        <v>0.52381</v>
      </c>
      <c r="G147" s="53" t="n">
        <v>0.416667</v>
      </c>
      <c r="H147" s="53" t="n">
        <v>0.4</v>
      </c>
    </row>
    <row r="148" customFormat="false" ht="15" hidden="false" customHeight="true" outlineLevel="0" collapsed="false">
      <c r="A148" s="38" t="s">
        <v>921</v>
      </c>
      <c r="B148" s="38" t="n">
        <v>4</v>
      </c>
      <c r="C148" s="53" t="n">
        <v>-0.794912</v>
      </c>
      <c r="D148" s="53" t="n">
        <v>-0.4695</v>
      </c>
      <c r="E148" s="53" t="n">
        <v>-0.632206</v>
      </c>
      <c r="F148" s="53" t="n">
        <v>0.380952</v>
      </c>
      <c r="G148" s="53" t="n">
        <v>0.25</v>
      </c>
      <c r="H148" s="53" t="n">
        <v>0.2</v>
      </c>
    </row>
    <row r="149" customFormat="false" ht="15" hidden="false" customHeight="true" outlineLevel="0" collapsed="false">
      <c r="A149" s="38" t="s">
        <v>921</v>
      </c>
      <c r="B149" s="38" t="n">
        <v>5</v>
      </c>
      <c r="C149" s="53" t="n">
        <v>-0.909121</v>
      </c>
      <c r="D149" s="53" t="n">
        <v>-0.485314</v>
      </c>
      <c r="E149" s="53" t="n">
        <v>-0.697218</v>
      </c>
      <c r="F149" s="53" t="n">
        <v>0.380952</v>
      </c>
      <c r="G149" s="53" t="n">
        <v>0.166667</v>
      </c>
      <c r="H149" s="53" t="n">
        <v>0.2</v>
      </c>
    </row>
    <row r="150" customFormat="false" ht="15" hidden="false" customHeight="true" outlineLevel="0" collapsed="false">
      <c r="A150" s="38" t="s">
        <v>921</v>
      </c>
      <c r="B150" s="38" t="n">
        <v>6</v>
      </c>
      <c r="C150" s="53" t="n">
        <v>-0.767881</v>
      </c>
      <c r="D150" s="53" t="n">
        <v>-0.496223</v>
      </c>
      <c r="E150" s="53" t="n">
        <v>-0.632052</v>
      </c>
      <c r="F150" s="53" t="n">
        <v>0.380952</v>
      </c>
      <c r="G150" s="53" t="n">
        <v>0.25</v>
      </c>
      <c r="H150" s="53" t="n">
        <v>0.4</v>
      </c>
    </row>
    <row r="151" customFormat="false" ht="15" hidden="false" customHeight="true" outlineLevel="0" collapsed="false">
      <c r="A151" s="38" t="s">
        <v>921</v>
      </c>
      <c r="B151" s="38" t="n">
        <v>7</v>
      </c>
      <c r="C151" s="53" t="n">
        <v>-0.877877</v>
      </c>
      <c r="D151" s="53" t="n">
        <v>-0.428633</v>
      </c>
      <c r="E151" s="53" t="n">
        <v>-0.653255</v>
      </c>
      <c r="F151" s="53" t="n">
        <v>0.190476</v>
      </c>
      <c r="G151" s="53" t="n">
        <v>0.083333</v>
      </c>
      <c r="H151" s="53" t="n">
        <v>0.2</v>
      </c>
    </row>
    <row r="152" customFormat="false" ht="15" hidden="false" customHeight="true" outlineLevel="0" collapsed="false">
      <c r="A152" s="38" t="s">
        <v>921</v>
      </c>
      <c r="B152" s="38" t="n">
        <v>8</v>
      </c>
      <c r="C152" s="53" t="n">
        <v>-0.81028</v>
      </c>
      <c r="D152" s="53" t="n">
        <v>-0.612782</v>
      </c>
      <c r="E152" s="53" t="n">
        <v>-0.711531</v>
      </c>
      <c r="F152" s="53" t="n">
        <v>0.428571</v>
      </c>
      <c r="G152" s="53" t="n">
        <v>0.083333</v>
      </c>
      <c r="H152" s="53" t="n">
        <v>0.2</v>
      </c>
    </row>
    <row r="153" customFormat="false" ht="15" hidden="false" customHeight="true" outlineLevel="0" collapsed="false">
      <c r="A153" s="38" t="s">
        <v>921</v>
      </c>
      <c r="B153" s="38" t="n">
        <v>9</v>
      </c>
      <c r="C153" s="53" t="n">
        <v>-0.677601</v>
      </c>
      <c r="D153" s="53" t="n">
        <v>-0.24699</v>
      </c>
      <c r="E153" s="53" t="n">
        <v>-0.462295</v>
      </c>
      <c r="F153" s="53" t="n">
        <v>0.380952</v>
      </c>
      <c r="G153" s="53" t="n">
        <v>0.083333</v>
      </c>
      <c r="H153" s="53" t="n">
        <v>0</v>
      </c>
    </row>
    <row r="154" customFormat="false" ht="15" hidden="false" customHeight="true" outlineLevel="0" collapsed="false">
      <c r="A154" s="38" t="s">
        <v>921</v>
      </c>
      <c r="B154" s="38" t="n">
        <v>10</v>
      </c>
      <c r="C154" s="53" t="n">
        <v>-0.726444</v>
      </c>
      <c r="D154" s="53" t="n">
        <v>-0.351211</v>
      </c>
      <c r="E154" s="53" t="n">
        <v>-0.538827</v>
      </c>
      <c r="F154" s="53" t="n">
        <v>0.238095</v>
      </c>
      <c r="G154" s="53" t="n">
        <v>0.416667</v>
      </c>
      <c r="H154" s="53" t="n">
        <v>0.6</v>
      </c>
    </row>
    <row r="155" customFormat="false" ht="15" hidden="false" customHeight="true" outlineLevel="0" collapsed="false">
      <c r="A155" s="38" t="s">
        <v>922</v>
      </c>
      <c r="B155" s="38" t="n">
        <v>1</v>
      </c>
      <c r="C155" s="53" t="n">
        <v>-0.67966</v>
      </c>
      <c r="D155" s="53" t="n">
        <v>-0.191316</v>
      </c>
      <c r="E155" s="53" t="n">
        <v>-0.435488</v>
      </c>
      <c r="F155" s="53" t="n">
        <v>0.380952</v>
      </c>
      <c r="G155" s="53" t="n">
        <v>0.25</v>
      </c>
      <c r="H155" s="53" t="n">
        <v>0.2</v>
      </c>
    </row>
    <row r="156" customFormat="false" ht="15" hidden="false" customHeight="true" outlineLevel="0" collapsed="false">
      <c r="A156" s="38" t="s">
        <v>922</v>
      </c>
      <c r="B156" s="38" t="n">
        <v>2</v>
      </c>
      <c r="C156" s="53" t="n">
        <v>-0.66533</v>
      </c>
      <c r="D156" s="53" t="n">
        <v>-0.291472</v>
      </c>
      <c r="E156" s="53" t="n">
        <v>-0.478401</v>
      </c>
      <c r="F156" s="53" t="n">
        <v>0.52381</v>
      </c>
      <c r="G156" s="53" t="n">
        <v>0.416667</v>
      </c>
      <c r="H156" s="53" t="n">
        <v>0.6</v>
      </c>
    </row>
    <row r="157" customFormat="false" ht="15" hidden="false" customHeight="true" outlineLevel="0" collapsed="false">
      <c r="A157" s="38" t="s">
        <v>922</v>
      </c>
      <c r="B157" s="38" t="n">
        <v>3</v>
      </c>
      <c r="C157" s="53" t="n">
        <v>-0.910118</v>
      </c>
      <c r="D157" s="53" t="n">
        <v>-0.501472</v>
      </c>
      <c r="E157" s="53" t="n">
        <v>-0.705795</v>
      </c>
      <c r="F157" s="53" t="n">
        <v>0.47619</v>
      </c>
      <c r="G157" s="53" t="n">
        <v>0.083333</v>
      </c>
      <c r="H157" s="53" t="n">
        <v>0.2</v>
      </c>
    </row>
    <row r="158" customFormat="false" ht="15" hidden="false" customHeight="true" outlineLevel="0" collapsed="false">
      <c r="A158" s="38" t="s">
        <v>922</v>
      </c>
      <c r="B158" s="38" t="n">
        <v>4</v>
      </c>
      <c r="C158" s="53" t="n">
        <v>-0.50201</v>
      </c>
      <c r="D158" s="53" t="n">
        <v>-0.252697</v>
      </c>
      <c r="E158" s="53" t="n">
        <v>-0.377354</v>
      </c>
      <c r="F158" s="53" t="n">
        <v>0.380952</v>
      </c>
      <c r="G158" s="53" t="n">
        <v>0.333333</v>
      </c>
      <c r="H158" s="53" t="n">
        <v>0.2</v>
      </c>
    </row>
    <row r="159" customFormat="false" ht="15" hidden="false" customHeight="true" outlineLevel="0" collapsed="false">
      <c r="A159" s="38" t="s">
        <v>922</v>
      </c>
      <c r="B159" s="38" t="n">
        <v>5</v>
      </c>
      <c r="C159" s="53" t="n">
        <v>-0.628264</v>
      </c>
      <c r="D159" s="53" t="n">
        <v>-0.299614</v>
      </c>
      <c r="E159" s="53" t="n">
        <v>-0.463939</v>
      </c>
      <c r="F159" s="53" t="n">
        <v>0.428571</v>
      </c>
      <c r="G159" s="53" t="n">
        <v>0.333333</v>
      </c>
      <c r="H159" s="53" t="n">
        <v>0</v>
      </c>
    </row>
    <row r="160" customFormat="false" ht="15" hidden="false" customHeight="true" outlineLevel="0" collapsed="false">
      <c r="A160" s="38" t="s">
        <v>922</v>
      </c>
      <c r="B160" s="38" t="n">
        <v>6</v>
      </c>
      <c r="C160" s="53" t="n">
        <v>-0.809326</v>
      </c>
      <c r="D160" s="53" t="n">
        <v>-0.445736</v>
      </c>
      <c r="E160" s="53" t="n">
        <v>-0.627531</v>
      </c>
      <c r="F160" s="53" t="n">
        <v>0.333333</v>
      </c>
      <c r="G160" s="53" t="n">
        <v>0.083333</v>
      </c>
      <c r="H160" s="53" t="n">
        <v>0</v>
      </c>
    </row>
    <row r="161" customFormat="false" ht="15" hidden="false" customHeight="true" outlineLevel="0" collapsed="false">
      <c r="A161" s="38" t="s">
        <v>922</v>
      </c>
      <c r="B161" s="38" t="n">
        <v>7</v>
      </c>
      <c r="C161" s="53" t="n">
        <v>-0.831781</v>
      </c>
      <c r="D161" s="53" t="n">
        <v>-0.532317</v>
      </c>
      <c r="E161" s="53" t="n">
        <v>-0.682049</v>
      </c>
      <c r="F161" s="53" t="n">
        <v>0.190476</v>
      </c>
      <c r="G161" s="53" t="n">
        <v>0.333333</v>
      </c>
      <c r="H161" s="53" t="n">
        <v>0.4</v>
      </c>
    </row>
    <row r="162" customFormat="false" ht="15" hidden="false" customHeight="true" outlineLevel="0" collapsed="false">
      <c r="A162" s="38" t="s">
        <v>922</v>
      </c>
      <c r="B162" s="38" t="n">
        <v>8</v>
      </c>
      <c r="C162" s="53" t="n">
        <v>-0.837124</v>
      </c>
      <c r="D162" s="53" t="n">
        <v>-0.585846</v>
      </c>
      <c r="E162" s="53" t="n">
        <v>-0.711485</v>
      </c>
      <c r="F162" s="53" t="n">
        <v>0.333333</v>
      </c>
      <c r="G162" s="53" t="n">
        <v>0.083333</v>
      </c>
      <c r="H162" s="53" t="n">
        <v>0</v>
      </c>
    </row>
    <row r="163" customFormat="false" ht="15" hidden="false" customHeight="true" outlineLevel="0" collapsed="false">
      <c r="A163" s="38" t="s">
        <v>922</v>
      </c>
      <c r="B163" s="38" t="n">
        <v>9</v>
      </c>
      <c r="C163" s="53" t="n">
        <v>-0.705757</v>
      </c>
      <c r="D163" s="53" t="n">
        <v>-0.35517</v>
      </c>
      <c r="E163" s="53" t="n">
        <v>-0.530463</v>
      </c>
      <c r="F163" s="53" t="n">
        <v>0.52381</v>
      </c>
      <c r="G163" s="53" t="n">
        <v>0.25</v>
      </c>
      <c r="H163" s="53" t="n">
        <v>0.4</v>
      </c>
    </row>
    <row r="164" customFormat="false" ht="15" hidden="false" customHeight="true" outlineLevel="0" collapsed="false">
      <c r="A164" s="38" t="s">
        <v>922</v>
      </c>
      <c r="B164" s="38" t="n">
        <v>10</v>
      </c>
      <c r="C164" s="53" t="n">
        <v>-0.715487</v>
      </c>
      <c r="D164" s="53" t="n">
        <v>-0.38729</v>
      </c>
      <c r="E164" s="53" t="n">
        <v>-0.551388</v>
      </c>
      <c r="F164" s="53" t="n">
        <v>0.285714</v>
      </c>
      <c r="G164" s="53" t="n">
        <v>0.333333</v>
      </c>
      <c r="H164" s="53" t="n">
        <v>0.4</v>
      </c>
    </row>
    <row r="165" customFormat="false" ht="15" hidden="false" customHeight="true" outlineLevel="0" collapsed="false">
      <c r="A165" s="38" t="s">
        <v>923</v>
      </c>
      <c r="B165" s="38" t="n">
        <v>1</v>
      </c>
      <c r="C165" s="53" t="n">
        <v>-0.688718</v>
      </c>
      <c r="D165" s="53" t="n">
        <v>-0.55918</v>
      </c>
      <c r="E165" s="53" t="n">
        <v>-0.623949</v>
      </c>
      <c r="F165" s="53" t="n">
        <v>0.380952</v>
      </c>
      <c r="G165" s="53" t="n">
        <v>0.25</v>
      </c>
      <c r="H165" s="53" t="n">
        <v>0.2</v>
      </c>
    </row>
    <row r="166" customFormat="false" ht="15" hidden="false" customHeight="true" outlineLevel="0" collapsed="false">
      <c r="A166" s="38" t="s">
        <v>923</v>
      </c>
      <c r="B166" s="38" t="n">
        <v>2</v>
      </c>
      <c r="C166" s="53" t="n">
        <v>-0.598777</v>
      </c>
      <c r="D166" s="53" t="n">
        <v>-0.460593</v>
      </c>
      <c r="E166" s="53" t="n">
        <v>-0.529685</v>
      </c>
      <c r="F166" s="53" t="n">
        <v>0.238095</v>
      </c>
      <c r="G166" s="53" t="n">
        <v>0.25</v>
      </c>
      <c r="H166" s="53" t="n">
        <v>0.4</v>
      </c>
    </row>
    <row r="167" customFormat="false" ht="15" hidden="false" customHeight="true" outlineLevel="0" collapsed="false">
      <c r="A167" s="38" t="s">
        <v>923</v>
      </c>
      <c r="B167" s="38" t="n">
        <v>3</v>
      </c>
      <c r="C167" s="53" t="n">
        <v>-0.507259</v>
      </c>
      <c r="D167" s="53" t="n">
        <v>-0.329937</v>
      </c>
      <c r="E167" s="53" t="n">
        <v>-0.418598</v>
      </c>
      <c r="F167" s="53" t="n">
        <v>0.47619</v>
      </c>
      <c r="G167" s="53" t="n">
        <v>0.5</v>
      </c>
      <c r="H167" s="53" t="n">
        <v>0.2</v>
      </c>
    </row>
    <row r="168" customFormat="false" ht="15" hidden="false" customHeight="true" outlineLevel="0" collapsed="false">
      <c r="A168" s="38" t="s">
        <v>923</v>
      </c>
      <c r="B168" s="38" t="n">
        <v>4</v>
      </c>
      <c r="C168" s="53" t="n">
        <v>-0.718635</v>
      </c>
      <c r="D168" s="53" t="n">
        <v>-0.312917</v>
      </c>
      <c r="E168" s="53" t="n">
        <v>-0.515776</v>
      </c>
      <c r="F168" s="53" t="n">
        <v>0.380952</v>
      </c>
      <c r="G168" s="53" t="n">
        <v>0.25</v>
      </c>
      <c r="H168" s="53" t="n">
        <v>0</v>
      </c>
    </row>
    <row r="169" customFormat="false" ht="15" hidden="false" customHeight="true" outlineLevel="0" collapsed="false">
      <c r="A169" s="38" t="s">
        <v>923</v>
      </c>
      <c r="B169" s="38" t="n">
        <v>5</v>
      </c>
      <c r="C169" s="53" t="n">
        <v>-0.547854</v>
      </c>
      <c r="D169" s="53" t="n">
        <v>-0.455808</v>
      </c>
      <c r="E169" s="53" t="n">
        <v>-0.501831</v>
      </c>
      <c r="F169" s="53" t="n">
        <v>0.619048</v>
      </c>
      <c r="G169" s="53" t="n">
        <v>0.416667</v>
      </c>
      <c r="H169" s="53" t="n">
        <v>0.2</v>
      </c>
    </row>
    <row r="170" customFormat="false" ht="15" hidden="false" customHeight="true" outlineLevel="0" collapsed="false">
      <c r="A170" s="38" t="s">
        <v>923</v>
      </c>
      <c r="B170" s="38" t="n">
        <v>6</v>
      </c>
      <c r="C170" s="53" t="n">
        <v>-0.835559</v>
      </c>
      <c r="D170" s="53" t="n">
        <v>-0.575193</v>
      </c>
      <c r="E170" s="53" t="n">
        <v>-0.705376</v>
      </c>
      <c r="F170" s="53" t="n">
        <v>0.380952</v>
      </c>
      <c r="G170" s="53" t="n">
        <v>0.166667</v>
      </c>
      <c r="H170" s="53" t="n">
        <v>0.2</v>
      </c>
    </row>
    <row r="171" customFormat="false" ht="15" hidden="false" customHeight="true" outlineLevel="0" collapsed="false">
      <c r="A171" s="38" t="s">
        <v>923</v>
      </c>
      <c r="B171" s="38" t="n">
        <v>7</v>
      </c>
      <c r="C171" s="53" t="n">
        <v>-0.885929</v>
      </c>
      <c r="D171" s="53" t="n">
        <v>-0.565355</v>
      </c>
      <c r="E171" s="53" t="n">
        <v>-0.725642</v>
      </c>
      <c r="F171" s="53" t="n">
        <v>0.52381</v>
      </c>
      <c r="G171" s="53" t="n">
        <v>0.166667</v>
      </c>
      <c r="H171" s="53" t="n">
        <v>0.2</v>
      </c>
    </row>
    <row r="172" customFormat="false" ht="15" hidden="false" customHeight="true" outlineLevel="0" collapsed="false">
      <c r="A172" s="38" t="s">
        <v>923</v>
      </c>
      <c r="B172" s="38" t="n">
        <v>8</v>
      </c>
      <c r="C172" s="53" t="n">
        <v>-0.860643</v>
      </c>
      <c r="D172" s="53" t="n">
        <v>-0.396422</v>
      </c>
      <c r="E172" s="53" t="n">
        <v>-0.628533</v>
      </c>
      <c r="F172" s="53" t="n">
        <v>0.333333</v>
      </c>
      <c r="G172" s="53" t="n">
        <v>0.416667</v>
      </c>
      <c r="H172" s="53" t="n">
        <v>0.4</v>
      </c>
    </row>
    <row r="173" customFormat="false" ht="15" hidden="false" customHeight="true" outlineLevel="0" collapsed="false">
      <c r="A173" s="38" t="s">
        <v>923</v>
      </c>
      <c r="B173" s="38" t="n">
        <v>9</v>
      </c>
      <c r="C173" s="53" t="n">
        <v>-0.82273</v>
      </c>
      <c r="D173" s="53" t="n">
        <v>-0.579945</v>
      </c>
      <c r="E173" s="53" t="n">
        <v>-0.701337</v>
      </c>
      <c r="F173" s="53" t="n">
        <v>0.380952</v>
      </c>
      <c r="G173" s="53" t="n">
        <v>0.416667</v>
      </c>
      <c r="H173" s="53" t="n">
        <v>0.4</v>
      </c>
    </row>
    <row r="174" customFormat="false" ht="15" hidden="false" customHeight="true" outlineLevel="0" collapsed="false">
      <c r="A174" s="38" t="s">
        <v>923</v>
      </c>
      <c r="B174" s="38" t="n">
        <v>10</v>
      </c>
      <c r="C174" s="53" t="n">
        <v>-0.734896</v>
      </c>
      <c r="D174" s="53" t="n">
        <v>-0.276676</v>
      </c>
      <c r="E174" s="53" t="n">
        <v>-0.505786</v>
      </c>
      <c r="F174" s="53" t="n">
        <v>0.428571</v>
      </c>
      <c r="G174" s="53" t="n">
        <v>0.5</v>
      </c>
      <c r="H174" s="53" t="n">
        <v>0.8</v>
      </c>
    </row>
    <row r="175" customFormat="false" ht="15" hidden="false" customHeight="true" outlineLevel="0" collapsed="false">
      <c r="A175" s="38" t="s">
        <v>924</v>
      </c>
      <c r="B175" s="38" t="n">
        <v>1</v>
      </c>
      <c r="C175" s="53" t="n">
        <v>-0.870041</v>
      </c>
      <c r="D175" s="53" t="n">
        <v>-0.578038</v>
      </c>
      <c r="E175" s="53" t="n">
        <v>-0.72404</v>
      </c>
      <c r="F175" s="53" t="n">
        <v>0.571429</v>
      </c>
      <c r="G175" s="53" t="n">
        <v>0.166667</v>
      </c>
      <c r="H175" s="53" t="n">
        <v>0.2</v>
      </c>
    </row>
    <row r="176" customFormat="false" ht="15" hidden="false" customHeight="true" outlineLevel="0" collapsed="false">
      <c r="A176" s="38" t="s">
        <v>924</v>
      </c>
      <c r="B176" s="38" t="n">
        <v>2</v>
      </c>
      <c r="C176" s="53" t="n">
        <v>-0.942398</v>
      </c>
      <c r="D176" s="53" t="n">
        <v>-0.529183</v>
      </c>
      <c r="E176" s="53" t="n">
        <v>-0.73579</v>
      </c>
      <c r="F176" s="53" t="n">
        <v>0.333333</v>
      </c>
      <c r="G176" s="53" t="n">
        <v>0.333333</v>
      </c>
      <c r="H176" s="53" t="n">
        <v>0.4</v>
      </c>
    </row>
    <row r="177" customFormat="false" ht="15" hidden="false" customHeight="true" outlineLevel="0" collapsed="false">
      <c r="A177" s="38" t="s">
        <v>924</v>
      </c>
      <c r="B177" s="38" t="n">
        <v>3</v>
      </c>
      <c r="C177" s="53" t="n">
        <v>-0.900582</v>
      </c>
      <c r="D177" s="53" t="n">
        <v>-0.597016</v>
      </c>
      <c r="E177" s="53" t="n">
        <v>-0.748799</v>
      </c>
      <c r="F177" s="53" t="n">
        <v>0.333333</v>
      </c>
      <c r="G177" s="53" t="n">
        <v>0.166667</v>
      </c>
      <c r="H177" s="53" t="n">
        <v>0.4</v>
      </c>
    </row>
    <row r="178" customFormat="false" ht="15" hidden="false" customHeight="true" outlineLevel="0" collapsed="false">
      <c r="A178" s="38" t="s">
        <v>924</v>
      </c>
      <c r="B178" s="38" t="n">
        <v>4</v>
      </c>
      <c r="C178" s="53" t="n">
        <v>-1.04867</v>
      </c>
      <c r="D178" s="53" t="n">
        <v>-0.537633</v>
      </c>
      <c r="E178" s="53" t="n">
        <v>-0.793152</v>
      </c>
      <c r="F178" s="53" t="n">
        <v>0.238095</v>
      </c>
      <c r="G178" s="53" t="n">
        <v>0</v>
      </c>
      <c r="H178" s="53" t="n">
        <v>0</v>
      </c>
    </row>
    <row r="179" customFormat="false" ht="15" hidden="false" customHeight="true" outlineLevel="0" collapsed="false">
      <c r="A179" s="38" t="s">
        <v>924</v>
      </c>
      <c r="B179" s="38" t="n">
        <v>5</v>
      </c>
      <c r="C179" s="53" t="n">
        <v>-0.73936</v>
      </c>
      <c r="D179" s="53" t="n">
        <v>-0.347118</v>
      </c>
      <c r="E179" s="53" t="n">
        <v>-0.543239</v>
      </c>
      <c r="F179" s="53" t="n">
        <v>0.238095</v>
      </c>
      <c r="G179" s="53" t="n">
        <v>0.25</v>
      </c>
      <c r="H179" s="53" t="n">
        <v>0.4</v>
      </c>
    </row>
    <row r="180" customFormat="false" ht="15" hidden="false" customHeight="true" outlineLevel="0" collapsed="false">
      <c r="A180" s="38" t="s">
        <v>924</v>
      </c>
      <c r="B180" s="38" t="n">
        <v>6</v>
      </c>
      <c r="C180" s="53" t="n">
        <v>-0.563256</v>
      </c>
      <c r="D180" s="53" t="n">
        <v>-0.146408</v>
      </c>
      <c r="E180" s="53" t="n">
        <v>-0.354832</v>
      </c>
      <c r="F180" s="53" t="n">
        <v>0.285714</v>
      </c>
      <c r="G180" s="53" t="n">
        <v>0.333333</v>
      </c>
      <c r="H180" s="53" t="n">
        <v>0.2</v>
      </c>
    </row>
    <row r="181" customFormat="false" ht="15" hidden="false" customHeight="true" outlineLevel="0" collapsed="false">
      <c r="A181" s="38" t="s">
        <v>924</v>
      </c>
      <c r="B181" s="38" t="n">
        <v>7</v>
      </c>
      <c r="C181" s="53" t="n">
        <v>-0.930964</v>
      </c>
      <c r="D181" s="53" t="n">
        <v>-0.43026</v>
      </c>
      <c r="E181" s="53" t="n">
        <v>-0.680612</v>
      </c>
      <c r="F181" s="53" t="n">
        <v>0.380952</v>
      </c>
      <c r="G181" s="53" t="n">
        <v>0.083333</v>
      </c>
      <c r="H181" s="53" t="n">
        <v>0</v>
      </c>
    </row>
    <row r="182" customFormat="false" ht="15" hidden="false" customHeight="true" outlineLevel="0" collapsed="false">
      <c r="A182" s="38" t="s">
        <v>924</v>
      </c>
      <c r="B182" s="38" t="n">
        <v>8</v>
      </c>
      <c r="C182" s="53" t="n">
        <v>-0.747584</v>
      </c>
      <c r="D182" s="53" t="n">
        <v>-0.398923</v>
      </c>
      <c r="E182" s="53" t="n">
        <v>-0.573253</v>
      </c>
      <c r="F182" s="53" t="n">
        <v>0.285714</v>
      </c>
      <c r="G182" s="53" t="n">
        <v>0.333333</v>
      </c>
      <c r="H182" s="53" t="n">
        <v>0.2</v>
      </c>
    </row>
    <row r="183" customFormat="false" ht="15" hidden="false" customHeight="true" outlineLevel="0" collapsed="false">
      <c r="A183" s="38" t="s">
        <v>924</v>
      </c>
      <c r="B183" s="38" t="n">
        <v>9</v>
      </c>
      <c r="C183" s="53" t="n">
        <v>-0.481037</v>
      </c>
      <c r="D183" s="53" t="n">
        <v>-0.069784</v>
      </c>
      <c r="E183" s="53" t="n">
        <v>-0.275411</v>
      </c>
      <c r="F183" s="53" t="n">
        <v>0.333333</v>
      </c>
      <c r="G183" s="53" t="n">
        <v>0.166667</v>
      </c>
      <c r="H183" s="53" t="n">
        <v>0</v>
      </c>
    </row>
    <row r="184" customFormat="false" ht="15" hidden="false" customHeight="true" outlineLevel="0" collapsed="false">
      <c r="A184" s="38" t="s">
        <v>924</v>
      </c>
      <c r="B184" s="38" t="n">
        <v>10</v>
      </c>
      <c r="C184" s="53" t="n">
        <v>-1.104561</v>
      </c>
      <c r="D184" s="53" t="n">
        <v>-0.57639</v>
      </c>
      <c r="E184" s="53" t="n">
        <v>-0.840475</v>
      </c>
      <c r="F184" s="53" t="n">
        <v>0.380952</v>
      </c>
      <c r="G184" s="53" t="n">
        <v>0.25</v>
      </c>
      <c r="H184" s="53" t="n">
        <v>0.6</v>
      </c>
    </row>
    <row r="185" customFormat="false" ht="15" hidden="false" customHeight="true" outlineLevel="0" collapsed="false">
      <c r="A185" s="38" t="s">
        <v>925</v>
      </c>
      <c r="B185" s="38" t="n">
        <v>1</v>
      </c>
      <c r="C185" s="53" t="n">
        <v>-0.546487</v>
      </c>
      <c r="D185" s="53" t="n">
        <v>-0.295651</v>
      </c>
      <c r="E185" s="53" t="n">
        <v>-0.421069</v>
      </c>
      <c r="F185" s="53" t="n">
        <v>0.333333</v>
      </c>
      <c r="G185" s="53" t="n">
        <v>0.333333</v>
      </c>
      <c r="H185" s="53" t="n">
        <v>0.4</v>
      </c>
    </row>
    <row r="186" customFormat="false" ht="15" hidden="false" customHeight="true" outlineLevel="0" collapsed="false">
      <c r="A186" s="38" t="s">
        <v>925</v>
      </c>
      <c r="B186" s="38" t="n">
        <v>2</v>
      </c>
      <c r="C186" s="53" t="n">
        <v>-0.780019</v>
      </c>
      <c r="D186" s="53" t="n">
        <v>-0.423267</v>
      </c>
      <c r="E186" s="53" t="n">
        <v>-0.601643</v>
      </c>
      <c r="F186" s="53" t="n">
        <v>0.428571</v>
      </c>
      <c r="G186" s="53" t="n">
        <v>0.083333</v>
      </c>
      <c r="H186" s="53" t="n">
        <v>0.2</v>
      </c>
    </row>
    <row r="187" customFormat="false" ht="15" hidden="false" customHeight="true" outlineLevel="0" collapsed="false">
      <c r="A187" s="38" t="s">
        <v>925</v>
      </c>
      <c r="B187" s="38" t="n">
        <v>3</v>
      </c>
      <c r="C187" s="53" t="n">
        <v>-0.836267</v>
      </c>
      <c r="D187" s="53" t="n">
        <v>-0.282421</v>
      </c>
      <c r="E187" s="53" t="n">
        <v>-0.559344</v>
      </c>
      <c r="F187" s="53" t="n">
        <v>0.380952</v>
      </c>
      <c r="G187" s="53" t="n">
        <v>0.166667</v>
      </c>
      <c r="H187" s="53" t="n">
        <v>0.2</v>
      </c>
    </row>
    <row r="188" customFormat="false" ht="15" hidden="false" customHeight="true" outlineLevel="0" collapsed="false">
      <c r="A188" s="38" t="s">
        <v>925</v>
      </c>
      <c r="B188" s="38" t="n">
        <v>4</v>
      </c>
      <c r="C188" s="53" t="n">
        <v>-0.718967</v>
      </c>
      <c r="D188" s="53" t="n">
        <v>-0.40345</v>
      </c>
      <c r="E188" s="53" t="n">
        <v>-0.561208</v>
      </c>
      <c r="F188" s="53" t="n">
        <v>0.428571</v>
      </c>
      <c r="G188" s="53" t="n">
        <v>0.166667</v>
      </c>
      <c r="H188" s="53" t="n">
        <v>0</v>
      </c>
    </row>
    <row r="189" customFormat="false" ht="15" hidden="false" customHeight="true" outlineLevel="0" collapsed="false">
      <c r="A189" s="38" t="s">
        <v>925</v>
      </c>
      <c r="B189" s="38" t="n">
        <v>5</v>
      </c>
      <c r="C189" s="53" t="n">
        <v>-1.040918</v>
      </c>
      <c r="D189" s="53" t="n">
        <v>-0.484811</v>
      </c>
      <c r="E189" s="53" t="n">
        <v>-0.762865</v>
      </c>
      <c r="F189" s="53" t="n">
        <v>0.333333</v>
      </c>
      <c r="G189" s="53" t="n">
        <v>0.166667</v>
      </c>
      <c r="H189" s="53" t="n">
        <v>0.2</v>
      </c>
    </row>
    <row r="190" customFormat="false" ht="15" hidden="false" customHeight="true" outlineLevel="0" collapsed="false">
      <c r="A190" s="38" t="s">
        <v>925</v>
      </c>
      <c r="B190" s="38" t="n">
        <v>6</v>
      </c>
      <c r="C190" s="53" t="n">
        <v>-0.800334</v>
      </c>
      <c r="D190" s="53" t="n">
        <v>-0.43371</v>
      </c>
      <c r="E190" s="53" t="n">
        <v>-0.617022</v>
      </c>
      <c r="F190" s="53" t="n">
        <v>0.238095</v>
      </c>
      <c r="G190" s="53" t="n">
        <v>0.083333</v>
      </c>
      <c r="H190" s="53" t="n">
        <v>0.2</v>
      </c>
    </row>
    <row r="191" customFormat="false" ht="15" hidden="false" customHeight="true" outlineLevel="0" collapsed="false">
      <c r="A191" s="38" t="s">
        <v>925</v>
      </c>
      <c r="B191" s="38" t="n">
        <v>7</v>
      </c>
      <c r="C191" s="53" t="n">
        <v>-0.767702</v>
      </c>
      <c r="D191" s="53" t="n">
        <v>-0.520221</v>
      </c>
      <c r="E191" s="53" t="n">
        <v>-0.643961</v>
      </c>
      <c r="F191" s="53" t="n">
        <v>0.190476</v>
      </c>
      <c r="G191" s="53" t="n">
        <v>0.25</v>
      </c>
      <c r="H191" s="53" t="n">
        <v>0.4</v>
      </c>
    </row>
    <row r="192" customFormat="false" ht="15" hidden="false" customHeight="true" outlineLevel="0" collapsed="false">
      <c r="A192" s="38" t="s">
        <v>925</v>
      </c>
      <c r="B192" s="38" t="n">
        <v>8</v>
      </c>
      <c r="C192" s="53" t="n">
        <v>-0.85483</v>
      </c>
      <c r="D192" s="53" t="n">
        <v>-0.473981</v>
      </c>
      <c r="E192" s="53" t="n">
        <v>-0.664405</v>
      </c>
      <c r="F192" s="53" t="n">
        <v>0.571429</v>
      </c>
      <c r="G192" s="53" t="n">
        <v>0.166667</v>
      </c>
      <c r="H192" s="53" t="n">
        <v>0</v>
      </c>
    </row>
    <row r="193" customFormat="false" ht="15" hidden="false" customHeight="true" outlineLevel="0" collapsed="false">
      <c r="A193" s="38" t="s">
        <v>925</v>
      </c>
      <c r="B193" s="38" t="n">
        <v>9</v>
      </c>
      <c r="C193" s="53" t="n">
        <v>-0.833814</v>
      </c>
      <c r="D193" s="53" t="n">
        <v>-0.533724</v>
      </c>
      <c r="E193" s="53" t="n">
        <v>-0.683769</v>
      </c>
      <c r="F193" s="53" t="n">
        <v>0.333333</v>
      </c>
      <c r="G193" s="53" t="n">
        <v>0.333333</v>
      </c>
      <c r="H193" s="53" t="n">
        <v>0.6</v>
      </c>
    </row>
    <row r="194" customFormat="false" ht="15" hidden="false" customHeight="true" outlineLevel="0" collapsed="false">
      <c r="A194" s="38" t="s">
        <v>925</v>
      </c>
      <c r="B194" s="38" t="n">
        <v>10</v>
      </c>
      <c r="C194" s="53" t="n">
        <v>-0.894903</v>
      </c>
      <c r="D194" s="53" t="n">
        <v>-0.355082</v>
      </c>
      <c r="E194" s="53" t="n">
        <v>-0.624993</v>
      </c>
      <c r="F194" s="53" t="n">
        <v>0.285714</v>
      </c>
      <c r="G194" s="53" t="n">
        <v>0.166667</v>
      </c>
      <c r="H194" s="53" t="n">
        <v>0</v>
      </c>
    </row>
    <row r="195" customFormat="false" ht="15" hidden="false" customHeight="true" outlineLevel="0" collapsed="false">
      <c r="A195" s="38" t="s">
        <v>926</v>
      </c>
      <c r="B195" s="38" t="n">
        <v>1</v>
      </c>
      <c r="C195" s="53" t="n">
        <v>-0.524964</v>
      </c>
      <c r="D195" s="53" t="n">
        <v>-0.354786</v>
      </c>
      <c r="E195" s="53" t="n">
        <v>-0.439875</v>
      </c>
      <c r="F195" s="53" t="n">
        <v>0.52381</v>
      </c>
      <c r="G195" s="53" t="n">
        <v>0.166667</v>
      </c>
      <c r="H195" s="53" t="n">
        <v>0</v>
      </c>
    </row>
    <row r="196" customFormat="false" ht="15" hidden="false" customHeight="true" outlineLevel="0" collapsed="false">
      <c r="A196" s="38" t="s">
        <v>926</v>
      </c>
      <c r="B196" s="38" t="n">
        <v>2</v>
      </c>
      <c r="C196" s="53" t="n">
        <v>-0.991357</v>
      </c>
      <c r="D196" s="53" t="n">
        <v>-0.558278</v>
      </c>
      <c r="E196" s="53" t="n">
        <v>-0.774817</v>
      </c>
      <c r="F196" s="53" t="n">
        <v>0.428571</v>
      </c>
      <c r="G196" s="53" t="n">
        <v>0.166667</v>
      </c>
      <c r="H196" s="53" t="n">
        <v>0.2</v>
      </c>
    </row>
    <row r="197" customFormat="false" ht="15" hidden="false" customHeight="true" outlineLevel="0" collapsed="false">
      <c r="A197" s="38" t="s">
        <v>926</v>
      </c>
      <c r="B197" s="38" t="n">
        <v>3</v>
      </c>
      <c r="C197" s="53" t="n">
        <v>-1.049829</v>
      </c>
      <c r="D197" s="53" t="n">
        <v>-0.535371</v>
      </c>
      <c r="E197" s="53" t="n">
        <v>-0.7926</v>
      </c>
      <c r="F197" s="53" t="n">
        <v>0.52381</v>
      </c>
      <c r="G197" s="53" t="n">
        <v>0.083333</v>
      </c>
      <c r="H197" s="53" t="n">
        <v>0</v>
      </c>
    </row>
    <row r="198" customFormat="false" ht="15" hidden="false" customHeight="true" outlineLevel="0" collapsed="false">
      <c r="A198" s="38" t="s">
        <v>926</v>
      </c>
      <c r="B198" s="38" t="n">
        <v>4</v>
      </c>
      <c r="C198" s="53" t="n">
        <v>-0.866189</v>
      </c>
      <c r="D198" s="53" t="n">
        <v>-0.499282</v>
      </c>
      <c r="E198" s="53" t="n">
        <v>-0.682735</v>
      </c>
      <c r="F198" s="53" t="n">
        <v>0.47619</v>
      </c>
      <c r="G198" s="53" t="n">
        <v>0.25</v>
      </c>
      <c r="H198" s="53" t="n">
        <v>0.4</v>
      </c>
    </row>
    <row r="199" customFormat="false" ht="15" hidden="false" customHeight="true" outlineLevel="0" collapsed="false">
      <c r="A199" s="38" t="s">
        <v>926</v>
      </c>
      <c r="B199" s="38" t="n">
        <v>5</v>
      </c>
      <c r="C199" s="53" t="n">
        <v>-0.626449</v>
      </c>
      <c r="D199" s="53" t="n">
        <v>-0.389493</v>
      </c>
      <c r="E199" s="53" t="n">
        <v>-0.507971</v>
      </c>
      <c r="F199" s="53" t="n">
        <v>0.428571</v>
      </c>
      <c r="G199" s="53" t="n">
        <v>0.416667</v>
      </c>
      <c r="H199" s="53" t="n">
        <v>0.2</v>
      </c>
    </row>
    <row r="200" customFormat="false" ht="15" hidden="false" customHeight="true" outlineLevel="0" collapsed="false">
      <c r="A200" s="38" t="s">
        <v>926</v>
      </c>
      <c r="B200" s="38" t="n">
        <v>6</v>
      </c>
      <c r="C200" s="53" t="n">
        <v>-0.899261</v>
      </c>
      <c r="D200" s="53" t="n">
        <v>-0.413877</v>
      </c>
      <c r="E200" s="53" t="n">
        <v>-0.656569</v>
      </c>
      <c r="F200" s="53" t="n">
        <v>0.285714</v>
      </c>
      <c r="G200" s="53" t="n">
        <v>0.25</v>
      </c>
      <c r="H200" s="53" t="n">
        <v>0.4</v>
      </c>
    </row>
    <row r="201" customFormat="false" ht="15" hidden="false" customHeight="true" outlineLevel="0" collapsed="false">
      <c r="A201" s="38" t="s">
        <v>926</v>
      </c>
      <c r="B201" s="38" t="n">
        <v>7</v>
      </c>
      <c r="C201" s="53" t="n">
        <v>-0.939655</v>
      </c>
      <c r="D201" s="53" t="n">
        <v>-0.418466</v>
      </c>
      <c r="E201" s="53" t="n">
        <v>-0.67906</v>
      </c>
      <c r="F201" s="53" t="n">
        <v>0.47619</v>
      </c>
      <c r="G201" s="53" t="n">
        <v>0.083333</v>
      </c>
      <c r="H201" s="53" t="n">
        <v>0</v>
      </c>
    </row>
    <row r="202" customFormat="false" ht="15" hidden="false" customHeight="true" outlineLevel="0" collapsed="false">
      <c r="A202" s="38" t="s">
        <v>926</v>
      </c>
      <c r="B202" s="38" t="n">
        <v>8</v>
      </c>
      <c r="C202" s="53" t="n">
        <v>-0.69502</v>
      </c>
      <c r="D202" s="53" t="n">
        <v>-0.310229</v>
      </c>
      <c r="E202" s="53" t="n">
        <v>-0.502625</v>
      </c>
      <c r="F202" s="53" t="n">
        <v>0.428571</v>
      </c>
      <c r="G202" s="53" t="n">
        <v>0.416667</v>
      </c>
      <c r="H202" s="53" t="n">
        <v>0.2</v>
      </c>
    </row>
    <row r="203" customFormat="false" ht="15" hidden="false" customHeight="true" outlineLevel="0" collapsed="false">
      <c r="A203" s="38" t="s">
        <v>926</v>
      </c>
      <c r="B203" s="38" t="n">
        <v>9</v>
      </c>
      <c r="C203" s="53" t="n">
        <v>-0.892013</v>
      </c>
      <c r="D203" s="53" t="n">
        <v>-0.541509</v>
      </c>
      <c r="E203" s="53" t="n">
        <v>-0.716761</v>
      </c>
      <c r="F203" s="53" t="n">
        <v>0.428571</v>
      </c>
      <c r="G203" s="53" t="n">
        <v>0.083333</v>
      </c>
      <c r="H203" s="53" t="n">
        <v>0.2</v>
      </c>
    </row>
    <row r="204" customFormat="false" ht="15" hidden="false" customHeight="true" outlineLevel="0" collapsed="false">
      <c r="A204" s="38" t="s">
        <v>926</v>
      </c>
      <c r="B204" s="38" t="n">
        <v>10</v>
      </c>
      <c r="C204" s="53" t="n">
        <v>-0.977069</v>
      </c>
      <c r="D204" s="53" t="n">
        <v>-0.433182</v>
      </c>
      <c r="E204" s="53" t="n">
        <v>-0.705126</v>
      </c>
      <c r="F204" s="53" t="n">
        <v>0.238095</v>
      </c>
      <c r="G204" s="53" t="n">
        <v>0.083333</v>
      </c>
      <c r="H204" s="53" t="n">
        <v>0</v>
      </c>
    </row>
    <row r="205" customFormat="false" ht="15" hidden="false" customHeight="true" outlineLevel="0" collapsed="false">
      <c r="A205" s="38" t="s">
        <v>927</v>
      </c>
      <c r="B205" s="38" t="n">
        <v>1</v>
      </c>
      <c r="C205" s="53" t="n">
        <v>-0.832258</v>
      </c>
      <c r="D205" s="53" t="n">
        <v>-0.363518</v>
      </c>
      <c r="E205" s="53" t="n">
        <v>-0.597888</v>
      </c>
      <c r="F205" s="53" t="n">
        <v>0.380952</v>
      </c>
      <c r="G205" s="53" t="n">
        <v>0.083333</v>
      </c>
      <c r="H205" s="53" t="n">
        <v>0.2</v>
      </c>
    </row>
    <row r="206" customFormat="false" ht="15" hidden="false" customHeight="true" outlineLevel="0" collapsed="false">
      <c r="A206" s="38" t="s">
        <v>927</v>
      </c>
      <c r="B206" s="38" t="n">
        <v>2</v>
      </c>
      <c r="C206" s="53" t="n">
        <v>-0.616786</v>
      </c>
      <c r="D206" s="53" t="n">
        <v>-0.386969</v>
      </c>
      <c r="E206" s="53" t="n">
        <v>-0.501877</v>
      </c>
      <c r="F206" s="53" t="n">
        <v>0.619048</v>
      </c>
      <c r="G206" s="53" t="n">
        <v>0.333333</v>
      </c>
      <c r="H206" s="53" t="n">
        <v>0.2</v>
      </c>
    </row>
    <row r="207" customFormat="false" ht="15" hidden="false" customHeight="true" outlineLevel="0" collapsed="false">
      <c r="A207" s="38" t="s">
        <v>927</v>
      </c>
      <c r="B207" s="38" t="n">
        <v>3</v>
      </c>
      <c r="C207" s="53" t="n">
        <v>-0.747514</v>
      </c>
      <c r="D207" s="53" t="n">
        <v>-0.515879</v>
      </c>
      <c r="E207" s="53" t="n">
        <v>-0.631697</v>
      </c>
      <c r="F207" s="53" t="n">
        <v>0.380952</v>
      </c>
      <c r="G207" s="53" t="n">
        <v>0.333333</v>
      </c>
      <c r="H207" s="53" t="n">
        <v>0.4</v>
      </c>
    </row>
    <row r="208" customFormat="false" ht="15" hidden="false" customHeight="true" outlineLevel="0" collapsed="false">
      <c r="A208" s="38" t="s">
        <v>927</v>
      </c>
      <c r="B208" s="38" t="n">
        <v>4</v>
      </c>
      <c r="C208" s="53" t="n">
        <v>-0.779264</v>
      </c>
      <c r="D208" s="53" t="n">
        <v>-0.382002</v>
      </c>
      <c r="E208" s="53" t="n">
        <v>-0.580633</v>
      </c>
      <c r="F208" s="53" t="n">
        <v>0.619048</v>
      </c>
      <c r="G208" s="53" t="n">
        <v>0.333333</v>
      </c>
      <c r="H208" s="53" t="n">
        <v>0.4</v>
      </c>
    </row>
    <row r="209" customFormat="false" ht="15" hidden="false" customHeight="true" outlineLevel="0" collapsed="false">
      <c r="A209" s="38" t="s">
        <v>927</v>
      </c>
      <c r="B209" s="38" t="n">
        <v>5</v>
      </c>
      <c r="C209" s="53" t="n">
        <v>-0.769689</v>
      </c>
      <c r="D209" s="53" t="n">
        <v>-0.549176</v>
      </c>
      <c r="E209" s="53" t="n">
        <v>-0.659433</v>
      </c>
      <c r="F209" s="53" t="n">
        <v>0.380952</v>
      </c>
      <c r="G209" s="53" t="n">
        <v>0.25</v>
      </c>
      <c r="H209" s="53" t="n">
        <v>0.4</v>
      </c>
    </row>
    <row r="210" customFormat="false" ht="15" hidden="false" customHeight="true" outlineLevel="0" collapsed="false">
      <c r="A210" s="38" t="s">
        <v>927</v>
      </c>
      <c r="B210" s="38" t="n">
        <v>6</v>
      </c>
      <c r="C210" s="53" t="n">
        <v>-0.308267</v>
      </c>
      <c r="D210" s="53" t="n">
        <v>-0.358487</v>
      </c>
      <c r="E210" s="53" t="n">
        <v>-0.333377</v>
      </c>
      <c r="F210" s="53" t="n">
        <v>0.333333</v>
      </c>
      <c r="G210" s="53" t="n">
        <v>0.5</v>
      </c>
      <c r="H210" s="53" t="n">
        <v>0.4</v>
      </c>
    </row>
    <row r="211" customFormat="false" ht="15" hidden="false" customHeight="true" outlineLevel="0" collapsed="false">
      <c r="A211" s="38" t="s">
        <v>927</v>
      </c>
      <c r="B211" s="38" t="n">
        <v>7</v>
      </c>
      <c r="C211" s="53" t="n">
        <v>-0.691729</v>
      </c>
      <c r="D211" s="53" t="n">
        <v>-0.343568</v>
      </c>
      <c r="E211" s="53" t="n">
        <v>-0.517648</v>
      </c>
      <c r="F211" s="53" t="n">
        <v>0.428571</v>
      </c>
      <c r="G211" s="53" t="n">
        <v>0.416667</v>
      </c>
      <c r="H211" s="53" t="n">
        <v>0.2</v>
      </c>
    </row>
    <row r="212" customFormat="false" ht="15" hidden="false" customHeight="true" outlineLevel="0" collapsed="false">
      <c r="A212" s="38" t="s">
        <v>927</v>
      </c>
      <c r="B212" s="38" t="n">
        <v>8</v>
      </c>
      <c r="C212" s="53" t="n">
        <v>-0.778313</v>
      </c>
      <c r="D212" s="53" t="n">
        <v>-0.466218</v>
      </c>
      <c r="E212" s="53" t="n">
        <v>-0.622266</v>
      </c>
      <c r="F212" s="53" t="n">
        <v>0.333333</v>
      </c>
      <c r="G212" s="53" t="n">
        <v>0.333333</v>
      </c>
      <c r="H212" s="53" t="n">
        <v>0</v>
      </c>
    </row>
    <row r="213" customFormat="false" ht="15" hidden="false" customHeight="true" outlineLevel="0" collapsed="false">
      <c r="A213" s="38" t="s">
        <v>927</v>
      </c>
      <c r="B213" s="38" t="n">
        <v>9</v>
      </c>
      <c r="C213" s="53" t="n">
        <v>-0.502012</v>
      </c>
      <c r="D213" s="53" t="n">
        <v>-0.392712</v>
      </c>
      <c r="E213" s="53" t="n">
        <v>-0.447362</v>
      </c>
      <c r="F213" s="53" t="n">
        <v>0.47619</v>
      </c>
      <c r="G213" s="53" t="n">
        <v>0.25</v>
      </c>
      <c r="H213" s="53" t="n">
        <v>0.2</v>
      </c>
    </row>
    <row r="214" customFormat="false" ht="15" hidden="false" customHeight="true" outlineLevel="0" collapsed="false">
      <c r="A214" s="38" t="s">
        <v>927</v>
      </c>
      <c r="B214" s="38" t="n">
        <v>10</v>
      </c>
      <c r="C214" s="53" t="n">
        <v>-0.971951</v>
      </c>
      <c r="D214" s="53" t="n">
        <v>-0.472764</v>
      </c>
      <c r="E214" s="53" t="n">
        <v>-0.722357</v>
      </c>
      <c r="F214" s="53" t="n">
        <v>0.428571</v>
      </c>
      <c r="G214" s="53" t="n">
        <v>0.166667</v>
      </c>
      <c r="H214" s="53" t="n">
        <v>0.2</v>
      </c>
    </row>
    <row r="215" customFormat="false" ht="15" hidden="false" customHeight="true" outlineLevel="0" collapsed="false">
      <c r="A215" s="38" t="s">
        <v>929</v>
      </c>
      <c r="B215" s="38" t="n">
        <v>1</v>
      </c>
      <c r="C215" s="53" t="n">
        <v>-0.772325</v>
      </c>
      <c r="D215" s="53" t="n">
        <v>-0.35417</v>
      </c>
      <c r="E215" s="53" t="n">
        <v>-0.563248</v>
      </c>
      <c r="F215" s="53" t="n">
        <v>0.428571</v>
      </c>
      <c r="G215" s="53" t="n">
        <v>0.333333</v>
      </c>
      <c r="H215" s="53" t="n">
        <v>0.2</v>
      </c>
    </row>
    <row r="216" customFormat="false" ht="15" hidden="false" customHeight="true" outlineLevel="0" collapsed="false">
      <c r="A216" s="38" t="s">
        <v>929</v>
      </c>
      <c r="B216" s="38" t="n">
        <v>2</v>
      </c>
      <c r="C216" s="53" t="n">
        <v>-0.681706</v>
      </c>
      <c r="D216" s="53" t="n">
        <v>-0.526273</v>
      </c>
      <c r="E216" s="53" t="n">
        <v>-0.60399</v>
      </c>
      <c r="F216" s="53" t="n">
        <v>0.52381</v>
      </c>
      <c r="G216" s="53" t="n">
        <v>0.333333</v>
      </c>
      <c r="H216" s="53" t="n">
        <v>0.4</v>
      </c>
    </row>
    <row r="217" customFormat="false" ht="15" hidden="false" customHeight="true" outlineLevel="0" collapsed="false">
      <c r="A217" s="38" t="s">
        <v>929</v>
      </c>
      <c r="B217" s="38" t="n">
        <v>3</v>
      </c>
      <c r="C217" s="53" t="n">
        <v>-0.950237</v>
      </c>
      <c r="D217" s="53" t="n">
        <v>-0.41406</v>
      </c>
      <c r="E217" s="53" t="n">
        <v>-0.682149</v>
      </c>
      <c r="F217" s="53" t="n">
        <v>0.285714</v>
      </c>
      <c r="G217" s="53" t="n">
        <v>0.083333</v>
      </c>
      <c r="H217" s="53" t="n">
        <v>0.2</v>
      </c>
    </row>
    <row r="218" customFormat="false" ht="15" hidden="false" customHeight="true" outlineLevel="0" collapsed="false">
      <c r="A218" s="38" t="s">
        <v>929</v>
      </c>
      <c r="B218" s="38" t="n">
        <v>4</v>
      </c>
      <c r="C218" s="53" t="n">
        <v>-0.910916</v>
      </c>
      <c r="D218" s="53" t="n">
        <v>-0.431746</v>
      </c>
      <c r="E218" s="53" t="n">
        <v>-0.671331</v>
      </c>
      <c r="F218" s="53" t="n">
        <v>0.333333</v>
      </c>
      <c r="G218" s="53" t="n">
        <v>0.333333</v>
      </c>
      <c r="H218" s="53" t="n">
        <v>0.4</v>
      </c>
    </row>
    <row r="219" customFormat="false" ht="15" hidden="false" customHeight="true" outlineLevel="0" collapsed="false">
      <c r="A219" s="38" t="s">
        <v>929</v>
      </c>
      <c r="B219" s="38" t="n">
        <v>5</v>
      </c>
      <c r="C219" s="53" t="n">
        <v>-0.941299</v>
      </c>
      <c r="D219" s="53" t="n">
        <v>-0.446657</v>
      </c>
      <c r="E219" s="53" t="n">
        <v>-0.693978</v>
      </c>
      <c r="F219" s="53" t="n">
        <v>0.666667</v>
      </c>
      <c r="G219" s="53" t="n">
        <v>0.333333</v>
      </c>
      <c r="H219" s="53" t="n">
        <v>0.2</v>
      </c>
    </row>
    <row r="220" customFormat="false" ht="15" hidden="false" customHeight="true" outlineLevel="0" collapsed="false">
      <c r="A220" s="38" t="s">
        <v>929</v>
      </c>
      <c r="B220" s="38" t="n">
        <v>6</v>
      </c>
      <c r="C220" s="53" t="n">
        <v>-0.918348</v>
      </c>
      <c r="D220" s="53" t="n">
        <v>-0.58733</v>
      </c>
      <c r="E220" s="53" t="n">
        <v>-0.752839</v>
      </c>
      <c r="F220" s="53" t="n">
        <v>0.285714</v>
      </c>
      <c r="G220" s="53" t="n">
        <v>0.25</v>
      </c>
      <c r="H220" s="53" t="n">
        <v>0.4</v>
      </c>
    </row>
    <row r="221" customFormat="false" ht="15" hidden="false" customHeight="true" outlineLevel="0" collapsed="false">
      <c r="A221" s="38" t="s">
        <v>929</v>
      </c>
      <c r="B221" s="38" t="n">
        <v>7</v>
      </c>
      <c r="C221" s="53" t="n">
        <v>-0.588296</v>
      </c>
      <c r="D221" s="53" t="n">
        <v>-0.46376</v>
      </c>
      <c r="E221" s="53" t="n">
        <v>-0.526028</v>
      </c>
      <c r="F221" s="53" t="n">
        <v>0.428571</v>
      </c>
      <c r="G221" s="53" t="n">
        <v>0.5</v>
      </c>
      <c r="H221" s="53" t="n">
        <v>0.4</v>
      </c>
    </row>
    <row r="222" customFormat="false" ht="15" hidden="false" customHeight="true" outlineLevel="0" collapsed="false">
      <c r="A222" s="38" t="s">
        <v>929</v>
      </c>
      <c r="B222" s="38" t="n">
        <v>8</v>
      </c>
      <c r="C222" s="53" t="n">
        <v>-0.892293</v>
      </c>
      <c r="D222" s="53" t="n">
        <v>-0.713003</v>
      </c>
      <c r="E222" s="53" t="n">
        <v>-0.802648</v>
      </c>
      <c r="F222" s="53" t="n">
        <v>0.380952</v>
      </c>
      <c r="G222" s="53" t="n">
        <v>0.166667</v>
      </c>
      <c r="H222" s="53" t="n">
        <v>0.4</v>
      </c>
    </row>
    <row r="223" customFormat="false" ht="15" hidden="false" customHeight="true" outlineLevel="0" collapsed="false">
      <c r="A223" s="38" t="s">
        <v>929</v>
      </c>
      <c r="B223" s="38" t="n">
        <v>9</v>
      </c>
      <c r="C223" s="53" t="n">
        <v>-0.857932</v>
      </c>
      <c r="D223" s="53" t="n">
        <v>-0.256061</v>
      </c>
      <c r="E223" s="53" t="n">
        <v>-0.556997</v>
      </c>
      <c r="F223" s="53" t="n">
        <v>0.380952</v>
      </c>
      <c r="G223" s="53" t="n">
        <v>0.333333</v>
      </c>
      <c r="H223" s="53" t="n">
        <v>0.6</v>
      </c>
    </row>
    <row r="224" customFormat="false" ht="15" hidden="false" customHeight="true" outlineLevel="0" collapsed="false">
      <c r="A224" s="38" t="s">
        <v>929</v>
      </c>
      <c r="B224" s="38" t="n">
        <v>10</v>
      </c>
      <c r="C224" s="53" t="n">
        <v>-0.630639</v>
      </c>
      <c r="D224" s="53" t="n">
        <v>-0.330953</v>
      </c>
      <c r="E224" s="53" t="n">
        <v>-0.480796</v>
      </c>
      <c r="F224" s="53" t="n">
        <v>0.380952</v>
      </c>
      <c r="G224" s="53" t="n">
        <v>0.166667</v>
      </c>
      <c r="H224" s="53" t="n">
        <v>0.2</v>
      </c>
    </row>
    <row r="225" customFormat="false" ht="15" hidden="false" customHeight="true" outlineLevel="0" collapsed="false">
      <c r="A225" s="38" t="s">
        <v>930</v>
      </c>
      <c r="B225" s="38" t="n">
        <v>1</v>
      </c>
      <c r="C225" s="53" t="n">
        <v>-0.819069</v>
      </c>
      <c r="D225" s="53" t="n">
        <v>-0.467837</v>
      </c>
      <c r="E225" s="53" t="n">
        <v>-0.643453</v>
      </c>
      <c r="F225" s="53" t="n">
        <v>0.428571</v>
      </c>
      <c r="G225" s="53" t="n">
        <v>0.166667</v>
      </c>
      <c r="H225" s="53" t="n">
        <v>0.2</v>
      </c>
    </row>
    <row r="226" customFormat="false" ht="15" hidden="false" customHeight="true" outlineLevel="0" collapsed="false">
      <c r="A226" s="38" t="s">
        <v>930</v>
      </c>
      <c r="B226" s="38" t="n">
        <v>2</v>
      </c>
      <c r="C226" s="53" t="n">
        <v>-0.814723</v>
      </c>
      <c r="D226" s="53" t="n">
        <v>-0.329667</v>
      </c>
      <c r="E226" s="53" t="n">
        <v>-0.572195</v>
      </c>
      <c r="F226" s="53" t="n">
        <v>0.47619</v>
      </c>
      <c r="G226" s="53" t="n">
        <v>0.333333</v>
      </c>
      <c r="H226" s="53" t="n">
        <v>0.2</v>
      </c>
    </row>
    <row r="227" customFormat="false" ht="15" hidden="false" customHeight="true" outlineLevel="0" collapsed="false">
      <c r="A227" s="38" t="s">
        <v>930</v>
      </c>
      <c r="B227" s="38" t="n">
        <v>3</v>
      </c>
      <c r="C227" s="53" t="n">
        <v>-0.763365</v>
      </c>
      <c r="D227" s="53" t="n">
        <v>-0.463306</v>
      </c>
      <c r="E227" s="53" t="n">
        <v>-0.613336</v>
      </c>
      <c r="F227" s="53" t="n">
        <v>0.52381</v>
      </c>
      <c r="G227" s="53" t="n">
        <v>0.166667</v>
      </c>
      <c r="H227" s="53" t="n">
        <v>0.2</v>
      </c>
    </row>
    <row r="228" customFormat="false" ht="15" hidden="false" customHeight="true" outlineLevel="0" collapsed="false">
      <c r="A228" s="38" t="s">
        <v>930</v>
      </c>
      <c r="B228" s="38" t="n">
        <v>4</v>
      </c>
      <c r="C228" s="53" t="n">
        <v>-0.74378</v>
      </c>
      <c r="D228" s="53" t="n">
        <v>-0.331031</v>
      </c>
      <c r="E228" s="53" t="n">
        <v>-0.537406</v>
      </c>
      <c r="F228" s="53" t="n">
        <v>0.333333</v>
      </c>
      <c r="G228" s="53" t="n">
        <v>0.25</v>
      </c>
      <c r="H228" s="53" t="n">
        <v>0.2</v>
      </c>
    </row>
    <row r="229" customFormat="false" ht="15" hidden="false" customHeight="true" outlineLevel="0" collapsed="false">
      <c r="A229" s="38" t="s">
        <v>930</v>
      </c>
      <c r="B229" s="38" t="n">
        <v>5</v>
      </c>
      <c r="C229" s="53" t="n">
        <v>-1.040734</v>
      </c>
      <c r="D229" s="53" t="n">
        <v>-0.557139</v>
      </c>
      <c r="E229" s="53" t="n">
        <v>-0.798937</v>
      </c>
      <c r="F229" s="53" t="n">
        <v>0.333333</v>
      </c>
      <c r="G229" s="53" t="n">
        <v>0</v>
      </c>
      <c r="H229" s="53" t="n">
        <v>0</v>
      </c>
    </row>
    <row r="230" customFormat="false" ht="15" hidden="false" customHeight="true" outlineLevel="0" collapsed="false">
      <c r="A230" s="38" t="s">
        <v>930</v>
      </c>
      <c r="B230" s="38" t="n">
        <v>6</v>
      </c>
      <c r="C230" s="53" t="n">
        <v>-0.780364</v>
      </c>
      <c r="D230" s="53" t="n">
        <v>-0.42212</v>
      </c>
      <c r="E230" s="53" t="n">
        <v>-0.601242</v>
      </c>
      <c r="F230" s="53" t="n">
        <v>0.571429</v>
      </c>
      <c r="G230" s="53" t="n">
        <v>0.083333</v>
      </c>
      <c r="H230" s="53" t="n">
        <v>0</v>
      </c>
    </row>
    <row r="231" customFormat="false" ht="15" hidden="false" customHeight="true" outlineLevel="0" collapsed="false">
      <c r="A231" s="38" t="s">
        <v>930</v>
      </c>
      <c r="B231" s="38" t="n">
        <v>7</v>
      </c>
      <c r="C231" s="53" t="n">
        <v>-0.772207</v>
      </c>
      <c r="D231" s="53" t="n">
        <v>-0.329037</v>
      </c>
      <c r="E231" s="53" t="n">
        <v>-0.550622</v>
      </c>
      <c r="F231" s="53" t="n">
        <v>0.571429</v>
      </c>
      <c r="G231" s="53" t="n">
        <v>0.083333</v>
      </c>
      <c r="H231" s="53" t="n">
        <v>0</v>
      </c>
    </row>
    <row r="232" customFormat="false" ht="15" hidden="false" customHeight="true" outlineLevel="0" collapsed="false">
      <c r="A232" s="38" t="s">
        <v>930</v>
      </c>
      <c r="B232" s="38" t="n">
        <v>8</v>
      </c>
      <c r="C232" s="53" t="n">
        <v>-0.595424</v>
      </c>
      <c r="D232" s="53" t="n">
        <v>-0.421617</v>
      </c>
      <c r="E232" s="53" t="n">
        <v>-0.508521</v>
      </c>
      <c r="F232" s="53" t="n">
        <v>0.380952</v>
      </c>
      <c r="G232" s="53" t="n">
        <v>0.25</v>
      </c>
      <c r="H232" s="53" t="n">
        <v>0.2</v>
      </c>
    </row>
    <row r="233" customFormat="false" ht="15" hidden="false" customHeight="true" outlineLevel="0" collapsed="false">
      <c r="A233" s="38" t="s">
        <v>930</v>
      </c>
      <c r="B233" s="38" t="n">
        <v>9</v>
      </c>
      <c r="C233" s="53" t="n">
        <v>-0.906787</v>
      </c>
      <c r="D233" s="53" t="n">
        <v>-0.583184</v>
      </c>
      <c r="E233" s="53" t="n">
        <v>-0.744985</v>
      </c>
      <c r="F233" s="53" t="n">
        <v>0.238095</v>
      </c>
      <c r="G233" s="53" t="n">
        <v>0.166667</v>
      </c>
      <c r="H233" s="53" t="n">
        <v>0.2</v>
      </c>
    </row>
    <row r="234" customFormat="false" ht="15" hidden="false" customHeight="true" outlineLevel="0" collapsed="false">
      <c r="A234" s="38" t="s">
        <v>930</v>
      </c>
      <c r="B234" s="38" t="n">
        <v>10</v>
      </c>
      <c r="C234" s="53" t="n">
        <v>-0.991424</v>
      </c>
      <c r="D234" s="53" t="n">
        <v>-0.24759</v>
      </c>
      <c r="E234" s="53" t="n">
        <v>-0.619507</v>
      </c>
      <c r="F234" s="53" t="n">
        <v>0.571429</v>
      </c>
      <c r="G234" s="53" t="n">
        <v>0.333333</v>
      </c>
      <c r="H234" s="53" t="n">
        <v>0</v>
      </c>
    </row>
    <row r="235" customFormat="false" ht="15" hidden="false" customHeight="true" outlineLevel="0" collapsed="false">
      <c r="A235" s="38" t="s">
        <v>931</v>
      </c>
      <c r="B235" s="38" t="n">
        <v>1</v>
      </c>
      <c r="C235" s="53" t="n">
        <v>-0.581788</v>
      </c>
      <c r="D235" s="53" t="n">
        <v>-0.440276</v>
      </c>
      <c r="E235" s="53" t="n">
        <v>-0.511032</v>
      </c>
      <c r="F235" s="53" t="n">
        <v>0.333333</v>
      </c>
      <c r="G235" s="53" t="n">
        <v>0.416667</v>
      </c>
      <c r="H235" s="53" t="n">
        <v>0.4</v>
      </c>
    </row>
    <row r="236" customFormat="false" ht="15" hidden="false" customHeight="true" outlineLevel="0" collapsed="false">
      <c r="A236" s="38" t="s">
        <v>931</v>
      </c>
      <c r="B236" s="38" t="n">
        <v>2</v>
      </c>
      <c r="C236" s="53" t="n">
        <v>-1.120034</v>
      </c>
      <c r="D236" s="53" t="n">
        <v>-0.58178</v>
      </c>
      <c r="E236" s="53" t="n">
        <v>-0.850907</v>
      </c>
      <c r="F236" s="53" t="n">
        <v>0.47619</v>
      </c>
      <c r="G236" s="53" t="n">
        <v>0.166667</v>
      </c>
      <c r="H236" s="53" t="n">
        <v>0.2</v>
      </c>
    </row>
    <row r="237" customFormat="false" ht="15" hidden="false" customHeight="true" outlineLevel="0" collapsed="false">
      <c r="A237" s="38" t="s">
        <v>931</v>
      </c>
      <c r="B237" s="38" t="n">
        <v>3</v>
      </c>
      <c r="C237" s="53" t="n">
        <v>-0.811776</v>
      </c>
      <c r="D237" s="53" t="n">
        <v>-0.485576</v>
      </c>
      <c r="E237" s="53" t="n">
        <v>-0.648676</v>
      </c>
      <c r="F237" s="53" t="n">
        <v>0.333333</v>
      </c>
      <c r="G237" s="53" t="n">
        <v>0.333333</v>
      </c>
      <c r="H237" s="53" t="n">
        <v>0.2</v>
      </c>
    </row>
    <row r="238" customFormat="false" ht="15" hidden="false" customHeight="true" outlineLevel="0" collapsed="false">
      <c r="A238" s="38" t="s">
        <v>931</v>
      </c>
      <c r="B238" s="38" t="n">
        <v>4</v>
      </c>
      <c r="C238" s="53" t="n">
        <v>-0.892503</v>
      </c>
      <c r="D238" s="53" t="n">
        <v>-0.588981</v>
      </c>
      <c r="E238" s="53" t="n">
        <v>-0.740742</v>
      </c>
      <c r="F238" s="53" t="n">
        <v>0.428571</v>
      </c>
      <c r="G238" s="53" t="n">
        <v>0.083333</v>
      </c>
      <c r="H238" s="53" t="n">
        <v>0.2</v>
      </c>
    </row>
    <row r="239" customFormat="false" ht="15" hidden="false" customHeight="true" outlineLevel="0" collapsed="false">
      <c r="A239" s="38" t="s">
        <v>931</v>
      </c>
      <c r="B239" s="38" t="n">
        <v>5</v>
      </c>
      <c r="C239" s="53" t="n">
        <v>-0.858384</v>
      </c>
      <c r="D239" s="53" t="n">
        <v>-0.570381</v>
      </c>
      <c r="E239" s="53" t="n">
        <v>-0.714382</v>
      </c>
      <c r="F239" s="53" t="n">
        <v>0.47619</v>
      </c>
      <c r="G239" s="53" t="n">
        <v>0.166667</v>
      </c>
      <c r="H239" s="53" t="n">
        <v>0.4</v>
      </c>
    </row>
    <row r="240" customFormat="false" ht="15" hidden="false" customHeight="true" outlineLevel="0" collapsed="false">
      <c r="A240" s="38" t="s">
        <v>931</v>
      </c>
      <c r="B240" s="38" t="n">
        <v>6</v>
      </c>
      <c r="C240" s="53" t="n">
        <v>-0.840708</v>
      </c>
      <c r="D240" s="53" t="n">
        <v>-0.485347</v>
      </c>
      <c r="E240" s="53" t="n">
        <v>-0.663027</v>
      </c>
      <c r="F240" s="53" t="n">
        <v>0.333333</v>
      </c>
      <c r="G240" s="53" t="n">
        <v>0.416667</v>
      </c>
      <c r="H240" s="53" t="n">
        <v>0.6</v>
      </c>
    </row>
    <row r="241" customFormat="false" ht="15" hidden="false" customHeight="true" outlineLevel="0" collapsed="false">
      <c r="A241" s="38" t="s">
        <v>931</v>
      </c>
      <c r="B241" s="38" t="n">
        <v>7</v>
      </c>
      <c r="C241" s="53" t="n">
        <v>-0.677262</v>
      </c>
      <c r="D241" s="53" t="n">
        <v>-0.280842</v>
      </c>
      <c r="E241" s="53" t="n">
        <v>-0.479052</v>
      </c>
      <c r="F241" s="53" t="n">
        <v>0.333333</v>
      </c>
      <c r="G241" s="53" t="n">
        <v>0.416667</v>
      </c>
      <c r="H241" s="53" t="n">
        <v>0.2</v>
      </c>
    </row>
    <row r="242" customFormat="false" ht="15" hidden="false" customHeight="true" outlineLevel="0" collapsed="false">
      <c r="A242" s="38" t="s">
        <v>931</v>
      </c>
      <c r="B242" s="38" t="n">
        <v>8</v>
      </c>
      <c r="C242" s="53" t="n">
        <v>-0.763878</v>
      </c>
      <c r="D242" s="53" t="n">
        <v>-0.329813</v>
      </c>
      <c r="E242" s="53" t="n">
        <v>-0.546846</v>
      </c>
      <c r="F242" s="53" t="n">
        <v>0.428571</v>
      </c>
      <c r="G242" s="53" t="n">
        <v>0.25</v>
      </c>
      <c r="H242" s="53" t="n">
        <v>0.2</v>
      </c>
    </row>
    <row r="243" customFormat="false" ht="15" hidden="false" customHeight="true" outlineLevel="0" collapsed="false">
      <c r="A243" s="38" t="s">
        <v>931</v>
      </c>
      <c r="B243" s="38" t="n">
        <v>9</v>
      </c>
      <c r="C243" s="53" t="n">
        <v>-0.744937</v>
      </c>
      <c r="D243" s="53" t="n">
        <v>-0.377043</v>
      </c>
      <c r="E243" s="53" t="n">
        <v>-0.56099</v>
      </c>
      <c r="F243" s="53" t="n">
        <v>0.333333</v>
      </c>
      <c r="G243" s="53" t="n">
        <v>0.416667</v>
      </c>
      <c r="H243" s="53" t="n">
        <v>0.2</v>
      </c>
    </row>
    <row r="244" customFormat="false" ht="15" hidden="false" customHeight="true" outlineLevel="0" collapsed="false">
      <c r="A244" s="38" t="s">
        <v>931</v>
      </c>
      <c r="B244" s="38" t="n">
        <v>10</v>
      </c>
      <c r="C244" s="53" t="n">
        <v>-0.884952</v>
      </c>
      <c r="D244" s="53" t="n">
        <v>-0.483993</v>
      </c>
      <c r="E244" s="53" t="n">
        <v>-0.684472</v>
      </c>
      <c r="F244" s="53" t="n">
        <v>0.333333</v>
      </c>
      <c r="G244" s="53" t="n">
        <v>0.166667</v>
      </c>
      <c r="H244" s="53" t="n">
        <v>0</v>
      </c>
    </row>
    <row r="245" customFormat="false" ht="15" hidden="false" customHeight="true" outlineLevel="0" collapsed="false">
      <c r="A245" s="38" t="s">
        <v>932</v>
      </c>
      <c r="B245" s="38" t="n">
        <v>1</v>
      </c>
      <c r="C245" s="53" t="n">
        <v>-0.841362</v>
      </c>
      <c r="D245" s="53" t="n">
        <v>-0.438737</v>
      </c>
      <c r="E245" s="53" t="n">
        <v>-0.64005</v>
      </c>
      <c r="F245" s="53" t="n">
        <v>0.333333</v>
      </c>
      <c r="G245" s="53" t="n">
        <v>0.416667</v>
      </c>
      <c r="H245" s="53" t="n">
        <v>0.4</v>
      </c>
    </row>
    <row r="246" customFormat="false" ht="15" hidden="false" customHeight="true" outlineLevel="0" collapsed="false">
      <c r="A246" s="38" t="s">
        <v>932</v>
      </c>
      <c r="B246" s="38" t="n">
        <v>2</v>
      </c>
      <c r="C246" s="53" t="n">
        <v>-0.861719</v>
      </c>
      <c r="D246" s="53" t="n">
        <v>-0.545003</v>
      </c>
      <c r="E246" s="53" t="n">
        <v>-0.703361</v>
      </c>
      <c r="F246" s="53" t="n">
        <v>0.380952</v>
      </c>
      <c r="G246" s="53" t="n">
        <v>0.166667</v>
      </c>
      <c r="H246" s="53" t="n">
        <v>0.2</v>
      </c>
    </row>
    <row r="247" customFormat="false" ht="15" hidden="false" customHeight="true" outlineLevel="0" collapsed="false">
      <c r="A247" s="38" t="s">
        <v>932</v>
      </c>
      <c r="B247" s="38" t="n">
        <v>3</v>
      </c>
      <c r="C247" s="53" t="n">
        <v>-0.839944</v>
      </c>
      <c r="D247" s="53" t="n">
        <v>-0.333351</v>
      </c>
      <c r="E247" s="53" t="n">
        <v>-0.586647</v>
      </c>
      <c r="F247" s="53" t="n">
        <v>0.333333</v>
      </c>
      <c r="G247" s="53" t="n">
        <v>0.166667</v>
      </c>
      <c r="H247" s="53" t="n">
        <v>0.2</v>
      </c>
    </row>
    <row r="248" customFormat="false" ht="15" hidden="false" customHeight="true" outlineLevel="0" collapsed="false">
      <c r="A248" s="38" t="s">
        <v>932</v>
      </c>
      <c r="B248" s="38" t="n">
        <v>4</v>
      </c>
      <c r="C248" s="53" t="n">
        <v>-0.957849</v>
      </c>
      <c r="D248" s="53" t="n">
        <v>-0.285544</v>
      </c>
      <c r="E248" s="53" t="n">
        <v>-0.621696</v>
      </c>
      <c r="F248" s="53" t="n">
        <v>0.238095</v>
      </c>
      <c r="G248" s="53" t="n">
        <v>0.25</v>
      </c>
      <c r="H248" s="53" t="n">
        <v>0</v>
      </c>
    </row>
    <row r="249" customFormat="false" ht="15" hidden="false" customHeight="true" outlineLevel="0" collapsed="false">
      <c r="A249" s="38" t="s">
        <v>932</v>
      </c>
      <c r="B249" s="38" t="n">
        <v>5</v>
      </c>
      <c r="C249" s="53" t="n">
        <v>-0.839378</v>
      </c>
      <c r="D249" s="53" t="n">
        <v>-0.454029</v>
      </c>
      <c r="E249" s="53" t="n">
        <v>-0.646703</v>
      </c>
      <c r="F249" s="53" t="n">
        <v>0.380952</v>
      </c>
      <c r="G249" s="53" t="n">
        <v>0.083333</v>
      </c>
      <c r="H249" s="53" t="n">
        <v>0</v>
      </c>
    </row>
    <row r="250" customFormat="false" ht="15" hidden="false" customHeight="true" outlineLevel="0" collapsed="false">
      <c r="A250" s="38" t="s">
        <v>932</v>
      </c>
      <c r="B250" s="38" t="n">
        <v>6</v>
      </c>
      <c r="C250" s="53" t="n">
        <v>-0.791532</v>
      </c>
      <c r="D250" s="53" t="n">
        <v>-0.407145</v>
      </c>
      <c r="E250" s="53" t="n">
        <v>-0.599339</v>
      </c>
      <c r="F250" s="53" t="n">
        <v>0.619048</v>
      </c>
      <c r="G250" s="53" t="n">
        <v>0.25</v>
      </c>
      <c r="H250" s="53" t="n">
        <v>0.2</v>
      </c>
    </row>
    <row r="251" customFormat="false" ht="15" hidden="false" customHeight="true" outlineLevel="0" collapsed="false">
      <c r="A251" s="38" t="s">
        <v>932</v>
      </c>
      <c r="B251" s="38" t="n">
        <v>7</v>
      </c>
      <c r="C251" s="53" t="n">
        <v>-0.584477</v>
      </c>
      <c r="D251" s="53" t="n">
        <v>-0.45055</v>
      </c>
      <c r="E251" s="53" t="n">
        <v>-0.517514</v>
      </c>
      <c r="F251" s="53" t="n">
        <v>0.333333</v>
      </c>
      <c r="G251" s="53" t="n">
        <v>0.333333</v>
      </c>
      <c r="H251" s="53" t="n">
        <v>0.4</v>
      </c>
    </row>
    <row r="252" customFormat="false" ht="15" hidden="false" customHeight="true" outlineLevel="0" collapsed="false">
      <c r="A252" s="38" t="s">
        <v>932</v>
      </c>
      <c r="B252" s="38" t="n">
        <v>8</v>
      </c>
      <c r="C252" s="53" t="n">
        <v>-0.668814</v>
      </c>
      <c r="D252" s="53" t="n">
        <v>-0.48522</v>
      </c>
      <c r="E252" s="53" t="n">
        <v>-0.577017</v>
      </c>
      <c r="F252" s="53" t="n">
        <v>0.285714</v>
      </c>
      <c r="G252" s="53" t="n">
        <v>0.333333</v>
      </c>
      <c r="H252" s="53" t="n">
        <v>0.4</v>
      </c>
    </row>
    <row r="253" customFormat="false" ht="15" hidden="false" customHeight="true" outlineLevel="0" collapsed="false">
      <c r="A253" s="38" t="s">
        <v>932</v>
      </c>
      <c r="B253" s="38" t="n">
        <v>9</v>
      </c>
      <c r="C253" s="53" t="n">
        <v>-0.83002</v>
      </c>
      <c r="D253" s="53" t="n">
        <v>-0.450055</v>
      </c>
      <c r="E253" s="53" t="n">
        <v>-0.640038</v>
      </c>
      <c r="F253" s="53" t="n">
        <v>0.380952</v>
      </c>
      <c r="G253" s="53" t="n">
        <v>0.333333</v>
      </c>
      <c r="H253" s="53" t="n">
        <v>0.4</v>
      </c>
    </row>
    <row r="254" customFormat="false" ht="15" hidden="false" customHeight="true" outlineLevel="0" collapsed="false">
      <c r="A254" s="38" t="s">
        <v>932</v>
      </c>
      <c r="B254" s="38" t="n">
        <v>10</v>
      </c>
      <c r="C254" s="53" t="n">
        <v>-0.569254</v>
      </c>
      <c r="D254" s="53" t="n">
        <v>-0.412148</v>
      </c>
      <c r="E254" s="53" t="n">
        <v>-0.490701</v>
      </c>
      <c r="F254" s="53" t="n">
        <v>0.47619</v>
      </c>
      <c r="G254" s="53" t="n">
        <v>0.583333</v>
      </c>
      <c r="H254" s="53" t="n">
        <v>0.4</v>
      </c>
    </row>
    <row r="255" customFormat="false" ht="15" hidden="false" customHeight="true" outlineLevel="0" collapsed="false">
      <c r="A255" s="38" t="s">
        <v>933</v>
      </c>
      <c r="B255" s="38" t="n">
        <v>1</v>
      </c>
      <c r="C255" s="53" t="n">
        <v>-0.793801</v>
      </c>
      <c r="D255" s="53" t="n">
        <v>-0.372469</v>
      </c>
      <c r="E255" s="53" t="n">
        <v>-0.583135</v>
      </c>
      <c r="F255" s="53" t="n">
        <v>0.571429</v>
      </c>
      <c r="G255" s="53" t="n">
        <v>0.25</v>
      </c>
      <c r="H255" s="53" t="n">
        <v>0</v>
      </c>
    </row>
    <row r="256" customFormat="false" ht="15" hidden="false" customHeight="true" outlineLevel="0" collapsed="false">
      <c r="A256" s="38" t="s">
        <v>933</v>
      </c>
      <c r="B256" s="38" t="n">
        <v>2</v>
      </c>
      <c r="C256" s="53" t="n">
        <v>-0.577088</v>
      </c>
      <c r="D256" s="53" t="n">
        <v>-0.21347</v>
      </c>
      <c r="E256" s="53" t="n">
        <v>-0.395279</v>
      </c>
      <c r="F256" s="53" t="n">
        <v>0.428571</v>
      </c>
      <c r="G256" s="53" t="n">
        <v>0.25</v>
      </c>
      <c r="H256" s="53" t="n">
        <v>0.2</v>
      </c>
    </row>
    <row r="257" customFormat="false" ht="15" hidden="false" customHeight="true" outlineLevel="0" collapsed="false">
      <c r="A257" s="38" t="s">
        <v>933</v>
      </c>
      <c r="B257" s="38" t="n">
        <v>3</v>
      </c>
      <c r="C257" s="53" t="n">
        <v>-0.91148</v>
      </c>
      <c r="D257" s="53" t="n">
        <v>-0.43312</v>
      </c>
      <c r="E257" s="53" t="n">
        <v>-0.6723</v>
      </c>
      <c r="F257" s="53" t="n">
        <v>0.380952</v>
      </c>
      <c r="G257" s="53" t="n">
        <v>0.166667</v>
      </c>
      <c r="H257" s="53" t="n">
        <v>0</v>
      </c>
    </row>
    <row r="258" customFormat="false" ht="15" hidden="false" customHeight="true" outlineLevel="0" collapsed="false">
      <c r="A258" s="38" t="s">
        <v>933</v>
      </c>
      <c r="B258" s="38" t="n">
        <v>4</v>
      </c>
      <c r="C258" s="53" t="n">
        <v>-0.775948</v>
      </c>
      <c r="D258" s="53" t="n">
        <v>-0.287333</v>
      </c>
      <c r="E258" s="53" t="n">
        <v>-0.531641</v>
      </c>
      <c r="F258" s="53" t="n">
        <v>0.47619</v>
      </c>
      <c r="G258" s="53" t="n">
        <v>0.083333</v>
      </c>
      <c r="H258" s="53" t="n">
        <v>0</v>
      </c>
    </row>
    <row r="259" customFormat="false" ht="15" hidden="false" customHeight="true" outlineLevel="0" collapsed="false">
      <c r="A259" s="38" t="s">
        <v>933</v>
      </c>
      <c r="B259" s="38" t="n">
        <v>5</v>
      </c>
      <c r="C259" s="53" t="n">
        <v>-0.48202</v>
      </c>
      <c r="D259" s="53" t="n">
        <v>-0.275242</v>
      </c>
      <c r="E259" s="53" t="n">
        <v>-0.378631</v>
      </c>
      <c r="F259" s="53" t="n">
        <v>0.571429</v>
      </c>
      <c r="G259" s="53" t="n">
        <v>0.5</v>
      </c>
      <c r="H259" s="53" t="n">
        <v>0.8</v>
      </c>
    </row>
    <row r="260" customFormat="false" ht="15" hidden="false" customHeight="true" outlineLevel="0" collapsed="false">
      <c r="A260" s="38" t="s">
        <v>933</v>
      </c>
      <c r="B260" s="38" t="n">
        <v>6</v>
      </c>
      <c r="C260" s="53" t="n">
        <v>-0.843518</v>
      </c>
      <c r="D260" s="53" t="n">
        <v>-0.492476</v>
      </c>
      <c r="E260" s="53" t="n">
        <v>-0.667997</v>
      </c>
      <c r="F260" s="53" t="n">
        <v>0.380952</v>
      </c>
      <c r="G260" s="53" t="n">
        <v>0.25</v>
      </c>
      <c r="H260" s="53" t="n">
        <v>0.4</v>
      </c>
    </row>
    <row r="261" customFormat="false" ht="15" hidden="false" customHeight="true" outlineLevel="0" collapsed="false">
      <c r="A261" s="38" t="s">
        <v>933</v>
      </c>
      <c r="B261" s="38" t="n">
        <v>7</v>
      </c>
      <c r="C261" s="53" t="n">
        <v>-0.841338</v>
      </c>
      <c r="D261" s="53" t="n">
        <v>-0.555656</v>
      </c>
      <c r="E261" s="53" t="n">
        <v>-0.698497</v>
      </c>
      <c r="F261" s="53" t="n">
        <v>0.190476</v>
      </c>
      <c r="G261" s="53" t="n">
        <v>0.166667</v>
      </c>
      <c r="H261" s="53" t="n">
        <v>0.2</v>
      </c>
    </row>
    <row r="262" customFormat="false" ht="15" hidden="false" customHeight="true" outlineLevel="0" collapsed="false">
      <c r="A262" s="38" t="s">
        <v>933</v>
      </c>
      <c r="B262" s="38" t="n">
        <v>8</v>
      </c>
      <c r="C262" s="53" t="n">
        <v>-0.459376</v>
      </c>
      <c r="D262" s="53" t="n">
        <v>-0.185323</v>
      </c>
      <c r="E262" s="53" t="n">
        <v>-0.322349</v>
      </c>
      <c r="F262" s="53" t="n">
        <v>0.238095</v>
      </c>
      <c r="G262" s="53" t="n">
        <v>0.333333</v>
      </c>
      <c r="H262" s="53" t="n">
        <v>0.2</v>
      </c>
    </row>
    <row r="263" customFormat="false" ht="15" hidden="false" customHeight="true" outlineLevel="0" collapsed="false">
      <c r="A263" s="38" t="s">
        <v>933</v>
      </c>
      <c r="B263" s="38" t="n">
        <v>9</v>
      </c>
      <c r="C263" s="53" t="n">
        <v>-0.604387</v>
      </c>
      <c r="D263" s="53" t="n">
        <v>-0.324873</v>
      </c>
      <c r="E263" s="53" t="n">
        <v>-0.46463</v>
      </c>
      <c r="F263" s="53" t="n">
        <v>0.333333</v>
      </c>
      <c r="G263" s="53" t="n">
        <v>0.25</v>
      </c>
      <c r="H263" s="53" t="n">
        <v>0.2</v>
      </c>
    </row>
    <row r="264" customFormat="false" ht="15" hidden="false" customHeight="true" outlineLevel="0" collapsed="false">
      <c r="A264" s="38" t="s">
        <v>933</v>
      </c>
      <c r="B264" s="38" t="n">
        <v>10</v>
      </c>
      <c r="C264" s="53" t="n">
        <v>-0.555795</v>
      </c>
      <c r="D264" s="53" t="n">
        <v>-0.307056</v>
      </c>
      <c r="E264" s="53" t="n">
        <v>-0.431426</v>
      </c>
      <c r="F264" s="53" t="n">
        <v>0.47619</v>
      </c>
      <c r="G264" s="53" t="n">
        <v>0.583333</v>
      </c>
      <c r="H264" s="53" t="n">
        <v>0.8</v>
      </c>
    </row>
    <row r="265" customFormat="false" ht="15" hidden="false" customHeight="true" outlineLevel="0" collapsed="false">
      <c r="A265" s="38" t="s">
        <v>934</v>
      </c>
      <c r="B265" s="38" t="n">
        <v>1</v>
      </c>
      <c r="C265" s="53" t="n">
        <v>-0.806093</v>
      </c>
      <c r="D265" s="53" t="n">
        <v>-0.426653</v>
      </c>
      <c r="E265" s="53" t="n">
        <v>-0.616373</v>
      </c>
      <c r="F265" s="53" t="n">
        <v>0.238095</v>
      </c>
      <c r="G265" s="53" t="n">
        <v>0.25</v>
      </c>
      <c r="H265" s="53" t="n">
        <v>0.2</v>
      </c>
    </row>
    <row r="266" customFormat="false" ht="15" hidden="false" customHeight="true" outlineLevel="0" collapsed="false">
      <c r="A266" s="38" t="s">
        <v>934</v>
      </c>
      <c r="B266" s="38" t="n">
        <v>2</v>
      </c>
      <c r="C266" s="53" t="n">
        <v>-0.8718</v>
      </c>
      <c r="D266" s="53" t="n">
        <v>-0.481711</v>
      </c>
      <c r="E266" s="53" t="n">
        <v>-0.676756</v>
      </c>
      <c r="F266" s="53" t="n">
        <v>0.47619</v>
      </c>
      <c r="G266" s="53" t="n">
        <v>0.333333</v>
      </c>
      <c r="H266" s="53" t="n">
        <v>0.4</v>
      </c>
    </row>
    <row r="267" customFormat="false" ht="15" hidden="false" customHeight="true" outlineLevel="0" collapsed="false">
      <c r="A267" s="38" t="s">
        <v>934</v>
      </c>
      <c r="B267" s="38" t="n">
        <v>3</v>
      </c>
      <c r="C267" s="53" t="n">
        <v>-0.767207</v>
      </c>
      <c r="D267" s="53" t="n">
        <v>-0.40627</v>
      </c>
      <c r="E267" s="53" t="n">
        <v>-0.586739</v>
      </c>
      <c r="F267" s="53" t="n">
        <v>0.52381</v>
      </c>
      <c r="G267" s="53" t="n">
        <v>0.166667</v>
      </c>
      <c r="H267" s="53" t="n">
        <v>0.2</v>
      </c>
    </row>
    <row r="268" customFormat="false" ht="15" hidden="false" customHeight="true" outlineLevel="0" collapsed="false">
      <c r="A268" s="38" t="s">
        <v>934</v>
      </c>
      <c r="B268" s="38" t="n">
        <v>4</v>
      </c>
      <c r="C268" s="53" t="n">
        <v>-0.889171</v>
      </c>
      <c r="D268" s="53" t="n">
        <v>-0.421938</v>
      </c>
      <c r="E268" s="53" t="n">
        <v>-0.655554</v>
      </c>
      <c r="F268" s="53" t="n">
        <v>0.333333</v>
      </c>
      <c r="G268" s="53" t="n">
        <v>0.25</v>
      </c>
      <c r="H268" s="53" t="n">
        <v>0.2</v>
      </c>
    </row>
    <row r="269" customFormat="false" ht="15" hidden="false" customHeight="true" outlineLevel="0" collapsed="false">
      <c r="A269" s="38" t="s">
        <v>934</v>
      </c>
      <c r="B269" s="38" t="n">
        <v>5</v>
      </c>
      <c r="C269" s="53" t="n">
        <v>-0.875983</v>
      </c>
      <c r="D269" s="53" t="n">
        <v>-0.461845</v>
      </c>
      <c r="E269" s="53" t="n">
        <v>-0.668914</v>
      </c>
      <c r="F269" s="53" t="n">
        <v>0.380952</v>
      </c>
      <c r="G269" s="53" t="n">
        <v>0.333333</v>
      </c>
      <c r="H269" s="53" t="n">
        <v>0.4</v>
      </c>
    </row>
    <row r="270" customFormat="false" ht="15" hidden="false" customHeight="true" outlineLevel="0" collapsed="false">
      <c r="A270" s="38" t="s">
        <v>934</v>
      </c>
      <c r="B270" s="38" t="n">
        <v>6</v>
      </c>
      <c r="C270" s="53" t="n">
        <v>-1.184573</v>
      </c>
      <c r="D270" s="53" t="n">
        <v>-0.325978</v>
      </c>
      <c r="E270" s="53" t="n">
        <v>-0.755276</v>
      </c>
      <c r="F270" s="53" t="n">
        <v>0.47619</v>
      </c>
      <c r="G270" s="53" t="n">
        <v>0</v>
      </c>
      <c r="H270" s="53" t="n">
        <v>0</v>
      </c>
    </row>
    <row r="271" customFormat="false" ht="15" hidden="false" customHeight="true" outlineLevel="0" collapsed="false">
      <c r="A271" s="38" t="s">
        <v>934</v>
      </c>
      <c r="B271" s="38" t="n">
        <v>7</v>
      </c>
      <c r="C271" s="53" t="n">
        <v>-0.975938</v>
      </c>
      <c r="D271" s="53" t="n">
        <v>-0.51137</v>
      </c>
      <c r="E271" s="53" t="n">
        <v>-0.743654</v>
      </c>
      <c r="F271" s="53" t="n">
        <v>0.47619</v>
      </c>
      <c r="G271" s="53" t="n">
        <v>0.25</v>
      </c>
      <c r="H271" s="53" t="n">
        <v>0.6</v>
      </c>
    </row>
    <row r="272" customFormat="false" ht="15" hidden="false" customHeight="true" outlineLevel="0" collapsed="false">
      <c r="A272" s="38" t="s">
        <v>934</v>
      </c>
      <c r="B272" s="38" t="n">
        <v>8</v>
      </c>
      <c r="C272" s="53" t="n">
        <v>-0.841509</v>
      </c>
      <c r="D272" s="53" t="n">
        <v>-0.259659</v>
      </c>
      <c r="E272" s="53" t="n">
        <v>-0.550584</v>
      </c>
      <c r="F272" s="53" t="n">
        <v>0.47619</v>
      </c>
      <c r="G272" s="53" t="n">
        <v>0.166667</v>
      </c>
      <c r="H272" s="53" t="n">
        <v>0</v>
      </c>
    </row>
    <row r="273" customFormat="false" ht="15" hidden="false" customHeight="true" outlineLevel="0" collapsed="false">
      <c r="A273" s="38" t="s">
        <v>934</v>
      </c>
      <c r="B273" s="38" t="n">
        <v>9</v>
      </c>
      <c r="C273" s="53" t="n">
        <v>-0.874236</v>
      </c>
      <c r="D273" s="53" t="n">
        <v>-0.297031</v>
      </c>
      <c r="E273" s="53" t="n">
        <v>-0.585633</v>
      </c>
      <c r="F273" s="53" t="n">
        <v>0.428571</v>
      </c>
      <c r="G273" s="53" t="n">
        <v>0.083333</v>
      </c>
      <c r="H273" s="53" t="n">
        <v>0.2</v>
      </c>
    </row>
    <row r="274" customFormat="false" ht="15" hidden="false" customHeight="true" outlineLevel="0" collapsed="false">
      <c r="A274" s="38" t="s">
        <v>934</v>
      </c>
      <c r="B274" s="38" t="n">
        <v>10</v>
      </c>
      <c r="C274" s="53" t="n">
        <v>-0.64158</v>
      </c>
      <c r="D274" s="53" t="n">
        <v>-0.311216</v>
      </c>
      <c r="E274" s="53" t="n">
        <v>-0.476398</v>
      </c>
      <c r="F274" s="53" t="n">
        <v>0.238095</v>
      </c>
      <c r="G274" s="53" t="n">
        <v>0.333333</v>
      </c>
      <c r="H274" s="53" t="n">
        <v>0.2</v>
      </c>
    </row>
    <row r="275" customFormat="false" ht="15" hidden="false" customHeight="true" outlineLevel="0" collapsed="false">
      <c r="A275" s="38" t="s">
        <v>935</v>
      </c>
      <c r="B275" s="38" t="n">
        <v>1</v>
      </c>
      <c r="C275" s="53" t="n">
        <v>-0.762636</v>
      </c>
      <c r="D275" s="53" t="n">
        <v>-0.290907</v>
      </c>
      <c r="E275" s="53" t="n">
        <v>-0.526772</v>
      </c>
      <c r="F275" s="53" t="n">
        <v>0.333333</v>
      </c>
      <c r="G275" s="53" t="n">
        <v>0.166667</v>
      </c>
      <c r="H275" s="53" t="n">
        <v>0</v>
      </c>
    </row>
    <row r="276" customFormat="false" ht="15" hidden="false" customHeight="true" outlineLevel="0" collapsed="false">
      <c r="A276" s="38" t="s">
        <v>935</v>
      </c>
      <c r="B276" s="38" t="n">
        <v>2</v>
      </c>
      <c r="C276" s="53" t="n">
        <v>-0.77772</v>
      </c>
      <c r="D276" s="53" t="n">
        <v>-0.392165</v>
      </c>
      <c r="E276" s="53" t="n">
        <v>-0.584942</v>
      </c>
      <c r="F276" s="53" t="n">
        <v>0.380952</v>
      </c>
      <c r="G276" s="53" t="n">
        <v>0.083333</v>
      </c>
      <c r="H276" s="53" t="n">
        <v>0</v>
      </c>
    </row>
    <row r="277" customFormat="false" ht="15" hidden="false" customHeight="true" outlineLevel="0" collapsed="false">
      <c r="A277" s="38" t="s">
        <v>935</v>
      </c>
      <c r="B277" s="38" t="n">
        <v>3</v>
      </c>
      <c r="C277" s="53" t="n">
        <v>-0.725629</v>
      </c>
      <c r="D277" s="53" t="n">
        <v>-0.267593</v>
      </c>
      <c r="E277" s="53" t="n">
        <v>-0.496611</v>
      </c>
      <c r="F277" s="53" t="n">
        <v>0.428571</v>
      </c>
      <c r="G277" s="53" t="n">
        <v>0.333333</v>
      </c>
      <c r="H277" s="53" t="n">
        <v>0</v>
      </c>
    </row>
    <row r="278" customFormat="false" ht="15" hidden="false" customHeight="true" outlineLevel="0" collapsed="false">
      <c r="A278" s="38" t="s">
        <v>935</v>
      </c>
      <c r="B278" s="38" t="n">
        <v>4</v>
      </c>
      <c r="C278" s="53" t="n">
        <v>-0.699386</v>
      </c>
      <c r="D278" s="53" t="n">
        <v>-0.569345</v>
      </c>
      <c r="E278" s="53" t="n">
        <v>-0.634366</v>
      </c>
      <c r="F278" s="53" t="n">
        <v>0.52381</v>
      </c>
      <c r="G278" s="53" t="n">
        <v>0.333333</v>
      </c>
      <c r="H278" s="53" t="n">
        <v>0.4</v>
      </c>
    </row>
    <row r="279" customFormat="false" ht="15" hidden="false" customHeight="true" outlineLevel="0" collapsed="false">
      <c r="A279" s="38" t="s">
        <v>935</v>
      </c>
      <c r="B279" s="38" t="n">
        <v>5</v>
      </c>
      <c r="C279" s="53" t="n">
        <v>-0.790735</v>
      </c>
      <c r="D279" s="53" t="n">
        <v>-0.476078</v>
      </c>
      <c r="E279" s="53" t="n">
        <v>-0.633406</v>
      </c>
      <c r="F279" s="53" t="n">
        <v>0.428571</v>
      </c>
      <c r="G279" s="53" t="n">
        <v>0.333333</v>
      </c>
      <c r="H279" s="53" t="n">
        <v>0.4</v>
      </c>
    </row>
    <row r="280" customFormat="false" ht="15" hidden="false" customHeight="true" outlineLevel="0" collapsed="false">
      <c r="A280" s="38" t="s">
        <v>935</v>
      </c>
      <c r="B280" s="38" t="n">
        <v>6</v>
      </c>
      <c r="C280" s="53" t="n">
        <v>-0.875275</v>
      </c>
      <c r="D280" s="53" t="n">
        <v>-0.580105</v>
      </c>
      <c r="E280" s="53" t="n">
        <v>-0.72769</v>
      </c>
      <c r="F280" s="53" t="n">
        <v>0.333333</v>
      </c>
      <c r="G280" s="53" t="n">
        <v>0.166667</v>
      </c>
      <c r="H280" s="53" t="n">
        <v>0.2</v>
      </c>
    </row>
    <row r="281" customFormat="false" ht="15" hidden="false" customHeight="true" outlineLevel="0" collapsed="false">
      <c r="A281" s="38" t="s">
        <v>935</v>
      </c>
      <c r="B281" s="38" t="n">
        <v>7</v>
      </c>
      <c r="C281" s="53" t="n">
        <v>-1.037702</v>
      </c>
      <c r="D281" s="53" t="n">
        <v>-0.438026</v>
      </c>
      <c r="E281" s="53" t="n">
        <v>-0.737864</v>
      </c>
      <c r="F281" s="53" t="n">
        <v>0.380952</v>
      </c>
      <c r="G281" s="53" t="n">
        <v>0.25</v>
      </c>
      <c r="H281" s="53" t="n">
        <v>0.2</v>
      </c>
    </row>
    <row r="282" customFormat="false" ht="15" hidden="false" customHeight="true" outlineLevel="0" collapsed="false">
      <c r="A282" s="38" t="s">
        <v>935</v>
      </c>
      <c r="B282" s="38" t="n">
        <v>8</v>
      </c>
      <c r="C282" s="53" t="n">
        <v>-0.951258</v>
      </c>
      <c r="D282" s="53" t="n">
        <v>-0.545733</v>
      </c>
      <c r="E282" s="53" t="n">
        <v>-0.748495</v>
      </c>
      <c r="F282" s="53" t="n">
        <v>0.285714</v>
      </c>
      <c r="G282" s="53" t="n">
        <v>0.25</v>
      </c>
      <c r="H282" s="53" t="n">
        <v>0.4</v>
      </c>
    </row>
    <row r="283" customFormat="false" ht="15" hidden="false" customHeight="true" outlineLevel="0" collapsed="false">
      <c r="A283" s="38" t="s">
        <v>935</v>
      </c>
      <c r="B283" s="38" t="n">
        <v>9</v>
      </c>
      <c r="C283" s="53" t="n">
        <v>-0.966502</v>
      </c>
      <c r="D283" s="53" t="n">
        <v>-0.350316</v>
      </c>
      <c r="E283" s="53" t="n">
        <v>-0.658409</v>
      </c>
      <c r="F283" s="53" t="n">
        <v>0.333333</v>
      </c>
      <c r="G283" s="53" t="n">
        <v>0.083333</v>
      </c>
      <c r="H283" s="53" t="n">
        <v>0</v>
      </c>
    </row>
    <row r="284" customFormat="false" ht="15" hidden="false" customHeight="true" outlineLevel="0" collapsed="false">
      <c r="A284" s="38" t="s">
        <v>935</v>
      </c>
      <c r="B284" s="38" t="n">
        <v>10</v>
      </c>
      <c r="C284" s="53" t="n">
        <v>-0.409547</v>
      </c>
      <c r="D284" s="53" t="n">
        <v>-0.234189</v>
      </c>
      <c r="E284" s="53" t="n">
        <v>-0.321868</v>
      </c>
      <c r="F284" s="53" t="n">
        <v>0.333333</v>
      </c>
      <c r="G284" s="53" t="n">
        <v>0.416667</v>
      </c>
      <c r="H284" s="53" t="n">
        <v>0.4</v>
      </c>
    </row>
    <row r="285" customFormat="false" ht="15" hidden="false" customHeight="true" outlineLevel="0" collapsed="false">
      <c r="A285" s="38" t="s">
        <v>936</v>
      </c>
      <c r="B285" s="38" t="n">
        <v>1</v>
      </c>
      <c r="C285" s="53" t="n">
        <v>-0.841878</v>
      </c>
      <c r="D285" s="53" t="n">
        <v>-0.535707</v>
      </c>
      <c r="E285" s="53" t="n">
        <v>-0.688792</v>
      </c>
      <c r="F285" s="53" t="n">
        <v>0.380952</v>
      </c>
      <c r="G285" s="53" t="n">
        <v>0.333333</v>
      </c>
      <c r="H285" s="53" t="n">
        <v>0.4</v>
      </c>
    </row>
    <row r="286" customFormat="false" ht="15" hidden="false" customHeight="true" outlineLevel="0" collapsed="false">
      <c r="A286" s="38" t="s">
        <v>936</v>
      </c>
      <c r="B286" s="38" t="n">
        <v>2</v>
      </c>
      <c r="C286" s="53" t="n">
        <v>-0.697894</v>
      </c>
      <c r="D286" s="53" t="n">
        <v>-0.504478</v>
      </c>
      <c r="E286" s="53" t="n">
        <v>-0.601186</v>
      </c>
      <c r="F286" s="53" t="n">
        <v>0.238095</v>
      </c>
      <c r="G286" s="53" t="n">
        <v>0.166667</v>
      </c>
      <c r="H286" s="53" t="n">
        <v>0.4</v>
      </c>
    </row>
    <row r="287" customFormat="false" ht="15" hidden="false" customHeight="true" outlineLevel="0" collapsed="false">
      <c r="A287" s="38" t="s">
        <v>936</v>
      </c>
      <c r="B287" s="38" t="n">
        <v>3</v>
      </c>
      <c r="C287" s="53" t="n">
        <v>-0.876733</v>
      </c>
      <c r="D287" s="53" t="n">
        <v>-0.523669</v>
      </c>
      <c r="E287" s="53" t="n">
        <v>-0.700201</v>
      </c>
      <c r="F287" s="53" t="n">
        <v>0.333333</v>
      </c>
      <c r="G287" s="53" t="n">
        <v>0.166667</v>
      </c>
      <c r="H287" s="53" t="n">
        <v>0.2</v>
      </c>
    </row>
    <row r="288" customFormat="false" ht="15" hidden="false" customHeight="true" outlineLevel="0" collapsed="false">
      <c r="A288" s="38" t="s">
        <v>936</v>
      </c>
      <c r="B288" s="38" t="n">
        <v>4</v>
      </c>
      <c r="C288" s="53" t="n">
        <v>-0.932873</v>
      </c>
      <c r="D288" s="53" t="n">
        <v>-0.58273</v>
      </c>
      <c r="E288" s="53" t="n">
        <v>-0.757801</v>
      </c>
      <c r="F288" s="53" t="n">
        <v>0.52381</v>
      </c>
      <c r="G288" s="53" t="n">
        <v>0.083333</v>
      </c>
      <c r="H288" s="53" t="n">
        <v>0</v>
      </c>
    </row>
    <row r="289" customFormat="false" ht="15" hidden="false" customHeight="true" outlineLevel="0" collapsed="false">
      <c r="A289" s="38" t="s">
        <v>936</v>
      </c>
      <c r="B289" s="38" t="n">
        <v>5</v>
      </c>
      <c r="C289" s="53" t="n">
        <v>-1.013023</v>
      </c>
      <c r="D289" s="53" t="n">
        <v>-0.443955</v>
      </c>
      <c r="E289" s="53" t="n">
        <v>-0.728489</v>
      </c>
      <c r="F289" s="53" t="n">
        <v>0.333333</v>
      </c>
      <c r="G289" s="53" t="n">
        <v>0.25</v>
      </c>
      <c r="H289" s="53" t="n">
        <v>0</v>
      </c>
    </row>
    <row r="290" customFormat="false" ht="15" hidden="false" customHeight="true" outlineLevel="0" collapsed="false">
      <c r="A290" s="38" t="s">
        <v>936</v>
      </c>
      <c r="B290" s="38" t="n">
        <v>6</v>
      </c>
      <c r="C290" s="53" t="n">
        <v>-0.799384</v>
      </c>
      <c r="D290" s="53" t="n">
        <v>-0.41544</v>
      </c>
      <c r="E290" s="53" t="n">
        <v>-0.607412</v>
      </c>
      <c r="F290" s="53" t="n">
        <v>0.285714</v>
      </c>
      <c r="G290" s="53" t="n">
        <v>0.25</v>
      </c>
      <c r="H290" s="53" t="n">
        <v>0.2</v>
      </c>
    </row>
    <row r="291" customFormat="false" ht="15" hidden="false" customHeight="true" outlineLevel="0" collapsed="false">
      <c r="A291" s="38" t="s">
        <v>936</v>
      </c>
      <c r="B291" s="38" t="n">
        <v>7</v>
      </c>
      <c r="C291" s="53" t="n">
        <v>-0.891186</v>
      </c>
      <c r="D291" s="53" t="n">
        <v>-0.447694</v>
      </c>
      <c r="E291" s="53" t="n">
        <v>-0.66944</v>
      </c>
      <c r="F291" s="53" t="n">
        <v>0.47619</v>
      </c>
      <c r="G291" s="53" t="n">
        <v>0.25</v>
      </c>
      <c r="H291" s="53" t="n">
        <v>0.4</v>
      </c>
    </row>
    <row r="292" customFormat="false" ht="15" hidden="false" customHeight="true" outlineLevel="0" collapsed="false">
      <c r="A292" s="38" t="s">
        <v>936</v>
      </c>
      <c r="B292" s="38" t="n">
        <v>8</v>
      </c>
      <c r="C292" s="53" t="n">
        <v>-0.938156</v>
      </c>
      <c r="D292" s="53" t="n">
        <v>-0.557862</v>
      </c>
      <c r="E292" s="53" t="n">
        <v>-0.748009</v>
      </c>
      <c r="F292" s="53" t="n">
        <v>0.380952</v>
      </c>
      <c r="G292" s="53" t="n">
        <v>0.166667</v>
      </c>
      <c r="H292" s="53" t="n">
        <v>0.2</v>
      </c>
    </row>
    <row r="293" customFormat="false" ht="15" hidden="false" customHeight="true" outlineLevel="0" collapsed="false">
      <c r="A293" s="38" t="s">
        <v>936</v>
      </c>
      <c r="B293" s="38" t="n">
        <v>9</v>
      </c>
      <c r="C293" s="53" t="n">
        <v>-0.69486</v>
      </c>
      <c r="D293" s="53" t="n">
        <v>-0.649381</v>
      </c>
      <c r="E293" s="53" t="n">
        <v>-0.672121</v>
      </c>
      <c r="F293" s="53" t="n">
        <v>0.47619</v>
      </c>
      <c r="G293" s="53" t="n">
        <v>0.333333</v>
      </c>
      <c r="H293" s="53" t="n">
        <v>0.2</v>
      </c>
    </row>
    <row r="294" customFormat="false" ht="15" hidden="false" customHeight="true" outlineLevel="0" collapsed="false">
      <c r="A294" s="38" t="s">
        <v>936</v>
      </c>
      <c r="B294" s="38" t="n">
        <v>10</v>
      </c>
      <c r="C294" s="53" t="n">
        <v>-0.72245</v>
      </c>
      <c r="D294" s="53" t="n">
        <v>-0.583057</v>
      </c>
      <c r="E294" s="53" t="n">
        <v>-0.652754</v>
      </c>
      <c r="F294" s="53" t="n">
        <v>0.380952</v>
      </c>
      <c r="G294" s="53" t="n">
        <v>0.25</v>
      </c>
      <c r="H294" s="53" t="n">
        <v>0.2</v>
      </c>
    </row>
    <row r="295" customFormat="false" ht="15" hidden="false" customHeight="true" outlineLevel="0" collapsed="false">
      <c r="A295" s="38" t="s">
        <v>937</v>
      </c>
      <c r="B295" s="38" t="n">
        <v>1</v>
      </c>
      <c r="C295" s="53" t="n">
        <v>-0.644251</v>
      </c>
      <c r="D295" s="53" t="n">
        <v>-0.393729</v>
      </c>
      <c r="E295" s="53" t="n">
        <v>-0.51899</v>
      </c>
      <c r="F295" s="53" t="n">
        <v>0.380952</v>
      </c>
      <c r="G295" s="53" t="n">
        <v>0.333333</v>
      </c>
      <c r="H295" s="53" t="n">
        <v>0.2</v>
      </c>
    </row>
    <row r="296" customFormat="false" ht="15" hidden="false" customHeight="true" outlineLevel="0" collapsed="false">
      <c r="A296" s="38" t="s">
        <v>937</v>
      </c>
      <c r="B296" s="38" t="n">
        <v>2</v>
      </c>
      <c r="C296" s="53" t="n">
        <v>-1.022369</v>
      </c>
      <c r="D296" s="53" t="n">
        <v>-0.522592</v>
      </c>
      <c r="E296" s="53" t="n">
        <v>-0.77248</v>
      </c>
      <c r="F296" s="53" t="n">
        <v>0.428571</v>
      </c>
      <c r="G296" s="53" t="n">
        <v>0.083333</v>
      </c>
      <c r="H296" s="53" t="n">
        <v>0.2</v>
      </c>
    </row>
    <row r="297" customFormat="false" ht="15" hidden="false" customHeight="true" outlineLevel="0" collapsed="false">
      <c r="A297" s="38" t="s">
        <v>937</v>
      </c>
      <c r="B297" s="38" t="n">
        <v>3</v>
      </c>
      <c r="C297" s="53" t="n">
        <v>-0.683211</v>
      </c>
      <c r="D297" s="53" t="n">
        <v>-0.488054</v>
      </c>
      <c r="E297" s="53" t="n">
        <v>-0.585633</v>
      </c>
      <c r="F297" s="53" t="n">
        <v>0.428571</v>
      </c>
      <c r="G297" s="53" t="n">
        <v>0.166667</v>
      </c>
      <c r="H297" s="53" t="n">
        <v>0.4</v>
      </c>
    </row>
    <row r="298" customFormat="false" ht="15" hidden="false" customHeight="true" outlineLevel="0" collapsed="false">
      <c r="A298" s="38" t="s">
        <v>937</v>
      </c>
      <c r="B298" s="38" t="n">
        <v>4</v>
      </c>
      <c r="C298" s="53" t="n">
        <v>-0.600892</v>
      </c>
      <c r="D298" s="53" t="n">
        <v>-0.360114</v>
      </c>
      <c r="E298" s="53" t="n">
        <v>-0.480503</v>
      </c>
      <c r="F298" s="53" t="n">
        <v>0.428571</v>
      </c>
      <c r="G298" s="53" t="n">
        <v>0.416667</v>
      </c>
      <c r="H298" s="53" t="n">
        <v>0.4</v>
      </c>
    </row>
    <row r="299" customFormat="false" ht="15" hidden="false" customHeight="true" outlineLevel="0" collapsed="false">
      <c r="A299" s="38" t="s">
        <v>937</v>
      </c>
      <c r="B299" s="38" t="n">
        <v>5</v>
      </c>
      <c r="C299" s="53" t="n">
        <v>-0.784398</v>
      </c>
      <c r="D299" s="53" t="n">
        <v>-0.407762</v>
      </c>
      <c r="E299" s="53" t="n">
        <v>-0.59608</v>
      </c>
      <c r="F299" s="53" t="n">
        <v>0.285714</v>
      </c>
      <c r="G299" s="53" t="n">
        <v>0.25</v>
      </c>
      <c r="H299" s="53" t="n">
        <v>0</v>
      </c>
    </row>
    <row r="300" customFormat="false" ht="15" hidden="false" customHeight="true" outlineLevel="0" collapsed="false">
      <c r="A300" s="38" t="s">
        <v>937</v>
      </c>
      <c r="B300" s="38" t="n">
        <v>6</v>
      </c>
      <c r="C300" s="53" t="n">
        <v>-0.65942</v>
      </c>
      <c r="D300" s="53" t="n">
        <v>-0.299522</v>
      </c>
      <c r="E300" s="53" t="n">
        <v>-0.479471</v>
      </c>
      <c r="F300" s="53" t="n">
        <v>0.47619</v>
      </c>
      <c r="G300" s="53" t="n">
        <v>0.25</v>
      </c>
      <c r="H300" s="53" t="n">
        <v>0.4</v>
      </c>
    </row>
    <row r="301" customFormat="false" ht="15" hidden="false" customHeight="true" outlineLevel="0" collapsed="false">
      <c r="A301" s="38" t="s">
        <v>937</v>
      </c>
      <c r="B301" s="38" t="n">
        <v>7</v>
      </c>
      <c r="C301" s="53" t="n">
        <v>-0.23985</v>
      </c>
      <c r="D301" s="53" t="n">
        <v>-0.176071</v>
      </c>
      <c r="E301" s="53" t="n">
        <v>-0.207961</v>
      </c>
      <c r="F301" s="53" t="n">
        <v>0.52381</v>
      </c>
      <c r="G301" s="53" t="n">
        <v>0.5</v>
      </c>
      <c r="H301" s="53" t="n">
        <v>0.6</v>
      </c>
    </row>
    <row r="302" customFormat="false" ht="15" hidden="false" customHeight="true" outlineLevel="0" collapsed="false">
      <c r="A302" s="38" t="s">
        <v>937</v>
      </c>
      <c r="B302" s="38" t="n">
        <v>8</v>
      </c>
      <c r="C302" s="53" t="n">
        <v>-0.853042</v>
      </c>
      <c r="D302" s="53" t="n">
        <v>-0.506744</v>
      </c>
      <c r="E302" s="53" t="n">
        <v>-0.679893</v>
      </c>
      <c r="F302" s="53" t="n">
        <v>0.571429</v>
      </c>
      <c r="G302" s="53" t="n">
        <v>0.166667</v>
      </c>
      <c r="H302" s="53" t="n">
        <v>0.2</v>
      </c>
    </row>
    <row r="303" customFormat="false" ht="15" hidden="false" customHeight="true" outlineLevel="0" collapsed="false">
      <c r="A303" s="38" t="s">
        <v>937</v>
      </c>
      <c r="B303" s="38" t="n">
        <v>9</v>
      </c>
      <c r="C303" s="53" t="n">
        <v>-0.960304</v>
      </c>
      <c r="D303" s="53" t="n">
        <v>-0.332991</v>
      </c>
      <c r="E303" s="53" t="n">
        <v>-0.646648</v>
      </c>
      <c r="F303" s="53" t="n">
        <v>0.428571</v>
      </c>
      <c r="G303" s="53" t="n">
        <v>0.166667</v>
      </c>
      <c r="H303" s="53" t="n">
        <v>0</v>
      </c>
    </row>
    <row r="304" customFormat="false" ht="15" hidden="false" customHeight="true" outlineLevel="0" collapsed="false">
      <c r="A304" s="38" t="s">
        <v>937</v>
      </c>
      <c r="B304" s="38" t="n">
        <v>10</v>
      </c>
      <c r="C304" s="53" t="n">
        <v>-0.706519</v>
      </c>
      <c r="D304" s="53" t="n">
        <v>-0.437725</v>
      </c>
      <c r="E304" s="53" t="n">
        <v>-0.572122</v>
      </c>
      <c r="F304" s="53" t="n">
        <v>0.571429</v>
      </c>
      <c r="G304" s="53" t="n">
        <v>0.25</v>
      </c>
      <c r="H304" s="53" t="n">
        <v>0.2</v>
      </c>
    </row>
    <row r="305" customFormat="false" ht="15" hidden="false" customHeight="true" outlineLevel="0" collapsed="false">
      <c r="A305" s="38" t="s">
        <v>938</v>
      </c>
      <c r="B305" s="38" t="n">
        <v>1</v>
      </c>
      <c r="C305" s="53" t="n">
        <v>-0.85283</v>
      </c>
      <c r="D305" s="53" t="n">
        <v>-0.474631</v>
      </c>
      <c r="E305" s="53" t="n">
        <v>-0.663731</v>
      </c>
      <c r="F305" s="53" t="n">
        <v>0.285714</v>
      </c>
      <c r="G305" s="53" t="n">
        <v>0.25</v>
      </c>
      <c r="H305" s="53" t="n">
        <v>0.4</v>
      </c>
    </row>
    <row r="306" customFormat="false" ht="15" hidden="false" customHeight="true" outlineLevel="0" collapsed="false">
      <c r="A306" s="38" t="s">
        <v>938</v>
      </c>
      <c r="B306" s="38" t="n">
        <v>2</v>
      </c>
      <c r="C306" s="53" t="n">
        <v>-0.797543</v>
      </c>
      <c r="D306" s="53" t="n">
        <v>-0.376322</v>
      </c>
      <c r="E306" s="53" t="n">
        <v>-0.586932</v>
      </c>
      <c r="F306" s="53" t="n">
        <v>0.428571</v>
      </c>
      <c r="G306" s="53" t="n">
        <v>0.25</v>
      </c>
      <c r="H306" s="53" t="n">
        <v>0.4</v>
      </c>
    </row>
    <row r="307" customFormat="false" ht="15" hidden="false" customHeight="true" outlineLevel="0" collapsed="false">
      <c r="A307" s="38" t="s">
        <v>938</v>
      </c>
      <c r="B307" s="38" t="n">
        <v>3</v>
      </c>
      <c r="C307" s="53" t="n">
        <v>-0.692114</v>
      </c>
      <c r="D307" s="53" t="n">
        <v>-0.417183</v>
      </c>
      <c r="E307" s="53" t="n">
        <v>-0.554648</v>
      </c>
      <c r="F307" s="53" t="n">
        <v>0.333333</v>
      </c>
      <c r="G307" s="53" t="n">
        <v>0.166667</v>
      </c>
      <c r="H307" s="53" t="n">
        <v>0</v>
      </c>
    </row>
    <row r="308" customFormat="false" ht="15" hidden="false" customHeight="true" outlineLevel="0" collapsed="false">
      <c r="A308" s="38" t="s">
        <v>938</v>
      </c>
      <c r="B308" s="38" t="n">
        <v>4</v>
      </c>
      <c r="C308" s="53" t="n">
        <v>-0.704737</v>
      </c>
      <c r="D308" s="53" t="n">
        <v>-0.343851</v>
      </c>
      <c r="E308" s="53" t="n">
        <v>-0.524294</v>
      </c>
      <c r="F308" s="53" t="n">
        <v>0.333333</v>
      </c>
      <c r="G308" s="53" t="n">
        <v>0.25</v>
      </c>
      <c r="H308" s="53" t="n">
        <v>0.2</v>
      </c>
    </row>
    <row r="309" customFormat="false" ht="15" hidden="false" customHeight="true" outlineLevel="0" collapsed="false">
      <c r="A309" s="38" t="s">
        <v>938</v>
      </c>
      <c r="B309" s="38" t="n">
        <v>5</v>
      </c>
      <c r="C309" s="53" t="n">
        <v>-0.698667</v>
      </c>
      <c r="D309" s="53" t="n">
        <v>-0.327054</v>
      </c>
      <c r="E309" s="53" t="n">
        <v>-0.51286</v>
      </c>
      <c r="F309" s="53" t="n">
        <v>0.47619</v>
      </c>
      <c r="G309" s="53" t="n">
        <v>0.416667</v>
      </c>
      <c r="H309" s="53" t="n">
        <v>0.2</v>
      </c>
    </row>
    <row r="310" customFormat="false" ht="15" hidden="false" customHeight="true" outlineLevel="0" collapsed="false">
      <c r="A310" s="38" t="s">
        <v>938</v>
      </c>
      <c r="B310" s="38" t="n">
        <v>6</v>
      </c>
      <c r="C310" s="53" t="n">
        <v>-0.635395</v>
      </c>
      <c r="D310" s="53" t="n">
        <v>-0.436885</v>
      </c>
      <c r="E310" s="53" t="n">
        <v>-0.53614</v>
      </c>
      <c r="F310" s="53" t="n">
        <v>0.52381</v>
      </c>
      <c r="G310" s="53" t="n">
        <v>0.583333</v>
      </c>
      <c r="H310" s="53" t="n">
        <v>0.4</v>
      </c>
    </row>
    <row r="311" customFormat="false" ht="15" hidden="false" customHeight="true" outlineLevel="0" collapsed="false">
      <c r="A311" s="38" t="s">
        <v>938</v>
      </c>
      <c r="B311" s="38" t="n">
        <v>7</v>
      </c>
      <c r="C311" s="53" t="n">
        <v>-0.679304</v>
      </c>
      <c r="D311" s="53" t="n">
        <v>-0.300077</v>
      </c>
      <c r="E311" s="53" t="n">
        <v>-0.48969</v>
      </c>
      <c r="F311" s="53" t="n">
        <v>0.47619</v>
      </c>
      <c r="G311" s="53" t="n">
        <v>0.166667</v>
      </c>
      <c r="H311" s="53" t="n">
        <v>0</v>
      </c>
    </row>
    <row r="312" customFormat="false" ht="15" hidden="false" customHeight="true" outlineLevel="0" collapsed="false">
      <c r="A312" s="38" t="s">
        <v>938</v>
      </c>
      <c r="B312" s="38" t="n">
        <v>8</v>
      </c>
      <c r="C312" s="53" t="n">
        <v>-0.662539</v>
      </c>
      <c r="D312" s="53" t="n">
        <v>-0.411699</v>
      </c>
      <c r="E312" s="53" t="n">
        <v>-0.537119</v>
      </c>
      <c r="F312" s="53" t="n">
        <v>0.285714</v>
      </c>
      <c r="G312" s="53" t="n">
        <v>0.166667</v>
      </c>
      <c r="H312" s="53" t="n">
        <v>0.2</v>
      </c>
    </row>
    <row r="313" customFormat="false" ht="15" hidden="false" customHeight="true" outlineLevel="0" collapsed="false">
      <c r="A313" s="38" t="s">
        <v>938</v>
      </c>
      <c r="B313" s="38" t="n">
        <v>9</v>
      </c>
      <c r="C313" s="53" t="n">
        <v>-0.727427</v>
      </c>
      <c r="D313" s="53" t="n">
        <v>-0.416102</v>
      </c>
      <c r="E313" s="53" t="n">
        <v>-0.571765</v>
      </c>
      <c r="F313" s="53" t="n">
        <v>0.428571</v>
      </c>
      <c r="G313" s="53" t="n">
        <v>0.333333</v>
      </c>
      <c r="H313" s="53" t="n">
        <v>0.4</v>
      </c>
    </row>
    <row r="314" customFormat="false" ht="15" hidden="false" customHeight="true" outlineLevel="0" collapsed="false">
      <c r="A314" s="38" t="s">
        <v>938</v>
      </c>
      <c r="B314" s="38" t="n">
        <v>10</v>
      </c>
      <c r="C314" s="53" t="n">
        <v>-0.851313</v>
      </c>
      <c r="D314" s="53" t="n">
        <v>-0.344879</v>
      </c>
      <c r="E314" s="53" t="n">
        <v>-0.598096</v>
      </c>
      <c r="F314" s="53" t="n">
        <v>0.190476</v>
      </c>
      <c r="G314" s="53" t="n">
        <v>0.166667</v>
      </c>
      <c r="H314" s="53" t="n">
        <v>0</v>
      </c>
    </row>
    <row r="315" customFormat="false" ht="15" hidden="false" customHeight="true" outlineLevel="0" collapsed="false">
      <c r="A315" s="38" t="s">
        <v>939</v>
      </c>
      <c r="B315" s="38" t="n">
        <v>1</v>
      </c>
      <c r="C315" s="53" t="n">
        <v>-0.612653</v>
      </c>
      <c r="D315" s="53" t="n">
        <v>-0.413663</v>
      </c>
      <c r="E315" s="53" t="n">
        <v>-0.513158</v>
      </c>
      <c r="F315" s="53" t="n">
        <v>0.238095</v>
      </c>
      <c r="G315" s="53" t="n">
        <v>0.25</v>
      </c>
      <c r="H315" s="53" t="n">
        <v>0.2</v>
      </c>
    </row>
    <row r="316" customFormat="false" ht="15" hidden="false" customHeight="true" outlineLevel="0" collapsed="false">
      <c r="A316" s="38" t="s">
        <v>939</v>
      </c>
      <c r="B316" s="38" t="n">
        <v>2</v>
      </c>
      <c r="C316" s="53" t="n">
        <v>-0.55541</v>
      </c>
      <c r="D316" s="53" t="n">
        <v>-0.442355</v>
      </c>
      <c r="E316" s="53" t="n">
        <v>-0.498882</v>
      </c>
      <c r="F316" s="53" t="n">
        <v>0.52381</v>
      </c>
      <c r="G316" s="53" t="n">
        <v>0.333333</v>
      </c>
      <c r="H316" s="53" t="n">
        <v>0.6</v>
      </c>
    </row>
    <row r="317" customFormat="false" ht="15" hidden="false" customHeight="true" outlineLevel="0" collapsed="false">
      <c r="A317" s="38" t="s">
        <v>939</v>
      </c>
      <c r="B317" s="38" t="n">
        <v>3</v>
      </c>
      <c r="C317" s="53" t="n">
        <v>-0.876777</v>
      </c>
      <c r="D317" s="53" t="n">
        <v>-0.552281</v>
      </c>
      <c r="E317" s="53" t="n">
        <v>-0.714529</v>
      </c>
      <c r="F317" s="53" t="n">
        <v>0.571429</v>
      </c>
      <c r="G317" s="53" t="n">
        <v>0.25</v>
      </c>
      <c r="H317" s="53" t="n">
        <v>0.4</v>
      </c>
    </row>
    <row r="318" customFormat="false" ht="15" hidden="false" customHeight="true" outlineLevel="0" collapsed="false">
      <c r="A318" s="38" t="s">
        <v>939</v>
      </c>
      <c r="B318" s="38" t="n">
        <v>4</v>
      </c>
      <c r="C318" s="53" t="n">
        <v>-0.953689</v>
      </c>
      <c r="D318" s="53" t="n">
        <v>-0.425712</v>
      </c>
      <c r="E318" s="53" t="n">
        <v>-0.6897</v>
      </c>
      <c r="F318" s="53" t="n">
        <v>0.52381</v>
      </c>
      <c r="G318" s="53" t="n">
        <v>0.083333</v>
      </c>
      <c r="H318" s="53" t="n">
        <v>0</v>
      </c>
    </row>
    <row r="319" customFormat="false" ht="15" hidden="false" customHeight="true" outlineLevel="0" collapsed="false">
      <c r="A319" s="38" t="s">
        <v>939</v>
      </c>
      <c r="B319" s="38" t="n">
        <v>5</v>
      </c>
      <c r="C319" s="53" t="n">
        <v>-0.631341</v>
      </c>
      <c r="D319" s="53" t="n">
        <v>-0.392961</v>
      </c>
      <c r="E319" s="53" t="n">
        <v>-0.512151</v>
      </c>
      <c r="F319" s="53" t="n">
        <v>0.285714</v>
      </c>
      <c r="G319" s="53" t="n">
        <v>0.25</v>
      </c>
      <c r="H319" s="53" t="n">
        <v>0.4</v>
      </c>
    </row>
    <row r="320" customFormat="false" ht="15" hidden="false" customHeight="true" outlineLevel="0" collapsed="false">
      <c r="A320" s="38" t="s">
        <v>939</v>
      </c>
      <c r="B320" s="38" t="n">
        <v>6</v>
      </c>
      <c r="C320" s="53" t="n">
        <v>-0.663686</v>
      </c>
      <c r="D320" s="53" t="n">
        <v>-0.269485</v>
      </c>
      <c r="E320" s="53" t="n">
        <v>-0.466585</v>
      </c>
      <c r="F320" s="53" t="n">
        <v>0.428571</v>
      </c>
      <c r="G320" s="53" t="n">
        <v>0.083333</v>
      </c>
      <c r="H320" s="53" t="n">
        <v>0.2</v>
      </c>
    </row>
    <row r="321" customFormat="false" ht="15" hidden="false" customHeight="true" outlineLevel="0" collapsed="false">
      <c r="A321" s="38" t="s">
        <v>939</v>
      </c>
      <c r="B321" s="38" t="n">
        <v>7</v>
      </c>
      <c r="C321" s="53" t="n">
        <v>-0.676787</v>
      </c>
      <c r="D321" s="53" t="n">
        <v>-0.406317</v>
      </c>
      <c r="E321" s="53" t="n">
        <v>-0.541552</v>
      </c>
      <c r="F321" s="53" t="n">
        <v>0.333333</v>
      </c>
      <c r="G321" s="53" t="n">
        <v>0.083333</v>
      </c>
      <c r="H321" s="53" t="n">
        <v>0</v>
      </c>
    </row>
    <row r="322" customFormat="false" ht="15" hidden="false" customHeight="true" outlineLevel="0" collapsed="false">
      <c r="A322" s="38" t="s">
        <v>939</v>
      </c>
      <c r="B322" s="38" t="n">
        <v>8</v>
      </c>
      <c r="C322" s="53" t="n">
        <v>-0.552778</v>
      </c>
      <c r="D322" s="53" t="n">
        <v>-0.234977</v>
      </c>
      <c r="E322" s="53" t="n">
        <v>-0.393878</v>
      </c>
      <c r="F322" s="53" t="n">
        <v>0.333333</v>
      </c>
      <c r="G322" s="53" t="n">
        <v>0.416667</v>
      </c>
      <c r="H322" s="53" t="n">
        <v>0.4</v>
      </c>
    </row>
    <row r="323" customFormat="false" ht="15" hidden="false" customHeight="true" outlineLevel="0" collapsed="false">
      <c r="A323" s="38" t="s">
        <v>939</v>
      </c>
      <c r="B323" s="38" t="n">
        <v>9</v>
      </c>
      <c r="C323" s="53" t="n">
        <v>-0.674433</v>
      </c>
      <c r="D323" s="53" t="n">
        <v>-0.464056</v>
      </c>
      <c r="E323" s="53" t="n">
        <v>-0.569244</v>
      </c>
      <c r="F323" s="53" t="n">
        <v>0.285714</v>
      </c>
      <c r="G323" s="53" t="n">
        <v>0.333333</v>
      </c>
      <c r="H323" s="53" t="n">
        <v>0.2</v>
      </c>
    </row>
    <row r="324" customFormat="false" ht="15" hidden="false" customHeight="true" outlineLevel="0" collapsed="false">
      <c r="A324" s="38" t="s">
        <v>939</v>
      </c>
      <c r="B324" s="38" t="n">
        <v>10</v>
      </c>
      <c r="C324" s="53" t="n">
        <v>-0.881524</v>
      </c>
      <c r="D324" s="53" t="n">
        <v>-0.310402</v>
      </c>
      <c r="E324" s="53" t="n">
        <v>-0.595963</v>
      </c>
      <c r="F324" s="53" t="n">
        <v>0.333333</v>
      </c>
      <c r="G324" s="53" t="n">
        <v>0.083333</v>
      </c>
      <c r="H324" s="53" t="n">
        <v>0</v>
      </c>
    </row>
    <row r="325" customFormat="false" ht="15" hidden="false" customHeight="true" outlineLevel="0" collapsed="false">
      <c r="A325" s="38" t="s">
        <v>940</v>
      </c>
      <c r="B325" s="38" t="n">
        <v>1</v>
      </c>
      <c r="C325" s="53" t="n">
        <v>-0.620608</v>
      </c>
      <c r="D325" s="53" t="n">
        <v>-0.253998</v>
      </c>
      <c r="E325" s="53" t="n">
        <v>-0.437303</v>
      </c>
      <c r="F325" s="53" t="n">
        <v>0.666667</v>
      </c>
      <c r="G325" s="53" t="n">
        <v>0.333333</v>
      </c>
      <c r="H325" s="53" t="n">
        <v>0.6</v>
      </c>
    </row>
    <row r="326" customFormat="false" ht="15" hidden="false" customHeight="true" outlineLevel="0" collapsed="false">
      <c r="A326" s="38" t="s">
        <v>940</v>
      </c>
      <c r="B326" s="38" t="n">
        <v>2</v>
      </c>
      <c r="C326" s="53" t="n">
        <v>-0.487963</v>
      </c>
      <c r="D326" s="53" t="n">
        <v>-0.306246</v>
      </c>
      <c r="E326" s="53" t="n">
        <v>-0.397104</v>
      </c>
      <c r="F326" s="53" t="n">
        <v>0.428571</v>
      </c>
      <c r="G326" s="53" t="n">
        <v>0.333333</v>
      </c>
      <c r="H326" s="53" t="n">
        <v>0.4</v>
      </c>
    </row>
    <row r="327" customFormat="false" ht="15" hidden="false" customHeight="true" outlineLevel="0" collapsed="false">
      <c r="A327" s="38" t="s">
        <v>940</v>
      </c>
      <c r="B327" s="38" t="n">
        <v>3</v>
      </c>
      <c r="C327" s="53" t="n">
        <v>-0.843251</v>
      </c>
      <c r="D327" s="53" t="n">
        <v>-0.416434</v>
      </c>
      <c r="E327" s="53" t="n">
        <v>-0.629843</v>
      </c>
      <c r="F327" s="53" t="n">
        <v>0.333333</v>
      </c>
      <c r="G327" s="53" t="n">
        <v>0.083333</v>
      </c>
      <c r="H327" s="53" t="n">
        <v>0.2</v>
      </c>
    </row>
    <row r="328" customFormat="false" ht="15" hidden="false" customHeight="true" outlineLevel="0" collapsed="false">
      <c r="A328" s="38" t="s">
        <v>940</v>
      </c>
      <c r="B328" s="38" t="n">
        <v>4</v>
      </c>
      <c r="C328" s="53" t="n">
        <v>-0.999334</v>
      </c>
      <c r="D328" s="53" t="n">
        <v>-0.469415</v>
      </c>
      <c r="E328" s="53" t="n">
        <v>-0.734374</v>
      </c>
      <c r="F328" s="53" t="n">
        <v>0.571429</v>
      </c>
      <c r="G328" s="53" t="n">
        <v>0.166667</v>
      </c>
      <c r="H328" s="53" t="n">
        <v>0.2</v>
      </c>
    </row>
    <row r="329" customFormat="false" ht="15" hidden="false" customHeight="true" outlineLevel="0" collapsed="false">
      <c r="A329" s="38" t="s">
        <v>940</v>
      </c>
      <c r="B329" s="38" t="n">
        <v>5</v>
      </c>
      <c r="C329" s="53" t="n">
        <v>-0.763223</v>
      </c>
      <c r="D329" s="53" t="n">
        <v>-0.506043</v>
      </c>
      <c r="E329" s="53" t="n">
        <v>-0.634633</v>
      </c>
      <c r="F329" s="53" t="n">
        <v>0.571429</v>
      </c>
      <c r="G329" s="53" t="n">
        <v>0.416667</v>
      </c>
      <c r="H329" s="53" t="n">
        <v>0.6</v>
      </c>
    </row>
    <row r="330" customFormat="false" ht="15" hidden="false" customHeight="true" outlineLevel="0" collapsed="false">
      <c r="A330" s="38" t="s">
        <v>940</v>
      </c>
      <c r="B330" s="38" t="n">
        <v>6</v>
      </c>
      <c r="C330" s="53" t="n">
        <v>-1.092645</v>
      </c>
      <c r="D330" s="53" t="n">
        <v>-0.49661</v>
      </c>
      <c r="E330" s="53" t="n">
        <v>-0.794627</v>
      </c>
      <c r="F330" s="53" t="n">
        <v>0.47619</v>
      </c>
      <c r="G330" s="53" t="n">
        <v>0.083333</v>
      </c>
      <c r="H330" s="53" t="n">
        <v>0</v>
      </c>
    </row>
    <row r="331" customFormat="false" ht="15" hidden="false" customHeight="true" outlineLevel="0" collapsed="false">
      <c r="A331" s="38" t="s">
        <v>940</v>
      </c>
      <c r="B331" s="38" t="n">
        <v>7</v>
      </c>
      <c r="C331" s="53" t="n">
        <v>-0.801541</v>
      </c>
      <c r="D331" s="53" t="n">
        <v>-0.4417</v>
      </c>
      <c r="E331" s="53" t="n">
        <v>-0.62162</v>
      </c>
      <c r="F331" s="53" t="n">
        <v>0.285714</v>
      </c>
      <c r="G331" s="53" t="n">
        <v>0.083333</v>
      </c>
      <c r="H331" s="53" t="n">
        <v>0</v>
      </c>
    </row>
    <row r="332" customFormat="false" ht="15" hidden="false" customHeight="true" outlineLevel="0" collapsed="false">
      <c r="A332" s="38" t="s">
        <v>940</v>
      </c>
      <c r="B332" s="38" t="n">
        <v>8</v>
      </c>
      <c r="C332" s="53" t="n">
        <v>-0.780682</v>
      </c>
      <c r="D332" s="53" t="n">
        <v>-0.409385</v>
      </c>
      <c r="E332" s="53" t="n">
        <v>-0.595034</v>
      </c>
      <c r="F332" s="53" t="n">
        <v>0.380952</v>
      </c>
      <c r="G332" s="53" t="n">
        <v>0.333333</v>
      </c>
      <c r="H332" s="53" t="n">
        <v>0.6</v>
      </c>
    </row>
    <row r="333" customFormat="false" ht="15" hidden="false" customHeight="true" outlineLevel="0" collapsed="false">
      <c r="A333" s="38" t="s">
        <v>940</v>
      </c>
      <c r="B333" s="38" t="n">
        <v>9</v>
      </c>
      <c r="C333" s="53" t="n">
        <v>-0.823346</v>
      </c>
      <c r="D333" s="53" t="n">
        <v>-0.434287</v>
      </c>
      <c r="E333" s="53" t="n">
        <v>-0.628817</v>
      </c>
      <c r="F333" s="53" t="n">
        <v>0.333333</v>
      </c>
      <c r="G333" s="53" t="n">
        <v>0.083333</v>
      </c>
      <c r="H333" s="53" t="n">
        <v>0.2</v>
      </c>
    </row>
    <row r="334" customFormat="false" ht="15" hidden="false" customHeight="true" outlineLevel="0" collapsed="false">
      <c r="A334" s="38" t="s">
        <v>940</v>
      </c>
      <c r="B334" s="38" t="n">
        <v>10</v>
      </c>
      <c r="C334" s="53" t="n">
        <v>-1.006987</v>
      </c>
      <c r="D334" s="53" t="n">
        <v>-0.474766</v>
      </c>
      <c r="E334" s="53" t="n">
        <v>-0.740877</v>
      </c>
      <c r="F334" s="53" t="n">
        <v>0.285714</v>
      </c>
      <c r="G334" s="53" t="n">
        <v>0.166667</v>
      </c>
      <c r="H334" s="53" t="n">
        <v>0</v>
      </c>
    </row>
    <row r="335" customFormat="false" ht="15" hidden="false" customHeight="true" outlineLevel="0" collapsed="false">
      <c r="A335" s="38" t="s">
        <v>941</v>
      </c>
      <c r="B335" s="38" t="n">
        <v>1</v>
      </c>
      <c r="C335" s="53" t="n">
        <v>-0.767393</v>
      </c>
      <c r="D335" s="53" t="n">
        <v>-0.433506</v>
      </c>
      <c r="E335" s="53" t="n">
        <v>-0.600449</v>
      </c>
      <c r="F335" s="53" t="n">
        <v>0.428571</v>
      </c>
      <c r="G335" s="53" t="n">
        <v>0.25</v>
      </c>
      <c r="H335" s="53" t="n">
        <v>0.4</v>
      </c>
    </row>
    <row r="336" customFormat="false" ht="15" hidden="false" customHeight="true" outlineLevel="0" collapsed="false">
      <c r="A336" s="38" t="s">
        <v>941</v>
      </c>
      <c r="B336" s="38" t="n">
        <v>2</v>
      </c>
      <c r="C336" s="53" t="n">
        <v>-0.586875</v>
      </c>
      <c r="D336" s="53" t="n">
        <v>-0.344464</v>
      </c>
      <c r="E336" s="53" t="n">
        <v>-0.46567</v>
      </c>
      <c r="F336" s="53" t="n">
        <v>0.333333</v>
      </c>
      <c r="G336" s="53" t="n">
        <v>0.333333</v>
      </c>
      <c r="H336" s="53" t="n">
        <v>0.4</v>
      </c>
    </row>
    <row r="337" customFormat="false" ht="15" hidden="false" customHeight="true" outlineLevel="0" collapsed="false">
      <c r="A337" s="38" t="s">
        <v>941</v>
      </c>
      <c r="B337" s="38" t="n">
        <v>3</v>
      </c>
      <c r="C337" s="53" t="n">
        <v>-0.708845</v>
      </c>
      <c r="D337" s="53" t="n">
        <v>-0.440754</v>
      </c>
      <c r="E337" s="53" t="n">
        <v>-0.574799</v>
      </c>
      <c r="F337" s="53" t="n">
        <v>0.428571</v>
      </c>
      <c r="G337" s="53" t="n">
        <v>0.25</v>
      </c>
      <c r="H337" s="53" t="n">
        <v>0.2</v>
      </c>
    </row>
    <row r="338" customFormat="false" ht="15" hidden="false" customHeight="true" outlineLevel="0" collapsed="false">
      <c r="A338" s="38" t="s">
        <v>941</v>
      </c>
      <c r="B338" s="38" t="n">
        <v>4</v>
      </c>
      <c r="C338" s="53" t="n">
        <v>-1.085253</v>
      </c>
      <c r="D338" s="53" t="n">
        <v>-0.512416</v>
      </c>
      <c r="E338" s="53" t="n">
        <v>-0.798834</v>
      </c>
      <c r="F338" s="53" t="n">
        <v>0.380952</v>
      </c>
      <c r="G338" s="53" t="n">
        <v>0.083333</v>
      </c>
      <c r="H338" s="53" t="n">
        <v>0</v>
      </c>
    </row>
    <row r="339" customFormat="false" ht="15" hidden="false" customHeight="true" outlineLevel="0" collapsed="false">
      <c r="A339" s="38" t="s">
        <v>941</v>
      </c>
      <c r="B339" s="38" t="n">
        <v>5</v>
      </c>
      <c r="C339" s="53" t="n">
        <v>-0.547001</v>
      </c>
      <c r="D339" s="53" t="n">
        <v>-0.273603</v>
      </c>
      <c r="E339" s="53" t="n">
        <v>-0.410302</v>
      </c>
      <c r="F339" s="53" t="n">
        <v>0.47619</v>
      </c>
      <c r="G339" s="53" t="n">
        <v>0.166667</v>
      </c>
      <c r="H339" s="53" t="n">
        <v>0.4</v>
      </c>
    </row>
    <row r="340" customFormat="false" ht="15" hidden="false" customHeight="true" outlineLevel="0" collapsed="false">
      <c r="A340" s="38" t="s">
        <v>941</v>
      </c>
      <c r="B340" s="38" t="n">
        <v>6</v>
      </c>
      <c r="C340" s="53" t="n">
        <v>-0.759627</v>
      </c>
      <c r="D340" s="53" t="n">
        <v>-0.315543</v>
      </c>
      <c r="E340" s="53" t="n">
        <v>-0.537585</v>
      </c>
      <c r="F340" s="53" t="n">
        <v>0.333333</v>
      </c>
      <c r="G340" s="53" t="n">
        <v>0</v>
      </c>
      <c r="H340" s="53" t="n">
        <v>0</v>
      </c>
    </row>
    <row r="341" customFormat="false" ht="15" hidden="false" customHeight="true" outlineLevel="0" collapsed="false">
      <c r="A341" s="38" t="s">
        <v>941</v>
      </c>
      <c r="B341" s="38" t="n">
        <v>7</v>
      </c>
      <c r="C341" s="53" t="n">
        <v>-0.630985</v>
      </c>
      <c r="D341" s="53" t="n">
        <v>-0.416151</v>
      </c>
      <c r="E341" s="53" t="n">
        <v>-0.523568</v>
      </c>
      <c r="F341" s="53" t="n">
        <v>0.380952</v>
      </c>
      <c r="G341" s="53" t="n">
        <v>0.416667</v>
      </c>
      <c r="H341" s="53" t="n">
        <v>0.6</v>
      </c>
    </row>
    <row r="342" customFormat="false" ht="15" hidden="false" customHeight="true" outlineLevel="0" collapsed="false">
      <c r="A342" s="38" t="s">
        <v>941</v>
      </c>
      <c r="B342" s="38" t="n">
        <v>8</v>
      </c>
      <c r="C342" s="53" t="n">
        <v>-0.915246</v>
      </c>
      <c r="D342" s="53" t="n">
        <v>-0.377</v>
      </c>
      <c r="E342" s="53" t="n">
        <v>-0.646123</v>
      </c>
      <c r="F342" s="53" t="n">
        <v>0.333333</v>
      </c>
      <c r="G342" s="53" t="n">
        <v>0.083333</v>
      </c>
      <c r="H342" s="53" t="n">
        <v>0.2</v>
      </c>
    </row>
    <row r="343" customFormat="false" ht="15" hidden="false" customHeight="true" outlineLevel="0" collapsed="false">
      <c r="A343" s="38" t="s">
        <v>941</v>
      </c>
      <c r="B343" s="38" t="n">
        <v>9</v>
      </c>
      <c r="C343" s="53" t="n">
        <v>-0.860131</v>
      </c>
      <c r="D343" s="53" t="n">
        <v>-0.486361</v>
      </c>
      <c r="E343" s="53" t="n">
        <v>-0.673246</v>
      </c>
      <c r="F343" s="53" t="n">
        <v>0.52381</v>
      </c>
      <c r="G343" s="53" t="n">
        <v>0.166667</v>
      </c>
      <c r="H343" s="53" t="n">
        <v>0</v>
      </c>
    </row>
    <row r="344" customFormat="false" ht="15" hidden="false" customHeight="true" outlineLevel="0" collapsed="false">
      <c r="A344" s="38" t="s">
        <v>941</v>
      </c>
      <c r="B344" s="38" t="n">
        <v>10</v>
      </c>
      <c r="C344" s="53" t="n">
        <v>-0.874554</v>
      </c>
      <c r="D344" s="53" t="n">
        <v>-0.413604</v>
      </c>
      <c r="E344" s="53" t="n">
        <v>-0.644079</v>
      </c>
      <c r="F344" s="53" t="n">
        <v>0.571429</v>
      </c>
      <c r="G344" s="53" t="n">
        <v>0.083333</v>
      </c>
      <c r="H344" s="53" t="n">
        <v>0.2</v>
      </c>
    </row>
    <row r="345" customFormat="false" ht="15" hidden="false" customHeight="true" outlineLevel="0" collapsed="false">
      <c r="A345" s="38" t="s">
        <v>942</v>
      </c>
      <c r="B345" s="38" t="n">
        <v>1</v>
      </c>
      <c r="C345" s="53" t="n">
        <v>-0.897546</v>
      </c>
      <c r="D345" s="53" t="n">
        <v>-0.402751</v>
      </c>
      <c r="E345" s="53" t="n">
        <v>-0.650149</v>
      </c>
      <c r="F345" s="53" t="n">
        <v>0.238095</v>
      </c>
      <c r="G345" s="53" t="n">
        <v>0.083333</v>
      </c>
      <c r="H345" s="53" t="n">
        <v>0</v>
      </c>
    </row>
    <row r="346" customFormat="false" ht="15" hidden="false" customHeight="true" outlineLevel="0" collapsed="false">
      <c r="A346" s="38" t="s">
        <v>942</v>
      </c>
      <c r="B346" s="38" t="n">
        <v>2</v>
      </c>
      <c r="C346" s="53" t="n">
        <v>-0.660528</v>
      </c>
      <c r="D346" s="53" t="n">
        <v>-0.437272</v>
      </c>
      <c r="E346" s="53" t="n">
        <v>-0.5489</v>
      </c>
      <c r="F346" s="53" t="n">
        <v>0.333333</v>
      </c>
      <c r="G346" s="53" t="n">
        <v>0.166667</v>
      </c>
      <c r="H346" s="53" t="n">
        <v>0.2</v>
      </c>
    </row>
    <row r="347" customFormat="false" ht="15" hidden="false" customHeight="true" outlineLevel="0" collapsed="false">
      <c r="A347" s="38" t="s">
        <v>942</v>
      </c>
      <c r="B347" s="38" t="n">
        <v>3</v>
      </c>
      <c r="C347" s="53" t="n">
        <v>-0.505057</v>
      </c>
      <c r="D347" s="53" t="n">
        <v>-0.296063</v>
      </c>
      <c r="E347" s="53" t="n">
        <v>-0.40056</v>
      </c>
      <c r="F347" s="53" t="n">
        <v>0.333333</v>
      </c>
      <c r="G347" s="53" t="n">
        <v>0.333333</v>
      </c>
      <c r="H347" s="53" t="n">
        <v>0.4</v>
      </c>
    </row>
    <row r="348" customFormat="false" ht="15" hidden="false" customHeight="true" outlineLevel="0" collapsed="false">
      <c r="A348" s="38" t="s">
        <v>942</v>
      </c>
      <c r="B348" s="38" t="n">
        <v>4</v>
      </c>
      <c r="C348" s="53" t="n">
        <v>-0.744656</v>
      </c>
      <c r="D348" s="53" t="n">
        <v>-0.373999</v>
      </c>
      <c r="E348" s="53" t="n">
        <v>-0.559327</v>
      </c>
      <c r="F348" s="53" t="n">
        <v>0.428571</v>
      </c>
      <c r="G348" s="53" t="n">
        <v>0.333333</v>
      </c>
      <c r="H348" s="53" t="n">
        <v>0.2</v>
      </c>
    </row>
    <row r="349" customFormat="false" ht="15" hidden="false" customHeight="true" outlineLevel="0" collapsed="false">
      <c r="A349" s="38" t="s">
        <v>942</v>
      </c>
      <c r="B349" s="38" t="n">
        <v>5</v>
      </c>
      <c r="C349" s="53" t="n">
        <v>-0.633641</v>
      </c>
      <c r="D349" s="53" t="n">
        <v>-0.260976</v>
      </c>
      <c r="E349" s="53" t="n">
        <v>-0.447308</v>
      </c>
      <c r="F349" s="53" t="n">
        <v>0.428571</v>
      </c>
      <c r="G349" s="53" t="n">
        <v>0.333333</v>
      </c>
      <c r="H349" s="53" t="n">
        <v>0.2</v>
      </c>
    </row>
    <row r="350" customFormat="false" ht="15" hidden="false" customHeight="true" outlineLevel="0" collapsed="false">
      <c r="A350" s="38" t="s">
        <v>942</v>
      </c>
      <c r="B350" s="38" t="n">
        <v>6</v>
      </c>
      <c r="C350" s="53" t="n">
        <v>-1.007192</v>
      </c>
      <c r="D350" s="53" t="n">
        <v>-0.493435</v>
      </c>
      <c r="E350" s="53" t="n">
        <v>-0.750313</v>
      </c>
      <c r="F350" s="53" t="n">
        <v>0.428571</v>
      </c>
      <c r="G350" s="53" t="n">
        <v>0.083333</v>
      </c>
      <c r="H350" s="53" t="n">
        <v>0.2</v>
      </c>
    </row>
    <row r="351" customFormat="false" ht="15" hidden="false" customHeight="true" outlineLevel="0" collapsed="false">
      <c r="A351" s="38" t="s">
        <v>942</v>
      </c>
      <c r="B351" s="38" t="n">
        <v>7</v>
      </c>
      <c r="C351" s="53" t="n">
        <v>-0.800622</v>
      </c>
      <c r="D351" s="53" t="n">
        <v>-0.471913</v>
      </c>
      <c r="E351" s="53" t="n">
        <v>-0.636268</v>
      </c>
      <c r="F351" s="53" t="n">
        <v>0.333333</v>
      </c>
      <c r="G351" s="53" t="n">
        <v>0.333333</v>
      </c>
      <c r="H351" s="53" t="n">
        <v>0.4</v>
      </c>
    </row>
    <row r="352" customFormat="false" ht="15" hidden="false" customHeight="true" outlineLevel="0" collapsed="false">
      <c r="A352" s="38" t="s">
        <v>942</v>
      </c>
      <c r="B352" s="38" t="n">
        <v>8</v>
      </c>
      <c r="C352" s="53" t="n">
        <v>-0.867529</v>
      </c>
      <c r="D352" s="53" t="n">
        <v>-0.54881</v>
      </c>
      <c r="E352" s="53" t="n">
        <v>-0.708169</v>
      </c>
      <c r="F352" s="53" t="n">
        <v>0.47619</v>
      </c>
      <c r="G352" s="53" t="n">
        <v>0.25</v>
      </c>
      <c r="H352" s="53" t="n">
        <v>0.2</v>
      </c>
    </row>
    <row r="353" customFormat="false" ht="15" hidden="false" customHeight="true" outlineLevel="0" collapsed="false">
      <c r="A353" s="38" t="s">
        <v>942</v>
      </c>
      <c r="B353" s="38" t="n">
        <v>9</v>
      </c>
      <c r="C353" s="53" t="n">
        <v>-1.037819</v>
      </c>
      <c r="D353" s="53" t="n">
        <v>-0.483224</v>
      </c>
      <c r="E353" s="53" t="n">
        <v>-0.760522</v>
      </c>
      <c r="F353" s="53" t="n">
        <v>0.47619</v>
      </c>
      <c r="G353" s="53" t="n">
        <v>0.083333</v>
      </c>
      <c r="H353" s="53" t="n">
        <v>0.2</v>
      </c>
    </row>
    <row r="354" customFormat="false" ht="15" hidden="false" customHeight="true" outlineLevel="0" collapsed="false">
      <c r="A354" s="38" t="s">
        <v>942</v>
      </c>
      <c r="B354" s="38" t="n">
        <v>10</v>
      </c>
      <c r="C354" s="53" t="n">
        <v>-0.913365</v>
      </c>
      <c r="D354" s="53" t="n">
        <v>-0.511492</v>
      </c>
      <c r="E354" s="53" t="n">
        <v>-0.712428</v>
      </c>
      <c r="F354" s="53" t="n">
        <v>0.428571</v>
      </c>
      <c r="G354" s="53" t="n">
        <v>0.25</v>
      </c>
      <c r="H354" s="53" t="n">
        <v>0.2</v>
      </c>
    </row>
    <row r="355" customFormat="false" ht="15" hidden="false" customHeight="true" outlineLevel="0" collapsed="false">
      <c r="A355" s="38" t="s">
        <v>943</v>
      </c>
      <c r="B355" s="38" t="n">
        <v>1</v>
      </c>
      <c r="C355" s="53" t="n">
        <v>-0.816131</v>
      </c>
      <c r="D355" s="53" t="n">
        <v>-0.510016</v>
      </c>
      <c r="E355" s="53" t="n">
        <v>-0.663073</v>
      </c>
      <c r="F355" s="53" t="n">
        <v>0.285714</v>
      </c>
      <c r="G355" s="53" t="n">
        <v>0.083333</v>
      </c>
      <c r="H355" s="53" t="n">
        <v>0</v>
      </c>
    </row>
    <row r="356" customFormat="false" ht="15" hidden="false" customHeight="true" outlineLevel="0" collapsed="false">
      <c r="A356" s="38" t="s">
        <v>943</v>
      </c>
      <c r="B356" s="38" t="n">
        <v>2</v>
      </c>
      <c r="C356" s="53" t="n">
        <v>-0.637208</v>
      </c>
      <c r="D356" s="53" t="n">
        <v>-0.501109</v>
      </c>
      <c r="E356" s="53" t="n">
        <v>-0.569159</v>
      </c>
      <c r="F356" s="53" t="n">
        <v>0.52381</v>
      </c>
      <c r="G356" s="53" t="n">
        <v>0.333333</v>
      </c>
      <c r="H356" s="53" t="n">
        <v>0.4</v>
      </c>
    </row>
    <row r="357" customFormat="false" ht="15" hidden="false" customHeight="true" outlineLevel="0" collapsed="false">
      <c r="A357" s="38" t="s">
        <v>943</v>
      </c>
      <c r="B357" s="38" t="n">
        <v>3</v>
      </c>
      <c r="C357" s="53" t="n">
        <v>-0.731386</v>
      </c>
      <c r="D357" s="53" t="n">
        <v>-0.556508</v>
      </c>
      <c r="E357" s="53" t="n">
        <v>-0.643947</v>
      </c>
      <c r="F357" s="53" t="n">
        <v>0.47619</v>
      </c>
      <c r="G357" s="53" t="n">
        <v>0.416667</v>
      </c>
      <c r="H357" s="53" t="n">
        <v>0.4</v>
      </c>
    </row>
    <row r="358" customFormat="false" ht="15" hidden="false" customHeight="true" outlineLevel="0" collapsed="false">
      <c r="A358" s="38" t="s">
        <v>943</v>
      </c>
      <c r="B358" s="38" t="n">
        <v>4</v>
      </c>
      <c r="C358" s="53" t="n">
        <v>-0.34293</v>
      </c>
      <c r="D358" s="53" t="n">
        <v>-0.26995</v>
      </c>
      <c r="E358" s="53" t="n">
        <v>-0.30644</v>
      </c>
      <c r="F358" s="53" t="n">
        <v>0.47619</v>
      </c>
      <c r="G358" s="53" t="n">
        <v>0.5</v>
      </c>
      <c r="H358" s="53" t="n">
        <v>0.4</v>
      </c>
    </row>
    <row r="359" customFormat="false" ht="15" hidden="false" customHeight="true" outlineLevel="0" collapsed="false">
      <c r="A359" s="38" t="s">
        <v>943</v>
      </c>
      <c r="B359" s="38" t="n">
        <v>5</v>
      </c>
      <c r="C359" s="53" t="n">
        <v>-0.547572</v>
      </c>
      <c r="D359" s="53" t="n">
        <v>-0.391503</v>
      </c>
      <c r="E359" s="53" t="n">
        <v>-0.469537</v>
      </c>
      <c r="F359" s="53" t="n">
        <v>0.428571</v>
      </c>
      <c r="G359" s="53" t="n">
        <v>0.416667</v>
      </c>
      <c r="H359" s="53" t="n">
        <v>0.4</v>
      </c>
    </row>
    <row r="360" customFormat="false" ht="15" hidden="false" customHeight="true" outlineLevel="0" collapsed="false">
      <c r="A360" s="38" t="s">
        <v>943</v>
      </c>
      <c r="B360" s="38" t="n">
        <v>6</v>
      </c>
      <c r="C360" s="53" t="n">
        <v>-0.773631</v>
      </c>
      <c r="D360" s="53" t="n">
        <v>-0.521442</v>
      </c>
      <c r="E360" s="53" t="n">
        <v>-0.647536</v>
      </c>
      <c r="F360" s="53" t="n">
        <v>0.428571</v>
      </c>
      <c r="G360" s="53" t="n">
        <v>0.25</v>
      </c>
      <c r="H360" s="53" t="n">
        <v>0.4</v>
      </c>
    </row>
    <row r="361" customFormat="false" ht="15" hidden="false" customHeight="true" outlineLevel="0" collapsed="false">
      <c r="A361" s="38" t="s">
        <v>943</v>
      </c>
      <c r="B361" s="38" t="n">
        <v>7</v>
      </c>
      <c r="C361" s="53" t="n">
        <v>-0.744216</v>
      </c>
      <c r="D361" s="53" t="n">
        <v>-0.430447</v>
      </c>
      <c r="E361" s="53" t="n">
        <v>-0.587332</v>
      </c>
      <c r="F361" s="53" t="n">
        <v>0.380952</v>
      </c>
      <c r="G361" s="53" t="n">
        <v>0.25</v>
      </c>
      <c r="H361" s="53" t="n">
        <v>0.6</v>
      </c>
    </row>
    <row r="362" customFormat="false" ht="15" hidden="false" customHeight="true" outlineLevel="0" collapsed="false">
      <c r="A362" s="38" t="s">
        <v>943</v>
      </c>
      <c r="B362" s="38" t="n">
        <v>8</v>
      </c>
      <c r="C362" s="53" t="n">
        <v>-1.091611</v>
      </c>
      <c r="D362" s="53" t="n">
        <v>-0.652113</v>
      </c>
      <c r="E362" s="53" t="n">
        <v>-0.871862</v>
      </c>
      <c r="F362" s="53" t="n">
        <v>0.333333</v>
      </c>
      <c r="G362" s="53" t="n">
        <v>0.083333</v>
      </c>
      <c r="H362" s="53" t="n">
        <v>0.2</v>
      </c>
    </row>
    <row r="363" customFormat="false" ht="15" hidden="false" customHeight="true" outlineLevel="0" collapsed="false">
      <c r="A363" s="38" t="s">
        <v>943</v>
      </c>
      <c r="B363" s="38" t="n">
        <v>9</v>
      </c>
      <c r="C363" s="53" t="n">
        <v>-0.799297</v>
      </c>
      <c r="D363" s="53" t="n">
        <v>-0.517137</v>
      </c>
      <c r="E363" s="53" t="n">
        <v>-0.658217</v>
      </c>
      <c r="F363" s="53" t="n">
        <v>0.333333</v>
      </c>
      <c r="G363" s="53" t="n">
        <v>0.333333</v>
      </c>
      <c r="H363" s="53" t="n">
        <v>0.2</v>
      </c>
    </row>
    <row r="364" customFormat="false" ht="15" hidden="false" customHeight="true" outlineLevel="0" collapsed="false">
      <c r="A364" s="38" t="s">
        <v>943</v>
      </c>
      <c r="B364" s="38" t="n">
        <v>10</v>
      </c>
      <c r="C364" s="53" t="n">
        <v>-0.742747</v>
      </c>
      <c r="D364" s="53" t="n">
        <v>-0.25627</v>
      </c>
      <c r="E364" s="53" t="n">
        <v>-0.499508</v>
      </c>
      <c r="F364" s="53" t="n">
        <v>0.428571</v>
      </c>
      <c r="G364" s="53" t="n">
        <v>0.25</v>
      </c>
      <c r="H364" s="53" t="n">
        <v>0.2</v>
      </c>
    </row>
    <row r="365" customFormat="false" ht="15" hidden="false" customHeight="true" outlineLevel="0" collapsed="false">
      <c r="A365" s="38" t="s">
        <v>944</v>
      </c>
      <c r="B365" s="38" t="n">
        <v>1</v>
      </c>
      <c r="C365" s="53" t="n">
        <v>-0.950646</v>
      </c>
      <c r="D365" s="53" t="n">
        <v>-0.517159</v>
      </c>
      <c r="E365" s="53" t="n">
        <v>-0.733902</v>
      </c>
      <c r="F365" s="53" t="n">
        <v>0.47619</v>
      </c>
      <c r="G365" s="53" t="n">
        <v>0.333333</v>
      </c>
      <c r="H365" s="53" t="n">
        <v>0.2</v>
      </c>
    </row>
    <row r="366" customFormat="false" ht="15" hidden="false" customHeight="true" outlineLevel="0" collapsed="false">
      <c r="A366" s="38" t="s">
        <v>944</v>
      </c>
      <c r="B366" s="38" t="n">
        <v>2</v>
      </c>
      <c r="C366" s="53" t="n">
        <v>-0.900171</v>
      </c>
      <c r="D366" s="53" t="n">
        <v>-0.530892</v>
      </c>
      <c r="E366" s="53" t="n">
        <v>-0.715531</v>
      </c>
      <c r="F366" s="53" t="n">
        <v>0.52381</v>
      </c>
      <c r="G366" s="53" t="n">
        <v>0.083333</v>
      </c>
      <c r="H366" s="53" t="n">
        <v>0</v>
      </c>
    </row>
    <row r="367" customFormat="false" ht="15" hidden="false" customHeight="true" outlineLevel="0" collapsed="false">
      <c r="A367" s="38" t="s">
        <v>944</v>
      </c>
      <c r="B367" s="38" t="n">
        <v>3</v>
      </c>
      <c r="C367" s="53" t="n">
        <v>-0.829589</v>
      </c>
      <c r="D367" s="53" t="n">
        <v>-0.467436</v>
      </c>
      <c r="E367" s="53" t="n">
        <v>-0.648513</v>
      </c>
      <c r="F367" s="53" t="n">
        <v>0.380952</v>
      </c>
      <c r="G367" s="53" t="n">
        <v>0.083333</v>
      </c>
      <c r="H367" s="53" t="n">
        <v>0.2</v>
      </c>
    </row>
    <row r="368" customFormat="false" ht="15" hidden="false" customHeight="true" outlineLevel="0" collapsed="false">
      <c r="A368" s="38" t="s">
        <v>944</v>
      </c>
      <c r="B368" s="38" t="n">
        <v>4</v>
      </c>
      <c r="C368" s="53" t="n">
        <v>-0.754794</v>
      </c>
      <c r="D368" s="53" t="n">
        <v>-0.433752</v>
      </c>
      <c r="E368" s="53" t="n">
        <v>-0.594273</v>
      </c>
      <c r="F368" s="53" t="n">
        <v>0.428571</v>
      </c>
      <c r="G368" s="53" t="n">
        <v>0.25</v>
      </c>
      <c r="H368" s="53" t="n">
        <v>0.4</v>
      </c>
    </row>
    <row r="369" customFormat="false" ht="15" hidden="false" customHeight="true" outlineLevel="0" collapsed="false">
      <c r="A369" s="38" t="s">
        <v>944</v>
      </c>
      <c r="B369" s="38" t="n">
        <v>5</v>
      </c>
      <c r="C369" s="53" t="n">
        <v>-0.582675</v>
      </c>
      <c r="D369" s="53" t="n">
        <v>-0.369816</v>
      </c>
      <c r="E369" s="53" t="n">
        <v>-0.476246</v>
      </c>
      <c r="F369" s="53" t="n">
        <v>0.333333</v>
      </c>
      <c r="G369" s="53" t="n">
        <v>0.416667</v>
      </c>
      <c r="H369" s="53" t="n">
        <v>0.6</v>
      </c>
    </row>
    <row r="370" customFormat="false" ht="15" hidden="false" customHeight="true" outlineLevel="0" collapsed="false">
      <c r="A370" s="38" t="s">
        <v>944</v>
      </c>
      <c r="B370" s="38" t="n">
        <v>6</v>
      </c>
      <c r="C370" s="53" t="n">
        <v>-0.590935</v>
      </c>
      <c r="D370" s="53" t="n">
        <v>-0.363571</v>
      </c>
      <c r="E370" s="53" t="n">
        <v>-0.477253</v>
      </c>
      <c r="F370" s="53" t="n">
        <v>0.428571</v>
      </c>
      <c r="G370" s="53" t="n">
        <v>0.25</v>
      </c>
      <c r="H370" s="53" t="n">
        <v>0.2</v>
      </c>
    </row>
    <row r="371" customFormat="false" ht="15" hidden="false" customHeight="true" outlineLevel="0" collapsed="false">
      <c r="A371" s="38" t="s">
        <v>944</v>
      </c>
      <c r="B371" s="38" t="n">
        <v>7</v>
      </c>
      <c r="C371" s="53" t="n">
        <v>-0.769093</v>
      </c>
      <c r="D371" s="53" t="n">
        <v>-0.56078</v>
      </c>
      <c r="E371" s="53" t="n">
        <v>-0.664936</v>
      </c>
      <c r="F371" s="53" t="n">
        <v>0.380952</v>
      </c>
      <c r="G371" s="53" t="n">
        <v>0.166667</v>
      </c>
      <c r="H371" s="53" t="n">
        <v>0.2</v>
      </c>
    </row>
    <row r="372" customFormat="false" ht="15" hidden="false" customHeight="true" outlineLevel="0" collapsed="false">
      <c r="A372" s="38" t="s">
        <v>944</v>
      </c>
      <c r="B372" s="38" t="n">
        <v>8</v>
      </c>
      <c r="C372" s="53" t="n">
        <v>-0.63161</v>
      </c>
      <c r="D372" s="53" t="n">
        <v>-0.417352</v>
      </c>
      <c r="E372" s="53" t="n">
        <v>-0.524481</v>
      </c>
      <c r="F372" s="53" t="n">
        <v>0.428571</v>
      </c>
      <c r="G372" s="53" t="n">
        <v>0.166667</v>
      </c>
      <c r="H372" s="53" t="n">
        <v>0.2</v>
      </c>
    </row>
    <row r="373" customFormat="false" ht="15" hidden="false" customHeight="true" outlineLevel="0" collapsed="false">
      <c r="A373" s="38" t="s">
        <v>944</v>
      </c>
      <c r="B373" s="38" t="n">
        <v>9</v>
      </c>
      <c r="C373" s="53" t="n">
        <v>-0.911347</v>
      </c>
      <c r="D373" s="53" t="n">
        <v>-0.367822</v>
      </c>
      <c r="E373" s="53" t="n">
        <v>-0.639584</v>
      </c>
      <c r="F373" s="53" t="n">
        <v>0.428571</v>
      </c>
      <c r="G373" s="53" t="n">
        <v>0.083333</v>
      </c>
      <c r="H373" s="53" t="n">
        <v>0</v>
      </c>
    </row>
    <row r="374" customFormat="false" ht="15" hidden="false" customHeight="true" outlineLevel="0" collapsed="false">
      <c r="A374" s="38" t="s">
        <v>944</v>
      </c>
      <c r="B374" s="38" t="n">
        <v>10</v>
      </c>
      <c r="C374" s="53" t="n">
        <v>-0.809066</v>
      </c>
      <c r="D374" s="53" t="n">
        <v>-0.566361</v>
      </c>
      <c r="E374" s="53" t="n">
        <v>-0.687714</v>
      </c>
      <c r="F374" s="53" t="n">
        <v>0.47619</v>
      </c>
      <c r="G374" s="53" t="n">
        <v>0.166667</v>
      </c>
      <c r="H374" s="53" t="n">
        <v>0.2</v>
      </c>
    </row>
    <row r="375" customFormat="false" ht="15" hidden="false" customHeight="true" outlineLevel="0" collapsed="false">
      <c r="A375" s="38" t="s">
        <v>945</v>
      </c>
      <c r="B375" s="38" t="n">
        <v>1</v>
      </c>
      <c r="C375" s="53" t="n">
        <v>-0.782786</v>
      </c>
      <c r="D375" s="53" t="n">
        <v>-0.406569</v>
      </c>
      <c r="E375" s="53" t="n">
        <v>-0.594678</v>
      </c>
      <c r="F375" s="53" t="n">
        <v>0.47619</v>
      </c>
      <c r="G375" s="53" t="n">
        <v>0.083333</v>
      </c>
      <c r="H375" s="53" t="n">
        <v>0</v>
      </c>
    </row>
    <row r="376" customFormat="false" ht="15" hidden="false" customHeight="true" outlineLevel="0" collapsed="false">
      <c r="A376" s="38" t="s">
        <v>945</v>
      </c>
      <c r="B376" s="38" t="n">
        <v>2</v>
      </c>
      <c r="C376" s="53" t="n">
        <v>-0.431206</v>
      </c>
      <c r="D376" s="53" t="n">
        <v>-0.28969</v>
      </c>
      <c r="E376" s="53" t="n">
        <v>-0.360448</v>
      </c>
      <c r="F376" s="53" t="n">
        <v>0.52381</v>
      </c>
      <c r="G376" s="53" t="n">
        <v>0.416667</v>
      </c>
      <c r="H376" s="53" t="n">
        <v>0.2</v>
      </c>
    </row>
    <row r="377" customFormat="false" ht="15" hidden="false" customHeight="true" outlineLevel="0" collapsed="false">
      <c r="A377" s="38" t="s">
        <v>945</v>
      </c>
      <c r="B377" s="38" t="n">
        <v>3</v>
      </c>
      <c r="C377" s="53" t="n">
        <v>-0.562123</v>
      </c>
      <c r="D377" s="53" t="n">
        <v>-0.250511</v>
      </c>
      <c r="E377" s="53" t="n">
        <v>-0.406317</v>
      </c>
      <c r="F377" s="53" t="n">
        <v>0.47619</v>
      </c>
      <c r="G377" s="53" t="n">
        <v>0.333333</v>
      </c>
      <c r="H377" s="53" t="n">
        <v>0.6</v>
      </c>
    </row>
    <row r="378" customFormat="false" ht="15" hidden="false" customHeight="true" outlineLevel="0" collapsed="false">
      <c r="A378" s="38" t="s">
        <v>945</v>
      </c>
      <c r="B378" s="38" t="n">
        <v>4</v>
      </c>
      <c r="C378" s="53" t="n">
        <v>-0.618761</v>
      </c>
      <c r="D378" s="53" t="n">
        <v>-0.274526</v>
      </c>
      <c r="E378" s="53" t="n">
        <v>-0.446643</v>
      </c>
      <c r="F378" s="53" t="n">
        <v>0.428571</v>
      </c>
      <c r="G378" s="53" t="n">
        <v>0.166667</v>
      </c>
      <c r="H378" s="53" t="n">
        <v>0.2</v>
      </c>
    </row>
    <row r="379" customFormat="false" ht="15" hidden="false" customHeight="true" outlineLevel="0" collapsed="false">
      <c r="A379" s="38" t="s">
        <v>945</v>
      </c>
      <c r="B379" s="38" t="n">
        <v>5</v>
      </c>
      <c r="C379" s="53" t="n">
        <v>-0.847342</v>
      </c>
      <c r="D379" s="53" t="n">
        <v>-0.486409</v>
      </c>
      <c r="E379" s="53" t="n">
        <v>-0.666876</v>
      </c>
      <c r="F379" s="53" t="n">
        <v>0.47619</v>
      </c>
      <c r="G379" s="53" t="n">
        <v>0.333333</v>
      </c>
      <c r="H379" s="53" t="n">
        <v>0.2</v>
      </c>
    </row>
    <row r="380" customFormat="false" ht="15" hidden="false" customHeight="true" outlineLevel="0" collapsed="false">
      <c r="A380" s="38" t="s">
        <v>945</v>
      </c>
      <c r="B380" s="38" t="n">
        <v>6</v>
      </c>
      <c r="C380" s="53" t="n">
        <v>-0.946141</v>
      </c>
      <c r="D380" s="53" t="n">
        <v>-0.61014</v>
      </c>
      <c r="E380" s="53" t="n">
        <v>-0.77814</v>
      </c>
      <c r="F380" s="53" t="n">
        <v>0.333333</v>
      </c>
      <c r="G380" s="53" t="n">
        <v>0.166667</v>
      </c>
      <c r="H380" s="53" t="n">
        <v>0.2</v>
      </c>
    </row>
    <row r="381" customFormat="false" ht="15" hidden="false" customHeight="true" outlineLevel="0" collapsed="false">
      <c r="A381" s="38" t="s">
        <v>945</v>
      </c>
      <c r="B381" s="38" t="n">
        <v>7</v>
      </c>
      <c r="C381" s="53" t="n">
        <v>-0.955235</v>
      </c>
      <c r="D381" s="53" t="n">
        <v>-0.476071</v>
      </c>
      <c r="E381" s="53" t="n">
        <v>-0.715653</v>
      </c>
      <c r="F381" s="53" t="n">
        <v>0.428571</v>
      </c>
      <c r="G381" s="53" t="n">
        <v>0.166667</v>
      </c>
      <c r="H381" s="53" t="n">
        <v>0.2</v>
      </c>
    </row>
    <row r="382" customFormat="false" ht="15" hidden="false" customHeight="true" outlineLevel="0" collapsed="false">
      <c r="A382" s="38" t="s">
        <v>945</v>
      </c>
      <c r="B382" s="38" t="n">
        <v>8</v>
      </c>
      <c r="C382" s="53" t="n">
        <v>-1.033114</v>
      </c>
      <c r="D382" s="53" t="n">
        <v>-0.634361</v>
      </c>
      <c r="E382" s="53" t="n">
        <v>-0.833738</v>
      </c>
      <c r="F382" s="53" t="n">
        <v>0.47619</v>
      </c>
      <c r="G382" s="53" t="n">
        <v>0.166667</v>
      </c>
      <c r="H382" s="53" t="n">
        <v>0.2</v>
      </c>
    </row>
    <row r="383" customFormat="false" ht="15" hidden="false" customHeight="true" outlineLevel="0" collapsed="false">
      <c r="A383" s="38" t="s">
        <v>945</v>
      </c>
      <c r="B383" s="38" t="n">
        <v>9</v>
      </c>
      <c r="C383" s="53" t="n">
        <v>-0.747538</v>
      </c>
      <c r="D383" s="53" t="n">
        <v>-0.446539</v>
      </c>
      <c r="E383" s="53" t="n">
        <v>-0.597038</v>
      </c>
      <c r="F383" s="53" t="n">
        <v>0.47619</v>
      </c>
      <c r="G383" s="53" t="n">
        <v>0.166667</v>
      </c>
      <c r="H383" s="53" t="n">
        <v>0</v>
      </c>
    </row>
    <row r="384" customFormat="false" ht="15" hidden="false" customHeight="true" outlineLevel="0" collapsed="false">
      <c r="A384" s="38" t="s">
        <v>945</v>
      </c>
      <c r="B384" s="38" t="n">
        <v>10</v>
      </c>
      <c r="C384" s="53" t="n">
        <v>-0.846057</v>
      </c>
      <c r="D384" s="53" t="n">
        <v>-0.462493</v>
      </c>
      <c r="E384" s="53" t="n">
        <v>-0.654275</v>
      </c>
      <c r="F384" s="53" t="n">
        <v>0.380952</v>
      </c>
      <c r="G384" s="53" t="n">
        <v>0.25</v>
      </c>
      <c r="H384" s="53" t="n">
        <v>0</v>
      </c>
    </row>
    <row r="385" customFormat="false" ht="15" hidden="false" customHeight="true" outlineLevel="0" collapsed="false">
      <c r="A385" s="38" t="s">
        <v>946</v>
      </c>
      <c r="B385" s="38" t="n">
        <v>1</v>
      </c>
      <c r="C385" s="53" t="n">
        <v>-0.681502</v>
      </c>
      <c r="D385" s="53" t="n">
        <v>-0.308206</v>
      </c>
      <c r="E385" s="53" t="n">
        <v>-0.494854</v>
      </c>
      <c r="F385" s="53" t="n">
        <v>0.333333</v>
      </c>
      <c r="G385" s="53" t="n">
        <v>0.083333</v>
      </c>
      <c r="H385" s="53" t="n">
        <v>0</v>
      </c>
    </row>
    <row r="386" customFormat="false" ht="15" hidden="false" customHeight="true" outlineLevel="0" collapsed="false">
      <c r="A386" s="38" t="s">
        <v>946</v>
      </c>
      <c r="B386" s="38" t="n">
        <v>2</v>
      </c>
      <c r="C386" s="53" t="n">
        <v>-0.962054</v>
      </c>
      <c r="D386" s="53" t="n">
        <v>-0.510864</v>
      </c>
      <c r="E386" s="53" t="n">
        <v>-0.736459</v>
      </c>
      <c r="F386" s="53" t="n">
        <v>0.428571</v>
      </c>
      <c r="G386" s="53" t="n">
        <v>0</v>
      </c>
      <c r="H386" s="53" t="n">
        <v>0</v>
      </c>
    </row>
    <row r="387" customFormat="false" ht="15" hidden="false" customHeight="true" outlineLevel="0" collapsed="false">
      <c r="A387" s="38" t="s">
        <v>946</v>
      </c>
      <c r="B387" s="38" t="n">
        <v>3</v>
      </c>
      <c r="C387" s="53" t="n">
        <v>-0.501632</v>
      </c>
      <c r="D387" s="53" t="n">
        <v>-0.389075</v>
      </c>
      <c r="E387" s="53" t="n">
        <v>-0.445354</v>
      </c>
      <c r="F387" s="53" t="n">
        <v>0.47619</v>
      </c>
      <c r="G387" s="53" t="n">
        <v>0.5</v>
      </c>
      <c r="H387" s="53" t="n">
        <v>0.6</v>
      </c>
    </row>
    <row r="388" customFormat="false" ht="15" hidden="false" customHeight="true" outlineLevel="0" collapsed="false">
      <c r="A388" s="38" t="s">
        <v>946</v>
      </c>
      <c r="B388" s="38" t="n">
        <v>4</v>
      </c>
      <c r="C388" s="53" t="n">
        <v>-0.744261</v>
      </c>
      <c r="D388" s="53" t="n">
        <v>-0.41235</v>
      </c>
      <c r="E388" s="53" t="n">
        <v>-0.578305</v>
      </c>
      <c r="F388" s="53" t="n">
        <v>0.428571</v>
      </c>
      <c r="G388" s="53" t="n">
        <v>0.333333</v>
      </c>
      <c r="H388" s="53" t="n">
        <v>0.2</v>
      </c>
    </row>
    <row r="389" customFormat="false" ht="15" hidden="false" customHeight="true" outlineLevel="0" collapsed="false">
      <c r="A389" s="38" t="s">
        <v>946</v>
      </c>
      <c r="B389" s="38" t="n">
        <v>5</v>
      </c>
      <c r="C389" s="53" t="n">
        <v>-0.940673</v>
      </c>
      <c r="D389" s="53" t="n">
        <v>-0.394078</v>
      </c>
      <c r="E389" s="53" t="n">
        <v>-0.667376</v>
      </c>
      <c r="F389" s="53" t="n">
        <v>0.095238</v>
      </c>
      <c r="G389" s="53" t="n">
        <v>0.25</v>
      </c>
      <c r="H389" s="53" t="n">
        <v>0</v>
      </c>
    </row>
    <row r="390" customFormat="false" ht="15" hidden="false" customHeight="true" outlineLevel="0" collapsed="false">
      <c r="A390" s="38" t="s">
        <v>946</v>
      </c>
      <c r="B390" s="38" t="n">
        <v>6</v>
      </c>
      <c r="C390" s="53" t="n">
        <v>-0.682337</v>
      </c>
      <c r="D390" s="53" t="n">
        <v>-0.457451</v>
      </c>
      <c r="E390" s="53" t="n">
        <v>-0.569894</v>
      </c>
      <c r="F390" s="53" t="n">
        <v>0.47619</v>
      </c>
      <c r="G390" s="53" t="n">
        <v>0.333333</v>
      </c>
      <c r="H390" s="53" t="n">
        <v>0.2</v>
      </c>
    </row>
    <row r="391" customFormat="false" ht="15" hidden="false" customHeight="true" outlineLevel="0" collapsed="false">
      <c r="A391" s="38" t="s">
        <v>946</v>
      </c>
      <c r="B391" s="38" t="n">
        <v>7</v>
      </c>
      <c r="C391" s="53" t="n">
        <v>-0.651922</v>
      </c>
      <c r="D391" s="53" t="n">
        <v>-0.304539</v>
      </c>
      <c r="E391" s="53" t="n">
        <v>-0.47823</v>
      </c>
      <c r="F391" s="53" t="n">
        <v>0.47619</v>
      </c>
      <c r="G391" s="53" t="n">
        <v>0.083333</v>
      </c>
      <c r="H391" s="53" t="n">
        <v>0.2</v>
      </c>
    </row>
    <row r="392" customFormat="false" ht="15" hidden="false" customHeight="true" outlineLevel="0" collapsed="false">
      <c r="A392" s="38" t="s">
        <v>946</v>
      </c>
      <c r="B392" s="38" t="n">
        <v>8</v>
      </c>
      <c r="C392" s="53" t="n">
        <v>-0.574403</v>
      </c>
      <c r="D392" s="53" t="n">
        <v>-0.240852</v>
      </c>
      <c r="E392" s="53" t="n">
        <v>-0.407627</v>
      </c>
      <c r="F392" s="53" t="n">
        <v>0.380952</v>
      </c>
      <c r="G392" s="53" t="n">
        <v>0.25</v>
      </c>
      <c r="H392" s="53" t="n">
        <v>0</v>
      </c>
    </row>
    <row r="393" customFormat="false" ht="15" hidden="false" customHeight="true" outlineLevel="0" collapsed="false">
      <c r="A393" s="38" t="s">
        <v>946</v>
      </c>
      <c r="B393" s="38" t="n">
        <v>9</v>
      </c>
      <c r="C393" s="53" t="n">
        <v>-0.805613</v>
      </c>
      <c r="D393" s="53" t="n">
        <v>-0.448933</v>
      </c>
      <c r="E393" s="53" t="n">
        <v>-0.627273</v>
      </c>
      <c r="F393" s="53" t="n">
        <v>0.190476</v>
      </c>
      <c r="G393" s="53" t="n">
        <v>0.166667</v>
      </c>
      <c r="H393" s="53" t="n">
        <v>0.2</v>
      </c>
    </row>
    <row r="394" customFormat="false" ht="15" hidden="false" customHeight="true" outlineLevel="0" collapsed="false">
      <c r="A394" s="38" t="s">
        <v>946</v>
      </c>
      <c r="B394" s="38" t="n">
        <v>10</v>
      </c>
      <c r="C394" s="53" t="n">
        <v>-0.739019</v>
      </c>
      <c r="D394" s="53" t="n">
        <v>-0.431607</v>
      </c>
      <c r="E394" s="53" t="n">
        <v>-0.585313</v>
      </c>
      <c r="F394" s="53" t="n">
        <v>0.52381</v>
      </c>
      <c r="G394" s="53" t="n">
        <v>0.333333</v>
      </c>
      <c r="H394" s="53" t="n">
        <v>0.4</v>
      </c>
    </row>
    <row r="395" customFormat="false" ht="15" hidden="false" customHeight="true" outlineLevel="0" collapsed="false">
      <c r="A395" s="38" t="s">
        <v>947</v>
      </c>
      <c r="B395" s="38" t="n">
        <v>1</v>
      </c>
      <c r="C395" s="53" t="n">
        <v>-0.762315</v>
      </c>
      <c r="D395" s="53" t="n">
        <v>-0.482255</v>
      </c>
      <c r="E395" s="53" t="n">
        <v>-0.622285</v>
      </c>
      <c r="F395" s="53" t="n">
        <v>0.380952</v>
      </c>
      <c r="G395" s="53" t="n">
        <v>0.25</v>
      </c>
      <c r="H395" s="53" t="n">
        <v>0.4</v>
      </c>
    </row>
    <row r="396" customFormat="false" ht="15" hidden="false" customHeight="true" outlineLevel="0" collapsed="false">
      <c r="A396" s="38" t="s">
        <v>947</v>
      </c>
      <c r="B396" s="38" t="n">
        <v>2</v>
      </c>
      <c r="C396" s="53" t="n">
        <v>-0.495271</v>
      </c>
      <c r="D396" s="53" t="n">
        <v>-0.33962</v>
      </c>
      <c r="E396" s="53" t="n">
        <v>-0.417445</v>
      </c>
      <c r="F396" s="53" t="n">
        <v>0.285714</v>
      </c>
      <c r="G396" s="53" t="n">
        <v>0.333333</v>
      </c>
      <c r="H396" s="53" t="n">
        <v>0.2</v>
      </c>
    </row>
    <row r="397" customFormat="false" ht="15" hidden="false" customHeight="true" outlineLevel="0" collapsed="false">
      <c r="A397" s="38" t="s">
        <v>947</v>
      </c>
      <c r="B397" s="38" t="n">
        <v>3</v>
      </c>
      <c r="C397" s="53" t="n">
        <v>-0.75173</v>
      </c>
      <c r="D397" s="53" t="n">
        <v>-0.306997</v>
      </c>
      <c r="E397" s="53" t="n">
        <v>-0.529364</v>
      </c>
      <c r="F397" s="53" t="n">
        <v>0.238095</v>
      </c>
      <c r="G397" s="53" t="n">
        <v>0.5</v>
      </c>
      <c r="H397" s="53" t="n">
        <v>0.6</v>
      </c>
    </row>
    <row r="398" customFormat="false" ht="15" hidden="false" customHeight="true" outlineLevel="0" collapsed="false">
      <c r="A398" s="38" t="s">
        <v>947</v>
      </c>
      <c r="B398" s="38" t="n">
        <v>4</v>
      </c>
      <c r="C398" s="53" t="n">
        <v>-0.879065</v>
      </c>
      <c r="D398" s="53" t="n">
        <v>-0.549638</v>
      </c>
      <c r="E398" s="53" t="n">
        <v>-0.714352</v>
      </c>
      <c r="F398" s="53" t="n">
        <v>0.619048</v>
      </c>
      <c r="G398" s="53" t="n">
        <v>0.25</v>
      </c>
      <c r="H398" s="53" t="n">
        <v>0.2</v>
      </c>
    </row>
    <row r="399" customFormat="false" ht="15" hidden="false" customHeight="true" outlineLevel="0" collapsed="false">
      <c r="A399" s="38" t="s">
        <v>947</v>
      </c>
      <c r="B399" s="38" t="n">
        <v>5</v>
      </c>
      <c r="C399" s="53" t="n">
        <v>-1.034295</v>
      </c>
      <c r="D399" s="53" t="n">
        <v>-0.577928</v>
      </c>
      <c r="E399" s="53" t="n">
        <v>-0.806112</v>
      </c>
      <c r="F399" s="53" t="n">
        <v>0.380952</v>
      </c>
      <c r="G399" s="53" t="n">
        <v>0.083333</v>
      </c>
      <c r="H399" s="53" t="n">
        <v>0</v>
      </c>
    </row>
    <row r="400" customFormat="false" ht="15" hidden="false" customHeight="true" outlineLevel="0" collapsed="false">
      <c r="A400" s="38" t="s">
        <v>947</v>
      </c>
      <c r="B400" s="38" t="n">
        <v>6</v>
      </c>
      <c r="C400" s="53" t="n">
        <v>-0.722284</v>
      </c>
      <c r="D400" s="53" t="n">
        <v>-0.356054</v>
      </c>
      <c r="E400" s="53" t="n">
        <v>-0.539169</v>
      </c>
      <c r="F400" s="53" t="n">
        <v>0.238095</v>
      </c>
      <c r="G400" s="53" t="n">
        <v>0.416667</v>
      </c>
      <c r="H400" s="53" t="n">
        <v>0.4</v>
      </c>
    </row>
    <row r="401" customFormat="false" ht="15" hidden="false" customHeight="true" outlineLevel="0" collapsed="false">
      <c r="A401" s="38" t="s">
        <v>947</v>
      </c>
      <c r="B401" s="38" t="n">
        <v>7</v>
      </c>
      <c r="C401" s="53" t="n">
        <v>-0.627084</v>
      </c>
      <c r="D401" s="53" t="n">
        <v>-0.366263</v>
      </c>
      <c r="E401" s="53" t="n">
        <v>-0.496674</v>
      </c>
      <c r="F401" s="53" t="n">
        <v>0.333333</v>
      </c>
      <c r="G401" s="53" t="n">
        <v>0.25</v>
      </c>
      <c r="H401" s="53" t="n">
        <v>0.2</v>
      </c>
    </row>
    <row r="402" customFormat="false" ht="15" hidden="false" customHeight="true" outlineLevel="0" collapsed="false">
      <c r="A402" s="38" t="s">
        <v>947</v>
      </c>
      <c r="B402" s="38" t="n">
        <v>8</v>
      </c>
      <c r="C402" s="53" t="n">
        <v>-0.929081</v>
      </c>
      <c r="D402" s="53" t="n">
        <v>-0.475961</v>
      </c>
      <c r="E402" s="53" t="n">
        <v>-0.702521</v>
      </c>
      <c r="F402" s="53" t="n">
        <v>0.428571</v>
      </c>
      <c r="G402" s="53" t="n">
        <v>0.083333</v>
      </c>
      <c r="H402" s="53" t="n">
        <v>0.2</v>
      </c>
    </row>
    <row r="403" customFormat="false" ht="15" hidden="false" customHeight="true" outlineLevel="0" collapsed="false">
      <c r="A403" s="38" t="s">
        <v>947</v>
      </c>
      <c r="B403" s="38" t="n">
        <v>9</v>
      </c>
      <c r="C403" s="53" t="n">
        <v>-0.982013</v>
      </c>
      <c r="D403" s="53" t="n">
        <v>-0.636998</v>
      </c>
      <c r="E403" s="53" t="n">
        <v>-0.809505</v>
      </c>
      <c r="F403" s="53" t="n">
        <v>0.666667</v>
      </c>
      <c r="G403" s="53" t="n">
        <v>0.083333</v>
      </c>
      <c r="H403" s="53" t="n">
        <v>0.2</v>
      </c>
    </row>
    <row r="404" customFormat="false" ht="15" hidden="false" customHeight="true" outlineLevel="0" collapsed="false">
      <c r="A404" s="38" t="s">
        <v>947</v>
      </c>
      <c r="B404" s="38" t="n">
        <v>10</v>
      </c>
      <c r="C404" s="53" t="n">
        <v>-0.883402</v>
      </c>
      <c r="D404" s="53" t="n">
        <v>-0.490919</v>
      </c>
      <c r="E404" s="53" t="n">
        <v>-0.687161</v>
      </c>
      <c r="F404" s="53" t="n">
        <v>0.571429</v>
      </c>
      <c r="G404" s="53" t="n">
        <v>0.25</v>
      </c>
      <c r="H404" s="53" t="n">
        <v>0.2</v>
      </c>
    </row>
    <row r="405" customFormat="false" ht="15" hidden="false" customHeight="true" outlineLevel="0" collapsed="false">
      <c r="A405" s="38" t="s">
        <v>948</v>
      </c>
      <c r="B405" s="38" t="n">
        <v>1</v>
      </c>
      <c r="C405" s="53" t="n">
        <v>-0.440867</v>
      </c>
      <c r="D405" s="53" t="n">
        <v>-0.409321</v>
      </c>
      <c r="E405" s="53" t="n">
        <v>-0.425094</v>
      </c>
      <c r="F405" s="53" t="n">
        <v>0.571429</v>
      </c>
      <c r="G405" s="53" t="n">
        <v>0.333333</v>
      </c>
      <c r="H405" s="53" t="n">
        <v>0.2</v>
      </c>
    </row>
    <row r="406" customFormat="false" ht="15" hidden="false" customHeight="true" outlineLevel="0" collapsed="false">
      <c r="A406" s="38" t="s">
        <v>948</v>
      </c>
      <c r="B406" s="38" t="n">
        <v>2</v>
      </c>
      <c r="C406" s="53" t="n">
        <v>-0.928686</v>
      </c>
      <c r="D406" s="53" t="n">
        <v>-0.476646</v>
      </c>
      <c r="E406" s="53" t="n">
        <v>-0.702666</v>
      </c>
      <c r="F406" s="53" t="n">
        <v>0.380952</v>
      </c>
      <c r="G406" s="53" t="n">
        <v>0.083333</v>
      </c>
      <c r="H406" s="53" t="n">
        <v>0</v>
      </c>
    </row>
    <row r="407" customFormat="false" ht="15" hidden="false" customHeight="true" outlineLevel="0" collapsed="false">
      <c r="A407" s="38" t="s">
        <v>948</v>
      </c>
      <c r="B407" s="38" t="n">
        <v>3</v>
      </c>
      <c r="C407" s="53" t="n">
        <v>-0.453287</v>
      </c>
      <c r="D407" s="53" t="n">
        <v>-0.351284</v>
      </c>
      <c r="E407" s="53" t="n">
        <v>-0.402285</v>
      </c>
      <c r="F407" s="53" t="n">
        <v>0.619048</v>
      </c>
      <c r="G407" s="53" t="n">
        <v>0.5</v>
      </c>
      <c r="H407" s="53" t="n">
        <v>0.6</v>
      </c>
    </row>
    <row r="408" customFormat="false" ht="15" hidden="false" customHeight="true" outlineLevel="0" collapsed="false">
      <c r="A408" s="38" t="s">
        <v>948</v>
      </c>
      <c r="B408" s="38" t="n">
        <v>4</v>
      </c>
      <c r="C408" s="53" t="n">
        <v>-0.7942</v>
      </c>
      <c r="D408" s="53" t="n">
        <v>-0.551106</v>
      </c>
      <c r="E408" s="53" t="n">
        <v>-0.672653</v>
      </c>
      <c r="F408" s="53" t="n">
        <v>0.333333</v>
      </c>
      <c r="G408" s="53" t="n">
        <v>0.25</v>
      </c>
      <c r="H408" s="53" t="n">
        <v>0</v>
      </c>
    </row>
    <row r="409" customFormat="false" ht="15" hidden="false" customHeight="true" outlineLevel="0" collapsed="false">
      <c r="A409" s="38" t="s">
        <v>948</v>
      </c>
      <c r="B409" s="38" t="n">
        <v>5</v>
      </c>
      <c r="C409" s="53" t="n">
        <v>-0.678869</v>
      </c>
      <c r="D409" s="53" t="n">
        <v>-0.57878</v>
      </c>
      <c r="E409" s="53" t="n">
        <v>-0.628824</v>
      </c>
      <c r="F409" s="53" t="n">
        <v>0.428571</v>
      </c>
      <c r="G409" s="53" t="n">
        <v>0.25</v>
      </c>
      <c r="H409" s="53" t="n">
        <v>0.4</v>
      </c>
    </row>
    <row r="410" customFormat="false" ht="15" hidden="false" customHeight="true" outlineLevel="0" collapsed="false">
      <c r="A410" s="38" t="s">
        <v>948</v>
      </c>
      <c r="B410" s="38" t="n">
        <v>6</v>
      </c>
      <c r="C410" s="53" t="n">
        <v>-0.746153</v>
      </c>
      <c r="D410" s="53" t="n">
        <v>-0.390471</v>
      </c>
      <c r="E410" s="53" t="n">
        <v>-0.568312</v>
      </c>
      <c r="F410" s="53" t="n">
        <v>0.47619</v>
      </c>
      <c r="G410" s="53" t="n">
        <v>0.333333</v>
      </c>
      <c r="H410" s="53" t="n">
        <v>0.4</v>
      </c>
    </row>
    <row r="411" customFormat="false" ht="15" hidden="false" customHeight="true" outlineLevel="0" collapsed="false">
      <c r="A411" s="38" t="s">
        <v>948</v>
      </c>
      <c r="B411" s="38" t="n">
        <v>7</v>
      </c>
      <c r="C411" s="53" t="n">
        <v>-0.982372</v>
      </c>
      <c r="D411" s="53" t="n">
        <v>-0.421734</v>
      </c>
      <c r="E411" s="53" t="n">
        <v>-0.702053</v>
      </c>
      <c r="F411" s="53" t="n">
        <v>0.47619</v>
      </c>
      <c r="G411" s="53" t="n">
        <v>0.083333</v>
      </c>
      <c r="H411" s="53" t="n">
        <v>0.2</v>
      </c>
    </row>
    <row r="412" customFormat="false" ht="15" hidden="false" customHeight="true" outlineLevel="0" collapsed="false">
      <c r="A412" s="38" t="s">
        <v>948</v>
      </c>
      <c r="B412" s="38" t="n">
        <v>8</v>
      </c>
      <c r="C412" s="53" t="n">
        <v>-0.827844</v>
      </c>
      <c r="D412" s="53" t="n">
        <v>-0.375892</v>
      </c>
      <c r="E412" s="53" t="n">
        <v>-0.601868</v>
      </c>
      <c r="F412" s="53" t="n">
        <v>0.333333</v>
      </c>
      <c r="G412" s="53" t="n">
        <v>0</v>
      </c>
      <c r="H412" s="53" t="n">
        <v>0</v>
      </c>
    </row>
    <row r="413" customFormat="false" ht="15" hidden="false" customHeight="true" outlineLevel="0" collapsed="false">
      <c r="A413" s="38" t="s">
        <v>948</v>
      </c>
      <c r="B413" s="38" t="n">
        <v>9</v>
      </c>
      <c r="C413" s="53" t="n">
        <v>-0.653837</v>
      </c>
      <c r="D413" s="53" t="n">
        <v>-0.334743</v>
      </c>
      <c r="E413" s="53" t="n">
        <v>-0.49429</v>
      </c>
      <c r="F413" s="53" t="n">
        <v>0.571429</v>
      </c>
      <c r="G413" s="53" t="n">
        <v>0.416667</v>
      </c>
      <c r="H413" s="53" t="n">
        <v>0.4</v>
      </c>
    </row>
    <row r="414" customFormat="false" ht="15" hidden="false" customHeight="true" outlineLevel="0" collapsed="false">
      <c r="A414" s="38" t="s">
        <v>948</v>
      </c>
      <c r="B414" s="38" t="n">
        <v>10</v>
      </c>
      <c r="C414" s="53" t="n">
        <v>-0.628448</v>
      </c>
      <c r="D414" s="53" t="n">
        <v>-0.335724</v>
      </c>
      <c r="E414" s="53" t="n">
        <v>-0.482086</v>
      </c>
      <c r="F414" s="53" t="n">
        <v>0.47619</v>
      </c>
      <c r="G414" s="53" t="n">
        <v>0.333333</v>
      </c>
      <c r="H414" s="53" t="n">
        <v>0.4</v>
      </c>
    </row>
    <row r="415" customFormat="false" ht="15" hidden="false" customHeight="true" outlineLevel="0" collapsed="false">
      <c r="A415" s="38" t="s">
        <v>949</v>
      </c>
      <c r="B415" s="38" t="n">
        <v>1</v>
      </c>
      <c r="C415" s="53" t="n">
        <v>-0.971221</v>
      </c>
      <c r="D415" s="53" t="n">
        <v>-0.502859</v>
      </c>
      <c r="E415" s="53" t="n">
        <v>-0.73704</v>
      </c>
      <c r="F415" s="53" t="n">
        <v>0.380952</v>
      </c>
      <c r="G415" s="53" t="n">
        <v>0.25</v>
      </c>
      <c r="H415" s="53" t="n">
        <v>0.4</v>
      </c>
    </row>
    <row r="416" customFormat="false" ht="15" hidden="false" customHeight="true" outlineLevel="0" collapsed="false">
      <c r="A416" s="38" t="s">
        <v>949</v>
      </c>
      <c r="B416" s="38" t="n">
        <v>2</v>
      </c>
      <c r="C416" s="53" t="n">
        <v>-0.606488</v>
      </c>
      <c r="D416" s="53" t="n">
        <v>-0.370325</v>
      </c>
      <c r="E416" s="53" t="n">
        <v>-0.488406</v>
      </c>
      <c r="F416" s="53" t="n">
        <v>0.428571</v>
      </c>
      <c r="G416" s="53" t="n">
        <v>0.166667</v>
      </c>
      <c r="H416" s="53" t="n">
        <v>0.2</v>
      </c>
    </row>
    <row r="417" customFormat="false" ht="15" hidden="false" customHeight="true" outlineLevel="0" collapsed="false">
      <c r="A417" s="38" t="s">
        <v>949</v>
      </c>
      <c r="B417" s="38" t="n">
        <v>3</v>
      </c>
      <c r="C417" s="53" t="n">
        <v>-0.885476</v>
      </c>
      <c r="D417" s="53" t="n">
        <v>-0.625261</v>
      </c>
      <c r="E417" s="53" t="n">
        <v>-0.755369</v>
      </c>
      <c r="F417" s="53" t="n">
        <v>0.428571</v>
      </c>
      <c r="G417" s="53" t="n">
        <v>0.25</v>
      </c>
      <c r="H417" s="53" t="n">
        <v>0.6</v>
      </c>
    </row>
    <row r="418" customFormat="false" ht="15" hidden="false" customHeight="true" outlineLevel="0" collapsed="false">
      <c r="A418" s="38" t="s">
        <v>949</v>
      </c>
      <c r="B418" s="38" t="n">
        <v>4</v>
      </c>
      <c r="C418" s="53" t="n">
        <v>-0.793981</v>
      </c>
      <c r="D418" s="53" t="n">
        <v>-0.375552</v>
      </c>
      <c r="E418" s="53" t="n">
        <v>-0.584767</v>
      </c>
      <c r="F418" s="53" t="n">
        <v>0.571429</v>
      </c>
      <c r="G418" s="53" t="n">
        <v>0.166667</v>
      </c>
      <c r="H418" s="53" t="n">
        <v>0.2</v>
      </c>
    </row>
    <row r="419" customFormat="false" ht="15" hidden="false" customHeight="true" outlineLevel="0" collapsed="false">
      <c r="A419" s="38" t="s">
        <v>949</v>
      </c>
      <c r="B419" s="38" t="n">
        <v>5</v>
      </c>
      <c r="C419" s="53" t="n">
        <v>-0.919311</v>
      </c>
      <c r="D419" s="53" t="n">
        <v>-0.380062</v>
      </c>
      <c r="E419" s="53" t="n">
        <v>-0.649686</v>
      </c>
      <c r="F419" s="53" t="n">
        <v>0.428571</v>
      </c>
      <c r="G419" s="53" t="n">
        <v>0.25</v>
      </c>
      <c r="H419" s="53" t="n">
        <v>0.2</v>
      </c>
    </row>
    <row r="420" customFormat="false" ht="15" hidden="false" customHeight="true" outlineLevel="0" collapsed="false">
      <c r="A420" s="38" t="s">
        <v>949</v>
      </c>
      <c r="B420" s="38" t="n">
        <v>6</v>
      </c>
      <c r="C420" s="53" t="n">
        <v>-0.775659</v>
      </c>
      <c r="D420" s="53" t="n">
        <v>-0.421934</v>
      </c>
      <c r="E420" s="53" t="n">
        <v>-0.598797</v>
      </c>
      <c r="F420" s="53" t="n">
        <v>0.47619</v>
      </c>
      <c r="G420" s="53" t="n">
        <v>0.083333</v>
      </c>
      <c r="H420" s="53" t="n">
        <v>0.2</v>
      </c>
    </row>
    <row r="421" customFormat="false" ht="15" hidden="false" customHeight="true" outlineLevel="0" collapsed="false">
      <c r="A421" s="38" t="s">
        <v>949</v>
      </c>
      <c r="B421" s="38" t="n">
        <v>7</v>
      </c>
      <c r="C421" s="53" t="n">
        <v>-1.08356</v>
      </c>
      <c r="D421" s="53" t="n">
        <v>-0.509915</v>
      </c>
      <c r="E421" s="53" t="n">
        <v>-0.796738</v>
      </c>
      <c r="F421" s="53" t="n">
        <v>0.333333</v>
      </c>
      <c r="G421" s="53" t="n">
        <v>0</v>
      </c>
      <c r="H421" s="53" t="n">
        <v>0</v>
      </c>
    </row>
    <row r="422" customFormat="false" ht="15" hidden="false" customHeight="true" outlineLevel="0" collapsed="false">
      <c r="A422" s="38" t="s">
        <v>949</v>
      </c>
      <c r="B422" s="38" t="n">
        <v>8</v>
      </c>
      <c r="C422" s="53" t="n">
        <v>-1.038568</v>
      </c>
      <c r="D422" s="53" t="n">
        <v>-0.324208</v>
      </c>
      <c r="E422" s="53" t="n">
        <v>-0.681388</v>
      </c>
      <c r="F422" s="53" t="n">
        <v>0.285714</v>
      </c>
      <c r="G422" s="53" t="n">
        <v>0.083333</v>
      </c>
      <c r="H422" s="53" t="n">
        <v>0</v>
      </c>
    </row>
    <row r="423" customFormat="false" ht="15" hidden="false" customHeight="true" outlineLevel="0" collapsed="false">
      <c r="A423" s="38" t="s">
        <v>949</v>
      </c>
      <c r="B423" s="38" t="n">
        <v>9</v>
      </c>
      <c r="C423" s="53" t="n">
        <v>-0.702362</v>
      </c>
      <c r="D423" s="53" t="n">
        <v>-0.366904</v>
      </c>
      <c r="E423" s="53" t="n">
        <v>-0.534633</v>
      </c>
      <c r="F423" s="53" t="n">
        <v>0.47619</v>
      </c>
      <c r="G423" s="53" t="n">
        <v>0.416667</v>
      </c>
      <c r="H423" s="53" t="n">
        <v>0.6</v>
      </c>
    </row>
    <row r="424" customFormat="false" ht="15" hidden="false" customHeight="true" outlineLevel="0" collapsed="false">
      <c r="A424" s="38" t="s">
        <v>949</v>
      </c>
      <c r="B424" s="38" t="n">
        <v>10</v>
      </c>
      <c r="C424" s="53" t="n">
        <v>-0.794572</v>
      </c>
      <c r="D424" s="53" t="n">
        <v>-0.444562</v>
      </c>
      <c r="E424" s="53" t="n">
        <v>-0.619567</v>
      </c>
      <c r="F424" s="53" t="n">
        <v>0.428571</v>
      </c>
      <c r="G424" s="53" t="n">
        <v>0.25</v>
      </c>
      <c r="H424" s="53" t="n">
        <v>0.4</v>
      </c>
    </row>
    <row r="425" customFormat="false" ht="15" hidden="false" customHeight="true" outlineLevel="0" collapsed="false">
      <c r="A425" s="38" t="s">
        <v>950</v>
      </c>
      <c r="B425" s="38" t="n">
        <v>1</v>
      </c>
      <c r="C425" s="53" t="n">
        <v>-0.721852</v>
      </c>
      <c r="D425" s="53" t="n">
        <v>-0.416075</v>
      </c>
      <c r="E425" s="53" t="n">
        <v>-0.568963</v>
      </c>
      <c r="F425" s="53" t="n">
        <v>0.47619</v>
      </c>
      <c r="G425" s="53" t="n">
        <v>0.083333</v>
      </c>
      <c r="H425" s="53" t="n">
        <v>0.2</v>
      </c>
    </row>
    <row r="426" customFormat="false" ht="15" hidden="false" customHeight="true" outlineLevel="0" collapsed="false">
      <c r="A426" s="38" t="s">
        <v>950</v>
      </c>
      <c r="B426" s="38" t="n">
        <v>2</v>
      </c>
      <c r="C426" s="53" t="n">
        <v>-0.684409</v>
      </c>
      <c r="D426" s="53" t="n">
        <v>-0.436551</v>
      </c>
      <c r="E426" s="53" t="n">
        <v>-0.56048</v>
      </c>
      <c r="F426" s="53" t="n">
        <v>0.380952</v>
      </c>
      <c r="G426" s="53" t="n">
        <v>0.083333</v>
      </c>
      <c r="H426" s="53" t="n">
        <v>0</v>
      </c>
    </row>
    <row r="427" customFormat="false" ht="15" hidden="false" customHeight="true" outlineLevel="0" collapsed="false">
      <c r="A427" s="38" t="s">
        <v>950</v>
      </c>
      <c r="B427" s="38" t="n">
        <v>3</v>
      </c>
      <c r="C427" s="53" t="n">
        <v>-0.597312</v>
      </c>
      <c r="D427" s="53" t="n">
        <v>-0.336413</v>
      </c>
      <c r="E427" s="53" t="n">
        <v>-0.466862</v>
      </c>
      <c r="F427" s="53" t="n">
        <v>0.47619</v>
      </c>
      <c r="G427" s="53" t="n">
        <v>0.416667</v>
      </c>
      <c r="H427" s="53" t="n">
        <v>0.2</v>
      </c>
    </row>
    <row r="428" customFormat="false" ht="15" hidden="false" customHeight="true" outlineLevel="0" collapsed="false">
      <c r="A428" s="38" t="s">
        <v>950</v>
      </c>
      <c r="B428" s="38" t="n">
        <v>4</v>
      </c>
      <c r="C428" s="53" t="n">
        <v>-0.978738</v>
      </c>
      <c r="D428" s="53" t="n">
        <v>-0.343037</v>
      </c>
      <c r="E428" s="53" t="n">
        <v>-0.660887</v>
      </c>
      <c r="F428" s="53" t="n">
        <v>0.428571</v>
      </c>
      <c r="G428" s="53" t="n">
        <v>0.25</v>
      </c>
      <c r="H428" s="53" t="n">
        <v>0</v>
      </c>
    </row>
    <row r="429" customFormat="false" ht="15" hidden="false" customHeight="true" outlineLevel="0" collapsed="false">
      <c r="A429" s="38" t="s">
        <v>950</v>
      </c>
      <c r="B429" s="38" t="n">
        <v>5</v>
      </c>
      <c r="C429" s="53" t="n">
        <v>-0.795874</v>
      </c>
      <c r="D429" s="53" t="n">
        <v>-0.314063</v>
      </c>
      <c r="E429" s="53" t="n">
        <v>-0.554969</v>
      </c>
      <c r="F429" s="53" t="n">
        <v>0.333333</v>
      </c>
      <c r="G429" s="53" t="n">
        <v>0.166667</v>
      </c>
      <c r="H429" s="53" t="n">
        <v>0.2</v>
      </c>
    </row>
    <row r="430" customFormat="false" ht="15" hidden="false" customHeight="true" outlineLevel="0" collapsed="false">
      <c r="A430" s="38" t="s">
        <v>950</v>
      </c>
      <c r="B430" s="38" t="n">
        <v>6</v>
      </c>
      <c r="C430" s="53" t="n">
        <v>-0.950484</v>
      </c>
      <c r="D430" s="53" t="n">
        <v>-0.398316</v>
      </c>
      <c r="E430" s="53" t="n">
        <v>-0.6744</v>
      </c>
      <c r="F430" s="53" t="n">
        <v>0.380952</v>
      </c>
      <c r="G430" s="53" t="n">
        <v>0.25</v>
      </c>
      <c r="H430" s="53" t="n">
        <v>0</v>
      </c>
    </row>
    <row r="431" customFormat="false" ht="15" hidden="false" customHeight="true" outlineLevel="0" collapsed="false">
      <c r="A431" s="38" t="s">
        <v>950</v>
      </c>
      <c r="B431" s="38" t="n">
        <v>7</v>
      </c>
      <c r="C431" s="53" t="n">
        <v>-1.072268</v>
      </c>
      <c r="D431" s="53" t="n">
        <v>-0.415872</v>
      </c>
      <c r="E431" s="53" t="n">
        <v>-0.74407</v>
      </c>
      <c r="F431" s="53" t="n">
        <v>0.47619</v>
      </c>
      <c r="G431" s="53" t="n">
        <v>0.083333</v>
      </c>
      <c r="H431" s="53" t="n">
        <v>0</v>
      </c>
    </row>
    <row r="432" customFormat="false" ht="15" hidden="false" customHeight="true" outlineLevel="0" collapsed="false">
      <c r="A432" s="38" t="s">
        <v>950</v>
      </c>
      <c r="B432" s="38" t="n">
        <v>8</v>
      </c>
      <c r="C432" s="53" t="n">
        <v>-0.699132</v>
      </c>
      <c r="D432" s="53" t="n">
        <v>-0.408087</v>
      </c>
      <c r="E432" s="53" t="n">
        <v>-0.553609</v>
      </c>
      <c r="F432" s="53" t="n">
        <v>0.428571</v>
      </c>
      <c r="G432" s="53" t="n">
        <v>0.333333</v>
      </c>
      <c r="H432" s="53" t="n">
        <v>0.2</v>
      </c>
    </row>
    <row r="433" customFormat="false" ht="15" hidden="false" customHeight="true" outlineLevel="0" collapsed="false">
      <c r="A433" s="38" t="s">
        <v>950</v>
      </c>
      <c r="B433" s="38" t="n">
        <v>9</v>
      </c>
      <c r="C433" s="53" t="n">
        <v>-1.104962</v>
      </c>
      <c r="D433" s="53" t="n">
        <v>-0.504513</v>
      </c>
      <c r="E433" s="53" t="n">
        <v>-0.804737</v>
      </c>
      <c r="F433" s="53" t="n">
        <v>0.47619</v>
      </c>
      <c r="G433" s="53" t="n">
        <v>0.166667</v>
      </c>
      <c r="H433" s="53" t="n">
        <v>0</v>
      </c>
    </row>
    <row r="434" customFormat="false" ht="15" hidden="false" customHeight="true" outlineLevel="0" collapsed="false">
      <c r="A434" s="38" t="s">
        <v>950</v>
      </c>
      <c r="B434" s="38" t="n">
        <v>10</v>
      </c>
      <c r="C434" s="53" t="n">
        <v>-0.63049</v>
      </c>
      <c r="D434" s="53" t="n">
        <v>-0.449385</v>
      </c>
      <c r="E434" s="53" t="n">
        <v>-0.539937</v>
      </c>
      <c r="F434" s="53" t="n">
        <v>0.428571</v>
      </c>
      <c r="G434" s="53" t="n">
        <v>0</v>
      </c>
      <c r="H434" s="53" t="n">
        <v>0</v>
      </c>
    </row>
    <row r="435" customFormat="false" ht="15" hidden="false" customHeight="true" outlineLevel="0" collapsed="false">
      <c r="A435" s="38" t="s">
        <v>951</v>
      </c>
      <c r="B435" s="38" t="n">
        <v>1</v>
      </c>
      <c r="C435" s="53" t="n">
        <v>-0.805713</v>
      </c>
      <c r="D435" s="53" t="n">
        <v>-0.335697</v>
      </c>
      <c r="E435" s="53" t="n">
        <v>-0.570705</v>
      </c>
      <c r="F435" s="53" t="n">
        <v>0.52381</v>
      </c>
      <c r="G435" s="53" t="n">
        <v>0.083333</v>
      </c>
      <c r="H435" s="53" t="n">
        <v>0.2</v>
      </c>
    </row>
    <row r="436" customFormat="false" ht="15" hidden="false" customHeight="true" outlineLevel="0" collapsed="false">
      <c r="A436" s="38" t="s">
        <v>951</v>
      </c>
      <c r="B436" s="38" t="n">
        <v>2</v>
      </c>
      <c r="C436" s="53" t="n">
        <v>-0.986724</v>
      </c>
      <c r="D436" s="53" t="n">
        <v>-0.552139</v>
      </c>
      <c r="E436" s="53" t="n">
        <v>-0.769432</v>
      </c>
      <c r="F436" s="53" t="n">
        <v>0.285714</v>
      </c>
      <c r="G436" s="53" t="n">
        <v>0.25</v>
      </c>
      <c r="H436" s="53" t="n">
        <v>0.2</v>
      </c>
    </row>
    <row r="437" customFormat="false" ht="15" hidden="false" customHeight="true" outlineLevel="0" collapsed="false">
      <c r="A437" s="38" t="s">
        <v>951</v>
      </c>
      <c r="B437" s="38" t="n">
        <v>3</v>
      </c>
      <c r="C437" s="53" t="n">
        <v>-0.962234</v>
      </c>
      <c r="D437" s="53" t="n">
        <v>-0.536943</v>
      </c>
      <c r="E437" s="53" t="n">
        <v>-0.749588</v>
      </c>
      <c r="F437" s="53" t="n">
        <v>0.428571</v>
      </c>
      <c r="G437" s="53" t="n">
        <v>0.166667</v>
      </c>
      <c r="H437" s="53" t="n">
        <v>0.2</v>
      </c>
    </row>
    <row r="438" customFormat="false" ht="15" hidden="false" customHeight="true" outlineLevel="0" collapsed="false">
      <c r="A438" s="38" t="s">
        <v>951</v>
      </c>
      <c r="B438" s="38" t="n">
        <v>4</v>
      </c>
      <c r="C438" s="53" t="n">
        <v>-0.743015</v>
      </c>
      <c r="D438" s="53" t="n">
        <v>-0.395827</v>
      </c>
      <c r="E438" s="53" t="n">
        <v>-0.569421</v>
      </c>
      <c r="F438" s="53" t="n">
        <v>0.571429</v>
      </c>
      <c r="G438" s="53" t="n">
        <v>0.083333</v>
      </c>
      <c r="H438" s="53" t="n">
        <v>0</v>
      </c>
    </row>
    <row r="439" customFormat="false" ht="15" hidden="false" customHeight="true" outlineLevel="0" collapsed="false">
      <c r="A439" s="38" t="s">
        <v>951</v>
      </c>
      <c r="B439" s="38" t="n">
        <v>5</v>
      </c>
      <c r="C439" s="53" t="n">
        <v>-0.978442</v>
      </c>
      <c r="D439" s="53" t="n">
        <v>-0.561609</v>
      </c>
      <c r="E439" s="53" t="n">
        <v>-0.770026</v>
      </c>
      <c r="F439" s="53" t="n">
        <v>0.428571</v>
      </c>
      <c r="G439" s="53" t="n">
        <v>0.25</v>
      </c>
      <c r="H439" s="53" t="n">
        <v>0.6</v>
      </c>
    </row>
    <row r="440" customFormat="false" ht="15" hidden="false" customHeight="true" outlineLevel="0" collapsed="false">
      <c r="A440" s="38" t="s">
        <v>951</v>
      </c>
      <c r="B440" s="38" t="n">
        <v>6</v>
      </c>
      <c r="C440" s="53" t="n">
        <v>-0.536695</v>
      </c>
      <c r="D440" s="53" t="n">
        <v>-0.449916</v>
      </c>
      <c r="E440" s="53" t="n">
        <v>-0.493305</v>
      </c>
      <c r="F440" s="53" t="n">
        <v>0.380952</v>
      </c>
      <c r="G440" s="53" t="n">
        <v>0.333333</v>
      </c>
      <c r="H440" s="53" t="n">
        <v>0.2</v>
      </c>
    </row>
    <row r="441" customFormat="false" ht="15" hidden="false" customHeight="true" outlineLevel="0" collapsed="false">
      <c r="A441" s="38" t="s">
        <v>951</v>
      </c>
      <c r="B441" s="38" t="n">
        <v>7</v>
      </c>
      <c r="C441" s="53" t="n">
        <v>-0.820392</v>
      </c>
      <c r="D441" s="53" t="n">
        <v>-0.34192</v>
      </c>
      <c r="E441" s="53" t="n">
        <v>-0.581156</v>
      </c>
      <c r="F441" s="53" t="n">
        <v>0.428571</v>
      </c>
      <c r="G441" s="53" t="n">
        <v>0.166667</v>
      </c>
      <c r="H441" s="53" t="n">
        <v>0</v>
      </c>
    </row>
    <row r="442" customFormat="false" ht="15" hidden="false" customHeight="true" outlineLevel="0" collapsed="false">
      <c r="A442" s="38" t="s">
        <v>951</v>
      </c>
      <c r="B442" s="38" t="n">
        <v>8</v>
      </c>
      <c r="C442" s="53" t="n">
        <v>-0.927584</v>
      </c>
      <c r="D442" s="53" t="n">
        <v>-0.543865</v>
      </c>
      <c r="E442" s="53" t="n">
        <v>-0.735724</v>
      </c>
      <c r="F442" s="53" t="n">
        <v>0.428571</v>
      </c>
      <c r="G442" s="53" t="n">
        <v>0.333333</v>
      </c>
      <c r="H442" s="53" t="n">
        <v>0.4</v>
      </c>
    </row>
    <row r="443" customFormat="false" ht="15" hidden="false" customHeight="true" outlineLevel="0" collapsed="false">
      <c r="A443" s="38" t="s">
        <v>951</v>
      </c>
      <c r="B443" s="38" t="n">
        <v>9</v>
      </c>
      <c r="C443" s="53" t="n">
        <v>-0.982134</v>
      </c>
      <c r="D443" s="53" t="n">
        <v>-0.42021</v>
      </c>
      <c r="E443" s="53" t="n">
        <v>-0.701172</v>
      </c>
      <c r="F443" s="53" t="n">
        <v>0.47619</v>
      </c>
      <c r="G443" s="53" t="n">
        <v>0.166667</v>
      </c>
      <c r="H443" s="53" t="n">
        <v>0</v>
      </c>
    </row>
    <row r="444" customFormat="false" ht="15" hidden="false" customHeight="true" outlineLevel="0" collapsed="false">
      <c r="A444" s="38" t="s">
        <v>951</v>
      </c>
      <c r="B444" s="38" t="n">
        <v>10</v>
      </c>
      <c r="C444" s="53" t="n">
        <v>-0.826389</v>
      </c>
      <c r="D444" s="53" t="n">
        <v>-0.356312</v>
      </c>
      <c r="E444" s="53" t="n">
        <v>-0.59135</v>
      </c>
      <c r="F444" s="53" t="n">
        <v>0.428571</v>
      </c>
      <c r="G444" s="53" t="n">
        <v>0.166667</v>
      </c>
      <c r="H444" s="53" t="n">
        <v>0</v>
      </c>
    </row>
    <row r="445" customFormat="false" ht="15" hidden="false" customHeight="true" outlineLevel="0" collapsed="false">
      <c r="A445" s="38" t="s">
        <v>952</v>
      </c>
      <c r="B445" s="38" t="n">
        <v>1</v>
      </c>
      <c r="C445" s="53" t="n">
        <v>-0.661937</v>
      </c>
      <c r="D445" s="53" t="n">
        <v>-0.302309</v>
      </c>
      <c r="E445" s="53" t="n">
        <v>-0.482123</v>
      </c>
      <c r="F445" s="53" t="n">
        <v>0.47619</v>
      </c>
      <c r="G445" s="53" t="n">
        <v>0.5</v>
      </c>
      <c r="H445" s="53" t="n">
        <v>0.6</v>
      </c>
    </row>
    <row r="446" customFormat="false" ht="15" hidden="false" customHeight="true" outlineLevel="0" collapsed="false">
      <c r="A446" s="38" t="s">
        <v>952</v>
      </c>
      <c r="B446" s="38" t="n">
        <v>2</v>
      </c>
      <c r="C446" s="53" t="n">
        <v>-0.915479</v>
      </c>
      <c r="D446" s="53" t="n">
        <v>-0.505765</v>
      </c>
      <c r="E446" s="53" t="n">
        <v>-0.710622</v>
      </c>
      <c r="F446" s="53" t="n">
        <v>0.428571</v>
      </c>
      <c r="G446" s="53" t="n">
        <v>0.166667</v>
      </c>
      <c r="H446" s="53" t="n">
        <v>0.2</v>
      </c>
    </row>
    <row r="447" customFormat="false" ht="15" hidden="false" customHeight="true" outlineLevel="0" collapsed="false">
      <c r="A447" s="38" t="s">
        <v>952</v>
      </c>
      <c r="B447" s="38" t="n">
        <v>3</v>
      </c>
      <c r="C447" s="53" t="n">
        <v>-0.657533</v>
      </c>
      <c r="D447" s="53" t="n">
        <v>-0.419959</v>
      </c>
      <c r="E447" s="53" t="n">
        <v>-0.538746</v>
      </c>
      <c r="F447" s="53" t="n">
        <v>0.285714</v>
      </c>
      <c r="G447" s="53" t="n">
        <v>0.25</v>
      </c>
      <c r="H447" s="53" t="n">
        <v>0.2</v>
      </c>
    </row>
    <row r="448" customFormat="false" ht="15" hidden="false" customHeight="true" outlineLevel="0" collapsed="false">
      <c r="A448" s="38" t="s">
        <v>952</v>
      </c>
      <c r="B448" s="38" t="n">
        <v>4</v>
      </c>
      <c r="C448" s="53" t="n">
        <v>-0.791991</v>
      </c>
      <c r="D448" s="53" t="n">
        <v>-0.312142</v>
      </c>
      <c r="E448" s="53" t="n">
        <v>-0.552067</v>
      </c>
      <c r="F448" s="53" t="n">
        <v>0.333333</v>
      </c>
      <c r="G448" s="53" t="n">
        <v>0.166667</v>
      </c>
      <c r="H448" s="53" t="n">
        <v>0.2</v>
      </c>
    </row>
    <row r="449" customFormat="false" ht="15" hidden="false" customHeight="true" outlineLevel="0" collapsed="false">
      <c r="A449" s="38" t="s">
        <v>952</v>
      </c>
      <c r="B449" s="38" t="n">
        <v>5</v>
      </c>
      <c r="C449" s="53" t="n">
        <v>-0.892777</v>
      </c>
      <c r="D449" s="53" t="n">
        <v>-0.379356</v>
      </c>
      <c r="E449" s="53" t="n">
        <v>-0.636066</v>
      </c>
      <c r="F449" s="53" t="n">
        <v>0.47619</v>
      </c>
      <c r="G449" s="53" t="n">
        <v>0.166667</v>
      </c>
      <c r="H449" s="53" t="n">
        <v>0</v>
      </c>
    </row>
    <row r="450" customFormat="false" ht="15" hidden="false" customHeight="true" outlineLevel="0" collapsed="false">
      <c r="A450" s="38" t="s">
        <v>952</v>
      </c>
      <c r="B450" s="38" t="n">
        <v>6</v>
      </c>
      <c r="C450" s="53" t="n">
        <v>-0.883325</v>
      </c>
      <c r="D450" s="53" t="n">
        <v>-0.469182</v>
      </c>
      <c r="E450" s="53" t="n">
        <v>-0.676254</v>
      </c>
      <c r="F450" s="53" t="n">
        <v>0.571429</v>
      </c>
      <c r="G450" s="53" t="n">
        <v>0.166667</v>
      </c>
      <c r="H450" s="53" t="n">
        <v>0.4</v>
      </c>
    </row>
    <row r="451" customFormat="false" ht="15" hidden="false" customHeight="true" outlineLevel="0" collapsed="false">
      <c r="A451" s="38" t="s">
        <v>952</v>
      </c>
      <c r="B451" s="38" t="n">
        <v>7</v>
      </c>
      <c r="C451" s="53" t="n">
        <v>-0.797116</v>
      </c>
      <c r="D451" s="53" t="n">
        <v>-0.243306</v>
      </c>
      <c r="E451" s="53" t="n">
        <v>-0.520211</v>
      </c>
      <c r="F451" s="53" t="n">
        <v>0.238095</v>
      </c>
      <c r="G451" s="53" t="n">
        <v>0.166667</v>
      </c>
      <c r="H451" s="53" t="n">
        <v>0</v>
      </c>
    </row>
    <row r="452" customFormat="false" ht="15" hidden="false" customHeight="true" outlineLevel="0" collapsed="false">
      <c r="A452" s="38" t="s">
        <v>952</v>
      </c>
      <c r="B452" s="38" t="n">
        <v>8</v>
      </c>
      <c r="C452" s="53" t="n">
        <v>-0.916499</v>
      </c>
      <c r="D452" s="53" t="n">
        <v>-0.575579</v>
      </c>
      <c r="E452" s="53" t="n">
        <v>-0.746039</v>
      </c>
      <c r="F452" s="53" t="n">
        <v>0.571429</v>
      </c>
      <c r="G452" s="53" t="n">
        <v>0.25</v>
      </c>
      <c r="H452" s="53" t="n">
        <v>0</v>
      </c>
    </row>
    <row r="453" customFormat="false" ht="15" hidden="false" customHeight="true" outlineLevel="0" collapsed="false">
      <c r="A453" s="38" t="s">
        <v>952</v>
      </c>
      <c r="B453" s="38" t="n">
        <v>9</v>
      </c>
      <c r="C453" s="53" t="n">
        <v>-0.468743</v>
      </c>
      <c r="D453" s="53" t="n">
        <v>-0.411708</v>
      </c>
      <c r="E453" s="53" t="n">
        <v>-0.440225</v>
      </c>
      <c r="F453" s="53" t="n">
        <v>0.52381</v>
      </c>
      <c r="G453" s="53" t="n">
        <v>0.5</v>
      </c>
      <c r="H453" s="53" t="n">
        <v>0.4</v>
      </c>
    </row>
    <row r="454" customFormat="false" ht="15" hidden="false" customHeight="true" outlineLevel="0" collapsed="false">
      <c r="A454" s="38" t="s">
        <v>952</v>
      </c>
      <c r="B454" s="38" t="n">
        <v>10</v>
      </c>
      <c r="C454" s="53" t="n">
        <v>-0.67014</v>
      </c>
      <c r="D454" s="53" t="n">
        <v>-0.401011</v>
      </c>
      <c r="E454" s="53" t="n">
        <v>-0.535575</v>
      </c>
      <c r="F454" s="53" t="n">
        <v>0.52381</v>
      </c>
      <c r="G454" s="53" t="n">
        <v>0.166667</v>
      </c>
      <c r="H454" s="53" t="n">
        <v>0.2</v>
      </c>
    </row>
    <row r="455" customFormat="false" ht="15" hidden="false" customHeight="true" outlineLevel="0" collapsed="false">
      <c r="A455" s="38" t="s">
        <v>953</v>
      </c>
      <c r="B455" s="38" t="n">
        <v>1</v>
      </c>
      <c r="C455" s="53" t="n">
        <v>-0.812838</v>
      </c>
      <c r="D455" s="53" t="n">
        <v>-0.392077</v>
      </c>
      <c r="E455" s="53" t="n">
        <v>-0.602458</v>
      </c>
      <c r="F455" s="53" t="n">
        <v>0.380952</v>
      </c>
      <c r="G455" s="53" t="n">
        <v>0.333333</v>
      </c>
      <c r="H455" s="53" t="n">
        <v>0.6</v>
      </c>
    </row>
    <row r="456" customFormat="false" ht="15" hidden="false" customHeight="true" outlineLevel="0" collapsed="false">
      <c r="A456" s="38" t="s">
        <v>953</v>
      </c>
      <c r="B456" s="38" t="n">
        <v>2</v>
      </c>
      <c r="C456" s="53" t="n">
        <v>-0.599731</v>
      </c>
      <c r="D456" s="53" t="n">
        <v>-0.406381</v>
      </c>
      <c r="E456" s="53" t="n">
        <v>-0.503056</v>
      </c>
      <c r="F456" s="53" t="n">
        <v>0.380952</v>
      </c>
      <c r="G456" s="53" t="n">
        <v>0.333333</v>
      </c>
      <c r="H456" s="53" t="n">
        <v>0.4</v>
      </c>
    </row>
    <row r="457" customFormat="false" ht="15" hidden="false" customHeight="true" outlineLevel="0" collapsed="false">
      <c r="A457" s="38" t="s">
        <v>953</v>
      </c>
      <c r="B457" s="38" t="n">
        <v>3</v>
      </c>
      <c r="C457" s="53" t="n">
        <v>-0.767266</v>
      </c>
      <c r="D457" s="53" t="n">
        <v>-0.370023</v>
      </c>
      <c r="E457" s="53" t="n">
        <v>-0.568644</v>
      </c>
      <c r="F457" s="53" t="n">
        <v>0.47619</v>
      </c>
      <c r="G457" s="53" t="n">
        <v>0.25</v>
      </c>
      <c r="H457" s="53" t="n">
        <v>0.4</v>
      </c>
    </row>
    <row r="458" customFormat="false" ht="15" hidden="false" customHeight="true" outlineLevel="0" collapsed="false">
      <c r="A458" s="38" t="s">
        <v>953</v>
      </c>
      <c r="B458" s="38" t="n">
        <v>4</v>
      </c>
      <c r="C458" s="53" t="n">
        <v>-0.825633</v>
      </c>
      <c r="D458" s="53" t="n">
        <v>-0.462783</v>
      </c>
      <c r="E458" s="53" t="n">
        <v>-0.644208</v>
      </c>
      <c r="F458" s="53" t="n">
        <v>0.380952</v>
      </c>
      <c r="G458" s="53" t="n">
        <v>0.083333</v>
      </c>
      <c r="H458" s="53" t="n">
        <v>0</v>
      </c>
    </row>
    <row r="459" customFormat="false" ht="15" hidden="false" customHeight="true" outlineLevel="0" collapsed="false">
      <c r="A459" s="38" t="s">
        <v>953</v>
      </c>
      <c r="B459" s="38" t="n">
        <v>5</v>
      </c>
      <c r="C459" s="53" t="n">
        <v>-0.902657</v>
      </c>
      <c r="D459" s="53" t="n">
        <v>-0.476195</v>
      </c>
      <c r="E459" s="53" t="n">
        <v>-0.689426</v>
      </c>
      <c r="F459" s="53" t="n">
        <v>0.333333</v>
      </c>
      <c r="G459" s="53" t="n">
        <v>0.25</v>
      </c>
      <c r="H459" s="53" t="n">
        <v>0.4</v>
      </c>
    </row>
    <row r="460" customFormat="false" ht="15" hidden="false" customHeight="true" outlineLevel="0" collapsed="false">
      <c r="A460" s="38" t="s">
        <v>953</v>
      </c>
      <c r="B460" s="38" t="n">
        <v>6</v>
      </c>
      <c r="C460" s="53" t="n">
        <v>-0.918339</v>
      </c>
      <c r="D460" s="53" t="n">
        <v>-0.469756</v>
      </c>
      <c r="E460" s="53" t="n">
        <v>-0.694048</v>
      </c>
      <c r="F460" s="53" t="n">
        <v>0.428571</v>
      </c>
      <c r="G460" s="53" t="n">
        <v>0.25</v>
      </c>
      <c r="H460" s="53" t="n">
        <v>0.4</v>
      </c>
    </row>
    <row r="461" customFormat="false" ht="15" hidden="false" customHeight="true" outlineLevel="0" collapsed="false">
      <c r="A461" s="38" t="s">
        <v>953</v>
      </c>
      <c r="B461" s="38" t="n">
        <v>7</v>
      </c>
      <c r="C461" s="53" t="n">
        <v>-0.673118</v>
      </c>
      <c r="D461" s="53" t="n">
        <v>-0.386014</v>
      </c>
      <c r="E461" s="53" t="n">
        <v>-0.529566</v>
      </c>
      <c r="F461" s="53" t="n">
        <v>0.428571</v>
      </c>
      <c r="G461" s="53" t="n">
        <v>0.166667</v>
      </c>
      <c r="H461" s="53" t="n">
        <v>0</v>
      </c>
    </row>
    <row r="462" customFormat="false" ht="15" hidden="false" customHeight="true" outlineLevel="0" collapsed="false">
      <c r="A462" s="38" t="s">
        <v>953</v>
      </c>
      <c r="B462" s="38" t="n">
        <v>8</v>
      </c>
      <c r="C462" s="53" t="n">
        <v>-0.935887</v>
      </c>
      <c r="D462" s="53" t="n">
        <v>-0.583517</v>
      </c>
      <c r="E462" s="53" t="n">
        <v>-0.759702</v>
      </c>
      <c r="F462" s="53" t="n">
        <v>0.380952</v>
      </c>
      <c r="G462" s="53" t="n">
        <v>0.166667</v>
      </c>
      <c r="H462" s="53" t="n">
        <v>0.4</v>
      </c>
    </row>
    <row r="463" customFormat="false" ht="15" hidden="false" customHeight="true" outlineLevel="0" collapsed="false">
      <c r="A463" s="38" t="s">
        <v>953</v>
      </c>
      <c r="B463" s="38" t="n">
        <v>9</v>
      </c>
      <c r="C463" s="53" t="n">
        <v>-0.712492</v>
      </c>
      <c r="D463" s="53" t="n">
        <v>-0.495629</v>
      </c>
      <c r="E463" s="53" t="n">
        <v>-0.604061</v>
      </c>
      <c r="F463" s="53" t="n">
        <v>0.380952</v>
      </c>
      <c r="G463" s="53" t="n">
        <v>0.333333</v>
      </c>
      <c r="H463" s="53" t="n">
        <v>0.2</v>
      </c>
    </row>
    <row r="464" customFormat="false" ht="15" hidden="false" customHeight="true" outlineLevel="0" collapsed="false">
      <c r="A464" s="38" t="s">
        <v>953</v>
      </c>
      <c r="B464" s="38" t="n">
        <v>10</v>
      </c>
      <c r="C464" s="53" t="n">
        <v>-0.717972</v>
      </c>
      <c r="D464" s="53" t="n">
        <v>-0.634489</v>
      </c>
      <c r="E464" s="53" t="n">
        <v>-0.676231</v>
      </c>
      <c r="F464" s="53" t="n">
        <v>0.285714</v>
      </c>
      <c r="G464" s="53" t="n">
        <v>0.416667</v>
      </c>
      <c r="H464" s="53" t="n">
        <v>0.4</v>
      </c>
    </row>
    <row r="465" customFormat="false" ht="15" hidden="false" customHeight="true" outlineLevel="0" collapsed="false">
      <c r="A465" s="38" t="s">
        <v>954</v>
      </c>
      <c r="B465" s="38" t="n">
        <v>1</v>
      </c>
      <c r="C465" s="53" t="n">
        <v>-0.711067</v>
      </c>
      <c r="D465" s="53" t="n">
        <v>-0.324796</v>
      </c>
      <c r="E465" s="53" t="n">
        <v>-0.517932</v>
      </c>
      <c r="F465" s="53" t="n">
        <v>0.428571</v>
      </c>
      <c r="G465" s="53" t="n">
        <v>0.083333</v>
      </c>
      <c r="H465" s="53" t="n">
        <v>0.2</v>
      </c>
    </row>
    <row r="466" customFormat="false" ht="15" hidden="false" customHeight="true" outlineLevel="0" collapsed="false">
      <c r="A466" s="38" t="s">
        <v>954</v>
      </c>
      <c r="B466" s="38" t="n">
        <v>2</v>
      </c>
      <c r="C466" s="53" t="n">
        <v>-0.848438</v>
      </c>
      <c r="D466" s="53" t="n">
        <v>-0.443647</v>
      </c>
      <c r="E466" s="53" t="n">
        <v>-0.646043</v>
      </c>
      <c r="F466" s="53" t="n">
        <v>0.428571</v>
      </c>
      <c r="G466" s="53" t="n">
        <v>0.083333</v>
      </c>
      <c r="H466" s="53" t="n">
        <v>0</v>
      </c>
    </row>
    <row r="467" customFormat="false" ht="15" hidden="false" customHeight="true" outlineLevel="0" collapsed="false">
      <c r="A467" s="38" t="s">
        <v>954</v>
      </c>
      <c r="B467" s="38" t="n">
        <v>3</v>
      </c>
      <c r="C467" s="53" t="n">
        <v>-1.114049</v>
      </c>
      <c r="D467" s="53" t="n">
        <v>-0.628552</v>
      </c>
      <c r="E467" s="53" t="n">
        <v>-0.8713</v>
      </c>
      <c r="F467" s="53" t="n">
        <v>0.380952</v>
      </c>
      <c r="G467" s="53" t="n">
        <v>0.083333</v>
      </c>
      <c r="H467" s="53" t="n">
        <v>0</v>
      </c>
    </row>
    <row r="468" customFormat="false" ht="15" hidden="false" customHeight="true" outlineLevel="0" collapsed="false">
      <c r="A468" s="38" t="s">
        <v>954</v>
      </c>
      <c r="B468" s="38" t="n">
        <v>4</v>
      </c>
      <c r="C468" s="53" t="n">
        <v>-0.878154</v>
      </c>
      <c r="D468" s="53" t="n">
        <v>-0.441651</v>
      </c>
      <c r="E468" s="53" t="n">
        <v>-0.659903</v>
      </c>
      <c r="F468" s="53" t="n">
        <v>0.333333</v>
      </c>
      <c r="G468" s="53" t="n">
        <v>0.25</v>
      </c>
      <c r="H468" s="53" t="n">
        <v>0</v>
      </c>
    </row>
    <row r="469" customFormat="false" ht="15" hidden="false" customHeight="true" outlineLevel="0" collapsed="false">
      <c r="A469" s="38" t="s">
        <v>954</v>
      </c>
      <c r="B469" s="38" t="n">
        <v>5</v>
      </c>
      <c r="C469" s="53" t="n">
        <v>-0.854969</v>
      </c>
      <c r="D469" s="53" t="n">
        <v>-0.497704</v>
      </c>
      <c r="E469" s="53" t="n">
        <v>-0.676336</v>
      </c>
      <c r="F469" s="53" t="n">
        <v>0.428571</v>
      </c>
      <c r="G469" s="53" t="n">
        <v>0.166667</v>
      </c>
      <c r="H469" s="53" t="n">
        <v>0</v>
      </c>
    </row>
    <row r="470" customFormat="false" ht="15" hidden="false" customHeight="true" outlineLevel="0" collapsed="false">
      <c r="A470" s="38" t="s">
        <v>954</v>
      </c>
      <c r="B470" s="38" t="n">
        <v>6</v>
      </c>
      <c r="C470" s="53" t="n">
        <v>-0.833774</v>
      </c>
      <c r="D470" s="53" t="n">
        <v>-0.494887</v>
      </c>
      <c r="E470" s="53" t="n">
        <v>-0.66433</v>
      </c>
      <c r="F470" s="53" t="n">
        <v>0.190476</v>
      </c>
      <c r="G470" s="53" t="n">
        <v>0.083333</v>
      </c>
      <c r="H470" s="53" t="n">
        <v>0.2</v>
      </c>
    </row>
    <row r="471" customFormat="false" ht="15" hidden="false" customHeight="true" outlineLevel="0" collapsed="false">
      <c r="A471" s="38" t="s">
        <v>954</v>
      </c>
      <c r="B471" s="38" t="n">
        <v>7</v>
      </c>
      <c r="C471" s="53" t="n">
        <v>-0.809888</v>
      </c>
      <c r="D471" s="53" t="n">
        <v>-0.354265</v>
      </c>
      <c r="E471" s="53" t="n">
        <v>-0.582077</v>
      </c>
      <c r="F471" s="53" t="n">
        <v>0.380952</v>
      </c>
      <c r="G471" s="53" t="n">
        <v>0.25</v>
      </c>
      <c r="H471" s="53" t="n">
        <v>0</v>
      </c>
    </row>
    <row r="472" customFormat="false" ht="15" hidden="false" customHeight="true" outlineLevel="0" collapsed="false">
      <c r="A472" s="38" t="s">
        <v>954</v>
      </c>
      <c r="B472" s="38" t="n">
        <v>8</v>
      </c>
      <c r="C472" s="53" t="n">
        <v>-0.510868</v>
      </c>
      <c r="D472" s="53" t="n">
        <v>-0.399502</v>
      </c>
      <c r="E472" s="53" t="n">
        <v>-0.455185</v>
      </c>
      <c r="F472" s="53" t="n">
        <v>0.380952</v>
      </c>
      <c r="G472" s="53" t="n">
        <v>0.25</v>
      </c>
      <c r="H472" s="53" t="n">
        <v>0.4</v>
      </c>
    </row>
    <row r="473" customFormat="false" ht="15" hidden="false" customHeight="true" outlineLevel="0" collapsed="false">
      <c r="A473" s="38" t="s">
        <v>954</v>
      </c>
      <c r="B473" s="38" t="n">
        <v>9</v>
      </c>
      <c r="C473" s="53" t="n">
        <v>-0.758844</v>
      </c>
      <c r="D473" s="53" t="n">
        <v>-0.364435</v>
      </c>
      <c r="E473" s="53" t="n">
        <v>-0.561639</v>
      </c>
      <c r="F473" s="53" t="n">
        <v>0.47619</v>
      </c>
      <c r="G473" s="53" t="n">
        <v>0.25</v>
      </c>
      <c r="H473" s="53" t="n">
        <v>0.4</v>
      </c>
    </row>
    <row r="474" customFormat="false" ht="15" hidden="false" customHeight="true" outlineLevel="0" collapsed="false">
      <c r="A474" s="38" t="s">
        <v>954</v>
      </c>
      <c r="B474" s="38" t="n">
        <v>10</v>
      </c>
      <c r="C474" s="53" t="n">
        <v>-0.672628</v>
      </c>
      <c r="D474" s="53" t="n">
        <v>-0.543457</v>
      </c>
      <c r="E474" s="53" t="n">
        <v>-0.608043</v>
      </c>
      <c r="F474" s="53" t="n">
        <v>0.333333</v>
      </c>
      <c r="G474" s="53" t="n">
        <v>0.416667</v>
      </c>
      <c r="H474" s="53" t="n">
        <v>0.4</v>
      </c>
    </row>
    <row r="475" customFormat="false" ht="15" hidden="false" customHeight="true" outlineLevel="0" collapsed="false">
      <c r="A475" s="38" t="s">
        <v>955</v>
      </c>
      <c r="B475" s="38" t="n">
        <v>1</v>
      </c>
      <c r="C475" s="53" t="n">
        <v>-0.693472</v>
      </c>
      <c r="D475" s="53" t="n">
        <v>-0.524363</v>
      </c>
      <c r="E475" s="53" t="n">
        <v>-0.608917</v>
      </c>
      <c r="F475" s="53" t="n">
        <v>0.47619</v>
      </c>
      <c r="G475" s="53" t="n">
        <v>0.25</v>
      </c>
      <c r="H475" s="53" t="n">
        <v>0.6</v>
      </c>
    </row>
    <row r="476" customFormat="false" ht="15" hidden="false" customHeight="true" outlineLevel="0" collapsed="false">
      <c r="A476" s="38" t="s">
        <v>955</v>
      </c>
      <c r="B476" s="38" t="n">
        <v>2</v>
      </c>
      <c r="C476" s="53" t="n">
        <v>-0.621635</v>
      </c>
      <c r="D476" s="53" t="n">
        <v>-0.481693</v>
      </c>
      <c r="E476" s="53" t="n">
        <v>-0.551664</v>
      </c>
      <c r="F476" s="53" t="n">
        <v>0.190476</v>
      </c>
      <c r="G476" s="53" t="n">
        <v>0.333333</v>
      </c>
      <c r="H476" s="53" t="n">
        <v>0.4</v>
      </c>
    </row>
    <row r="477" customFormat="false" ht="15" hidden="false" customHeight="true" outlineLevel="0" collapsed="false">
      <c r="A477" s="38" t="s">
        <v>955</v>
      </c>
      <c r="B477" s="38" t="n">
        <v>3</v>
      </c>
      <c r="C477" s="53" t="n">
        <v>-0.617015</v>
      </c>
      <c r="D477" s="53" t="n">
        <v>-0.295668</v>
      </c>
      <c r="E477" s="53" t="n">
        <v>-0.456342</v>
      </c>
      <c r="F477" s="53" t="n">
        <v>0.380952</v>
      </c>
      <c r="G477" s="53" t="n">
        <v>0.333333</v>
      </c>
      <c r="H477" s="53" t="n">
        <v>0.2</v>
      </c>
    </row>
    <row r="478" customFormat="false" ht="15" hidden="false" customHeight="true" outlineLevel="0" collapsed="false">
      <c r="A478" s="38" t="s">
        <v>955</v>
      </c>
      <c r="B478" s="38" t="n">
        <v>4</v>
      </c>
      <c r="C478" s="53" t="n">
        <v>-0.838076</v>
      </c>
      <c r="D478" s="53" t="n">
        <v>-0.507129</v>
      </c>
      <c r="E478" s="53" t="n">
        <v>-0.672603</v>
      </c>
      <c r="F478" s="53" t="n">
        <v>0.47619</v>
      </c>
      <c r="G478" s="53" t="n">
        <v>0.083333</v>
      </c>
      <c r="H478" s="53" t="n">
        <v>0</v>
      </c>
    </row>
    <row r="479" customFormat="false" ht="15" hidden="false" customHeight="true" outlineLevel="0" collapsed="false">
      <c r="A479" s="38" t="s">
        <v>955</v>
      </c>
      <c r="B479" s="38" t="n">
        <v>5</v>
      </c>
      <c r="C479" s="53" t="n">
        <v>-0.826316</v>
      </c>
      <c r="D479" s="53" t="n">
        <v>-0.530075</v>
      </c>
      <c r="E479" s="53" t="n">
        <v>-0.678195</v>
      </c>
      <c r="F479" s="53" t="n">
        <v>0.333333</v>
      </c>
      <c r="G479" s="53" t="n">
        <v>0.25</v>
      </c>
      <c r="H479" s="53" t="n">
        <v>0</v>
      </c>
    </row>
    <row r="480" customFormat="false" ht="15" hidden="false" customHeight="true" outlineLevel="0" collapsed="false">
      <c r="A480" s="38" t="s">
        <v>955</v>
      </c>
      <c r="B480" s="38" t="n">
        <v>6</v>
      </c>
      <c r="C480" s="53" t="n">
        <v>-0.569355</v>
      </c>
      <c r="D480" s="53" t="n">
        <v>-0.342716</v>
      </c>
      <c r="E480" s="53" t="n">
        <v>-0.456035</v>
      </c>
      <c r="F480" s="53" t="n">
        <v>0.666667</v>
      </c>
      <c r="G480" s="53" t="n">
        <v>0.25</v>
      </c>
      <c r="H480" s="53" t="n">
        <v>0</v>
      </c>
    </row>
    <row r="481" customFormat="false" ht="15" hidden="false" customHeight="true" outlineLevel="0" collapsed="false">
      <c r="A481" s="38" t="s">
        <v>955</v>
      </c>
      <c r="B481" s="38" t="n">
        <v>7</v>
      </c>
      <c r="C481" s="53" t="n">
        <v>-0.579131</v>
      </c>
      <c r="D481" s="53" t="n">
        <v>-0.342063</v>
      </c>
      <c r="E481" s="53" t="n">
        <v>-0.460597</v>
      </c>
      <c r="F481" s="53" t="n">
        <v>0.571429</v>
      </c>
      <c r="G481" s="53" t="n">
        <v>0.166667</v>
      </c>
      <c r="H481" s="53" t="n">
        <v>0.2</v>
      </c>
    </row>
    <row r="482" customFormat="false" ht="15" hidden="false" customHeight="true" outlineLevel="0" collapsed="false">
      <c r="A482" s="38" t="s">
        <v>955</v>
      </c>
      <c r="B482" s="38" t="n">
        <v>8</v>
      </c>
      <c r="C482" s="53" t="n">
        <v>-0.905932</v>
      </c>
      <c r="D482" s="53" t="n">
        <v>-0.428128</v>
      </c>
      <c r="E482" s="53" t="n">
        <v>-0.66703</v>
      </c>
      <c r="F482" s="53" t="n">
        <v>0.52381</v>
      </c>
      <c r="G482" s="53" t="n">
        <v>0.083333</v>
      </c>
      <c r="H482" s="53" t="n">
        <v>0</v>
      </c>
    </row>
    <row r="483" customFormat="false" ht="15" hidden="false" customHeight="true" outlineLevel="0" collapsed="false">
      <c r="A483" s="38" t="s">
        <v>955</v>
      </c>
      <c r="B483" s="38" t="n">
        <v>9</v>
      </c>
      <c r="C483" s="53" t="n">
        <v>-0.660425</v>
      </c>
      <c r="D483" s="53" t="n">
        <v>-0.358384</v>
      </c>
      <c r="E483" s="53" t="n">
        <v>-0.509405</v>
      </c>
      <c r="F483" s="53" t="n">
        <v>0.285714</v>
      </c>
      <c r="G483" s="53" t="n">
        <v>0.166667</v>
      </c>
      <c r="H483" s="53" t="n">
        <v>0.2</v>
      </c>
    </row>
    <row r="484" customFormat="false" ht="15" hidden="false" customHeight="true" outlineLevel="0" collapsed="false">
      <c r="A484" s="38" t="s">
        <v>955</v>
      </c>
      <c r="B484" s="38" t="n">
        <v>10</v>
      </c>
      <c r="C484" s="53" t="n">
        <v>-0.844868</v>
      </c>
      <c r="D484" s="53" t="n">
        <v>-0.391355</v>
      </c>
      <c r="E484" s="53" t="n">
        <v>-0.618112</v>
      </c>
      <c r="F484" s="53" t="n">
        <v>0.428571</v>
      </c>
      <c r="G484" s="53" t="n">
        <v>0.25</v>
      </c>
      <c r="H484" s="53" t="n">
        <v>0.2</v>
      </c>
    </row>
    <row r="485" customFormat="false" ht="15" hidden="false" customHeight="true" outlineLevel="0" collapsed="false">
      <c r="A485" s="38" t="s">
        <v>956</v>
      </c>
      <c r="B485" s="38" t="n">
        <v>1</v>
      </c>
      <c r="C485" s="53" t="n">
        <v>-0.940195</v>
      </c>
      <c r="D485" s="53" t="n">
        <v>-0.482268</v>
      </c>
      <c r="E485" s="53" t="n">
        <v>-0.711232</v>
      </c>
      <c r="F485" s="53" t="n">
        <v>0.285714</v>
      </c>
      <c r="G485" s="53" t="n">
        <v>0.25</v>
      </c>
      <c r="H485" s="53" t="n">
        <v>0.4</v>
      </c>
    </row>
    <row r="486" customFormat="false" ht="15" hidden="false" customHeight="true" outlineLevel="0" collapsed="false">
      <c r="A486" s="38" t="s">
        <v>956</v>
      </c>
      <c r="B486" s="38" t="n">
        <v>2</v>
      </c>
      <c r="C486" s="53" t="n">
        <v>-0.638</v>
      </c>
      <c r="D486" s="53" t="n">
        <v>-0.37916</v>
      </c>
      <c r="E486" s="53" t="n">
        <v>-0.50858</v>
      </c>
      <c r="F486" s="53" t="n">
        <v>0.380952</v>
      </c>
      <c r="G486" s="53" t="n">
        <v>0.166667</v>
      </c>
      <c r="H486" s="53" t="n">
        <v>0</v>
      </c>
    </row>
    <row r="487" customFormat="false" ht="15" hidden="false" customHeight="true" outlineLevel="0" collapsed="false">
      <c r="A487" s="38" t="s">
        <v>956</v>
      </c>
      <c r="B487" s="38" t="n">
        <v>3</v>
      </c>
      <c r="C487" s="53" t="n">
        <v>-0.642332</v>
      </c>
      <c r="D487" s="53" t="n">
        <v>-0.191316</v>
      </c>
      <c r="E487" s="53" t="n">
        <v>-0.416824</v>
      </c>
      <c r="F487" s="53" t="n">
        <v>0.285714</v>
      </c>
      <c r="G487" s="53" t="n">
        <v>0.333333</v>
      </c>
      <c r="H487" s="53" t="n">
        <v>0.2</v>
      </c>
    </row>
    <row r="488" customFormat="false" ht="15" hidden="false" customHeight="true" outlineLevel="0" collapsed="false">
      <c r="A488" s="38" t="s">
        <v>956</v>
      </c>
      <c r="B488" s="38" t="n">
        <v>4</v>
      </c>
      <c r="C488" s="53" t="n">
        <v>-0.707979</v>
      </c>
      <c r="D488" s="53" t="n">
        <v>-0.373498</v>
      </c>
      <c r="E488" s="53" t="n">
        <v>-0.540739</v>
      </c>
      <c r="F488" s="53" t="n">
        <v>0.428571</v>
      </c>
      <c r="G488" s="53" t="n">
        <v>0.416667</v>
      </c>
      <c r="H488" s="53" t="n">
        <v>0.2</v>
      </c>
    </row>
    <row r="489" customFormat="false" ht="15" hidden="false" customHeight="true" outlineLevel="0" collapsed="false">
      <c r="A489" s="38" t="s">
        <v>956</v>
      </c>
      <c r="B489" s="38" t="n">
        <v>5</v>
      </c>
      <c r="C489" s="53" t="n">
        <v>-0.872729</v>
      </c>
      <c r="D489" s="53" t="n">
        <v>-0.52947</v>
      </c>
      <c r="E489" s="53" t="n">
        <v>-0.7011</v>
      </c>
      <c r="F489" s="53" t="n">
        <v>0.380952</v>
      </c>
      <c r="G489" s="53" t="n">
        <v>0.083333</v>
      </c>
      <c r="H489" s="53" t="n">
        <v>0.2</v>
      </c>
    </row>
    <row r="490" customFormat="false" ht="15" hidden="false" customHeight="true" outlineLevel="0" collapsed="false">
      <c r="A490" s="38" t="s">
        <v>956</v>
      </c>
      <c r="B490" s="38" t="n">
        <v>6</v>
      </c>
      <c r="C490" s="53" t="n">
        <v>-0.808001</v>
      </c>
      <c r="D490" s="53" t="n">
        <v>-0.360409</v>
      </c>
      <c r="E490" s="53" t="n">
        <v>-0.584205</v>
      </c>
      <c r="F490" s="53" t="n">
        <v>0.47619</v>
      </c>
      <c r="G490" s="53" t="n">
        <v>0.083333</v>
      </c>
      <c r="H490" s="53" t="n">
        <v>0</v>
      </c>
    </row>
    <row r="491" customFormat="false" ht="15" hidden="false" customHeight="true" outlineLevel="0" collapsed="false">
      <c r="A491" s="38" t="s">
        <v>956</v>
      </c>
      <c r="B491" s="38" t="n">
        <v>7</v>
      </c>
      <c r="C491" s="53" t="n">
        <v>-0.816267</v>
      </c>
      <c r="D491" s="53" t="n">
        <v>-0.632967</v>
      </c>
      <c r="E491" s="53" t="n">
        <v>-0.724617</v>
      </c>
      <c r="F491" s="53" t="n">
        <v>0.380952</v>
      </c>
      <c r="G491" s="53" t="n">
        <v>0.166667</v>
      </c>
      <c r="H491" s="53" t="n">
        <v>0.4</v>
      </c>
    </row>
    <row r="492" customFormat="false" ht="15" hidden="false" customHeight="true" outlineLevel="0" collapsed="false">
      <c r="A492" s="38" t="s">
        <v>956</v>
      </c>
      <c r="B492" s="38" t="n">
        <v>8</v>
      </c>
      <c r="C492" s="53" t="n">
        <v>-0.903132</v>
      </c>
      <c r="D492" s="53" t="n">
        <v>-0.412748</v>
      </c>
      <c r="E492" s="53" t="n">
        <v>-0.65794</v>
      </c>
      <c r="F492" s="53" t="n">
        <v>0.380952</v>
      </c>
      <c r="G492" s="53" t="n">
        <v>0.166667</v>
      </c>
      <c r="H492" s="53" t="n">
        <v>0.2</v>
      </c>
    </row>
    <row r="493" customFormat="false" ht="15" hidden="false" customHeight="true" outlineLevel="0" collapsed="false">
      <c r="A493" s="38" t="s">
        <v>956</v>
      </c>
      <c r="B493" s="38" t="n">
        <v>9</v>
      </c>
      <c r="C493" s="53" t="n">
        <v>-0.677063</v>
      </c>
      <c r="D493" s="53" t="n">
        <v>-0.383133</v>
      </c>
      <c r="E493" s="53" t="n">
        <v>-0.530098</v>
      </c>
      <c r="F493" s="53" t="n">
        <v>0.333333</v>
      </c>
      <c r="G493" s="53" t="n">
        <v>0.25</v>
      </c>
      <c r="H493" s="53" t="n">
        <v>0.4</v>
      </c>
    </row>
    <row r="494" customFormat="false" ht="15" hidden="false" customHeight="true" outlineLevel="0" collapsed="false">
      <c r="A494" s="38" t="s">
        <v>956</v>
      </c>
      <c r="B494" s="38" t="n">
        <v>10</v>
      </c>
      <c r="C494" s="53" t="n">
        <v>-0.852336</v>
      </c>
      <c r="D494" s="53" t="n">
        <v>-0.616529</v>
      </c>
      <c r="E494" s="53" t="n">
        <v>-0.734433</v>
      </c>
      <c r="F494" s="53" t="n">
        <v>0.428571</v>
      </c>
      <c r="G494" s="53" t="n">
        <v>0.166667</v>
      </c>
      <c r="H494" s="53" t="n">
        <v>0.2</v>
      </c>
    </row>
    <row r="495" customFormat="false" ht="15" hidden="false" customHeight="true" outlineLevel="0" collapsed="false">
      <c r="A495" s="38" t="s">
        <v>957</v>
      </c>
      <c r="B495" s="38" t="n">
        <v>1</v>
      </c>
      <c r="C495" s="53" t="n">
        <v>-0.819546</v>
      </c>
      <c r="D495" s="53" t="n">
        <v>-0.255258</v>
      </c>
      <c r="E495" s="53" t="n">
        <v>-0.537402</v>
      </c>
      <c r="F495" s="53" t="n">
        <v>0.380952</v>
      </c>
      <c r="G495" s="53" t="n">
        <v>0.083333</v>
      </c>
      <c r="H495" s="53" t="n">
        <v>0</v>
      </c>
    </row>
    <row r="496" customFormat="false" ht="15" hidden="false" customHeight="true" outlineLevel="0" collapsed="false">
      <c r="A496" s="38" t="s">
        <v>957</v>
      </c>
      <c r="B496" s="38" t="n">
        <v>2</v>
      </c>
      <c r="C496" s="53" t="n">
        <v>-0.790002</v>
      </c>
      <c r="D496" s="53" t="n">
        <v>-0.313593</v>
      </c>
      <c r="E496" s="53" t="n">
        <v>-0.551798</v>
      </c>
      <c r="F496" s="53" t="n">
        <v>0.285714</v>
      </c>
      <c r="G496" s="53" t="n">
        <v>0.25</v>
      </c>
      <c r="H496" s="53" t="n">
        <v>0.2</v>
      </c>
    </row>
    <row r="497" customFormat="false" ht="15" hidden="false" customHeight="true" outlineLevel="0" collapsed="false">
      <c r="A497" s="38" t="s">
        <v>957</v>
      </c>
      <c r="B497" s="38" t="n">
        <v>3</v>
      </c>
      <c r="C497" s="53" t="n">
        <v>-0.398404</v>
      </c>
      <c r="D497" s="53" t="n">
        <v>-0.18296</v>
      </c>
      <c r="E497" s="53" t="n">
        <v>-0.290682</v>
      </c>
      <c r="F497" s="53" t="n">
        <v>0.428571</v>
      </c>
      <c r="G497" s="53" t="n">
        <v>0.5</v>
      </c>
      <c r="H497" s="53" t="n">
        <v>0.4</v>
      </c>
    </row>
    <row r="498" customFormat="false" ht="15" hidden="false" customHeight="true" outlineLevel="0" collapsed="false">
      <c r="A498" s="38" t="s">
        <v>957</v>
      </c>
      <c r="B498" s="38" t="n">
        <v>4</v>
      </c>
      <c r="C498" s="53" t="n">
        <v>-0.674781</v>
      </c>
      <c r="D498" s="53" t="n">
        <v>-0.453764</v>
      </c>
      <c r="E498" s="53" t="n">
        <v>-0.564272</v>
      </c>
      <c r="F498" s="53" t="n">
        <v>0.428571</v>
      </c>
      <c r="G498" s="53" t="n">
        <v>0.25</v>
      </c>
      <c r="H498" s="53" t="n">
        <v>0.2</v>
      </c>
    </row>
    <row r="499" customFormat="false" ht="15" hidden="false" customHeight="true" outlineLevel="0" collapsed="false">
      <c r="A499" s="38" t="s">
        <v>957</v>
      </c>
      <c r="B499" s="38" t="n">
        <v>5</v>
      </c>
      <c r="C499" s="53" t="n">
        <v>-0.949598</v>
      </c>
      <c r="D499" s="53" t="n">
        <v>-0.626101</v>
      </c>
      <c r="E499" s="53" t="n">
        <v>-0.78785</v>
      </c>
      <c r="F499" s="53" t="n">
        <v>0.238095</v>
      </c>
      <c r="G499" s="53" t="n">
        <v>0.166667</v>
      </c>
      <c r="H499" s="53" t="n">
        <v>0.4</v>
      </c>
    </row>
    <row r="500" customFormat="false" ht="15" hidden="false" customHeight="true" outlineLevel="0" collapsed="false">
      <c r="A500" s="38" t="s">
        <v>957</v>
      </c>
      <c r="B500" s="38" t="n">
        <v>6</v>
      </c>
      <c r="C500" s="53" t="n">
        <v>-0.883546</v>
      </c>
      <c r="D500" s="53" t="n">
        <v>-0.49423</v>
      </c>
      <c r="E500" s="53" t="n">
        <v>-0.688888</v>
      </c>
      <c r="F500" s="53" t="n">
        <v>0.47619</v>
      </c>
      <c r="G500" s="53" t="n">
        <v>0.166667</v>
      </c>
      <c r="H500" s="53" t="n">
        <v>0.2</v>
      </c>
    </row>
    <row r="501" customFormat="false" ht="15" hidden="false" customHeight="true" outlineLevel="0" collapsed="false">
      <c r="A501" s="38" t="s">
        <v>957</v>
      </c>
      <c r="B501" s="38" t="n">
        <v>7</v>
      </c>
      <c r="C501" s="53" t="n">
        <v>-0.721809</v>
      </c>
      <c r="D501" s="53" t="n">
        <v>-0.306701</v>
      </c>
      <c r="E501" s="53" t="n">
        <v>-0.514255</v>
      </c>
      <c r="F501" s="53" t="n">
        <v>0.47619</v>
      </c>
      <c r="G501" s="53" t="n">
        <v>0.166667</v>
      </c>
      <c r="H501" s="53" t="n">
        <v>0</v>
      </c>
    </row>
    <row r="502" customFormat="false" ht="15" hidden="false" customHeight="true" outlineLevel="0" collapsed="false">
      <c r="A502" s="38" t="s">
        <v>957</v>
      </c>
      <c r="B502" s="38" t="n">
        <v>8</v>
      </c>
      <c r="C502" s="53" t="n">
        <v>-0.765285</v>
      </c>
      <c r="D502" s="53" t="n">
        <v>-0.379734</v>
      </c>
      <c r="E502" s="53" t="n">
        <v>-0.57251</v>
      </c>
      <c r="F502" s="53" t="n">
        <v>0.52381</v>
      </c>
      <c r="G502" s="53" t="n">
        <v>0.166667</v>
      </c>
      <c r="H502" s="53" t="n">
        <v>0.2</v>
      </c>
    </row>
    <row r="503" customFormat="false" ht="15" hidden="false" customHeight="true" outlineLevel="0" collapsed="false">
      <c r="A503" s="38" t="s">
        <v>957</v>
      </c>
      <c r="B503" s="38" t="n">
        <v>9</v>
      </c>
      <c r="C503" s="53" t="n">
        <v>-0.709199</v>
      </c>
      <c r="D503" s="53" t="n">
        <v>-0.325374</v>
      </c>
      <c r="E503" s="53" t="n">
        <v>-0.517286</v>
      </c>
      <c r="F503" s="53" t="n">
        <v>0.52381</v>
      </c>
      <c r="G503" s="53" t="n">
        <v>0.333333</v>
      </c>
      <c r="H503" s="53" t="n">
        <v>0.2</v>
      </c>
    </row>
    <row r="504" customFormat="false" ht="15" hidden="false" customHeight="true" outlineLevel="0" collapsed="false">
      <c r="A504" s="38" t="s">
        <v>957</v>
      </c>
      <c r="B504" s="38" t="n">
        <v>10</v>
      </c>
      <c r="C504" s="53" t="n">
        <v>-0.717982</v>
      </c>
      <c r="D504" s="53" t="n">
        <v>-0.398039</v>
      </c>
      <c r="E504" s="53" t="n">
        <v>-0.558011</v>
      </c>
      <c r="F504" s="53" t="n">
        <v>0.380952</v>
      </c>
      <c r="G504" s="53" t="n">
        <v>0.333333</v>
      </c>
      <c r="H504" s="53" t="n">
        <v>0.6</v>
      </c>
    </row>
    <row r="505" customFormat="false" ht="15" hidden="false" customHeight="true" outlineLevel="0" collapsed="false">
      <c r="A505" s="38" t="s">
        <v>958</v>
      </c>
      <c r="B505" s="38" t="n">
        <v>1</v>
      </c>
      <c r="C505" s="53" t="n">
        <v>-0.83146</v>
      </c>
      <c r="D505" s="53" t="n">
        <v>-0.411991</v>
      </c>
      <c r="E505" s="53" t="n">
        <v>-0.621725</v>
      </c>
      <c r="F505" s="53" t="n">
        <v>0.380952</v>
      </c>
      <c r="G505" s="53" t="n">
        <v>0.416667</v>
      </c>
      <c r="H505" s="53" t="n">
        <v>0.2</v>
      </c>
    </row>
    <row r="506" customFormat="false" ht="15" hidden="false" customHeight="true" outlineLevel="0" collapsed="false">
      <c r="A506" s="38" t="s">
        <v>958</v>
      </c>
      <c r="B506" s="38" t="n">
        <v>2</v>
      </c>
      <c r="C506" s="53" t="n">
        <v>-0.895633</v>
      </c>
      <c r="D506" s="53" t="n">
        <v>-0.356197</v>
      </c>
      <c r="E506" s="53" t="n">
        <v>-0.625915</v>
      </c>
      <c r="F506" s="53" t="n">
        <v>0.333333</v>
      </c>
      <c r="G506" s="53" t="n">
        <v>0.166667</v>
      </c>
      <c r="H506" s="53" t="n">
        <v>0.2</v>
      </c>
    </row>
    <row r="507" customFormat="false" ht="15" hidden="false" customHeight="true" outlineLevel="0" collapsed="false">
      <c r="A507" s="38" t="s">
        <v>958</v>
      </c>
      <c r="B507" s="38" t="n">
        <v>3</v>
      </c>
      <c r="C507" s="53" t="n">
        <v>-0.86753</v>
      </c>
      <c r="D507" s="53" t="n">
        <v>-0.488152</v>
      </c>
      <c r="E507" s="53" t="n">
        <v>-0.677841</v>
      </c>
      <c r="F507" s="53" t="n">
        <v>0.285714</v>
      </c>
      <c r="G507" s="53" t="n">
        <v>0.25</v>
      </c>
      <c r="H507" s="53" t="n">
        <v>0.2</v>
      </c>
    </row>
    <row r="508" customFormat="false" ht="15" hidden="false" customHeight="true" outlineLevel="0" collapsed="false">
      <c r="A508" s="38" t="s">
        <v>958</v>
      </c>
      <c r="B508" s="38" t="n">
        <v>4</v>
      </c>
      <c r="C508" s="53" t="n">
        <v>-0.796004</v>
      </c>
      <c r="D508" s="53" t="n">
        <v>-0.49143</v>
      </c>
      <c r="E508" s="53" t="n">
        <v>-0.643717</v>
      </c>
      <c r="F508" s="53" t="n">
        <v>0.619048</v>
      </c>
      <c r="G508" s="53" t="n">
        <v>0.25</v>
      </c>
      <c r="H508" s="53" t="n">
        <v>0.4</v>
      </c>
    </row>
    <row r="509" customFormat="false" ht="15" hidden="false" customHeight="true" outlineLevel="0" collapsed="false">
      <c r="A509" s="38" t="s">
        <v>958</v>
      </c>
      <c r="B509" s="38" t="n">
        <v>5</v>
      </c>
      <c r="C509" s="53" t="n">
        <v>-0.771187</v>
      </c>
      <c r="D509" s="53" t="n">
        <v>-0.460464</v>
      </c>
      <c r="E509" s="53" t="n">
        <v>-0.615826</v>
      </c>
      <c r="F509" s="53" t="n">
        <v>0.428571</v>
      </c>
      <c r="G509" s="53" t="n">
        <v>0.333333</v>
      </c>
      <c r="H509" s="53" t="n">
        <v>0.4</v>
      </c>
    </row>
    <row r="510" customFormat="false" ht="15" hidden="false" customHeight="true" outlineLevel="0" collapsed="false">
      <c r="A510" s="38" t="s">
        <v>958</v>
      </c>
      <c r="B510" s="38" t="n">
        <v>6</v>
      </c>
      <c r="C510" s="53" t="n">
        <v>-0.979111</v>
      </c>
      <c r="D510" s="53" t="n">
        <v>-0.42381</v>
      </c>
      <c r="E510" s="53" t="n">
        <v>-0.70146</v>
      </c>
      <c r="F510" s="53" t="n">
        <v>0.619048</v>
      </c>
      <c r="G510" s="53" t="n">
        <v>0.166667</v>
      </c>
      <c r="H510" s="53" t="n">
        <v>0</v>
      </c>
    </row>
    <row r="511" customFormat="false" ht="15" hidden="false" customHeight="true" outlineLevel="0" collapsed="false">
      <c r="A511" s="38" t="s">
        <v>958</v>
      </c>
      <c r="B511" s="38" t="n">
        <v>7</v>
      </c>
      <c r="C511" s="53" t="n">
        <v>-0.937875</v>
      </c>
      <c r="D511" s="53" t="n">
        <v>-0.439022</v>
      </c>
      <c r="E511" s="53" t="n">
        <v>-0.688449</v>
      </c>
      <c r="F511" s="53" t="n">
        <v>0.238095</v>
      </c>
      <c r="G511" s="53" t="n">
        <v>0.166667</v>
      </c>
      <c r="H511" s="53" t="n">
        <v>0.2</v>
      </c>
    </row>
    <row r="512" customFormat="false" ht="15" hidden="false" customHeight="true" outlineLevel="0" collapsed="false">
      <c r="A512" s="38" t="s">
        <v>958</v>
      </c>
      <c r="B512" s="38" t="n">
        <v>8</v>
      </c>
      <c r="C512" s="53" t="n">
        <v>-0.699833</v>
      </c>
      <c r="D512" s="53" t="n">
        <v>-0.505171</v>
      </c>
      <c r="E512" s="53" t="n">
        <v>-0.602502</v>
      </c>
      <c r="F512" s="53" t="n">
        <v>0.571429</v>
      </c>
      <c r="G512" s="53" t="n">
        <v>0.25</v>
      </c>
      <c r="H512" s="53" t="n">
        <v>0.6</v>
      </c>
    </row>
    <row r="513" customFormat="false" ht="15" hidden="false" customHeight="true" outlineLevel="0" collapsed="false">
      <c r="A513" s="38" t="s">
        <v>958</v>
      </c>
      <c r="B513" s="38" t="n">
        <v>9</v>
      </c>
      <c r="C513" s="53" t="n">
        <v>-0.954241</v>
      </c>
      <c r="D513" s="53" t="n">
        <v>-0.443899</v>
      </c>
      <c r="E513" s="53" t="n">
        <v>-0.69907</v>
      </c>
      <c r="F513" s="53" t="n">
        <v>0.47619</v>
      </c>
      <c r="G513" s="53" t="n">
        <v>0.083333</v>
      </c>
      <c r="H513" s="53" t="n">
        <v>0.2</v>
      </c>
    </row>
    <row r="514" customFormat="false" ht="15" hidden="false" customHeight="true" outlineLevel="0" collapsed="false">
      <c r="A514" s="38" t="s">
        <v>958</v>
      </c>
      <c r="B514" s="38" t="n">
        <v>10</v>
      </c>
      <c r="C514" s="53" t="n">
        <v>-0.893378</v>
      </c>
      <c r="D514" s="53" t="n">
        <v>-0.449979</v>
      </c>
      <c r="E514" s="53" t="n">
        <v>-0.671678</v>
      </c>
      <c r="F514" s="53" t="n">
        <v>0.380952</v>
      </c>
      <c r="G514" s="53" t="n">
        <v>0.083333</v>
      </c>
      <c r="H514" s="53" t="n">
        <v>0</v>
      </c>
    </row>
    <row r="515" customFormat="false" ht="15" hidden="false" customHeight="true" outlineLevel="0" collapsed="false">
      <c r="A515" s="38" t="s">
        <v>959</v>
      </c>
      <c r="B515" s="38" t="n">
        <v>1</v>
      </c>
      <c r="C515" s="53" t="n">
        <v>-0.702601</v>
      </c>
      <c r="D515" s="53" t="n">
        <v>-0.434321</v>
      </c>
      <c r="E515" s="53" t="n">
        <v>-0.568461</v>
      </c>
      <c r="F515" s="53" t="n">
        <v>0.333333</v>
      </c>
      <c r="G515" s="53" t="n">
        <v>0.416667</v>
      </c>
      <c r="H515" s="53" t="n">
        <v>0.6</v>
      </c>
    </row>
    <row r="516" customFormat="false" ht="15" hidden="false" customHeight="true" outlineLevel="0" collapsed="false">
      <c r="A516" s="38" t="s">
        <v>959</v>
      </c>
      <c r="B516" s="38" t="n">
        <v>2</v>
      </c>
      <c r="C516" s="53" t="n">
        <v>-0.888064</v>
      </c>
      <c r="D516" s="53" t="n">
        <v>-0.48854</v>
      </c>
      <c r="E516" s="53" t="n">
        <v>-0.688302</v>
      </c>
      <c r="F516" s="53" t="n">
        <v>0.47619</v>
      </c>
      <c r="G516" s="53" t="n">
        <v>0.166667</v>
      </c>
      <c r="H516" s="53" t="n">
        <v>0.4</v>
      </c>
    </row>
    <row r="517" customFormat="false" ht="15" hidden="false" customHeight="true" outlineLevel="0" collapsed="false">
      <c r="A517" s="38" t="s">
        <v>959</v>
      </c>
      <c r="B517" s="38" t="n">
        <v>3</v>
      </c>
      <c r="C517" s="53" t="n">
        <v>-0.734407</v>
      </c>
      <c r="D517" s="53" t="n">
        <v>-0.644349</v>
      </c>
      <c r="E517" s="53" t="n">
        <v>-0.689378</v>
      </c>
      <c r="F517" s="53" t="n">
        <v>0.619048</v>
      </c>
      <c r="G517" s="53" t="n">
        <v>0.25</v>
      </c>
      <c r="H517" s="53" t="n">
        <v>0.4</v>
      </c>
    </row>
    <row r="518" customFormat="false" ht="15" hidden="false" customHeight="true" outlineLevel="0" collapsed="false">
      <c r="A518" s="38" t="s">
        <v>959</v>
      </c>
      <c r="B518" s="38" t="n">
        <v>4</v>
      </c>
      <c r="C518" s="53" t="n">
        <v>-0.557244</v>
      </c>
      <c r="D518" s="53" t="n">
        <v>-0.280375</v>
      </c>
      <c r="E518" s="53" t="n">
        <v>-0.418809</v>
      </c>
      <c r="F518" s="53" t="n">
        <v>0.571429</v>
      </c>
      <c r="G518" s="53" t="n">
        <v>0.416667</v>
      </c>
      <c r="H518" s="53" t="n">
        <v>0.2</v>
      </c>
    </row>
    <row r="519" customFormat="false" ht="15" hidden="false" customHeight="true" outlineLevel="0" collapsed="false">
      <c r="A519" s="38" t="s">
        <v>959</v>
      </c>
      <c r="B519" s="38" t="n">
        <v>5</v>
      </c>
      <c r="C519" s="53" t="n">
        <v>-0.800445</v>
      </c>
      <c r="D519" s="53" t="n">
        <v>-0.608812</v>
      </c>
      <c r="E519" s="53" t="n">
        <v>-0.704628</v>
      </c>
      <c r="F519" s="53" t="n">
        <v>0.571429</v>
      </c>
      <c r="G519" s="53" t="n">
        <v>0.333333</v>
      </c>
      <c r="H519" s="53" t="n">
        <v>0.4</v>
      </c>
    </row>
    <row r="520" customFormat="false" ht="15" hidden="false" customHeight="true" outlineLevel="0" collapsed="false">
      <c r="A520" s="38" t="s">
        <v>959</v>
      </c>
      <c r="B520" s="38" t="n">
        <v>6</v>
      </c>
      <c r="C520" s="53" t="n">
        <v>-0.866519</v>
      </c>
      <c r="D520" s="53" t="n">
        <v>-0.579286</v>
      </c>
      <c r="E520" s="53" t="n">
        <v>-0.722902</v>
      </c>
      <c r="F520" s="53" t="n">
        <v>0.380952</v>
      </c>
      <c r="G520" s="53" t="n">
        <v>0.166667</v>
      </c>
      <c r="H520" s="53" t="n">
        <v>0.2</v>
      </c>
    </row>
    <row r="521" customFormat="false" ht="15" hidden="false" customHeight="true" outlineLevel="0" collapsed="false">
      <c r="A521" s="38" t="s">
        <v>959</v>
      </c>
      <c r="B521" s="38" t="n">
        <v>7</v>
      </c>
      <c r="C521" s="53" t="n">
        <v>-0.783305</v>
      </c>
      <c r="D521" s="53" t="n">
        <v>-0.456043</v>
      </c>
      <c r="E521" s="53" t="n">
        <v>-0.619674</v>
      </c>
      <c r="F521" s="53" t="n">
        <v>0.380952</v>
      </c>
      <c r="G521" s="53" t="n">
        <v>0.25</v>
      </c>
      <c r="H521" s="53" t="n">
        <v>0.4</v>
      </c>
    </row>
    <row r="522" customFormat="false" ht="15" hidden="false" customHeight="true" outlineLevel="0" collapsed="false">
      <c r="A522" s="38" t="s">
        <v>959</v>
      </c>
      <c r="B522" s="38" t="n">
        <v>8</v>
      </c>
      <c r="C522" s="53" t="n">
        <v>-0.796544</v>
      </c>
      <c r="D522" s="53" t="n">
        <v>-0.426678</v>
      </c>
      <c r="E522" s="53" t="n">
        <v>-0.611611</v>
      </c>
      <c r="F522" s="53" t="n">
        <v>0.380952</v>
      </c>
      <c r="G522" s="53" t="n">
        <v>0.333333</v>
      </c>
      <c r="H522" s="53" t="n">
        <v>0.2</v>
      </c>
    </row>
    <row r="523" customFormat="false" ht="15" hidden="false" customHeight="true" outlineLevel="0" collapsed="false">
      <c r="A523" s="38" t="s">
        <v>959</v>
      </c>
      <c r="B523" s="38" t="n">
        <v>9</v>
      </c>
      <c r="C523" s="53" t="n">
        <v>-0.823948</v>
      </c>
      <c r="D523" s="53" t="n">
        <v>-0.410656</v>
      </c>
      <c r="E523" s="53" t="n">
        <v>-0.617302</v>
      </c>
      <c r="F523" s="53" t="n">
        <v>0.619048</v>
      </c>
      <c r="G523" s="53" t="n">
        <v>0.083333</v>
      </c>
      <c r="H523" s="53" t="n">
        <v>0</v>
      </c>
    </row>
    <row r="524" customFormat="false" ht="15" hidden="false" customHeight="true" outlineLevel="0" collapsed="false">
      <c r="A524" s="38" t="s">
        <v>959</v>
      </c>
      <c r="B524" s="38" t="n">
        <v>10</v>
      </c>
      <c r="C524" s="53" t="n">
        <v>-0.971039</v>
      </c>
      <c r="D524" s="53" t="n">
        <v>-0.492349</v>
      </c>
      <c r="E524" s="53" t="n">
        <v>-0.731694</v>
      </c>
      <c r="F524" s="53" t="n">
        <v>0.428571</v>
      </c>
      <c r="G524" s="53" t="n">
        <v>0.333333</v>
      </c>
      <c r="H524" s="53" t="n">
        <v>0.6</v>
      </c>
    </row>
    <row r="525" customFormat="false" ht="15" hidden="false" customHeight="true" outlineLevel="0" collapsed="false">
      <c r="A525" s="38" t="s">
        <v>960</v>
      </c>
      <c r="B525" s="38" t="n">
        <v>1</v>
      </c>
      <c r="C525" s="53" t="n">
        <v>-0.83595</v>
      </c>
      <c r="D525" s="53" t="n">
        <v>-0.396796</v>
      </c>
      <c r="E525" s="53" t="n">
        <v>-0.616373</v>
      </c>
      <c r="F525" s="53" t="n">
        <v>0.380952</v>
      </c>
      <c r="G525" s="53" t="n">
        <v>0.25</v>
      </c>
      <c r="H525" s="53" t="n">
        <v>0.2</v>
      </c>
    </row>
    <row r="526" customFormat="false" ht="15" hidden="false" customHeight="true" outlineLevel="0" collapsed="false">
      <c r="A526" s="38" t="s">
        <v>960</v>
      </c>
      <c r="B526" s="38" t="n">
        <v>2</v>
      </c>
      <c r="C526" s="53" t="n">
        <v>-0.742787</v>
      </c>
      <c r="D526" s="53" t="n">
        <v>-0.425583</v>
      </c>
      <c r="E526" s="53" t="n">
        <v>-0.584185</v>
      </c>
      <c r="F526" s="53" t="n">
        <v>0.47619</v>
      </c>
      <c r="G526" s="53" t="n">
        <v>0.333333</v>
      </c>
      <c r="H526" s="53" t="n">
        <v>0.2</v>
      </c>
    </row>
    <row r="527" customFormat="false" ht="15" hidden="false" customHeight="true" outlineLevel="0" collapsed="false">
      <c r="A527" s="38" t="s">
        <v>960</v>
      </c>
      <c r="B527" s="38" t="n">
        <v>3</v>
      </c>
      <c r="C527" s="53" t="n">
        <v>-0.866266</v>
      </c>
      <c r="D527" s="53" t="n">
        <v>-0.428878</v>
      </c>
      <c r="E527" s="53" t="n">
        <v>-0.647572</v>
      </c>
      <c r="F527" s="53" t="n">
        <v>0.380952</v>
      </c>
      <c r="G527" s="53" t="n">
        <v>0.166667</v>
      </c>
      <c r="H527" s="53" t="n">
        <v>0.2</v>
      </c>
    </row>
    <row r="528" customFormat="false" ht="15" hidden="false" customHeight="true" outlineLevel="0" collapsed="false">
      <c r="A528" s="38" t="s">
        <v>960</v>
      </c>
      <c r="B528" s="38" t="n">
        <v>4</v>
      </c>
      <c r="C528" s="53" t="n">
        <v>-0.815683</v>
      </c>
      <c r="D528" s="53" t="n">
        <v>-0.499088</v>
      </c>
      <c r="E528" s="53" t="n">
        <v>-0.657385</v>
      </c>
      <c r="F528" s="53" t="n">
        <v>0.333333</v>
      </c>
      <c r="G528" s="53" t="n">
        <v>0.25</v>
      </c>
      <c r="H528" s="53" t="n">
        <v>0.6</v>
      </c>
    </row>
    <row r="529" customFormat="false" ht="15" hidden="false" customHeight="true" outlineLevel="0" collapsed="false">
      <c r="A529" s="38" t="s">
        <v>960</v>
      </c>
      <c r="B529" s="38" t="n">
        <v>5</v>
      </c>
      <c r="C529" s="53" t="n">
        <v>-0.995236</v>
      </c>
      <c r="D529" s="53" t="n">
        <v>-0.456345</v>
      </c>
      <c r="E529" s="53" t="n">
        <v>-0.72579</v>
      </c>
      <c r="F529" s="53" t="n">
        <v>0.52381</v>
      </c>
      <c r="G529" s="53" t="n">
        <v>0.25</v>
      </c>
      <c r="H529" s="53" t="n">
        <v>0.2</v>
      </c>
    </row>
    <row r="530" customFormat="false" ht="15" hidden="false" customHeight="true" outlineLevel="0" collapsed="false">
      <c r="A530" s="38" t="s">
        <v>960</v>
      </c>
      <c r="B530" s="38" t="n">
        <v>6</v>
      </c>
      <c r="C530" s="53" t="n">
        <v>-0.694932</v>
      </c>
      <c r="D530" s="53" t="n">
        <v>-0.461364</v>
      </c>
      <c r="E530" s="53" t="n">
        <v>-0.578148</v>
      </c>
      <c r="F530" s="53" t="n">
        <v>0.47619</v>
      </c>
      <c r="G530" s="53" t="n">
        <v>0.333333</v>
      </c>
      <c r="H530" s="53" t="n">
        <v>0.2</v>
      </c>
    </row>
    <row r="531" customFormat="false" ht="15" hidden="false" customHeight="true" outlineLevel="0" collapsed="false">
      <c r="A531" s="38" t="s">
        <v>960</v>
      </c>
      <c r="B531" s="38" t="n">
        <v>7</v>
      </c>
      <c r="C531" s="53" t="n">
        <v>-1.010441</v>
      </c>
      <c r="D531" s="53" t="n">
        <v>-0.569938</v>
      </c>
      <c r="E531" s="53" t="n">
        <v>-0.79019</v>
      </c>
      <c r="F531" s="53" t="n">
        <v>0.238095</v>
      </c>
      <c r="G531" s="53" t="n">
        <v>0</v>
      </c>
      <c r="H531" s="53" t="n">
        <v>0</v>
      </c>
    </row>
    <row r="532" customFormat="false" ht="15" hidden="false" customHeight="true" outlineLevel="0" collapsed="false">
      <c r="A532" s="38" t="s">
        <v>960</v>
      </c>
      <c r="B532" s="38" t="n">
        <v>8</v>
      </c>
      <c r="C532" s="53" t="n">
        <v>-0.71741</v>
      </c>
      <c r="D532" s="53" t="n">
        <v>-0.527876</v>
      </c>
      <c r="E532" s="53" t="n">
        <v>-0.622643</v>
      </c>
      <c r="F532" s="53" t="n">
        <v>0.333333</v>
      </c>
      <c r="G532" s="53" t="n">
        <v>0.166667</v>
      </c>
      <c r="H532" s="53" t="n">
        <v>0.4</v>
      </c>
    </row>
    <row r="533" customFormat="false" ht="15" hidden="false" customHeight="true" outlineLevel="0" collapsed="false">
      <c r="A533" s="38" t="s">
        <v>960</v>
      </c>
      <c r="B533" s="38" t="n">
        <v>9</v>
      </c>
      <c r="C533" s="53" t="n">
        <v>-0.735155</v>
      </c>
      <c r="D533" s="53" t="n">
        <v>-0.350295</v>
      </c>
      <c r="E533" s="53" t="n">
        <v>-0.542725</v>
      </c>
      <c r="F533" s="53" t="n">
        <v>0.52381</v>
      </c>
      <c r="G533" s="53" t="n">
        <v>0.333333</v>
      </c>
      <c r="H533" s="53" t="n">
        <v>0.4</v>
      </c>
    </row>
    <row r="534" customFormat="false" ht="15" hidden="false" customHeight="true" outlineLevel="0" collapsed="false">
      <c r="A534" s="38" t="s">
        <v>960</v>
      </c>
      <c r="B534" s="38" t="n">
        <v>10</v>
      </c>
      <c r="C534" s="53" t="n">
        <v>-0.824683</v>
      </c>
      <c r="D534" s="53" t="n">
        <v>-0.620562</v>
      </c>
      <c r="E534" s="53" t="n">
        <v>-0.722622</v>
      </c>
      <c r="F534" s="53" t="n">
        <v>0.428571</v>
      </c>
      <c r="G534" s="53" t="n">
        <v>0.333333</v>
      </c>
      <c r="H534" s="53" t="n">
        <v>0.4</v>
      </c>
    </row>
    <row r="535" customFormat="false" ht="15" hidden="false" customHeight="true" outlineLevel="0" collapsed="false">
      <c r="A535" s="38" t="s">
        <v>961</v>
      </c>
      <c r="B535" s="38" t="n">
        <v>1</v>
      </c>
      <c r="C535" s="53" t="n">
        <v>-0.758281</v>
      </c>
      <c r="D535" s="53" t="n">
        <v>-0.547233</v>
      </c>
      <c r="E535" s="53" t="n">
        <v>-0.652757</v>
      </c>
      <c r="F535" s="53" t="n">
        <v>0.142857</v>
      </c>
      <c r="G535" s="53" t="n">
        <v>0.25</v>
      </c>
      <c r="H535" s="53" t="n">
        <v>0.2</v>
      </c>
    </row>
    <row r="536" customFormat="false" ht="15" hidden="false" customHeight="true" outlineLevel="0" collapsed="false">
      <c r="A536" s="38" t="s">
        <v>961</v>
      </c>
      <c r="B536" s="38" t="n">
        <v>2</v>
      </c>
      <c r="C536" s="53" t="n">
        <v>-0.575509</v>
      </c>
      <c r="D536" s="53" t="n">
        <v>-0.28481</v>
      </c>
      <c r="E536" s="53" t="n">
        <v>-0.43016</v>
      </c>
      <c r="F536" s="53" t="n">
        <v>0.428571</v>
      </c>
      <c r="G536" s="53" t="n">
        <v>0.25</v>
      </c>
      <c r="H536" s="53" t="n">
        <v>0</v>
      </c>
    </row>
    <row r="537" customFormat="false" ht="15" hidden="false" customHeight="true" outlineLevel="0" collapsed="false">
      <c r="A537" s="38" t="s">
        <v>961</v>
      </c>
      <c r="B537" s="38" t="n">
        <v>3</v>
      </c>
      <c r="C537" s="53" t="n">
        <v>-1.015318</v>
      </c>
      <c r="D537" s="53" t="n">
        <v>-0.443433</v>
      </c>
      <c r="E537" s="53" t="n">
        <v>-0.729376</v>
      </c>
      <c r="F537" s="53" t="n">
        <v>0.333333</v>
      </c>
      <c r="G537" s="53" t="n">
        <v>0</v>
      </c>
      <c r="H537" s="53" t="n">
        <v>0</v>
      </c>
    </row>
    <row r="538" customFormat="false" ht="15" hidden="false" customHeight="true" outlineLevel="0" collapsed="false">
      <c r="A538" s="38" t="s">
        <v>961</v>
      </c>
      <c r="B538" s="38" t="n">
        <v>4</v>
      </c>
      <c r="C538" s="53" t="n">
        <v>-0.693994</v>
      </c>
      <c r="D538" s="53" t="n">
        <v>-0.325097</v>
      </c>
      <c r="E538" s="53" t="n">
        <v>-0.509545</v>
      </c>
      <c r="F538" s="53" t="n">
        <v>0.380952</v>
      </c>
      <c r="G538" s="53" t="n">
        <v>0.333333</v>
      </c>
      <c r="H538" s="53" t="n">
        <v>0.2</v>
      </c>
    </row>
    <row r="539" customFormat="false" ht="15" hidden="false" customHeight="true" outlineLevel="0" collapsed="false">
      <c r="A539" s="38" t="s">
        <v>961</v>
      </c>
      <c r="B539" s="38" t="n">
        <v>5</v>
      </c>
      <c r="C539" s="53" t="n">
        <v>-0.743815</v>
      </c>
      <c r="D539" s="53" t="n">
        <v>-0.525225</v>
      </c>
      <c r="E539" s="53" t="n">
        <v>-0.63452</v>
      </c>
      <c r="F539" s="53" t="n">
        <v>0.428571</v>
      </c>
      <c r="G539" s="53" t="n">
        <v>0.25</v>
      </c>
      <c r="H539" s="53" t="n">
        <v>0.4</v>
      </c>
    </row>
    <row r="540" customFormat="false" ht="15" hidden="false" customHeight="true" outlineLevel="0" collapsed="false">
      <c r="A540" s="38" t="s">
        <v>961</v>
      </c>
      <c r="B540" s="38" t="n">
        <v>6</v>
      </c>
      <c r="C540" s="53" t="n">
        <v>-0.82409</v>
      </c>
      <c r="D540" s="53" t="n">
        <v>-0.29257</v>
      </c>
      <c r="E540" s="53" t="n">
        <v>-0.55833</v>
      </c>
      <c r="F540" s="53" t="n">
        <v>0.428571</v>
      </c>
      <c r="G540" s="53" t="n">
        <v>0.25</v>
      </c>
      <c r="H540" s="53" t="n">
        <v>0</v>
      </c>
    </row>
    <row r="541" customFormat="false" ht="15" hidden="false" customHeight="true" outlineLevel="0" collapsed="false">
      <c r="A541" s="38" t="s">
        <v>961</v>
      </c>
      <c r="B541" s="38" t="n">
        <v>7</v>
      </c>
      <c r="C541" s="53" t="n">
        <v>-0.510932</v>
      </c>
      <c r="D541" s="53" t="n">
        <v>-0.297527</v>
      </c>
      <c r="E541" s="53" t="n">
        <v>-0.404229</v>
      </c>
      <c r="F541" s="53" t="n">
        <v>0.238095</v>
      </c>
      <c r="G541" s="53" t="n">
        <v>0.416667</v>
      </c>
      <c r="H541" s="53" t="n">
        <v>0.4</v>
      </c>
    </row>
    <row r="542" customFormat="false" ht="15" hidden="false" customHeight="true" outlineLevel="0" collapsed="false">
      <c r="A542" s="38" t="s">
        <v>961</v>
      </c>
      <c r="B542" s="38" t="n">
        <v>8</v>
      </c>
      <c r="C542" s="53" t="n">
        <v>-0.34747</v>
      </c>
      <c r="D542" s="53" t="n">
        <v>-0.187048</v>
      </c>
      <c r="E542" s="53" t="n">
        <v>-0.267259</v>
      </c>
      <c r="F542" s="53" t="n">
        <v>0.380952</v>
      </c>
      <c r="G542" s="53" t="n">
        <v>0.416667</v>
      </c>
      <c r="H542" s="53" t="n">
        <v>0.2</v>
      </c>
    </row>
    <row r="543" customFormat="false" ht="15" hidden="false" customHeight="true" outlineLevel="0" collapsed="false">
      <c r="A543" s="38" t="s">
        <v>961</v>
      </c>
      <c r="B543" s="38" t="n">
        <v>9</v>
      </c>
      <c r="C543" s="53" t="n">
        <v>-0.721788</v>
      </c>
      <c r="D543" s="53" t="n">
        <v>-0.465427</v>
      </c>
      <c r="E543" s="53" t="n">
        <v>-0.593607</v>
      </c>
      <c r="F543" s="53" t="n">
        <v>0.285714</v>
      </c>
      <c r="G543" s="53" t="n">
        <v>0.25</v>
      </c>
      <c r="H543" s="53" t="n">
        <v>0.2</v>
      </c>
    </row>
    <row r="544" customFormat="false" ht="15" hidden="false" customHeight="true" outlineLevel="0" collapsed="false">
      <c r="A544" s="38" t="s">
        <v>961</v>
      </c>
      <c r="B544" s="38" t="n">
        <v>10</v>
      </c>
      <c r="C544" s="53" t="n">
        <v>-0.899186</v>
      </c>
      <c r="D544" s="53" t="n">
        <v>-0.538824</v>
      </c>
      <c r="E544" s="53" t="n">
        <v>-0.719005</v>
      </c>
      <c r="F544" s="53" t="n">
        <v>0.666667</v>
      </c>
      <c r="G544" s="53" t="n">
        <v>0.25</v>
      </c>
      <c r="H544" s="53" t="n">
        <v>0.2</v>
      </c>
    </row>
    <row r="545" customFormat="false" ht="15" hidden="false" customHeight="true" outlineLevel="0" collapsed="false">
      <c r="A545" s="38" t="s">
        <v>962</v>
      </c>
      <c r="B545" s="38" t="n">
        <v>1</v>
      </c>
      <c r="C545" s="53" t="n">
        <v>-0.735308</v>
      </c>
      <c r="D545" s="53" t="n">
        <v>-0.326036</v>
      </c>
      <c r="E545" s="53" t="n">
        <v>-0.530672</v>
      </c>
      <c r="F545" s="53" t="n">
        <v>0.47619</v>
      </c>
      <c r="G545" s="53" t="n">
        <v>0.083333</v>
      </c>
      <c r="H545" s="53" t="n">
        <v>0.2</v>
      </c>
    </row>
    <row r="546" customFormat="false" ht="15" hidden="false" customHeight="true" outlineLevel="0" collapsed="false">
      <c r="A546" s="38" t="s">
        <v>962</v>
      </c>
      <c r="B546" s="38" t="n">
        <v>2</v>
      </c>
      <c r="C546" s="53" t="n">
        <v>-0.548135</v>
      </c>
      <c r="D546" s="53" t="n">
        <v>-0.199632</v>
      </c>
      <c r="E546" s="53" t="n">
        <v>-0.373883</v>
      </c>
      <c r="F546" s="53" t="n">
        <v>0.333333</v>
      </c>
      <c r="G546" s="53" t="n">
        <v>0.583333</v>
      </c>
      <c r="H546" s="53" t="n">
        <v>0.6</v>
      </c>
    </row>
    <row r="547" customFormat="false" ht="15" hidden="false" customHeight="true" outlineLevel="0" collapsed="false">
      <c r="A547" s="38" t="s">
        <v>962</v>
      </c>
      <c r="B547" s="38" t="n">
        <v>3</v>
      </c>
      <c r="C547" s="53" t="n">
        <v>-0.744777</v>
      </c>
      <c r="D547" s="53" t="n">
        <v>-0.517679</v>
      </c>
      <c r="E547" s="53" t="n">
        <v>-0.631228</v>
      </c>
      <c r="F547" s="53" t="n">
        <v>0.333333</v>
      </c>
      <c r="G547" s="53" t="n">
        <v>0.166667</v>
      </c>
      <c r="H547" s="53" t="n">
        <v>0</v>
      </c>
    </row>
    <row r="548" customFormat="false" ht="15" hidden="false" customHeight="true" outlineLevel="0" collapsed="false">
      <c r="A548" s="38" t="s">
        <v>962</v>
      </c>
      <c r="B548" s="38" t="n">
        <v>4</v>
      </c>
      <c r="C548" s="53" t="n">
        <v>-0.556604</v>
      </c>
      <c r="D548" s="53" t="n">
        <v>-0.205601</v>
      </c>
      <c r="E548" s="53" t="n">
        <v>-0.381103</v>
      </c>
      <c r="F548" s="53" t="n">
        <v>0.333333</v>
      </c>
      <c r="G548" s="53" t="n">
        <v>0.333333</v>
      </c>
      <c r="H548" s="53" t="n">
        <v>0.4</v>
      </c>
    </row>
    <row r="549" customFormat="false" ht="15" hidden="false" customHeight="true" outlineLevel="0" collapsed="false">
      <c r="A549" s="38" t="s">
        <v>962</v>
      </c>
      <c r="B549" s="38" t="n">
        <v>5</v>
      </c>
      <c r="C549" s="53" t="n">
        <v>-0.712749</v>
      </c>
      <c r="D549" s="53" t="n">
        <v>-0.442284</v>
      </c>
      <c r="E549" s="53" t="n">
        <v>-0.577517</v>
      </c>
      <c r="F549" s="53" t="n">
        <v>0.52381</v>
      </c>
      <c r="G549" s="53" t="n">
        <v>0.333333</v>
      </c>
      <c r="H549" s="53" t="n">
        <v>0.6</v>
      </c>
    </row>
    <row r="550" customFormat="false" ht="15" hidden="false" customHeight="true" outlineLevel="0" collapsed="false">
      <c r="A550" s="38" t="s">
        <v>962</v>
      </c>
      <c r="B550" s="38" t="n">
        <v>6</v>
      </c>
      <c r="C550" s="53" t="n">
        <v>-0.89728</v>
      </c>
      <c r="D550" s="53" t="n">
        <v>-0.537203</v>
      </c>
      <c r="E550" s="53" t="n">
        <v>-0.717242</v>
      </c>
      <c r="F550" s="53" t="n">
        <v>0.380952</v>
      </c>
      <c r="G550" s="53" t="n">
        <v>0.083333</v>
      </c>
      <c r="H550" s="53" t="n">
        <v>0.2</v>
      </c>
    </row>
    <row r="551" customFormat="false" ht="15" hidden="false" customHeight="true" outlineLevel="0" collapsed="false">
      <c r="A551" s="38" t="s">
        <v>962</v>
      </c>
      <c r="B551" s="38" t="n">
        <v>7</v>
      </c>
      <c r="C551" s="53" t="n">
        <v>-0.801631</v>
      </c>
      <c r="D551" s="53" t="n">
        <v>-0.339163</v>
      </c>
      <c r="E551" s="53" t="n">
        <v>-0.570397</v>
      </c>
      <c r="F551" s="53" t="n">
        <v>0.238095</v>
      </c>
      <c r="G551" s="53" t="n">
        <v>0.25</v>
      </c>
      <c r="H551" s="53" t="n">
        <v>0.2</v>
      </c>
    </row>
    <row r="552" customFormat="false" ht="15" hidden="false" customHeight="true" outlineLevel="0" collapsed="false">
      <c r="A552" s="38" t="s">
        <v>962</v>
      </c>
      <c r="B552" s="38" t="n">
        <v>8</v>
      </c>
      <c r="C552" s="53" t="n">
        <v>-1.1757</v>
      </c>
      <c r="D552" s="53" t="n">
        <v>-0.614196</v>
      </c>
      <c r="E552" s="53" t="n">
        <v>-0.894948</v>
      </c>
      <c r="F552" s="53" t="n">
        <v>0.380952</v>
      </c>
      <c r="G552" s="53" t="n">
        <v>0</v>
      </c>
      <c r="H552" s="53" t="n">
        <v>0</v>
      </c>
    </row>
    <row r="553" customFormat="false" ht="15" hidden="false" customHeight="true" outlineLevel="0" collapsed="false">
      <c r="A553" s="38" t="s">
        <v>962</v>
      </c>
      <c r="B553" s="38" t="n">
        <v>9</v>
      </c>
      <c r="C553" s="53" t="n">
        <v>-0.57911</v>
      </c>
      <c r="D553" s="53" t="n">
        <v>-0.318571</v>
      </c>
      <c r="E553" s="53" t="n">
        <v>-0.448841</v>
      </c>
      <c r="F553" s="53" t="n">
        <v>0.333333</v>
      </c>
      <c r="G553" s="53" t="n">
        <v>0.5</v>
      </c>
      <c r="H553" s="53" t="n">
        <v>0.6</v>
      </c>
    </row>
    <row r="554" customFormat="false" ht="15" hidden="false" customHeight="true" outlineLevel="0" collapsed="false">
      <c r="A554" s="38" t="s">
        <v>962</v>
      </c>
      <c r="B554" s="38" t="n">
        <v>10</v>
      </c>
      <c r="C554" s="53" t="n">
        <v>-0.638478</v>
      </c>
      <c r="D554" s="53" t="n">
        <v>-0.261623</v>
      </c>
      <c r="E554" s="53" t="n">
        <v>-0.45005</v>
      </c>
      <c r="F554" s="53" t="n">
        <v>0.380952</v>
      </c>
      <c r="G554" s="53" t="n">
        <v>0.25</v>
      </c>
      <c r="H554" s="53" t="n">
        <v>0.4</v>
      </c>
    </row>
    <row r="555" customFormat="false" ht="15" hidden="false" customHeight="true" outlineLevel="0" collapsed="false">
      <c r="A555" s="38" t="s">
        <v>963</v>
      </c>
      <c r="B555" s="38" t="n">
        <v>1</v>
      </c>
      <c r="C555" s="53" t="n">
        <v>-0.878077</v>
      </c>
      <c r="D555" s="53" t="n">
        <v>-0.43016</v>
      </c>
      <c r="E555" s="53" t="n">
        <v>-0.654118</v>
      </c>
      <c r="F555" s="53" t="n">
        <v>0.571429</v>
      </c>
      <c r="G555" s="53" t="n">
        <v>0.333333</v>
      </c>
      <c r="H555" s="53" t="n">
        <v>0.2</v>
      </c>
    </row>
    <row r="556" customFormat="false" ht="15" hidden="false" customHeight="true" outlineLevel="0" collapsed="false">
      <c r="A556" s="38" t="s">
        <v>963</v>
      </c>
      <c r="B556" s="38" t="n">
        <v>2</v>
      </c>
      <c r="C556" s="53" t="n">
        <v>-0.636432</v>
      </c>
      <c r="D556" s="53" t="n">
        <v>-0.46875</v>
      </c>
      <c r="E556" s="53" t="n">
        <v>-0.552591</v>
      </c>
      <c r="F556" s="53" t="n">
        <v>0.428571</v>
      </c>
      <c r="G556" s="53" t="n">
        <v>0.333333</v>
      </c>
      <c r="H556" s="53" t="n">
        <v>0.4</v>
      </c>
    </row>
    <row r="557" customFormat="false" ht="15" hidden="false" customHeight="true" outlineLevel="0" collapsed="false">
      <c r="A557" s="38" t="s">
        <v>963</v>
      </c>
      <c r="B557" s="38" t="n">
        <v>3</v>
      </c>
      <c r="C557" s="53" t="n">
        <v>-0.75127</v>
      </c>
      <c r="D557" s="53" t="n">
        <v>-0.2112</v>
      </c>
      <c r="E557" s="53" t="n">
        <v>-0.481235</v>
      </c>
      <c r="F557" s="53" t="n">
        <v>0.333333</v>
      </c>
      <c r="G557" s="53" t="n">
        <v>0.083333</v>
      </c>
      <c r="H557" s="53" t="n">
        <v>0</v>
      </c>
    </row>
    <row r="558" customFormat="false" ht="15" hidden="false" customHeight="true" outlineLevel="0" collapsed="false">
      <c r="A558" s="38" t="s">
        <v>963</v>
      </c>
      <c r="B558" s="38" t="n">
        <v>4</v>
      </c>
      <c r="C558" s="53" t="n">
        <v>-0.598345</v>
      </c>
      <c r="D558" s="53" t="n">
        <v>-0.379688</v>
      </c>
      <c r="E558" s="53" t="n">
        <v>-0.489016</v>
      </c>
      <c r="F558" s="53" t="n">
        <v>0.333333</v>
      </c>
      <c r="G558" s="53" t="n">
        <v>0.25</v>
      </c>
      <c r="H558" s="53" t="n">
        <v>0.2</v>
      </c>
    </row>
    <row r="559" customFormat="false" ht="15" hidden="false" customHeight="true" outlineLevel="0" collapsed="false">
      <c r="A559" s="38" t="s">
        <v>963</v>
      </c>
      <c r="B559" s="38" t="n">
        <v>5</v>
      </c>
      <c r="C559" s="53" t="n">
        <v>-0.559596</v>
      </c>
      <c r="D559" s="53" t="n">
        <v>-0.355992</v>
      </c>
      <c r="E559" s="53" t="n">
        <v>-0.457794</v>
      </c>
      <c r="F559" s="53" t="n">
        <v>0.52381</v>
      </c>
      <c r="G559" s="53" t="n">
        <v>0.333333</v>
      </c>
      <c r="H559" s="53" t="n">
        <v>0.2</v>
      </c>
    </row>
    <row r="560" customFormat="false" ht="15" hidden="false" customHeight="true" outlineLevel="0" collapsed="false">
      <c r="A560" s="38" t="s">
        <v>963</v>
      </c>
      <c r="B560" s="38" t="n">
        <v>6</v>
      </c>
      <c r="C560" s="53" t="n">
        <v>-0.520645</v>
      </c>
      <c r="D560" s="53" t="n">
        <v>-0.337674</v>
      </c>
      <c r="E560" s="53" t="n">
        <v>-0.42916</v>
      </c>
      <c r="F560" s="53" t="n">
        <v>0.428571</v>
      </c>
      <c r="G560" s="53" t="n">
        <v>0.166667</v>
      </c>
      <c r="H560" s="53" t="n">
        <v>0.2</v>
      </c>
    </row>
    <row r="561" customFormat="false" ht="15" hidden="false" customHeight="true" outlineLevel="0" collapsed="false">
      <c r="A561" s="38" t="s">
        <v>963</v>
      </c>
      <c r="B561" s="38" t="n">
        <v>7</v>
      </c>
      <c r="C561" s="53" t="n">
        <v>-0.762392</v>
      </c>
      <c r="D561" s="53" t="n">
        <v>-0.672769</v>
      </c>
      <c r="E561" s="53" t="n">
        <v>-0.717581</v>
      </c>
      <c r="F561" s="53" t="n">
        <v>0.380952</v>
      </c>
      <c r="G561" s="53" t="n">
        <v>0.333333</v>
      </c>
      <c r="H561" s="53" t="n">
        <v>0.4</v>
      </c>
    </row>
    <row r="562" customFormat="false" ht="15" hidden="false" customHeight="true" outlineLevel="0" collapsed="false">
      <c r="A562" s="38" t="s">
        <v>963</v>
      </c>
      <c r="B562" s="38" t="n">
        <v>8</v>
      </c>
      <c r="C562" s="53" t="n">
        <v>-0.839191</v>
      </c>
      <c r="D562" s="53" t="n">
        <v>-0.572332</v>
      </c>
      <c r="E562" s="53" t="n">
        <v>-0.705761</v>
      </c>
      <c r="F562" s="53" t="n">
        <v>0.428571</v>
      </c>
      <c r="G562" s="53" t="n">
        <v>0.166667</v>
      </c>
      <c r="H562" s="53" t="n">
        <v>0</v>
      </c>
    </row>
    <row r="563" customFormat="false" ht="15" hidden="false" customHeight="true" outlineLevel="0" collapsed="false">
      <c r="A563" s="38" t="s">
        <v>963</v>
      </c>
      <c r="B563" s="38" t="n">
        <v>9</v>
      </c>
      <c r="C563" s="53" t="n">
        <v>-0.80569</v>
      </c>
      <c r="D563" s="53" t="n">
        <v>-0.448989</v>
      </c>
      <c r="E563" s="53" t="n">
        <v>-0.627339</v>
      </c>
      <c r="F563" s="53" t="n">
        <v>0.333333</v>
      </c>
      <c r="G563" s="53" t="n">
        <v>0.083333</v>
      </c>
      <c r="H563" s="53" t="n">
        <v>0.2</v>
      </c>
    </row>
    <row r="564" customFormat="false" ht="15" hidden="false" customHeight="true" outlineLevel="0" collapsed="false">
      <c r="A564" s="38" t="s">
        <v>963</v>
      </c>
      <c r="B564" s="38" t="n">
        <v>10</v>
      </c>
      <c r="C564" s="53" t="n">
        <v>-0.942145</v>
      </c>
      <c r="D564" s="53" t="n">
        <v>-0.448583</v>
      </c>
      <c r="E564" s="53" t="n">
        <v>-0.695364</v>
      </c>
      <c r="F564" s="53" t="n">
        <v>0.428571</v>
      </c>
      <c r="G564" s="53" t="n">
        <v>0.083333</v>
      </c>
      <c r="H564" s="53" t="n">
        <v>0.2</v>
      </c>
    </row>
    <row r="565" customFormat="false" ht="15" hidden="false" customHeight="true" outlineLevel="0" collapsed="false">
      <c r="A565" s="38" t="s">
        <v>964</v>
      </c>
      <c r="B565" s="38" t="n">
        <v>1</v>
      </c>
      <c r="C565" s="53" t="n">
        <v>-0.876328</v>
      </c>
      <c r="D565" s="53" t="n">
        <v>-0.566209</v>
      </c>
      <c r="E565" s="53" t="n">
        <v>-0.721268</v>
      </c>
      <c r="F565" s="53" t="n">
        <v>0.333333</v>
      </c>
      <c r="G565" s="53" t="n">
        <v>0.25</v>
      </c>
      <c r="H565" s="53" t="n">
        <v>0.2</v>
      </c>
    </row>
    <row r="566" customFormat="false" ht="15" hidden="false" customHeight="true" outlineLevel="0" collapsed="false">
      <c r="A566" s="38" t="s">
        <v>964</v>
      </c>
      <c r="B566" s="38" t="n">
        <v>2</v>
      </c>
      <c r="C566" s="53" t="n">
        <v>-0.794367</v>
      </c>
      <c r="D566" s="53" t="n">
        <v>-0.431505</v>
      </c>
      <c r="E566" s="53" t="n">
        <v>-0.612936</v>
      </c>
      <c r="F566" s="53" t="n">
        <v>0.380952</v>
      </c>
      <c r="G566" s="53" t="n">
        <v>0.25</v>
      </c>
      <c r="H566" s="53" t="n">
        <v>0.2</v>
      </c>
    </row>
    <row r="567" customFormat="false" ht="15" hidden="false" customHeight="true" outlineLevel="0" collapsed="false">
      <c r="A567" s="38" t="s">
        <v>964</v>
      </c>
      <c r="B567" s="38" t="n">
        <v>3</v>
      </c>
      <c r="C567" s="53" t="n">
        <v>-0.471159</v>
      </c>
      <c r="D567" s="53" t="n">
        <v>-0.40449</v>
      </c>
      <c r="E567" s="53" t="n">
        <v>-0.437824</v>
      </c>
      <c r="F567" s="53" t="n">
        <v>0.380952</v>
      </c>
      <c r="G567" s="53" t="n">
        <v>0.333333</v>
      </c>
      <c r="H567" s="53" t="n">
        <v>0.2</v>
      </c>
    </row>
    <row r="568" customFormat="false" ht="15" hidden="false" customHeight="true" outlineLevel="0" collapsed="false">
      <c r="A568" s="38" t="s">
        <v>964</v>
      </c>
      <c r="B568" s="38" t="n">
        <v>4</v>
      </c>
      <c r="C568" s="53" t="n">
        <v>-0.846498</v>
      </c>
      <c r="D568" s="53" t="n">
        <v>-0.467806</v>
      </c>
      <c r="E568" s="53" t="n">
        <v>-0.657152</v>
      </c>
      <c r="F568" s="53" t="n">
        <v>0.428571</v>
      </c>
      <c r="G568" s="53" t="n">
        <v>0.166667</v>
      </c>
      <c r="H568" s="53" t="n">
        <v>0.2</v>
      </c>
    </row>
    <row r="569" customFormat="false" ht="15" hidden="false" customHeight="true" outlineLevel="0" collapsed="false">
      <c r="A569" s="38" t="s">
        <v>964</v>
      </c>
      <c r="B569" s="38" t="n">
        <v>5</v>
      </c>
      <c r="C569" s="53" t="n">
        <v>-0.712677</v>
      </c>
      <c r="D569" s="53" t="n">
        <v>-0.500505</v>
      </c>
      <c r="E569" s="53" t="n">
        <v>-0.606591</v>
      </c>
      <c r="F569" s="53" t="n">
        <v>0.428571</v>
      </c>
      <c r="G569" s="53" t="n">
        <v>0.333333</v>
      </c>
      <c r="H569" s="53" t="n">
        <v>0.4</v>
      </c>
    </row>
    <row r="570" customFormat="false" ht="15" hidden="false" customHeight="true" outlineLevel="0" collapsed="false">
      <c r="A570" s="38" t="s">
        <v>964</v>
      </c>
      <c r="B570" s="38" t="n">
        <v>6</v>
      </c>
      <c r="C570" s="53" t="n">
        <v>-0.572723</v>
      </c>
      <c r="D570" s="53" t="n">
        <v>-0.388625</v>
      </c>
      <c r="E570" s="53" t="n">
        <v>-0.480674</v>
      </c>
      <c r="F570" s="53" t="n">
        <v>0.47619</v>
      </c>
      <c r="G570" s="53" t="n">
        <v>0.333333</v>
      </c>
      <c r="H570" s="53" t="n">
        <v>0.4</v>
      </c>
    </row>
    <row r="571" customFormat="false" ht="15" hidden="false" customHeight="true" outlineLevel="0" collapsed="false">
      <c r="A571" s="38" t="s">
        <v>964</v>
      </c>
      <c r="B571" s="38" t="n">
        <v>7</v>
      </c>
      <c r="C571" s="53" t="n">
        <v>-0.650268</v>
      </c>
      <c r="D571" s="53" t="n">
        <v>-0.402224</v>
      </c>
      <c r="E571" s="53" t="n">
        <v>-0.526246</v>
      </c>
      <c r="F571" s="53" t="n">
        <v>0.380952</v>
      </c>
      <c r="G571" s="53" t="n">
        <v>0.166667</v>
      </c>
      <c r="H571" s="53" t="n">
        <v>0</v>
      </c>
    </row>
    <row r="572" customFormat="false" ht="15" hidden="false" customHeight="true" outlineLevel="0" collapsed="false">
      <c r="A572" s="38" t="s">
        <v>964</v>
      </c>
      <c r="B572" s="38" t="n">
        <v>8</v>
      </c>
      <c r="C572" s="53" t="n">
        <v>-1.046092</v>
      </c>
      <c r="D572" s="53" t="n">
        <v>-0.470657</v>
      </c>
      <c r="E572" s="53" t="n">
        <v>-0.758374</v>
      </c>
      <c r="F572" s="53" t="n">
        <v>0.380952</v>
      </c>
      <c r="G572" s="53" t="n">
        <v>0.083333</v>
      </c>
      <c r="H572" s="53" t="n">
        <v>0</v>
      </c>
    </row>
    <row r="573" customFormat="false" ht="15" hidden="false" customHeight="true" outlineLevel="0" collapsed="false">
      <c r="A573" s="38" t="s">
        <v>964</v>
      </c>
      <c r="B573" s="38" t="n">
        <v>9</v>
      </c>
      <c r="C573" s="53" t="n">
        <v>-0.781765</v>
      </c>
      <c r="D573" s="53" t="n">
        <v>-0.398511</v>
      </c>
      <c r="E573" s="53" t="n">
        <v>-0.590138</v>
      </c>
      <c r="F573" s="53" t="n">
        <v>0.47619</v>
      </c>
      <c r="G573" s="53" t="n">
        <v>0.166667</v>
      </c>
      <c r="H573" s="53" t="n">
        <v>0.2</v>
      </c>
    </row>
    <row r="574" customFormat="false" ht="15" hidden="false" customHeight="true" outlineLevel="0" collapsed="false">
      <c r="A574" s="38" t="s">
        <v>964</v>
      </c>
      <c r="B574" s="38" t="n">
        <v>10</v>
      </c>
      <c r="C574" s="53" t="n">
        <v>-0.976158</v>
      </c>
      <c r="D574" s="53" t="n">
        <v>-0.387118</v>
      </c>
      <c r="E574" s="53" t="n">
        <v>-0.681638</v>
      </c>
      <c r="F574" s="53" t="n">
        <v>0.428571</v>
      </c>
      <c r="G574" s="53" t="n">
        <v>0.166667</v>
      </c>
      <c r="H574" s="53" t="n">
        <v>0</v>
      </c>
    </row>
    <row r="575" customFormat="false" ht="15" hidden="false" customHeight="true" outlineLevel="0" collapsed="false">
      <c r="A575" s="38" t="s">
        <v>965</v>
      </c>
      <c r="B575" s="38" t="n">
        <v>1</v>
      </c>
      <c r="C575" s="53" t="n">
        <v>-0.832412</v>
      </c>
      <c r="D575" s="53" t="n">
        <v>-0.465507</v>
      </c>
      <c r="E575" s="53" t="n">
        <v>-0.648959</v>
      </c>
      <c r="F575" s="53" t="n">
        <v>0.333333</v>
      </c>
      <c r="G575" s="53" t="n">
        <v>0.25</v>
      </c>
      <c r="H575" s="53" t="n">
        <v>0</v>
      </c>
    </row>
    <row r="576" customFormat="false" ht="15" hidden="false" customHeight="true" outlineLevel="0" collapsed="false">
      <c r="A576" s="38" t="s">
        <v>965</v>
      </c>
      <c r="B576" s="38" t="n">
        <v>2</v>
      </c>
      <c r="C576" s="53" t="n">
        <v>-0.697326</v>
      </c>
      <c r="D576" s="53" t="n">
        <v>-0.305532</v>
      </c>
      <c r="E576" s="53" t="n">
        <v>-0.501429</v>
      </c>
      <c r="F576" s="53" t="n">
        <v>0.285714</v>
      </c>
      <c r="G576" s="53" t="n">
        <v>0.166667</v>
      </c>
      <c r="H576" s="53" t="n">
        <v>0.2</v>
      </c>
    </row>
    <row r="577" customFormat="false" ht="15" hidden="false" customHeight="true" outlineLevel="0" collapsed="false">
      <c r="A577" s="38" t="s">
        <v>965</v>
      </c>
      <c r="B577" s="38" t="n">
        <v>3</v>
      </c>
      <c r="C577" s="53" t="n">
        <v>-0.791901</v>
      </c>
      <c r="D577" s="53" t="n">
        <v>-0.420639</v>
      </c>
      <c r="E577" s="53" t="n">
        <v>-0.60627</v>
      </c>
      <c r="F577" s="53" t="n">
        <v>0.428571</v>
      </c>
      <c r="G577" s="53" t="n">
        <v>0.166667</v>
      </c>
      <c r="H577" s="53" t="n">
        <v>0</v>
      </c>
    </row>
    <row r="578" customFormat="false" ht="15" hidden="false" customHeight="true" outlineLevel="0" collapsed="false">
      <c r="A578" s="38" t="s">
        <v>965</v>
      </c>
      <c r="B578" s="38" t="n">
        <v>4</v>
      </c>
      <c r="C578" s="53" t="n">
        <v>-0.921518</v>
      </c>
      <c r="D578" s="53" t="n">
        <v>-0.515027</v>
      </c>
      <c r="E578" s="53" t="n">
        <v>-0.718272</v>
      </c>
      <c r="F578" s="53" t="n">
        <v>0.428571</v>
      </c>
      <c r="G578" s="53" t="n">
        <v>0</v>
      </c>
      <c r="H578" s="53" t="n">
        <v>0</v>
      </c>
    </row>
    <row r="579" customFormat="false" ht="15" hidden="false" customHeight="true" outlineLevel="0" collapsed="false">
      <c r="A579" s="38" t="s">
        <v>965</v>
      </c>
      <c r="B579" s="38" t="n">
        <v>5</v>
      </c>
      <c r="C579" s="53" t="n">
        <v>-0.905969</v>
      </c>
      <c r="D579" s="53" t="n">
        <v>-0.39963</v>
      </c>
      <c r="E579" s="53" t="n">
        <v>-0.652799</v>
      </c>
      <c r="F579" s="53" t="n">
        <v>0.190476</v>
      </c>
      <c r="G579" s="53" t="n">
        <v>0.25</v>
      </c>
      <c r="H579" s="53" t="n">
        <v>0.4</v>
      </c>
    </row>
    <row r="580" customFormat="false" ht="15" hidden="false" customHeight="true" outlineLevel="0" collapsed="false">
      <c r="A580" s="38" t="s">
        <v>965</v>
      </c>
      <c r="B580" s="38" t="n">
        <v>6</v>
      </c>
      <c r="C580" s="53" t="n">
        <v>-0.819465</v>
      </c>
      <c r="D580" s="53" t="n">
        <v>-0.601189</v>
      </c>
      <c r="E580" s="53" t="n">
        <v>-0.710327</v>
      </c>
      <c r="F580" s="53" t="n">
        <v>0.380952</v>
      </c>
      <c r="G580" s="53" t="n">
        <v>0.25</v>
      </c>
      <c r="H580" s="53" t="n">
        <v>0</v>
      </c>
    </row>
    <row r="581" customFormat="false" ht="15" hidden="false" customHeight="true" outlineLevel="0" collapsed="false">
      <c r="A581" s="38" t="s">
        <v>965</v>
      </c>
      <c r="B581" s="38" t="n">
        <v>7</v>
      </c>
      <c r="C581" s="53" t="n">
        <v>-0.8857</v>
      </c>
      <c r="D581" s="53" t="n">
        <v>-0.510917</v>
      </c>
      <c r="E581" s="53" t="n">
        <v>-0.698309</v>
      </c>
      <c r="F581" s="53" t="n">
        <v>0.333333</v>
      </c>
      <c r="G581" s="53" t="n">
        <v>0.166667</v>
      </c>
      <c r="H581" s="53" t="n">
        <v>0.2</v>
      </c>
    </row>
    <row r="582" customFormat="false" ht="15" hidden="false" customHeight="true" outlineLevel="0" collapsed="false">
      <c r="A582" s="38" t="s">
        <v>965</v>
      </c>
      <c r="B582" s="38" t="n">
        <v>8</v>
      </c>
      <c r="C582" s="53" t="n">
        <v>-0.930725</v>
      </c>
      <c r="D582" s="53" t="n">
        <v>-0.49974</v>
      </c>
      <c r="E582" s="53" t="n">
        <v>-0.715232</v>
      </c>
      <c r="F582" s="53" t="n">
        <v>0.47619</v>
      </c>
      <c r="G582" s="53" t="n">
        <v>0.166667</v>
      </c>
      <c r="H582" s="53" t="n">
        <v>0</v>
      </c>
    </row>
    <row r="583" customFormat="false" ht="15" hidden="false" customHeight="true" outlineLevel="0" collapsed="false">
      <c r="A583" s="38" t="s">
        <v>965</v>
      </c>
      <c r="B583" s="38" t="n">
        <v>9</v>
      </c>
      <c r="C583" s="53" t="n">
        <v>-0.760102</v>
      </c>
      <c r="D583" s="53" t="n">
        <v>-0.611006</v>
      </c>
      <c r="E583" s="53" t="n">
        <v>-0.685554</v>
      </c>
      <c r="F583" s="53" t="n">
        <v>0.428571</v>
      </c>
      <c r="G583" s="53" t="n">
        <v>0.25</v>
      </c>
      <c r="H583" s="53" t="n">
        <v>0.2</v>
      </c>
    </row>
    <row r="584" customFormat="false" ht="15" hidden="false" customHeight="true" outlineLevel="0" collapsed="false">
      <c r="A584" s="38" t="s">
        <v>965</v>
      </c>
      <c r="B584" s="38" t="n">
        <v>10</v>
      </c>
      <c r="C584" s="53" t="n">
        <v>-0.782835</v>
      </c>
      <c r="D584" s="53" t="n">
        <v>-0.31904</v>
      </c>
      <c r="E584" s="53" t="n">
        <v>-0.550937</v>
      </c>
      <c r="F584" s="53" t="n">
        <v>0.619048</v>
      </c>
      <c r="G584" s="53" t="n">
        <v>0.25</v>
      </c>
      <c r="H584" s="53" t="n">
        <v>0.4</v>
      </c>
    </row>
    <row r="585" customFormat="false" ht="15" hidden="false" customHeight="true" outlineLevel="0" collapsed="false">
      <c r="A585" s="38" t="s">
        <v>966</v>
      </c>
      <c r="B585" s="38" t="n">
        <v>1</v>
      </c>
      <c r="C585" s="53" t="n">
        <v>-1.01318</v>
      </c>
      <c r="D585" s="53" t="n">
        <v>-0.384783</v>
      </c>
      <c r="E585" s="53" t="n">
        <v>-0.698982</v>
      </c>
      <c r="F585" s="53" t="n">
        <v>0.190476</v>
      </c>
      <c r="G585" s="53" t="n">
        <v>0.083333</v>
      </c>
      <c r="H585" s="53" t="n">
        <v>0</v>
      </c>
    </row>
    <row r="586" customFormat="false" ht="15" hidden="false" customHeight="true" outlineLevel="0" collapsed="false">
      <c r="A586" s="38" t="s">
        <v>966</v>
      </c>
      <c r="B586" s="38" t="n">
        <v>2</v>
      </c>
      <c r="C586" s="53" t="n">
        <v>-0.802134</v>
      </c>
      <c r="D586" s="53" t="n">
        <v>-0.358569</v>
      </c>
      <c r="E586" s="53" t="n">
        <v>-0.580352</v>
      </c>
      <c r="F586" s="53" t="n">
        <v>0.428571</v>
      </c>
      <c r="G586" s="53" t="n">
        <v>0.333333</v>
      </c>
      <c r="H586" s="53" t="n">
        <v>0.4</v>
      </c>
    </row>
    <row r="587" customFormat="false" ht="15" hidden="false" customHeight="true" outlineLevel="0" collapsed="false">
      <c r="A587" s="38" t="s">
        <v>966</v>
      </c>
      <c r="B587" s="38" t="n">
        <v>3</v>
      </c>
      <c r="C587" s="53" t="n">
        <v>-0.802143</v>
      </c>
      <c r="D587" s="53" t="n">
        <v>-0.47082</v>
      </c>
      <c r="E587" s="53" t="n">
        <v>-0.636481</v>
      </c>
      <c r="F587" s="53" t="n">
        <v>0.285714</v>
      </c>
      <c r="G587" s="53" t="n">
        <v>0.166667</v>
      </c>
      <c r="H587" s="53" t="n">
        <v>0</v>
      </c>
    </row>
    <row r="588" customFormat="false" ht="15" hidden="false" customHeight="true" outlineLevel="0" collapsed="false">
      <c r="A588" s="38" t="s">
        <v>966</v>
      </c>
      <c r="B588" s="38" t="n">
        <v>4</v>
      </c>
      <c r="C588" s="53" t="n">
        <v>-0.381466</v>
      </c>
      <c r="D588" s="53" t="n">
        <v>-0.176783</v>
      </c>
      <c r="E588" s="53" t="n">
        <v>-0.279125</v>
      </c>
      <c r="F588" s="53" t="n">
        <v>0.380952</v>
      </c>
      <c r="G588" s="53" t="n">
        <v>0.416667</v>
      </c>
      <c r="H588" s="53" t="n">
        <v>0.4</v>
      </c>
    </row>
    <row r="589" customFormat="false" ht="15" hidden="false" customHeight="true" outlineLevel="0" collapsed="false">
      <c r="A589" s="38" t="s">
        <v>966</v>
      </c>
      <c r="B589" s="38" t="n">
        <v>5</v>
      </c>
      <c r="C589" s="53" t="n">
        <v>-0.728752</v>
      </c>
      <c r="D589" s="53" t="n">
        <v>-0.340671</v>
      </c>
      <c r="E589" s="53" t="n">
        <v>-0.534712</v>
      </c>
      <c r="F589" s="53" t="n">
        <v>0.380952</v>
      </c>
      <c r="G589" s="53" t="n">
        <v>0.166667</v>
      </c>
      <c r="H589" s="53" t="n">
        <v>0</v>
      </c>
    </row>
    <row r="590" customFormat="false" ht="15" hidden="false" customHeight="true" outlineLevel="0" collapsed="false">
      <c r="A590" s="38" t="s">
        <v>966</v>
      </c>
      <c r="B590" s="38" t="n">
        <v>6</v>
      </c>
      <c r="C590" s="53" t="n">
        <v>-0.827358</v>
      </c>
      <c r="D590" s="53" t="n">
        <v>-0.491836</v>
      </c>
      <c r="E590" s="53" t="n">
        <v>-0.659597</v>
      </c>
      <c r="F590" s="53" t="n">
        <v>0.52381</v>
      </c>
      <c r="G590" s="53" t="n">
        <v>0.25</v>
      </c>
      <c r="H590" s="53" t="n">
        <v>0.2</v>
      </c>
    </row>
    <row r="591" customFormat="false" ht="15" hidden="false" customHeight="true" outlineLevel="0" collapsed="false">
      <c r="A591" s="38" t="s">
        <v>966</v>
      </c>
      <c r="B591" s="38" t="n">
        <v>7</v>
      </c>
      <c r="C591" s="53" t="n">
        <v>-0.723131</v>
      </c>
      <c r="D591" s="53" t="n">
        <v>-0.452906</v>
      </c>
      <c r="E591" s="53" t="n">
        <v>-0.588019</v>
      </c>
      <c r="F591" s="53" t="n">
        <v>0.333333</v>
      </c>
      <c r="G591" s="53" t="n">
        <v>0.166667</v>
      </c>
      <c r="H591" s="53" t="n">
        <v>0</v>
      </c>
    </row>
    <row r="592" customFormat="false" ht="15" hidden="false" customHeight="true" outlineLevel="0" collapsed="false">
      <c r="A592" s="38" t="s">
        <v>966</v>
      </c>
      <c r="B592" s="38" t="n">
        <v>8</v>
      </c>
      <c r="C592" s="53" t="n">
        <v>-0.657346</v>
      </c>
      <c r="D592" s="53" t="n">
        <v>-0.382525</v>
      </c>
      <c r="E592" s="53" t="n">
        <v>-0.519935</v>
      </c>
      <c r="F592" s="53" t="n">
        <v>0.571429</v>
      </c>
      <c r="G592" s="53" t="n">
        <v>0.5</v>
      </c>
      <c r="H592" s="53" t="n">
        <v>0.4</v>
      </c>
    </row>
    <row r="593" customFormat="false" ht="15" hidden="false" customHeight="true" outlineLevel="0" collapsed="false">
      <c r="A593" s="38" t="s">
        <v>966</v>
      </c>
      <c r="B593" s="38" t="n">
        <v>9</v>
      </c>
      <c r="C593" s="53" t="n">
        <v>-0.838475</v>
      </c>
      <c r="D593" s="53" t="n">
        <v>-0.425052</v>
      </c>
      <c r="E593" s="53" t="n">
        <v>-0.631764</v>
      </c>
      <c r="F593" s="53" t="n">
        <v>0.52381</v>
      </c>
      <c r="G593" s="53" t="n">
        <v>0.25</v>
      </c>
      <c r="H593" s="53" t="n">
        <v>0.2</v>
      </c>
    </row>
    <row r="594" customFormat="false" ht="15" hidden="false" customHeight="true" outlineLevel="0" collapsed="false">
      <c r="A594" s="38" t="s">
        <v>966</v>
      </c>
      <c r="B594" s="38" t="n">
        <v>10</v>
      </c>
      <c r="C594" s="53" t="n">
        <v>-0.552827</v>
      </c>
      <c r="D594" s="53" t="n">
        <v>-0.128892</v>
      </c>
      <c r="E594" s="53" t="n">
        <v>-0.34086</v>
      </c>
      <c r="F594" s="53" t="n">
        <v>0.47619</v>
      </c>
      <c r="G594" s="53" t="n">
        <v>0.416667</v>
      </c>
      <c r="H594" s="53" t="n">
        <v>0.4</v>
      </c>
    </row>
    <row r="595" customFormat="false" ht="15" hidden="false" customHeight="true" outlineLevel="0" collapsed="false">
      <c r="A595" s="38" t="s">
        <v>967</v>
      </c>
      <c r="B595" s="38" t="n">
        <v>1</v>
      </c>
      <c r="C595" s="53" t="n">
        <v>-0.685687</v>
      </c>
      <c r="D595" s="53" t="n">
        <v>-0.471723</v>
      </c>
      <c r="E595" s="53" t="n">
        <v>-0.578705</v>
      </c>
      <c r="F595" s="53" t="n">
        <v>0.380952</v>
      </c>
      <c r="G595" s="53" t="n">
        <v>0.25</v>
      </c>
      <c r="H595" s="53" t="n">
        <v>0</v>
      </c>
    </row>
    <row r="596" customFormat="false" ht="15" hidden="false" customHeight="true" outlineLevel="0" collapsed="false">
      <c r="A596" s="38" t="s">
        <v>967</v>
      </c>
      <c r="B596" s="38" t="n">
        <v>2</v>
      </c>
      <c r="C596" s="53" t="n">
        <v>-0.837508</v>
      </c>
      <c r="D596" s="53" t="n">
        <v>-0.461813</v>
      </c>
      <c r="E596" s="53" t="n">
        <v>-0.649661</v>
      </c>
      <c r="F596" s="53" t="n">
        <v>0.428571</v>
      </c>
      <c r="G596" s="53" t="n">
        <v>0.083333</v>
      </c>
      <c r="H596" s="53" t="n">
        <v>0.2</v>
      </c>
    </row>
    <row r="597" customFormat="false" ht="15" hidden="false" customHeight="true" outlineLevel="0" collapsed="false">
      <c r="A597" s="38" t="s">
        <v>967</v>
      </c>
      <c r="B597" s="38" t="n">
        <v>3</v>
      </c>
      <c r="C597" s="53" t="n">
        <v>-0.732219</v>
      </c>
      <c r="D597" s="53" t="n">
        <v>-0.420352</v>
      </c>
      <c r="E597" s="53" t="n">
        <v>-0.576285</v>
      </c>
      <c r="F597" s="53" t="n">
        <v>0.428571</v>
      </c>
      <c r="G597" s="53" t="n">
        <v>0.333333</v>
      </c>
      <c r="H597" s="53" t="n">
        <v>0.4</v>
      </c>
    </row>
    <row r="598" customFormat="false" ht="15" hidden="false" customHeight="true" outlineLevel="0" collapsed="false">
      <c r="A598" s="38" t="s">
        <v>967</v>
      </c>
      <c r="B598" s="38" t="n">
        <v>4</v>
      </c>
      <c r="C598" s="53" t="n">
        <v>-0.682929</v>
      </c>
      <c r="D598" s="53" t="n">
        <v>-0.383017</v>
      </c>
      <c r="E598" s="53" t="n">
        <v>-0.532973</v>
      </c>
      <c r="F598" s="53" t="n">
        <v>0.47619</v>
      </c>
      <c r="G598" s="53" t="n">
        <v>0.333333</v>
      </c>
      <c r="H598" s="53" t="n">
        <v>0.4</v>
      </c>
    </row>
    <row r="599" customFormat="false" ht="15" hidden="false" customHeight="true" outlineLevel="0" collapsed="false">
      <c r="A599" s="38" t="s">
        <v>967</v>
      </c>
      <c r="B599" s="38" t="n">
        <v>5</v>
      </c>
      <c r="C599" s="53" t="n">
        <v>-0.783807</v>
      </c>
      <c r="D599" s="53" t="n">
        <v>-0.5002</v>
      </c>
      <c r="E599" s="53" t="n">
        <v>-0.642004</v>
      </c>
      <c r="F599" s="53" t="n">
        <v>0.428571</v>
      </c>
      <c r="G599" s="53" t="n">
        <v>0.25</v>
      </c>
      <c r="H599" s="53" t="n">
        <v>0.2</v>
      </c>
    </row>
    <row r="600" customFormat="false" ht="15" hidden="false" customHeight="true" outlineLevel="0" collapsed="false">
      <c r="A600" s="38" t="s">
        <v>967</v>
      </c>
      <c r="B600" s="38" t="n">
        <v>6</v>
      </c>
      <c r="C600" s="53" t="n">
        <v>-1.083035</v>
      </c>
      <c r="D600" s="53" t="n">
        <v>-0.552112</v>
      </c>
      <c r="E600" s="53" t="n">
        <v>-0.817574</v>
      </c>
      <c r="F600" s="53" t="n">
        <v>0.47619</v>
      </c>
      <c r="G600" s="53" t="n">
        <v>0.25</v>
      </c>
      <c r="H600" s="53" t="n">
        <v>0.6</v>
      </c>
    </row>
    <row r="601" customFormat="false" ht="15" hidden="false" customHeight="true" outlineLevel="0" collapsed="false">
      <c r="A601" s="38" t="s">
        <v>967</v>
      </c>
      <c r="B601" s="38" t="n">
        <v>7</v>
      </c>
      <c r="C601" s="53" t="n">
        <v>-0.724589</v>
      </c>
      <c r="D601" s="53" t="n">
        <v>-0.352578</v>
      </c>
      <c r="E601" s="53" t="n">
        <v>-0.538584</v>
      </c>
      <c r="F601" s="53" t="n">
        <v>0.619048</v>
      </c>
      <c r="G601" s="53" t="n">
        <v>0.25</v>
      </c>
      <c r="H601" s="53" t="n">
        <v>0</v>
      </c>
    </row>
    <row r="602" customFormat="false" ht="15" hidden="false" customHeight="true" outlineLevel="0" collapsed="false">
      <c r="A602" s="38" t="s">
        <v>967</v>
      </c>
      <c r="B602" s="38" t="n">
        <v>8</v>
      </c>
      <c r="C602" s="53" t="n">
        <v>-0.830221</v>
      </c>
      <c r="D602" s="53" t="n">
        <v>-0.583625</v>
      </c>
      <c r="E602" s="53" t="n">
        <v>-0.706923</v>
      </c>
      <c r="F602" s="53" t="n">
        <v>0.333333</v>
      </c>
      <c r="G602" s="53" t="n">
        <v>0.25</v>
      </c>
      <c r="H602" s="53" t="n">
        <v>0.2</v>
      </c>
    </row>
    <row r="603" customFormat="false" ht="15" hidden="false" customHeight="true" outlineLevel="0" collapsed="false">
      <c r="A603" s="38" t="s">
        <v>967</v>
      </c>
      <c r="B603" s="38" t="n">
        <v>9</v>
      </c>
      <c r="C603" s="53" t="n">
        <v>-0.804222</v>
      </c>
      <c r="D603" s="53" t="n">
        <v>-0.39902</v>
      </c>
      <c r="E603" s="53" t="n">
        <v>-0.601621</v>
      </c>
      <c r="F603" s="53" t="n">
        <v>0.571429</v>
      </c>
      <c r="G603" s="53" t="n">
        <v>0.25</v>
      </c>
      <c r="H603" s="53" t="n">
        <v>0.2</v>
      </c>
    </row>
    <row r="604" customFormat="false" ht="15" hidden="false" customHeight="true" outlineLevel="0" collapsed="false">
      <c r="A604" s="38" t="s">
        <v>967</v>
      </c>
      <c r="B604" s="38" t="n">
        <v>10</v>
      </c>
      <c r="C604" s="53" t="n">
        <v>-0.811465</v>
      </c>
      <c r="D604" s="53" t="n">
        <v>-0.309453</v>
      </c>
      <c r="E604" s="53" t="n">
        <v>-0.560459</v>
      </c>
      <c r="F604" s="53" t="n">
        <v>0.380952</v>
      </c>
      <c r="G604" s="53" t="n">
        <v>0.416667</v>
      </c>
      <c r="H604" s="53" t="n">
        <v>0.2</v>
      </c>
    </row>
    <row r="605" customFormat="false" ht="15" hidden="false" customHeight="true" outlineLevel="0" collapsed="false">
      <c r="A605" s="38" t="s">
        <v>968</v>
      </c>
      <c r="B605" s="38" t="n">
        <v>1</v>
      </c>
      <c r="C605" s="53" t="n">
        <v>-0.683395</v>
      </c>
      <c r="D605" s="53" t="n">
        <v>-0.362434</v>
      </c>
      <c r="E605" s="53" t="n">
        <v>-0.522914</v>
      </c>
      <c r="F605" s="53" t="n">
        <v>0.428571</v>
      </c>
      <c r="G605" s="53" t="n">
        <v>0.333333</v>
      </c>
      <c r="H605" s="53" t="n">
        <v>0.2</v>
      </c>
    </row>
    <row r="606" customFormat="false" ht="15" hidden="false" customHeight="true" outlineLevel="0" collapsed="false">
      <c r="A606" s="38" t="s">
        <v>968</v>
      </c>
      <c r="B606" s="38" t="n">
        <v>2</v>
      </c>
      <c r="C606" s="53" t="n">
        <v>-0.804341</v>
      </c>
      <c r="D606" s="53" t="n">
        <v>-0.338081</v>
      </c>
      <c r="E606" s="53" t="n">
        <v>-0.571211</v>
      </c>
      <c r="F606" s="53" t="n">
        <v>0.333333</v>
      </c>
      <c r="G606" s="53" t="n">
        <v>0.083333</v>
      </c>
      <c r="H606" s="53" t="n">
        <v>0</v>
      </c>
    </row>
    <row r="607" customFormat="false" ht="15" hidden="false" customHeight="true" outlineLevel="0" collapsed="false">
      <c r="A607" s="38" t="s">
        <v>968</v>
      </c>
      <c r="B607" s="38" t="n">
        <v>3</v>
      </c>
      <c r="C607" s="53" t="n">
        <v>-0.497154</v>
      </c>
      <c r="D607" s="53" t="n">
        <v>-0.348842</v>
      </c>
      <c r="E607" s="53" t="n">
        <v>-0.422998</v>
      </c>
      <c r="F607" s="53" t="n">
        <v>0.380952</v>
      </c>
      <c r="G607" s="53" t="n">
        <v>0.583333</v>
      </c>
      <c r="H607" s="53" t="n">
        <v>0.6</v>
      </c>
    </row>
    <row r="608" customFormat="false" ht="15" hidden="false" customHeight="true" outlineLevel="0" collapsed="false">
      <c r="A608" s="38" t="s">
        <v>968</v>
      </c>
      <c r="B608" s="38" t="n">
        <v>4</v>
      </c>
      <c r="C608" s="53" t="n">
        <v>-0.877959</v>
      </c>
      <c r="D608" s="53" t="n">
        <v>-0.320112</v>
      </c>
      <c r="E608" s="53" t="n">
        <v>-0.599036</v>
      </c>
      <c r="F608" s="53" t="n">
        <v>0.380952</v>
      </c>
      <c r="G608" s="53" t="n">
        <v>0.5</v>
      </c>
      <c r="H608" s="53" t="n">
        <v>0.4</v>
      </c>
    </row>
    <row r="609" customFormat="false" ht="15" hidden="false" customHeight="true" outlineLevel="0" collapsed="false">
      <c r="A609" s="38" t="s">
        <v>968</v>
      </c>
      <c r="B609" s="38" t="n">
        <v>5</v>
      </c>
      <c r="C609" s="53" t="n">
        <v>-0.850015</v>
      </c>
      <c r="D609" s="53" t="n">
        <v>-0.587669</v>
      </c>
      <c r="E609" s="53" t="n">
        <v>-0.718842</v>
      </c>
      <c r="F609" s="53" t="n">
        <v>0.52381</v>
      </c>
      <c r="G609" s="53" t="n">
        <v>0.166667</v>
      </c>
      <c r="H609" s="53" t="n">
        <v>0.2</v>
      </c>
    </row>
    <row r="610" customFormat="false" ht="15" hidden="false" customHeight="true" outlineLevel="0" collapsed="false">
      <c r="A610" s="38" t="s">
        <v>968</v>
      </c>
      <c r="B610" s="38" t="n">
        <v>6</v>
      </c>
      <c r="C610" s="53" t="n">
        <v>-0.923988</v>
      </c>
      <c r="D610" s="53" t="n">
        <v>-0.528658</v>
      </c>
      <c r="E610" s="53" t="n">
        <v>-0.726323</v>
      </c>
      <c r="F610" s="53" t="n">
        <v>0.333333</v>
      </c>
      <c r="G610" s="53" t="n">
        <v>0.083333</v>
      </c>
      <c r="H610" s="53" t="n">
        <v>0</v>
      </c>
    </row>
    <row r="611" customFormat="false" ht="15" hidden="false" customHeight="true" outlineLevel="0" collapsed="false">
      <c r="A611" s="38" t="s">
        <v>968</v>
      </c>
      <c r="B611" s="38" t="n">
        <v>7</v>
      </c>
      <c r="C611" s="53" t="n">
        <v>-0.678287</v>
      </c>
      <c r="D611" s="53" t="n">
        <v>-0.238039</v>
      </c>
      <c r="E611" s="53" t="n">
        <v>-0.458163</v>
      </c>
      <c r="F611" s="53" t="n">
        <v>0.52381</v>
      </c>
      <c r="G611" s="53" t="n">
        <v>0.25</v>
      </c>
      <c r="H611" s="53" t="n">
        <v>0.2</v>
      </c>
    </row>
    <row r="612" customFormat="false" ht="15" hidden="false" customHeight="true" outlineLevel="0" collapsed="false">
      <c r="A612" s="38" t="s">
        <v>968</v>
      </c>
      <c r="B612" s="38" t="n">
        <v>8</v>
      </c>
      <c r="C612" s="53" t="n">
        <v>-0.863472</v>
      </c>
      <c r="D612" s="53" t="n">
        <v>-0.557756</v>
      </c>
      <c r="E612" s="53" t="n">
        <v>-0.710614</v>
      </c>
      <c r="F612" s="53" t="n">
        <v>0.285714</v>
      </c>
      <c r="G612" s="53" t="n">
        <v>0.166667</v>
      </c>
      <c r="H612" s="53" t="n">
        <v>0.4</v>
      </c>
    </row>
    <row r="613" customFormat="false" ht="15" hidden="false" customHeight="true" outlineLevel="0" collapsed="false">
      <c r="A613" s="38" t="s">
        <v>968</v>
      </c>
      <c r="B613" s="38" t="n">
        <v>9</v>
      </c>
      <c r="C613" s="53" t="n">
        <v>-0.96617</v>
      </c>
      <c r="D613" s="53" t="n">
        <v>-0.476743</v>
      </c>
      <c r="E613" s="53" t="n">
        <v>-0.721457</v>
      </c>
      <c r="F613" s="53" t="n">
        <v>0.190476</v>
      </c>
      <c r="G613" s="53" t="n">
        <v>0.083333</v>
      </c>
      <c r="H613" s="53" t="n">
        <v>0.2</v>
      </c>
    </row>
    <row r="614" customFormat="false" ht="15" hidden="false" customHeight="true" outlineLevel="0" collapsed="false">
      <c r="A614" s="38" t="s">
        <v>968</v>
      </c>
      <c r="B614" s="38" t="n">
        <v>10</v>
      </c>
      <c r="C614" s="53" t="n">
        <v>-0.94785</v>
      </c>
      <c r="D614" s="53" t="n">
        <v>-0.435282</v>
      </c>
      <c r="E614" s="53" t="n">
        <v>-0.691566</v>
      </c>
      <c r="F614" s="53" t="n">
        <v>0.380952</v>
      </c>
      <c r="G614" s="53" t="n">
        <v>0.166667</v>
      </c>
      <c r="H614" s="53" t="n">
        <v>0</v>
      </c>
    </row>
    <row r="615" customFormat="false" ht="15" hidden="false" customHeight="true" outlineLevel="0" collapsed="false">
      <c r="A615" s="38" t="s">
        <v>969</v>
      </c>
      <c r="B615" s="38" t="n">
        <v>1</v>
      </c>
      <c r="C615" s="53" t="n">
        <v>-0.729431</v>
      </c>
      <c r="D615" s="53" t="n">
        <v>-0.524219</v>
      </c>
      <c r="E615" s="53" t="n">
        <v>-0.626825</v>
      </c>
      <c r="F615" s="53" t="n">
        <v>0.380952</v>
      </c>
      <c r="G615" s="53" t="n">
        <v>0.416667</v>
      </c>
      <c r="H615" s="53" t="n">
        <v>0.6</v>
      </c>
    </row>
    <row r="616" customFormat="false" ht="15" hidden="false" customHeight="true" outlineLevel="0" collapsed="false">
      <c r="A616" s="38" t="s">
        <v>969</v>
      </c>
      <c r="B616" s="38" t="n">
        <v>2</v>
      </c>
      <c r="C616" s="53" t="n">
        <v>-0.539288</v>
      </c>
      <c r="D616" s="53" t="n">
        <v>-0.446097</v>
      </c>
      <c r="E616" s="53" t="n">
        <v>-0.492693</v>
      </c>
      <c r="F616" s="53" t="n">
        <v>0.380952</v>
      </c>
      <c r="G616" s="53" t="n">
        <v>0.166667</v>
      </c>
      <c r="H616" s="53" t="n">
        <v>0.2</v>
      </c>
    </row>
    <row r="617" customFormat="false" ht="15" hidden="false" customHeight="true" outlineLevel="0" collapsed="false">
      <c r="A617" s="38" t="s">
        <v>969</v>
      </c>
      <c r="B617" s="38" t="n">
        <v>3</v>
      </c>
      <c r="C617" s="53" t="n">
        <v>-1.02913</v>
      </c>
      <c r="D617" s="53" t="n">
        <v>-0.589337</v>
      </c>
      <c r="E617" s="53" t="n">
        <v>-0.809233</v>
      </c>
      <c r="F617" s="53" t="n">
        <v>0.380952</v>
      </c>
      <c r="G617" s="53" t="n">
        <v>0.25</v>
      </c>
      <c r="H617" s="53" t="n">
        <v>0.4</v>
      </c>
    </row>
    <row r="618" customFormat="false" ht="15" hidden="false" customHeight="true" outlineLevel="0" collapsed="false">
      <c r="A618" s="38" t="s">
        <v>969</v>
      </c>
      <c r="B618" s="38" t="n">
        <v>4</v>
      </c>
      <c r="C618" s="53" t="n">
        <v>-0.746945</v>
      </c>
      <c r="D618" s="53" t="n">
        <v>-0.312651</v>
      </c>
      <c r="E618" s="53" t="n">
        <v>-0.529798</v>
      </c>
      <c r="F618" s="53" t="n">
        <v>0.333333</v>
      </c>
      <c r="G618" s="53" t="n">
        <v>0.25</v>
      </c>
      <c r="H618" s="53" t="n">
        <v>0.2</v>
      </c>
    </row>
    <row r="619" customFormat="false" ht="15" hidden="false" customHeight="true" outlineLevel="0" collapsed="false">
      <c r="A619" s="38" t="s">
        <v>969</v>
      </c>
      <c r="B619" s="38" t="n">
        <v>5</v>
      </c>
      <c r="C619" s="53" t="n">
        <v>-0.820876</v>
      </c>
      <c r="D619" s="53" t="n">
        <v>-0.463429</v>
      </c>
      <c r="E619" s="53" t="n">
        <v>-0.642152</v>
      </c>
      <c r="F619" s="53" t="n">
        <v>0.52381</v>
      </c>
      <c r="G619" s="53" t="n">
        <v>0.333333</v>
      </c>
      <c r="H619" s="53" t="n">
        <v>0.2</v>
      </c>
    </row>
    <row r="620" customFormat="false" ht="15" hidden="false" customHeight="true" outlineLevel="0" collapsed="false">
      <c r="A620" s="38" t="s">
        <v>969</v>
      </c>
      <c r="B620" s="38" t="n">
        <v>6</v>
      </c>
      <c r="C620" s="53" t="n">
        <v>-0.604657</v>
      </c>
      <c r="D620" s="53" t="n">
        <v>-0.373001</v>
      </c>
      <c r="E620" s="53" t="n">
        <v>-0.488829</v>
      </c>
      <c r="F620" s="53" t="n">
        <v>0.285714</v>
      </c>
      <c r="G620" s="53" t="n">
        <v>0.333333</v>
      </c>
      <c r="H620" s="53" t="n">
        <v>0.2</v>
      </c>
    </row>
    <row r="621" customFormat="false" ht="15" hidden="false" customHeight="true" outlineLevel="0" collapsed="false">
      <c r="A621" s="38" t="s">
        <v>969</v>
      </c>
      <c r="B621" s="38" t="n">
        <v>7</v>
      </c>
      <c r="C621" s="53" t="n">
        <v>-0.373726</v>
      </c>
      <c r="D621" s="53" t="n">
        <v>-0.425187</v>
      </c>
      <c r="E621" s="53" t="n">
        <v>-0.399457</v>
      </c>
      <c r="F621" s="53" t="n">
        <v>0.428571</v>
      </c>
      <c r="G621" s="53" t="n">
        <v>0.5</v>
      </c>
      <c r="H621" s="53" t="n">
        <v>0.6</v>
      </c>
    </row>
    <row r="622" customFormat="false" ht="15" hidden="false" customHeight="true" outlineLevel="0" collapsed="false">
      <c r="A622" s="38" t="s">
        <v>969</v>
      </c>
      <c r="B622" s="38" t="n">
        <v>8</v>
      </c>
      <c r="C622" s="53" t="n">
        <v>-0.906751</v>
      </c>
      <c r="D622" s="53" t="n">
        <v>-0.42892</v>
      </c>
      <c r="E622" s="53" t="n">
        <v>-0.667835</v>
      </c>
      <c r="F622" s="53" t="n">
        <v>0.285714</v>
      </c>
      <c r="G622" s="53" t="n">
        <v>0.25</v>
      </c>
      <c r="H622" s="53" t="n">
        <v>0.4</v>
      </c>
    </row>
    <row r="623" customFormat="false" ht="15" hidden="false" customHeight="true" outlineLevel="0" collapsed="false">
      <c r="A623" s="38" t="s">
        <v>969</v>
      </c>
      <c r="B623" s="38" t="n">
        <v>9</v>
      </c>
      <c r="C623" s="53" t="n">
        <v>-0.970889</v>
      </c>
      <c r="D623" s="53" t="n">
        <v>-0.39179</v>
      </c>
      <c r="E623" s="53" t="n">
        <v>-0.681339</v>
      </c>
      <c r="F623" s="53" t="n">
        <v>0.380952</v>
      </c>
      <c r="G623" s="53" t="n">
        <v>0.083333</v>
      </c>
      <c r="H623" s="53" t="n">
        <v>0.2</v>
      </c>
    </row>
    <row r="624" customFormat="false" ht="15" hidden="false" customHeight="true" outlineLevel="0" collapsed="false">
      <c r="A624" s="38" t="s">
        <v>969</v>
      </c>
      <c r="B624" s="38" t="n">
        <v>10</v>
      </c>
      <c r="C624" s="53" t="n">
        <v>-0.780576</v>
      </c>
      <c r="D624" s="53" t="n">
        <v>-0.521367</v>
      </c>
      <c r="E624" s="53" t="n">
        <v>-0.650972</v>
      </c>
      <c r="F624" s="53" t="n">
        <v>0.333333</v>
      </c>
      <c r="G624" s="53" t="n">
        <v>0.25</v>
      </c>
      <c r="H624" s="53" t="n">
        <v>0.4</v>
      </c>
    </row>
    <row r="625" customFormat="false" ht="15" hidden="false" customHeight="true" outlineLevel="0" collapsed="false">
      <c r="A625" s="38" t="s">
        <v>970</v>
      </c>
      <c r="B625" s="38" t="n">
        <v>1</v>
      </c>
      <c r="C625" s="53" t="n">
        <v>-0.687265</v>
      </c>
      <c r="D625" s="53" t="n">
        <v>-0.492255</v>
      </c>
      <c r="E625" s="53" t="n">
        <v>-0.58976</v>
      </c>
      <c r="F625" s="53" t="n">
        <v>0.428571</v>
      </c>
      <c r="G625" s="53" t="n">
        <v>0.333333</v>
      </c>
      <c r="H625" s="53" t="n">
        <v>0.2</v>
      </c>
    </row>
    <row r="626" customFormat="false" ht="15" hidden="false" customHeight="true" outlineLevel="0" collapsed="false">
      <c r="A626" s="38" t="s">
        <v>970</v>
      </c>
      <c r="B626" s="38" t="n">
        <v>2</v>
      </c>
      <c r="C626" s="53" t="n">
        <v>-0.807328</v>
      </c>
      <c r="D626" s="53" t="n">
        <v>-0.440365</v>
      </c>
      <c r="E626" s="53" t="n">
        <v>-0.623847</v>
      </c>
      <c r="F626" s="53" t="n">
        <v>0.238095</v>
      </c>
      <c r="G626" s="53" t="n">
        <v>0.166667</v>
      </c>
      <c r="H626" s="53" t="n">
        <v>0.2</v>
      </c>
    </row>
    <row r="627" customFormat="false" ht="15" hidden="false" customHeight="true" outlineLevel="0" collapsed="false">
      <c r="A627" s="38" t="s">
        <v>970</v>
      </c>
      <c r="B627" s="38" t="n">
        <v>3</v>
      </c>
      <c r="C627" s="53" t="n">
        <v>-0.803713</v>
      </c>
      <c r="D627" s="53" t="n">
        <v>-0.504648</v>
      </c>
      <c r="E627" s="53" t="n">
        <v>-0.654181</v>
      </c>
      <c r="F627" s="53" t="n">
        <v>0.285714</v>
      </c>
      <c r="G627" s="53" t="n">
        <v>0.25</v>
      </c>
      <c r="H627" s="53" t="n">
        <v>0.2</v>
      </c>
    </row>
    <row r="628" customFormat="false" ht="15" hidden="false" customHeight="true" outlineLevel="0" collapsed="false">
      <c r="A628" s="38" t="s">
        <v>970</v>
      </c>
      <c r="B628" s="38" t="n">
        <v>4</v>
      </c>
      <c r="C628" s="53" t="n">
        <v>-0.663391</v>
      </c>
      <c r="D628" s="53" t="n">
        <v>-0.29295</v>
      </c>
      <c r="E628" s="53" t="n">
        <v>-0.47817</v>
      </c>
      <c r="F628" s="53" t="n">
        <v>0.619048</v>
      </c>
      <c r="G628" s="53" t="n">
        <v>0.333333</v>
      </c>
      <c r="H628" s="53" t="n">
        <v>0.2</v>
      </c>
    </row>
    <row r="629" customFormat="false" ht="15" hidden="false" customHeight="true" outlineLevel="0" collapsed="false">
      <c r="A629" s="38" t="s">
        <v>970</v>
      </c>
      <c r="B629" s="38" t="n">
        <v>5</v>
      </c>
      <c r="C629" s="53" t="n">
        <v>-0.820275</v>
      </c>
      <c r="D629" s="53" t="n">
        <v>-0.635426</v>
      </c>
      <c r="E629" s="53" t="n">
        <v>-0.72785</v>
      </c>
      <c r="F629" s="53" t="n">
        <v>0.52381</v>
      </c>
      <c r="G629" s="53" t="n">
        <v>0.333333</v>
      </c>
      <c r="H629" s="53" t="n">
        <v>0.2</v>
      </c>
    </row>
    <row r="630" customFormat="false" ht="15" hidden="false" customHeight="true" outlineLevel="0" collapsed="false">
      <c r="A630" s="38" t="s">
        <v>970</v>
      </c>
      <c r="B630" s="38" t="n">
        <v>6</v>
      </c>
      <c r="C630" s="53" t="n">
        <v>-0.805289</v>
      </c>
      <c r="D630" s="53" t="n">
        <v>-0.432358</v>
      </c>
      <c r="E630" s="53" t="n">
        <v>-0.618824</v>
      </c>
      <c r="F630" s="53" t="n">
        <v>0.571429</v>
      </c>
      <c r="G630" s="53" t="n">
        <v>0.166667</v>
      </c>
      <c r="H630" s="53" t="n">
        <v>0.2</v>
      </c>
    </row>
    <row r="631" customFormat="false" ht="15" hidden="false" customHeight="true" outlineLevel="0" collapsed="false">
      <c r="A631" s="38" t="s">
        <v>970</v>
      </c>
      <c r="B631" s="38" t="n">
        <v>7</v>
      </c>
      <c r="C631" s="53" t="n">
        <v>-0.618535</v>
      </c>
      <c r="D631" s="53" t="n">
        <v>-0.226208</v>
      </c>
      <c r="E631" s="53" t="n">
        <v>-0.422372</v>
      </c>
      <c r="F631" s="53" t="n">
        <v>0.428571</v>
      </c>
      <c r="G631" s="53" t="n">
        <v>0.416667</v>
      </c>
      <c r="H631" s="53" t="n">
        <v>0.4</v>
      </c>
    </row>
    <row r="632" customFormat="false" ht="15" hidden="false" customHeight="true" outlineLevel="0" collapsed="false">
      <c r="A632" s="38" t="s">
        <v>970</v>
      </c>
      <c r="B632" s="38" t="n">
        <v>8</v>
      </c>
      <c r="C632" s="53" t="n">
        <v>-0.727376</v>
      </c>
      <c r="D632" s="53" t="n">
        <v>-0.515702</v>
      </c>
      <c r="E632" s="53" t="n">
        <v>-0.621539</v>
      </c>
      <c r="F632" s="53" t="n">
        <v>0.285714</v>
      </c>
      <c r="G632" s="53" t="n">
        <v>0.083333</v>
      </c>
      <c r="H632" s="53" t="n">
        <v>0.2</v>
      </c>
    </row>
    <row r="633" customFormat="false" ht="15" hidden="false" customHeight="true" outlineLevel="0" collapsed="false">
      <c r="A633" s="38" t="s">
        <v>970</v>
      </c>
      <c r="B633" s="38" t="n">
        <v>9</v>
      </c>
      <c r="C633" s="53" t="n">
        <v>-0.904063</v>
      </c>
      <c r="D633" s="53" t="n">
        <v>-0.524348</v>
      </c>
      <c r="E633" s="53" t="n">
        <v>-0.714205</v>
      </c>
      <c r="F633" s="53" t="n">
        <v>0.285714</v>
      </c>
      <c r="G633" s="53" t="n">
        <v>0.25</v>
      </c>
      <c r="H633" s="53" t="n">
        <v>0.2</v>
      </c>
    </row>
    <row r="634" customFormat="false" ht="15" hidden="false" customHeight="true" outlineLevel="0" collapsed="false">
      <c r="A634" s="38" t="s">
        <v>970</v>
      </c>
      <c r="B634" s="38" t="n">
        <v>10</v>
      </c>
      <c r="C634" s="53" t="n">
        <v>-0.842583</v>
      </c>
      <c r="D634" s="53" t="n">
        <v>-0.42173</v>
      </c>
      <c r="E634" s="53" t="n">
        <v>-0.632157</v>
      </c>
      <c r="F634" s="53" t="n">
        <v>0.47619</v>
      </c>
      <c r="G634" s="53" t="n">
        <v>0.25</v>
      </c>
      <c r="H634" s="53" t="n">
        <v>0.2</v>
      </c>
    </row>
    <row r="635" customFormat="false" ht="15" hidden="false" customHeight="true" outlineLevel="0" collapsed="false">
      <c r="A635" s="38" t="s">
        <v>971</v>
      </c>
      <c r="B635" s="38" t="n">
        <v>1</v>
      </c>
      <c r="C635" s="53" t="n">
        <v>-0.810296</v>
      </c>
      <c r="D635" s="53" t="n">
        <v>-0.49914</v>
      </c>
      <c r="E635" s="53" t="n">
        <v>-0.654718</v>
      </c>
      <c r="F635" s="53" t="n">
        <v>0.2</v>
      </c>
      <c r="G635" s="53" t="n">
        <v>0.4</v>
      </c>
      <c r="H635" s="53" t="n">
        <v>0.2</v>
      </c>
    </row>
    <row r="636" customFormat="false" ht="15" hidden="false" customHeight="true" outlineLevel="0" collapsed="false">
      <c r="A636" s="38" t="s">
        <v>971</v>
      </c>
      <c r="B636" s="38" t="n">
        <v>2</v>
      </c>
      <c r="C636" s="53" t="n">
        <v>-0.733226</v>
      </c>
      <c r="D636" s="53" t="n">
        <v>-0.31739</v>
      </c>
      <c r="E636" s="53" t="n">
        <v>-0.525308</v>
      </c>
      <c r="F636" s="53" t="n">
        <v>0.2</v>
      </c>
      <c r="G636" s="53" t="n">
        <v>0.3</v>
      </c>
      <c r="H636" s="53" t="n">
        <v>0.2</v>
      </c>
    </row>
    <row r="637" customFormat="false" ht="15" hidden="false" customHeight="true" outlineLevel="0" collapsed="false">
      <c r="A637" s="38" t="s">
        <v>971</v>
      </c>
      <c r="B637" s="38" t="n">
        <v>3</v>
      </c>
      <c r="C637" s="53" t="n">
        <v>-0.764486</v>
      </c>
      <c r="D637" s="53" t="n">
        <v>-0.488634</v>
      </c>
      <c r="E637" s="53" t="n">
        <v>-0.62656</v>
      </c>
      <c r="F637" s="53" t="n">
        <v>0.5</v>
      </c>
      <c r="G637" s="53" t="n">
        <v>0.3</v>
      </c>
      <c r="H637" s="53" t="n">
        <v>0.2</v>
      </c>
    </row>
    <row r="638" customFormat="false" ht="15" hidden="false" customHeight="true" outlineLevel="0" collapsed="false">
      <c r="A638" s="38" t="s">
        <v>971</v>
      </c>
      <c r="B638" s="38" t="n">
        <v>4</v>
      </c>
      <c r="C638" s="53" t="n">
        <v>-0.640939</v>
      </c>
      <c r="D638" s="53" t="n">
        <v>-0.125272</v>
      </c>
      <c r="E638" s="53" t="n">
        <v>-0.383105</v>
      </c>
      <c r="F638" s="53" t="n">
        <v>0.35</v>
      </c>
      <c r="G638" s="53" t="n">
        <v>0.3</v>
      </c>
      <c r="H638" s="53" t="n">
        <v>0.2</v>
      </c>
    </row>
    <row r="639" customFormat="false" ht="15" hidden="false" customHeight="true" outlineLevel="0" collapsed="false">
      <c r="A639" s="38" t="s">
        <v>971</v>
      </c>
      <c r="B639" s="38" t="n">
        <v>5</v>
      </c>
      <c r="C639" s="53" t="n">
        <v>-0.785411</v>
      </c>
      <c r="D639" s="53" t="n">
        <v>-0.292053</v>
      </c>
      <c r="E639" s="53" t="n">
        <v>-0.538732</v>
      </c>
      <c r="F639" s="53" t="n">
        <v>0.25</v>
      </c>
      <c r="G639" s="53" t="n">
        <v>0</v>
      </c>
      <c r="H639" s="53" t="n">
        <v>0</v>
      </c>
    </row>
    <row r="640" customFormat="false" ht="15" hidden="false" customHeight="true" outlineLevel="0" collapsed="false">
      <c r="A640" s="38" t="s">
        <v>971</v>
      </c>
      <c r="B640" s="38" t="n">
        <v>6</v>
      </c>
      <c r="C640" s="53" t="n">
        <v>-0.533073</v>
      </c>
      <c r="D640" s="53" t="n">
        <v>-0.329784</v>
      </c>
      <c r="E640" s="53" t="n">
        <v>-0.431429</v>
      </c>
      <c r="F640" s="53" t="n">
        <v>0.4</v>
      </c>
      <c r="G640" s="53" t="n">
        <v>0.3</v>
      </c>
      <c r="H640" s="53" t="n">
        <v>0.2</v>
      </c>
    </row>
    <row r="641" customFormat="false" ht="15" hidden="false" customHeight="true" outlineLevel="0" collapsed="false">
      <c r="A641" s="38" t="s">
        <v>971</v>
      </c>
      <c r="B641" s="38" t="n">
        <v>7</v>
      </c>
      <c r="C641" s="53" t="n">
        <v>-0.787507</v>
      </c>
      <c r="D641" s="53" t="n">
        <v>-0.398083</v>
      </c>
      <c r="E641" s="53" t="n">
        <v>-0.592795</v>
      </c>
      <c r="F641" s="53" t="n">
        <v>0.15</v>
      </c>
      <c r="G641" s="53" t="n">
        <v>0.4</v>
      </c>
      <c r="H641" s="53" t="n">
        <v>0.2</v>
      </c>
    </row>
    <row r="642" customFormat="false" ht="15" hidden="false" customHeight="true" outlineLevel="0" collapsed="false">
      <c r="A642" s="38" t="s">
        <v>971</v>
      </c>
      <c r="B642" s="38" t="n">
        <v>8</v>
      </c>
      <c r="C642" s="53" t="n">
        <v>-1.008813</v>
      </c>
      <c r="D642" s="53" t="n">
        <v>-0.776559</v>
      </c>
      <c r="E642" s="53" t="n">
        <v>-0.892686</v>
      </c>
      <c r="F642" s="53" t="n">
        <v>0.55</v>
      </c>
      <c r="G642" s="53" t="n">
        <v>0.1</v>
      </c>
      <c r="H642" s="53" t="n">
        <v>0.2</v>
      </c>
    </row>
    <row r="643" customFormat="false" ht="15" hidden="false" customHeight="true" outlineLevel="0" collapsed="false">
      <c r="A643" s="38" t="s">
        <v>971</v>
      </c>
      <c r="B643" s="38" t="n">
        <v>9</v>
      </c>
      <c r="C643" s="53" t="n">
        <v>-0.633741</v>
      </c>
      <c r="D643" s="53" t="n">
        <v>-0.271584</v>
      </c>
      <c r="E643" s="53" t="n">
        <v>-0.452663</v>
      </c>
      <c r="F643" s="53" t="n">
        <v>0.45</v>
      </c>
      <c r="G643" s="53" t="n">
        <v>0.4</v>
      </c>
      <c r="H643" s="53" t="n">
        <v>0.4</v>
      </c>
    </row>
    <row r="644" customFormat="false" ht="15" hidden="false" customHeight="true" outlineLevel="0" collapsed="false">
      <c r="A644" s="38" t="s">
        <v>971</v>
      </c>
      <c r="B644" s="38" t="n">
        <v>10</v>
      </c>
      <c r="C644" s="53" t="n">
        <v>-0.544957</v>
      </c>
      <c r="D644" s="53" t="n">
        <v>-0.330505</v>
      </c>
      <c r="E644" s="53" t="n">
        <v>-0.437731</v>
      </c>
      <c r="F644" s="53" t="n">
        <v>0.4</v>
      </c>
      <c r="G644" s="53" t="n">
        <v>0.2</v>
      </c>
      <c r="H644" s="53" t="n">
        <v>0.2</v>
      </c>
    </row>
    <row r="645" customFormat="false" ht="15" hidden="false" customHeight="true" outlineLevel="0" collapsed="false">
      <c r="A645" s="38" t="s">
        <v>972</v>
      </c>
      <c r="B645" s="38" t="n">
        <v>1</v>
      </c>
      <c r="C645" s="53" t="n">
        <v>-0.864208</v>
      </c>
      <c r="D645" s="53" t="n">
        <v>-0.617907</v>
      </c>
      <c r="E645" s="53" t="n">
        <v>-0.741058</v>
      </c>
      <c r="F645" s="53" t="n">
        <v>0.238095</v>
      </c>
      <c r="G645" s="53" t="n">
        <v>0.25</v>
      </c>
      <c r="H645" s="53" t="n">
        <v>0.2</v>
      </c>
    </row>
    <row r="646" customFormat="false" ht="15" hidden="false" customHeight="true" outlineLevel="0" collapsed="false">
      <c r="A646" s="38" t="s">
        <v>972</v>
      </c>
      <c r="B646" s="38" t="n">
        <v>2</v>
      </c>
      <c r="C646" s="53" t="n">
        <v>-0.480853</v>
      </c>
      <c r="D646" s="53" t="n">
        <v>-0.403644</v>
      </c>
      <c r="E646" s="53" t="n">
        <v>-0.442249</v>
      </c>
      <c r="F646" s="53" t="n">
        <v>0.380952</v>
      </c>
      <c r="G646" s="53" t="n">
        <v>0.333333</v>
      </c>
      <c r="H646" s="53" t="n">
        <v>0.4</v>
      </c>
    </row>
    <row r="647" customFormat="false" ht="15" hidden="false" customHeight="true" outlineLevel="0" collapsed="false">
      <c r="A647" s="38" t="s">
        <v>972</v>
      </c>
      <c r="B647" s="38" t="n">
        <v>3</v>
      </c>
      <c r="C647" s="53" t="n">
        <v>-0.72066</v>
      </c>
      <c r="D647" s="53" t="n">
        <v>-0.429644</v>
      </c>
      <c r="E647" s="53" t="n">
        <v>-0.575152</v>
      </c>
      <c r="F647" s="53" t="n">
        <v>0.47619</v>
      </c>
      <c r="G647" s="53" t="n">
        <v>0.333333</v>
      </c>
      <c r="H647" s="53" t="n">
        <v>0.4</v>
      </c>
    </row>
    <row r="648" customFormat="false" ht="15" hidden="false" customHeight="true" outlineLevel="0" collapsed="false">
      <c r="A648" s="38" t="s">
        <v>972</v>
      </c>
      <c r="B648" s="38" t="n">
        <v>4</v>
      </c>
      <c r="C648" s="53" t="n">
        <v>-0.801511</v>
      </c>
      <c r="D648" s="53" t="n">
        <v>-0.416907</v>
      </c>
      <c r="E648" s="53" t="n">
        <v>-0.609209</v>
      </c>
      <c r="F648" s="53" t="n">
        <v>0.285714</v>
      </c>
      <c r="G648" s="53" t="n">
        <v>0.25</v>
      </c>
      <c r="H648" s="53" t="n">
        <v>0.2</v>
      </c>
    </row>
    <row r="649" customFormat="false" ht="15" hidden="false" customHeight="true" outlineLevel="0" collapsed="false">
      <c r="A649" s="38" t="s">
        <v>972</v>
      </c>
      <c r="B649" s="38" t="n">
        <v>5</v>
      </c>
      <c r="C649" s="53" t="n">
        <v>-0.598981</v>
      </c>
      <c r="D649" s="53" t="n">
        <v>-0.43173</v>
      </c>
      <c r="E649" s="53" t="n">
        <v>-0.515355</v>
      </c>
      <c r="F649" s="53" t="n">
        <v>0.285714</v>
      </c>
      <c r="G649" s="53" t="n">
        <v>0.333333</v>
      </c>
      <c r="H649" s="53" t="n">
        <v>0.6</v>
      </c>
    </row>
    <row r="650" customFormat="false" ht="15" hidden="false" customHeight="true" outlineLevel="0" collapsed="false">
      <c r="A650" s="38" t="s">
        <v>972</v>
      </c>
      <c r="B650" s="38" t="n">
        <v>6</v>
      </c>
      <c r="C650" s="53" t="n">
        <v>-0.990607</v>
      </c>
      <c r="D650" s="53" t="n">
        <v>-0.347672</v>
      </c>
      <c r="E650" s="53" t="n">
        <v>-0.66914</v>
      </c>
      <c r="F650" s="53" t="n">
        <v>0.190476</v>
      </c>
      <c r="G650" s="53" t="n">
        <v>0.083333</v>
      </c>
      <c r="H650" s="53" t="n">
        <v>0</v>
      </c>
    </row>
    <row r="651" customFormat="false" ht="15" hidden="false" customHeight="true" outlineLevel="0" collapsed="false">
      <c r="A651" s="38" t="s">
        <v>972</v>
      </c>
      <c r="B651" s="38" t="n">
        <v>7</v>
      </c>
      <c r="C651" s="53" t="n">
        <v>-0.819189</v>
      </c>
      <c r="D651" s="53" t="n">
        <v>-0.375437</v>
      </c>
      <c r="E651" s="53" t="n">
        <v>-0.597313</v>
      </c>
      <c r="F651" s="53" t="n">
        <v>0.238095</v>
      </c>
      <c r="G651" s="53" t="n">
        <v>0.25</v>
      </c>
      <c r="H651" s="53" t="n">
        <v>0.2</v>
      </c>
    </row>
    <row r="652" customFormat="false" ht="15" hidden="false" customHeight="true" outlineLevel="0" collapsed="false">
      <c r="A652" s="38" t="s">
        <v>972</v>
      </c>
      <c r="B652" s="38" t="n">
        <v>8</v>
      </c>
      <c r="C652" s="53" t="n">
        <v>-0.785789</v>
      </c>
      <c r="D652" s="53" t="n">
        <v>-0.59452</v>
      </c>
      <c r="E652" s="53" t="n">
        <v>-0.690155</v>
      </c>
      <c r="F652" s="53" t="n">
        <v>0.380952</v>
      </c>
      <c r="G652" s="53" t="n">
        <v>0.166667</v>
      </c>
      <c r="H652" s="53" t="n">
        <v>0.2</v>
      </c>
    </row>
    <row r="653" customFormat="false" ht="15" hidden="false" customHeight="true" outlineLevel="0" collapsed="false">
      <c r="A653" s="38" t="s">
        <v>972</v>
      </c>
      <c r="B653" s="38" t="n">
        <v>9</v>
      </c>
      <c r="C653" s="53" t="n">
        <v>-0.904607</v>
      </c>
      <c r="D653" s="53" t="n">
        <v>-0.521079</v>
      </c>
      <c r="E653" s="53" t="n">
        <v>-0.712843</v>
      </c>
      <c r="F653" s="53" t="n">
        <v>0.238095</v>
      </c>
      <c r="G653" s="53" t="n">
        <v>0.083333</v>
      </c>
      <c r="H653" s="53" t="n">
        <v>0.2</v>
      </c>
    </row>
    <row r="654" customFormat="false" ht="15" hidden="false" customHeight="true" outlineLevel="0" collapsed="false">
      <c r="A654" s="38" t="s">
        <v>972</v>
      </c>
      <c r="B654" s="38" t="n">
        <v>10</v>
      </c>
      <c r="C654" s="53" t="n">
        <v>-0.627963</v>
      </c>
      <c r="D654" s="53" t="n">
        <v>-0.332517</v>
      </c>
      <c r="E654" s="53" t="n">
        <v>-0.48024</v>
      </c>
      <c r="F654" s="53" t="n">
        <v>0.47619</v>
      </c>
      <c r="G654" s="53" t="n">
        <v>0.25</v>
      </c>
      <c r="H654" s="53" t="n">
        <v>0.2</v>
      </c>
    </row>
    <row r="655" customFormat="false" ht="15" hidden="false" customHeight="true" outlineLevel="0" collapsed="false">
      <c r="A655" s="38" t="s">
        <v>973</v>
      </c>
      <c r="B655" s="38" t="n">
        <v>1</v>
      </c>
      <c r="C655" s="53" t="n">
        <v>-0.808628</v>
      </c>
      <c r="D655" s="53" t="n">
        <v>-0.523581</v>
      </c>
      <c r="E655" s="53" t="n">
        <v>-0.666104</v>
      </c>
      <c r="F655" s="53" t="n">
        <v>0.333333</v>
      </c>
      <c r="G655" s="53" t="n">
        <v>0.25</v>
      </c>
      <c r="H655" s="53" t="n">
        <v>0.2</v>
      </c>
    </row>
    <row r="656" customFormat="false" ht="15" hidden="false" customHeight="true" outlineLevel="0" collapsed="false">
      <c r="A656" s="38" t="s">
        <v>973</v>
      </c>
      <c r="B656" s="38" t="n">
        <v>2</v>
      </c>
      <c r="C656" s="53" t="n">
        <v>-0.892784</v>
      </c>
      <c r="D656" s="53" t="n">
        <v>-0.500906</v>
      </c>
      <c r="E656" s="53" t="n">
        <v>-0.696845</v>
      </c>
      <c r="F656" s="53" t="n">
        <v>0.52381</v>
      </c>
      <c r="G656" s="53" t="n">
        <v>0.083333</v>
      </c>
      <c r="H656" s="53" t="n">
        <v>0.2</v>
      </c>
    </row>
    <row r="657" customFormat="false" ht="15" hidden="false" customHeight="true" outlineLevel="0" collapsed="false">
      <c r="A657" s="38" t="s">
        <v>973</v>
      </c>
      <c r="B657" s="38" t="n">
        <v>3</v>
      </c>
      <c r="C657" s="53" t="n">
        <v>-0.754972</v>
      </c>
      <c r="D657" s="53" t="n">
        <v>-0.540436</v>
      </c>
      <c r="E657" s="53" t="n">
        <v>-0.647704</v>
      </c>
      <c r="F657" s="53" t="n">
        <v>0.285714</v>
      </c>
      <c r="G657" s="53" t="n">
        <v>0.416667</v>
      </c>
      <c r="H657" s="53" t="n">
        <v>0.2</v>
      </c>
    </row>
    <row r="658" customFormat="false" ht="15" hidden="false" customHeight="true" outlineLevel="0" collapsed="false">
      <c r="A658" s="38" t="s">
        <v>973</v>
      </c>
      <c r="B658" s="38" t="n">
        <v>4</v>
      </c>
      <c r="C658" s="53" t="n">
        <v>-0.78878</v>
      </c>
      <c r="D658" s="53" t="n">
        <v>-0.503841</v>
      </c>
      <c r="E658" s="53" t="n">
        <v>-0.646311</v>
      </c>
      <c r="F658" s="53" t="n">
        <v>0.333333</v>
      </c>
      <c r="G658" s="53" t="n">
        <v>0.083333</v>
      </c>
      <c r="H658" s="53" t="n">
        <v>0.2</v>
      </c>
    </row>
    <row r="659" customFormat="false" ht="15" hidden="false" customHeight="true" outlineLevel="0" collapsed="false">
      <c r="A659" s="38" t="s">
        <v>973</v>
      </c>
      <c r="B659" s="38" t="n">
        <v>5</v>
      </c>
      <c r="C659" s="53" t="n">
        <v>-0.83598</v>
      </c>
      <c r="D659" s="53" t="n">
        <v>-0.375478</v>
      </c>
      <c r="E659" s="53" t="n">
        <v>-0.605729</v>
      </c>
      <c r="F659" s="53" t="n">
        <v>0.428571</v>
      </c>
      <c r="G659" s="53" t="n">
        <v>0.333333</v>
      </c>
      <c r="H659" s="53" t="n">
        <v>0.2</v>
      </c>
    </row>
    <row r="660" customFormat="false" ht="15" hidden="false" customHeight="true" outlineLevel="0" collapsed="false">
      <c r="A660" s="38" t="s">
        <v>973</v>
      </c>
      <c r="B660" s="38" t="n">
        <v>6</v>
      </c>
      <c r="C660" s="53" t="n">
        <v>-0.667729</v>
      </c>
      <c r="D660" s="53" t="n">
        <v>-0.395194</v>
      </c>
      <c r="E660" s="53" t="n">
        <v>-0.531462</v>
      </c>
      <c r="F660" s="53" t="n">
        <v>0.619048</v>
      </c>
      <c r="G660" s="53" t="n">
        <v>0.25</v>
      </c>
      <c r="H660" s="53" t="n">
        <v>0.2</v>
      </c>
    </row>
    <row r="661" customFormat="false" ht="15" hidden="false" customHeight="true" outlineLevel="0" collapsed="false">
      <c r="A661" s="38" t="s">
        <v>973</v>
      </c>
      <c r="B661" s="38" t="n">
        <v>7</v>
      </c>
      <c r="C661" s="53" t="n">
        <v>-0.559062</v>
      </c>
      <c r="D661" s="53" t="n">
        <v>-0.310814</v>
      </c>
      <c r="E661" s="53" t="n">
        <v>-0.434938</v>
      </c>
      <c r="F661" s="53" t="n">
        <v>0.52381</v>
      </c>
      <c r="G661" s="53" t="n">
        <v>0.5</v>
      </c>
      <c r="H661" s="53" t="n">
        <v>0.4</v>
      </c>
    </row>
    <row r="662" customFormat="false" ht="15" hidden="false" customHeight="true" outlineLevel="0" collapsed="false">
      <c r="A662" s="38" t="s">
        <v>973</v>
      </c>
      <c r="B662" s="38" t="n">
        <v>8</v>
      </c>
      <c r="C662" s="53" t="n">
        <v>-0.949178</v>
      </c>
      <c r="D662" s="53" t="n">
        <v>-0.517612</v>
      </c>
      <c r="E662" s="53" t="n">
        <v>-0.733395</v>
      </c>
      <c r="F662" s="53" t="n">
        <v>0.428571</v>
      </c>
      <c r="G662" s="53" t="n">
        <v>0.25</v>
      </c>
      <c r="H662" s="53" t="n">
        <v>0.2</v>
      </c>
    </row>
    <row r="663" customFormat="false" ht="15" hidden="false" customHeight="true" outlineLevel="0" collapsed="false">
      <c r="A663" s="38" t="s">
        <v>973</v>
      </c>
      <c r="B663" s="38" t="n">
        <v>9</v>
      </c>
      <c r="C663" s="53" t="n">
        <v>-0.769935</v>
      </c>
      <c r="D663" s="53" t="n">
        <v>-0.237142</v>
      </c>
      <c r="E663" s="53" t="n">
        <v>-0.503539</v>
      </c>
      <c r="F663" s="53" t="n">
        <v>0.52381</v>
      </c>
      <c r="G663" s="53" t="n">
        <v>0.25</v>
      </c>
      <c r="H663" s="53" t="n">
        <v>0</v>
      </c>
    </row>
    <row r="664" customFormat="false" ht="15" hidden="false" customHeight="true" outlineLevel="0" collapsed="false">
      <c r="A664" s="38" t="s">
        <v>973</v>
      </c>
      <c r="B664" s="38" t="n">
        <v>10</v>
      </c>
      <c r="C664" s="53" t="n">
        <v>-0.881468</v>
      </c>
      <c r="D664" s="53" t="n">
        <v>-0.303055</v>
      </c>
      <c r="E664" s="53" t="n">
        <v>-0.592261</v>
      </c>
      <c r="F664" s="53" t="n">
        <v>0.47619</v>
      </c>
      <c r="G664" s="53" t="n">
        <v>0.25</v>
      </c>
      <c r="H664" s="53" t="n">
        <v>0.4</v>
      </c>
    </row>
    <row r="665" customFormat="false" ht="15" hidden="false" customHeight="true" outlineLevel="0" collapsed="false">
      <c r="A665" s="38" t="s">
        <v>974</v>
      </c>
      <c r="B665" s="38" t="n">
        <v>1</v>
      </c>
      <c r="C665" s="53" t="n">
        <v>-0.761534</v>
      </c>
      <c r="D665" s="53" t="n">
        <v>-0.538698</v>
      </c>
      <c r="E665" s="53" t="n">
        <v>-0.650116</v>
      </c>
      <c r="F665" s="53" t="n">
        <v>0.619048</v>
      </c>
      <c r="G665" s="53" t="n">
        <v>0.25</v>
      </c>
      <c r="H665" s="53" t="n">
        <v>0.2</v>
      </c>
    </row>
    <row r="666" customFormat="false" ht="15" hidden="false" customHeight="true" outlineLevel="0" collapsed="false">
      <c r="A666" s="38" t="s">
        <v>974</v>
      </c>
      <c r="B666" s="38" t="n">
        <v>2</v>
      </c>
      <c r="C666" s="53" t="n">
        <v>-1.059348</v>
      </c>
      <c r="D666" s="53" t="n">
        <v>-0.456769</v>
      </c>
      <c r="E666" s="53" t="n">
        <v>-0.758058</v>
      </c>
      <c r="F666" s="53" t="n">
        <v>0.238095</v>
      </c>
      <c r="G666" s="53" t="n">
        <v>0.083333</v>
      </c>
      <c r="H666" s="53" t="n">
        <v>0</v>
      </c>
    </row>
    <row r="667" customFormat="false" ht="15" hidden="false" customHeight="true" outlineLevel="0" collapsed="false">
      <c r="A667" s="38" t="s">
        <v>974</v>
      </c>
      <c r="B667" s="38" t="n">
        <v>3</v>
      </c>
      <c r="C667" s="53" t="n">
        <v>-0.437771</v>
      </c>
      <c r="D667" s="53" t="n">
        <v>-0.265534</v>
      </c>
      <c r="E667" s="53" t="n">
        <v>-0.351652</v>
      </c>
      <c r="F667" s="53" t="n">
        <v>0.428571</v>
      </c>
      <c r="G667" s="53" t="n">
        <v>0.5</v>
      </c>
      <c r="H667" s="53" t="n">
        <v>0.6</v>
      </c>
    </row>
    <row r="668" customFormat="false" ht="15" hidden="false" customHeight="true" outlineLevel="0" collapsed="false">
      <c r="A668" s="38" t="s">
        <v>974</v>
      </c>
      <c r="B668" s="38" t="n">
        <v>4</v>
      </c>
      <c r="C668" s="53" t="n">
        <v>-0.897963</v>
      </c>
      <c r="D668" s="53" t="n">
        <v>-0.604426</v>
      </c>
      <c r="E668" s="53" t="n">
        <v>-0.751195</v>
      </c>
      <c r="F668" s="53" t="n">
        <v>0.52381</v>
      </c>
      <c r="G668" s="53" t="n">
        <v>0.166667</v>
      </c>
      <c r="H668" s="53" t="n">
        <v>0.2</v>
      </c>
    </row>
    <row r="669" customFormat="false" ht="15" hidden="false" customHeight="true" outlineLevel="0" collapsed="false">
      <c r="A669" s="38" t="s">
        <v>974</v>
      </c>
      <c r="B669" s="38" t="n">
        <v>5</v>
      </c>
      <c r="C669" s="53" t="n">
        <v>-0.770924</v>
      </c>
      <c r="D669" s="53" t="n">
        <v>-0.457703</v>
      </c>
      <c r="E669" s="53" t="n">
        <v>-0.614314</v>
      </c>
      <c r="F669" s="53" t="n">
        <v>0.428571</v>
      </c>
      <c r="G669" s="53" t="n">
        <v>0.083333</v>
      </c>
      <c r="H669" s="53" t="n">
        <v>0</v>
      </c>
    </row>
    <row r="670" customFormat="false" ht="15" hidden="false" customHeight="true" outlineLevel="0" collapsed="false">
      <c r="A670" s="38" t="s">
        <v>974</v>
      </c>
      <c r="B670" s="38" t="n">
        <v>6</v>
      </c>
      <c r="C670" s="53" t="n">
        <v>-0.981324</v>
      </c>
      <c r="D670" s="53" t="n">
        <v>-0.478786</v>
      </c>
      <c r="E670" s="53" t="n">
        <v>-0.730055</v>
      </c>
      <c r="F670" s="53" t="n">
        <v>0.428571</v>
      </c>
      <c r="G670" s="53" t="n">
        <v>0.083333</v>
      </c>
      <c r="H670" s="53" t="n">
        <v>0</v>
      </c>
    </row>
    <row r="671" customFormat="false" ht="15" hidden="false" customHeight="true" outlineLevel="0" collapsed="false">
      <c r="A671" s="38" t="s">
        <v>974</v>
      </c>
      <c r="B671" s="38" t="n">
        <v>7</v>
      </c>
      <c r="C671" s="53" t="n">
        <v>-0.754286</v>
      </c>
      <c r="D671" s="53" t="n">
        <v>-0.377539</v>
      </c>
      <c r="E671" s="53" t="n">
        <v>-0.565912</v>
      </c>
      <c r="F671" s="53" t="n">
        <v>0.380952</v>
      </c>
      <c r="G671" s="53" t="n">
        <v>0.166667</v>
      </c>
      <c r="H671" s="53" t="n">
        <v>0.2</v>
      </c>
    </row>
    <row r="672" customFormat="false" ht="15" hidden="false" customHeight="true" outlineLevel="0" collapsed="false">
      <c r="A672" s="38" t="s">
        <v>974</v>
      </c>
      <c r="B672" s="38" t="n">
        <v>8</v>
      </c>
      <c r="C672" s="53" t="n">
        <v>-0.799504</v>
      </c>
      <c r="D672" s="53" t="n">
        <v>-0.367865</v>
      </c>
      <c r="E672" s="53" t="n">
        <v>-0.583685</v>
      </c>
      <c r="F672" s="53" t="n">
        <v>0.285714</v>
      </c>
      <c r="G672" s="53" t="n">
        <v>0.083333</v>
      </c>
      <c r="H672" s="53" t="n">
        <v>0</v>
      </c>
    </row>
    <row r="673" customFormat="false" ht="15" hidden="false" customHeight="true" outlineLevel="0" collapsed="false">
      <c r="A673" s="38" t="s">
        <v>974</v>
      </c>
      <c r="B673" s="38" t="n">
        <v>9</v>
      </c>
      <c r="C673" s="53" t="n">
        <v>-1.049757</v>
      </c>
      <c r="D673" s="53" t="n">
        <v>-0.463686</v>
      </c>
      <c r="E673" s="53" t="n">
        <v>-0.756721</v>
      </c>
      <c r="F673" s="53" t="n">
        <v>0.47619</v>
      </c>
      <c r="G673" s="53" t="n">
        <v>0.166667</v>
      </c>
      <c r="H673" s="53" t="n">
        <v>0.4</v>
      </c>
    </row>
    <row r="674" customFormat="false" ht="15" hidden="false" customHeight="true" outlineLevel="0" collapsed="false">
      <c r="A674" s="38" t="s">
        <v>974</v>
      </c>
      <c r="B674" s="38" t="n">
        <v>10</v>
      </c>
      <c r="C674" s="53" t="n">
        <v>-0.853336</v>
      </c>
      <c r="D674" s="53" t="n">
        <v>-0.460478</v>
      </c>
      <c r="E674" s="53" t="n">
        <v>-0.656907</v>
      </c>
      <c r="F674" s="53" t="n">
        <v>0.285714</v>
      </c>
      <c r="G674" s="53" t="n">
        <v>0.25</v>
      </c>
      <c r="H674" s="53" t="n">
        <v>0.2</v>
      </c>
    </row>
    <row r="675" customFormat="false" ht="15" hidden="false" customHeight="true" outlineLevel="0" collapsed="false">
      <c r="A675" s="38" t="s">
        <v>975</v>
      </c>
      <c r="B675" s="38" t="n">
        <v>1</v>
      </c>
      <c r="C675" s="53" t="n">
        <v>-0.85631</v>
      </c>
      <c r="D675" s="53" t="n">
        <v>-0.555913</v>
      </c>
      <c r="E675" s="53" t="n">
        <v>-0.706112</v>
      </c>
      <c r="F675" s="53" t="n">
        <v>0.428571</v>
      </c>
      <c r="G675" s="53" t="n">
        <v>0.083333</v>
      </c>
      <c r="H675" s="53" t="n">
        <v>0.2</v>
      </c>
    </row>
    <row r="676" customFormat="false" ht="15" hidden="false" customHeight="true" outlineLevel="0" collapsed="false">
      <c r="A676" s="38" t="s">
        <v>975</v>
      </c>
      <c r="B676" s="38" t="n">
        <v>2</v>
      </c>
      <c r="C676" s="53" t="n">
        <v>-0.733405</v>
      </c>
      <c r="D676" s="53" t="n">
        <v>-0.437557</v>
      </c>
      <c r="E676" s="53" t="n">
        <v>-0.585481</v>
      </c>
      <c r="F676" s="53" t="n">
        <v>0.571429</v>
      </c>
      <c r="G676" s="53" t="n">
        <v>0.333333</v>
      </c>
      <c r="H676" s="53" t="n">
        <v>0.6</v>
      </c>
    </row>
    <row r="677" customFormat="false" ht="15" hidden="false" customHeight="true" outlineLevel="0" collapsed="false">
      <c r="A677" s="38" t="s">
        <v>975</v>
      </c>
      <c r="B677" s="38" t="n">
        <v>3</v>
      </c>
      <c r="C677" s="53" t="n">
        <v>-1.002953</v>
      </c>
      <c r="D677" s="53" t="n">
        <v>-0.449243</v>
      </c>
      <c r="E677" s="53" t="n">
        <v>-0.726098</v>
      </c>
      <c r="F677" s="53" t="n">
        <v>0.380952</v>
      </c>
      <c r="G677" s="53" t="n">
        <v>0.25</v>
      </c>
      <c r="H677" s="53" t="n">
        <v>0.4</v>
      </c>
    </row>
    <row r="678" customFormat="false" ht="15" hidden="false" customHeight="true" outlineLevel="0" collapsed="false">
      <c r="A678" s="38" t="s">
        <v>975</v>
      </c>
      <c r="B678" s="38" t="n">
        <v>4</v>
      </c>
      <c r="C678" s="53" t="n">
        <v>-0.669218</v>
      </c>
      <c r="D678" s="53" t="n">
        <v>-0.431479</v>
      </c>
      <c r="E678" s="53" t="n">
        <v>-0.550349</v>
      </c>
      <c r="F678" s="53" t="n">
        <v>0.571429</v>
      </c>
      <c r="G678" s="53" t="n">
        <v>0.25</v>
      </c>
      <c r="H678" s="53" t="n">
        <v>0</v>
      </c>
    </row>
    <row r="679" customFormat="false" ht="15" hidden="false" customHeight="true" outlineLevel="0" collapsed="false">
      <c r="A679" s="38" t="s">
        <v>975</v>
      </c>
      <c r="B679" s="38" t="n">
        <v>5</v>
      </c>
      <c r="C679" s="53" t="n">
        <v>-0.408555</v>
      </c>
      <c r="D679" s="53" t="n">
        <v>-0.167915</v>
      </c>
      <c r="E679" s="53" t="n">
        <v>-0.288235</v>
      </c>
      <c r="F679" s="53" t="n">
        <v>0.47619</v>
      </c>
      <c r="G679" s="53" t="n">
        <v>0.416667</v>
      </c>
      <c r="H679" s="53" t="n">
        <v>0.6</v>
      </c>
    </row>
    <row r="680" customFormat="false" ht="15" hidden="false" customHeight="true" outlineLevel="0" collapsed="false">
      <c r="A680" s="38" t="s">
        <v>975</v>
      </c>
      <c r="B680" s="38" t="n">
        <v>6</v>
      </c>
      <c r="C680" s="53" t="n">
        <v>-0.576173</v>
      </c>
      <c r="D680" s="53" t="n">
        <v>-0.411089</v>
      </c>
      <c r="E680" s="53" t="n">
        <v>-0.493631</v>
      </c>
      <c r="F680" s="53" t="n">
        <v>0.333333</v>
      </c>
      <c r="G680" s="53" t="n">
        <v>0.166667</v>
      </c>
      <c r="H680" s="53" t="n">
        <v>0</v>
      </c>
    </row>
    <row r="681" customFormat="false" ht="15" hidden="false" customHeight="true" outlineLevel="0" collapsed="false">
      <c r="A681" s="38" t="s">
        <v>975</v>
      </c>
      <c r="B681" s="38" t="n">
        <v>7</v>
      </c>
      <c r="C681" s="53" t="n">
        <v>-0.922407</v>
      </c>
      <c r="D681" s="53" t="n">
        <v>-0.464312</v>
      </c>
      <c r="E681" s="53" t="n">
        <v>-0.69336</v>
      </c>
      <c r="F681" s="53" t="n">
        <v>0.714286</v>
      </c>
      <c r="G681" s="53" t="n">
        <v>0.083333</v>
      </c>
      <c r="H681" s="53" t="n">
        <v>0</v>
      </c>
    </row>
    <row r="682" customFormat="false" ht="15" hidden="false" customHeight="true" outlineLevel="0" collapsed="false">
      <c r="A682" s="38" t="s">
        <v>975</v>
      </c>
      <c r="B682" s="38" t="n">
        <v>8</v>
      </c>
      <c r="C682" s="53" t="n">
        <v>-0.868889</v>
      </c>
      <c r="D682" s="53" t="n">
        <v>-0.519837</v>
      </c>
      <c r="E682" s="53" t="n">
        <v>-0.694363</v>
      </c>
      <c r="F682" s="53" t="n">
        <v>0.333333</v>
      </c>
      <c r="G682" s="53" t="n">
        <v>0.25</v>
      </c>
      <c r="H682" s="53" t="n">
        <v>0.4</v>
      </c>
    </row>
    <row r="683" customFormat="false" ht="15" hidden="false" customHeight="true" outlineLevel="0" collapsed="false">
      <c r="A683" s="38" t="s">
        <v>975</v>
      </c>
      <c r="B683" s="38" t="n">
        <v>9</v>
      </c>
      <c r="C683" s="53" t="n">
        <v>-0.88328</v>
      </c>
      <c r="D683" s="53" t="n">
        <v>-0.602381</v>
      </c>
      <c r="E683" s="53" t="n">
        <v>-0.74283</v>
      </c>
      <c r="F683" s="53" t="n">
        <v>0.333333</v>
      </c>
      <c r="G683" s="53" t="n">
        <v>0.083333</v>
      </c>
      <c r="H683" s="53" t="n">
        <v>0.2</v>
      </c>
    </row>
    <row r="684" customFormat="false" ht="15" hidden="false" customHeight="true" outlineLevel="0" collapsed="false">
      <c r="A684" s="38" t="s">
        <v>975</v>
      </c>
      <c r="B684" s="38" t="n">
        <v>10</v>
      </c>
      <c r="C684" s="53" t="n">
        <v>-0.707629</v>
      </c>
      <c r="D684" s="53" t="n">
        <v>-0.528658</v>
      </c>
      <c r="E684" s="53" t="n">
        <v>-0.618144</v>
      </c>
      <c r="F684" s="53" t="n">
        <v>0.333333</v>
      </c>
      <c r="G684" s="53" t="n">
        <v>0.25</v>
      </c>
      <c r="H684" s="53" t="n">
        <v>0.4</v>
      </c>
    </row>
    <row r="685" customFormat="false" ht="15" hidden="false" customHeight="true" outlineLevel="0" collapsed="false">
      <c r="A685" s="38" t="s">
        <v>976</v>
      </c>
      <c r="B685" s="38" t="n">
        <v>1</v>
      </c>
      <c r="C685" s="53" t="n">
        <v>-0.770964</v>
      </c>
      <c r="D685" s="53" t="n">
        <v>-0.433338</v>
      </c>
      <c r="E685" s="53" t="n">
        <v>-0.602151</v>
      </c>
      <c r="F685" s="53" t="n">
        <v>0.47619</v>
      </c>
      <c r="G685" s="53" t="n">
        <v>0.333333</v>
      </c>
      <c r="H685" s="53" t="n">
        <v>0.4</v>
      </c>
    </row>
    <row r="686" customFormat="false" ht="15" hidden="false" customHeight="true" outlineLevel="0" collapsed="false">
      <c r="A686" s="38" t="s">
        <v>976</v>
      </c>
      <c r="B686" s="38" t="n">
        <v>2</v>
      </c>
      <c r="C686" s="53" t="n">
        <v>-1.125137</v>
      </c>
      <c r="D686" s="53" t="n">
        <v>-0.570651</v>
      </c>
      <c r="E686" s="53" t="n">
        <v>-0.847894</v>
      </c>
      <c r="F686" s="53" t="n">
        <v>0.619048</v>
      </c>
      <c r="G686" s="53" t="n">
        <v>0.333333</v>
      </c>
      <c r="H686" s="53" t="n">
        <v>0.2</v>
      </c>
    </row>
    <row r="687" customFormat="false" ht="15" hidden="false" customHeight="true" outlineLevel="0" collapsed="false">
      <c r="A687" s="38" t="s">
        <v>976</v>
      </c>
      <c r="B687" s="38" t="n">
        <v>3</v>
      </c>
      <c r="C687" s="53" t="n">
        <v>-0.697378</v>
      </c>
      <c r="D687" s="53" t="n">
        <v>-0.488354</v>
      </c>
      <c r="E687" s="53" t="n">
        <v>-0.592866</v>
      </c>
      <c r="F687" s="53" t="n">
        <v>0.190476</v>
      </c>
      <c r="G687" s="53" t="n">
        <v>0.333333</v>
      </c>
      <c r="H687" s="53" t="n">
        <v>0.6</v>
      </c>
    </row>
    <row r="688" customFormat="false" ht="15" hidden="false" customHeight="true" outlineLevel="0" collapsed="false">
      <c r="A688" s="38" t="s">
        <v>976</v>
      </c>
      <c r="B688" s="38" t="n">
        <v>4</v>
      </c>
      <c r="C688" s="53" t="n">
        <v>-0.940695</v>
      </c>
      <c r="D688" s="53" t="n">
        <v>-0.577409</v>
      </c>
      <c r="E688" s="53" t="n">
        <v>-0.759052</v>
      </c>
      <c r="F688" s="53" t="n">
        <v>0.190476</v>
      </c>
      <c r="G688" s="53" t="n">
        <v>0.083333</v>
      </c>
      <c r="H688" s="53" t="n">
        <v>0</v>
      </c>
    </row>
    <row r="689" customFormat="false" ht="15" hidden="false" customHeight="true" outlineLevel="0" collapsed="false">
      <c r="A689" s="38" t="s">
        <v>976</v>
      </c>
      <c r="B689" s="38" t="n">
        <v>5</v>
      </c>
      <c r="C689" s="53" t="n">
        <v>-0.455014</v>
      </c>
      <c r="D689" s="53" t="n">
        <v>-0.193392</v>
      </c>
      <c r="E689" s="53" t="n">
        <v>-0.324203</v>
      </c>
      <c r="F689" s="53" t="n">
        <v>0.52381</v>
      </c>
      <c r="G689" s="53" t="n">
        <v>0.333333</v>
      </c>
      <c r="H689" s="53" t="n">
        <v>0.4</v>
      </c>
    </row>
    <row r="690" customFormat="false" ht="15" hidden="false" customHeight="true" outlineLevel="0" collapsed="false">
      <c r="A690" s="38" t="s">
        <v>976</v>
      </c>
      <c r="B690" s="38" t="n">
        <v>6</v>
      </c>
      <c r="C690" s="53" t="n">
        <v>-0.902142</v>
      </c>
      <c r="D690" s="53" t="n">
        <v>-0.488658</v>
      </c>
      <c r="E690" s="53" t="n">
        <v>-0.6954</v>
      </c>
      <c r="F690" s="53" t="n">
        <v>0.428571</v>
      </c>
      <c r="G690" s="53" t="n">
        <v>0</v>
      </c>
      <c r="H690" s="53" t="n">
        <v>0</v>
      </c>
    </row>
    <row r="691" customFormat="false" ht="15" hidden="false" customHeight="true" outlineLevel="0" collapsed="false">
      <c r="A691" s="38" t="s">
        <v>976</v>
      </c>
      <c r="B691" s="38" t="n">
        <v>7</v>
      </c>
      <c r="C691" s="53" t="n">
        <v>-0.334846</v>
      </c>
      <c r="D691" s="53" t="n">
        <v>-0.605226</v>
      </c>
      <c r="E691" s="53" t="n">
        <v>-0.470036</v>
      </c>
      <c r="F691" s="53" t="n">
        <v>0.285714</v>
      </c>
      <c r="G691" s="53" t="n">
        <v>0.5</v>
      </c>
      <c r="H691" s="53" t="n">
        <v>0.6</v>
      </c>
    </row>
    <row r="692" customFormat="false" ht="15" hidden="false" customHeight="true" outlineLevel="0" collapsed="false">
      <c r="A692" s="38" t="s">
        <v>976</v>
      </c>
      <c r="B692" s="38" t="n">
        <v>8</v>
      </c>
      <c r="C692" s="53" t="n">
        <v>-0.717863</v>
      </c>
      <c r="D692" s="53" t="n">
        <v>-0.421374</v>
      </c>
      <c r="E692" s="53" t="n">
        <v>-0.569619</v>
      </c>
      <c r="F692" s="53" t="n">
        <v>0.428571</v>
      </c>
      <c r="G692" s="53" t="n">
        <v>0.333333</v>
      </c>
      <c r="H692" s="53" t="n">
        <v>0</v>
      </c>
    </row>
    <row r="693" customFormat="false" ht="15" hidden="false" customHeight="true" outlineLevel="0" collapsed="false">
      <c r="A693" s="38" t="s">
        <v>976</v>
      </c>
      <c r="B693" s="38" t="n">
        <v>9</v>
      </c>
      <c r="C693" s="53" t="n">
        <v>-0.823868</v>
      </c>
      <c r="D693" s="53" t="n">
        <v>-0.404977</v>
      </c>
      <c r="E693" s="53" t="n">
        <v>-0.614422</v>
      </c>
      <c r="F693" s="53" t="n">
        <v>0.333333</v>
      </c>
      <c r="G693" s="53" t="n">
        <v>0.25</v>
      </c>
      <c r="H693" s="53" t="n">
        <v>0.2</v>
      </c>
    </row>
    <row r="694" customFormat="false" ht="15" hidden="false" customHeight="true" outlineLevel="0" collapsed="false">
      <c r="A694" s="38" t="s">
        <v>976</v>
      </c>
      <c r="B694" s="38" t="n">
        <v>10</v>
      </c>
      <c r="C694" s="53" t="n">
        <v>-0.648279</v>
      </c>
      <c r="D694" s="53" t="n">
        <v>-0.321495</v>
      </c>
      <c r="E694" s="53" t="n">
        <v>-0.484887</v>
      </c>
      <c r="F694" s="53" t="n">
        <v>0.47619</v>
      </c>
      <c r="G694" s="53" t="n">
        <v>0.166667</v>
      </c>
      <c r="H694" s="53" t="n">
        <v>0.2</v>
      </c>
    </row>
    <row r="695" customFormat="false" ht="15" hidden="false" customHeight="true" outlineLevel="0" collapsed="false">
      <c r="A695" s="38" t="s">
        <v>977</v>
      </c>
      <c r="B695" s="38" t="n">
        <v>1</v>
      </c>
      <c r="C695" s="53" t="n">
        <v>-0.989854</v>
      </c>
      <c r="D695" s="53" t="n">
        <v>-0.515202</v>
      </c>
      <c r="E695" s="53" t="n">
        <v>-0.752528</v>
      </c>
      <c r="F695" s="53" t="n">
        <v>0.52381</v>
      </c>
      <c r="G695" s="53" t="n">
        <v>0.166667</v>
      </c>
      <c r="H695" s="53" t="n">
        <v>0.2</v>
      </c>
    </row>
    <row r="696" customFormat="false" ht="15" hidden="false" customHeight="true" outlineLevel="0" collapsed="false">
      <c r="A696" s="38" t="s">
        <v>977</v>
      </c>
      <c r="B696" s="38" t="n">
        <v>2</v>
      </c>
      <c r="C696" s="53" t="n">
        <v>-0.747662</v>
      </c>
      <c r="D696" s="53" t="n">
        <v>-0.500202</v>
      </c>
      <c r="E696" s="53" t="n">
        <v>-0.623932</v>
      </c>
      <c r="F696" s="53" t="n">
        <v>0.428571</v>
      </c>
      <c r="G696" s="53" t="n">
        <v>0.083333</v>
      </c>
      <c r="H696" s="53" t="n">
        <v>0.2</v>
      </c>
    </row>
    <row r="697" customFormat="false" ht="15" hidden="false" customHeight="true" outlineLevel="0" collapsed="false">
      <c r="A697" s="38" t="s">
        <v>977</v>
      </c>
      <c r="B697" s="38" t="n">
        <v>3</v>
      </c>
      <c r="C697" s="53" t="n">
        <v>-0.868982</v>
      </c>
      <c r="D697" s="53" t="n">
        <v>-0.505232</v>
      </c>
      <c r="E697" s="53" t="n">
        <v>-0.687107</v>
      </c>
      <c r="F697" s="53" t="n">
        <v>0.619048</v>
      </c>
      <c r="G697" s="53" t="n">
        <v>0.166667</v>
      </c>
      <c r="H697" s="53" t="n">
        <v>0.2</v>
      </c>
    </row>
    <row r="698" customFormat="false" ht="15" hidden="false" customHeight="true" outlineLevel="0" collapsed="false">
      <c r="A698" s="38" t="s">
        <v>977</v>
      </c>
      <c r="B698" s="38" t="n">
        <v>4</v>
      </c>
      <c r="C698" s="53" t="n">
        <v>-0.99923</v>
      </c>
      <c r="D698" s="53" t="n">
        <v>-0.507178</v>
      </c>
      <c r="E698" s="53" t="n">
        <v>-0.753204</v>
      </c>
      <c r="F698" s="53" t="n">
        <v>0.285714</v>
      </c>
      <c r="G698" s="53" t="n">
        <v>0.166667</v>
      </c>
      <c r="H698" s="53" t="n">
        <v>0.2</v>
      </c>
    </row>
    <row r="699" customFormat="false" ht="15" hidden="false" customHeight="true" outlineLevel="0" collapsed="false">
      <c r="A699" s="38" t="s">
        <v>977</v>
      </c>
      <c r="B699" s="38" t="n">
        <v>5</v>
      </c>
      <c r="C699" s="53" t="n">
        <v>-0.606238</v>
      </c>
      <c r="D699" s="53" t="n">
        <v>-0.452836</v>
      </c>
      <c r="E699" s="53" t="n">
        <v>-0.529537</v>
      </c>
      <c r="F699" s="53" t="n">
        <v>0.47619</v>
      </c>
      <c r="G699" s="53" t="n">
        <v>0.25</v>
      </c>
      <c r="H699" s="53" t="n">
        <v>0.2</v>
      </c>
    </row>
    <row r="700" customFormat="false" ht="15" hidden="false" customHeight="true" outlineLevel="0" collapsed="false">
      <c r="A700" s="38" t="s">
        <v>977</v>
      </c>
      <c r="B700" s="38" t="n">
        <v>6</v>
      </c>
      <c r="C700" s="53" t="n">
        <v>-0.548688</v>
      </c>
      <c r="D700" s="53" t="n">
        <v>-0.394572</v>
      </c>
      <c r="E700" s="53" t="n">
        <v>-0.47163</v>
      </c>
      <c r="F700" s="53" t="n">
        <v>0.571429</v>
      </c>
      <c r="G700" s="53" t="n">
        <v>0.416667</v>
      </c>
      <c r="H700" s="53" t="n">
        <v>0.6</v>
      </c>
    </row>
    <row r="701" customFormat="false" ht="15" hidden="false" customHeight="true" outlineLevel="0" collapsed="false">
      <c r="A701" s="38" t="s">
        <v>977</v>
      </c>
      <c r="B701" s="38" t="n">
        <v>7</v>
      </c>
      <c r="C701" s="53" t="n">
        <v>-0.627038</v>
      </c>
      <c r="D701" s="53" t="n">
        <v>-0.455613</v>
      </c>
      <c r="E701" s="53" t="n">
        <v>-0.541325</v>
      </c>
      <c r="F701" s="53" t="n">
        <v>0.333333</v>
      </c>
      <c r="G701" s="53" t="n">
        <v>0.333333</v>
      </c>
      <c r="H701" s="53" t="n">
        <v>0.2</v>
      </c>
    </row>
    <row r="702" customFormat="false" ht="15" hidden="false" customHeight="true" outlineLevel="0" collapsed="false">
      <c r="A702" s="38" t="s">
        <v>977</v>
      </c>
      <c r="B702" s="38" t="n">
        <v>8</v>
      </c>
      <c r="C702" s="53" t="n">
        <v>-0.97344</v>
      </c>
      <c r="D702" s="53" t="n">
        <v>-0.468052</v>
      </c>
      <c r="E702" s="53" t="n">
        <v>-0.720746</v>
      </c>
      <c r="F702" s="53" t="n">
        <v>0.380952</v>
      </c>
      <c r="G702" s="53" t="n">
        <v>0.083333</v>
      </c>
      <c r="H702" s="53" t="n">
        <v>0</v>
      </c>
    </row>
    <row r="703" customFormat="false" ht="15" hidden="false" customHeight="true" outlineLevel="0" collapsed="false">
      <c r="A703" s="38" t="s">
        <v>977</v>
      </c>
      <c r="B703" s="38" t="n">
        <v>9</v>
      </c>
      <c r="C703" s="53" t="n">
        <v>-0.621637</v>
      </c>
      <c r="D703" s="53" t="n">
        <v>-0.384532</v>
      </c>
      <c r="E703" s="53" t="n">
        <v>-0.503084</v>
      </c>
      <c r="F703" s="53" t="n">
        <v>0.428571</v>
      </c>
      <c r="G703" s="53" t="n">
        <v>0.25</v>
      </c>
      <c r="H703" s="53" t="n">
        <v>0.4</v>
      </c>
    </row>
    <row r="704" customFormat="false" ht="15" hidden="false" customHeight="true" outlineLevel="0" collapsed="false">
      <c r="A704" s="38" t="s">
        <v>977</v>
      </c>
      <c r="B704" s="38" t="n">
        <v>10</v>
      </c>
      <c r="C704" s="53" t="n">
        <v>-0.93392</v>
      </c>
      <c r="D704" s="53" t="n">
        <v>-0.519438</v>
      </c>
      <c r="E704" s="53" t="n">
        <v>-0.726679</v>
      </c>
      <c r="F704" s="53" t="n">
        <v>0.571429</v>
      </c>
      <c r="G704" s="53" t="n">
        <v>0.333333</v>
      </c>
      <c r="H704" s="53" t="n">
        <v>0.4</v>
      </c>
    </row>
    <row r="705" customFormat="false" ht="15" hidden="false" customHeight="true" outlineLevel="0" collapsed="false">
      <c r="A705" s="38" t="s">
        <v>978</v>
      </c>
      <c r="B705" s="38" t="n">
        <v>1</v>
      </c>
      <c r="C705" s="53" t="n">
        <v>-1.004557</v>
      </c>
      <c r="D705" s="53" t="n">
        <v>-0.328962</v>
      </c>
      <c r="E705" s="53" t="n">
        <v>-0.666759</v>
      </c>
      <c r="F705" s="53" t="n">
        <v>0.571429</v>
      </c>
      <c r="G705" s="53" t="n">
        <v>0.166667</v>
      </c>
      <c r="H705" s="53" t="n">
        <v>0.2</v>
      </c>
    </row>
    <row r="706" customFormat="false" ht="15" hidden="false" customHeight="true" outlineLevel="0" collapsed="false">
      <c r="A706" s="38" t="s">
        <v>978</v>
      </c>
      <c r="B706" s="38" t="n">
        <v>2</v>
      </c>
      <c r="C706" s="53" t="n">
        <v>-0.663696</v>
      </c>
      <c r="D706" s="53" t="n">
        <v>-0.390175</v>
      </c>
      <c r="E706" s="53" t="n">
        <v>-0.526935</v>
      </c>
      <c r="F706" s="53" t="n">
        <v>0.52381</v>
      </c>
      <c r="G706" s="53" t="n">
        <v>0.333333</v>
      </c>
      <c r="H706" s="53" t="n">
        <v>0.6</v>
      </c>
    </row>
    <row r="707" customFormat="false" ht="15" hidden="false" customHeight="true" outlineLevel="0" collapsed="false">
      <c r="A707" s="38" t="s">
        <v>978</v>
      </c>
      <c r="B707" s="38" t="n">
        <v>3</v>
      </c>
      <c r="C707" s="53" t="n">
        <v>-0.629461</v>
      </c>
      <c r="D707" s="53" t="n">
        <v>-0.499529</v>
      </c>
      <c r="E707" s="53" t="n">
        <v>-0.564495</v>
      </c>
      <c r="F707" s="53" t="n">
        <v>0.571429</v>
      </c>
      <c r="G707" s="53" t="n">
        <v>0.416667</v>
      </c>
      <c r="H707" s="53" t="n">
        <v>0.4</v>
      </c>
    </row>
    <row r="708" customFormat="false" ht="15" hidden="false" customHeight="true" outlineLevel="0" collapsed="false">
      <c r="A708" s="38" t="s">
        <v>978</v>
      </c>
      <c r="B708" s="38" t="n">
        <v>4</v>
      </c>
      <c r="C708" s="53" t="n">
        <v>-1.01581</v>
      </c>
      <c r="D708" s="53" t="n">
        <v>-0.498525</v>
      </c>
      <c r="E708" s="53" t="n">
        <v>-0.757168</v>
      </c>
      <c r="F708" s="53" t="n">
        <v>0.238095</v>
      </c>
      <c r="G708" s="53" t="n">
        <v>0.083333</v>
      </c>
      <c r="H708" s="53" t="n">
        <v>0.2</v>
      </c>
    </row>
    <row r="709" customFormat="false" ht="15" hidden="false" customHeight="true" outlineLevel="0" collapsed="false">
      <c r="A709" s="38" t="s">
        <v>978</v>
      </c>
      <c r="B709" s="38" t="n">
        <v>5</v>
      </c>
      <c r="C709" s="53" t="n">
        <v>-0.625029</v>
      </c>
      <c r="D709" s="53" t="n">
        <v>-0.352183</v>
      </c>
      <c r="E709" s="53" t="n">
        <v>-0.488606</v>
      </c>
      <c r="F709" s="53" t="n">
        <v>0.333333</v>
      </c>
      <c r="G709" s="53" t="n">
        <v>0.333333</v>
      </c>
      <c r="H709" s="53" t="n">
        <v>0.4</v>
      </c>
    </row>
    <row r="710" customFormat="false" ht="15" hidden="false" customHeight="true" outlineLevel="0" collapsed="false">
      <c r="A710" s="38" t="s">
        <v>978</v>
      </c>
      <c r="B710" s="38" t="n">
        <v>6</v>
      </c>
      <c r="C710" s="53" t="n">
        <v>-0.880316</v>
      </c>
      <c r="D710" s="53" t="n">
        <v>-0.558223</v>
      </c>
      <c r="E710" s="53" t="n">
        <v>-0.719269</v>
      </c>
      <c r="F710" s="53" t="n">
        <v>0.285714</v>
      </c>
      <c r="G710" s="53" t="n">
        <v>0.166667</v>
      </c>
      <c r="H710" s="53" t="n">
        <v>0</v>
      </c>
    </row>
    <row r="711" customFormat="false" ht="15" hidden="false" customHeight="true" outlineLevel="0" collapsed="false">
      <c r="A711" s="38" t="s">
        <v>978</v>
      </c>
      <c r="B711" s="38" t="n">
        <v>7</v>
      </c>
      <c r="C711" s="53" t="n">
        <v>-0.871437</v>
      </c>
      <c r="D711" s="53" t="n">
        <v>-0.446868</v>
      </c>
      <c r="E711" s="53" t="n">
        <v>-0.659153</v>
      </c>
      <c r="F711" s="53" t="n">
        <v>0.333333</v>
      </c>
      <c r="G711" s="53" t="n">
        <v>0.166667</v>
      </c>
      <c r="H711" s="53" t="n">
        <v>0.2</v>
      </c>
    </row>
    <row r="712" customFormat="false" ht="15" hidden="false" customHeight="true" outlineLevel="0" collapsed="false">
      <c r="A712" s="38" t="s">
        <v>978</v>
      </c>
      <c r="B712" s="38" t="n">
        <v>8</v>
      </c>
      <c r="C712" s="53" t="n">
        <v>-0.725855</v>
      </c>
      <c r="D712" s="53" t="n">
        <v>-0.385219</v>
      </c>
      <c r="E712" s="53" t="n">
        <v>-0.555537</v>
      </c>
      <c r="F712" s="53" t="n">
        <v>0.380952</v>
      </c>
      <c r="G712" s="53" t="n">
        <v>0.333333</v>
      </c>
      <c r="H712" s="53" t="n">
        <v>0.2</v>
      </c>
    </row>
    <row r="713" customFormat="false" ht="15" hidden="false" customHeight="true" outlineLevel="0" collapsed="false">
      <c r="A713" s="38" t="s">
        <v>978</v>
      </c>
      <c r="B713" s="38" t="n">
        <v>9</v>
      </c>
      <c r="C713" s="53" t="n">
        <v>-0.907055</v>
      </c>
      <c r="D713" s="53" t="n">
        <v>-0.594421</v>
      </c>
      <c r="E713" s="53" t="n">
        <v>-0.750738</v>
      </c>
      <c r="F713" s="53" t="n">
        <v>0.380952</v>
      </c>
      <c r="G713" s="53" t="n">
        <v>0.166667</v>
      </c>
      <c r="H713" s="53" t="n">
        <v>0.4</v>
      </c>
    </row>
    <row r="714" customFormat="false" ht="15" hidden="false" customHeight="true" outlineLevel="0" collapsed="false">
      <c r="A714" s="38" t="s">
        <v>978</v>
      </c>
      <c r="B714" s="38" t="n">
        <v>10</v>
      </c>
      <c r="C714" s="53" t="n">
        <v>-1.023161</v>
      </c>
      <c r="D714" s="53" t="n">
        <v>-0.594565</v>
      </c>
      <c r="E714" s="53" t="n">
        <v>-0.808863</v>
      </c>
      <c r="F714" s="53" t="n">
        <v>0.333333</v>
      </c>
      <c r="G714" s="53" t="n">
        <v>0</v>
      </c>
      <c r="H714" s="53" t="n">
        <v>0</v>
      </c>
    </row>
    <row r="715" customFormat="false" ht="15" hidden="false" customHeight="true" outlineLevel="0" collapsed="false">
      <c r="A715" s="38" t="s">
        <v>979</v>
      </c>
      <c r="B715" s="38" t="n">
        <v>1</v>
      </c>
      <c r="C715" s="53" t="n">
        <v>-0.917186</v>
      </c>
      <c r="D715" s="53" t="n">
        <v>-0.476704</v>
      </c>
      <c r="E715" s="53" t="n">
        <v>-0.696945</v>
      </c>
      <c r="F715" s="53" t="n">
        <v>0.619048</v>
      </c>
      <c r="G715" s="53" t="n">
        <v>0.166667</v>
      </c>
      <c r="H715" s="53" t="n">
        <v>0</v>
      </c>
    </row>
    <row r="716" customFormat="false" ht="15" hidden="false" customHeight="true" outlineLevel="0" collapsed="false">
      <c r="A716" s="38" t="s">
        <v>979</v>
      </c>
      <c r="B716" s="38" t="n">
        <v>2</v>
      </c>
      <c r="C716" s="53" t="n">
        <v>-0.68171</v>
      </c>
      <c r="D716" s="53" t="n">
        <v>-0.445524</v>
      </c>
      <c r="E716" s="53" t="n">
        <v>-0.563617</v>
      </c>
      <c r="F716" s="53" t="n">
        <v>0.428571</v>
      </c>
      <c r="G716" s="53" t="n">
        <v>0.333333</v>
      </c>
      <c r="H716" s="53" t="n">
        <v>0.4</v>
      </c>
    </row>
    <row r="717" customFormat="false" ht="15" hidden="false" customHeight="true" outlineLevel="0" collapsed="false">
      <c r="A717" s="38" t="s">
        <v>979</v>
      </c>
      <c r="B717" s="38" t="n">
        <v>3</v>
      </c>
      <c r="C717" s="53" t="n">
        <v>-0.823406</v>
      </c>
      <c r="D717" s="53" t="n">
        <v>-0.426688</v>
      </c>
      <c r="E717" s="53" t="n">
        <v>-0.625047</v>
      </c>
      <c r="F717" s="53" t="n">
        <v>0.428571</v>
      </c>
      <c r="G717" s="53" t="n">
        <v>0.333333</v>
      </c>
      <c r="H717" s="53" t="n">
        <v>0.4</v>
      </c>
    </row>
    <row r="718" customFormat="false" ht="15" hidden="false" customHeight="true" outlineLevel="0" collapsed="false">
      <c r="A718" s="38" t="s">
        <v>979</v>
      </c>
      <c r="B718" s="38" t="n">
        <v>4</v>
      </c>
      <c r="C718" s="53" t="n">
        <v>-0.621694</v>
      </c>
      <c r="D718" s="53" t="n">
        <v>-0.235297</v>
      </c>
      <c r="E718" s="53" t="n">
        <v>-0.428495</v>
      </c>
      <c r="F718" s="53" t="n">
        <v>0.333333</v>
      </c>
      <c r="G718" s="53" t="n">
        <v>0.25</v>
      </c>
      <c r="H718" s="53" t="n">
        <v>0.4</v>
      </c>
    </row>
    <row r="719" customFormat="false" ht="15" hidden="false" customHeight="true" outlineLevel="0" collapsed="false">
      <c r="A719" s="38" t="s">
        <v>979</v>
      </c>
      <c r="B719" s="38" t="n">
        <v>5</v>
      </c>
      <c r="C719" s="53" t="n">
        <v>-0.478359</v>
      </c>
      <c r="D719" s="53" t="n">
        <v>-0.34511</v>
      </c>
      <c r="E719" s="53" t="n">
        <v>-0.411735</v>
      </c>
      <c r="F719" s="53" t="n">
        <v>0.52381</v>
      </c>
      <c r="G719" s="53" t="n">
        <v>0.666667</v>
      </c>
      <c r="H719" s="53" t="n">
        <v>0.6</v>
      </c>
    </row>
    <row r="720" customFormat="false" ht="15" hidden="false" customHeight="true" outlineLevel="0" collapsed="false">
      <c r="A720" s="38" t="s">
        <v>979</v>
      </c>
      <c r="B720" s="38" t="n">
        <v>6</v>
      </c>
      <c r="C720" s="53" t="n">
        <v>-0.963621</v>
      </c>
      <c r="D720" s="53" t="n">
        <v>-0.529752</v>
      </c>
      <c r="E720" s="53" t="n">
        <v>-0.746687</v>
      </c>
      <c r="F720" s="53" t="n">
        <v>0.380952</v>
      </c>
      <c r="G720" s="53" t="n">
        <v>0.083333</v>
      </c>
      <c r="H720" s="53" t="n">
        <v>0.2</v>
      </c>
    </row>
    <row r="721" customFormat="false" ht="15" hidden="false" customHeight="true" outlineLevel="0" collapsed="false">
      <c r="A721" s="38" t="s">
        <v>979</v>
      </c>
      <c r="B721" s="38" t="n">
        <v>7</v>
      </c>
      <c r="C721" s="53" t="n">
        <v>-0.598369</v>
      </c>
      <c r="D721" s="53" t="n">
        <v>-0.434179</v>
      </c>
      <c r="E721" s="53" t="n">
        <v>-0.516274</v>
      </c>
      <c r="F721" s="53" t="n">
        <v>0.428571</v>
      </c>
      <c r="G721" s="53" t="n">
        <v>0.333333</v>
      </c>
      <c r="H721" s="53" t="n">
        <v>0.4</v>
      </c>
    </row>
    <row r="722" customFormat="false" ht="15" hidden="false" customHeight="true" outlineLevel="0" collapsed="false">
      <c r="A722" s="38" t="s">
        <v>979</v>
      </c>
      <c r="B722" s="38" t="n">
        <v>8</v>
      </c>
      <c r="C722" s="53" t="n">
        <v>-0.985984</v>
      </c>
      <c r="D722" s="53" t="n">
        <v>-0.581511</v>
      </c>
      <c r="E722" s="53" t="n">
        <v>-0.783748</v>
      </c>
      <c r="F722" s="53" t="n">
        <v>0.238095</v>
      </c>
      <c r="G722" s="53" t="n">
        <v>0.083333</v>
      </c>
      <c r="H722" s="53" t="n">
        <v>0.2</v>
      </c>
    </row>
    <row r="723" customFormat="false" ht="15" hidden="false" customHeight="true" outlineLevel="0" collapsed="false">
      <c r="A723" s="38" t="s">
        <v>979</v>
      </c>
      <c r="B723" s="38" t="n">
        <v>9</v>
      </c>
      <c r="C723" s="53" t="n">
        <v>-0.622482</v>
      </c>
      <c r="D723" s="53" t="n">
        <v>-0.21641</v>
      </c>
      <c r="E723" s="53" t="n">
        <v>-0.419446</v>
      </c>
      <c r="F723" s="53" t="n">
        <v>0.285714</v>
      </c>
      <c r="G723" s="53" t="n">
        <v>0.416667</v>
      </c>
      <c r="H723" s="53" t="n">
        <v>0.2</v>
      </c>
    </row>
    <row r="724" customFormat="false" ht="15" hidden="false" customHeight="true" outlineLevel="0" collapsed="false">
      <c r="A724" s="38" t="s">
        <v>979</v>
      </c>
      <c r="B724" s="38" t="n">
        <v>10</v>
      </c>
      <c r="C724" s="53" t="n">
        <v>-0.811427</v>
      </c>
      <c r="D724" s="53" t="n">
        <v>-0.460903</v>
      </c>
      <c r="E724" s="53" t="n">
        <v>-0.636165</v>
      </c>
      <c r="F724" s="53" t="n">
        <v>0.571429</v>
      </c>
      <c r="G724" s="53" t="n">
        <v>0.333333</v>
      </c>
      <c r="H724" s="53" t="n">
        <v>0.4</v>
      </c>
    </row>
    <row r="725" customFormat="false" ht="15" hidden="false" customHeight="true" outlineLevel="0" collapsed="false">
      <c r="A725" s="38" t="s">
        <v>980</v>
      </c>
      <c r="B725" s="38" t="n">
        <v>1</v>
      </c>
      <c r="C725" s="53" t="n">
        <v>-0.998269</v>
      </c>
      <c r="D725" s="53" t="n">
        <v>-0.440688</v>
      </c>
      <c r="E725" s="53" t="n">
        <v>-0.719478</v>
      </c>
      <c r="F725" s="53" t="n">
        <v>0.333333</v>
      </c>
      <c r="G725" s="53" t="n">
        <v>0.166667</v>
      </c>
      <c r="H725" s="53" t="n">
        <v>0.2</v>
      </c>
    </row>
    <row r="726" customFormat="false" ht="15" hidden="false" customHeight="true" outlineLevel="0" collapsed="false">
      <c r="A726" s="38" t="s">
        <v>980</v>
      </c>
      <c r="B726" s="38" t="n">
        <v>2</v>
      </c>
      <c r="C726" s="53" t="n">
        <v>-0.586225</v>
      </c>
      <c r="D726" s="53" t="n">
        <v>-0.347496</v>
      </c>
      <c r="E726" s="53" t="n">
        <v>-0.46686</v>
      </c>
      <c r="F726" s="53" t="n">
        <v>0.47619</v>
      </c>
      <c r="G726" s="53" t="n">
        <v>0.416667</v>
      </c>
      <c r="H726" s="53" t="n">
        <v>0.6</v>
      </c>
    </row>
    <row r="727" customFormat="false" ht="15" hidden="false" customHeight="true" outlineLevel="0" collapsed="false">
      <c r="A727" s="38" t="s">
        <v>980</v>
      </c>
      <c r="B727" s="38" t="n">
        <v>3</v>
      </c>
      <c r="C727" s="53" t="n">
        <v>-0.778349</v>
      </c>
      <c r="D727" s="53" t="n">
        <v>-0.42456</v>
      </c>
      <c r="E727" s="53" t="n">
        <v>-0.601455</v>
      </c>
      <c r="F727" s="53" t="n">
        <v>0.571429</v>
      </c>
      <c r="G727" s="53" t="n">
        <v>0.25</v>
      </c>
      <c r="H727" s="53" t="n">
        <v>0.2</v>
      </c>
    </row>
    <row r="728" customFormat="false" ht="15" hidden="false" customHeight="true" outlineLevel="0" collapsed="false">
      <c r="A728" s="38" t="s">
        <v>980</v>
      </c>
      <c r="B728" s="38" t="n">
        <v>4</v>
      </c>
      <c r="C728" s="53" t="n">
        <v>-0.952478</v>
      </c>
      <c r="D728" s="53" t="n">
        <v>-0.403986</v>
      </c>
      <c r="E728" s="53" t="n">
        <v>-0.678232</v>
      </c>
      <c r="F728" s="53" t="n">
        <v>0.380952</v>
      </c>
      <c r="G728" s="53" t="n">
        <v>0.083333</v>
      </c>
      <c r="H728" s="53" t="n">
        <v>0.2</v>
      </c>
    </row>
    <row r="729" customFormat="false" ht="15" hidden="false" customHeight="true" outlineLevel="0" collapsed="false">
      <c r="A729" s="38" t="s">
        <v>980</v>
      </c>
      <c r="B729" s="38" t="n">
        <v>5</v>
      </c>
      <c r="C729" s="53" t="n">
        <v>-0.818194</v>
      </c>
      <c r="D729" s="53" t="n">
        <v>-0.488865</v>
      </c>
      <c r="E729" s="53" t="n">
        <v>-0.65353</v>
      </c>
      <c r="F729" s="53" t="n">
        <v>0.380952</v>
      </c>
      <c r="G729" s="53" t="n">
        <v>0.5</v>
      </c>
      <c r="H729" s="53" t="n">
        <v>0.2</v>
      </c>
    </row>
    <row r="730" customFormat="false" ht="15" hidden="false" customHeight="true" outlineLevel="0" collapsed="false">
      <c r="A730" s="38" t="s">
        <v>980</v>
      </c>
      <c r="B730" s="38" t="n">
        <v>6</v>
      </c>
      <c r="C730" s="53" t="n">
        <v>-0.585624</v>
      </c>
      <c r="D730" s="53" t="n">
        <v>-0.338178</v>
      </c>
      <c r="E730" s="53" t="n">
        <v>-0.461901</v>
      </c>
      <c r="F730" s="53" t="n">
        <v>0.428571</v>
      </c>
      <c r="G730" s="53" t="n">
        <v>0.166667</v>
      </c>
      <c r="H730" s="53" t="n">
        <v>0.4</v>
      </c>
    </row>
    <row r="731" customFormat="false" ht="15" hidden="false" customHeight="true" outlineLevel="0" collapsed="false">
      <c r="A731" s="38" t="s">
        <v>980</v>
      </c>
      <c r="B731" s="38" t="n">
        <v>7</v>
      </c>
      <c r="C731" s="53" t="n">
        <v>-0.83727</v>
      </c>
      <c r="D731" s="53" t="n">
        <v>-0.462284</v>
      </c>
      <c r="E731" s="53" t="n">
        <v>-0.649777</v>
      </c>
      <c r="F731" s="53" t="n">
        <v>0.333333</v>
      </c>
      <c r="G731" s="53" t="n">
        <v>0.333333</v>
      </c>
      <c r="H731" s="53" t="n">
        <v>0.2</v>
      </c>
    </row>
    <row r="732" customFormat="false" ht="15" hidden="false" customHeight="true" outlineLevel="0" collapsed="false">
      <c r="A732" s="38" t="s">
        <v>980</v>
      </c>
      <c r="B732" s="38" t="n">
        <v>8</v>
      </c>
      <c r="C732" s="53" t="n">
        <v>-0.779915</v>
      </c>
      <c r="D732" s="53" t="n">
        <v>-0.470728</v>
      </c>
      <c r="E732" s="53" t="n">
        <v>-0.625322</v>
      </c>
      <c r="F732" s="53" t="n">
        <v>0.380952</v>
      </c>
      <c r="G732" s="53" t="n">
        <v>0.25</v>
      </c>
      <c r="H732" s="53" t="n">
        <v>0</v>
      </c>
    </row>
    <row r="733" customFormat="false" ht="15" hidden="false" customHeight="true" outlineLevel="0" collapsed="false">
      <c r="A733" s="38" t="s">
        <v>980</v>
      </c>
      <c r="B733" s="38" t="n">
        <v>9</v>
      </c>
      <c r="C733" s="53" t="n">
        <v>-0.677932</v>
      </c>
      <c r="D733" s="53" t="n">
        <v>-0.585925</v>
      </c>
      <c r="E733" s="53" t="n">
        <v>-0.631928</v>
      </c>
      <c r="F733" s="53" t="n">
        <v>0.52381</v>
      </c>
      <c r="G733" s="53" t="n">
        <v>0.333333</v>
      </c>
      <c r="H733" s="53" t="n">
        <v>0.4</v>
      </c>
    </row>
    <row r="734" customFormat="false" ht="15" hidden="false" customHeight="true" outlineLevel="0" collapsed="false">
      <c r="A734" s="38" t="s">
        <v>980</v>
      </c>
      <c r="B734" s="38" t="n">
        <v>10</v>
      </c>
      <c r="C734" s="53" t="n">
        <v>-0.973807</v>
      </c>
      <c r="D734" s="53" t="n">
        <v>-0.431085</v>
      </c>
      <c r="E734" s="53" t="n">
        <v>-0.702446</v>
      </c>
      <c r="F734" s="53" t="n">
        <v>0.380952</v>
      </c>
      <c r="G734" s="53" t="n">
        <v>0.25</v>
      </c>
      <c r="H734" s="53" t="n">
        <v>0.2</v>
      </c>
    </row>
    <row r="735" customFormat="false" ht="15" hidden="false" customHeight="true" outlineLevel="0" collapsed="false">
      <c r="A735" s="38" t="s">
        <v>981</v>
      </c>
      <c r="B735" s="38" t="n">
        <v>1</v>
      </c>
      <c r="C735" s="53" t="n">
        <v>-1.035684</v>
      </c>
      <c r="D735" s="53" t="n">
        <v>-0.521084</v>
      </c>
      <c r="E735" s="53" t="n">
        <v>-0.778384</v>
      </c>
      <c r="F735" s="53" t="n">
        <v>0.47619</v>
      </c>
      <c r="G735" s="53" t="n">
        <v>0</v>
      </c>
      <c r="H735" s="53" t="n">
        <v>0</v>
      </c>
    </row>
    <row r="736" customFormat="false" ht="15" hidden="false" customHeight="true" outlineLevel="0" collapsed="false">
      <c r="A736" s="38" t="s">
        <v>981</v>
      </c>
      <c r="B736" s="38" t="n">
        <v>2</v>
      </c>
      <c r="C736" s="53" t="n">
        <v>-0.544196</v>
      </c>
      <c r="D736" s="53" t="n">
        <v>-0.349823</v>
      </c>
      <c r="E736" s="53" t="n">
        <v>-0.447009</v>
      </c>
      <c r="F736" s="53" t="n">
        <v>0.333333</v>
      </c>
      <c r="G736" s="53" t="n">
        <v>0.25</v>
      </c>
      <c r="H736" s="53" t="n">
        <v>0.2</v>
      </c>
    </row>
    <row r="737" customFormat="false" ht="15" hidden="false" customHeight="true" outlineLevel="0" collapsed="false">
      <c r="A737" s="38" t="s">
        <v>981</v>
      </c>
      <c r="B737" s="38" t="n">
        <v>3</v>
      </c>
      <c r="C737" s="53" t="n">
        <v>-0.640002</v>
      </c>
      <c r="D737" s="53" t="n">
        <v>-0.394902</v>
      </c>
      <c r="E737" s="53" t="n">
        <v>-0.517452</v>
      </c>
      <c r="F737" s="53" t="n">
        <v>0.285714</v>
      </c>
      <c r="G737" s="53" t="n">
        <v>0.5</v>
      </c>
      <c r="H737" s="53" t="n">
        <v>0.4</v>
      </c>
    </row>
    <row r="738" customFormat="false" ht="15" hidden="false" customHeight="true" outlineLevel="0" collapsed="false">
      <c r="A738" s="38" t="s">
        <v>981</v>
      </c>
      <c r="B738" s="38" t="n">
        <v>4</v>
      </c>
      <c r="C738" s="53" t="n">
        <v>-0.65276</v>
      </c>
      <c r="D738" s="53" t="n">
        <v>-0.342013</v>
      </c>
      <c r="E738" s="53" t="n">
        <v>-0.497387</v>
      </c>
      <c r="F738" s="53" t="n">
        <v>0.238095</v>
      </c>
      <c r="G738" s="53" t="n">
        <v>0.5</v>
      </c>
      <c r="H738" s="53" t="n">
        <v>0.8</v>
      </c>
    </row>
    <row r="739" customFormat="false" ht="15" hidden="false" customHeight="true" outlineLevel="0" collapsed="false">
      <c r="A739" s="38" t="s">
        <v>981</v>
      </c>
      <c r="B739" s="38" t="n">
        <v>5</v>
      </c>
      <c r="C739" s="53" t="n">
        <v>-0.850179</v>
      </c>
      <c r="D739" s="53" t="n">
        <v>-0.466177</v>
      </c>
      <c r="E739" s="53" t="n">
        <v>-0.658178</v>
      </c>
      <c r="F739" s="53" t="n">
        <v>0.285714</v>
      </c>
      <c r="G739" s="53" t="n">
        <v>0.166667</v>
      </c>
      <c r="H739" s="53" t="n">
        <v>0.2</v>
      </c>
    </row>
    <row r="740" customFormat="false" ht="15" hidden="false" customHeight="true" outlineLevel="0" collapsed="false">
      <c r="A740" s="38" t="s">
        <v>981</v>
      </c>
      <c r="B740" s="38" t="n">
        <v>6</v>
      </c>
      <c r="C740" s="53" t="n">
        <v>-0.669905</v>
      </c>
      <c r="D740" s="53" t="n">
        <v>-0.301671</v>
      </c>
      <c r="E740" s="53" t="n">
        <v>-0.485788</v>
      </c>
      <c r="F740" s="53" t="n">
        <v>0.47619</v>
      </c>
      <c r="G740" s="53" t="n">
        <v>0.25</v>
      </c>
      <c r="H740" s="53" t="n">
        <v>0.2</v>
      </c>
    </row>
    <row r="741" customFormat="false" ht="15" hidden="false" customHeight="true" outlineLevel="0" collapsed="false">
      <c r="A741" s="38" t="s">
        <v>981</v>
      </c>
      <c r="B741" s="38" t="n">
        <v>7</v>
      </c>
      <c r="C741" s="53" t="n">
        <v>-0.816062</v>
      </c>
      <c r="D741" s="53" t="n">
        <v>-0.399882</v>
      </c>
      <c r="E741" s="53" t="n">
        <v>-0.607972</v>
      </c>
      <c r="F741" s="53" t="n">
        <v>0.333333</v>
      </c>
      <c r="G741" s="53" t="n">
        <v>0.166667</v>
      </c>
      <c r="H741" s="53" t="n">
        <v>0.2</v>
      </c>
    </row>
    <row r="742" customFormat="false" ht="15" hidden="false" customHeight="true" outlineLevel="0" collapsed="false">
      <c r="A742" s="38" t="s">
        <v>981</v>
      </c>
      <c r="B742" s="38" t="n">
        <v>8</v>
      </c>
      <c r="C742" s="53" t="n">
        <v>-0.823266</v>
      </c>
      <c r="D742" s="53" t="n">
        <v>-0.402597</v>
      </c>
      <c r="E742" s="53" t="n">
        <v>-0.612932</v>
      </c>
      <c r="F742" s="53" t="n">
        <v>0.285714</v>
      </c>
      <c r="G742" s="53" t="n">
        <v>0.166667</v>
      </c>
      <c r="H742" s="53" t="n">
        <v>0</v>
      </c>
    </row>
    <row r="743" customFormat="false" ht="15" hidden="false" customHeight="true" outlineLevel="0" collapsed="false">
      <c r="A743" s="38" t="s">
        <v>981</v>
      </c>
      <c r="B743" s="38" t="n">
        <v>9</v>
      </c>
      <c r="C743" s="53" t="n">
        <v>-0.777456</v>
      </c>
      <c r="D743" s="53" t="n">
        <v>-0.439825</v>
      </c>
      <c r="E743" s="53" t="n">
        <v>-0.608641</v>
      </c>
      <c r="F743" s="53" t="n">
        <v>0.380952</v>
      </c>
      <c r="G743" s="53" t="n">
        <v>0.166667</v>
      </c>
      <c r="H743" s="53" t="n">
        <v>0</v>
      </c>
    </row>
    <row r="744" customFormat="false" ht="15" hidden="false" customHeight="true" outlineLevel="0" collapsed="false">
      <c r="A744" s="38" t="s">
        <v>981</v>
      </c>
      <c r="B744" s="38" t="n">
        <v>10</v>
      </c>
      <c r="C744" s="53" t="n">
        <v>-0.488876</v>
      </c>
      <c r="D744" s="53" t="n">
        <v>-0.274954</v>
      </c>
      <c r="E744" s="53" t="n">
        <v>-0.381915</v>
      </c>
      <c r="F744" s="53" t="n">
        <v>0.333333</v>
      </c>
      <c r="G744" s="53" t="n">
        <v>0.416667</v>
      </c>
      <c r="H744" s="53" t="n">
        <v>0.4</v>
      </c>
    </row>
    <row r="745" customFormat="false" ht="15" hidden="false" customHeight="true" outlineLevel="0" collapsed="false">
      <c r="A745" s="38" t="s">
        <v>982</v>
      </c>
      <c r="B745" s="38" t="n">
        <v>1</v>
      </c>
      <c r="C745" s="53" t="n">
        <v>-0.656257</v>
      </c>
      <c r="D745" s="53" t="n">
        <v>-0.432803</v>
      </c>
      <c r="E745" s="53" t="n">
        <v>-0.54453</v>
      </c>
      <c r="F745" s="53" t="n">
        <v>0.333333</v>
      </c>
      <c r="G745" s="53" t="n">
        <v>0.333333</v>
      </c>
      <c r="H745" s="53" t="n">
        <v>0.4</v>
      </c>
    </row>
    <row r="746" customFormat="false" ht="15" hidden="false" customHeight="true" outlineLevel="0" collapsed="false">
      <c r="A746" s="38" t="s">
        <v>982</v>
      </c>
      <c r="B746" s="38" t="n">
        <v>2</v>
      </c>
      <c r="C746" s="53" t="n">
        <v>-0.986779</v>
      </c>
      <c r="D746" s="53" t="n">
        <v>-0.389919</v>
      </c>
      <c r="E746" s="53" t="n">
        <v>-0.688349</v>
      </c>
      <c r="F746" s="53" t="n">
        <v>0.52381</v>
      </c>
      <c r="G746" s="53" t="n">
        <v>0.25</v>
      </c>
      <c r="H746" s="53" t="n">
        <v>0.4</v>
      </c>
    </row>
    <row r="747" customFormat="false" ht="15" hidden="false" customHeight="true" outlineLevel="0" collapsed="false">
      <c r="A747" s="38" t="s">
        <v>982</v>
      </c>
      <c r="B747" s="38" t="n">
        <v>3</v>
      </c>
      <c r="C747" s="53" t="n">
        <v>-0.722536</v>
      </c>
      <c r="D747" s="53" t="n">
        <v>-0.406751</v>
      </c>
      <c r="E747" s="53" t="n">
        <v>-0.564644</v>
      </c>
      <c r="F747" s="53" t="n">
        <v>0.428571</v>
      </c>
      <c r="G747" s="53" t="n">
        <v>0.083333</v>
      </c>
      <c r="H747" s="53" t="n">
        <v>0.2</v>
      </c>
    </row>
    <row r="748" customFormat="false" ht="15" hidden="false" customHeight="true" outlineLevel="0" collapsed="false">
      <c r="A748" s="38" t="s">
        <v>982</v>
      </c>
      <c r="B748" s="38" t="n">
        <v>4</v>
      </c>
      <c r="C748" s="53" t="n">
        <v>-0.899015</v>
      </c>
      <c r="D748" s="53" t="n">
        <v>-0.540624</v>
      </c>
      <c r="E748" s="53" t="n">
        <v>-0.719819</v>
      </c>
      <c r="F748" s="53" t="n">
        <v>0.619048</v>
      </c>
      <c r="G748" s="53" t="n">
        <v>0.25</v>
      </c>
      <c r="H748" s="53" t="n">
        <v>0.2</v>
      </c>
    </row>
    <row r="749" customFormat="false" ht="15" hidden="false" customHeight="true" outlineLevel="0" collapsed="false">
      <c r="A749" s="38" t="s">
        <v>982</v>
      </c>
      <c r="B749" s="38" t="n">
        <v>5</v>
      </c>
      <c r="C749" s="53" t="n">
        <v>-0.437771</v>
      </c>
      <c r="D749" s="53" t="n">
        <v>-0.255828</v>
      </c>
      <c r="E749" s="53" t="n">
        <v>-0.3468</v>
      </c>
      <c r="F749" s="53" t="n">
        <v>0.428571</v>
      </c>
      <c r="G749" s="53" t="n">
        <v>0.416667</v>
      </c>
      <c r="H749" s="53" t="n">
        <v>0.4</v>
      </c>
    </row>
    <row r="750" customFormat="false" ht="15" hidden="false" customHeight="true" outlineLevel="0" collapsed="false">
      <c r="A750" s="38" t="s">
        <v>982</v>
      </c>
      <c r="B750" s="38" t="n">
        <v>6</v>
      </c>
      <c r="C750" s="53" t="n">
        <v>-0.371713</v>
      </c>
      <c r="D750" s="53" t="n">
        <v>-0.17152</v>
      </c>
      <c r="E750" s="53" t="n">
        <v>-0.271616</v>
      </c>
      <c r="F750" s="53" t="n">
        <v>0.238095</v>
      </c>
      <c r="G750" s="53" t="n">
        <v>0.333333</v>
      </c>
      <c r="H750" s="53" t="n">
        <v>0.4</v>
      </c>
    </row>
    <row r="751" customFormat="false" ht="15" hidden="false" customHeight="true" outlineLevel="0" collapsed="false">
      <c r="A751" s="38" t="s">
        <v>982</v>
      </c>
      <c r="B751" s="38" t="n">
        <v>7</v>
      </c>
      <c r="C751" s="53" t="n">
        <v>-0.874733</v>
      </c>
      <c r="D751" s="53" t="n">
        <v>-0.441988</v>
      </c>
      <c r="E751" s="53" t="n">
        <v>-0.658361</v>
      </c>
      <c r="F751" s="53" t="n">
        <v>0.428571</v>
      </c>
      <c r="G751" s="53" t="n">
        <v>0.166667</v>
      </c>
      <c r="H751" s="53" t="n">
        <v>0.2</v>
      </c>
    </row>
    <row r="752" customFormat="false" ht="15" hidden="false" customHeight="true" outlineLevel="0" collapsed="false">
      <c r="A752" s="38" t="s">
        <v>982</v>
      </c>
      <c r="B752" s="38" t="n">
        <v>8</v>
      </c>
      <c r="C752" s="53" t="n">
        <v>-0.796905</v>
      </c>
      <c r="D752" s="53" t="n">
        <v>-0.46372</v>
      </c>
      <c r="E752" s="53" t="n">
        <v>-0.630312</v>
      </c>
      <c r="F752" s="53" t="n">
        <v>0.333333</v>
      </c>
      <c r="G752" s="53" t="n">
        <v>0.25</v>
      </c>
      <c r="H752" s="53" t="n">
        <v>0.2</v>
      </c>
    </row>
    <row r="753" customFormat="false" ht="15" hidden="false" customHeight="true" outlineLevel="0" collapsed="false">
      <c r="A753" s="38" t="s">
        <v>982</v>
      </c>
      <c r="B753" s="38" t="n">
        <v>9</v>
      </c>
      <c r="C753" s="53" t="n">
        <v>-0.740959</v>
      </c>
      <c r="D753" s="53" t="n">
        <v>-0.345466</v>
      </c>
      <c r="E753" s="53" t="n">
        <v>-0.543212</v>
      </c>
      <c r="F753" s="53" t="n">
        <v>0.428571</v>
      </c>
      <c r="G753" s="53" t="n">
        <v>0.333333</v>
      </c>
      <c r="H753" s="53" t="n">
        <v>0.2</v>
      </c>
    </row>
    <row r="754" customFormat="false" ht="15" hidden="false" customHeight="true" outlineLevel="0" collapsed="false">
      <c r="A754" s="38" t="s">
        <v>982</v>
      </c>
      <c r="B754" s="38" t="n">
        <v>10</v>
      </c>
      <c r="C754" s="53" t="n">
        <v>-0.922168</v>
      </c>
      <c r="D754" s="53" t="n">
        <v>-0.484099</v>
      </c>
      <c r="E754" s="53" t="n">
        <v>-0.703134</v>
      </c>
      <c r="F754" s="53" t="n">
        <v>0.333333</v>
      </c>
      <c r="G754" s="53" t="n">
        <v>0.166667</v>
      </c>
      <c r="H754" s="53" t="n">
        <v>0.2</v>
      </c>
    </row>
    <row r="755" customFormat="false" ht="15" hidden="false" customHeight="true" outlineLevel="0" collapsed="false">
      <c r="A755" s="38" t="s">
        <v>983</v>
      </c>
      <c r="B755" s="38" t="n">
        <v>1</v>
      </c>
      <c r="C755" s="53" t="n">
        <v>-0.397131</v>
      </c>
      <c r="D755" s="53" t="n">
        <v>-0.265947</v>
      </c>
      <c r="E755" s="53" t="n">
        <v>-0.331539</v>
      </c>
      <c r="F755" s="53" t="n">
        <v>0.380952</v>
      </c>
      <c r="G755" s="53" t="n">
        <v>0.416667</v>
      </c>
      <c r="H755" s="53" t="n">
        <v>0.6</v>
      </c>
    </row>
    <row r="756" customFormat="false" ht="15" hidden="false" customHeight="true" outlineLevel="0" collapsed="false">
      <c r="A756" s="38" t="s">
        <v>983</v>
      </c>
      <c r="B756" s="38" t="n">
        <v>2</v>
      </c>
      <c r="C756" s="53" t="n">
        <v>-0.66692</v>
      </c>
      <c r="D756" s="53" t="n">
        <v>-0.354018</v>
      </c>
      <c r="E756" s="53" t="n">
        <v>-0.510469</v>
      </c>
      <c r="F756" s="53" t="n">
        <v>0.333333</v>
      </c>
      <c r="G756" s="53" t="n">
        <v>0.333333</v>
      </c>
      <c r="H756" s="53" t="n">
        <v>0.2</v>
      </c>
    </row>
    <row r="757" customFormat="false" ht="15" hidden="false" customHeight="true" outlineLevel="0" collapsed="false">
      <c r="A757" s="38" t="s">
        <v>983</v>
      </c>
      <c r="B757" s="38" t="n">
        <v>3</v>
      </c>
      <c r="C757" s="53" t="n">
        <v>-1.192179</v>
      </c>
      <c r="D757" s="53" t="n">
        <v>-0.566759</v>
      </c>
      <c r="E757" s="53" t="n">
        <v>-0.879469</v>
      </c>
      <c r="F757" s="53" t="n">
        <v>0.333333</v>
      </c>
      <c r="G757" s="53" t="n">
        <v>0.166667</v>
      </c>
      <c r="H757" s="53" t="n">
        <v>0.2</v>
      </c>
    </row>
    <row r="758" customFormat="false" ht="15" hidden="false" customHeight="true" outlineLevel="0" collapsed="false">
      <c r="A758" s="38" t="s">
        <v>983</v>
      </c>
      <c r="B758" s="38" t="n">
        <v>4</v>
      </c>
      <c r="C758" s="53" t="n">
        <v>-0.600706</v>
      </c>
      <c r="D758" s="53" t="n">
        <v>-0.312056</v>
      </c>
      <c r="E758" s="53" t="n">
        <v>-0.456381</v>
      </c>
      <c r="F758" s="53" t="n">
        <v>0.238095</v>
      </c>
      <c r="G758" s="53" t="n">
        <v>0.333333</v>
      </c>
      <c r="H758" s="53" t="n">
        <v>0.2</v>
      </c>
    </row>
    <row r="759" customFormat="false" ht="15" hidden="false" customHeight="true" outlineLevel="0" collapsed="false">
      <c r="A759" s="38" t="s">
        <v>983</v>
      </c>
      <c r="B759" s="38" t="n">
        <v>5</v>
      </c>
      <c r="C759" s="53" t="n">
        <v>-0.793706</v>
      </c>
      <c r="D759" s="53" t="n">
        <v>-0.421583</v>
      </c>
      <c r="E759" s="53" t="n">
        <v>-0.607645</v>
      </c>
      <c r="F759" s="53" t="n">
        <v>0.52381</v>
      </c>
      <c r="G759" s="53" t="n">
        <v>0.166667</v>
      </c>
      <c r="H759" s="53" t="n">
        <v>0.2</v>
      </c>
    </row>
    <row r="760" customFormat="false" ht="15" hidden="false" customHeight="true" outlineLevel="0" collapsed="false">
      <c r="A760" s="38" t="s">
        <v>983</v>
      </c>
      <c r="B760" s="38" t="n">
        <v>6</v>
      </c>
      <c r="C760" s="53" t="n">
        <v>-0.692583</v>
      </c>
      <c r="D760" s="53" t="n">
        <v>-0.395662</v>
      </c>
      <c r="E760" s="53" t="n">
        <v>-0.544123</v>
      </c>
      <c r="F760" s="53" t="n">
        <v>0.333333</v>
      </c>
      <c r="G760" s="53" t="n">
        <v>0.25</v>
      </c>
      <c r="H760" s="53" t="n">
        <v>0.2</v>
      </c>
    </row>
    <row r="761" customFormat="false" ht="15" hidden="false" customHeight="true" outlineLevel="0" collapsed="false">
      <c r="A761" s="38" t="s">
        <v>983</v>
      </c>
      <c r="B761" s="38" t="n">
        <v>7</v>
      </c>
      <c r="C761" s="53" t="n">
        <v>-0.898195</v>
      </c>
      <c r="D761" s="53" t="n">
        <v>-0.487724</v>
      </c>
      <c r="E761" s="53" t="n">
        <v>-0.69296</v>
      </c>
      <c r="F761" s="53" t="n">
        <v>0.285714</v>
      </c>
      <c r="G761" s="53" t="n">
        <v>0.083333</v>
      </c>
      <c r="H761" s="53" t="n">
        <v>0</v>
      </c>
    </row>
    <row r="762" customFormat="false" ht="15" hidden="false" customHeight="true" outlineLevel="0" collapsed="false">
      <c r="A762" s="38" t="s">
        <v>983</v>
      </c>
      <c r="B762" s="38" t="n">
        <v>8</v>
      </c>
      <c r="C762" s="53" t="n">
        <v>-0.775692</v>
      </c>
      <c r="D762" s="53" t="n">
        <v>-0.546991</v>
      </c>
      <c r="E762" s="53" t="n">
        <v>-0.661342</v>
      </c>
      <c r="F762" s="53" t="n">
        <v>0.333333</v>
      </c>
      <c r="G762" s="53" t="n">
        <v>0.25</v>
      </c>
      <c r="H762" s="53" t="n">
        <v>0.4</v>
      </c>
    </row>
    <row r="763" customFormat="false" ht="15" hidden="false" customHeight="true" outlineLevel="0" collapsed="false">
      <c r="A763" s="38" t="s">
        <v>983</v>
      </c>
      <c r="B763" s="38" t="n">
        <v>9</v>
      </c>
      <c r="C763" s="53" t="n">
        <v>-0.689283</v>
      </c>
      <c r="D763" s="53" t="n">
        <v>-0.540558</v>
      </c>
      <c r="E763" s="53" t="n">
        <v>-0.61492</v>
      </c>
      <c r="F763" s="53" t="n">
        <v>0.380952</v>
      </c>
      <c r="G763" s="53" t="n">
        <v>0.333333</v>
      </c>
      <c r="H763" s="53" t="n">
        <v>0.4</v>
      </c>
    </row>
    <row r="764" customFormat="false" ht="15" hidden="false" customHeight="true" outlineLevel="0" collapsed="false">
      <c r="A764" s="38" t="s">
        <v>983</v>
      </c>
      <c r="B764" s="38" t="n">
        <v>10</v>
      </c>
      <c r="C764" s="53" t="n">
        <v>-0.480125</v>
      </c>
      <c r="D764" s="53" t="n">
        <v>-0.251059</v>
      </c>
      <c r="E764" s="53" t="n">
        <v>-0.365592</v>
      </c>
      <c r="F764" s="53" t="n">
        <v>0.571429</v>
      </c>
      <c r="G764" s="53" t="n">
        <v>0.333333</v>
      </c>
      <c r="H764" s="53" t="n">
        <v>0</v>
      </c>
    </row>
    <row r="765" customFormat="false" ht="15" hidden="false" customHeight="true" outlineLevel="0" collapsed="false">
      <c r="A765" s="38" t="s">
        <v>984</v>
      </c>
      <c r="B765" s="38" t="n">
        <v>1</v>
      </c>
      <c r="C765" s="53" t="n">
        <v>-0.826343</v>
      </c>
      <c r="D765" s="53" t="n">
        <v>-0.543059</v>
      </c>
      <c r="E765" s="53" t="n">
        <v>-0.684701</v>
      </c>
      <c r="F765" s="53" t="n">
        <v>0.238095</v>
      </c>
      <c r="G765" s="53" t="n">
        <v>0.25</v>
      </c>
      <c r="H765" s="53" t="n">
        <v>0.2</v>
      </c>
    </row>
    <row r="766" customFormat="false" ht="15" hidden="false" customHeight="true" outlineLevel="0" collapsed="false">
      <c r="A766" s="38" t="s">
        <v>984</v>
      </c>
      <c r="B766" s="38" t="n">
        <v>2</v>
      </c>
      <c r="C766" s="53" t="n">
        <v>-0.659981</v>
      </c>
      <c r="D766" s="53" t="n">
        <v>-0.45719</v>
      </c>
      <c r="E766" s="53" t="n">
        <v>-0.558586</v>
      </c>
      <c r="F766" s="53" t="n">
        <v>0.428571</v>
      </c>
      <c r="G766" s="53" t="n">
        <v>0.416667</v>
      </c>
      <c r="H766" s="53" t="n">
        <v>0.4</v>
      </c>
    </row>
    <row r="767" customFormat="false" ht="15" hidden="false" customHeight="true" outlineLevel="0" collapsed="false">
      <c r="A767" s="38" t="s">
        <v>984</v>
      </c>
      <c r="B767" s="38" t="n">
        <v>3</v>
      </c>
      <c r="C767" s="53" t="n">
        <v>-0.808891</v>
      </c>
      <c r="D767" s="53" t="n">
        <v>-0.259861</v>
      </c>
      <c r="E767" s="53" t="n">
        <v>-0.534376</v>
      </c>
      <c r="F767" s="53" t="n">
        <v>0.238095</v>
      </c>
      <c r="G767" s="53" t="n">
        <v>0.166667</v>
      </c>
      <c r="H767" s="53" t="n">
        <v>0</v>
      </c>
    </row>
    <row r="768" customFormat="false" ht="15" hidden="false" customHeight="true" outlineLevel="0" collapsed="false">
      <c r="A768" s="38" t="s">
        <v>984</v>
      </c>
      <c r="B768" s="38" t="n">
        <v>4</v>
      </c>
      <c r="C768" s="53" t="n">
        <v>-0.893345</v>
      </c>
      <c r="D768" s="53" t="n">
        <v>-0.502266</v>
      </c>
      <c r="E768" s="53" t="n">
        <v>-0.697805</v>
      </c>
      <c r="F768" s="53" t="n">
        <v>0.428571</v>
      </c>
      <c r="G768" s="53" t="n">
        <v>0</v>
      </c>
      <c r="H768" s="53" t="n">
        <v>0</v>
      </c>
    </row>
    <row r="769" customFormat="false" ht="15" hidden="false" customHeight="true" outlineLevel="0" collapsed="false">
      <c r="A769" s="38" t="s">
        <v>984</v>
      </c>
      <c r="B769" s="38" t="n">
        <v>5</v>
      </c>
      <c r="C769" s="53" t="n">
        <v>-0.684144</v>
      </c>
      <c r="D769" s="53" t="n">
        <v>-0.31441</v>
      </c>
      <c r="E769" s="53" t="n">
        <v>-0.499277</v>
      </c>
      <c r="F769" s="53" t="n">
        <v>0.52381</v>
      </c>
      <c r="G769" s="53" t="n">
        <v>0.333333</v>
      </c>
      <c r="H769" s="53" t="n">
        <v>0.4</v>
      </c>
    </row>
    <row r="770" customFormat="false" ht="15" hidden="false" customHeight="true" outlineLevel="0" collapsed="false">
      <c r="A770" s="38" t="s">
        <v>984</v>
      </c>
      <c r="B770" s="38" t="n">
        <v>6</v>
      </c>
      <c r="C770" s="53" t="n">
        <v>-0.648689</v>
      </c>
      <c r="D770" s="53" t="n">
        <v>-0.402667</v>
      </c>
      <c r="E770" s="53" t="n">
        <v>-0.525678</v>
      </c>
      <c r="F770" s="53" t="n">
        <v>0.285714</v>
      </c>
      <c r="G770" s="53" t="n">
        <v>0.333333</v>
      </c>
      <c r="H770" s="53" t="n">
        <v>0.6</v>
      </c>
    </row>
    <row r="771" customFormat="false" ht="15" hidden="false" customHeight="true" outlineLevel="0" collapsed="false">
      <c r="A771" s="38" t="s">
        <v>984</v>
      </c>
      <c r="B771" s="38" t="n">
        <v>7</v>
      </c>
      <c r="C771" s="53" t="n">
        <v>-0.899663</v>
      </c>
      <c r="D771" s="53" t="n">
        <v>-0.543334</v>
      </c>
      <c r="E771" s="53" t="n">
        <v>-0.721499</v>
      </c>
      <c r="F771" s="53" t="n">
        <v>0.52381</v>
      </c>
      <c r="G771" s="53" t="n">
        <v>0.166667</v>
      </c>
      <c r="H771" s="53" t="n">
        <v>0.2</v>
      </c>
    </row>
    <row r="772" customFormat="false" ht="15" hidden="false" customHeight="true" outlineLevel="0" collapsed="false">
      <c r="A772" s="38" t="s">
        <v>984</v>
      </c>
      <c r="B772" s="38" t="n">
        <v>8</v>
      </c>
      <c r="C772" s="53" t="n">
        <v>-0.880847</v>
      </c>
      <c r="D772" s="53" t="n">
        <v>-0.483006</v>
      </c>
      <c r="E772" s="53" t="n">
        <v>-0.681927</v>
      </c>
      <c r="F772" s="53" t="n">
        <v>0.380952</v>
      </c>
      <c r="G772" s="53" t="n">
        <v>0.25</v>
      </c>
      <c r="H772" s="53" t="n">
        <v>0.4</v>
      </c>
    </row>
    <row r="773" customFormat="false" ht="15" hidden="false" customHeight="true" outlineLevel="0" collapsed="false">
      <c r="A773" s="38" t="s">
        <v>984</v>
      </c>
      <c r="B773" s="38" t="n">
        <v>9</v>
      </c>
      <c r="C773" s="53" t="n">
        <v>-0.642177</v>
      </c>
      <c r="D773" s="53" t="n">
        <v>-0.337177</v>
      </c>
      <c r="E773" s="53" t="n">
        <v>-0.489677</v>
      </c>
      <c r="F773" s="53" t="n">
        <v>0.428571</v>
      </c>
      <c r="G773" s="53" t="n">
        <v>0.25</v>
      </c>
      <c r="H773" s="53" t="n">
        <v>0.2</v>
      </c>
    </row>
    <row r="774" customFormat="false" ht="15" hidden="false" customHeight="true" outlineLevel="0" collapsed="false">
      <c r="A774" s="38" t="s">
        <v>984</v>
      </c>
      <c r="B774" s="38" t="n">
        <v>10</v>
      </c>
      <c r="C774" s="53" t="n">
        <v>-0.795722</v>
      </c>
      <c r="D774" s="53" t="n">
        <v>-0.401258</v>
      </c>
      <c r="E774" s="53" t="n">
        <v>-0.59849</v>
      </c>
      <c r="F774" s="53" t="n">
        <v>0.333333</v>
      </c>
      <c r="G774" s="53" t="n">
        <v>0.333333</v>
      </c>
      <c r="H774" s="53" t="n">
        <v>0.4</v>
      </c>
    </row>
    <row r="775" customFormat="false" ht="15" hidden="false" customHeight="true" outlineLevel="0" collapsed="false">
      <c r="A775" s="38" t="s">
        <v>985</v>
      </c>
      <c r="B775" s="38" t="n">
        <v>1</v>
      </c>
      <c r="C775" s="53" t="n">
        <v>-0.667412</v>
      </c>
      <c r="D775" s="53" t="n">
        <v>-0.395349</v>
      </c>
      <c r="E775" s="53" t="n">
        <v>-0.531381</v>
      </c>
      <c r="F775" s="53" t="n">
        <v>0.428571</v>
      </c>
      <c r="G775" s="53" t="n">
        <v>0.25</v>
      </c>
      <c r="H775" s="53" t="n">
        <v>0.2</v>
      </c>
    </row>
    <row r="776" customFormat="false" ht="15" hidden="false" customHeight="true" outlineLevel="0" collapsed="false">
      <c r="A776" s="38" t="s">
        <v>985</v>
      </c>
      <c r="B776" s="38" t="n">
        <v>2</v>
      </c>
      <c r="C776" s="53" t="n">
        <v>-0.379752</v>
      </c>
      <c r="D776" s="53" t="n">
        <v>-0.256886</v>
      </c>
      <c r="E776" s="53" t="n">
        <v>-0.318319</v>
      </c>
      <c r="F776" s="53" t="n">
        <v>0.380952</v>
      </c>
      <c r="G776" s="53" t="n">
        <v>0.416667</v>
      </c>
      <c r="H776" s="53" t="n">
        <v>0.4</v>
      </c>
    </row>
    <row r="777" customFormat="false" ht="15" hidden="false" customHeight="true" outlineLevel="0" collapsed="false">
      <c r="A777" s="38" t="s">
        <v>985</v>
      </c>
      <c r="B777" s="38" t="n">
        <v>3</v>
      </c>
      <c r="C777" s="53" t="n">
        <v>-0.917163</v>
      </c>
      <c r="D777" s="53" t="n">
        <v>-0.563249</v>
      </c>
      <c r="E777" s="53" t="n">
        <v>-0.740206</v>
      </c>
      <c r="F777" s="53" t="n">
        <v>0.285714</v>
      </c>
      <c r="G777" s="53" t="n">
        <v>0.083333</v>
      </c>
      <c r="H777" s="53" t="n">
        <v>0.2</v>
      </c>
    </row>
    <row r="778" customFormat="false" ht="15" hidden="false" customHeight="true" outlineLevel="0" collapsed="false">
      <c r="A778" s="38" t="s">
        <v>985</v>
      </c>
      <c r="B778" s="38" t="n">
        <v>4</v>
      </c>
      <c r="C778" s="53" t="n">
        <v>-1.105525</v>
      </c>
      <c r="D778" s="53" t="n">
        <v>-0.409263</v>
      </c>
      <c r="E778" s="53" t="n">
        <v>-0.757394</v>
      </c>
      <c r="F778" s="53" t="n">
        <v>0.380952</v>
      </c>
      <c r="G778" s="53" t="n">
        <v>0.083333</v>
      </c>
      <c r="H778" s="53" t="n">
        <v>0</v>
      </c>
    </row>
    <row r="779" customFormat="false" ht="15" hidden="false" customHeight="true" outlineLevel="0" collapsed="false">
      <c r="A779" s="38" t="s">
        <v>985</v>
      </c>
      <c r="B779" s="38" t="n">
        <v>5</v>
      </c>
      <c r="C779" s="53" t="n">
        <v>-0.959739</v>
      </c>
      <c r="D779" s="53" t="n">
        <v>-0.489705</v>
      </c>
      <c r="E779" s="53" t="n">
        <v>-0.724722</v>
      </c>
      <c r="F779" s="53" t="n">
        <v>0.285714</v>
      </c>
      <c r="G779" s="53" t="n">
        <v>0.083333</v>
      </c>
      <c r="H779" s="53" t="n">
        <v>0</v>
      </c>
    </row>
    <row r="780" customFormat="false" ht="15" hidden="false" customHeight="true" outlineLevel="0" collapsed="false">
      <c r="A780" s="38" t="s">
        <v>985</v>
      </c>
      <c r="B780" s="38" t="n">
        <v>6</v>
      </c>
      <c r="C780" s="53" t="n">
        <v>-0.857157</v>
      </c>
      <c r="D780" s="53" t="n">
        <v>-0.465852</v>
      </c>
      <c r="E780" s="53" t="n">
        <v>-0.661504</v>
      </c>
      <c r="F780" s="53" t="n">
        <v>0.190476</v>
      </c>
      <c r="G780" s="53" t="n">
        <v>0.166667</v>
      </c>
      <c r="H780" s="53" t="n">
        <v>0</v>
      </c>
    </row>
    <row r="781" customFormat="false" ht="15" hidden="false" customHeight="true" outlineLevel="0" collapsed="false">
      <c r="A781" s="38" t="s">
        <v>985</v>
      </c>
      <c r="B781" s="38" t="n">
        <v>7</v>
      </c>
      <c r="C781" s="53" t="n">
        <v>-0.861339</v>
      </c>
      <c r="D781" s="53" t="n">
        <v>-0.327719</v>
      </c>
      <c r="E781" s="53" t="n">
        <v>-0.594529</v>
      </c>
      <c r="F781" s="53" t="n">
        <v>0.428571</v>
      </c>
      <c r="G781" s="53" t="n">
        <v>0.166667</v>
      </c>
      <c r="H781" s="53" t="n">
        <v>0</v>
      </c>
    </row>
    <row r="782" customFormat="false" ht="15" hidden="false" customHeight="true" outlineLevel="0" collapsed="false">
      <c r="A782" s="38" t="s">
        <v>985</v>
      </c>
      <c r="B782" s="38" t="n">
        <v>8</v>
      </c>
      <c r="C782" s="53" t="n">
        <v>-0.810525</v>
      </c>
      <c r="D782" s="53" t="n">
        <v>-0.633788</v>
      </c>
      <c r="E782" s="53" t="n">
        <v>-0.722157</v>
      </c>
      <c r="F782" s="53" t="n">
        <v>0.47619</v>
      </c>
      <c r="G782" s="53" t="n">
        <v>0.25</v>
      </c>
      <c r="H782" s="53" t="n">
        <v>0.2</v>
      </c>
    </row>
    <row r="783" customFormat="false" ht="15" hidden="false" customHeight="true" outlineLevel="0" collapsed="false">
      <c r="A783" s="38" t="s">
        <v>985</v>
      </c>
      <c r="B783" s="38" t="n">
        <v>9</v>
      </c>
      <c r="C783" s="53" t="n">
        <v>-0.963524</v>
      </c>
      <c r="D783" s="53" t="n">
        <v>-0.395609</v>
      </c>
      <c r="E783" s="53" t="n">
        <v>-0.679566</v>
      </c>
      <c r="F783" s="53" t="n">
        <v>0.47619</v>
      </c>
      <c r="G783" s="53" t="n">
        <v>0.25</v>
      </c>
      <c r="H783" s="53" t="n">
        <v>0.2</v>
      </c>
    </row>
    <row r="784" customFormat="false" ht="15" hidden="false" customHeight="true" outlineLevel="0" collapsed="false">
      <c r="A784" s="38" t="s">
        <v>985</v>
      </c>
      <c r="B784" s="38" t="n">
        <v>10</v>
      </c>
      <c r="C784" s="53" t="n">
        <v>-0.597235</v>
      </c>
      <c r="D784" s="53" t="n">
        <v>-0.404423</v>
      </c>
      <c r="E784" s="53" t="n">
        <v>-0.500829</v>
      </c>
      <c r="F784" s="53" t="n">
        <v>0.47619</v>
      </c>
      <c r="G784" s="53" t="n">
        <v>0.416667</v>
      </c>
      <c r="H784" s="53" t="n">
        <v>0.4</v>
      </c>
    </row>
    <row r="785" customFormat="false" ht="15" hidden="false" customHeight="true" outlineLevel="0" collapsed="false">
      <c r="A785" s="38" t="s">
        <v>986</v>
      </c>
      <c r="B785" s="38" t="n">
        <v>1</v>
      </c>
      <c r="C785" s="53" t="n">
        <v>-0.932343</v>
      </c>
      <c r="D785" s="53" t="n">
        <v>-0.571109</v>
      </c>
      <c r="E785" s="53" t="n">
        <v>-0.751726</v>
      </c>
      <c r="F785" s="53" t="n">
        <v>0.285714</v>
      </c>
      <c r="G785" s="53" t="n">
        <v>0.25</v>
      </c>
      <c r="H785" s="53" t="n">
        <v>0.2</v>
      </c>
    </row>
    <row r="786" customFormat="false" ht="15" hidden="false" customHeight="true" outlineLevel="0" collapsed="false">
      <c r="A786" s="38" t="s">
        <v>986</v>
      </c>
      <c r="B786" s="38" t="n">
        <v>2</v>
      </c>
      <c r="C786" s="53" t="n">
        <v>-0.555332</v>
      </c>
      <c r="D786" s="53" t="n">
        <v>-0.617652</v>
      </c>
      <c r="E786" s="53" t="n">
        <v>-0.586492</v>
      </c>
      <c r="F786" s="53" t="n">
        <v>0.47619</v>
      </c>
      <c r="G786" s="53" t="n">
        <v>0.333333</v>
      </c>
      <c r="H786" s="53" t="n">
        <v>0.6</v>
      </c>
    </row>
    <row r="787" customFormat="false" ht="15" hidden="false" customHeight="true" outlineLevel="0" collapsed="false">
      <c r="A787" s="38" t="s">
        <v>986</v>
      </c>
      <c r="B787" s="38" t="n">
        <v>3</v>
      </c>
      <c r="C787" s="53" t="n">
        <v>-0.929544</v>
      </c>
      <c r="D787" s="53" t="n">
        <v>-0.400398</v>
      </c>
      <c r="E787" s="53" t="n">
        <v>-0.664971</v>
      </c>
      <c r="F787" s="53" t="n">
        <v>0.285714</v>
      </c>
      <c r="G787" s="53" t="n">
        <v>0</v>
      </c>
      <c r="H787" s="53" t="n">
        <v>0</v>
      </c>
    </row>
    <row r="788" customFormat="false" ht="15" hidden="false" customHeight="true" outlineLevel="0" collapsed="false">
      <c r="A788" s="38" t="s">
        <v>986</v>
      </c>
      <c r="B788" s="38" t="n">
        <v>4</v>
      </c>
      <c r="C788" s="53" t="n">
        <v>-0.811246</v>
      </c>
      <c r="D788" s="53" t="n">
        <v>-0.387042</v>
      </c>
      <c r="E788" s="53" t="n">
        <v>-0.599144</v>
      </c>
      <c r="F788" s="53" t="n">
        <v>0.333333</v>
      </c>
      <c r="G788" s="53" t="n">
        <v>0.166667</v>
      </c>
      <c r="H788" s="53" t="n">
        <v>0</v>
      </c>
    </row>
    <row r="789" customFormat="false" ht="15" hidden="false" customHeight="true" outlineLevel="0" collapsed="false">
      <c r="A789" s="38" t="s">
        <v>986</v>
      </c>
      <c r="B789" s="38" t="n">
        <v>5</v>
      </c>
      <c r="C789" s="53" t="n">
        <v>-0.927202</v>
      </c>
      <c r="D789" s="53" t="n">
        <v>-0.447799</v>
      </c>
      <c r="E789" s="53" t="n">
        <v>-0.6875</v>
      </c>
      <c r="F789" s="53" t="n">
        <v>0.52381</v>
      </c>
      <c r="G789" s="53" t="n">
        <v>0.166667</v>
      </c>
      <c r="H789" s="53" t="n">
        <v>0</v>
      </c>
    </row>
    <row r="790" customFormat="false" ht="15" hidden="false" customHeight="true" outlineLevel="0" collapsed="false">
      <c r="A790" s="38" t="s">
        <v>986</v>
      </c>
      <c r="B790" s="38" t="n">
        <v>6</v>
      </c>
      <c r="C790" s="53" t="n">
        <v>-0.361792</v>
      </c>
      <c r="D790" s="53" t="n">
        <v>-0.134583</v>
      </c>
      <c r="E790" s="53" t="n">
        <v>-0.248188</v>
      </c>
      <c r="F790" s="53" t="n">
        <v>0.380952</v>
      </c>
      <c r="G790" s="53" t="n">
        <v>0.416667</v>
      </c>
      <c r="H790" s="53" t="n">
        <v>0.2</v>
      </c>
    </row>
    <row r="791" customFormat="false" ht="15" hidden="false" customHeight="true" outlineLevel="0" collapsed="false">
      <c r="A791" s="38" t="s">
        <v>986</v>
      </c>
      <c r="B791" s="38" t="n">
        <v>7</v>
      </c>
      <c r="C791" s="53" t="n">
        <v>-0.730799</v>
      </c>
      <c r="D791" s="53" t="n">
        <v>-0.492171</v>
      </c>
      <c r="E791" s="53" t="n">
        <v>-0.611485</v>
      </c>
      <c r="F791" s="53" t="n">
        <v>0.428571</v>
      </c>
      <c r="G791" s="53" t="n">
        <v>0.25</v>
      </c>
      <c r="H791" s="53" t="n">
        <v>0.2</v>
      </c>
    </row>
    <row r="792" customFormat="false" ht="15" hidden="false" customHeight="true" outlineLevel="0" collapsed="false">
      <c r="A792" s="38" t="s">
        <v>986</v>
      </c>
      <c r="B792" s="38" t="n">
        <v>8</v>
      </c>
      <c r="C792" s="53" t="n">
        <v>-0.637505</v>
      </c>
      <c r="D792" s="53" t="n">
        <v>-0.330461</v>
      </c>
      <c r="E792" s="53" t="n">
        <v>-0.483983</v>
      </c>
      <c r="F792" s="53" t="n">
        <v>0.190476</v>
      </c>
      <c r="G792" s="53" t="n">
        <v>0.416667</v>
      </c>
      <c r="H792" s="53" t="n">
        <v>0.8</v>
      </c>
    </row>
    <row r="793" customFormat="false" ht="15" hidden="false" customHeight="true" outlineLevel="0" collapsed="false">
      <c r="A793" s="38" t="s">
        <v>986</v>
      </c>
      <c r="B793" s="38" t="n">
        <v>9</v>
      </c>
      <c r="C793" s="53" t="n">
        <v>-0.779742</v>
      </c>
      <c r="D793" s="53" t="n">
        <v>-0.496631</v>
      </c>
      <c r="E793" s="53" t="n">
        <v>-0.638187</v>
      </c>
      <c r="F793" s="53" t="n">
        <v>0.47619</v>
      </c>
      <c r="G793" s="53" t="n">
        <v>0.5</v>
      </c>
      <c r="H793" s="53" t="n">
        <v>0.6</v>
      </c>
    </row>
    <row r="794" customFormat="false" ht="15" hidden="false" customHeight="true" outlineLevel="0" collapsed="false">
      <c r="A794" s="38" t="s">
        <v>986</v>
      </c>
      <c r="B794" s="38" t="n">
        <v>10</v>
      </c>
      <c r="C794" s="53" t="n">
        <v>-0.557682</v>
      </c>
      <c r="D794" s="53" t="n">
        <v>-0.258588</v>
      </c>
      <c r="E794" s="53" t="n">
        <v>-0.408135</v>
      </c>
      <c r="F794" s="53" t="n">
        <v>0.333333</v>
      </c>
      <c r="G794" s="53" t="n">
        <v>0.416667</v>
      </c>
      <c r="H794" s="53" t="n">
        <v>0.4</v>
      </c>
    </row>
    <row r="795" customFormat="false" ht="15" hidden="false" customHeight="true" outlineLevel="0" collapsed="false">
      <c r="A795" s="38" t="s">
        <v>987</v>
      </c>
      <c r="B795" s="38" t="n">
        <v>1</v>
      </c>
      <c r="C795" s="53" t="n">
        <v>-0.547271</v>
      </c>
      <c r="D795" s="53" t="n">
        <v>-0.218733</v>
      </c>
      <c r="E795" s="53" t="n">
        <v>-0.383002</v>
      </c>
      <c r="F795" s="53" t="n">
        <v>0.52381</v>
      </c>
      <c r="G795" s="53" t="n">
        <v>0.25</v>
      </c>
      <c r="H795" s="53" t="n">
        <v>0</v>
      </c>
    </row>
    <row r="796" customFormat="false" ht="15" hidden="false" customHeight="true" outlineLevel="0" collapsed="false">
      <c r="A796" s="38" t="s">
        <v>987</v>
      </c>
      <c r="B796" s="38" t="n">
        <v>2</v>
      </c>
      <c r="C796" s="53" t="n">
        <v>-0.880514</v>
      </c>
      <c r="D796" s="53" t="n">
        <v>-0.525883</v>
      </c>
      <c r="E796" s="53" t="n">
        <v>-0.703199</v>
      </c>
      <c r="F796" s="53" t="n">
        <v>0.238095</v>
      </c>
      <c r="G796" s="53" t="n">
        <v>0.25</v>
      </c>
      <c r="H796" s="53" t="n">
        <v>0.2</v>
      </c>
    </row>
    <row r="797" customFormat="false" ht="15" hidden="false" customHeight="true" outlineLevel="0" collapsed="false">
      <c r="A797" s="38" t="s">
        <v>987</v>
      </c>
      <c r="B797" s="38" t="n">
        <v>3</v>
      </c>
      <c r="C797" s="53" t="n">
        <v>-0.860455</v>
      </c>
      <c r="D797" s="53" t="n">
        <v>-0.548997</v>
      </c>
      <c r="E797" s="53" t="n">
        <v>-0.704726</v>
      </c>
      <c r="F797" s="53" t="n">
        <v>0.52381</v>
      </c>
      <c r="G797" s="53" t="n">
        <v>0.166667</v>
      </c>
      <c r="H797" s="53" t="n">
        <v>0.4</v>
      </c>
    </row>
    <row r="798" customFormat="false" ht="15" hidden="false" customHeight="true" outlineLevel="0" collapsed="false">
      <c r="A798" s="38" t="s">
        <v>987</v>
      </c>
      <c r="B798" s="38" t="n">
        <v>4</v>
      </c>
      <c r="C798" s="53" t="n">
        <v>-0.632522</v>
      </c>
      <c r="D798" s="53" t="n">
        <v>-0.331305</v>
      </c>
      <c r="E798" s="53" t="n">
        <v>-0.481913</v>
      </c>
      <c r="F798" s="53" t="n">
        <v>0.52381</v>
      </c>
      <c r="G798" s="53" t="n">
        <v>0.166667</v>
      </c>
      <c r="H798" s="53" t="n">
        <v>0.2</v>
      </c>
    </row>
    <row r="799" customFormat="false" ht="15" hidden="false" customHeight="true" outlineLevel="0" collapsed="false">
      <c r="A799" s="38" t="s">
        <v>987</v>
      </c>
      <c r="B799" s="38" t="n">
        <v>5</v>
      </c>
      <c r="C799" s="53" t="n">
        <v>-0.569517</v>
      </c>
      <c r="D799" s="53" t="n">
        <v>-0.314857</v>
      </c>
      <c r="E799" s="53" t="n">
        <v>-0.442187</v>
      </c>
      <c r="F799" s="53" t="n">
        <v>0.47619</v>
      </c>
      <c r="G799" s="53" t="n">
        <v>0.25</v>
      </c>
      <c r="H799" s="53" t="n">
        <v>0.2</v>
      </c>
    </row>
    <row r="800" customFormat="false" ht="15" hidden="false" customHeight="true" outlineLevel="0" collapsed="false">
      <c r="A800" s="38" t="s">
        <v>987</v>
      </c>
      <c r="B800" s="38" t="n">
        <v>6</v>
      </c>
      <c r="C800" s="53" t="n">
        <v>-0.944402</v>
      </c>
      <c r="D800" s="53" t="n">
        <v>-0.473634</v>
      </c>
      <c r="E800" s="53" t="n">
        <v>-0.709018</v>
      </c>
      <c r="F800" s="53" t="n">
        <v>0.380952</v>
      </c>
      <c r="G800" s="53" t="n">
        <v>0.083333</v>
      </c>
      <c r="H800" s="53" t="n">
        <v>0</v>
      </c>
    </row>
    <row r="801" customFormat="false" ht="15" hidden="false" customHeight="true" outlineLevel="0" collapsed="false">
      <c r="A801" s="38" t="s">
        <v>987</v>
      </c>
      <c r="B801" s="38" t="n">
        <v>7</v>
      </c>
      <c r="C801" s="53" t="n">
        <v>-0.836858</v>
      </c>
      <c r="D801" s="53" t="n">
        <v>-0.471647</v>
      </c>
      <c r="E801" s="53" t="n">
        <v>-0.654253</v>
      </c>
      <c r="F801" s="53" t="n">
        <v>0.47619</v>
      </c>
      <c r="G801" s="53" t="n">
        <v>0.416667</v>
      </c>
      <c r="H801" s="53" t="n">
        <v>0.2</v>
      </c>
    </row>
    <row r="802" customFormat="false" ht="15" hidden="false" customHeight="true" outlineLevel="0" collapsed="false">
      <c r="A802" s="38" t="s">
        <v>987</v>
      </c>
      <c r="B802" s="38" t="n">
        <v>8</v>
      </c>
      <c r="C802" s="53" t="n">
        <v>-0.904266</v>
      </c>
      <c r="D802" s="53" t="n">
        <v>-0.432552</v>
      </c>
      <c r="E802" s="53" t="n">
        <v>-0.668409</v>
      </c>
      <c r="F802" s="53" t="n">
        <v>0.380952</v>
      </c>
      <c r="G802" s="53" t="n">
        <v>0.166667</v>
      </c>
      <c r="H802" s="53" t="n">
        <v>0.4</v>
      </c>
    </row>
    <row r="803" customFormat="false" ht="15" hidden="false" customHeight="true" outlineLevel="0" collapsed="false">
      <c r="A803" s="38" t="s">
        <v>987</v>
      </c>
      <c r="B803" s="38" t="n">
        <v>9</v>
      </c>
      <c r="C803" s="53" t="n">
        <v>-1.008469</v>
      </c>
      <c r="D803" s="53" t="n">
        <v>-0.426086</v>
      </c>
      <c r="E803" s="53" t="n">
        <v>-0.717278</v>
      </c>
      <c r="F803" s="53" t="n">
        <v>0.238095</v>
      </c>
      <c r="G803" s="53" t="n">
        <v>0.25</v>
      </c>
      <c r="H803" s="53" t="n">
        <v>0.2</v>
      </c>
    </row>
    <row r="804" customFormat="false" ht="15" hidden="false" customHeight="true" outlineLevel="0" collapsed="false">
      <c r="A804" s="38" t="s">
        <v>987</v>
      </c>
      <c r="B804" s="38" t="n">
        <v>10</v>
      </c>
      <c r="C804" s="53" t="n">
        <v>-0.810008</v>
      </c>
      <c r="D804" s="53" t="n">
        <v>-0.399602</v>
      </c>
      <c r="E804" s="53" t="n">
        <v>-0.604805</v>
      </c>
      <c r="F804" s="53" t="n">
        <v>0.333333</v>
      </c>
      <c r="G804" s="53" t="n">
        <v>0.083333</v>
      </c>
      <c r="H804" s="53" t="n">
        <v>0.2</v>
      </c>
    </row>
    <row r="805" customFormat="false" ht="15" hidden="false" customHeight="true" outlineLevel="0" collapsed="false">
      <c r="A805" s="38" t="s">
        <v>988</v>
      </c>
      <c r="B805" s="38" t="n">
        <v>1</v>
      </c>
      <c r="C805" s="53" t="n">
        <v>-0.767235</v>
      </c>
      <c r="D805" s="53" t="n">
        <v>-0.512619</v>
      </c>
      <c r="E805" s="53" t="n">
        <v>-0.639927</v>
      </c>
      <c r="F805" s="53" t="n">
        <v>0.47619</v>
      </c>
      <c r="G805" s="53" t="n">
        <v>0.333333</v>
      </c>
      <c r="H805" s="53" t="n">
        <v>0.4</v>
      </c>
    </row>
    <row r="806" customFormat="false" ht="15" hidden="false" customHeight="true" outlineLevel="0" collapsed="false">
      <c r="A806" s="38" t="s">
        <v>988</v>
      </c>
      <c r="B806" s="38" t="n">
        <v>2</v>
      </c>
      <c r="C806" s="53" t="n">
        <v>-0.79554</v>
      </c>
      <c r="D806" s="53" t="n">
        <v>-0.416436</v>
      </c>
      <c r="E806" s="53" t="n">
        <v>-0.605988</v>
      </c>
      <c r="F806" s="53" t="n">
        <v>0.428571</v>
      </c>
      <c r="G806" s="53" t="n">
        <v>0.25</v>
      </c>
      <c r="H806" s="53" t="n">
        <v>0.2</v>
      </c>
    </row>
    <row r="807" customFormat="false" ht="15" hidden="false" customHeight="true" outlineLevel="0" collapsed="false">
      <c r="A807" s="38" t="s">
        <v>988</v>
      </c>
      <c r="B807" s="38" t="n">
        <v>3</v>
      </c>
      <c r="C807" s="53" t="n">
        <v>-0.945707</v>
      </c>
      <c r="D807" s="53" t="n">
        <v>-0.465856</v>
      </c>
      <c r="E807" s="53" t="n">
        <v>-0.705782</v>
      </c>
      <c r="F807" s="53" t="n">
        <v>0.380952</v>
      </c>
      <c r="G807" s="53" t="n">
        <v>0.25</v>
      </c>
      <c r="H807" s="53" t="n">
        <v>0</v>
      </c>
    </row>
    <row r="808" customFormat="false" ht="15" hidden="false" customHeight="true" outlineLevel="0" collapsed="false">
      <c r="A808" s="38" t="s">
        <v>988</v>
      </c>
      <c r="B808" s="38" t="n">
        <v>4</v>
      </c>
      <c r="C808" s="53" t="n">
        <v>-0.608091</v>
      </c>
      <c r="D808" s="53" t="n">
        <v>-0.335878</v>
      </c>
      <c r="E808" s="53" t="n">
        <v>-0.471985</v>
      </c>
      <c r="F808" s="53" t="n">
        <v>0.238095</v>
      </c>
      <c r="G808" s="53" t="n">
        <v>0.25</v>
      </c>
      <c r="H808" s="53" t="n">
        <v>0.2</v>
      </c>
    </row>
    <row r="809" customFormat="false" ht="15" hidden="false" customHeight="true" outlineLevel="0" collapsed="false">
      <c r="A809" s="38" t="s">
        <v>988</v>
      </c>
      <c r="B809" s="38" t="n">
        <v>5</v>
      </c>
      <c r="C809" s="53" t="n">
        <v>-0.688662</v>
      </c>
      <c r="D809" s="53" t="n">
        <v>-0.190204</v>
      </c>
      <c r="E809" s="53" t="n">
        <v>-0.439433</v>
      </c>
      <c r="F809" s="53" t="n">
        <v>0.47619</v>
      </c>
      <c r="G809" s="53" t="n">
        <v>0.166667</v>
      </c>
      <c r="H809" s="53" t="n">
        <v>0</v>
      </c>
    </row>
    <row r="810" customFormat="false" ht="15" hidden="false" customHeight="true" outlineLevel="0" collapsed="false">
      <c r="A810" s="38" t="s">
        <v>988</v>
      </c>
      <c r="B810" s="38" t="n">
        <v>6</v>
      </c>
      <c r="C810" s="53" t="n">
        <v>-0.525058</v>
      </c>
      <c r="D810" s="53" t="n">
        <v>-0.423895</v>
      </c>
      <c r="E810" s="53" t="n">
        <v>-0.474476</v>
      </c>
      <c r="F810" s="53" t="n">
        <v>0.285714</v>
      </c>
      <c r="G810" s="53" t="n">
        <v>0.5</v>
      </c>
      <c r="H810" s="53" t="n">
        <v>0.8</v>
      </c>
    </row>
    <row r="811" customFormat="false" ht="15" hidden="false" customHeight="true" outlineLevel="0" collapsed="false">
      <c r="A811" s="38" t="s">
        <v>988</v>
      </c>
      <c r="B811" s="38" t="n">
        <v>7</v>
      </c>
      <c r="C811" s="53" t="n">
        <v>-0.757875</v>
      </c>
      <c r="D811" s="53" t="n">
        <v>-0.445844</v>
      </c>
      <c r="E811" s="53" t="n">
        <v>-0.601859</v>
      </c>
      <c r="F811" s="53" t="n">
        <v>0.619048</v>
      </c>
      <c r="G811" s="53" t="n">
        <v>0.25</v>
      </c>
      <c r="H811" s="53" t="n">
        <v>0.4</v>
      </c>
    </row>
    <row r="812" customFormat="false" ht="15" hidden="false" customHeight="true" outlineLevel="0" collapsed="false">
      <c r="A812" s="38" t="s">
        <v>988</v>
      </c>
      <c r="B812" s="38" t="n">
        <v>8</v>
      </c>
      <c r="C812" s="53" t="n">
        <v>-0.821261</v>
      </c>
      <c r="D812" s="53" t="n">
        <v>-0.48012</v>
      </c>
      <c r="E812" s="53" t="n">
        <v>-0.65069</v>
      </c>
      <c r="F812" s="53" t="n">
        <v>0.380952</v>
      </c>
      <c r="G812" s="53" t="n">
        <v>0.25</v>
      </c>
      <c r="H812" s="53" t="n">
        <v>0.2</v>
      </c>
    </row>
    <row r="813" customFormat="false" ht="15" hidden="false" customHeight="true" outlineLevel="0" collapsed="false">
      <c r="A813" s="38" t="s">
        <v>988</v>
      </c>
      <c r="B813" s="38" t="n">
        <v>9</v>
      </c>
      <c r="C813" s="53" t="n">
        <v>-0.920242</v>
      </c>
      <c r="D813" s="53" t="n">
        <v>-0.559015</v>
      </c>
      <c r="E813" s="53" t="n">
        <v>-0.739629</v>
      </c>
      <c r="F813" s="53" t="n">
        <v>0.285714</v>
      </c>
      <c r="G813" s="53" t="n">
        <v>0.166667</v>
      </c>
      <c r="H813" s="53" t="n">
        <v>0.2</v>
      </c>
    </row>
    <row r="814" customFormat="false" ht="15" hidden="false" customHeight="true" outlineLevel="0" collapsed="false">
      <c r="A814" s="38" t="s">
        <v>988</v>
      </c>
      <c r="B814" s="38" t="n">
        <v>10</v>
      </c>
      <c r="C814" s="53" t="n">
        <v>-0.933933</v>
      </c>
      <c r="D814" s="53" t="n">
        <v>-0.46156</v>
      </c>
      <c r="E814" s="53" t="n">
        <v>-0.697746</v>
      </c>
      <c r="F814" s="53" t="n">
        <v>0.333333</v>
      </c>
      <c r="G814" s="53" t="n">
        <v>0.25</v>
      </c>
      <c r="H814" s="53" t="n">
        <v>0.2</v>
      </c>
    </row>
    <row r="815" customFormat="false" ht="15" hidden="false" customHeight="true" outlineLevel="0" collapsed="false">
      <c r="A815" s="38" t="s">
        <v>989</v>
      </c>
      <c r="B815" s="38" t="n">
        <v>1</v>
      </c>
      <c r="C815" s="53" t="n">
        <v>-0.865315</v>
      </c>
      <c r="D815" s="53" t="n">
        <v>-0.371625</v>
      </c>
      <c r="E815" s="53" t="n">
        <v>-0.61847</v>
      </c>
      <c r="F815" s="53" t="n">
        <v>0.333333</v>
      </c>
      <c r="G815" s="53" t="n">
        <v>0.25</v>
      </c>
      <c r="H815" s="53" t="n">
        <v>0.2</v>
      </c>
    </row>
    <row r="816" customFormat="false" ht="15" hidden="false" customHeight="true" outlineLevel="0" collapsed="false">
      <c r="A816" s="38" t="s">
        <v>989</v>
      </c>
      <c r="B816" s="38" t="n">
        <v>2</v>
      </c>
      <c r="C816" s="53" t="n">
        <v>-0.602599</v>
      </c>
      <c r="D816" s="53" t="n">
        <v>-0.411446</v>
      </c>
      <c r="E816" s="53" t="n">
        <v>-0.507023</v>
      </c>
      <c r="F816" s="53" t="n">
        <v>0.428571</v>
      </c>
      <c r="G816" s="53" t="n">
        <v>0.5</v>
      </c>
      <c r="H816" s="53" t="n">
        <v>0.4</v>
      </c>
    </row>
    <row r="817" customFormat="false" ht="15" hidden="false" customHeight="true" outlineLevel="0" collapsed="false">
      <c r="A817" s="38" t="s">
        <v>989</v>
      </c>
      <c r="B817" s="38" t="n">
        <v>3</v>
      </c>
      <c r="C817" s="53" t="n">
        <v>-0.634052</v>
      </c>
      <c r="D817" s="53" t="n">
        <v>-0.411868</v>
      </c>
      <c r="E817" s="53" t="n">
        <v>-0.52296</v>
      </c>
      <c r="F817" s="53" t="n">
        <v>0.380952</v>
      </c>
      <c r="G817" s="53" t="n">
        <v>0.333333</v>
      </c>
      <c r="H817" s="53" t="n">
        <v>0.6</v>
      </c>
    </row>
    <row r="818" customFormat="false" ht="15" hidden="false" customHeight="true" outlineLevel="0" collapsed="false">
      <c r="A818" s="38" t="s">
        <v>989</v>
      </c>
      <c r="B818" s="38" t="n">
        <v>4</v>
      </c>
      <c r="C818" s="53" t="n">
        <v>-0.63958</v>
      </c>
      <c r="D818" s="53" t="n">
        <v>-0.392483</v>
      </c>
      <c r="E818" s="53" t="n">
        <v>-0.516031</v>
      </c>
      <c r="F818" s="53" t="n">
        <v>0.428571</v>
      </c>
      <c r="G818" s="53" t="n">
        <v>0.333333</v>
      </c>
      <c r="H818" s="53" t="n">
        <v>0.6</v>
      </c>
    </row>
    <row r="819" customFormat="false" ht="15" hidden="false" customHeight="true" outlineLevel="0" collapsed="false">
      <c r="A819" s="38" t="s">
        <v>989</v>
      </c>
      <c r="B819" s="38" t="n">
        <v>5</v>
      </c>
      <c r="C819" s="53" t="n">
        <v>-0.867566</v>
      </c>
      <c r="D819" s="53" t="n">
        <v>-0.565357</v>
      </c>
      <c r="E819" s="53" t="n">
        <v>-0.716462</v>
      </c>
      <c r="F819" s="53" t="n">
        <v>0.333333</v>
      </c>
      <c r="G819" s="53" t="n">
        <v>0.166667</v>
      </c>
      <c r="H819" s="53" t="n">
        <v>0.2</v>
      </c>
    </row>
    <row r="820" customFormat="false" ht="15" hidden="false" customHeight="true" outlineLevel="0" collapsed="false">
      <c r="A820" s="38" t="s">
        <v>989</v>
      </c>
      <c r="B820" s="38" t="n">
        <v>6</v>
      </c>
      <c r="C820" s="53" t="n">
        <v>-0.915404</v>
      </c>
      <c r="D820" s="53" t="n">
        <v>-0.513236</v>
      </c>
      <c r="E820" s="53" t="n">
        <v>-0.71432</v>
      </c>
      <c r="F820" s="53" t="n">
        <v>0.285714</v>
      </c>
      <c r="G820" s="53" t="n">
        <v>0.083333</v>
      </c>
      <c r="H820" s="53" t="n">
        <v>0.2</v>
      </c>
    </row>
    <row r="821" customFormat="false" ht="15" hidden="false" customHeight="true" outlineLevel="0" collapsed="false">
      <c r="A821" s="38" t="s">
        <v>989</v>
      </c>
      <c r="B821" s="38" t="n">
        <v>7</v>
      </c>
      <c r="C821" s="53" t="n">
        <v>-0.663822</v>
      </c>
      <c r="D821" s="53" t="n">
        <v>-0.359621</v>
      </c>
      <c r="E821" s="53" t="n">
        <v>-0.511721</v>
      </c>
      <c r="F821" s="53" t="n">
        <v>0.333333</v>
      </c>
      <c r="G821" s="53" t="n">
        <v>0.083333</v>
      </c>
      <c r="H821" s="53" t="n">
        <v>0</v>
      </c>
    </row>
    <row r="822" customFormat="false" ht="15" hidden="false" customHeight="true" outlineLevel="0" collapsed="false">
      <c r="A822" s="38" t="s">
        <v>989</v>
      </c>
      <c r="B822" s="38" t="n">
        <v>8</v>
      </c>
      <c r="C822" s="53" t="n">
        <v>-0.780913</v>
      </c>
      <c r="D822" s="53" t="n">
        <v>-0.549523</v>
      </c>
      <c r="E822" s="53" t="n">
        <v>-0.665218</v>
      </c>
      <c r="F822" s="53" t="n">
        <v>0.333333</v>
      </c>
      <c r="G822" s="53" t="n">
        <v>0.25</v>
      </c>
      <c r="H822" s="53" t="n">
        <v>0.4</v>
      </c>
    </row>
    <row r="823" customFormat="false" ht="15" hidden="false" customHeight="true" outlineLevel="0" collapsed="false">
      <c r="A823" s="38" t="s">
        <v>989</v>
      </c>
      <c r="B823" s="38" t="n">
        <v>9</v>
      </c>
      <c r="C823" s="53" t="n">
        <v>-1.016122</v>
      </c>
      <c r="D823" s="53" t="n">
        <v>-0.51615</v>
      </c>
      <c r="E823" s="53" t="n">
        <v>-0.766136</v>
      </c>
      <c r="F823" s="53" t="n">
        <v>0.52381</v>
      </c>
      <c r="G823" s="53" t="n">
        <v>0.25</v>
      </c>
      <c r="H823" s="53" t="n">
        <v>0.2</v>
      </c>
    </row>
    <row r="824" customFormat="false" ht="15" hidden="false" customHeight="true" outlineLevel="0" collapsed="false">
      <c r="A824" s="38" t="s">
        <v>989</v>
      </c>
      <c r="B824" s="38" t="n">
        <v>10</v>
      </c>
      <c r="C824" s="53" t="n">
        <v>-0.663864</v>
      </c>
      <c r="D824" s="53" t="n">
        <v>-0.348187</v>
      </c>
      <c r="E824" s="53" t="n">
        <v>-0.506026</v>
      </c>
      <c r="F824" s="53" t="n">
        <v>0.52381</v>
      </c>
      <c r="G824" s="53" t="n">
        <v>0.333333</v>
      </c>
      <c r="H824" s="53" t="n">
        <v>0.2</v>
      </c>
    </row>
    <row r="825" customFormat="false" ht="15" hidden="false" customHeight="true" outlineLevel="0" collapsed="false">
      <c r="A825" s="38" t="s">
        <v>990</v>
      </c>
      <c r="B825" s="38" t="n">
        <v>1</v>
      </c>
      <c r="C825" s="53" t="n">
        <v>-0.79216</v>
      </c>
      <c r="D825" s="53" t="n">
        <v>-0.479983</v>
      </c>
      <c r="E825" s="53" t="n">
        <v>-0.636071</v>
      </c>
      <c r="F825" s="53" t="n">
        <v>0.285714</v>
      </c>
      <c r="G825" s="53" t="n">
        <v>0.25</v>
      </c>
      <c r="H825" s="53" t="n">
        <v>0.2</v>
      </c>
    </row>
    <row r="826" customFormat="false" ht="15" hidden="false" customHeight="true" outlineLevel="0" collapsed="false">
      <c r="A826" s="38" t="s">
        <v>990</v>
      </c>
      <c r="B826" s="38" t="n">
        <v>2</v>
      </c>
      <c r="C826" s="53" t="n">
        <v>-0.850129</v>
      </c>
      <c r="D826" s="53" t="n">
        <v>-0.426777</v>
      </c>
      <c r="E826" s="53" t="n">
        <v>-0.638453</v>
      </c>
      <c r="F826" s="53" t="n">
        <v>0.333333</v>
      </c>
      <c r="G826" s="53" t="n">
        <v>0.333333</v>
      </c>
      <c r="H826" s="53" t="n">
        <v>0.6</v>
      </c>
    </row>
    <row r="827" customFormat="false" ht="15" hidden="false" customHeight="true" outlineLevel="0" collapsed="false">
      <c r="A827" s="38" t="s">
        <v>990</v>
      </c>
      <c r="B827" s="38" t="n">
        <v>3</v>
      </c>
      <c r="C827" s="53" t="n">
        <v>-0.875266</v>
      </c>
      <c r="D827" s="53" t="n">
        <v>-0.570146</v>
      </c>
      <c r="E827" s="53" t="n">
        <v>-0.722706</v>
      </c>
      <c r="F827" s="53" t="n">
        <v>0.238095</v>
      </c>
      <c r="G827" s="53" t="n">
        <v>0.083333</v>
      </c>
      <c r="H827" s="53" t="n">
        <v>0.2</v>
      </c>
    </row>
    <row r="828" customFormat="false" ht="15" hidden="false" customHeight="true" outlineLevel="0" collapsed="false">
      <c r="A828" s="38" t="s">
        <v>990</v>
      </c>
      <c r="B828" s="38" t="n">
        <v>4</v>
      </c>
      <c r="C828" s="53" t="n">
        <v>-0.659769</v>
      </c>
      <c r="D828" s="53" t="n">
        <v>-0.408192</v>
      </c>
      <c r="E828" s="53" t="n">
        <v>-0.53398</v>
      </c>
      <c r="F828" s="53" t="n">
        <v>0.47619</v>
      </c>
      <c r="G828" s="53" t="n">
        <v>0.416667</v>
      </c>
      <c r="H828" s="53" t="n">
        <v>0.2</v>
      </c>
    </row>
    <row r="829" customFormat="false" ht="15" hidden="false" customHeight="true" outlineLevel="0" collapsed="false">
      <c r="A829" s="38" t="s">
        <v>990</v>
      </c>
      <c r="B829" s="38" t="n">
        <v>5</v>
      </c>
      <c r="C829" s="53" t="n">
        <v>-1.010244</v>
      </c>
      <c r="D829" s="53" t="n">
        <v>-0.517668</v>
      </c>
      <c r="E829" s="53" t="n">
        <v>-0.763956</v>
      </c>
      <c r="F829" s="53" t="n">
        <v>0.285714</v>
      </c>
      <c r="G829" s="53" t="n">
        <v>0.083333</v>
      </c>
      <c r="H829" s="53" t="n">
        <v>0.2</v>
      </c>
    </row>
    <row r="830" customFormat="false" ht="15" hidden="false" customHeight="true" outlineLevel="0" collapsed="false">
      <c r="A830" s="38" t="s">
        <v>990</v>
      </c>
      <c r="B830" s="38" t="n">
        <v>6</v>
      </c>
      <c r="C830" s="53" t="n">
        <v>-0.852527</v>
      </c>
      <c r="D830" s="53" t="n">
        <v>-0.506974</v>
      </c>
      <c r="E830" s="53" t="n">
        <v>-0.679751</v>
      </c>
      <c r="F830" s="53" t="n">
        <v>0.285714</v>
      </c>
      <c r="G830" s="53" t="n">
        <v>0.25</v>
      </c>
      <c r="H830" s="53" t="n">
        <v>0.2</v>
      </c>
    </row>
    <row r="831" customFormat="false" ht="15" hidden="false" customHeight="true" outlineLevel="0" collapsed="false">
      <c r="A831" s="38" t="s">
        <v>990</v>
      </c>
      <c r="B831" s="38" t="n">
        <v>7</v>
      </c>
      <c r="C831" s="53" t="n">
        <v>-0.801184</v>
      </c>
      <c r="D831" s="53" t="n">
        <v>-0.403251</v>
      </c>
      <c r="E831" s="53" t="n">
        <v>-0.602218</v>
      </c>
      <c r="F831" s="53" t="n">
        <v>0.333333</v>
      </c>
      <c r="G831" s="53" t="n">
        <v>0.166667</v>
      </c>
      <c r="H831" s="53" t="n">
        <v>0.2</v>
      </c>
    </row>
    <row r="832" customFormat="false" ht="15" hidden="false" customHeight="true" outlineLevel="0" collapsed="false">
      <c r="A832" s="38" t="s">
        <v>990</v>
      </c>
      <c r="B832" s="38" t="n">
        <v>8</v>
      </c>
      <c r="C832" s="53" t="n">
        <v>-0.820078</v>
      </c>
      <c r="D832" s="53" t="n">
        <v>-0.410181</v>
      </c>
      <c r="E832" s="53" t="n">
        <v>-0.61513</v>
      </c>
      <c r="F832" s="53" t="n">
        <v>0.285714</v>
      </c>
      <c r="G832" s="53" t="n">
        <v>0.333333</v>
      </c>
      <c r="H832" s="53" t="n">
        <v>0.2</v>
      </c>
    </row>
    <row r="833" customFormat="false" ht="15" hidden="false" customHeight="true" outlineLevel="0" collapsed="false">
      <c r="A833" s="38" t="s">
        <v>990</v>
      </c>
      <c r="B833" s="38" t="n">
        <v>9</v>
      </c>
      <c r="C833" s="53" t="n">
        <v>-1.1879</v>
      </c>
      <c r="D833" s="53" t="n">
        <v>-0.642739</v>
      </c>
      <c r="E833" s="53" t="n">
        <v>-0.915319</v>
      </c>
      <c r="F833" s="53" t="n">
        <v>0.190476</v>
      </c>
      <c r="G833" s="53" t="n">
        <v>0.083333</v>
      </c>
      <c r="H833" s="53" t="n">
        <v>0.2</v>
      </c>
    </row>
    <row r="834" customFormat="false" ht="15" hidden="false" customHeight="true" outlineLevel="0" collapsed="false">
      <c r="A834" s="38" t="s">
        <v>990</v>
      </c>
      <c r="B834" s="38" t="n">
        <v>10</v>
      </c>
      <c r="C834" s="53" t="n">
        <v>-0.925733</v>
      </c>
      <c r="D834" s="53" t="n">
        <v>-0.542451</v>
      </c>
      <c r="E834" s="53" t="n">
        <v>-0.734092</v>
      </c>
      <c r="F834" s="53" t="n">
        <v>0.428571</v>
      </c>
      <c r="G834" s="53" t="n">
        <v>0.083333</v>
      </c>
      <c r="H834" s="53" t="n">
        <v>0.2</v>
      </c>
    </row>
    <row r="835" customFormat="false" ht="15" hidden="false" customHeight="true" outlineLevel="0" collapsed="false">
      <c r="A835" s="38" t="s">
        <v>991</v>
      </c>
      <c r="B835" s="38" t="n">
        <v>1</v>
      </c>
      <c r="C835" s="53" t="n">
        <v>-0.81104</v>
      </c>
      <c r="D835" s="53" t="n">
        <v>-0.432045</v>
      </c>
      <c r="E835" s="53" t="n">
        <v>-0.621542</v>
      </c>
      <c r="F835" s="53" t="n">
        <v>0.52381</v>
      </c>
      <c r="G835" s="53" t="n">
        <v>0.083333</v>
      </c>
      <c r="H835" s="53" t="n">
        <v>0</v>
      </c>
    </row>
    <row r="836" customFormat="false" ht="15" hidden="false" customHeight="true" outlineLevel="0" collapsed="false">
      <c r="A836" s="38" t="s">
        <v>991</v>
      </c>
      <c r="B836" s="38" t="n">
        <v>2</v>
      </c>
      <c r="C836" s="53" t="n">
        <v>-0.718677</v>
      </c>
      <c r="D836" s="53" t="n">
        <v>-0.337681</v>
      </c>
      <c r="E836" s="53" t="n">
        <v>-0.528179</v>
      </c>
      <c r="F836" s="53" t="n">
        <v>0.380952</v>
      </c>
      <c r="G836" s="53" t="n">
        <v>0.25</v>
      </c>
      <c r="H836" s="53" t="n">
        <v>0.4</v>
      </c>
    </row>
    <row r="837" customFormat="false" ht="15" hidden="false" customHeight="true" outlineLevel="0" collapsed="false">
      <c r="A837" s="38" t="s">
        <v>991</v>
      </c>
      <c r="B837" s="38" t="n">
        <v>3</v>
      </c>
      <c r="C837" s="53" t="n">
        <v>-0.665791</v>
      </c>
      <c r="D837" s="53" t="n">
        <v>-0.449606</v>
      </c>
      <c r="E837" s="53" t="n">
        <v>-0.557699</v>
      </c>
      <c r="F837" s="53" t="n">
        <v>0.428571</v>
      </c>
      <c r="G837" s="53" t="n">
        <v>0.25</v>
      </c>
      <c r="H837" s="53" t="n">
        <v>0</v>
      </c>
    </row>
    <row r="838" customFormat="false" ht="15" hidden="false" customHeight="true" outlineLevel="0" collapsed="false">
      <c r="A838" s="38" t="s">
        <v>991</v>
      </c>
      <c r="B838" s="38" t="n">
        <v>4</v>
      </c>
      <c r="C838" s="53" t="n">
        <v>-0.852732</v>
      </c>
      <c r="D838" s="53" t="n">
        <v>-0.548882</v>
      </c>
      <c r="E838" s="53" t="n">
        <v>-0.700807</v>
      </c>
      <c r="F838" s="53" t="n">
        <v>0.380952</v>
      </c>
      <c r="G838" s="53" t="n">
        <v>0.166667</v>
      </c>
      <c r="H838" s="53" t="n">
        <v>0.2</v>
      </c>
    </row>
    <row r="839" customFormat="false" ht="15" hidden="false" customHeight="true" outlineLevel="0" collapsed="false">
      <c r="A839" s="38" t="s">
        <v>991</v>
      </c>
      <c r="B839" s="38" t="n">
        <v>5</v>
      </c>
      <c r="C839" s="53" t="n">
        <v>-0.998141</v>
      </c>
      <c r="D839" s="53" t="n">
        <v>-0.346944</v>
      </c>
      <c r="E839" s="53" t="n">
        <v>-0.672543</v>
      </c>
      <c r="F839" s="53" t="n">
        <v>0.285714</v>
      </c>
      <c r="G839" s="53" t="n">
        <v>0</v>
      </c>
      <c r="H839" s="53" t="n">
        <v>0</v>
      </c>
    </row>
    <row r="840" customFormat="false" ht="15" hidden="false" customHeight="true" outlineLevel="0" collapsed="false">
      <c r="A840" s="38" t="s">
        <v>991</v>
      </c>
      <c r="B840" s="38" t="n">
        <v>6</v>
      </c>
      <c r="C840" s="53" t="n">
        <v>-0.691422</v>
      </c>
      <c r="D840" s="53" t="n">
        <v>-0.369839</v>
      </c>
      <c r="E840" s="53" t="n">
        <v>-0.530631</v>
      </c>
      <c r="F840" s="53" t="n">
        <v>0.428571</v>
      </c>
      <c r="G840" s="53" t="n">
        <v>0.083333</v>
      </c>
      <c r="H840" s="53" t="n">
        <v>0</v>
      </c>
    </row>
    <row r="841" customFormat="false" ht="15" hidden="false" customHeight="true" outlineLevel="0" collapsed="false">
      <c r="A841" s="38" t="s">
        <v>991</v>
      </c>
      <c r="B841" s="38" t="n">
        <v>7</v>
      </c>
      <c r="C841" s="53" t="n">
        <v>-0.915808</v>
      </c>
      <c r="D841" s="53" t="n">
        <v>-0.378952</v>
      </c>
      <c r="E841" s="53" t="n">
        <v>-0.64738</v>
      </c>
      <c r="F841" s="53" t="n">
        <v>0.190476</v>
      </c>
      <c r="G841" s="53" t="n">
        <v>0.166667</v>
      </c>
      <c r="H841" s="53" t="n">
        <v>0</v>
      </c>
    </row>
    <row r="842" customFormat="false" ht="15" hidden="false" customHeight="true" outlineLevel="0" collapsed="false">
      <c r="A842" s="38" t="s">
        <v>991</v>
      </c>
      <c r="B842" s="38" t="n">
        <v>8</v>
      </c>
      <c r="C842" s="53" t="n">
        <v>-0.957327</v>
      </c>
      <c r="D842" s="53" t="n">
        <v>-0.555733</v>
      </c>
      <c r="E842" s="53" t="n">
        <v>-0.75653</v>
      </c>
      <c r="F842" s="53" t="n">
        <v>0.285714</v>
      </c>
      <c r="G842" s="53" t="n">
        <v>0.166667</v>
      </c>
      <c r="H842" s="53" t="n">
        <v>0</v>
      </c>
    </row>
    <row r="843" customFormat="false" ht="15" hidden="false" customHeight="true" outlineLevel="0" collapsed="false">
      <c r="A843" s="38" t="s">
        <v>991</v>
      </c>
      <c r="B843" s="38" t="n">
        <v>9</v>
      </c>
      <c r="C843" s="53" t="n">
        <v>-0.490001</v>
      </c>
      <c r="D843" s="53" t="n">
        <v>-0.316942</v>
      </c>
      <c r="E843" s="53" t="n">
        <v>-0.403471</v>
      </c>
      <c r="F843" s="53" t="n">
        <v>0.428571</v>
      </c>
      <c r="G843" s="53" t="n">
        <v>0.333333</v>
      </c>
      <c r="H843" s="53" t="n">
        <v>0.4</v>
      </c>
    </row>
    <row r="844" customFormat="false" ht="15" hidden="false" customHeight="true" outlineLevel="0" collapsed="false">
      <c r="A844" s="38" t="s">
        <v>991</v>
      </c>
      <c r="B844" s="38" t="n">
        <v>10</v>
      </c>
      <c r="C844" s="53" t="n">
        <v>-0.841449</v>
      </c>
      <c r="D844" s="53" t="n">
        <v>-0.546192</v>
      </c>
      <c r="E844" s="53" t="n">
        <v>-0.69382</v>
      </c>
      <c r="F844" s="53" t="n">
        <v>0.47619</v>
      </c>
      <c r="G844" s="53" t="n">
        <v>0.333333</v>
      </c>
      <c r="H844" s="53" t="n">
        <v>0.4</v>
      </c>
    </row>
    <row r="845" customFormat="false" ht="15" hidden="false" customHeight="true" outlineLevel="0" collapsed="false">
      <c r="A845" s="38" t="s">
        <v>992</v>
      </c>
      <c r="B845" s="38" t="n">
        <v>1</v>
      </c>
      <c r="C845" s="53" t="n">
        <v>-0.675314</v>
      </c>
      <c r="D845" s="53" t="n">
        <v>-0.291983</v>
      </c>
      <c r="E845" s="53" t="n">
        <v>-0.483648</v>
      </c>
      <c r="F845" s="53" t="n">
        <v>0.238095</v>
      </c>
      <c r="G845" s="53" t="n">
        <v>0.333333</v>
      </c>
      <c r="H845" s="53" t="n">
        <v>0.4</v>
      </c>
    </row>
    <row r="846" customFormat="false" ht="15" hidden="false" customHeight="true" outlineLevel="0" collapsed="false">
      <c r="A846" s="38" t="s">
        <v>992</v>
      </c>
      <c r="B846" s="38" t="n">
        <v>2</v>
      </c>
      <c r="C846" s="53" t="n">
        <v>-0.90692</v>
      </c>
      <c r="D846" s="53" t="n">
        <v>-0.538554</v>
      </c>
      <c r="E846" s="53" t="n">
        <v>-0.722737</v>
      </c>
      <c r="F846" s="53" t="n">
        <v>0.333333</v>
      </c>
      <c r="G846" s="53" t="n">
        <v>0.25</v>
      </c>
      <c r="H846" s="53" t="n">
        <v>0</v>
      </c>
    </row>
    <row r="847" customFormat="false" ht="15" hidden="false" customHeight="true" outlineLevel="0" collapsed="false">
      <c r="A847" s="38" t="s">
        <v>992</v>
      </c>
      <c r="B847" s="38" t="n">
        <v>3</v>
      </c>
      <c r="C847" s="53" t="n">
        <v>-0.695325</v>
      </c>
      <c r="D847" s="53" t="n">
        <v>-0.470022</v>
      </c>
      <c r="E847" s="53" t="n">
        <v>-0.582673</v>
      </c>
      <c r="F847" s="53" t="n">
        <v>0.285714</v>
      </c>
      <c r="G847" s="53" t="n">
        <v>0.25</v>
      </c>
      <c r="H847" s="53" t="n">
        <v>0.2</v>
      </c>
    </row>
    <row r="848" customFormat="false" ht="15" hidden="false" customHeight="true" outlineLevel="0" collapsed="false">
      <c r="A848" s="38" t="s">
        <v>992</v>
      </c>
      <c r="B848" s="38" t="n">
        <v>4</v>
      </c>
      <c r="C848" s="53" t="n">
        <v>-0.550885</v>
      </c>
      <c r="D848" s="53" t="n">
        <v>-0.357436</v>
      </c>
      <c r="E848" s="53" t="n">
        <v>-0.45416</v>
      </c>
      <c r="F848" s="53" t="n">
        <v>0.47619</v>
      </c>
      <c r="G848" s="53" t="n">
        <v>0.583333</v>
      </c>
      <c r="H848" s="53" t="n">
        <v>0.6</v>
      </c>
    </row>
    <row r="849" customFormat="false" ht="15" hidden="false" customHeight="true" outlineLevel="0" collapsed="false">
      <c r="A849" s="38" t="s">
        <v>992</v>
      </c>
      <c r="B849" s="38" t="n">
        <v>5</v>
      </c>
      <c r="C849" s="53" t="n">
        <v>-0.870565</v>
      </c>
      <c r="D849" s="53" t="n">
        <v>-0.53313</v>
      </c>
      <c r="E849" s="53" t="n">
        <v>-0.701847</v>
      </c>
      <c r="F849" s="53" t="n">
        <v>0.47619</v>
      </c>
      <c r="G849" s="53" t="n">
        <v>0.166667</v>
      </c>
      <c r="H849" s="53" t="n">
        <v>0.2</v>
      </c>
    </row>
    <row r="850" customFormat="false" ht="15" hidden="false" customHeight="true" outlineLevel="0" collapsed="false">
      <c r="A850" s="38" t="s">
        <v>992</v>
      </c>
      <c r="B850" s="38" t="n">
        <v>6</v>
      </c>
      <c r="C850" s="53" t="n">
        <v>-0.907096</v>
      </c>
      <c r="D850" s="53" t="n">
        <v>-0.419923</v>
      </c>
      <c r="E850" s="53" t="n">
        <v>-0.663509</v>
      </c>
      <c r="F850" s="53" t="n">
        <v>0.428571</v>
      </c>
      <c r="G850" s="53" t="n">
        <v>0.083333</v>
      </c>
      <c r="H850" s="53" t="n">
        <v>0</v>
      </c>
    </row>
    <row r="851" customFormat="false" ht="15" hidden="false" customHeight="true" outlineLevel="0" collapsed="false">
      <c r="A851" s="38" t="s">
        <v>992</v>
      </c>
      <c r="B851" s="38" t="n">
        <v>7</v>
      </c>
      <c r="C851" s="53" t="n">
        <v>-0.736978</v>
      </c>
      <c r="D851" s="53" t="n">
        <v>-0.604262</v>
      </c>
      <c r="E851" s="53" t="n">
        <v>-0.67062</v>
      </c>
      <c r="F851" s="53" t="n">
        <v>0.47619</v>
      </c>
      <c r="G851" s="53" t="n">
        <v>0.25</v>
      </c>
      <c r="H851" s="53" t="n">
        <v>0.4</v>
      </c>
    </row>
    <row r="852" customFormat="false" ht="15" hidden="false" customHeight="true" outlineLevel="0" collapsed="false">
      <c r="A852" s="38" t="s">
        <v>992</v>
      </c>
      <c r="B852" s="38" t="n">
        <v>8</v>
      </c>
      <c r="C852" s="53" t="n">
        <v>-1.010468</v>
      </c>
      <c r="D852" s="53" t="n">
        <v>-0.463795</v>
      </c>
      <c r="E852" s="53" t="n">
        <v>-0.737131</v>
      </c>
      <c r="F852" s="53" t="n">
        <v>0.428571</v>
      </c>
      <c r="G852" s="53" t="n">
        <v>0.166667</v>
      </c>
      <c r="H852" s="53" t="n">
        <v>0.4</v>
      </c>
    </row>
    <row r="853" customFormat="false" ht="15" hidden="false" customHeight="true" outlineLevel="0" collapsed="false">
      <c r="A853" s="38" t="s">
        <v>992</v>
      </c>
      <c r="B853" s="38" t="n">
        <v>9</v>
      </c>
      <c r="C853" s="53" t="n">
        <v>-0.856282</v>
      </c>
      <c r="D853" s="53" t="n">
        <v>-0.557249</v>
      </c>
      <c r="E853" s="53" t="n">
        <v>-0.706765</v>
      </c>
      <c r="F853" s="53" t="n">
        <v>0.428571</v>
      </c>
      <c r="G853" s="53" t="n">
        <v>0.25</v>
      </c>
      <c r="H853" s="53" t="n">
        <v>0.4</v>
      </c>
    </row>
    <row r="854" customFormat="false" ht="15" hidden="false" customHeight="true" outlineLevel="0" collapsed="false">
      <c r="A854" s="38" t="s">
        <v>992</v>
      </c>
      <c r="B854" s="38" t="n">
        <v>10</v>
      </c>
      <c r="C854" s="53" t="n">
        <v>-1.035923</v>
      </c>
      <c r="D854" s="53" t="n">
        <v>-0.522397</v>
      </c>
      <c r="E854" s="53" t="n">
        <v>-0.77916</v>
      </c>
      <c r="F854" s="53" t="n">
        <v>0.52381</v>
      </c>
      <c r="G854" s="53" t="n">
        <v>0.166667</v>
      </c>
      <c r="H854" s="53" t="n">
        <v>0.2</v>
      </c>
    </row>
    <row r="855" customFormat="false" ht="15" hidden="false" customHeight="true" outlineLevel="0" collapsed="false">
      <c r="A855" s="38" t="s">
        <v>993</v>
      </c>
      <c r="B855" s="38" t="n">
        <v>1</v>
      </c>
      <c r="C855" s="53" t="n">
        <v>-0.915809</v>
      </c>
      <c r="D855" s="53" t="n">
        <v>-0.407797</v>
      </c>
      <c r="E855" s="53" t="n">
        <v>-0.661803</v>
      </c>
      <c r="F855" s="53" t="n">
        <v>0.47619</v>
      </c>
      <c r="G855" s="53" t="n">
        <v>0.166667</v>
      </c>
      <c r="H855" s="53" t="n">
        <v>0.2</v>
      </c>
    </row>
    <row r="856" customFormat="false" ht="15" hidden="false" customHeight="true" outlineLevel="0" collapsed="false">
      <c r="A856" s="38" t="s">
        <v>993</v>
      </c>
      <c r="B856" s="38" t="n">
        <v>2</v>
      </c>
      <c r="C856" s="53" t="n">
        <v>-0.892719</v>
      </c>
      <c r="D856" s="53" t="n">
        <v>-0.372919</v>
      </c>
      <c r="E856" s="53" t="n">
        <v>-0.632819</v>
      </c>
      <c r="F856" s="53" t="n">
        <v>0.285714</v>
      </c>
      <c r="G856" s="53" t="n">
        <v>0.25</v>
      </c>
      <c r="H856" s="53" t="n">
        <v>0</v>
      </c>
    </row>
    <row r="857" customFormat="false" ht="15" hidden="false" customHeight="true" outlineLevel="0" collapsed="false">
      <c r="A857" s="38" t="s">
        <v>993</v>
      </c>
      <c r="B857" s="38" t="n">
        <v>3</v>
      </c>
      <c r="C857" s="53" t="n">
        <v>-0.85786</v>
      </c>
      <c r="D857" s="53" t="n">
        <v>-0.369578</v>
      </c>
      <c r="E857" s="53" t="n">
        <v>-0.613719</v>
      </c>
      <c r="F857" s="53" t="n">
        <v>0.52381</v>
      </c>
      <c r="G857" s="53" t="n">
        <v>0.166667</v>
      </c>
      <c r="H857" s="53" t="n">
        <v>0.2</v>
      </c>
    </row>
    <row r="858" customFormat="false" ht="15" hidden="false" customHeight="true" outlineLevel="0" collapsed="false">
      <c r="A858" s="38" t="s">
        <v>993</v>
      </c>
      <c r="B858" s="38" t="n">
        <v>4</v>
      </c>
      <c r="C858" s="53" t="n">
        <v>-0.850822</v>
      </c>
      <c r="D858" s="53" t="n">
        <v>-0.472307</v>
      </c>
      <c r="E858" s="53" t="n">
        <v>-0.661564</v>
      </c>
      <c r="F858" s="53" t="n">
        <v>0.333333</v>
      </c>
      <c r="G858" s="53" t="n">
        <v>0.083333</v>
      </c>
      <c r="H858" s="53" t="n">
        <v>0.2</v>
      </c>
    </row>
    <row r="859" customFormat="false" ht="15" hidden="false" customHeight="true" outlineLevel="0" collapsed="false">
      <c r="A859" s="38" t="s">
        <v>993</v>
      </c>
      <c r="B859" s="38" t="n">
        <v>5</v>
      </c>
      <c r="C859" s="53" t="n">
        <v>-0.837631</v>
      </c>
      <c r="D859" s="53" t="n">
        <v>-0.492403</v>
      </c>
      <c r="E859" s="53" t="n">
        <v>-0.665017</v>
      </c>
      <c r="F859" s="53" t="n">
        <v>0.380952</v>
      </c>
      <c r="G859" s="53" t="n">
        <v>0.166667</v>
      </c>
      <c r="H859" s="53" t="n">
        <v>0.4</v>
      </c>
    </row>
    <row r="860" customFormat="false" ht="15" hidden="false" customHeight="true" outlineLevel="0" collapsed="false">
      <c r="A860" s="38" t="s">
        <v>993</v>
      </c>
      <c r="B860" s="38" t="n">
        <v>6</v>
      </c>
      <c r="C860" s="53" t="n">
        <v>-0.610582</v>
      </c>
      <c r="D860" s="53" t="n">
        <v>-0.314128</v>
      </c>
      <c r="E860" s="53" t="n">
        <v>-0.462355</v>
      </c>
      <c r="F860" s="53" t="n">
        <v>0.333333</v>
      </c>
      <c r="G860" s="53" t="n">
        <v>0.416667</v>
      </c>
      <c r="H860" s="53" t="n">
        <v>0.6</v>
      </c>
    </row>
    <row r="861" customFormat="false" ht="15" hidden="false" customHeight="true" outlineLevel="0" collapsed="false">
      <c r="A861" s="38" t="s">
        <v>993</v>
      </c>
      <c r="B861" s="38" t="n">
        <v>7</v>
      </c>
      <c r="C861" s="53" t="n">
        <v>-0.803455</v>
      </c>
      <c r="D861" s="53" t="n">
        <v>-0.39614</v>
      </c>
      <c r="E861" s="53" t="n">
        <v>-0.599798</v>
      </c>
      <c r="F861" s="53" t="n">
        <v>0.52381</v>
      </c>
      <c r="G861" s="53" t="n">
        <v>0.166667</v>
      </c>
      <c r="H861" s="53" t="n">
        <v>0.2</v>
      </c>
    </row>
    <row r="862" customFormat="false" ht="15" hidden="false" customHeight="true" outlineLevel="0" collapsed="false">
      <c r="A862" s="38" t="s">
        <v>993</v>
      </c>
      <c r="B862" s="38" t="n">
        <v>8</v>
      </c>
      <c r="C862" s="53" t="n">
        <v>-0.858039</v>
      </c>
      <c r="D862" s="53" t="n">
        <v>-0.502512</v>
      </c>
      <c r="E862" s="53" t="n">
        <v>-0.680276</v>
      </c>
      <c r="F862" s="53" t="n">
        <v>0.238095</v>
      </c>
      <c r="G862" s="53" t="n">
        <v>0.25</v>
      </c>
      <c r="H862" s="53" t="n">
        <v>0.2</v>
      </c>
    </row>
    <row r="863" customFormat="false" ht="15" hidden="false" customHeight="true" outlineLevel="0" collapsed="false">
      <c r="A863" s="38" t="s">
        <v>993</v>
      </c>
      <c r="B863" s="38" t="n">
        <v>9</v>
      </c>
      <c r="C863" s="53" t="n">
        <v>-0.621645</v>
      </c>
      <c r="D863" s="53" t="n">
        <v>-0.404167</v>
      </c>
      <c r="E863" s="53" t="n">
        <v>-0.512906</v>
      </c>
      <c r="F863" s="53" t="n">
        <v>0.333333</v>
      </c>
      <c r="G863" s="53" t="n">
        <v>0.166667</v>
      </c>
      <c r="H863" s="53" t="n">
        <v>0.2</v>
      </c>
    </row>
    <row r="864" customFormat="false" ht="15" hidden="false" customHeight="true" outlineLevel="0" collapsed="false">
      <c r="A864" s="38" t="s">
        <v>993</v>
      </c>
      <c r="B864" s="38" t="n">
        <v>10</v>
      </c>
      <c r="C864" s="53" t="n">
        <v>-0.796558</v>
      </c>
      <c r="D864" s="53" t="n">
        <v>-0.401034</v>
      </c>
      <c r="E864" s="53" t="n">
        <v>-0.598796</v>
      </c>
      <c r="F864" s="53" t="n">
        <v>0.380952</v>
      </c>
      <c r="G864" s="53" t="n">
        <v>0.333333</v>
      </c>
      <c r="H864" s="53" t="n">
        <v>0.2</v>
      </c>
    </row>
    <row r="865" customFormat="false" ht="15" hidden="false" customHeight="true" outlineLevel="0" collapsed="false">
      <c r="A865" s="38" t="s">
        <v>994</v>
      </c>
      <c r="B865" s="38" t="n">
        <v>1</v>
      </c>
      <c r="C865" s="53" t="n">
        <v>-0.700475</v>
      </c>
      <c r="D865" s="53" t="n">
        <v>-0.350792</v>
      </c>
      <c r="E865" s="53" t="n">
        <v>-0.525633</v>
      </c>
      <c r="F865" s="53" t="n">
        <v>0.47619</v>
      </c>
      <c r="G865" s="53" t="n">
        <v>0.25</v>
      </c>
      <c r="H865" s="53" t="n">
        <v>0.2</v>
      </c>
    </row>
    <row r="866" customFormat="false" ht="15" hidden="false" customHeight="true" outlineLevel="0" collapsed="false">
      <c r="A866" s="38" t="s">
        <v>994</v>
      </c>
      <c r="B866" s="38" t="n">
        <v>2</v>
      </c>
      <c r="C866" s="53" t="n">
        <v>-0.897542</v>
      </c>
      <c r="D866" s="53" t="n">
        <v>-0.486637</v>
      </c>
      <c r="E866" s="53" t="n">
        <v>-0.692089</v>
      </c>
      <c r="F866" s="53" t="n">
        <v>0.666667</v>
      </c>
      <c r="G866" s="53" t="n">
        <v>0.5</v>
      </c>
      <c r="H866" s="53" t="n">
        <v>0.6</v>
      </c>
    </row>
    <row r="867" customFormat="false" ht="15" hidden="false" customHeight="true" outlineLevel="0" collapsed="false">
      <c r="A867" s="38" t="s">
        <v>994</v>
      </c>
      <c r="B867" s="38" t="n">
        <v>3</v>
      </c>
      <c r="C867" s="53" t="n">
        <v>-0.878239</v>
      </c>
      <c r="D867" s="53" t="n">
        <v>-0.414857</v>
      </c>
      <c r="E867" s="53" t="n">
        <v>-0.646548</v>
      </c>
      <c r="F867" s="53" t="n">
        <v>0.380952</v>
      </c>
      <c r="G867" s="53" t="n">
        <v>0.166667</v>
      </c>
      <c r="H867" s="53" t="n">
        <v>0.2</v>
      </c>
    </row>
    <row r="868" customFormat="false" ht="15" hidden="false" customHeight="true" outlineLevel="0" collapsed="false">
      <c r="A868" s="38" t="s">
        <v>994</v>
      </c>
      <c r="B868" s="38" t="n">
        <v>4</v>
      </c>
      <c r="C868" s="53" t="n">
        <v>-0.652775</v>
      </c>
      <c r="D868" s="53" t="n">
        <v>-0.363252</v>
      </c>
      <c r="E868" s="53" t="n">
        <v>-0.508014</v>
      </c>
      <c r="F868" s="53" t="n">
        <v>0.333333</v>
      </c>
      <c r="G868" s="53" t="n">
        <v>0.166667</v>
      </c>
      <c r="H868" s="53" t="n">
        <v>0.2</v>
      </c>
    </row>
    <row r="869" customFormat="false" ht="15" hidden="false" customHeight="true" outlineLevel="0" collapsed="false">
      <c r="A869" s="38" t="s">
        <v>994</v>
      </c>
      <c r="B869" s="38" t="n">
        <v>5</v>
      </c>
      <c r="C869" s="53" t="n">
        <v>-0.888502</v>
      </c>
      <c r="D869" s="53" t="n">
        <v>-0.56876</v>
      </c>
      <c r="E869" s="53" t="n">
        <v>-0.728631</v>
      </c>
      <c r="F869" s="53" t="n">
        <v>0.428571</v>
      </c>
      <c r="G869" s="53" t="n">
        <v>0.166667</v>
      </c>
      <c r="H869" s="53" t="n">
        <v>0.2</v>
      </c>
    </row>
    <row r="870" customFormat="false" ht="15" hidden="false" customHeight="true" outlineLevel="0" collapsed="false">
      <c r="A870" s="38" t="s">
        <v>994</v>
      </c>
      <c r="B870" s="38" t="n">
        <v>6</v>
      </c>
      <c r="C870" s="53" t="n">
        <v>-0.718735</v>
      </c>
      <c r="D870" s="53" t="n">
        <v>-0.563765</v>
      </c>
      <c r="E870" s="53" t="n">
        <v>-0.64125</v>
      </c>
      <c r="F870" s="53" t="n">
        <v>0.52381</v>
      </c>
      <c r="G870" s="53" t="n">
        <v>0.333333</v>
      </c>
      <c r="H870" s="53" t="n">
        <v>0.4</v>
      </c>
    </row>
    <row r="871" customFormat="false" ht="15" hidden="false" customHeight="true" outlineLevel="0" collapsed="false">
      <c r="A871" s="38" t="s">
        <v>994</v>
      </c>
      <c r="B871" s="38" t="n">
        <v>7</v>
      </c>
      <c r="C871" s="53" t="n">
        <v>-0.585237</v>
      </c>
      <c r="D871" s="53" t="n">
        <v>-0.343909</v>
      </c>
      <c r="E871" s="53" t="n">
        <v>-0.464573</v>
      </c>
      <c r="F871" s="53" t="n">
        <v>0.571429</v>
      </c>
      <c r="G871" s="53" t="n">
        <v>0.416667</v>
      </c>
      <c r="H871" s="53" t="n">
        <v>0.6</v>
      </c>
    </row>
    <row r="872" customFormat="false" ht="15" hidden="false" customHeight="true" outlineLevel="0" collapsed="false">
      <c r="A872" s="38" t="s">
        <v>994</v>
      </c>
      <c r="B872" s="38" t="n">
        <v>8</v>
      </c>
      <c r="C872" s="53" t="n">
        <v>-0.557966</v>
      </c>
      <c r="D872" s="53" t="n">
        <v>-0.357206</v>
      </c>
      <c r="E872" s="53" t="n">
        <v>-0.457586</v>
      </c>
      <c r="F872" s="53" t="n">
        <v>0.52381</v>
      </c>
      <c r="G872" s="53" t="n">
        <v>0.333333</v>
      </c>
      <c r="H872" s="53" t="n">
        <v>0.4</v>
      </c>
    </row>
    <row r="873" customFormat="false" ht="15" hidden="false" customHeight="true" outlineLevel="0" collapsed="false">
      <c r="A873" s="38" t="s">
        <v>994</v>
      </c>
      <c r="B873" s="38" t="n">
        <v>9</v>
      </c>
      <c r="C873" s="53" t="n">
        <v>-0.972178</v>
      </c>
      <c r="D873" s="53" t="n">
        <v>-0.62352</v>
      </c>
      <c r="E873" s="53" t="n">
        <v>-0.797849</v>
      </c>
      <c r="F873" s="53" t="n">
        <v>0.380952</v>
      </c>
      <c r="G873" s="53" t="n">
        <v>0.166667</v>
      </c>
      <c r="H873" s="53" t="n">
        <v>0.2</v>
      </c>
    </row>
    <row r="874" customFormat="false" ht="15" hidden="false" customHeight="true" outlineLevel="0" collapsed="false">
      <c r="A874" s="38" t="s">
        <v>994</v>
      </c>
      <c r="B874" s="38" t="n">
        <v>10</v>
      </c>
      <c r="C874" s="53" t="n">
        <v>-0.703894</v>
      </c>
      <c r="D874" s="53" t="n">
        <v>-0.324841</v>
      </c>
      <c r="E874" s="53" t="n">
        <v>-0.514367</v>
      </c>
      <c r="F874" s="53" t="n">
        <v>0.47619</v>
      </c>
      <c r="G874" s="53" t="n">
        <v>0.25</v>
      </c>
      <c r="H874" s="53" t="n">
        <v>0</v>
      </c>
    </row>
    <row r="875" customFormat="false" ht="15" hidden="false" customHeight="true" outlineLevel="0" collapsed="false">
      <c r="A875" s="38" t="s">
        <v>995</v>
      </c>
      <c r="B875" s="38" t="n">
        <v>1</v>
      </c>
      <c r="C875" s="53" t="n">
        <v>-1.064267</v>
      </c>
      <c r="D875" s="53" t="n">
        <v>-0.422136</v>
      </c>
      <c r="E875" s="53" t="n">
        <v>-0.743201</v>
      </c>
      <c r="F875" s="53" t="n">
        <v>0.428571</v>
      </c>
      <c r="G875" s="53" t="n">
        <v>0.083333</v>
      </c>
      <c r="H875" s="53" t="n">
        <v>0</v>
      </c>
    </row>
    <row r="876" customFormat="false" ht="15" hidden="false" customHeight="true" outlineLevel="0" collapsed="false">
      <c r="A876" s="38" t="s">
        <v>995</v>
      </c>
      <c r="B876" s="38" t="n">
        <v>2</v>
      </c>
      <c r="C876" s="53" t="n">
        <v>-0.782849</v>
      </c>
      <c r="D876" s="53" t="n">
        <v>-0.364124</v>
      </c>
      <c r="E876" s="53" t="n">
        <v>-0.573486</v>
      </c>
      <c r="F876" s="53" t="n">
        <v>0.380952</v>
      </c>
      <c r="G876" s="53" t="n">
        <v>0.5</v>
      </c>
      <c r="H876" s="53" t="n">
        <v>0.6</v>
      </c>
    </row>
    <row r="877" customFormat="false" ht="15" hidden="false" customHeight="true" outlineLevel="0" collapsed="false">
      <c r="A877" s="38" t="s">
        <v>995</v>
      </c>
      <c r="B877" s="38" t="n">
        <v>3</v>
      </c>
      <c r="C877" s="53" t="n">
        <v>-0.825983</v>
      </c>
      <c r="D877" s="53" t="n">
        <v>-0.328866</v>
      </c>
      <c r="E877" s="53" t="n">
        <v>-0.577424</v>
      </c>
      <c r="F877" s="53" t="n">
        <v>0.333333</v>
      </c>
      <c r="G877" s="53" t="n">
        <v>0.333333</v>
      </c>
      <c r="H877" s="53" t="n">
        <v>0.2</v>
      </c>
    </row>
    <row r="878" customFormat="false" ht="15" hidden="false" customHeight="true" outlineLevel="0" collapsed="false">
      <c r="A878" s="38" t="s">
        <v>995</v>
      </c>
      <c r="B878" s="38" t="n">
        <v>4</v>
      </c>
      <c r="C878" s="53" t="n">
        <v>-1.015976</v>
      </c>
      <c r="D878" s="53" t="n">
        <v>-0.754028</v>
      </c>
      <c r="E878" s="53" t="n">
        <v>-0.885002</v>
      </c>
      <c r="F878" s="53" t="n">
        <v>0.380952</v>
      </c>
      <c r="G878" s="53" t="n">
        <v>0.166667</v>
      </c>
      <c r="H878" s="53" t="n">
        <v>0.4</v>
      </c>
    </row>
    <row r="879" customFormat="false" ht="15" hidden="false" customHeight="true" outlineLevel="0" collapsed="false">
      <c r="A879" s="38" t="s">
        <v>995</v>
      </c>
      <c r="B879" s="38" t="n">
        <v>5</v>
      </c>
      <c r="C879" s="53" t="n">
        <v>-0.720401</v>
      </c>
      <c r="D879" s="53" t="n">
        <v>-0.363782</v>
      </c>
      <c r="E879" s="53" t="n">
        <v>-0.542091</v>
      </c>
      <c r="F879" s="53" t="n">
        <v>0.666667</v>
      </c>
      <c r="G879" s="53" t="n">
        <v>0.166667</v>
      </c>
      <c r="H879" s="53" t="n">
        <v>0.2</v>
      </c>
    </row>
    <row r="880" customFormat="false" ht="15" hidden="false" customHeight="true" outlineLevel="0" collapsed="false">
      <c r="A880" s="38" t="s">
        <v>995</v>
      </c>
      <c r="B880" s="38" t="n">
        <v>6</v>
      </c>
      <c r="C880" s="53" t="n">
        <v>-0.801362</v>
      </c>
      <c r="D880" s="53" t="n">
        <v>-0.500518</v>
      </c>
      <c r="E880" s="53" t="n">
        <v>-0.65094</v>
      </c>
      <c r="F880" s="53" t="n">
        <v>0.238095</v>
      </c>
      <c r="G880" s="53" t="n">
        <v>0.25</v>
      </c>
      <c r="H880" s="53" t="n">
        <v>0.2</v>
      </c>
    </row>
    <row r="881" customFormat="false" ht="15" hidden="false" customHeight="true" outlineLevel="0" collapsed="false">
      <c r="A881" s="38" t="s">
        <v>995</v>
      </c>
      <c r="B881" s="38" t="n">
        <v>7</v>
      </c>
      <c r="C881" s="53" t="n">
        <v>-0.579333</v>
      </c>
      <c r="D881" s="53" t="n">
        <v>-0.429567</v>
      </c>
      <c r="E881" s="53" t="n">
        <v>-0.50445</v>
      </c>
      <c r="F881" s="53" t="n">
        <v>0.428571</v>
      </c>
      <c r="G881" s="53" t="n">
        <v>0.333333</v>
      </c>
      <c r="H881" s="53" t="n">
        <v>0.2</v>
      </c>
    </row>
    <row r="882" customFormat="false" ht="15" hidden="false" customHeight="true" outlineLevel="0" collapsed="false">
      <c r="A882" s="38" t="s">
        <v>995</v>
      </c>
      <c r="B882" s="38" t="n">
        <v>8</v>
      </c>
      <c r="C882" s="53" t="n">
        <v>-0.96234</v>
      </c>
      <c r="D882" s="53" t="n">
        <v>-0.54721</v>
      </c>
      <c r="E882" s="53" t="n">
        <v>-0.754775</v>
      </c>
      <c r="F882" s="53" t="n">
        <v>0.285714</v>
      </c>
      <c r="G882" s="53" t="n">
        <v>0.083333</v>
      </c>
      <c r="H882" s="53" t="n">
        <v>0.2</v>
      </c>
    </row>
    <row r="883" customFormat="false" ht="15" hidden="false" customHeight="true" outlineLevel="0" collapsed="false">
      <c r="A883" s="38" t="s">
        <v>995</v>
      </c>
      <c r="B883" s="38" t="n">
        <v>9</v>
      </c>
      <c r="C883" s="53" t="n">
        <v>-0.813441</v>
      </c>
      <c r="D883" s="53" t="n">
        <v>-0.362163</v>
      </c>
      <c r="E883" s="53" t="n">
        <v>-0.587802</v>
      </c>
      <c r="F883" s="53" t="n">
        <v>0.428571</v>
      </c>
      <c r="G883" s="53" t="n">
        <v>0.25</v>
      </c>
      <c r="H883" s="53" t="n">
        <v>0</v>
      </c>
    </row>
    <row r="884" customFormat="false" ht="15" hidden="false" customHeight="true" outlineLevel="0" collapsed="false">
      <c r="A884" s="38" t="s">
        <v>995</v>
      </c>
      <c r="B884" s="38" t="n">
        <v>10</v>
      </c>
      <c r="C884" s="53" t="n">
        <v>-0.610398</v>
      </c>
      <c r="D884" s="53" t="n">
        <v>-0.383334</v>
      </c>
      <c r="E884" s="53" t="n">
        <v>-0.496866</v>
      </c>
      <c r="F884" s="53" t="n">
        <v>0.47619</v>
      </c>
      <c r="G884" s="53" t="n">
        <v>0.166667</v>
      </c>
      <c r="H884" s="53" t="n">
        <v>0.2</v>
      </c>
    </row>
    <row r="885" customFormat="false" ht="15" hidden="false" customHeight="true" outlineLevel="0" collapsed="false">
      <c r="A885" s="38" t="s">
        <v>996</v>
      </c>
      <c r="B885" s="38" t="n">
        <v>1</v>
      </c>
      <c r="C885" s="53" t="n">
        <v>-0.922639</v>
      </c>
      <c r="D885" s="53" t="n">
        <v>-0.411693</v>
      </c>
      <c r="E885" s="53" t="n">
        <v>-0.667166</v>
      </c>
      <c r="F885" s="53" t="n">
        <v>0.52381</v>
      </c>
      <c r="G885" s="53" t="n">
        <v>0.25</v>
      </c>
      <c r="H885" s="53" t="n">
        <v>0.6</v>
      </c>
    </row>
    <row r="886" customFormat="false" ht="15" hidden="false" customHeight="true" outlineLevel="0" collapsed="false">
      <c r="A886" s="38" t="s">
        <v>996</v>
      </c>
      <c r="B886" s="38" t="n">
        <v>2</v>
      </c>
      <c r="C886" s="53" t="n">
        <v>-0.671337</v>
      </c>
      <c r="D886" s="53" t="n">
        <v>-0.431932</v>
      </c>
      <c r="E886" s="53" t="n">
        <v>-0.551635</v>
      </c>
      <c r="F886" s="53" t="n">
        <v>0.428571</v>
      </c>
      <c r="G886" s="53" t="n">
        <v>0.333333</v>
      </c>
      <c r="H886" s="53" t="n">
        <v>0.2</v>
      </c>
    </row>
    <row r="887" customFormat="false" ht="15" hidden="false" customHeight="true" outlineLevel="0" collapsed="false">
      <c r="A887" s="38" t="s">
        <v>996</v>
      </c>
      <c r="B887" s="38" t="n">
        <v>3</v>
      </c>
      <c r="C887" s="53" t="n">
        <v>-0.602486</v>
      </c>
      <c r="D887" s="53" t="n">
        <v>-0.482961</v>
      </c>
      <c r="E887" s="53" t="n">
        <v>-0.542724</v>
      </c>
      <c r="F887" s="53" t="n">
        <v>0.285714</v>
      </c>
      <c r="G887" s="53" t="n">
        <v>0.5</v>
      </c>
      <c r="H887" s="53" t="n">
        <v>0.4</v>
      </c>
    </row>
    <row r="888" customFormat="false" ht="15" hidden="false" customHeight="true" outlineLevel="0" collapsed="false">
      <c r="A888" s="38" t="s">
        <v>996</v>
      </c>
      <c r="B888" s="38" t="n">
        <v>4</v>
      </c>
      <c r="C888" s="53" t="n">
        <v>-0.744972</v>
      </c>
      <c r="D888" s="53" t="n">
        <v>-0.363277</v>
      </c>
      <c r="E888" s="53" t="n">
        <v>-0.554125</v>
      </c>
      <c r="F888" s="53" t="n">
        <v>0.238095</v>
      </c>
      <c r="G888" s="53" t="n">
        <v>0.25</v>
      </c>
      <c r="H888" s="53" t="n">
        <v>0</v>
      </c>
    </row>
    <row r="889" customFormat="false" ht="15" hidden="false" customHeight="true" outlineLevel="0" collapsed="false">
      <c r="A889" s="38" t="s">
        <v>996</v>
      </c>
      <c r="B889" s="38" t="n">
        <v>5</v>
      </c>
      <c r="C889" s="53" t="n">
        <v>-0.553091</v>
      </c>
      <c r="D889" s="53" t="n">
        <v>-0.293626</v>
      </c>
      <c r="E889" s="53" t="n">
        <v>-0.423358</v>
      </c>
      <c r="F889" s="53" t="n">
        <v>0.333333</v>
      </c>
      <c r="G889" s="53" t="n">
        <v>0.25</v>
      </c>
      <c r="H889" s="53" t="n">
        <v>0</v>
      </c>
    </row>
    <row r="890" customFormat="false" ht="15" hidden="false" customHeight="true" outlineLevel="0" collapsed="false">
      <c r="A890" s="38" t="s">
        <v>996</v>
      </c>
      <c r="B890" s="38" t="n">
        <v>6</v>
      </c>
      <c r="C890" s="53" t="n">
        <v>-0.885232</v>
      </c>
      <c r="D890" s="53" t="n">
        <v>-0.425806</v>
      </c>
      <c r="E890" s="53" t="n">
        <v>-0.655519</v>
      </c>
      <c r="F890" s="53" t="n">
        <v>0.47619</v>
      </c>
      <c r="G890" s="53" t="n">
        <v>0.25</v>
      </c>
      <c r="H890" s="53" t="n">
        <v>0.2</v>
      </c>
    </row>
    <row r="891" customFormat="false" ht="15" hidden="false" customHeight="true" outlineLevel="0" collapsed="false">
      <c r="A891" s="38" t="s">
        <v>996</v>
      </c>
      <c r="B891" s="38" t="n">
        <v>7</v>
      </c>
      <c r="C891" s="53" t="n">
        <v>-1.043255</v>
      </c>
      <c r="D891" s="53" t="n">
        <v>-0.431486</v>
      </c>
      <c r="E891" s="53" t="n">
        <v>-0.737371</v>
      </c>
      <c r="F891" s="53" t="n">
        <v>0.428571</v>
      </c>
      <c r="G891" s="53" t="n">
        <v>0.166667</v>
      </c>
      <c r="H891" s="53" t="n">
        <v>0</v>
      </c>
    </row>
    <row r="892" customFormat="false" ht="15" hidden="false" customHeight="true" outlineLevel="0" collapsed="false">
      <c r="A892" s="38" t="s">
        <v>996</v>
      </c>
      <c r="B892" s="38" t="n">
        <v>8</v>
      </c>
      <c r="C892" s="53" t="n">
        <v>-0.77976</v>
      </c>
      <c r="D892" s="53" t="n">
        <v>-0.654245</v>
      </c>
      <c r="E892" s="53" t="n">
        <v>-0.717003</v>
      </c>
      <c r="F892" s="53" t="n">
        <v>0.285714</v>
      </c>
      <c r="G892" s="53" t="n">
        <v>0.333333</v>
      </c>
      <c r="H892" s="53" t="n">
        <v>0.4</v>
      </c>
    </row>
    <row r="893" customFormat="false" ht="15" hidden="false" customHeight="true" outlineLevel="0" collapsed="false">
      <c r="A893" s="38" t="s">
        <v>996</v>
      </c>
      <c r="B893" s="38" t="n">
        <v>9</v>
      </c>
      <c r="C893" s="53" t="n">
        <v>-0.515546</v>
      </c>
      <c r="D893" s="53" t="n">
        <v>-0.332428</v>
      </c>
      <c r="E893" s="53" t="n">
        <v>-0.423987</v>
      </c>
      <c r="F893" s="53" t="n">
        <v>0.428571</v>
      </c>
      <c r="G893" s="53" t="n">
        <v>0.416667</v>
      </c>
      <c r="H893" s="53" t="n">
        <v>0.6</v>
      </c>
    </row>
    <row r="894" customFormat="false" ht="15" hidden="false" customHeight="true" outlineLevel="0" collapsed="false">
      <c r="A894" s="38" t="s">
        <v>996</v>
      </c>
      <c r="B894" s="38" t="n">
        <v>10</v>
      </c>
      <c r="C894" s="53" t="n">
        <v>-0.837748</v>
      </c>
      <c r="D894" s="53" t="n">
        <v>-0.416829</v>
      </c>
      <c r="E894" s="53" t="n">
        <v>-0.627288</v>
      </c>
      <c r="F894" s="53" t="n">
        <v>0.238095</v>
      </c>
      <c r="G894" s="53" t="n">
        <v>0.166667</v>
      </c>
      <c r="H894" s="53" t="n">
        <v>0</v>
      </c>
    </row>
    <row r="895" customFormat="false" ht="15" hidden="false" customHeight="true" outlineLevel="0" collapsed="false">
      <c r="A895" s="38" t="s">
        <v>997</v>
      </c>
      <c r="B895" s="38" t="n">
        <v>1</v>
      </c>
      <c r="C895" s="53" t="n">
        <v>-0.915141</v>
      </c>
      <c r="D895" s="53" t="n">
        <v>-0.42183</v>
      </c>
      <c r="E895" s="53" t="n">
        <v>-0.668486</v>
      </c>
      <c r="F895" s="53" t="n">
        <v>0.238095</v>
      </c>
      <c r="G895" s="53" t="n">
        <v>0.083333</v>
      </c>
      <c r="H895" s="53" t="n">
        <v>0.2</v>
      </c>
    </row>
    <row r="896" customFormat="false" ht="15" hidden="false" customHeight="true" outlineLevel="0" collapsed="false">
      <c r="A896" s="38" t="s">
        <v>997</v>
      </c>
      <c r="B896" s="38" t="n">
        <v>2</v>
      </c>
      <c r="C896" s="53" t="n">
        <v>-0.935006</v>
      </c>
      <c r="D896" s="53" t="n">
        <v>-0.41023</v>
      </c>
      <c r="E896" s="53" t="n">
        <v>-0.672618</v>
      </c>
      <c r="F896" s="53" t="n">
        <v>0.380952</v>
      </c>
      <c r="G896" s="53" t="n">
        <v>0</v>
      </c>
      <c r="H896" s="53" t="n">
        <v>0</v>
      </c>
    </row>
    <row r="897" customFormat="false" ht="15" hidden="false" customHeight="true" outlineLevel="0" collapsed="false">
      <c r="A897" s="38" t="s">
        <v>997</v>
      </c>
      <c r="B897" s="38" t="n">
        <v>3</v>
      </c>
      <c r="C897" s="53" t="n">
        <v>-0.840297</v>
      </c>
      <c r="D897" s="53" t="n">
        <v>-0.405716</v>
      </c>
      <c r="E897" s="53" t="n">
        <v>-0.623006</v>
      </c>
      <c r="F897" s="53" t="n">
        <v>0.238095</v>
      </c>
      <c r="G897" s="53" t="n">
        <v>0.25</v>
      </c>
      <c r="H897" s="53" t="n">
        <v>0.4</v>
      </c>
    </row>
    <row r="898" customFormat="false" ht="15" hidden="false" customHeight="true" outlineLevel="0" collapsed="false">
      <c r="A898" s="38" t="s">
        <v>997</v>
      </c>
      <c r="B898" s="38" t="n">
        <v>4</v>
      </c>
      <c r="C898" s="53" t="n">
        <v>-0.766106</v>
      </c>
      <c r="D898" s="53" t="n">
        <v>-0.45075</v>
      </c>
      <c r="E898" s="53" t="n">
        <v>-0.608428</v>
      </c>
      <c r="F898" s="53" t="n">
        <v>0.380952</v>
      </c>
      <c r="G898" s="53" t="n">
        <v>0.25</v>
      </c>
      <c r="H898" s="53" t="n">
        <v>0</v>
      </c>
    </row>
    <row r="899" customFormat="false" ht="15" hidden="false" customHeight="true" outlineLevel="0" collapsed="false">
      <c r="A899" s="38" t="s">
        <v>997</v>
      </c>
      <c r="B899" s="38" t="n">
        <v>5</v>
      </c>
      <c r="C899" s="53" t="n">
        <v>-0.622619</v>
      </c>
      <c r="D899" s="53" t="n">
        <v>-0.250677</v>
      </c>
      <c r="E899" s="53" t="n">
        <v>-0.436648</v>
      </c>
      <c r="F899" s="53" t="n">
        <v>0.380952</v>
      </c>
      <c r="G899" s="53" t="n">
        <v>0.416667</v>
      </c>
      <c r="H899" s="53" t="n">
        <v>0.4</v>
      </c>
    </row>
    <row r="900" customFormat="false" ht="15" hidden="false" customHeight="true" outlineLevel="0" collapsed="false">
      <c r="A900" s="38" t="s">
        <v>997</v>
      </c>
      <c r="B900" s="38" t="n">
        <v>6</v>
      </c>
      <c r="C900" s="53" t="n">
        <v>-0.63567</v>
      </c>
      <c r="D900" s="53" t="n">
        <v>-0.386704</v>
      </c>
      <c r="E900" s="53" t="n">
        <v>-0.511187</v>
      </c>
      <c r="F900" s="53" t="n">
        <v>0.333333</v>
      </c>
      <c r="G900" s="53" t="n">
        <v>0.416667</v>
      </c>
      <c r="H900" s="53" t="n">
        <v>0.6</v>
      </c>
    </row>
    <row r="901" customFormat="false" ht="15" hidden="false" customHeight="true" outlineLevel="0" collapsed="false">
      <c r="A901" s="38" t="s">
        <v>997</v>
      </c>
      <c r="B901" s="38" t="n">
        <v>7</v>
      </c>
      <c r="C901" s="53" t="n">
        <v>-0.748499</v>
      </c>
      <c r="D901" s="53" t="n">
        <v>-0.362981</v>
      </c>
      <c r="E901" s="53" t="n">
        <v>-0.55574</v>
      </c>
      <c r="F901" s="53" t="n">
        <v>0.47619</v>
      </c>
      <c r="G901" s="53" t="n">
        <v>0.25</v>
      </c>
      <c r="H901" s="53" t="n">
        <v>0</v>
      </c>
    </row>
    <row r="902" customFormat="false" ht="15" hidden="false" customHeight="true" outlineLevel="0" collapsed="false">
      <c r="A902" s="38" t="s">
        <v>997</v>
      </c>
      <c r="B902" s="38" t="n">
        <v>8</v>
      </c>
      <c r="C902" s="53" t="n">
        <v>-0.614498</v>
      </c>
      <c r="D902" s="53" t="n">
        <v>-0.24868</v>
      </c>
      <c r="E902" s="53" t="n">
        <v>-0.431589</v>
      </c>
      <c r="F902" s="53" t="n">
        <v>0.380952</v>
      </c>
      <c r="G902" s="53" t="n">
        <v>0.333333</v>
      </c>
      <c r="H902" s="53" t="n">
        <v>0.4</v>
      </c>
    </row>
    <row r="903" customFormat="false" ht="15" hidden="false" customHeight="true" outlineLevel="0" collapsed="false">
      <c r="A903" s="38" t="s">
        <v>997</v>
      </c>
      <c r="B903" s="38" t="n">
        <v>9</v>
      </c>
      <c r="C903" s="53" t="n">
        <v>-0.65643</v>
      </c>
      <c r="D903" s="53" t="n">
        <v>-0.361381</v>
      </c>
      <c r="E903" s="53" t="n">
        <v>-0.508906</v>
      </c>
      <c r="F903" s="53" t="n">
        <v>0.428571</v>
      </c>
      <c r="G903" s="53" t="n">
        <v>0.25</v>
      </c>
      <c r="H903" s="53" t="n">
        <v>0.2</v>
      </c>
    </row>
    <row r="904" customFormat="false" ht="15" hidden="false" customHeight="true" outlineLevel="0" collapsed="false">
      <c r="A904" s="38" t="s">
        <v>997</v>
      </c>
      <c r="B904" s="38" t="n">
        <v>10</v>
      </c>
      <c r="C904" s="53" t="n">
        <v>-0.647345</v>
      </c>
      <c r="D904" s="53" t="n">
        <v>-0.481687</v>
      </c>
      <c r="E904" s="53" t="n">
        <v>-0.564516</v>
      </c>
      <c r="F904" s="53" t="n">
        <v>0.238095</v>
      </c>
      <c r="G904" s="53" t="n">
        <v>0.5</v>
      </c>
      <c r="H904" s="53" t="n">
        <v>0.6</v>
      </c>
    </row>
    <row r="905" customFormat="false" ht="15" hidden="false" customHeight="true" outlineLevel="0" collapsed="false">
      <c r="A905" s="38" t="s">
        <v>998</v>
      </c>
      <c r="B905" s="38" t="n">
        <v>1</v>
      </c>
      <c r="C905" s="53" t="n">
        <v>-0.530998</v>
      </c>
      <c r="D905" s="53" t="n">
        <v>-0.438898</v>
      </c>
      <c r="E905" s="53" t="n">
        <v>-0.484948</v>
      </c>
      <c r="F905" s="53" t="n">
        <v>0.285714</v>
      </c>
      <c r="G905" s="53" t="n">
        <v>0.25</v>
      </c>
      <c r="H905" s="53" t="n">
        <v>0.6</v>
      </c>
    </row>
    <row r="906" customFormat="false" ht="15" hidden="false" customHeight="true" outlineLevel="0" collapsed="false">
      <c r="A906" s="38" t="s">
        <v>998</v>
      </c>
      <c r="B906" s="38" t="n">
        <v>2</v>
      </c>
      <c r="C906" s="53" t="n">
        <v>-0.928062</v>
      </c>
      <c r="D906" s="53" t="n">
        <v>-0.47148</v>
      </c>
      <c r="E906" s="53" t="n">
        <v>-0.699771</v>
      </c>
      <c r="F906" s="53" t="n">
        <v>0.47619</v>
      </c>
      <c r="G906" s="53" t="n">
        <v>0</v>
      </c>
      <c r="H906" s="53" t="n">
        <v>0</v>
      </c>
    </row>
    <row r="907" customFormat="false" ht="15" hidden="false" customHeight="true" outlineLevel="0" collapsed="false">
      <c r="A907" s="38" t="s">
        <v>998</v>
      </c>
      <c r="B907" s="38" t="n">
        <v>3</v>
      </c>
      <c r="C907" s="53" t="n">
        <v>-0.499562</v>
      </c>
      <c r="D907" s="53" t="n">
        <v>-0.408282</v>
      </c>
      <c r="E907" s="53" t="n">
        <v>-0.453922</v>
      </c>
      <c r="F907" s="53" t="n">
        <v>0.380952</v>
      </c>
      <c r="G907" s="53" t="n">
        <v>0.583333</v>
      </c>
      <c r="H907" s="53" t="n">
        <v>0.6</v>
      </c>
    </row>
    <row r="908" customFormat="false" ht="15" hidden="false" customHeight="true" outlineLevel="0" collapsed="false">
      <c r="A908" s="38" t="s">
        <v>998</v>
      </c>
      <c r="B908" s="38" t="n">
        <v>4</v>
      </c>
      <c r="C908" s="53" t="n">
        <v>-0.960113</v>
      </c>
      <c r="D908" s="53" t="n">
        <v>-0.40873</v>
      </c>
      <c r="E908" s="53" t="n">
        <v>-0.684422</v>
      </c>
      <c r="F908" s="53" t="n">
        <v>0.380952</v>
      </c>
      <c r="G908" s="53" t="n">
        <v>0.166667</v>
      </c>
      <c r="H908" s="53" t="n">
        <v>0.2</v>
      </c>
    </row>
    <row r="909" customFormat="false" ht="15" hidden="false" customHeight="true" outlineLevel="0" collapsed="false">
      <c r="A909" s="38" t="s">
        <v>998</v>
      </c>
      <c r="B909" s="38" t="n">
        <v>5</v>
      </c>
      <c r="C909" s="53" t="n">
        <v>-0.545813</v>
      </c>
      <c r="D909" s="53" t="n">
        <v>-0.352944</v>
      </c>
      <c r="E909" s="53" t="n">
        <v>-0.449378</v>
      </c>
      <c r="F909" s="53" t="n">
        <v>0.52381</v>
      </c>
      <c r="G909" s="53" t="n">
        <v>0.25</v>
      </c>
      <c r="H909" s="53" t="n">
        <v>0.2</v>
      </c>
    </row>
    <row r="910" customFormat="false" ht="15" hidden="false" customHeight="true" outlineLevel="0" collapsed="false">
      <c r="A910" s="38" t="s">
        <v>998</v>
      </c>
      <c r="B910" s="38" t="n">
        <v>6</v>
      </c>
      <c r="C910" s="53" t="n">
        <v>-0.691663</v>
      </c>
      <c r="D910" s="53" t="n">
        <v>-0.38089</v>
      </c>
      <c r="E910" s="53" t="n">
        <v>-0.536276</v>
      </c>
      <c r="F910" s="53" t="n">
        <v>0.285714</v>
      </c>
      <c r="G910" s="53" t="n">
        <v>0.416667</v>
      </c>
      <c r="H910" s="53" t="n">
        <v>0.6</v>
      </c>
    </row>
    <row r="911" customFormat="false" ht="15" hidden="false" customHeight="true" outlineLevel="0" collapsed="false">
      <c r="A911" s="38" t="s">
        <v>998</v>
      </c>
      <c r="B911" s="38" t="n">
        <v>7</v>
      </c>
      <c r="C911" s="53" t="n">
        <v>-0.941564</v>
      </c>
      <c r="D911" s="53" t="n">
        <v>-0.660349</v>
      </c>
      <c r="E911" s="53" t="n">
        <v>-0.800957</v>
      </c>
      <c r="F911" s="53" t="n">
        <v>0.571429</v>
      </c>
      <c r="G911" s="53" t="n">
        <v>0.333333</v>
      </c>
      <c r="H911" s="53" t="n">
        <v>0.2</v>
      </c>
    </row>
    <row r="912" customFormat="false" ht="15" hidden="false" customHeight="true" outlineLevel="0" collapsed="false">
      <c r="A912" s="38" t="s">
        <v>998</v>
      </c>
      <c r="B912" s="38" t="n">
        <v>8</v>
      </c>
      <c r="C912" s="53" t="n">
        <v>-0.75457</v>
      </c>
      <c r="D912" s="53" t="n">
        <v>-0.455853</v>
      </c>
      <c r="E912" s="53" t="n">
        <v>-0.605211</v>
      </c>
      <c r="F912" s="53" t="n">
        <v>0.238095</v>
      </c>
      <c r="G912" s="53" t="n">
        <v>0.25</v>
      </c>
      <c r="H912" s="53" t="n">
        <v>0.2</v>
      </c>
    </row>
    <row r="913" customFormat="false" ht="15" hidden="false" customHeight="true" outlineLevel="0" collapsed="false">
      <c r="A913" s="38" t="s">
        <v>998</v>
      </c>
      <c r="B913" s="38" t="n">
        <v>9</v>
      </c>
      <c r="C913" s="53" t="n">
        <v>-0.719417</v>
      </c>
      <c r="D913" s="53" t="n">
        <v>-0.497906</v>
      </c>
      <c r="E913" s="53" t="n">
        <v>-0.608661</v>
      </c>
      <c r="F913" s="53" t="n">
        <v>0.619048</v>
      </c>
      <c r="G913" s="53" t="n">
        <v>0.333333</v>
      </c>
      <c r="H913" s="53" t="n">
        <v>0.4</v>
      </c>
    </row>
    <row r="914" customFormat="false" ht="15" hidden="false" customHeight="true" outlineLevel="0" collapsed="false">
      <c r="A914" s="38" t="s">
        <v>998</v>
      </c>
      <c r="B914" s="38" t="n">
        <v>10</v>
      </c>
      <c r="C914" s="53" t="n">
        <v>-1.171087</v>
      </c>
      <c r="D914" s="53" t="n">
        <v>-0.439033</v>
      </c>
      <c r="E914" s="53" t="n">
        <v>-0.80506</v>
      </c>
      <c r="F914" s="53" t="n">
        <v>0.238095</v>
      </c>
      <c r="G914" s="53" t="n">
        <v>0</v>
      </c>
      <c r="H914" s="53" t="n">
        <v>0</v>
      </c>
    </row>
    <row r="915" customFormat="false" ht="15" hidden="false" customHeight="true" outlineLevel="0" collapsed="false">
      <c r="A915" s="38" t="s">
        <v>999</v>
      </c>
      <c r="B915" s="38" t="n">
        <v>1</v>
      </c>
      <c r="C915" s="53" t="n">
        <v>-0.778727</v>
      </c>
      <c r="D915" s="53" t="n">
        <v>-0.436322</v>
      </c>
      <c r="E915" s="53" t="n">
        <v>-0.607524</v>
      </c>
      <c r="F915" s="53" t="n">
        <v>0.380952</v>
      </c>
      <c r="G915" s="53" t="n">
        <v>0.333333</v>
      </c>
      <c r="H915" s="53" t="n">
        <v>0.6</v>
      </c>
    </row>
    <row r="916" customFormat="false" ht="15" hidden="false" customHeight="true" outlineLevel="0" collapsed="false">
      <c r="A916" s="38" t="s">
        <v>999</v>
      </c>
      <c r="B916" s="38" t="n">
        <v>2</v>
      </c>
      <c r="C916" s="53" t="n">
        <v>-0.64878</v>
      </c>
      <c r="D916" s="53" t="n">
        <v>-0.355966</v>
      </c>
      <c r="E916" s="53" t="n">
        <v>-0.502373</v>
      </c>
      <c r="F916" s="53" t="n">
        <v>0.285714</v>
      </c>
      <c r="G916" s="53" t="n">
        <v>0.333333</v>
      </c>
      <c r="H916" s="53" t="n">
        <v>0</v>
      </c>
    </row>
    <row r="917" customFormat="false" ht="15" hidden="false" customHeight="true" outlineLevel="0" collapsed="false">
      <c r="A917" s="38" t="s">
        <v>999</v>
      </c>
      <c r="B917" s="38" t="n">
        <v>3</v>
      </c>
      <c r="C917" s="53" t="n">
        <v>-0.680434</v>
      </c>
      <c r="D917" s="53" t="n">
        <v>-0.40031</v>
      </c>
      <c r="E917" s="53" t="n">
        <v>-0.540372</v>
      </c>
      <c r="F917" s="53" t="n">
        <v>0.380952</v>
      </c>
      <c r="G917" s="53" t="n">
        <v>0.333333</v>
      </c>
      <c r="H917" s="53" t="n">
        <v>0.4</v>
      </c>
    </row>
    <row r="918" customFormat="false" ht="15" hidden="false" customHeight="true" outlineLevel="0" collapsed="false">
      <c r="A918" s="38" t="s">
        <v>999</v>
      </c>
      <c r="B918" s="38" t="n">
        <v>4</v>
      </c>
      <c r="C918" s="53" t="n">
        <v>-0.686699</v>
      </c>
      <c r="D918" s="53" t="n">
        <v>-0.497286</v>
      </c>
      <c r="E918" s="53" t="n">
        <v>-0.591992</v>
      </c>
      <c r="F918" s="53" t="n">
        <v>0.52381</v>
      </c>
      <c r="G918" s="53" t="n">
        <v>0.333333</v>
      </c>
      <c r="H918" s="53" t="n">
        <v>0.2</v>
      </c>
    </row>
    <row r="919" customFormat="false" ht="15" hidden="false" customHeight="true" outlineLevel="0" collapsed="false">
      <c r="A919" s="38" t="s">
        <v>999</v>
      </c>
      <c r="B919" s="38" t="n">
        <v>5</v>
      </c>
      <c r="C919" s="53" t="n">
        <v>-0.758382</v>
      </c>
      <c r="D919" s="53" t="n">
        <v>-0.582868</v>
      </c>
      <c r="E919" s="53" t="n">
        <v>-0.670625</v>
      </c>
      <c r="F919" s="53" t="n">
        <v>0.47619</v>
      </c>
      <c r="G919" s="53" t="n">
        <v>0.083333</v>
      </c>
      <c r="H919" s="53" t="n">
        <v>0.2</v>
      </c>
    </row>
    <row r="920" customFormat="false" ht="15" hidden="false" customHeight="true" outlineLevel="0" collapsed="false">
      <c r="A920" s="38" t="s">
        <v>999</v>
      </c>
      <c r="B920" s="38" t="n">
        <v>6</v>
      </c>
      <c r="C920" s="53" t="n">
        <v>-0.778961</v>
      </c>
      <c r="D920" s="53" t="n">
        <v>-0.385365</v>
      </c>
      <c r="E920" s="53" t="n">
        <v>-0.582163</v>
      </c>
      <c r="F920" s="53" t="n">
        <v>0.333333</v>
      </c>
      <c r="G920" s="53" t="n">
        <v>0.083333</v>
      </c>
      <c r="H920" s="53" t="n">
        <v>0.2</v>
      </c>
    </row>
    <row r="921" customFormat="false" ht="15" hidden="false" customHeight="true" outlineLevel="0" collapsed="false">
      <c r="A921" s="38" t="s">
        <v>999</v>
      </c>
      <c r="B921" s="38" t="n">
        <v>7</v>
      </c>
      <c r="C921" s="53" t="n">
        <v>-0.770541</v>
      </c>
      <c r="D921" s="53" t="n">
        <v>-0.631562</v>
      </c>
      <c r="E921" s="53" t="n">
        <v>-0.701051</v>
      </c>
      <c r="F921" s="53" t="n">
        <v>0.47619</v>
      </c>
      <c r="G921" s="53" t="n">
        <v>0.166667</v>
      </c>
      <c r="H921" s="53" t="n">
        <v>0.2</v>
      </c>
    </row>
    <row r="922" customFormat="false" ht="15" hidden="false" customHeight="true" outlineLevel="0" collapsed="false">
      <c r="A922" s="38" t="s">
        <v>999</v>
      </c>
      <c r="B922" s="38" t="n">
        <v>8</v>
      </c>
      <c r="C922" s="53" t="n">
        <v>-0.756842</v>
      </c>
      <c r="D922" s="53" t="n">
        <v>-0.430416</v>
      </c>
      <c r="E922" s="53" t="n">
        <v>-0.593629</v>
      </c>
      <c r="F922" s="53" t="n">
        <v>0.428571</v>
      </c>
      <c r="G922" s="53" t="n">
        <v>0.166667</v>
      </c>
      <c r="H922" s="53" t="n">
        <v>0.2</v>
      </c>
    </row>
    <row r="923" customFormat="false" ht="15" hidden="false" customHeight="true" outlineLevel="0" collapsed="false">
      <c r="A923" s="38" t="s">
        <v>999</v>
      </c>
      <c r="B923" s="38" t="n">
        <v>9</v>
      </c>
      <c r="C923" s="53" t="n">
        <v>-0.638243</v>
      </c>
      <c r="D923" s="53" t="n">
        <v>-0.408761</v>
      </c>
      <c r="E923" s="53" t="n">
        <v>-0.523502</v>
      </c>
      <c r="F923" s="53" t="n">
        <v>0.333333</v>
      </c>
      <c r="G923" s="53" t="n">
        <v>0.416667</v>
      </c>
      <c r="H923" s="53" t="n">
        <v>0.4</v>
      </c>
    </row>
    <row r="924" customFormat="false" ht="15" hidden="false" customHeight="true" outlineLevel="0" collapsed="false">
      <c r="A924" s="38" t="s">
        <v>999</v>
      </c>
      <c r="B924" s="38" t="n">
        <v>10</v>
      </c>
      <c r="C924" s="53" t="n">
        <v>-0.918331</v>
      </c>
      <c r="D924" s="53" t="n">
        <v>-0.400067</v>
      </c>
      <c r="E924" s="53" t="n">
        <v>-0.659199</v>
      </c>
      <c r="F924" s="53" t="n">
        <v>0.285714</v>
      </c>
      <c r="G924" s="53" t="n">
        <v>0.083333</v>
      </c>
      <c r="H924" s="53" t="n">
        <v>0</v>
      </c>
    </row>
    <row r="925" customFormat="false" ht="15" hidden="false" customHeight="true" outlineLevel="0" collapsed="false">
      <c r="A925" s="38" t="s">
        <v>1000</v>
      </c>
      <c r="B925" s="38" t="n">
        <v>1</v>
      </c>
      <c r="C925" s="53" t="n">
        <v>-0.740191</v>
      </c>
      <c r="D925" s="53" t="n">
        <v>-0.391204</v>
      </c>
      <c r="E925" s="53" t="n">
        <v>-0.565698</v>
      </c>
      <c r="F925" s="53" t="n">
        <v>0.333333</v>
      </c>
      <c r="G925" s="53" t="n">
        <v>0</v>
      </c>
      <c r="H925" s="53" t="n">
        <v>0</v>
      </c>
    </row>
    <row r="926" customFormat="false" ht="15" hidden="false" customHeight="true" outlineLevel="0" collapsed="false">
      <c r="A926" s="38" t="s">
        <v>1000</v>
      </c>
      <c r="B926" s="38" t="n">
        <v>2</v>
      </c>
      <c r="C926" s="53" t="n">
        <v>-0.871129</v>
      </c>
      <c r="D926" s="53" t="n">
        <v>-0.500407</v>
      </c>
      <c r="E926" s="53" t="n">
        <v>-0.685768</v>
      </c>
      <c r="F926" s="53" t="n">
        <v>0.380952</v>
      </c>
      <c r="G926" s="53" t="n">
        <v>0.166667</v>
      </c>
      <c r="H926" s="53" t="n">
        <v>0.2</v>
      </c>
    </row>
    <row r="927" customFormat="false" ht="15" hidden="false" customHeight="true" outlineLevel="0" collapsed="false">
      <c r="A927" s="38" t="s">
        <v>1000</v>
      </c>
      <c r="B927" s="38" t="n">
        <v>3</v>
      </c>
      <c r="C927" s="53" t="n">
        <v>-0.766873</v>
      </c>
      <c r="D927" s="53" t="n">
        <v>-0.295498</v>
      </c>
      <c r="E927" s="53" t="n">
        <v>-0.531186</v>
      </c>
      <c r="F927" s="53" t="n">
        <v>0.428571</v>
      </c>
      <c r="G927" s="53" t="n">
        <v>0.25</v>
      </c>
      <c r="H927" s="53" t="n">
        <v>0.2</v>
      </c>
    </row>
    <row r="928" customFormat="false" ht="15" hidden="false" customHeight="true" outlineLevel="0" collapsed="false">
      <c r="A928" s="38" t="s">
        <v>1000</v>
      </c>
      <c r="B928" s="38" t="n">
        <v>4</v>
      </c>
      <c r="C928" s="53" t="n">
        <v>-0.638537</v>
      </c>
      <c r="D928" s="53" t="n">
        <v>-0.274923</v>
      </c>
      <c r="E928" s="53" t="n">
        <v>-0.45673</v>
      </c>
      <c r="F928" s="53" t="n">
        <v>0.380952</v>
      </c>
      <c r="G928" s="53" t="n">
        <v>0.416667</v>
      </c>
      <c r="H928" s="53" t="n">
        <v>0.6</v>
      </c>
    </row>
    <row r="929" customFormat="false" ht="15" hidden="false" customHeight="true" outlineLevel="0" collapsed="false">
      <c r="A929" s="38" t="s">
        <v>1000</v>
      </c>
      <c r="B929" s="38" t="n">
        <v>5</v>
      </c>
      <c r="C929" s="53" t="n">
        <v>-0.976535</v>
      </c>
      <c r="D929" s="53" t="n">
        <v>-0.5778</v>
      </c>
      <c r="E929" s="53" t="n">
        <v>-0.777168</v>
      </c>
      <c r="F929" s="53" t="n">
        <v>0.428571</v>
      </c>
      <c r="G929" s="53" t="n">
        <v>0.083333</v>
      </c>
      <c r="H929" s="53" t="n">
        <v>0.2</v>
      </c>
    </row>
    <row r="930" customFormat="false" ht="15" hidden="false" customHeight="true" outlineLevel="0" collapsed="false">
      <c r="A930" s="38" t="s">
        <v>1000</v>
      </c>
      <c r="B930" s="38" t="n">
        <v>6</v>
      </c>
      <c r="C930" s="53" t="n">
        <v>-0.726245</v>
      </c>
      <c r="D930" s="53" t="n">
        <v>-0.379162</v>
      </c>
      <c r="E930" s="53" t="n">
        <v>-0.552703</v>
      </c>
      <c r="F930" s="53" t="n">
        <v>0.52381</v>
      </c>
      <c r="G930" s="53" t="n">
        <v>0.166667</v>
      </c>
      <c r="H930" s="53" t="n">
        <v>0.2</v>
      </c>
    </row>
    <row r="931" customFormat="false" ht="15" hidden="false" customHeight="true" outlineLevel="0" collapsed="false">
      <c r="A931" s="38" t="s">
        <v>1000</v>
      </c>
      <c r="B931" s="38" t="n">
        <v>7</v>
      </c>
      <c r="C931" s="53" t="n">
        <v>-0.723182</v>
      </c>
      <c r="D931" s="53" t="n">
        <v>-0.6305</v>
      </c>
      <c r="E931" s="53" t="n">
        <v>-0.676841</v>
      </c>
      <c r="F931" s="53" t="n">
        <v>0.380952</v>
      </c>
      <c r="G931" s="53" t="n">
        <v>0.333333</v>
      </c>
      <c r="H931" s="53" t="n">
        <v>0.4</v>
      </c>
    </row>
    <row r="932" customFormat="false" ht="15" hidden="false" customHeight="true" outlineLevel="0" collapsed="false">
      <c r="A932" s="38" t="s">
        <v>1000</v>
      </c>
      <c r="B932" s="38" t="n">
        <v>8</v>
      </c>
      <c r="C932" s="53" t="n">
        <v>-0.667337</v>
      </c>
      <c r="D932" s="53" t="n">
        <v>-0.328237</v>
      </c>
      <c r="E932" s="53" t="n">
        <v>-0.497787</v>
      </c>
      <c r="F932" s="53" t="n">
        <v>0.428571</v>
      </c>
      <c r="G932" s="53" t="n">
        <v>0.333333</v>
      </c>
      <c r="H932" s="53" t="n">
        <v>0.6</v>
      </c>
    </row>
    <row r="933" customFormat="false" ht="15" hidden="false" customHeight="true" outlineLevel="0" collapsed="false">
      <c r="A933" s="38" t="s">
        <v>1000</v>
      </c>
      <c r="B933" s="38" t="n">
        <v>9</v>
      </c>
      <c r="C933" s="53" t="n">
        <v>-0.677632</v>
      </c>
      <c r="D933" s="53" t="n">
        <v>-0.556385</v>
      </c>
      <c r="E933" s="53" t="n">
        <v>-0.617009</v>
      </c>
      <c r="F933" s="53" t="n">
        <v>0.571429</v>
      </c>
      <c r="G933" s="53" t="n">
        <v>0.083333</v>
      </c>
      <c r="H933" s="53" t="n">
        <v>0.2</v>
      </c>
    </row>
    <row r="934" customFormat="false" ht="15" hidden="false" customHeight="true" outlineLevel="0" collapsed="false">
      <c r="A934" s="38" t="s">
        <v>1000</v>
      </c>
      <c r="B934" s="38" t="n">
        <v>10</v>
      </c>
      <c r="C934" s="53" t="n">
        <v>-0.889037</v>
      </c>
      <c r="D934" s="53" t="n">
        <v>-0.509117</v>
      </c>
      <c r="E934" s="53" t="n">
        <v>-0.699077</v>
      </c>
      <c r="F934" s="53" t="n">
        <v>0.428571</v>
      </c>
      <c r="G934" s="53" t="n">
        <v>0.333333</v>
      </c>
      <c r="H934" s="53" t="n">
        <v>0.8</v>
      </c>
    </row>
    <row r="935" customFormat="false" ht="15" hidden="false" customHeight="true" outlineLevel="0" collapsed="false">
      <c r="A935" s="38" t="s">
        <v>1001</v>
      </c>
      <c r="B935" s="38" t="n">
        <v>1</v>
      </c>
      <c r="C935" s="53" t="n">
        <v>-0.698048</v>
      </c>
      <c r="D935" s="53" t="n">
        <v>-0.570954</v>
      </c>
      <c r="E935" s="53" t="n">
        <v>-0.634501</v>
      </c>
      <c r="F935" s="53" t="n">
        <v>0.380952</v>
      </c>
      <c r="G935" s="53" t="n">
        <v>0.333333</v>
      </c>
      <c r="H935" s="53" t="n">
        <v>0.4</v>
      </c>
    </row>
    <row r="936" customFormat="false" ht="15" hidden="false" customHeight="true" outlineLevel="0" collapsed="false">
      <c r="A936" s="38" t="s">
        <v>1001</v>
      </c>
      <c r="B936" s="38" t="n">
        <v>2</v>
      </c>
      <c r="C936" s="53" t="n">
        <v>-1.009488</v>
      </c>
      <c r="D936" s="53" t="n">
        <v>-0.392126</v>
      </c>
      <c r="E936" s="53" t="n">
        <v>-0.700807</v>
      </c>
      <c r="F936" s="53" t="n">
        <v>0.428571</v>
      </c>
      <c r="G936" s="53" t="n">
        <v>0.166667</v>
      </c>
      <c r="H936" s="53" t="n">
        <v>0.2</v>
      </c>
    </row>
    <row r="937" customFormat="false" ht="15" hidden="false" customHeight="true" outlineLevel="0" collapsed="false">
      <c r="A937" s="38" t="s">
        <v>1001</v>
      </c>
      <c r="B937" s="38" t="n">
        <v>3</v>
      </c>
      <c r="C937" s="53" t="n">
        <v>-0.686338</v>
      </c>
      <c r="D937" s="53" t="n">
        <v>-0.412961</v>
      </c>
      <c r="E937" s="53" t="n">
        <v>-0.54965</v>
      </c>
      <c r="F937" s="53" t="n">
        <v>0.52381</v>
      </c>
      <c r="G937" s="53" t="n">
        <v>0.416667</v>
      </c>
      <c r="H937" s="53" t="n">
        <v>0.4</v>
      </c>
    </row>
    <row r="938" customFormat="false" ht="15" hidden="false" customHeight="true" outlineLevel="0" collapsed="false">
      <c r="A938" s="38" t="s">
        <v>1001</v>
      </c>
      <c r="B938" s="38" t="n">
        <v>4</v>
      </c>
      <c r="C938" s="53" t="n">
        <v>-0.49681</v>
      </c>
      <c r="D938" s="53" t="n">
        <v>-0.33023</v>
      </c>
      <c r="E938" s="53" t="n">
        <v>-0.41352</v>
      </c>
      <c r="F938" s="53" t="n">
        <v>0.428571</v>
      </c>
      <c r="G938" s="53" t="n">
        <v>0.333333</v>
      </c>
      <c r="H938" s="53" t="n">
        <v>0.6</v>
      </c>
    </row>
    <row r="939" customFormat="false" ht="15" hidden="false" customHeight="true" outlineLevel="0" collapsed="false">
      <c r="A939" s="38" t="s">
        <v>1001</v>
      </c>
      <c r="B939" s="38" t="n">
        <v>5</v>
      </c>
      <c r="C939" s="53" t="n">
        <v>-0.881072</v>
      </c>
      <c r="D939" s="53" t="n">
        <v>-0.55165</v>
      </c>
      <c r="E939" s="53" t="n">
        <v>-0.716361</v>
      </c>
      <c r="F939" s="53" t="n">
        <v>0.380952</v>
      </c>
      <c r="G939" s="53" t="n">
        <v>0.25</v>
      </c>
      <c r="H939" s="53" t="n">
        <v>0.4</v>
      </c>
    </row>
    <row r="940" customFormat="false" ht="15" hidden="false" customHeight="true" outlineLevel="0" collapsed="false">
      <c r="A940" s="38" t="s">
        <v>1001</v>
      </c>
      <c r="B940" s="38" t="n">
        <v>6</v>
      </c>
      <c r="C940" s="53" t="n">
        <v>-0.660502</v>
      </c>
      <c r="D940" s="53" t="n">
        <v>-0.467546</v>
      </c>
      <c r="E940" s="53" t="n">
        <v>-0.564024</v>
      </c>
      <c r="F940" s="53" t="n">
        <v>0.380952</v>
      </c>
      <c r="G940" s="53" t="n">
        <v>0.333333</v>
      </c>
      <c r="H940" s="53" t="n">
        <v>0.6</v>
      </c>
    </row>
    <row r="941" customFormat="false" ht="15" hidden="false" customHeight="true" outlineLevel="0" collapsed="false">
      <c r="A941" s="38" t="s">
        <v>1001</v>
      </c>
      <c r="B941" s="38" t="n">
        <v>7</v>
      </c>
      <c r="C941" s="53" t="n">
        <v>-0.613229</v>
      </c>
      <c r="D941" s="53" t="n">
        <v>-0.344255</v>
      </c>
      <c r="E941" s="53" t="n">
        <v>-0.478742</v>
      </c>
      <c r="F941" s="53" t="n">
        <v>0.285714</v>
      </c>
      <c r="G941" s="53" t="n">
        <v>0.5</v>
      </c>
      <c r="H941" s="53" t="n">
        <v>0.2</v>
      </c>
    </row>
    <row r="942" customFormat="false" ht="15" hidden="false" customHeight="true" outlineLevel="0" collapsed="false">
      <c r="A942" s="38" t="s">
        <v>1001</v>
      </c>
      <c r="B942" s="38" t="n">
        <v>8</v>
      </c>
      <c r="C942" s="53" t="n">
        <v>-0.918048</v>
      </c>
      <c r="D942" s="53" t="n">
        <v>-0.464652</v>
      </c>
      <c r="E942" s="53" t="n">
        <v>-0.69135</v>
      </c>
      <c r="F942" s="53" t="n">
        <v>0.333333</v>
      </c>
      <c r="G942" s="53" t="n">
        <v>0</v>
      </c>
      <c r="H942" s="53" t="n">
        <v>0</v>
      </c>
    </row>
    <row r="943" customFormat="false" ht="15" hidden="false" customHeight="true" outlineLevel="0" collapsed="false">
      <c r="A943" s="38" t="s">
        <v>1001</v>
      </c>
      <c r="B943" s="38" t="n">
        <v>9</v>
      </c>
      <c r="C943" s="53" t="n">
        <v>-0.762477</v>
      </c>
      <c r="D943" s="53" t="n">
        <v>-0.288858</v>
      </c>
      <c r="E943" s="53" t="n">
        <v>-0.525668</v>
      </c>
      <c r="F943" s="53" t="n">
        <v>0.238095</v>
      </c>
      <c r="G943" s="53" t="n">
        <v>0.416667</v>
      </c>
      <c r="H943" s="53" t="n">
        <v>0.4</v>
      </c>
    </row>
    <row r="944" customFormat="false" ht="15" hidden="false" customHeight="true" outlineLevel="0" collapsed="false">
      <c r="A944" s="38" t="s">
        <v>1001</v>
      </c>
      <c r="B944" s="38" t="n">
        <v>10</v>
      </c>
      <c r="C944" s="53" t="n">
        <v>-0.718566</v>
      </c>
      <c r="D944" s="53" t="n">
        <v>-0.403688</v>
      </c>
      <c r="E944" s="53" t="n">
        <v>-0.561127</v>
      </c>
      <c r="F944" s="53" t="n">
        <v>0.380952</v>
      </c>
      <c r="G944" s="53" t="n">
        <v>0.166667</v>
      </c>
      <c r="H944" s="53" t="n">
        <v>0</v>
      </c>
    </row>
    <row r="945" customFormat="false" ht="15" hidden="false" customHeight="true" outlineLevel="0" collapsed="false">
      <c r="A945" s="38" t="s">
        <v>1002</v>
      </c>
      <c r="B945" s="38" t="n">
        <v>1</v>
      </c>
      <c r="C945" s="53" t="n">
        <v>-0.809772</v>
      </c>
      <c r="D945" s="53" t="n">
        <v>-0.445225</v>
      </c>
      <c r="E945" s="53" t="n">
        <v>-0.627499</v>
      </c>
      <c r="F945" s="53" t="n">
        <v>0.428571</v>
      </c>
      <c r="G945" s="53" t="n">
        <v>0.25</v>
      </c>
      <c r="H945" s="53" t="n">
        <v>0.2</v>
      </c>
    </row>
    <row r="946" customFormat="false" ht="15" hidden="false" customHeight="true" outlineLevel="0" collapsed="false">
      <c r="A946" s="38" t="s">
        <v>1002</v>
      </c>
      <c r="B946" s="38" t="n">
        <v>2</v>
      </c>
      <c r="C946" s="53" t="n">
        <v>-0.630941</v>
      </c>
      <c r="D946" s="53" t="n">
        <v>-0.413246</v>
      </c>
      <c r="E946" s="53" t="n">
        <v>-0.522093</v>
      </c>
      <c r="F946" s="53" t="n">
        <v>0.380952</v>
      </c>
      <c r="G946" s="53" t="n">
        <v>0.416667</v>
      </c>
      <c r="H946" s="53" t="n">
        <v>0.4</v>
      </c>
    </row>
    <row r="947" customFormat="false" ht="15" hidden="false" customHeight="true" outlineLevel="0" collapsed="false">
      <c r="A947" s="38" t="s">
        <v>1002</v>
      </c>
      <c r="B947" s="38" t="n">
        <v>3</v>
      </c>
      <c r="C947" s="53" t="n">
        <v>-0.748456</v>
      </c>
      <c r="D947" s="53" t="n">
        <v>-0.48483</v>
      </c>
      <c r="E947" s="53" t="n">
        <v>-0.616643</v>
      </c>
      <c r="F947" s="53" t="n">
        <v>0.52381</v>
      </c>
      <c r="G947" s="53" t="n">
        <v>0.5</v>
      </c>
      <c r="H947" s="53" t="n">
        <v>0.4</v>
      </c>
    </row>
    <row r="948" customFormat="false" ht="15" hidden="false" customHeight="true" outlineLevel="0" collapsed="false">
      <c r="A948" s="38" t="s">
        <v>1002</v>
      </c>
      <c r="B948" s="38" t="n">
        <v>4</v>
      </c>
      <c r="C948" s="53" t="n">
        <v>-0.7551</v>
      </c>
      <c r="D948" s="53" t="n">
        <v>-0.53761</v>
      </c>
      <c r="E948" s="53" t="n">
        <v>-0.646355</v>
      </c>
      <c r="F948" s="53" t="n">
        <v>0.333333</v>
      </c>
      <c r="G948" s="53" t="n">
        <v>0.166667</v>
      </c>
      <c r="H948" s="53" t="n">
        <v>0.2</v>
      </c>
    </row>
    <row r="949" customFormat="false" ht="15" hidden="false" customHeight="true" outlineLevel="0" collapsed="false">
      <c r="A949" s="38" t="s">
        <v>1002</v>
      </c>
      <c r="B949" s="38" t="n">
        <v>5</v>
      </c>
      <c r="C949" s="53" t="n">
        <v>-0.853285</v>
      </c>
      <c r="D949" s="53" t="n">
        <v>-0.419339</v>
      </c>
      <c r="E949" s="53" t="n">
        <v>-0.636312</v>
      </c>
      <c r="F949" s="53" t="n">
        <v>0.47619</v>
      </c>
      <c r="G949" s="53" t="n">
        <v>0.333333</v>
      </c>
      <c r="H949" s="53" t="n">
        <v>0.4</v>
      </c>
    </row>
    <row r="950" customFormat="false" ht="15" hidden="false" customHeight="true" outlineLevel="0" collapsed="false">
      <c r="A950" s="38" t="s">
        <v>1002</v>
      </c>
      <c r="B950" s="38" t="n">
        <v>6</v>
      </c>
      <c r="C950" s="53" t="n">
        <v>-0.92479</v>
      </c>
      <c r="D950" s="53" t="n">
        <v>-0.492817</v>
      </c>
      <c r="E950" s="53" t="n">
        <v>-0.708804</v>
      </c>
      <c r="F950" s="53" t="n">
        <v>0.380952</v>
      </c>
      <c r="G950" s="53" t="n">
        <v>0.333333</v>
      </c>
      <c r="H950" s="53" t="n">
        <v>0.2</v>
      </c>
    </row>
    <row r="951" customFormat="false" ht="15" hidden="false" customHeight="true" outlineLevel="0" collapsed="false">
      <c r="A951" s="38" t="s">
        <v>1002</v>
      </c>
      <c r="B951" s="38" t="n">
        <v>7</v>
      </c>
      <c r="C951" s="53" t="n">
        <v>-0.651892</v>
      </c>
      <c r="D951" s="53" t="n">
        <v>-0.505001</v>
      </c>
      <c r="E951" s="53" t="n">
        <v>-0.578447</v>
      </c>
      <c r="F951" s="53" t="n">
        <v>0.238095</v>
      </c>
      <c r="G951" s="53" t="n">
        <v>0.25</v>
      </c>
      <c r="H951" s="53" t="n">
        <v>0.4</v>
      </c>
    </row>
    <row r="952" customFormat="false" ht="15" hidden="false" customHeight="true" outlineLevel="0" collapsed="false">
      <c r="A952" s="38" t="s">
        <v>1002</v>
      </c>
      <c r="B952" s="38" t="n">
        <v>8</v>
      </c>
      <c r="C952" s="53" t="n">
        <v>-0.586318</v>
      </c>
      <c r="D952" s="53" t="n">
        <v>-0.479818</v>
      </c>
      <c r="E952" s="53" t="n">
        <v>-0.533068</v>
      </c>
      <c r="F952" s="53" t="n">
        <v>0.380952</v>
      </c>
      <c r="G952" s="53" t="n">
        <v>0.25</v>
      </c>
      <c r="H952" s="53" t="n">
        <v>0.4</v>
      </c>
    </row>
    <row r="953" customFormat="false" ht="15" hidden="false" customHeight="true" outlineLevel="0" collapsed="false">
      <c r="A953" s="38" t="s">
        <v>1002</v>
      </c>
      <c r="B953" s="38" t="n">
        <v>9</v>
      </c>
      <c r="C953" s="53" t="n">
        <v>-0.388292</v>
      </c>
      <c r="D953" s="53" t="n">
        <v>-0.218714</v>
      </c>
      <c r="E953" s="53" t="n">
        <v>-0.303503</v>
      </c>
      <c r="F953" s="53" t="n">
        <v>0.428571</v>
      </c>
      <c r="G953" s="53" t="n">
        <v>0.416667</v>
      </c>
      <c r="H953" s="53" t="n">
        <v>0.4</v>
      </c>
    </row>
    <row r="954" customFormat="false" ht="15" hidden="false" customHeight="true" outlineLevel="0" collapsed="false">
      <c r="A954" s="38" t="s">
        <v>1002</v>
      </c>
      <c r="B954" s="38" t="n">
        <v>10</v>
      </c>
      <c r="C954" s="53" t="n">
        <v>-0.727258</v>
      </c>
      <c r="D954" s="53" t="n">
        <v>-0.289235</v>
      </c>
      <c r="E954" s="53" t="n">
        <v>-0.508247</v>
      </c>
      <c r="F954" s="53" t="n">
        <v>0.428571</v>
      </c>
      <c r="G954" s="53" t="n">
        <v>0.083333</v>
      </c>
      <c r="H954" s="53" t="n">
        <v>0</v>
      </c>
    </row>
    <row r="955" customFormat="false" ht="15" hidden="false" customHeight="true" outlineLevel="0" collapsed="false">
      <c r="A955" s="38" t="s">
        <v>1003</v>
      </c>
      <c r="B955" s="38" t="n">
        <v>1</v>
      </c>
      <c r="C955" s="53" t="n">
        <v>-0.570847</v>
      </c>
      <c r="D955" s="53" t="n">
        <v>-0.261276</v>
      </c>
      <c r="E955" s="53" t="n">
        <v>-0.416061</v>
      </c>
      <c r="F955" s="53" t="n">
        <v>0.47619</v>
      </c>
      <c r="G955" s="53" t="n">
        <v>0.333333</v>
      </c>
      <c r="H955" s="53" t="n">
        <v>0.4</v>
      </c>
    </row>
    <row r="956" customFormat="false" ht="15" hidden="false" customHeight="true" outlineLevel="0" collapsed="false">
      <c r="A956" s="38" t="s">
        <v>1003</v>
      </c>
      <c r="B956" s="38" t="n">
        <v>2</v>
      </c>
      <c r="C956" s="53" t="n">
        <v>-0.838084</v>
      </c>
      <c r="D956" s="53" t="n">
        <v>-0.328072</v>
      </c>
      <c r="E956" s="53" t="n">
        <v>-0.583078</v>
      </c>
      <c r="F956" s="53" t="n">
        <v>0.428571</v>
      </c>
      <c r="G956" s="53" t="n">
        <v>0.083333</v>
      </c>
      <c r="H956" s="53" t="n">
        <v>0.2</v>
      </c>
    </row>
    <row r="957" customFormat="false" ht="15" hidden="false" customHeight="true" outlineLevel="0" collapsed="false">
      <c r="A957" s="38" t="s">
        <v>1003</v>
      </c>
      <c r="B957" s="38" t="n">
        <v>3</v>
      </c>
      <c r="C957" s="53" t="n">
        <v>-1.0033</v>
      </c>
      <c r="D957" s="53" t="n">
        <v>-0.50465</v>
      </c>
      <c r="E957" s="53" t="n">
        <v>-0.753975</v>
      </c>
      <c r="F957" s="53" t="n">
        <v>0.428571</v>
      </c>
      <c r="G957" s="53" t="n">
        <v>0.166667</v>
      </c>
      <c r="H957" s="53" t="n">
        <v>0.2</v>
      </c>
    </row>
    <row r="958" customFormat="false" ht="15" hidden="false" customHeight="true" outlineLevel="0" collapsed="false">
      <c r="A958" s="38" t="s">
        <v>1003</v>
      </c>
      <c r="B958" s="38" t="n">
        <v>4</v>
      </c>
      <c r="C958" s="53" t="n">
        <v>-0.754752</v>
      </c>
      <c r="D958" s="53" t="n">
        <v>-0.392865</v>
      </c>
      <c r="E958" s="53" t="n">
        <v>-0.573809</v>
      </c>
      <c r="F958" s="53" t="n">
        <v>0.285714</v>
      </c>
      <c r="G958" s="53" t="n">
        <v>0.25</v>
      </c>
      <c r="H958" s="53" t="n">
        <v>0.2</v>
      </c>
    </row>
    <row r="959" customFormat="false" ht="15" hidden="false" customHeight="true" outlineLevel="0" collapsed="false">
      <c r="A959" s="38" t="s">
        <v>1003</v>
      </c>
      <c r="B959" s="38" t="n">
        <v>5</v>
      </c>
      <c r="C959" s="53" t="n">
        <v>-0.865017</v>
      </c>
      <c r="D959" s="53" t="n">
        <v>-0.384776</v>
      </c>
      <c r="E959" s="53" t="n">
        <v>-0.624897</v>
      </c>
      <c r="F959" s="53" t="n">
        <v>0.428571</v>
      </c>
      <c r="G959" s="53" t="n">
        <v>0.166667</v>
      </c>
      <c r="H959" s="53" t="n">
        <v>0</v>
      </c>
    </row>
    <row r="960" customFormat="false" ht="15" hidden="false" customHeight="true" outlineLevel="0" collapsed="false">
      <c r="A960" s="38" t="s">
        <v>1003</v>
      </c>
      <c r="B960" s="38" t="n">
        <v>6</v>
      </c>
      <c r="C960" s="53" t="n">
        <v>-1.04729</v>
      </c>
      <c r="D960" s="53" t="n">
        <v>-0.43498</v>
      </c>
      <c r="E960" s="53" t="n">
        <v>-0.741135</v>
      </c>
      <c r="F960" s="53" t="n">
        <v>0.52381</v>
      </c>
      <c r="G960" s="53" t="n">
        <v>0.166667</v>
      </c>
      <c r="H960" s="53" t="n">
        <v>0</v>
      </c>
    </row>
    <row r="961" customFormat="false" ht="15" hidden="false" customHeight="true" outlineLevel="0" collapsed="false">
      <c r="A961" s="38" t="s">
        <v>1003</v>
      </c>
      <c r="B961" s="38" t="n">
        <v>7</v>
      </c>
      <c r="C961" s="53" t="n">
        <v>-1.000898</v>
      </c>
      <c r="D961" s="53" t="n">
        <v>-0.640597</v>
      </c>
      <c r="E961" s="53" t="n">
        <v>-0.820748</v>
      </c>
      <c r="F961" s="53" t="n">
        <v>0.428571</v>
      </c>
      <c r="G961" s="53" t="n">
        <v>0.25</v>
      </c>
      <c r="H961" s="53" t="n">
        <v>0.2</v>
      </c>
    </row>
    <row r="962" customFormat="false" ht="15" hidden="false" customHeight="true" outlineLevel="0" collapsed="false">
      <c r="A962" s="38" t="s">
        <v>1003</v>
      </c>
      <c r="B962" s="38" t="n">
        <v>8</v>
      </c>
      <c r="C962" s="53" t="n">
        <v>-0.900688</v>
      </c>
      <c r="D962" s="53" t="n">
        <v>-0.473821</v>
      </c>
      <c r="E962" s="53" t="n">
        <v>-0.687254</v>
      </c>
      <c r="F962" s="53" t="n">
        <v>0.380952</v>
      </c>
      <c r="G962" s="53" t="n">
        <v>0.25</v>
      </c>
      <c r="H962" s="53" t="n">
        <v>0.2</v>
      </c>
    </row>
    <row r="963" customFormat="false" ht="15" hidden="false" customHeight="true" outlineLevel="0" collapsed="false">
      <c r="A963" s="38" t="s">
        <v>1003</v>
      </c>
      <c r="B963" s="38" t="n">
        <v>9</v>
      </c>
      <c r="C963" s="53" t="n">
        <v>-0.815233</v>
      </c>
      <c r="D963" s="53" t="n">
        <v>-0.491044</v>
      </c>
      <c r="E963" s="53" t="n">
        <v>-0.653139</v>
      </c>
      <c r="F963" s="53" t="n">
        <v>0.333333</v>
      </c>
      <c r="G963" s="53" t="n">
        <v>0.25</v>
      </c>
      <c r="H963" s="53" t="n">
        <v>0.2</v>
      </c>
    </row>
    <row r="964" customFormat="false" ht="15" hidden="false" customHeight="true" outlineLevel="0" collapsed="false">
      <c r="A964" s="38" t="s">
        <v>1003</v>
      </c>
      <c r="B964" s="38" t="n">
        <v>10</v>
      </c>
      <c r="C964" s="53" t="n">
        <v>-0.981028</v>
      </c>
      <c r="D964" s="53" t="n">
        <v>-0.35958</v>
      </c>
      <c r="E964" s="53" t="n">
        <v>-0.670304</v>
      </c>
      <c r="F964" s="53" t="n">
        <v>0.52381</v>
      </c>
      <c r="G964" s="53" t="n">
        <v>0</v>
      </c>
      <c r="H964" s="53" t="n">
        <v>0</v>
      </c>
    </row>
    <row r="965" customFormat="false" ht="15" hidden="false" customHeight="true" outlineLevel="0" collapsed="false">
      <c r="A965" s="38"/>
      <c r="B965" s="38"/>
      <c r="C965" s="38"/>
      <c r="D965" s="38"/>
      <c r="E965" s="38"/>
      <c r="F965" s="38"/>
      <c r="G965" s="38"/>
      <c r="H965" s="38"/>
    </row>
    <row r="966" customFormat="false" ht="15" hidden="false" customHeight="true" outlineLevel="0" collapsed="false">
      <c r="A966" s="38"/>
      <c r="B966" s="41" t="s">
        <v>50</v>
      </c>
      <c r="C966" s="49" t="n">
        <f aca="false">COUNT(E5:E964)</f>
        <v>960</v>
      </c>
      <c r="D966" s="38"/>
      <c r="E966" s="38"/>
      <c r="F966" s="38"/>
      <c r="G966" s="38"/>
      <c r="H966" s="38"/>
    </row>
    <row r="967" customFormat="false" ht="15" hidden="false" customHeight="true" outlineLevel="0" collapsed="false">
      <c r="A967" s="38"/>
      <c r="B967" s="41" t="s">
        <v>1008</v>
      </c>
      <c r="C967" s="49" t="n">
        <f aca="false">AVERAGE(E5:E964)</f>
        <v>-0.602557286458333</v>
      </c>
      <c r="D967" s="38"/>
      <c r="E967" s="38"/>
      <c r="F967" s="38"/>
      <c r="G967" s="38"/>
      <c r="H967" s="38"/>
    </row>
    <row r="968" customFormat="false" ht="15" hidden="false" customHeight="true" outlineLevel="0" collapsed="false">
      <c r="A968" s="38"/>
      <c r="B968" s="41" t="s">
        <v>1009</v>
      </c>
      <c r="C968" s="49" t="n">
        <f aca="false">STDEVP(E5:E964)</f>
        <v>0.112972770742455</v>
      </c>
      <c r="D968" s="38"/>
      <c r="E968" s="38"/>
      <c r="F968" s="38"/>
      <c r="G968" s="38"/>
      <c r="H968" s="38"/>
    </row>
    <row r="969" customFormat="false" ht="15" hidden="false" customHeight="true" outlineLevel="0" collapsed="false">
      <c r="A969" s="38"/>
      <c r="B969" s="41" t="s">
        <v>1011</v>
      </c>
      <c r="C969" s="49" t="n">
        <f aca="false">MAX(E5:E964)</f>
        <v>-0.207961</v>
      </c>
      <c r="D969" s="38"/>
      <c r="E969" s="38"/>
      <c r="F969" s="38"/>
      <c r="G969" s="38"/>
      <c r="H969" s="38"/>
    </row>
    <row r="970" customFormat="false" ht="15" hidden="false" customHeight="true" outlineLevel="0" collapsed="false">
      <c r="A970" s="38"/>
      <c r="B970" s="41" t="s">
        <v>1004</v>
      </c>
      <c r="C970" s="49" t="n">
        <f aca="false">AVERAGE(C5:C964)</f>
        <v>-0.777640941666667</v>
      </c>
      <c r="D970" s="38"/>
      <c r="E970" s="38"/>
      <c r="F970" s="38"/>
      <c r="G970" s="38"/>
      <c r="H970" s="38"/>
    </row>
    <row r="971" customFormat="false" ht="15" hidden="false" customHeight="true" outlineLevel="0" collapsed="false">
      <c r="A971" s="38"/>
      <c r="B971" s="41" t="s">
        <v>1043</v>
      </c>
      <c r="C971" s="49" t="n">
        <f aca="false">MAX(C5:C964)</f>
        <v>-0.23985</v>
      </c>
      <c r="D971" s="38"/>
      <c r="E971" s="38"/>
      <c r="F971" s="38"/>
      <c r="G971" s="38"/>
      <c r="H971" s="38"/>
    </row>
    <row r="972" customFormat="false" ht="15" hidden="false" customHeight="true" outlineLevel="0" collapsed="false">
      <c r="A972" s="38"/>
      <c r="B972" s="41" t="s">
        <v>1006</v>
      </c>
      <c r="C972" s="49" t="n">
        <f aca="false">AVERAGE(D5:D964)</f>
        <v>-0.427473636458333</v>
      </c>
      <c r="D972" s="38"/>
      <c r="E972" s="38"/>
      <c r="F972" s="38"/>
      <c r="G972" s="38"/>
      <c r="H972" s="38"/>
    </row>
    <row r="973" customFormat="false" ht="15" hidden="false" customHeight="true" outlineLevel="0" collapsed="false">
      <c r="A973" s="38"/>
      <c r="B973" s="41" t="s">
        <v>1044</v>
      </c>
      <c r="C973" s="49" t="n">
        <f aca="false">MAX(D5:D964)</f>
        <v>-0.069784</v>
      </c>
      <c r="D973" s="38"/>
      <c r="E973" s="38"/>
      <c r="F973" s="38"/>
      <c r="G973" s="38"/>
      <c r="H973" s="38"/>
    </row>
    <row r="974" customFormat="false" ht="15" hidden="false" customHeight="true" outlineLevel="0" collapsed="false">
      <c r="A974" s="38"/>
      <c r="B974" s="41" t="s">
        <v>1012</v>
      </c>
      <c r="C974" s="49" t="n">
        <f aca="false">AVERAGE(F5:F964)</f>
        <v>0.399972488541667</v>
      </c>
      <c r="D974" s="38"/>
      <c r="E974" s="38"/>
      <c r="F974" s="38"/>
      <c r="G974" s="38"/>
      <c r="H974" s="38"/>
    </row>
    <row r="975" customFormat="false" ht="15" hidden="false" customHeight="true" outlineLevel="0" collapsed="false">
      <c r="A975" s="38"/>
      <c r="B975" s="41" t="s">
        <v>1013</v>
      </c>
      <c r="C975" s="49" t="n">
        <f aca="false">AVERAGE(G5:G964)</f>
        <v>0.240746513541667</v>
      </c>
      <c r="D975" s="38"/>
      <c r="E975" s="38"/>
      <c r="F975" s="38"/>
      <c r="G975" s="38"/>
      <c r="H975" s="38"/>
    </row>
    <row r="976" customFormat="false" ht="15" hidden="false" customHeight="true" outlineLevel="0" collapsed="false">
      <c r="A976" s="38"/>
      <c r="B976" s="41" t="s">
        <v>1045</v>
      </c>
      <c r="C976" s="49" t="n">
        <f aca="false">AVERAGE(H5:H964)</f>
        <v>0.240416666666667</v>
      </c>
      <c r="D976" s="38"/>
      <c r="E976" s="38"/>
      <c r="F976" s="38"/>
      <c r="G976" s="38"/>
      <c r="H976"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8"/>
    <col collapsed="false" customWidth="true" hidden="false" outlineLevel="0" max="2" min="2" style="0" width="74"/>
    <col collapsed="false" customWidth="true" hidden="false" outlineLevel="0" max="9" min="5" style="0" width="14"/>
    <col collapsed="false" customWidth="true" hidden="false" outlineLevel="0" max="10" min="10" style="0" width="15.14"/>
    <col collapsed="false" customWidth="true" hidden="false" outlineLevel="0" max="15" min="11" style="0" width="14"/>
  </cols>
  <sheetData>
    <row r="1" customFormat="false" ht="15" hidden="false" customHeight="true" outlineLevel="0" collapsed="false">
      <c r="A1" s="37" t="s">
        <v>1046</v>
      </c>
      <c r="B1" s="38"/>
      <c r="C1" s="38"/>
      <c r="D1" s="38"/>
      <c r="E1" s="38"/>
      <c r="F1" s="38"/>
      <c r="G1" s="38"/>
      <c r="H1" s="38"/>
      <c r="I1" s="38"/>
      <c r="J1" s="38"/>
      <c r="K1" s="38"/>
      <c r="L1" s="38"/>
      <c r="M1" s="38"/>
    </row>
    <row r="2" customFormat="false" ht="15" hidden="false" customHeight="true" outlineLevel="0" collapsed="false">
      <c r="A2" s="38"/>
      <c r="B2" s="38"/>
      <c r="C2" s="38"/>
      <c r="D2" s="38"/>
      <c r="E2" s="38"/>
      <c r="F2" s="38"/>
      <c r="G2" s="38"/>
      <c r="H2" s="38"/>
      <c r="I2" s="38"/>
      <c r="J2" s="38"/>
      <c r="K2" s="38"/>
      <c r="L2" s="38"/>
      <c r="M2" s="38"/>
    </row>
    <row r="3" customFormat="false" ht="15" hidden="false" customHeight="true" outlineLevel="0" collapsed="false">
      <c r="A3" s="39" t="s">
        <v>1047</v>
      </c>
      <c r="B3" s="39" t="s">
        <v>1048</v>
      </c>
      <c r="C3" s="39" t="s">
        <v>50</v>
      </c>
      <c r="D3" s="39" t="s">
        <v>1049</v>
      </c>
      <c r="E3" s="39" t="s">
        <v>1050</v>
      </c>
      <c r="F3" s="39" t="s">
        <v>1051</v>
      </c>
      <c r="G3" s="39" t="s">
        <v>1009</v>
      </c>
      <c r="H3" s="39" t="s">
        <v>1052</v>
      </c>
      <c r="I3" s="39" t="s">
        <v>1053</v>
      </c>
      <c r="J3" s="39" t="s">
        <v>1054</v>
      </c>
      <c r="K3" s="39" t="s">
        <v>576</v>
      </c>
      <c r="L3" s="39" t="s">
        <v>580</v>
      </c>
      <c r="M3" s="39" t="s">
        <v>584</v>
      </c>
    </row>
    <row r="4" customFormat="false" ht="15" hidden="false" customHeight="true" outlineLevel="0" collapsed="false">
      <c r="A4" s="41" t="s">
        <v>1055</v>
      </c>
      <c r="B4" s="47" t="s">
        <v>1056</v>
      </c>
      <c r="C4" s="38" t="n">
        <v>199</v>
      </c>
      <c r="D4" s="49" t="n">
        <f aca="false">'Reference 199 Scores'!$C$207</f>
        <v>0.501500698492462</v>
      </c>
      <c r="E4" s="49" t="n">
        <f aca="false">'Reference 199 Scores'!$C$209</f>
        <v>0.510684869346734</v>
      </c>
      <c r="F4" s="49" t="n">
        <f aca="false">'Reference 199 Scores'!$C$211</f>
        <v>0.506092783919598</v>
      </c>
      <c r="G4" s="49" t="n">
        <f aca="false">'Reference 199 Scores'!$C$212</f>
        <v>0.134656684682518</v>
      </c>
      <c r="H4" s="49" t="n">
        <f aca="false">'Reference 199 Scores'!$C$213</f>
        <v>-0.207394</v>
      </c>
      <c r="I4" s="49" t="n">
        <f aca="false">'Reference 199 Scores'!$C$214</f>
        <v>0.759013</v>
      </c>
      <c r="J4" s="53" t="n">
        <v>0.6018</v>
      </c>
      <c r="K4" s="49" t="n">
        <f aca="false">'Reference 199 Scores'!$C$215</f>
        <v>0.978421608040201</v>
      </c>
      <c r="L4" s="49" t="n">
        <f aca="false">'Reference 199 Scores'!$C$216</f>
        <v>0.935788442211055</v>
      </c>
      <c r="M4" s="53" t="n">
        <v>0.9113</v>
      </c>
    </row>
    <row r="5" customFormat="false" ht="15" hidden="false" customHeight="true" outlineLevel="0" collapsed="false">
      <c r="A5" s="41" t="s">
        <v>1057</v>
      </c>
      <c r="B5" s="47" t="s">
        <v>1058</v>
      </c>
      <c r="C5" s="38" t="n">
        <v>96</v>
      </c>
      <c r="D5" s="49" t="n">
        <f aca="false">'TPsiC OTHER 96 Scores'!$C$103</f>
        <v>0.489261541666667</v>
      </c>
      <c r="E5" s="49" t="n">
        <f aca="false">'TPsiC OTHER 96 Scores'!$C$105</f>
        <v>0.498966354166667</v>
      </c>
      <c r="F5" s="49" t="n">
        <f aca="false">'TPsiC OTHER 96 Scores'!$C$107</f>
        <v>0.494114010416667</v>
      </c>
      <c r="G5" s="49" t="n">
        <f aca="false">'TPsiC OTHER 96 Scores'!$C$108</f>
        <v>0.116641395983721</v>
      </c>
      <c r="H5" s="49" t="n">
        <f aca="false">'TPsiC OTHER 96 Scores'!$C$109</f>
        <v>0.028776</v>
      </c>
      <c r="I5" s="49" t="n">
        <f aca="false">'TPsiC OTHER 96 Scores'!$C$110</f>
        <v>0.68729</v>
      </c>
      <c r="J5" s="53" t="n">
        <v>0.5873</v>
      </c>
      <c r="K5" s="49" t="n">
        <f aca="false">'TPsiC OTHER 96 Scores'!$C$111</f>
        <v>0.983116666666667</v>
      </c>
      <c r="L5" s="49" t="n">
        <f aca="false">'TPsiC OTHER 96 Scores'!$C$112</f>
        <v>0.940977083333333</v>
      </c>
      <c r="M5" s="53" t="n">
        <v>0.9104</v>
      </c>
    </row>
    <row r="6" customFormat="false" ht="15" hidden="false" customHeight="true" outlineLevel="0" collapsed="false">
      <c r="A6" s="41" t="s">
        <v>1059</v>
      </c>
      <c r="B6" s="47" t="s">
        <v>1060</v>
      </c>
      <c r="C6" s="38" t="n">
        <v>62</v>
      </c>
      <c r="D6" s="49" t="n">
        <f aca="false">'MBSW 62 Scores'!$C$69</f>
        <v>0.421179903225806</v>
      </c>
      <c r="E6" s="49" t="n">
        <f aca="false">'MBSW 62 Scores'!$C$71</f>
        <v>0.423810032258065</v>
      </c>
      <c r="F6" s="49" t="n">
        <f aca="false">'MBSW 62 Scores'!$C$73</f>
        <v>0.422495032258065</v>
      </c>
      <c r="G6" s="49" t="n">
        <f aca="false">'MBSW 62 Scores'!$C$74</f>
        <v>0.110618695875045</v>
      </c>
      <c r="H6" s="49" t="n">
        <f aca="false">'MBSW 62 Scores'!$C$75</f>
        <v>0.240871</v>
      </c>
      <c r="I6" s="49" t="n">
        <f aca="false">'MBSW 62 Scores'!$C$76</f>
        <v>0.697989</v>
      </c>
      <c r="J6" s="53" t="n">
        <v>0.6145</v>
      </c>
      <c r="K6" s="49" t="n">
        <f aca="false">'MBSW 62 Scores'!$C$77</f>
        <v>0.959306451612903</v>
      </c>
      <c r="L6" s="49" t="n">
        <f aca="false">'MBSW 62 Scores'!$C$78</f>
        <v>0.95161935483871</v>
      </c>
      <c r="M6" s="53" t="n">
        <v>0.9387</v>
      </c>
    </row>
    <row r="7" customFormat="false" ht="15" hidden="false" customHeight="true" outlineLevel="0" collapsed="false">
      <c r="A7" s="54" t="s">
        <v>1061</v>
      </c>
      <c r="B7" s="55" t="s">
        <v>1062</v>
      </c>
      <c r="C7" s="56" t="n">
        <v>9</v>
      </c>
      <c r="D7" s="57" t="n">
        <f aca="false">'Cand+Decoy Scores'!$C$31</f>
        <v>-0.311344393945126</v>
      </c>
      <c r="E7" s="57" t="n">
        <f aca="false">'Cand+Decoy Scores'!$C$33</f>
        <v>-0.230797751006272</v>
      </c>
      <c r="F7" s="57" t="n">
        <f aca="false">'Cand+Decoy Scores'!$C$29</f>
        <v>-0.271071072475699</v>
      </c>
      <c r="G7" s="58" t="n">
        <v>0.1505</v>
      </c>
      <c r="H7" s="58" t="n">
        <v>-0.4932</v>
      </c>
      <c r="I7" s="57" t="n">
        <f aca="false">'Cand+Decoy Scores'!$C$36</f>
        <v>0.0394</v>
      </c>
      <c r="J7" s="57" t="n">
        <f aca="false">'Cand+Decoy Scores'!$C$37</f>
        <v>0.443944444444444</v>
      </c>
      <c r="K7" s="57" t="n">
        <f aca="false">'Cand+Decoy Scores'!$C$39</f>
        <v>0.915377777777778</v>
      </c>
      <c r="L7" s="58" t="n">
        <v>0.6019</v>
      </c>
      <c r="M7" s="58" t="n">
        <v>0.5556</v>
      </c>
    </row>
    <row r="8" customFormat="false" ht="15" hidden="false" customHeight="true" outlineLevel="0" collapsed="false">
      <c r="A8" s="59" t="s">
        <v>1063</v>
      </c>
      <c r="B8" s="60" t="s">
        <v>1064</v>
      </c>
      <c r="C8" s="61" t="n">
        <v>13</v>
      </c>
      <c r="D8" s="62" t="n">
        <f aca="false">'Cand+Decoy Scores'!$C$32</f>
        <v>-0.364033401978292</v>
      </c>
      <c r="E8" s="62" t="n">
        <f aca="false">'Cand+Decoy Scores'!$C$34</f>
        <v>-0.3121799566916</v>
      </c>
      <c r="F8" s="62" t="n">
        <f aca="false">'Cand+Decoy Scores'!$C$30</f>
        <v>-0.338106679334946</v>
      </c>
      <c r="G8" s="63" t="n">
        <v>0.0941</v>
      </c>
      <c r="H8" s="63" t="n">
        <v>-0.4758</v>
      </c>
      <c r="I8" s="62" t="n">
        <f aca="false">'Cand+Decoy Scores'!$C$35</f>
        <v>-0.189</v>
      </c>
      <c r="J8" s="62" t="n">
        <f aca="false">'Cand+Decoy Scores'!$C$38</f>
        <v>0.312569230769231</v>
      </c>
      <c r="K8" s="62" t="n">
        <f aca="false">'Cand+Decoy Scores'!$C$40</f>
        <v>0.919446153846154</v>
      </c>
      <c r="L8" s="63" t="n">
        <v>0.6667</v>
      </c>
      <c r="M8" s="63" t="n">
        <v>0.6308</v>
      </c>
    </row>
    <row r="9" customFormat="false" ht="15" hidden="false" customHeight="true" outlineLevel="0" collapsed="false">
      <c r="A9" s="59" t="s">
        <v>1065</v>
      </c>
      <c r="B9" s="60" t="s">
        <v>1066</v>
      </c>
      <c r="C9" s="61" t="n">
        <v>960</v>
      </c>
      <c r="D9" s="62" t="n">
        <f aca="false">'Permutation Null'!$C$970</f>
        <v>-0.777640941666667</v>
      </c>
      <c r="E9" s="62" t="n">
        <f aca="false">'Permutation Null'!$C$972</f>
        <v>-0.427473636458333</v>
      </c>
      <c r="F9" s="62" t="n">
        <f aca="false">'Permutation Null'!$C$967</f>
        <v>-0.602557286458333</v>
      </c>
      <c r="G9" s="62" t="n">
        <f aca="false">'Permutation Null'!$C$968</f>
        <v>0.112972770742455</v>
      </c>
      <c r="H9" s="63" t="n">
        <v>-0.9153</v>
      </c>
      <c r="I9" s="62" t="n">
        <f aca="false">'Permutation Null'!$C$969</f>
        <v>-0.207961</v>
      </c>
      <c r="J9" s="62" t="s">
        <v>1067</v>
      </c>
      <c r="K9" s="62" t="n">
        <f aca="false">'Permutation Null'!$C$974</f>
        <v>0.399972488541667</v>
      </c>
      <c r="L9" s="62" t="n">
        <f aca="false">'Permutation Null'!$C$975</f>
        <v>0.240746513541667</v>
      </c>
      <c r="M9" s="62" t="n">
        <f aca="false">'Permutation Null'!$C$976</f>
        <v>0.240416666666667</v>
      </c>
    </row>
    <row r="10" customFormat="false" ht="15" hidden="false" customHeight="true" outlineLevel="0" collapsed="false">
      <c r="A10" s="38"/>
      <c r="B10" s="38"/>
      <c r="C10" s="38"/>
      <c r="D10" s="38"/>
      <c r="E10" s="38"/>
      <c r="F10" s="38"/>
      <c r="G10" s="38"/>
      <c r="H10" s="38"/>
      <c r="I10" s="38"/>
      <c r="J10" s="38"/>
      <c r="K10" s="38"/>
      <c r="L10" s="38"/>
      <c r="M10" s="38"/>
    </row>
    <row r="11" customFormat="false" ht="15" hidden="false" customHeight="true" outlineLevel="0" collapsed="false">
      <c r="A11" s="37" t="s">
        <v>1068</v>
      </c>
      <c r="B11" s="38"/>
      <c r="C11" s="38"/>
      <c r="D11" s="38"/>
      <c r="E11" s="38"/>
      <c r="F11" s="38"/>
      <c r="G11" s="38"/>
      <c r="H11" s="38"/>
      <c r="I11" s="38"/>
      <c r="J11" s="38"/>
      <c r="K11" s="38"/>
      <c r="L11" s="38"/>
      <c r="M11" s="38"/>
    </row>
    <row r="12" customFormat="false" ht="23.25" hidden="false" customHeight="true" outlineLevel="0" collapsed="false">
      <c r="A12" s="41" t="s">
        <v>1069</v>
      </c>
      <c r="B12" s="47" t="s">
        <v>1070</v>
      </c>
      <c r="C12" s="38"/>
      <c r="D12" s="38"/>
      <c r="E12" s="38"/>
      <c r="F12" s="38"/>
      <c r="G12" s="38"/>
      <c r="H12" s="38"/>
      <c r="I12" s="38"/>
      <c r="J12" s="38"/>
      <c r="K12" s="38"/>
      <c r="L12" s="38"/>
      <c r="M12" s="38"/>
    </row>
    <row r="13" customFormat="false" ht="23.25" hidden="false" customHeight="true" outlineLevel="0" collapsed="false">
      <c r="A13" s="41" t="s">
        <v>1071</v>
      </c>
      <c r="B13" s="47" t="s">
        <v>1072</v>
      </c>
      <c r="C13" s="38"/>
      <c r="D13" s="38"/>
      <c r="E13" s="38"/>
      <c r="F13" s="38"/>
      <c r="G13" s="38"/>
      <c r="H13" s="38"/>
      <c r="I13" s="38"/>
      <c r="J13" s="38"/>
      <c r="K13" s="38"/>
      <c r="L13" s="38"/>
      <c r="M13" s="38"/>
    </row>
    <row r="14" customFormat="false" ht="23.25" hidden="false" customHeight="true" outlineLevel="0" collapsed="false">
      <c r="A14" s="41" t="s">
        <v>1073</v>
      </c>
      <c r="B14" s="47" t="s">
        <v>1074</v>
      </c>
      <c r="C14" s="38"/>
      <c r="D14" s="38"/>
      <c r="E14" s="38"/>
      <c r="F14" s="38"/>
      <c r="G14" s="38"/>
      <c r="H14" s="38"/>
      <c r="I14" s="38"/>
      <c r="J14" s="38"/>
      <c r="K14" s="38"/>
      <c r="L14" s="38"/>
      <c r="M14" s="38"/>
    </row>
    <row r="15" customFormat="false" ht="23.25" hidden="false" customHeight="true" outlineLevel="0" collapsed="false">
      <c r="A15" s="41" t="s">
        <v>1075</v>
      </c>
      <c r="B15" s="47" t="s">
        <v>1076</v>
      </c>
      <c r="C15" s="38"/>
      <c r="D15" s="38"/>
      <c r="E15" s="38"/>
      <c r="F15" s="38"/>
      <c r="G15" s="38"/>
      <c r="H15" s="38"/>
      <c r="I15" s="38"/>
      <c r="J15" s="38"/>
      <c r="K15" s="38"/>
      <c r="L15" s="38"/>
      <c r="M15" s="38"/>
    </row>
    <row r="16" customFormat="false" ht="23.25" hidden="false" customHeight="true" outlineLevel="0" collapsed="false">
      <c r="A16" s="41" t="s">
        <v>1077</v>
      </c>
      <c r="B16" s="47" t="s">
        <v>1078</v>
      </c>
      <c r="C16" s="38"/>
      <c r="D16" s="38"/>
      <c r="E16" s="38"/>
      <c r="F16" s="38"/>
      <c r="G16" s="38"/>
      <c r="H16" s="38"/>
      <c r="I16" s="38"/>
      <c r="J16" s="38"/>
      <c r="K16" s="38"/>
      <c r="L16" s="38"/>
      <c r="M16"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2" activeCellId="0" sqref="A2"/>
    </sheetView>
  </sheetViews>
  <sheetFormatPr defaultColWidth="8.714843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12"/>
    <col collapsed="false" customWidth="true" hidden="false" outlineLevel="0" max="7" min="5" style="0" width="10"/>
    <col collapsed="false" customWidth="true" hidden="false" outlineLevel="0" max="8" min="8" style="0" width="34"/>
  </cols>
  <sheetData>
    <row r="1" customFormat="false" ht="15" hidden="false" customHeight="true" outlineLevel="0" collapsed="false">
      <c r="A1" s="37" t="s">
        <v>1079</v>
      </c>
      <c r="B1" s="38"/>
      <c r="C1" s="38"/>
      <c r="D1" s="38"/>
      <c r="E1" s="38"/>
      <c r="F1" s="38"/>
      <c r="G1" s="38"/>
      <c r="H1" s="38"/>
    </row>
    <row r="2" customFormat="false" ht="69" hidden="false" customHeight="true" outlineLevel="0" collapsed="false">
      <c r="A2" s="47" t="s">
        <v>1080</v>
      </c>
      <c r="B2" s="38"/>
      <c r="C2" s="38"/>
      <c r="D2" s="38"/>
      <c r="E2" s="38"/>
      <c r="F2" s="38"/>
      <c r="G2" s="38"/>
      <c r="H2" s="38"/>
    </row>
    <row r="3" customFormat="false" ht="15" hidden="false" customHeight="true" outlineLevel="0" collapsed="false">
      <c r="A3" s="38"/>
      <c r="B3" s="38"/>
      <c r="C3" s="38"/>
      <c r="D3" s="38"/>
      <c r="E3" s="38"/>
      <c r="F3" s="38"/>
      <c r="G3" s="38"/>
      <c r="H3" s="38"/>
    </row>
    <row r="4" customFormat="false" ht="15" hidden="false" customHeight="true" outlineLevel="0" collapsed="false">
      <c r="A4" s="38"/>
      <c r="B4" s="38"/>
      <c r="C4" s="38"/>
      <c r="D4" s="38"/>
      <c r="E4" s="38"/>
      <c r="F4" s="38"/>
      <c r="G4" s="38"/>
      <c r="H4" s="38"/>
    </row>
    <row r="5" customFormat="false" ht="15" hidden="false" customHeight="true" outlineLevel="0" collapsed="false">
      <c r="A5" s="39" t="s">
        <v>1081</v>
      </c>
      <c r="B5" s="39" t="s">
        <v>1082</v>
      </c>
      <c r="C5" s="39" t="s">
        <v>1083</v>
      </c>
      <c r="D5" s="39" t="s">
        <v>171</v>
      </c>
      <c r="E5" s="39" t="s">
        <v>1084</v>
      </c>
      <c r="F5" s="39" t="s">
        <v>1085</v>
      </c>
      <c r="G5" s="39" t="s">
        <v>1086</v>
      </c>
      <c r="H5" s="39" t="s">
        <v>1087</v>
      </c>
    </row>
    <row r="6" customFormat="false" ht="15" hidden="false" customHeight="true" outlineLevel="0" collapsed="false">
      <c r="A6" s="41" t="s">
        <v>1088</v>
      </c>
      <c r="B6" s="53" t="n">
        <v>-0.3113</v>
      </c>
      <c r="C6" s="53" t="n">
        <v>-0.364</v>
      </c>
      <c r="D6" s="53" t="n">
        <v>51</v>
      </c>
      <c r="E6" s="53" t="n">
        <v>-0.5008</v>
      </c>
      <c r="F6" s="50" t="n">
        <v>0.6165</v>
      </c>
      <c r="G6" s="53" t="n">
        <v>0.5641</v>
      </c>
      <c r="H6" s="40" t="s">
        <v>1089</v>
      </c>
    </row>
    <row r="7" customFormat="false" ht="15" hidden="false" customHeight="true" outlineLevel="0" collapsed="false">
      <c r="A7" s="41" t="s">
        <v>1090</v>
      </c>
      <c r="B7" s="53" t="n">
        <v>-0.2308</v>
      </c>
      <c r="C7" s="53" t="n">
        <v>-0.3122</v>
      </c>
      <c r="D7" s="53" t="n">
        <v>37</v>
      </c>
      <c r="E7" s="53" t="n">
        <v>-1.4357</v>
      </c>
      <c r="F7" s="50" t="n">
        <v>0.1511</v>
      </c>
      <c r="G7" s="53" t="n">
        <v>0.6838</v>
      </c>
      <c r="H7" s="40" t="s">
        <v>1091</v>
      </c>
    </row>
    <row r="8" customFormat="false" ht="15" hidden="false" customHeight="true" outlineLevel="0" collapsed="false">
      <c r="A8" s="41" t="s">
        <v>559</v>
      </c>
      <c r="B8" s="53" t="n">
        <v>-0.2711</v>
      </c>
      <c r="C8" s="53" t="n">
        <v>-0.3381</v>
      </c>
      <c r="D8" s="53" t="n">
        <v>45</v>
      </c>
      <c r="E8" s="53" t="n">
        <v>-0.9015</v>
      </c>
      <c r="F8" s="50" t="n">
        <v>0.3673</v>
      </c>
      <c r="G8" s="53" t="n">
        <v>0.6154</v>
      </c>
      <c r="H8" s="40" t="s">
        <v>1089</v>
      </c>
    </row>
    <row r="9" customFormat="false" ht="15" hidden="false" customHeight="true" outlineLevel="0" collapsed="false">
      <c r="A9" s="41" t="s">
        <v>1092</v>
      </c>
      <c r="B9" s="53" t="n">
        <v>0.9153</v>
      </c>
      <c r="C9" s="53" t="n">
        <v>0.9194</v>
      </c>
      <c r="D9" s="53" t="n">
        <v>53.5</v>
      </c>
      <c r="E9" s="53" t="n">
        <v>-0.3339</v>
      </c>
      <c r="F9" s="50" t="n">
        <v>0.7385</v>
      </c>
      <c r="G9" s="53" t="n">
        <v>0.4573</v>
      </c>
      <c r="H9" s="61" t="s">
        <v>1093</v>
      </c>
    </row>
    <row r="10" customFormat="false" ht="15" hidden="false" customHeight="true" outlineLevel="0" collapsed="false">
      <c r="A10" s="41" t="s">
        <v>1094</v>
      </c>
      <c r="B10" s="53" t="n">
        <v>0.6019</v>
      </c>
      <c r="C10" s="53" t="n">
        <v>0.6667</v>
      </c>
      <c r="D10" s="53" t="n">
        <v>38</v>
      </c>
      <c r="E10" s="53" t="n">
        <v>-1.369</v>
      </c>
      <c r="F10" s="50" t="n">
        <v>0.171</v>
      </c>
      <c r="G10" s="53" t="n">
        <v>0.3248</v>
      </c>
      <c r="H10" s="61" t="s">
        <v>1093</v>
      </c>
    </row>
    <row r="11" customFormat="false" ht="15" hidden="false" customHeight="true" outlineLevel="0" collapsed="false">
      <c r="A11" s="41" t="s">
        <v>1095</v>
      </c>
      <c r="B11" s="53" t="n">
        <v>0.5556</v>
      </c>
      <c r="C11" s="53" t="n">
        <v>0.6308</v>
      </c>
      <c r="D11" s="53" t="n">
        <v>46.5</v>
      </c>
      <c r="E11" s="53" t="n">
        <v>-0.8013</v>
      </c>
      <c r="F11" s="50" t="n">
        <v>0.4229</v>
      </c>
      <c r="G11" s="53" t="n">
        <v>0.3974</v>
      </c>
      <c r="H11" s="61" t="s">
        <v>1093</v>
      </c>
    </row>
    <row r="12" customFormat="false" ht="15" hidden="false" customHeight="true" outlineLevel="0" collapsed="false">
      <c r="A12" s="41" t="s">
        <v>1096</v>
      </c>
      <c r="B12" s="53" t="n">
        <v>0.9365</v>
      </c>
      <c r="C12" s="53" t="n">
        <v>0.9121</v>
      </c>
      <c r="D12" s="53" t="n">
        <v>48.5</v>
      </c>
      <c r="E12" s="53" t="n">
        <v>-0.6678</v>
      </c>
      <c r="F12" s="50" t="n">
        <v>0.5043</v>
      </c>
      <c r="G12" s="53" t="n">
        <v>0.5855</v>
      </c>
      <c r="H12" s="40" t="s">
        <v>1089</v>
      </c>
    </row>
    <row r="13" customFormat="false" ht="15" hidden="false" customHeight="true" outlineLevel="0" collapsed="false">
      <c r="A13" s="41" t="s">
        <v>1097</v>
      </c>
      <c r="B13" s="53" t="n">
        <v>0.4439</v>
      </c>
      <c r="C13" s="53" t="n">
        <v>0.3126</v>
      </c>
      <c r="D13" s="53" t="n">
        <v>16.5</v>
      </c>
      <c r="E13" s="53" t="n">
        <v>-2.8047</v>
      </c>
      <c r="F13" s="50" t="n">
        <v>0.005</v>
      </c>
      <c r="G13" s="53" t="n">
        <v>0.859</v>
      </c>
      <c r="H13" s="64" t="s">
        <v>1098</v>
      </c>
    </row>
    <row r="14" customFormat="false" ht="15" hidden="false" customHeight="true" outlineLevel="0" collapsed="false">
      <c r="A14" s="41" t="s">
        <v>1099</v>
      </c>
      <c r="B14" s="53" t="n">
        <v>0.4762</v>
      </c>
      <c r="C14" s="53" t="n">
        <v>0.304</v>
      </c>
      <c r="D14" s="53" t="n">
        <v>14</v>
      </c>
      <c r="E14" s="53" t="n">
        <v>-2.9716</v>
      </c>
      <c r="F14" s="50" t="n">
        <v>0.003</v>
      </c>
      <c r="G14" s="53" t="n">
        <v>0.8803</v>
      </c>
      <c r="H14" s="64" t="s">
        <v>1098</v>
      </c>
    </row>
    <row r="15" customFormat="false" ht="15" hidden="false" customHeight="true" outlineLevel="0" collapsed="false">
      <c r="A15" s="38"/>
      <c r="B15" s="38"/>
      <c r="C15" s="38"/>
      <c r="D15" s="38"/>
      <c r="E15" s="38"/>
      <c r="F15" s="38"/>
      <c r="G15" s="38"/>
      <c r="H15" s="38"/>
    </row>
    <row r="16" customFormat="false" ht="15" hidden="false" customHeight="true" outlineLevel="0" collapsed="false">
      <c r="A16" s="37" t="s">
        <v>1100</v>
      </c>
      <c r="B16" s="38"/>
      <c r="C16" s="38"/>
      <c r="D16" s="38"/>
      <c r="E16" s="38"/>
      <c r="F16" s="38"/>
      <c r="G16" s="38"/>
      <c r="H16" s="38"/>
    </row>
    <row r="17" customFormat="false" ht="15" hidden="false" customHeight="true" outlineLevel="0" collapsed="false">
      <c r="A17" s="41" t="s">
        <v>1101</v>
      </c>
      <c r="B17" s="38"/>
      <c r="C17" s="38"/>
      <c r="D17" s="50" t="n">
        <v>0.465</v>
      </c>
      <c r="E17" s="38"/>
      <c r="F17" s="38"/>
      <c r="G17" s="38"/>
      <c r="H17" s="38"/>
    </row>
    <row r="18" customFormat="false" ht="15" hidden="false" customHeight="true" outlineLevel="0" collapsed="false">
      <c r="A18" s="41" t="s">
        <v>1102</v>
      </c>
      <c r="B18" s="38"/>
      <c r="C18" s="38"/>
      <c r="D18" s="50" t="n">
        <v>0.618</v>
      </c>
      <c r="E18" s="38"/>
      <c r="F18" s="38"/>
      <c r="G18" s="38"/>
      <c r="H18" s="38"/>
    </row>
    <row r="19" customFormat="false" ht="15" hidden="false" customHeight="true" outlineLevel="0" collapsed="false">
      <c r="A19" s="41" t="s">
        <v>1103</v>
      </c>
      <c r="B19" s="38"/>
      <c r="C19" s="38"/>
      <c r="D19" s="50" t="n">
        <v>0.264</v>
      </c>
      <c r="E19" s="38"/>
      <c r="F19" s="38"/>
      <c r="G19" s="38"/>
      <c r="H19" s="38"/>
    </row>
    <row r="20" customFormat="false" ht="15" hidden="false" customHeight="true" outlineLevel="0" collapsed="false">
      <c r="A20" s="41" t="s">
        <v>1104</v>
      </c>
      <c r="B20" s="38"/>
      <c r="C20" s="38"/>
      <c r="D20" s="50" t="n">
        <v>0.5558</v>
      </c>
      <c r="E20" s="38"/>
      <c r="F20" s="38"/>
      <c r="G20" s="38"/>
      <c r="H20" s="38"/>
    </row>
    <row r="21" customFormat="false" ht="15" hidden="false" customHeight="true" outlineLevel="0" collapsed="false">
      <c r="A21" s="41" t="s">
        <v>1105</v>
      </c>
      <c r="B21" s="38"/>
      <c r="C21" s="38"/>
      <c r="D21" s="50" t="n">
        <v>-0.0035</v>
      </c>
      <c r="E21" s="38"/>
      <c r="F21" s="38"/>
      <c r="G21" s="38"/>
      <c r="H21" s="38"/>
    </row>
    <row r="22" customFormat="false" ht="15" hidden="false" customHeight="true" outlineLevel="0" collapsed="false">
      <c r="A22" s="41" t="s">
        <v>1106</v>
      </c>
      <c r="B22" s="38"/>
      <c r="C22" s="38"/>
      <c r="D22" s="50" t="n">
        <v>0.0025</v>
      </c>
      <c r="E22" s="38"/>
      <c r="F22" s="38"/>
      <c r="G22" s="38"/>
      <c r="H22" s="38"/>
    </row>
    <row r="23" customFormat="false" ht="15" hidden="false" customHeight="true" outlineLevel="0" collapsed="false">
      <c r="A23" s="41" t="s">
        <v>1107</v>
      </c>
      <c r="B23" s="38"/>
      <c r="C23" s="38"/>
      <c r="D23" s="50" t="n">
        <v>58</v>
      </c>
      <c r="E23" s="38"/>
      <c r="F23" s="38"/>
      <c r="G23" s="38"/>
      <c r="H23" s="38"/>
    </row>
    <row r="24" customFormat="false" ht="15" hidden="false" customHeight="true" outlineLevel="0" collapsed="false">
      <c r="A24" s="41" t="s">
        <v>1108</v>
      </c>
      <c r="B24" s="38"/>
      <c r="C24" s="38"/>
      <c r="D24" s="50" t="n">
        <v>-0.033</v>
      </c>
      <c r="E24" s="38"/>
      <c r="F24" s="38"/>
      <c r="G24" s="38"/>
      <c r="H24" s="38"/>
    </row>
    <row r="25" customFormat="false" ht="15" hidden="false" customHeight="true" outlineLevel="0" collapsed="false">
      <c r="A25" s="59" t="s">
        <v>1109</v>
      </c>
      <c r="B25" s="38"/>
      <c r="C25" s="38"/>
      <c r="D25" s="65" t="n">
        <v>0.973</v>
      </c>
      <c r="E25" s="38"/>
      <c r="F25" s="38"/>
      <c r="G25" s="38"/>
      <c r="H25" s="38"/>
    </row>
    <row r="26" customFormat="false" ht="15" hidden="false" customHeight="true" outlineLevel="0" collapsed="false">
      <c r="A26" s="59" t="s">
        <v>1110</v>
      </c>
      <c r="B26" s="38"/>
      <c r="C26" s="38"/>
      <c r="D26" s="65" t="n">
        <v>0.504</v>
      </c>
      <c r="E26" s="38"/>
      <c r="F26" s="38"/>
      <c r="G26" s="38"/>
      <c r="H26" s="38"/>
    </row>
    <row r="27" customFormat="false" ht="15" hidden="false" customHeight="true" outlineLevel="0" collapsed="false">
      <c r="A27" s="38"/>
      <c r="B27" s="38"/>
      <c r="C27" s="38"/>
      <c r="D27" s="38"/>
      <c r="E27" s="38"/>
      <c r="F27" s="38"/>
      <c r="G27" s="38"/>
      <c r="H27" s="38"/>
    </row>
    <row r="28" customFormat="false" ht="15" hidden="false" customHeight="true" outlineLevel="0" collapsed="false">
      <c r="A28" s="37" t="s">
        <v>1111</v>
      </c>
      <c r="B28" s="38"/>
      <c r="C28" s="38"/>
      <c r="D28" s="38"/>
      <c r="E28" s="38"/>
      <c r="F28" s="38"/>
      <c r="G28" s="38"/>
      <c r="H28" s="38"/>
    </row>
    <row r="29" customFormat="false" ht="15" hidden="false" customHeight="true" outlineLevel="0" collapsed="false">
      <c r="A29" s="66" t="s">
        <v>1112</v>
      </c>
      <c r="B29" s="66"/>
      <c r="C29" s="66"/>
      <c r="D29" s="66"/>
      <c r="E29" s="66"/>
      <c r="F29" s="66"/>
      <c r="G29" s="66"/>
      <c r="H29" s="66"/>
    </row>
    <row r="30" customFormat="false" ht="15" hidden="false" customHeight="true" outlineLevel="0" collapsed="false">
      <c r="A30" s="66"/>
      <c r="B30" s="66"/>
      <c r="C30" s="66"/>
      <c r="D30" s="66"/>
      <c r="E30" s="66"/>
      <c r="F30" s="66"/>
      <c r="G30" s="66"/>
      <c r="H30" s="66"/>
    </row>
    <row r="31" customFormat="false" ht="15" hidden="false" customHeight="true" outlineLevel="0" collapsed="false">
      <c r="A31" s="66"/>
      <c r="B31" s="66"/>
      <c r="C31" s="66"/>
      <c r="D31" s="66"/>
      <c r="E31" s="66"/>
      <c r="F31" s="66"/>
      <c r="G31" s="66"/>
      <c r="H31" s="66"/>
    </row>
    <row r="32" customFormat="false" ht="15" hidden="false" customHeight="true" outlineLevel="0" collapsed="false">
      <c r="A32" s="66"/>
      <c r="B32" s="66"/>
      <c r="C32" s="66"/>
      <c r="D32" s="66"/>
      <c r="E32" s="66"/>
      <c r="F32" s="66"/>
      <c r="G32" s="66"/>
      <c r="H32" s="66"/>
    </row>
    <row r="33" customFormat="false" ht="15" hidden="false" customHeight="true" outlineLevel="0" collapsed="false">
      <c r="A33" s="66"/>
      <c r="B33" s="66"/>
      <c r="C33" s="66"/>
      <c r="D33" s="66"/>
      <c r="E33" s="66"/>
      <c r="F33" s="66"/>
      <c r="G33" s="66"/>
      <c r="H33" s="66"/>
    </row>
    <row r="34" customFormat="false" ht="15" hidden="false" customHeight="true" outlineLevel="0" collapsed="false">
      <c r="A34" s="66"/>
      <c r="B34" s="66"/>
      <c r="C34" s="66"/>
      <c r="D34" s="66"/>
      <c r="E34" s="66"/>
      <c r="F34" s="66"/>
      <c r="G34" s="66"/>
      <c r="H34" s="66"/>
    </row>
    <row r="35" customFormat="false" ht="15" hidden="false" customHeight="true" outlineLevel="0" collapsed="false">
      <c r="A35" s="38"/>
      <c r="B35" s="38"/>
      <c r="C35" s="38"/>
      <c r="D35" s="38"/>
      <c r="E35" s="38"/>
      <c r="F35" s="38"/>
      <c r="G35" s="38"/>
      <c r="H35" s="38"/>
    </row>
    <row r="36" customFormat="false" ht="15" hidden="false" customHeight="true" outlineLevel="0" collapsed="false">
      <c r="A36" s="37" t="s">
        <v>1113</v>
      </c>
      <c r="B36" s="38"/>
      <c r="C36" s="38"/>
      <c r="D36" s="38"/>
      <c r="E36" s="38"/>
      <c r="F36" s="38"/>
      <c r="G36" s="38"/>
      <c r="H36" s="38"/>
    </row>
    <row r="37" customFormat="false" ht="15" hidden="false" customHeight="true" outlineLevel="0" collapsed="false">
      <c r="A37" s="66" t="s">
        <v>1114</v>
      </c>
      <c r="B37" s="66"/>
      <c r="C37" s="66"/>
      <c r="D37" s="66"/>
      <c r="E37" s="66"/>
      <c r="F37" s="66"/>
      <c r="G37" s="66"/>
      <c r="H37" s="66"/>
    </row>
    <row r="38" customFormat="false" ht="15" hidden="false" customHeight="true" outlineLevel="0" collapsed="false">
      <c r="A38" s="66"/>
      <c r="B38" s="66"/>
      <c r="C38" s="66"/>
      <c r="D38" s="66"/>
      <c r="E38" s="66"/>
      <c r="F38" s="66"/>
      <c r="G38" s="66"/>
      <c r="H38" s="66"/>
    </row>
    <row r="39" customFormat="false" ht="15" hidden="false" customHeight="true" outlineLevel="0" collapsed="false">
      <c r="A39" s="66"/>
      <c r="B39" s="66"/>
      <c r="C39" s="66"/>
      <c r="D39" s="66"/>
      <c r="E39" s="66"/>
      <c r="F39" s="66"/>
      <c r="G39" s="66"/>
      <c r="H39" s="66"/>
    </row>
    <row r="40" customFormat="false" ht="15" hidden="false" customHeight="true" outlineLevel="0" collapsed="false">
      <c r="A40" s="66"/>
      <c r="B40" s="66"/>
      <c r="C40" s="66"/>
      <c r="D40" s="66"/>
      <c r="E40" s="66"/>
      <c r="F40" s="66"/>
      <c r="G40" s="66"/>
      <c r="H40" s="66"/>
    </row>
    <row r="41" customFormat="false" ht="15" hidden="false" customHeight="true" outlineLevel="0" collapsed="false">
      <c r="A41" s="66"/>
      <c r="B41" s="66"/>
      <c r="C41" s="66"/>
      <c r="D41" s="66"/>
      <c r="E41" s="66"/>
      <c r="F41" s="66"/>
      <c r="G41" s="66"/>
      <c r="H41" s="66"/>
    </row>
  </sheetData>
  <mergeCells count="2">
    <mergeCell ref="A29:H34"/>
    <mergeCell ref="A37:H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32"/>
    <col collapsed="false" customWidth="true" hidden="false" outlineLevel="0" max="4" min="3" style="0" width="10"/>
    <col collapsed="false" customWidth="true" hidden="false" outlineLevel="0" max="6" min="5" style="0" width="20"/>
    <col collapsed="false" customWidth="true" hidden="false" outlineLevel="0" max="7" min="7" style="0" width="14"/>
    <col collapsed="false" customWidth="true" hidden="false" outlineLevel="0" max="8" min="8" style="0" width="18"/>
    <col collapsed="false" customWidth="true" hidden="false" outlineLevel="0" max="10" min="9" style="0" width="16"/>
  </cols>
  <sheetData>
    <row r="1" customFormat="false" ht="15" hidden="false" customHeight="true" outlineLevel="0" collapsed="false">
      <c r="A1" s="37" t="s">
        <v>1115</v>
      </c>
      <c r="B1" s="38"/>
      <c r="C1" s="38"/>
      <c r="D1" s="38"/>
      <c r="E1" s="38"/>
      <c r="F1" s="38"/>
      <c r="G1" s="38"/>
      <c r="H1" s="38"/>
      <c r="I1" s="38"/>
      <c r="J1" s="38"/>
    </row>
    <row r="2" customFormat="false" ht="15" hidden="false" customHeight="true" outlineLevel="0" collapsed="false">
      <c r="A2" s="38" t="s">
        <v>1116</v>
      </c>
      <c r="B2" s="38"/>
      <c r="C2" s="38"/>
      <c r="D2" s="38"/>
      <c r="E2" s="38"/>
      <c r="F2" s="38"/>
      <c r="G2" s="38"/>
      <c r="H2" s="38"/>
      <c r="I2" s="38"/>
      <c r="J2" s="38"/>
    </row>
    <row r="3" customFormat="false" ht="15" hidden="false" customHeight="true" outlineLevel="0" collapsed="false">
      <c r="A3" s="38"/>
      <c r="B3" s="38"/>
      <c r="C3" s="38"/>
      <c r="D3" s="38"/>
      <c r="E3" s="38"/>
      <c r="F3" s="38"/>
      <c r="G3" s="38"/>
      <c r="H3" s="38"/>
      <c r="I3" s="38"/>
      <c r="J3" s="38"/>
    </row>
    <row r="4" customFormat="false" ht="15" hidden="false" customHeight="true" outlineLevel="0" collapsed="false">
      <c r="A4" s="38"/>
      <c r="B4" s="38"/>
      <c r="C4" s="38"/>
      <c r="D4" s="38"/>
      <c r="E4" s="38"/>
      <c r="F4" s="38"/>
      <c r="G4" s="38"/>
      <c r="H4" s="38"/>
      <c r="I4" s="38"/>
      <c r="J4" s="38"/>
    </row>
    <row r="5" customFormat="false" ht="23.25" hidden="false" customHeight="true" outlineLevel="0" collapsed="false">
      <c r="A5" s="39" t="s">
        <v>1117</v>
      </c>
      <c r="B5" s="39" t="s">
        <v>1118</v>
      </c>
      <c r="C5" s="39" t="s">
        <v>1119</v>
      </c>
      <c r="D5" s="39" t="s">
        <v>1086</v>
      </c>
      <c r="E5" s="39" t="s">
        <v>1120</v>
      </c>
      <c r="F5" s="39" t="s">
        <v>1121</v>
      </c>
      <c r="G5" s="39" t="s">
        <v>1122</v>
      </c>
      <c r="H5" s="39" t="s">
        <v>1123</v>
      </c>
      <c r="I5" s="39" t="s">
        <v>1124</v>
      </c>
      <c r="J5" s="39" t="s">
        <v>1125</v>
      </c>
    </row>
    <row r="6" customFormat="false" ht="15" hidden="false" customHeight="true" outlineLevel="0" collapsed="false">
      <c r="A6" s="41" t="s">
        <v>1088</v>
      </c>
      <c r="B6" s="38" t="s">
        <v>1126</v>
      </c>
      <c r="C6" s="38" t="n">
        <v>960</v>
      </c>
      <c r="D6" s="53" t="n">
        <v>1</v>
      </c>
      <c r="E6" s="53" t="n">
        <v>-0.2398</v>
      </c>
      <c r="F6" s="53" t="n">
        <v>-0.0519</v>
      </c>
      <c r="G6" s="53" t="n">
        <v>0.1879</v>
      </c>
      <c r="H6" s="53" t="n">
        <v>-0.1459</v>
      </c>
      <c r="I6" s="38" t="n">
        <v>1</v>
      </c>
      <c r="J6" s="38" t="n">
        <v>8</v>
      </c>
    </row>
    <row r="7" customFormat="false" ht="15" hidden="false" customHeight="true" outlineLevel="0" collapsed="false">
      <c r="A7" s="41" t="s">
        <v>1088</v>
      </c>
      <c r="B7" s="38" t="s">
        <v>1127</v>
      </c>
      <c r="C7" s="38" t="n">
        <v>13</v>
      </c>
      <c r="D7" s="53" t="n">
        <v>1</v>
      </c>
      <c r="E7" s="53" t="n">
        <v>-0.1987</v>
      </c>
      <c r="F7" s="53" t="n">
        <v>-0.0519</v>
      </c>
      <c r="G7" s="53" t="n">
        <v>0.1468</v>
      </c>
      <c r="H7" s="53" t="n">
        <v>-0.1253</v>
      </c>
      <c r="I7" s="38" t="n">
        <v>1</v>
      </c>
      <c r="J7" s="38" t="n">
        <v>8</v>
      </c>
    </row>
    <row r="8" customFormat="false" ht="15" hidden="false" customHeight="true" outlineLevel="0" collapsed="false">
      <c r="A8" s="41" t="s">
        <v>1090</v>
      </c>
      <c r="B8" s="38" t="s">
        <v>1126</v>
      </c>
      <c r="C8" s="38" t="n">
        <v>960</v>
      </c>
      <c r="D8" s="53" t="n">
        <v>1</v>
      </c>
      <c r="E8" s="53" t="n">
        <v>-0.0698</v>
      </c>
      <c r="F8" s="53" t="n">
        <v>0.1095</v>
      </c>
      <c r="G8" s="53" t="n">
        <v>0.1793</v>
      </c>
      <c r="H8" s="53" t="n">
        <v>0.0199</v>
      </c>
      <c r="I8" s="38" t="n">
        <v>1</v>
      </c>
      <c r="J8" s="38" t="n">
        <v>8</v>
      </c>
    </row>
    <row r="9" customFormat="false" ht="15" hidden="false" customHeight="true" outlineLevel="0" collapsed="false">
      <c r="A9" s="41" t="s">
        <v>1090</v>
      </c>
      <c r="B9" s="38" t="s">
        <v>1127</v>
      </c>
      <c r="C9" s="38" t="n">
        <v>13</v>
      </c>
      <c r="D9" s="53" t="n">
        <v>1</v>
      </c>
      <c r="E9" s="53" t="n">
        <v>-0.1444</v>
      </c>
      <c r="F9" s="53" t="n">
        <v>0.1095</v>
      </c>
      <c r="G9" s="53" t="n">
        <v>0.2539</v>
      </c>
      <c r="H9" s="53" t="n">
        <v>-0.0175</v>
      </c>
      <c r="I9" s="38" t="n">
        <v>1</v>
      </c>
      <c r="J9" s="38" t="n">
        <v>8</v>
      </c>
    </row>
    <row r="10" customFormat="false" ht="15" hidden="false" customHeight="true" outlineLevel="0" collapsed="false">
      <c r="A10" s="41" t="s">
        <v>559</v>
      </c>
      <c r="B10" s="38" t="s">
        <v>1126</v>
      </c>
      <c r="C10" s="38" t="n">
        <v>960</v>
      </c>
      <c r="D10" s="53" t="n">
        <v>1</v>
      </c>
      <c r="E10" s="53" t="n">
        <v>-0.208</v>
      </c>
      <c r="F10" s="53" t="n">
        <v>0.0288</v>
      </c>
      <c r="G10" s="53" t="n">
        <v>0.2367</v>
      </c>
      <c r="H10" s="53" t="n">
        <v>-0.0896</v>
      </c>
      <c r="I10" s="38" t="n">
        <v>1</v>
      </c>
      <c r="J10" s="38" t="n">
        <v>8</v>
      </c>
    </row>
    <row r="11" customFormat="false" ht="15" hidden="false" customHeight="true" outlineLevel="0" collapsed="false">
      <c r="A11" s="67" t="s">
        <v>559</v>
      </c>
      <c r="B11" s="64" t="s">
        <v>1127</v>
      </c>
      <c r="C11" s="64" t="n">
        <v>13</v>
      </c>
      <c r="D11" s="68" t="n">
        <v>1</v>
      </c>
      <c r="E11" s="68" t="n">
        <v>-0.189</v>
      </c>
      <c r="F11" s="68" t="n">
        <v>0.0288</v>
      </c>
      <c r="G11" s="68" t="n">
        <v>0.2178</v>
      </c>
      <c r="H11" s="68" t="n">
        <v>-0.0801</v>
      </c>
      <c r="I11" s="64" t="n">
        <v>1</v>
      </c>
      <c r="J11" s="64" t="n">
        <v>8</v>
      </c>
    </row>
    <row r="12" customFormat="false" ht="15" hidden="false" customHeight="true" outlineLevel="0" collapsed="false">
      <c r="A12" s="38"/>
      <c r="B12" s="38"/>
      <c r="C12" s="38"/>
      <c r="D12" s="38"/>
      <c r="E12" s="38"/>
      <c r="F12" s="38"/>
      <c r="G12" s="38"/>
      <c r="H12" s="38"/>
      <c r="I12" s="38"/>
      <c r="J12" s="38"/>
    </row>
    <row r="13" customFormat="false" ht="15" hidden="false" customHeight="true" outlineLevel="0" collapsed="false">
      <c r="A13" s="37" t="s">
        <v>1128</v>
      </c>
      <c r="B13" s="38"/>
      <c r="C13" s="38"/>
      <c r="D13" s="38"/>
      <c r="E13" s="38"/>
      <c r="F13" s="38"/>
      <c r="G13" s="38"/>
      <c r="H13" s="38"/>
      <c r="I13" s="38"/>
      <c r="J13" s="38"/>
    </row>
    <row r="14" customFormat="false" ht="23.25" hidden="false" customHeight="true" outlineLevel="0" collapsed="false">
      <c r="A14" s="41" t="s">
        <v>1129</v>
      </c>
      <c r="B14" s="38"/>
      <c r="C14" s="38"/>
      <c r="D14" s="53" t="n">
        <v>-0.189</v>
      </c>
      <c r="E14" s="47" t="s">
        <v>1130</v>
      </c>
      <c r="F14" s="38"/>
      <c r="G14" s="38"/>
      <c r="H14" s="38"/>
      <c r="I14" s="38"/>
      <c r="J14" s="38"/>
    </row>
    <row r="15" customFormat="false" ht="23.25" hidden="false" customHeight="true" outlineLevel="0" collapsed="false">
      <c r="A15" s="41" t="s">
        <v>1131</v>
      </c>
      <c r="B15" s="38"/>
      <c r="C15" s="38"/>
      <c r="D15" s="53" t="n">
        <v>0.0288</v>
      </c>
      <c r="E15" s="47" t="s">
        <v>1132</v>
      </c>
      <c r="F15" s="38"/>
      <c r="G15" s="38"/>
      <c r="H15" s="38"/>
      <c r="I15" s="38"/>
      <c r="J15" s="38"/>
    </row>
    <row r="16" customFormat="false" ht="79.5" hidden="false" customHeight="true" outlineLevel="0" collapsed="false">
      <c r="A16" s="67" t="s">
        <v>1133</v>
      </c>
      <c r="B16" s="64"/>
      <c r="C16" s="64"/>
      <c r="D16" s="68" t="n">
        <v>-0.0801</v>
      </c>
      <c r="E16" s="69" t="s">
        <v>1134</v>
      </c>
      <c r="F16" s="38"/>
      <c r="G16" s="38"/>
      <c r="H16" s="38"/>
      <c r="I16" s="38"/>
      <c r="J16" s="38"/>
    </row>
    <row r="17" customFormat="false" ht="15" hidden="false" customHeight="true" outlineLevel="0" collapsed="false">
      <c r="A17" s="41" t="s">
        <v>1135</v>
      </c>
      <c r="B17" s="38"/>
      <c r="C17" s="38"/>
      <c r="D17" s="43" t="n">
        <v>1</v>
      </c>
      <c r="E17" s="47" t="s">
        <v>1136</v>
      </c>
      <c r="F17" s="38"/>
      <c r="G17" s="38"/>
      <c r="H17" s="38"/>
      <c r="I17" s="38"/>
      <c r="J17" s="38"/>
    </row>
    <row r="18" customFormat="false" ht="15" hidden="false" customHeight="true" outlineLevel="0" collapsed="false">
      <c r="A18" s="41" t="s">
        <v>143</v>
      </c>
      <c r="B18" s="38"/>
      <c r="C18" s="38"/>
      <c r="D18" s="43" t="n">
        <v>2</v>
      </c>
      <c r="E18" s="47" t="s">
        <v>1136</v>
      </c>
      <c r="F18" s="38"/>
      <c r="G18" s="38"/>
      <c r="H18" s="38"/>
      <c r="I18" s="38"/>
      <c r="J18" s="38"/>
    </row>
    <row r="19" customFormat="false" ht="15" hidden="false" customHeight="true" outlineLevel="0" collapsed="false">
      <c r="A19" s="41" t="s">
        <v>1137</v>
      </c>
      <c r="B19" s="38"/>
      <c r="C19" s="38"/>
      <c r="D19" s="43" t="n">
        <v>7</v>
      </c>
      <c r="E19" s="47" t="s">
        <v>1136</v>
      </c>
      <c r="F19" s="38"/>
      <c r="G19" s="38"/>
      <c r="H19" s="38"/>
      <c r="I19" s="38"/>
      <c r="J19" s="38"/>
    </row>
    <row r="20" customFormat="false" ht="34.5" hidden="false" customHeight="true" outlineLevel="0" collapsed="false">
      <c r="A20" s="41" t="s">
        <v>1138</v>
      </c>
      <c r="B20" s="38"/>
      <c r="C20" s="38"/>
      <c r="D20" s="53" t="n">
        <v>-0.0896</v>
      </c>
      <c r="E20" s="47" t="s">
        <v>1139</v>
      </c>
      <c r="F20" s="38"/>
      <c r="G20" s="38"/>
      <c r="H20" s="38"/>
      <c r="I20" s="38"/>
      <c r="J20"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14"/>
    <col collapsed="false" customWidth="true" hidden="false" outlineLevel="0" max="4" min="4" style="0" width="12"/>
    <col collapsed="false" customWidth="true" hidden="false" outlineLevel="0" max="5" min="5" style="0" width="18"/>
    <col collapsed="false" customWidth="true" hidden="false" outlineLevel="0" max="6" min="6" style="0" width="20"/>
    <col collapsed="false" customWidth="true" hidden="false" outlineLevel="0" max="7" min="7" style="0" width="24"/>
    <col collapsed="false" customWidth="true" hidden="false" outlineLevel="0" max="8" min="8" style="0" width="22"/>
    <col collapsed="false" customWidth="true" hidden="false" outlineLevel="0" max="9" min="9" style="0" width="34"/>
  </cols>
  <sheetData>
    <row r="1" customFormat="false" ht="15" hidden="false" customHeight="true" outlineLevel="0" collapsed="false">
      <c r="A1" s="37" t="s">
        <v>1140</v>
      </c>
      <c r="B1" s="38"/>
      <c r="C1" s="38"/>
      <c r="D1" s="38"/>
      <c r="E1" s="38"/>
      <c r="F1" s="38"/>
      <c r="G1" s="38"/>
      <c r="H1" s="38"/>
      <c r="I1" s="38"/>
    </row>
    <row r="2" customFormat="false" ht="90.75" hidden="false" customHeight="true" outlineLevel="0" collapsed="false">
      <c r="A2" s="47" t="s">
        <v>1141</v>
      </c>
      <c r="B2" s="38"/>
      <c r="C2" s="38"/>
      <c r="D2" s="38"/>
      <c r="E2" s="38"/>
      <c r="F2" s="38"/>
      <c r="G2" s="38"/>
      <c r="H2" s="38"/>
      <c r="I2" s="38"/>
    </row>
    <row r="3" customFormat="false" ht="15" hidden="false" customHeight="true" outlineLevel="0" collapsed="false">
      <c r="A3" s="38"/>
      <c r="B3" s="38"/>
      <c r="C3" s="38"/>
      <c r="D3" s="38"/>
      <c r="E3" s="38"/>
      <c r="F3" s="38"/>
      <c r="G3" s="38"/>
      <c r="H3" s="38"/>
      <c r="I3" s="38"/>
    </row>
    <row r="4" customFormat="false" ht="15" hidden="false" customHeight="true" outlineLevel="0" collapsed="false">
      <c r="A4" s="38"/>
      <c r="B4" s="38"/>
      <c r="C4" s="38"/>
      <c r="D4" s="38"/>
      <c r="E4" s="38"/>
      <c r="F4" s="38"/>
      <c r="G4" s="38"/>
      <c r="H4" s="38"/>
      <c r="I4" s="38"/>
    </row>
    <row r="5" customFormat="false" ht="15" hidden="false" customHeight="true" outlineLevel="0" collapsed="false">
      <c r="A5" s="39" t="s">
        <v>1142</v>
      </c>
      <c r="B5" s="39" t="s">
        <v>1143</v>
      </c>
      <c r="C5" s="39" t="s">
        <v>1144</v>
      </c>
      <c r="D5" s="39" t="s">
        <v>1145</v>
      </c>
      <c r="E5" s="39" t="s">
        <v>1146</v>
      </c>
      <c r="F5" s="39" t="s">
        <v>1147</v>
      </c>
      <c r="G5" s="39" t="s">
        <v>1148</v>
      </c>
      <c r="H5" s="39" t="s">
        <v>1149</v>
      </c>
      <c r="I5" s="39" t="s">
        <v>1150</v>
      </c>
    </row>
    <row r="6" customFormat="false" ht="15" hidden="false" customHeight="true" outlineLevel="0" collapsed="false">
      <c r="A6" s="41" t="s">
        <v>559</v>
      </c>
      <c r="B6" s="50" t="n">
        <v>0.466</v>
      </c>
      <c r="C6" s="50" t="n">
        <v>-0.2711</v>
      </c>
      <c r="D6" s="50" t="n">
        <v>-0.3381</v>
      </c>
      <c r="E6" s="50" t="n">
        <v>-0.6026</v>
      </c>
      <c r="F6" s="50" t="n">
        <v>1</v>
      </c>
      <c r="G6" s="50" t="n">
        <v>0.6154</v>
      </c>
      <c r="H6" s="50" t="n">
        <v>0.3673</v>
      </c>
      <c r="I6" s="61" t="s">
        <v>1151</v>
      </c>
    </row>
    <row r="7" customFormat="false" ht="15" hidden="false" customHeight="true" outlineLevel="0" collapsed="false">
      <c r="A7" s="41" t="s">
        <v>1152</v>
      </c>
      <c r="B7" s="50" t="n">
        <v>0.4625</v>
      </c>
      <c r="C7" s="50" t="n">
        <v>-0.3113</v>
      </c>
      <c r="D7" s="50" t="n">
        <v>-0.364</v>
      </c>
      <c r="E7" s="50" t="n">
        <v>-0.7776</v>
      </c>
      <c r="F7" s="50" t="n">
        <v>1</v>
      </c>
      <c r="G7" s="50" t="n">
        <v>0.5641</v>
      </c>
      <c r="H7" s="50" t="n">
        <v>0.6165</v>
      </c>
      <c r="I7" s="61" t="s">
        <v>1151</v>
      </c>
    </row>
    <row r="8" customFormat="false" ht="15" hidden="false" customHeight="true" outlineLevel="0" collapsed="false">
      <c r="A8" s="41" t="s">
        <v>1153</v>
      </c>
      <c r="B8" s="50" t="n">
        <v>0.4695</v>
      </c>
      <c r="C8" s="50" t="n">
        <v>-0.2308</v>
      </c>
      <c r="D8" s="50" t="n">
        <v>-0.3122</v>
      </c>
      <c r="E8" s="50" t="n">
        <v>-0.4275</v>
      </c>
      <c r="F8" s="50" t="n">
        <v>1</v>
      </c>
      <c r="G8" s="50" t="n">
        <v>0.6838</v>
      </c>
      <c r="H8" s="50" t="n">
        <v>0.1511</v>
      </c>
      <c r="I8" s="61" t="s">
        <v>1151</v>
      </c>
    </row>
    <row r="9" customFormat="false" ht="15" hidden="false" customHeight="true" outlineLevel="0" collapsed="false">
      <c r="A9" s="41" t="s">
        <v>1092</v>
      </c>
      <c r="B9" s="50" t="n">
        <v>0.9738</v>
      </c>
      <c r="C9" s="50" t="n">
        <v>0.9153</v>
      </c>
      <c r="D9" s="50" t="n">
        <v>0.9194</v>
      </c>
      <c r="E9" s="50" t="n">
        <v>0.4</v>
      </c>
      <c r="F9" s="50" t="n">
        <v>0.8987</v>
      </c>
      <c r="G9" s="50" t="n">
        <v>0.4573</v>
      </c>
      <c r="H9" s="50" t="n">
        <v>0.7385</v>
      </c>
      <c r="I9" s="61" t="s">
        <v>1154</v>
      </c>
    </row>
    <row r="10" customFormat="false" ht="15" hidden="false" customHeight="true" outlineLevel="0" collapsed="false">
      <c r="A10" s="41" t="s">
        <v>1094</v>
      </c>
      <c r="B10" s="50" t="n">
        <v>0.9451</v>
      </c>
      <c r="C10" s="50" t="n">
        <v>0.6019</v>
      </c>
      <c r="D10" s="50" t="n">
        <v>0.6667</v>
      </c>
      <c r="E10" s="50" t="n">
        <v>0.2407</v>
      </c>
      <c r="F10" s="50" t="n">
        <v>0.9839</v>
      </c>
      <c r="G10" s="50" t="n">
        <v>0.3248</v>
      </c>
      <c r="H10" s="50" t="n">
        <v>0.171</v>
      </c>
      <c r="I10" s="61" t="s">
        <v>1154</v>
      </c>
    </row>
    <row r="11" customFormat="false" ht="15" hidden="false" customHeight="true" outlineLevel="0" collapsed="false">
      <c r="A11" s="41" t="s">
        <v>1095</v>
      </c>
      <c r="B11" s="50" t="n">
        <v>0.9215</v>
      </c>
      <c r="C11" s="50" t="n">
        <v>0.5556</v>
      </c>
      <c r="D11" s="50" t="n">
        <v>0.6308</v>
      </c>
      <c r="E11" s="50" t="n">
        <v>0.2404</v>
      </c>
      <c r="F11" s="50" t="n">
        <v>0.9189</v>
      </c>
      <c r="G11" s="50" t="n">
        <v>0.3974</v>
      </c>
      <c r="H11" s="50" t="n">
        <v>0.4229</v>
      </c>
      <c r="I11" s="61" t="s">
        <v>1154</v>
      </c>
    </row>
    <row r="12" customFormat="false" ht="15" hidden="false" customHeight="true" outlineLevel="0" collapsed="false">
      <c r="A12" s="41" t="s">
        <v>484</v>
      </c>
      <c r="B12" s="50" t="n">
        <v>0.598</v>
      </c>
      <c r="C12" s="50" t="n">
        <v>0.4439</v>
      </c>
      <c r="D12" s="50" t="n">
        <v>0.3126</v>
      </c>
      <c r="E12" s="38" t="s">
        <v>1155</v>
      </c>
      <c r="F12" s="50" t="n">
        <v>0.999</v>
      </c>
      <c r="G12" s="50" t="n">
        <v>0.859</v>
      </c>
      <c r="H12" s="50" t="n">
        <v>0.005</v>
      </c>
      <c r="I12" s="64" t="s">
        <v>1156</v>
      </c>
    </row>
    <row r="13" customFormat="false" ht="15" hidden="false" customHeight="true" outlineLevel="0" collapsed="false">
      <c r="A13" s="41" t="s">
        <v>1099</v>
      </c>
      <c r="B13" s="50" t="n">
        <v>0.7241</v>
      </c>
      <c r="C13" s="50" t="n">
        <v>0.4762</v>
      </c>
      <c r="D13" s="50" t="n">
        <v>0.304</v>
      </c>
      <c r="E13" s="38" t="s">
        <v>1155</v>
      </c>
      <c r="F13" s="50" t="n">
        <v>0.9995</v>
      </c>
      <c r="G13" s="50" t="n">
        <v>0.8803</v>
      </c>
      <c r="H13" s="50" t="n">
        <v>0.003</v>
      </c>
      <c r="I13" s="64" t="s">
        <v>1156</v>
      </c>
    </row>
    <row r="14" customFormat="false" ht="15" hidden="false" customHeight="true" outlineLevel="0" collapsed="false">
      <c r="A14" s="41" t="s">
        <v>1157</v>
      </c>
      <c r="B14" s="50" t="n">
        <v>0.8671</v>
      </c>
      <c r="C14" s="50" t="n">
        <v>0.1111</v>
      </c>
      <c r="D14" s="50" t="n">
        <v>0.0769</v>
      </c>
      <c r="E14" s="38" t="s">
        <v>1155</v>
      </c>
      <c r="F14" s="50" t="n">
        <v>0.8951</v>
      </c>
      <c r="G14" s="50" t="n">
        <v>0.5171</v>
      </c>
      <c r="H14" s="50" t="n">
        <v>0.8938</v>
      </c>
      <c r="I14" s="61" t="s">
        <v>1151</v>
      </c>
    </row>
    <row r="15" customFormat="false" ht="15" hidden="false" customHeight="true" outlineLevel="0" collapsed="false">
      <c r="A15" s="41" t="s">
        <v>1158</v>
      </c>
      <c r="B15" s="50" t="n">
        <v>1</v>
      </c>
      <c r="C15" s="50" t="n">
        <v>0.5556</v>
      </c>
      <c r="D15" s="50" t="n">
        <v>0.6923</v>
      </c>
      <c r="E15" s="38" t="s">
        <v>1155</v>
      </c>
      <c r="F15" s="50" t="n">
        <v>0.6538</v>
      </c>
      <c r="G15" s="50" t="n">
        <v>0.4316</v>
      </c>
      <c r="H15" s="50" t="n">
        <v>0.5932</v>
      </c>
      <c r="I15" s="61" t="s">
        <v>1154</v>
      </c>
    </row>
    <row r="16" customFormat="false" ht="15" hidden="false" customHeight="true" outlineLevel="0" collapsed="false">
      <c r="A16" s="38"/>
      <c r="B16" s="38"/>
      <c r="C16" s="38"/>
      <c r="D16" s="38"/>
      <c r="E16" s="38"/>
      <c r="F16" s="38"/>
      <c r="G16" s="38"/>
      <c r="H16" s="38"/>
      <c r="I16" s="38"/>
    </row>
    <row r="17" customFormat="false" ht="15" hidden="false" customHeight="true" outlineLevel="0" collapsed="false">
      <c r="A17" s="38"/>
      <c r="B17" s="38"/>
      <c r="C17" s="38"/>
      <c r="D17" s="38"/>
      <c r="E17" s="38"/>
      <c r="F17" s="38"/>
      <c r="G17" s="38"/>
      <c r="H17" s="38"/>
      <c r="I17" s="38"/>
    </row>
    <row r="18" customFormat="false" ht="15" hidden="false" customHeight="true" outlineLevel="0" collapsed="false">
      <c r="A18" s="37" t="s">
        <v>1159</v>
      </c>
      <c r="B18" s="38"/>
      <c r="C18" s="38"/>
      <c r="D18" s="38"/>
      <c r="E18" s="38"/>
      <c r="F18" s="38"/>
      <c r="G18" s="38"/>
      <c r="H18" s="38"/>
      <c r="I18" s="38"/>
    </row>
    <row r="19" customFormat="false" ht="34.5" hidden="false" customHeight="true" outlineLevel="0" collapsed="false">
      <c r="A19" s="39" t="s">
        <v>1047</v>
      </c>
      <c r="B19" s="39" t="s">
        <v>50</v>
      </c>
      <c r="C19" s="39" t="s">
        <v>1160</v>
      </c>
      <c r="D19" s="39" t="s">
        <v>1161</v>
      </c>
      <c r="E19" s="39" t="s">
        <v>158</v>
      </c>
      <c r="F19" s="38"/>
      <c r="G19" s="38"/>
      <c r="H19" s="38"/>
      <c r="I19" s="38"/>
    </row>
    <row r="20" customFormat="false" ht="15" hidden="false" customHeight="true" outlineLevel="0" collapsed="false">
      <c r="A20" s="41" t="s">
        <v>1162</v>
      </c>
      <c r="B20" s="38" t="n">
        <v>96</v>
      </c>
      <c r="C20" s="43" t="n">
        <v>96</v>
      </c>
      <c r="D20" s="70" t="n">
        <v>1</v>
      </c>
      <c r="E20" s="38" t="s">
        <v>1163</v>
      </c>
      <c r="F20" s="38"/>
      <c r="G20" s="38"/>
      <c r="H20" s="38"/>
      <c r="I20" s="38"/>
    </row>
    <row r="21" customFormat="false" ht="15" hidden="false" customHeight="true" outlineLevel="0" collapsed="false">
      <c r="A21" s="41" t="s">
        <v>1164</v>
      </c>
      <c r="B21" s="38" t="n">
        <v>9</v>
      </c>
      <c r="C21" s="43" t="n">
        <v>9</v>
      </c>
      <c r="D21" s="70" t="n">
        <v>1</v>
      </c>
      <c r="E21" s="38" t="s">
        <v>1165</v>
      </c>
      <c r="F21" s="38"/>
      <c r="G21" s="38"/>
      <c r="H21" s="38"/>
      <c r="I21" s="38"/>
    </row>
    <row r="22" customFormat="false" ht="15" hidden="false" customHeight="true" outlineLevel="0" collapsed="false">
      <c r="A22" s="41" t="s">
        <v>1166</v>
      </c>
      <c r="B22" s="38" t="n">
        <v>13</v>
      </c>
      <c r="C22" s="43" t="n">
        <v>12</v>
      </c>
      <c r="D22" s="70" t="n">
        <v>0.9231</v>
      </c>
      <c r="E22" s="38" t="s">
        <v>1167</v>
      </c>
      <c r="F22" s="38"/>
      <c r="G22" s="38"/>
      <c r="H22" s="38"/>
      <c r="I22" s="38"/>
    </row>
    <row r="23" customFormat="false" ht="15" hidden="false" customHeight="true" outlineLevel="0" collapsed="false">
      <c r="A23" s="38"/>
      <c r="B23" s="38"/>
      <c r="C23" s="38"/>
      <c r="D23" s="38"/>
      <c r="E23" s="38"/>
      <c r="F23" s="38"/>
      <c r="G23" s="38"/>
      <c r="H23" s="38"/>
      <c r="I23" s="38"/>
    </row>
    <row r="24" customFormat="false" ht="15" hidden="false" customHeight="true" outlineLevel="0" collapsed="false">
      <c r="A24" s="66" t="s">
        <v>1168</v>
      </c>
      <c r="B24" s="66"/>
      <c r="C24" s="66"/>
      <c r="D24" s="66"/>
      <c r="E24" s="66"/>
      <c r="F24" s="66"/>
      <c r="G24" s="66"/>
      <c r="H24" s="66"/>
      <c r="I24" s="66"/>
    </row>
    <row r="25" customFormat="false" ht="15" hidden="false" customHeight="true" outlineLevel="0" collapsed="false">
      <c r="A25" s="66"/>
      <c r="B25" s="66"/>
      <c r="C25" s="66"/>
      <c r="D25" s="66"/>
      <c r="E25" s="66"/>
      <c r="F25" s="66"/>
      <c r="G25" s="66"/>
      <c r="H25" s="66"/>
      <c r="I25" s="66"/>
    </row>
    <row r="26" customFormat="false" ht="15" hidden="false" customHeight="true" outlineLevel="0" collapsed="false">
      <c r="A26" s="66"/>
      <c r="B26" s="66"/>
      <c r="C26" s="66"/>
      <c r="D26" s="66"/>
      <c r="E26" s="66"/>
      <c r="F26" s="66"/>
      <c r="G26" s="66"/>
      <c r="H26" s="66"/>
      <c r="I26" s="66"/>
    </row>
  </sheetData>
  <mergeCells count="1">
    <mergeCell ref="A24: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6"/>
    <col collapsed="false" customWidth="true" hidden="false" outlineLevel="0" max="7" min="4" style="0" width="14"/>
    <col collapsed="false" customWidth="true" hidden="false" outlineLevel="0" max="8" min="8" style="0" width="18"/>
    <col collapsed="false" customWidth="true" hidden="false" outlineLevel="0" max="9" min="9" style="0" width="22"/>
  </cols>
  <sheetData>
    <row r="1" customFormat="false" ht="15" hidden="false" customHeight="true" outlineLevel="0" collapsed="false">
      <c r="A1" s="37" t="s">
        <v>1169</v>
      </c>
      <c r="B1" s="38"/>
      <c r="C1" s="38"/>
      <c r="D1" s="38"/>
      <c r="E1" s="38"/>
      <c r="F1" s="38"/>
      <c r="G1" s="38"/>
      <c r="H1" s="38"/>
      <c r="I1" s="38"/>
    </row>
    <row r="2" customFormat="false" ht="15" hidden="false" customHeight="true" outlineLevel="0" collapsed="false">
      <c r="A2" s="38"/>
      <c r="B2" s="38"/>
      <c r="C2" s="38"/>
      <c r="D2" s="38"/>
      <c r="E2" s="38"/>
      <c r="F2" s="38"/>
      <c r="G2" s="38"/>
      <c r="H2" s="38"/>
      <c r="I2" s="38"/>
    </row>
    <row r="3" customFormat="false" ht="15" hidden="false" customHeight="true" outlineLevel="0" collapsed="false">
      <c r="A3" s="39" t="s">
        <v>471</v>
      </c>
      <c r="B3" s="39" t="s">
        <v>1170</v>
      </c>
      <c r="C3" s="39" t="s">
        <v>1171</v>
      </c>
      <c r="D3" s="39" t="s">
        <v>1172</v>
      </c>
      <c r="E3" s="39" t="s">
        <v>1173</v>
      </c>
      <c r="F3" s="39" t="s">
        <v>846</v>
      </c>
      <c r="G3" s="39" t="s">
        <v>848</v>
      </c>
      <c r="H3" s="39" t="s">
        <v>1174</v>
      </c>
      <c r="I3" s="39" t="s">
        <v>1175</v>
      </c>
    </row>
    <row r="4" customFormat="false" ht="15" hidden="false" customHeight="true" outlineLevel="0" collapsed="false">
      <c r="A4" s="38" t="n">
        <v>8</v>
      </c>
      <c r="B4" s="38" t="s">
        <v>171</v>
      </c>
      <c r="C4" s="44" t="n">
        <f aca="false">INDEX('Emission Matrix'!$B$3:$BU$6,MATCH(B4,'Emission Matrix'!$A$3:$A$6,0),A4)</f>
        <v>0.975369458128079</v>
      </c>
      <c r="D4" s="71" t="s">
        <v>1176</v>
      </c>
      <c r="E4" s="71" t="s">
        <v>1177</v>
      </c>
      <c r="F4" s="71" t="s">
        <v>1178</v>
      </c>
      <c r="G4" s="71" t="s">
        <v>1179</v>
      </c>
      <c r="H4" s="70" t="n">
        <v>0.2129</v>
      </c>
      <c r="I4" s="40" t="s">
        <v>1180</v>
      </c>
    </row>
    <row r="5" customFormat="false" ht="15" hidden="false" customHeight="true" outlineLevel="0" collapsed="false">
      <c r="A5" s="38" t="n">
        <v>14</v>
      </c>
      <c r="B5" s="38" t="s">
        <v>172</v>
      </c>
      <c r="C5" s="44" t="n">
        <f aca="false">INDEX('Emission Matrix'!$B$3:$BU$6,MATCH(B5,'Emission Matrix'!$A$3:$A$6,0),A5)</f>
        <v>0.975369458128079</v>
      </c>
      <c r="D5" s="71" t="s">
        <v>1176</v>
      </c>
      <c r="E5" s="71" t="s">
        <v>1177</v>
      </c>
      <c r="F5" s="71" t="s">
        <v>1181</v>
      </c>
      <c r="G5" s="71" t="s">
        <v>1182</v>
      </c>
      <c r="H5" s="70" t="n">
        <v>0.1852</v>
      </c>
      <c r="I5" s="64" t="s">
        <v>1183</v>
      </c>
    </row>
    <row r="6" customFormat="false" ht="15" hidden="false" customHeight="true" outlineLevel="0" collapsed="false">
      <c r="A6" s="38" t="n">
        <v>21</v>
      </c>
      <c r="B6" s="38" t="s">
        <v>172</v>
      </c>
      <c r="C6" s="44" t="n">
        <f aca="false">INDEX('Emission Matrix'!$B$3:$BU$6,MATCH(B6,'Emission Matrix'!$A$3:$A$6,0),A6)</f>
        <v>0.881773399014778</v>
      </c>
      <c r="D6" s="71" t="s">
        <v>1184</v>
      </c>
      <c r="E6" s="71" t="s">
        <v>1185</v>
      </c>
      <c r="F6" s="71" t="s">
        <v>1186</v>
      </c>
      <c r="G6" s="71" t="s">
        <v>1187</v>
      </c>
      <c r="H6" s="70" t="n">
        <v>0.1852</v>
      </c>
      <c r="I6" s="61" t="s">
        <v>1188</v>
      </c>
    </row>
    <row r="7" customFormat="false" ht="15" hidden="false" customHeight="true" outlineLevel="0" collapsed="false">
      <c r="A7" s="38" t="n">
        <v>33</v>
      </c>
      <c r="B7" s="38" t="s">
        <v>171</v>
      </c>
      <c r="C7" s="44" t="n">
        <f aca="false">INDEX('Emission Matrix'!$B$3:$BU$6,MATCH(B7,'Emission Matrix'!$A$3:$A$6,0),A7)</f>
        <v>0.975369458128079</v>
      </c>
      <c r="D7" s="71" t="s">
        <v>1189</v>
      </c>
      <c r="E7" s="71" t="s">
        <v>1190</v>
      </c>
      <c r="F7" s="71" t="s">
        <v>1181</v>
      </c>
      <c r="G7" s="71" t="s">
        <v>1191</v>
      </c>
      <c r="H7" s="70" t="n">
        <v>0.2129</v>
      </c>
      <c r="I7" s="61" t="s">
        <v>1188</v>
      </c>
    </row>
    <row r="8" customFormat="false" ht="15" hidden="false" customHeight="true" outlineLevel="0" collapsed="false">
      <c r="A8" s="38" t="n">
        <v>48</v>
      </c>
      <c r="B8" s="38" t="s">
        <v>170</v>
      </c>
      <c r="C8" s="44" t="n">
        <f aca="false">INDEX('Emission Matrix'!$B$3:$BU$6,MATCH(B8,'Emission Matrix'!$A$3:$A$6,0),A8)</f>
        <v>0.827586206896552</v>
      </c>
      <c r="D8" s="71" t="s">
        <v>1192</v>
      </c>
      <c r="E8" s="71" t="s">
        <v>1193</v>
      </c>
      <c r="F8" s="71" t="s">
        <v>1194</v>
      </c>
      <c r="G8" s="71" t="s">
        <v>1195</v>
      </c>
      <c r="H8" s="70" t="n">
        <v>0.2768</v>
      </c>
      <c r="I8" s="64" t="s">
        <v>1183</v>
      </c>
    </row>
    <row r="9" customFormat="false" ht="15" hidden="false" customHeight="true" outlineLevel="0" collapsed="false">
      <c r="A9" s="38" t="n">
        <v>53</v>
      </c>
      <c r="B9" s="38" t="s">
        <v>169</v>
      </c>
      <c r="C9" s="44" t="n">
        <f aca="false">INDEX('Emission Matrix'!$B$3:$BU$6,MATCH(B9,'Emission Matrix'!$A$3:$A$6,0),A9)</f>
        <v>0.96551724137931</v>
      </c>
      <c r="D9" s="71" t="s">
        <v>1196</v>
      </c>
      <c r="E9" s="71" t="s">
        <v>1197</v>
      </c>
      <c r="F9" s="71" t="s">
        <v>1178</v>
      </c>
      <c r="G9" s="71" t="s">
        <v>1179</v>
      </c>
      <c r="H9" s="70" t="n">
        <v>0.3251</v>
      </c>
      <c r="I9" s="40" t="s">
        <v>1180</v>
      </c>
    </row>
    <row r="10" customFormat="false" ht="15" hidden="false" customHeight="true" outlineLevel="0" collapsed="false">
      <c r="A10" s="38" t="n">
        <v>54</v>
      </c>
      <c r="B10" s="38" t="s">
        <v>171</v>
      </c>
      <c r="C10" s="44" t="n">
        <f aca="false">INDEX('Emission Matrix'!$B$3:$BU$6,MATCH(B10,'Emission Matrix'!$A$3:$A$6,0),A10)</f>
        <v>0.975369458128079</v>
      </c>
      <c r="D10" s="71" t="s">
        <v>1198</v>
      </c>
      <c r="E10" s="71" t="s">
        <v>1177</v>
      </c>
      <c r="F10" s="71" t="s">
        <v>1199</v>
      </c>
      <c r="G10" s="71" t="s">
        <v>1200</v>
      </c>
      <c r="H10" s="70" t="n">
        <v>0.2129</v>
      </c>
      <c r="I10" s="61" t="s">
        <v>1188</v>
      </c>
    </row>
    <row r="11" customFormat="false" ht="15" hidden="false" customHeight="true" outlineLevel="0" collapsed="false">
      <c r="A11" s="38" t="n">
        <v>55</v>
      </c>
      <c r="B11" s="38" t="s">
        <v>171</v>
      </c>
      <c r="C11" s="44" t="n">
        <f aca="false">INDEX('Emission Matrix'!$B$3:$BU$6,MATCH(B11,'Emission Matrix'!$A$3:$A$6,0),A11)</f>
        <v>0.970443349753695</v>
      </c>
      <c r="D11" s="71" t="s">
        <v>1184</v>
      </c>
      <c r="E11" s="71" t="s">
        <v>1190</v>
      </c>
      <c r="F11" s="71" t="s">
        <v>1201</v>
      </c>
      <c r="G11" s="71" t="s">
        <v>1191</v>
      </c>
      <c r="H11" s="70" t="n">
        <v>0.2129</v>
      </c>
      <c r="I11" s="64" t="s">
        <v>1183</v>
      </c>
    </row>
    <row r="12" customFormat="false" ht="15" hidden="false" customHeight="true" outlineLevel="0" collapsed="false">
      <c r="A12" s="38" t="n">
        <v>56</v>
      </c>
      <c r="B12" s="38" t="s">
        <v>170</v>
      </c>
      <c r="C12" s="44" t="n">
        <f aca="false">INDEX('Emission Matrix'!$B$3:$BU$6,MATCH(B12,'Emission Matrix'!$A$3:$A$6,0),A12)</f>
        <v>0.96551724137931</v>
      </c>
      <c r="D12" s="71" t="s">
        <v>1202</v>
      </c>
      <c r="E12" s="71" t="s">
        <v>1177</v>
      </c>
      <c r="F12" s="71" t="s">
        <v>1178</v>
      </c>
      <c r="G12" s="71" t="s">
        <v>1179</v>
      </c>
      <c r="H12" s="70" t="n">
        <v>0.2768</v>
      </c>
      <c r="I12" s="40" t="s">
        <v>1180</v>
      </c>
    </row>
    <row r="13" customFormat="false" ht="15" hidden="false" customHeight="true" outlineLevel="0" collapsed="false">
      <c r="A13" s="38" t="n">
        <v>57</v>
      </c>
      <c r="B13" s="38" t="s">
        <v>169</v>
      </c>
      <c r="C13" s="44" t="n">
        <f aca="false">INDEX('Emission Matrix'!$B$3:$BU$6,MATCH(B13,'Emission Matrix'!$A$3:$A$6,0),A13)</f>
        <v>0.603960396039604</v>
      </c>
      <c r="D13" s="71" t="s">
        <v>1203</v>
      </c>
      <c r="E13" s="71" t="s">
        <v>1204</v>
      </c>
      <c r="F13" s="71" t="s">
        <v>1205</v>
      </c>
      <c r="G13" s="71" t="s">
        <v>1206</v>
      </c>
      <c r="H13" s="70" t="n">
        <v>0.3251</v>
      </c>
      <c r="I13" s="61" t="s">
        <v>1188</v>
      </c>
    </row>
    <row r="14" customFormat="false" ht="15" hidden="false" customHeight="true" outlineLevel="0" collapsed="false">
      <c r="A14" s="38" t="n">
        <v>58</v>
      </c>
      <c r="B14" s="38" t="s">
        <v>172</v>
      </c>
      <c r="C14" s="44" t="n">
        <f aca="false">INDEX('Emission Matrix'!$B$3:$BU$6,MATCH(B14,'Emission Matrix'!$A$3:$A$6,0),A14)</f>
        <v>0.975369458128079</v>
      </c>
      <c r="D14" s="71" t="s">
        <v>1202</v>
      </c>
      <c r="E14" s="71" t="s">
        <v>1177</v>
      </c>
      <c r="F14" s="71" t="s">
        <v>1207</v>
      </c>
      <c r="G14" s="71" t="s">
        <v>1187</v>
      </c>
      <c r="H14" s="70" t="n">
        <v>0.1852</v>
      </c>
      <c r="I14" s="61" t="s">
        <v>1188</v>
      </c>
    </row>
    <row r="15" customFormat="false" ht="15" hidden="false" customHeight="true" outlineLevel="0" collapsed="false">
      <c r="A15" s="38" t="n">
        <v>61</v>
      </c>
      <c r="B15" s="38" t="s">
        <v>170</v>
      </c>
      <c r="C15" s="44" t="n">
        <f aca="false">INDEX('Emission Matrix'!$B$3:$BU$6,MATCH(B15,'Emission Matrix'!$A$3:$A$6,0),A15)</f>
        <v>0.975369458128079</v>
      </c>
      <c r="D15" s="71" t="s">
        <v>1196</v>
      </c>
      <c r="E15" s="71" t="s">
        <v>1197</v>
      </c>
      <c r="F15" s="71" t="s">
        <v>1178</v>
      </c>
      <c r="G15" s="71" t="s">
        <v>1179</v>
      </c>
      <c r="H15" s="70" t="n">
        <v>0.2768</v>
      </c>
      <c r="I15" s="40" t="s">
        <v>1180</v>
      </c>
    </row>
    <row r="16" customFormat="false" ht="15" hidden="false" customHeight="true" outlineLevel="0" collapsed="false">
      <c r="A16" s="38"/>
      <c r="B16" s="38"/>
      <c r="C16" s="38"/>
      <c r="D16" s="38"/>
      <c r="E16" s="38"/>
      <c r="F16" s="38"/>
      <c r="G16" s="38"/>
      <c r="H16" s="38"/>
      <c r="I16" s="38"/>
    </row>
    <row r="17" customFormat="false" ht="15" hidden="false" customHeight="true" outlineLevel="0" collapsed="false">
      <c r="A17" s="41" t="s">
        <v>1208</v>
      </c>
      <c r="B17" s="38"/>
      <c r="C17" s="38"/>
      <c r="D17" s="41" t="s">
        <v>1209</v>
      </c>
      <c r="E17" s="41" t="s">
        <v>1210</v>
      </c>
      <c r="F17" s="41" t="s">
        <v>1211</v>
      </c>
      <c r="G17" s="41" t="s">
        <v>1212</v>
      </c>
      <c r="H17" s="38"/>
      <c r="I17" s="38"/>
    </row>
    <row r="18" customFormat="false" ht="15" hidden="false" customHeight="true" outlineLevel="0" collapsed="false">
      <c r="A18" s="38"/>
      <c r="B18" s="38"/>
      <c r="C18" s="38"/>
      <c r="D18" s="38"/>
      <c r="E18" s="38"/>
      <c r="F18" s="38"/>
      <c r="G18" s="38"/>
      <c r="H18" s="38"/>
      <c r="I18" s="38"/>
    </row>
    <row r="19" customFormat="false" ht="15" hidden="false" customHeight="true" outlineLevel="0" collapsed="false">
      <c r="A19" s="66" t="s">
        <v>1213</v>
      </c>
      <c r="B19" s="66"/>
      <c r="C19" s="66"/>
      <c r="D19" s="66"/>
      <c r="E19" s="66"/>
      <c r="F19" s="66"/>
      <c r="G19" s="66"/>
      <c r="H19" s="66"/>
      <c r="I19" s="66"/>
    </row>
    <row r="20" customFormat="false" ht="15" hidden="false" customHeight="true" outlineLevel="0" collapsed="false">
      <c r="A20" s="66"/>
      <c r="B20" s="66"/>
      <c r="C20" s="66"/>
      <c r="D20" s="66"/>
      <c r="E20" s="66"/>
      <c r="F20" s="66"/>
      <c r="G20" s="66"/>
      <c r="H20" s="66"/>
      <c r="I20" s="66"/>
    </row>
    <row r="21" customFormat="false" ht="15" hidden="false" customHeight="true" outlineLevel="0" collapsed="false">
      <c r="A21" s="66"/>
      <c r="B21" s="66"/>
      <c r="C21" s="66"/>
      <c r="D21" s="66"/>
      <c r="E21" s="66"/>
      <c r="F21" s="66"/>
      <c r="G21" s="66"/>
      <c r="H21" s="66"/>
      <c r="I21" s="66"/>
    </row>
  </sheetData>
  <mergeCells count="1">
    <mergeCell ref="A19: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4"/>
    <col collapsed="false" customWidth="true" hidden="false" outlineLevel="0" max="5" min="4" style="0" width="16"/>
    <col collapsed="false" customWidth="true" hidden="false" outlineLevel="0" max="6" min="6" style="0" width="18"/>
    <col collapsed="false" customWidth="true" hidden="false" outlineLevel="0" max="7" min="7" style="0" width="16"/>
    <col collapsed="false" customWidth="true" hidden="false" outlineLevel="0" max="9" min="8" style="0" width="18"/>
  </cols>
  <sheetData>
    <row r="1" customFormat="false" ht="15" hidden="false" customHeight="true" outlineLevel="0" collapsed="false">
      <c r="A1" s="37" t="s">
        <v>1214</v>
      </c>
      <c r="B1" s="38"/>
      <c r="C1" s="38"/>
      <c r="D1" s="38"/>
      <c r="E1" s="38"/>
      <c r="F1" s="38"/>
      <c r="G1" s="38"/>
      <c r="H1" s="38"/>
      <c r="I1" s="38"/>
    </row>
    <row r="2" customFormat="false" ht="15" hidden="false" customHeight="true" outlineLevel="0" collapsed="false">
      <c r="A2" s="38" t="s">
        <v>1215</v>
      </c>
      <c r="B2" s="38"/>
      <c r="C2" s="38"/>
      <c r="D2" s="38"/>
      <c r="E2" s="38"/>
      <c r="F2" s="38"/>
      <c r="G2" s="38"/>
      <c r="H2" s="38"/>
      <c r="I2" s="38"/>
    </row>
    <row r="3" customFormat="false" ht="15" hidden="false" customHeight="true" outlineLevel="0" collapsed="false">
      <c r="A3" s="38"/>
      <c r="B3" s="38"/>
      <c r="C3" s="38"/>
      <c r="D3" s="38"/>
      <c r="E3" s="38"/>
      <c r="F3" s="38"/>
      <c r="G3" s="38"/>
      <c r="H3" s="38"/>
      <c r="I3" s="38"/>
    </row>
    <row r="4" customFormat="false" ht="15" hidden="false" customHeight="true" outlineLevel="0" collapsed="false">
      <c r="A4" s="39" t="s">
        <v>471</v>
      </c>
      <c r="B4" s="39" t="s">
        <v>861</v>
      </c>
      <c r="C4" s="39" t="s">
        <v>1216</v>
      </c>
      <c r="D4" s="39" t="s">
        <v>1217</v>
      </c>
      <c r="E4" s="39" t="s">
        <v>1218</v>
      </c>
      <c r="F4" s="39" t="s">
        <v>1219</v>
      </c>
      <c r="G4" s="39" t="s">
        <v>1220</v>
      </c>
      <c r="H4" s="39" t="s">
        <v>1221</v>
      </c>
      <c r="I4" s="39" t="s">
        <v>1222</v>
      </c>
    </row>
    <row r="5" customFormat="false" ht="15" hidden="false" customHeight="true" outlineLevel="0" collapsed="false">
      <c r="A5" s="40" t="n">
        <v>57</v>
      </c>
      <c r="B5" s="40" t="s">
        <v>870</v>
      </c>
      <c r="C5" s="40" t="s">
        <v>169</v>
      </c>
      <c r="D5" s="72" t="n">
        <v>0.6111</v>
      </c>
      <c r="E5" s="73" t="n">
        <v>0.6487</v>
      </c>
      <c r="F5" s="73" t="n">
        <v>-2.6735</v>
      </c>
      <c r="G5" s="73" t="n">
        <v>-1.424</v>
      </c>
      <c r="H5" s="73" t="n">
        <v>3.3222</v>
      </c>
      <c r="I5" s="65" t="n">
        <v>-1.2495</v>
      </c>
    </row>
    <row r="6" customFormat="false" ht="15" hidden="false" customHeight="true" outlineLevel="0" collapsed="false">
      <c r="A6" s="40" t="n">
        <v>30</v>
      </c>
      <c r="B6" s="40" t="s">
        <v>868</v>
      </c>
      <c r="C6" s="40" t="s">
        <v>169</v>
      </c>
      <c r="D6" s="72" t="n">
        <v>0.7538</v>
      </c>
      <c r="E6" s="73" t="n">
        <v>0.5654</v>
      </c>
      <c r="F6" s="73" t="n">
        <v>-2.6068</v>
      </c>
      <c r="G6" s="73" t="n">
        <v>-1.405</v>
      </c>
      <c r="H6" s="73" t="n">
        <v>3.1722</v>
      </c>
      <c r="I6" s="65" t="n">
        <v>-1.2019</v>
      </c>
    </row>
    <row r="7" customFormat="false" ht="15" hidden="false" customHeight="true" outlineLevel="0" collapsed="false">
      <c r="A7" s="40" t="n">
        <v>58</v>
      </c>
      <c r="B7" s="40" t="s">
        <v>870</v>
      </c>
      <c r="C7" s="40" t="s">
        <v>172</v>
      </c>
      <c r="D7" s="72" t="n">
        <v>0.9899</v>
      </c>
      <c r="E7" s="73" t="n">
        <v>1.5928</v>
      </c>
      <c r="F7" s="73" t="n">
        <v>-1.524</v>
      </c>
      <c r="G7" s="73" t="n">
        <v>-1.0142</v>
      </c>
      <c r="H7" s="73" t="n">
        <v>3.1168</v>
      </c>
      <c r="I7" s="65" t="n">
        <v>-0.5099</v>
      </c>
    </row>
    <row r="8" customFormat="false" ht="15" hidden="false" customHeight="true" outlineLevel="0" collapsed="false">
      <c r="A8" s="40" t="n">
        <v>21</v>
      </c>
      <c r="B8" s="40" t="s">
        <v>867</v>
      </c>
      <c r="C8" s="40" t="s">
        <v>172</v>
      </c>
      <c r="D8" s="72" t="n">
        <v>0.8945</v>
      </c>
      <c r="E8" s="73" t="n">
        <v>1.3876</v>
      </c>
      <c r="F8" s="73" t="n">
        <v>-1.65</v>
      </c>
      <c r="G8" s="73" t="n">
        <v>-0.3161</v>
      </c>
      <c r="H8" s="73" t="n">
        <v>3.0376</v>
      </c>
      <c r="I8" s="65" t="n">
        <v>-1.3339</v>
      </c>
    </row>
    <row r="9" customFormat="false" ht="15" hidden="false" customHeight="true" outlineLevel="0" collapsed="false">
      <c r="A9" s="40" t="n">
        <v>37</v>
      </c>
      <c r="B9" s="40" t="s">
        <v>868</v>
      </c>
      <c r="C9" s="40" t="s">
        <v>172</v>
      </c>
      <c r="D9" s="72" t="n">
        <v>0.7538</v>
      </c>
      <c r="E9" s="73" t="n">
        <v>0.9084</v>
      </c>
      <c r="F9" s="73" t="n">
        <v>-1.3685</v>
      </c>
      <c r="G9" s="73" t="n">
        <v>-0.3565</v>
      </c>
      <c r="H9" s="73" t="n">
        <v>2.2769</v>
      </c>
      <c r="I9" s="65" t="n">
        <v>-1.0119</v>
      </c>
    </row>
    <row r="10" customFormat="false" ht="15" hidden="false" customHeight="true" outlineLevel="0" collapsed="false">
      <c r="A10" s="40" t="n">
        <v>40</v>
      </c>
      <c r="B10" s="40" t="s">
        <v>868</v>
      </c>
      <c r="C10" s="40" t="s">
        <v>170</v>
      </c>
      <c r="D10" s="72" t="n">
        <v>0.7186</v>
      </c>
      <c r="E10" s="73" t="n">
        <v>0.6229</v>
      </c>
      <c r="F10" s="73" t="n">
        <v>-1.5943</v>
      </c>
      <c r="G10" s="73" t="n">
        <v>-1.7084</v>
      </c>
      <c r="H10" s="73" t="n">
        <v>2.2172</v>
      </c>
      <c r="I10" s="73" t="n">
        <v>0.114</v>
      </c>
    </row>
    <row r="11" customFormat="false" ht="15" hidden="false" customHeight="true" outlineLevel="0" collapsed="false">
      <c r="A11" s="40" t="n">
        <v>54</v>
      </c>
      <c r="B11" s="40" t="s">
        <v>870</v>
      </c>
      <c r="C11" s="40" t="s">
        <v>171</v>
      </c>
      <c r="D11" s="72" t="n">
        <v>0.9899</v>
      </c>
      <c r="E11" s="73" t="n">
        <v>1.29</v>
      </c>
      <c r="F11" s="73" t="n">
        <v>-0.728</v>
      </c>
      <c r="G11" s="73" t="n">
        <v>-0.0357</v>
      </c>
      <c r="H11" s="73" t="n">
        <v>2.018</v>
      </c>
      <c r="I11" s="65" t="n">
        <v>-0.6923</v>
      </c>
    </row>
    <row r="12" customFormat="false" ht="15" hidden="false" customHeight="true" outlineLevel="0" collapsed="false">
      <c r="A12" s="40" t="n">
        <v>10</v>
      </c>
      <c r="B12" s="40" t="s">
        <v>867</v>
      </c>
      <c r="C12" s="40" t="s">
        <v>169</v>
      </c>
      <c r="D12" s="72" t="n">
        <v>0.9598</v>
      </c>
      <c r="E12" s="73" t="n">
        <v>0.9498</v>
      </c>
      <c r="F12" s="73" t="n">
        <v>-1.0341</v>
      </c>
      <c r="G12" s="73" t="n">
        <v>-2.5863</v>
      </c>
      <c r="H12" s="73" t="n">
        <v>1.9839</v>
      </c>
      <c r="I12" s="73" t="n">
        <v>1.5521</v>
      </c>
    </row>
    <row r="13" customFormat="false" ht="15" hidden="false" customHeight="true" outlineLevel="0" collapsed="false">
      <c r="A13" s="40" t="n">
        <v>16</v>
      </c>
      <c r="B13" s="40" t="s">
        <v>867</v>
      </c>
      <c r="C13" s="40" t="s">
        <v>171</v>
      </c>
      <c r="D13" s="72" t="n">
        <v>0.5985</v>
      </c>
      <c r="E13" s="73" t="n">
        <v>0.5268</v>
      </c>
      <c r="F13" s="73" t="n">
        <v>-1.4233</v>
      </c>
      <c r="G13" s="73" t="n">
        <v>-0.2035</v>
      </c>
      <c r="H13" s="73" t="n">
        <v>1.9501</v>
      </c>
      <c r="I13" s="65" t="n">
        <v>-1.2199</v>
      </c>
    </row>
    <row r="14" customFormat="false" ht="15" hidden="false" customHeight="true" outlineLevel="0" collapsed="false">
      <c r="A14" s="40" t="n">
        <v>62</v>
      </c>
      <c r="B14" s="40" t="s">
        <v>870</v>
      </c>
      <c r="C14" s="40" t="s">
        <v>170</v>
      </c>
      <c r="D14" s="72" t="n">
        <v>0.8442</v>
      </c>
      <c r="E14" s="73" t="n">
        <v>0.6469</v>
      </c>
      <c r="F14" s="73" t="n">
        <v>-1.0825</v>
      </c>
      <c r="G14" s="73" t="n">
        <v>-1.1611</v>
      </c>
      <c r="H14" s="73" t="n">
        <v>1.7294</v>
      </c>
      <c r="I14" s="73" t="n">
        <v>0.0787</v>
      </c>
    </row>
    <row r="15" customFormat="false" ht="15" hidden="false" customHeight="true" outlineLevel="0" collapsed="false">
      <c r="A15" s="40" t="n">
        <v>14</v>
      </c>
      <c r="B15" s="40" t="s">
        <v>867</v>
      </c>
      <c r="C15" s="40" t="s">
        <v>172</v>
      </c>
      <c r="D15" s="72" t="n">
        <v>0.9899</v>
      </c>
      <c r="E15" s="73" t="n">
        <v>1.6599</v>
      </c>
      <c r="F15" s="73" t="n">
        <v>-0.0578</v>
      </c>
      <c r="G15" s="73" t="n">
        <v>-0.7606</v>
      </c>
      <c r="H15" s="73" t="n">
        <v>1.7177</v>
      </c>
      <c r="I15" s="73" t="n">
        <v>0.7028</v>
      </c>
    </row>
    <row r="16" customFormat="false" ht="15" hidden="false" customHeight="true" outlineLevel="0" collapsed="false">
      <c r="A16" s="40" t="n">
        <v>38</v>
      </c>
      <c r="B16" s="40" t="s">
        <v>868</v>
      </c>
      <c r="C16" s="40" t="s">
        <v>172</v>
      </c>
      <c r="D16" s="72" t="n">
        <v>0.7337</v>
      </c>
      <c r="E16" s="73" t="n">
        <v>0.7762</v>
      </c>
      <c r="F16" s="73" t="n">
        <v>-0.907</v>
      </c>
      <c r="G16" s="73" t="n">
        <v>-0.815</v>
      </c>
      <c r="H16" s="73" t="n">
        <v>1.6832</v>
      </c>
      <c r="I16" s="65" t="n">
        <v>-0.092</v>
      </c>
    </row>
    <row r="17" customFormat="false" ht="15" hidden="false" customHeight="true" outlineLevel="0" collapsed="false">
      <c r="A17" s="40" t="n">
        <v>9</v>
      </c>
      <c r="B17" s="40" t="s">
        <v>867</v>
      </c>
      <c r="C17" s="40" t="s">
        <v>172</v>
      </c>
      <c r="D17" s="72" t="n">
        <v>0.6566</v>
      </c>
      <c r="E17" s="73" t="n">
        <v>0.5212</v>
      </c>
      <c r="F17" s="73" t="n">
        <v>-1.1288</v>
      </c>
      <c r="G17" s="73" t="n">
        <v>-0.4524</v>
      </c>
      <c r="H17" s="73" t="n">
        <v>1.65</v>
      </c>
      <c r="I17" s="65" t="n">
        <v>-0.6764</v>
      </c>
    </row>
    <row r="18" customFormat="false" ht="15" hidden="false" customHeight="true" outlineLevel="0" collapsed="false">
      <c r="A18" s="40" t="n">
        <v>32</v>
      </c>
      <c r="B18" s="40" t="s">
        <v>868</v>
      </c>
      <c r="C18" s="40" t="s">
        <v>170</v>
      </c>
      <c r="D18" s="72" t="n">
        <v>0.6734</v>
      </c>
      <c r="E18" s="73" t="n">
        <v>0.7212</v>
      </c>
      <c r="F18" s="73" t="n">
        <v>-0.8435</v>
      </c>
      <c r="G18" s="73" t="n">
        <v>-1.2904</v>
      </c>
      <c r="H18" s="73" t="n">
        <v>1.5647</v>
      </c>
      <c r="I18" s="73" t="n">
        <v>0.4469</v>
      </c>
    </row>
    <row r="19" customFormat="false" ht="15" hidden="false" customHeight="true" outlineLevel="0" collapsed="false">
      <c r="A19" s="40" t="n">
        <v>25</v>
      </c>
      <c r="B19" s="40" t="s">
        <v>867</v>
      </c>
      <c r="C19" s="40" t="s">
        <v>170</v>
      </c>
      <c r="D19" s="72" t="n">
        <v>0.8894</v>
      </c>
      <c r="E19" s="73" t="n">
        <v>0.7217</v>
      </c>
      <c r="F19" s="73" t="n">
        <v>-0.8006</v>
      </c>
      <c r="G19" s="73" t="n">
        <v>-1.3385</v>
      </c>
      <c r="H19" s="73" t="n">
        <v>1.5223</v>
      </c>
      <c r="I19" s="73" t="n">
        <v>0.5379</v>
      </c>
    </row>
    <row r="20" customFormat="false" ht="15" hidden="false" customHeight="true" outlineLevel="0" collapsed="false">
      <c r="A20" s="38" t="n">
        <v>33</v>
      </c>
      <c r="B20" s="38" t="s">
        <v>868</v>
      </c>
      <c r="C20" s="38" t="s">
        <v>171</v>
      </c>
      <c r="D20" s="70" t="n">
        <v>0.9899</v>
      </c>
      <c r="E20" s="50" t="n">
        <v>1.2774</v>
      </c>
      <c r="F20" s="50" t="n">
        <v>-0.0972</v>
      </c>
      <c r="G20" s="50" t="n">
        <v>0.4011</v>
      </c>
      <c r="H20" s="50" t="n">
        <v>1.3746</v>
      </c>
      <c r="I20" s="65" t="n">
        <v>-0.4982</v>
      </c>
    </row>
    <row r="21" customFormat="false" ht="15" hidden="false" customHeight="true" outlineLevel="0" collapsed="false">
      <c r="A21" s="38" t="n">
        <v>71</v>
      </c>
      <c r="B21" s="38" t="s">
        <v>871</v>
      </c>
      <c r="C21" s="38" t="s">
        <v>170</v>
      </c>
      <c r="D21" s="70" t="n">
        <v>0.5176</v>
      </c>
      <c r="E21" s="50" t="n">
        <v>0.2323</v>
      </c>
      <c r="F21" s="50" t="n">
        <v>-1.0644</v>
      </c>
      <c r="G21" s="50" t="n">
        <v>-1.1872</v>
      </c>
      <c r="H21" s="50" t="n">
        <v>1.2967</v>
      </c>
      <c r="I21" s="50" t="n">
        <v>0.1228</v>
      </c>
    </row>
    <row r="22" customFormat="false" ht="15" hidden="false" customHeight="true" outlineLevel="0" collapsed="false">
      <c r="A22" s="38" t="n">
        <v>72</v>
      </c>
      <c r="B22" s="38" t="s">
        <v>871</v>
      </c>
      <c r="C22" s="38" t="s">
        <v>170</v>
      </c>
      <c r="D22" s="70" t="n">
        <v>0.7286</v>
      </c>
      <c r="E22" s="50" t="n">
        <v>0.4736</v>
      </c>
      <c r="F22" s="50" t="n">
        <v>-0.7846</v>
      </c>
      <c r="G22" s="50" t="n">
        <v>-0.9036</v>
      </c>
      <c r="H22" s="50" t="n">
        <v>1.2582</v>
      </c>
      <c r="I22" s="65" t="n">
        <v>0.119</v>
      </c>
    </row>
    <row r="23" customFormat="false" ht="15" hidden="false" customHeight="true" outlineLevel="0" collapsed="false">
      <c r="A23" s="38" t="n">
        <v>26</v>
      </c>
      <c r="B23" s="38" t="s">
        <v>868</v>
      </c>
      <c r="C23" s="38" t="s">
        <v>169</v>
      </c>
      <c r="D23" s="70" t="n">
        <v>0.5025</v>
      </c>
      <c r="E23" s="50" t="n">
        <v>0.0731</v>
      </c>
      <c r="F23" s="50" t="n">
        <v>-1.1785</v>
      </c>
      <c r="G23" s="50" t="n">
        <v>-0.9318</v>
      </c>
      <c r="H23" s="50" t="n">
        <v>1.2516</v>
      </c>
      <c r="I23" s="50" t="n">
        <v>-0.2467</v>
      </c>
    </row>
    <row r="24" customFormat="false" ht="15" hidden="false" customHeight="true" outlineLevel="0" collapsed="false">
      <c r="A24" s="38" t="n">
        <v>11</v>
      </c>
      <c r="B24" s="38" t="s">
        <v>867</v>
      </c>
      <c r="C24" s="38" t="s">
        <v>170</v>
      </c>
      <c r="D24" s="70" t="n">
        <v>0.7337</v>
      </c>
      <c r="E24" s="50" t="n">
        <v>0.2351</v>
      </c>
      <c r="F24" s="50" t="n">
        <v>-0.9785</v>
      </c>
      <c r="G24" s="50" t="n">
        <v>-1.1332</v>
      </c>
      <c r="H24" s="50" t="n">
        <v>1.2136</v>
      </c>
      <c r="I24" s="50" t="n">
        <v>0.1547</v>
      </c>
    </row>
    <row r="25" customFormat="false" ht="15" hidden="false" customHeight="true" outlineLevel="0" collapsed="false">
      <c r="A25" s="38" t="n">
        <v>66</v>
      </c>
      <c r="B25" s="38" t="s">
        <v>871</v>
      </c>
      <c r="C25" s="38" t="s">
        <v>170</v>
      </c>
      <c r="D25" s="70" t="n">
        <v>0.5276</v>
      </c>
      <c r="E25" s="50" t="n">
        <v>0.2089</v>
      </c>
      <c r="F25" s="50" t="n">
        <v>-0.8219</v>
      </c>
      <c r="G25" s="50" t="n">
        <v>-0.3101</v>
      </c>
      <c r="H25" s="50" t="n">
        <v>1.0308</v>
      </c>
      <c r="I25" s="65" t="n">
        <v>-0.5118</v>
      </c>
    </row>
    <row r="26" customFormat="false" ht="15" hidden="false" customHeight="true" outlineLevel="0" collapsed="false">
      <c r="A26" s="38" t="n">
        <v>60</v>
      </c>
      <c r="B26" s="38" t="s">
        <v>870</v>
      </c>
      <c r="C26" s="38" t="s">
        <v>171</v>
      </c>
      <c r="D26" s="70" t="n">
        <v>0.7839</v>
      </c>
      <c r="E26" s="50" t="n">
        <v>0.677</v>
      </c>
      <c r="F26" s="50" t="n">
        <v>-0.3487</v>
      </c>
      <c r="G26" s="50" t="n">
        <v>-0.6056</v>
      </c>
      <c r="H26" s="50" t="n">
        <v>1.0257</v>
      </c>
      <c r="I26" s="50" t="n">
        <v>0.2569</v>
      </c>
    </row>
    <row r="27" customFormat="false" ht="15" hidden="false" customHeight="true" outlineLevel="0" collapsed="false">
      <c r="A27" s="38" t="n">
        <v>48</v>
      </c>
      <c r="B27" s="38" t="s">
        <v>869</v>
      </c>
      <c r="C27" s="38" t="s">
        <v>170</v>
      </c>
      <c r="D27" s="70" t="n">
        <v>0.8392</v>
      </c>
      <c r="E27" s="50" t="n">
        <v>0.8223</v>
      </c>
      <c r="F27" s="50" t="n">
        <v>-0.2028</v>
      </c>
      <c r="G27" s="50" t="n">
        <v>-1.8818</v>
      </c>
      <c r="H27" s="50" t="n">
        <v>1.0251</v>
      </c>
      <c r="I27" s="50" t="n">
        <v>1.679</v>
      </c>
    </row>
    <row r="28" customFormat="false" ht="15" hidden="false" customHeight="true" outlineLevel="0" collapsed="false">
      <c r="A28" s="38" t="n">
        <v>55</v>
      </c>
      <c r="B28" s="38" t="s">
        <v>870</v>
      </c>
      <c r="C28" s="38" t="s">
        <v>171</v>
      </c>
      <c r="D28" s="70" t="n">
        <v>0.9849</v>
      </c>
      <c r="E28" s="50" t="n">
        <v>1.457</v>
      </c>
      <c r="F28" s="50" t="n">
        <v>0.4386</v>
      </c>
      <c r="G28" s="50" t="n">
        <v>0.3972</v>
      </c>
      <c r="H28" s="50" t="n">
        <v>1.0184</v>
      </c>
      <c r="I28" s="50" t="n">
        <v>0.0415</v>
      </c>
    </row>
    <row r="29" customFormat="false" ht="15" hidden="false" customHeight="true" outlineLevel="0" collapsed="false">
      <c r="A29" s="38" t="n">
        <v>52</v>
      </c>
      <c r="B29" s="38" t="s">
        <v>870</v>
      </c>
      <c r="C29" s="38" t="s">
        <v>169</v>
      </c>
      <c r="D29" s="70" t="n">
        <v>0.8392</v>
      </c>
      <c r="E29" s="50" t="n">
        <v>0.5662</v>
      </c>
      <c r="F29" s="50" t="n">
        <v>-0.4395</v>
      </c>
      <c r="G29" s="50" t="n">
        <v>-1.0006</v>
      </c>
      <c r="H29" s="50" t="n">
        <v>1.0057</v>
      </c>
      <c r="I29" s="50" t="n">
        <v>0.5611</v>
      </c>
    </row>
    <row r="30" customFormat="false" ht="15" hidden="false" customHeight="true" outlineLevel="0" collapsed="false">
      <c r="A30" s="38" t="n">
        <v>20</v>
      </c>
      <c r="B30" s="38" t="s">
        <v>867</v>
      </c>
      <c r="C30" s="38" t="s">
        <v>171</v>
      </c>
      <c r="D30" s="70" t="n">
        <v>0.596</v>
      </c>
      <c r="E30" s="50" t="n">
        <v>0.4331</v>
      </c>
      <c r="F30" s="50" t="n">
        <v>-0.4149</v>
      </c>
      <c r="G30" s="50" t="n">
        <v>-0.1498</v>
      </c>
      <c r="H30" s="50" t="n">
        <v>0.848</v>
      </c>
      <c r="I30" s="65" t="n">
        <v>-0.265</v>
      </c>
    </row>
    <row r="31" customFormat="false" ht="15" hidden="false" customHeight="true" outlineLevel="0" collapsed="false">
      <c r="A31" s="38" t="n">
        <v>2</v>
      </c>
      <c r="B31" s="38" t="s">
        <v>865</v>
      </c>
      <c r="C31" s="38" t="s">
        <v>169</v>
      </c>
      <c r="D31" s="70" t="n">
        <v>0.5276</v>
      </c>
      <c r="E31" s="50" t="n">
        <v>0.2605</v>
      </c>
      <c r="F31" s="50" t="n">
        <v>-0.5737</v>
      </c>
      <c r="G31" s="50" t="n">
        <v>-1.2609</v>
      </c>
      <c r="H31" s="50" t="n">
        <v>0.8342</v>
      </c>
      <c r="I31" s="50" t="n">
        <v>0.6871</v>
      </c>
    </row>
    <row r="32" customFormat="false" ht="15" hidden="false" customHeight="true" outlineLevel="0" collapsed="false">
      <c r="A32" s="38" t="n">
        <v>45</v>
      </c>
      <c r="B32" s="38" t="s">
        <v>869</v>
      </c>
      <c r="C32" s="38" t="s">
        <v>169</v>
      </c>
      <c r="D32" s="70" t="n">
        <v>0.7563</v>
      </c>
      <c r="E32" s="50" t="n">
        <v>0.4278</v>
      </c>
      <c r="F32" s="50" t="n">
        <v>-0.3909</v>
      </c>
      <c r="G32" s="50" t="n">
        <v>-0.414</v>
      </c>
      <c r="H32" s="50" t="n">
        <v>0.8187</v>
      </c>
      <c r="I32" s="50" t="n">
        <v>0.0232</v>
      </c>
    </row>
    <row r="33" customFormat="false" ht="15" hidden="false" customHeight="true" outlineLevel="0" collapsed="false">
      <c r="A33" s="38" t="n">
        <v>59</v>
      </c>
      <c r="B33" s="38" t="s">
        <v>870</v>
      </c>
      <c r="C33" s="38" t="s">
        <v>172</v>
      </c>
      <c r="D33" s="70" t="n">
        <v>0.4573</v>
      </c>
      <c r="E33" s="50" t="n">
        <v>0.4771</v>
      </c>
      <c r="F33" s="50" t="n">
        <v>-0.3087</v>
      </c>
      <c r="G33" s="50" t="n">
        <v>0.2259</v>
      </c>
      <c r="H33" s="50" t="n">
        <v>0.7858</v>
      </c>
      <c r="I33" s="65" t="n">
        <v>-0.5346</v>
      </c>
    </row>
    <row r="34" customFormat="false" ht="15" hidden="false" customHeight="true" outlineLevel="0" collapsed="false">
      <c r="A34" s="38" t="n">
        <v>46</v>
      </c>
      <c r="B34" s="38" t="s">
        <v>869</v>
      </c>
      <c r="C34" s="38" t="s">
        <v>169</v>
      </c>
      <c r="D34" s="70" t="n">
        <v>0.8095</v>
      </c>
      <c r="E34" s="50" t="n">
        <v>0.278</v>
      </c>
      <c r="F34" s="50" t="n">
        <v>-0.4861</v>
      </c>
      <c r="G34" s="50" t="n">
        <v>-0.9332</v>
      </c>
      <c r="H34" s="50" t="n">
        <v>0.7641</v>
      </c>
      <c r="I34" s="50" t="n">
        <v>0.447</v>
      </c>
    </row>
    <row r="35" customFormat="false" ht="15" hidden="false" customHeight="true" outlineLevel="0" collapsed="false">
      <c r="A35" s="38" t="n">
        <v>24</v>
      </c>
      <c r="B35" s="38" t="s">
        <v>867</v>
      </c>
      <c r="C35" s="38" t="s">
        <v>169</v>
      </c>
      <c r="D35" s="70" t="n">
        <v>0.7487</v>
      </c>
      <c r="E35" s="50" t="n">
        <v>0.1945</v>
      </c>
      <c r="F35" s="50" t="n">
        <v>-0.553</v>
      </c>
      <c r="G35" s="50" t="n">
        <v>-0.8714</v>
      </c>
      <c r="H35" s="50" t="n">
        <v>0.7475</v>
      </c>
      <c r="I35" s="50" t="n">
        <v>0.3184</v>
      </c>
    </row>
    <row r="36" customFormat="false" ht="15" hidden="false" customHeight="true" outlineLevel="0" collapsed="false">
      <c r="A36" s="38" t="n">
        <v>69</v>
      </c>
      <c r="B36" s="38" t="s">
        <v>871</v>
      </c>
      <c r="C36" s="38" t="s">
        <v>170</v>
      </c>
      <c r="D36" s="70" t="n">
        <v>0.4422</v>
      </c>
      <c r="E36" s="50" t="n">
        <v>-0.0087</v>
      </c>
      <c r="F36" s="50" t="n">
        <v>-0.6467</v>
      </c>
      <c r="G36" s="50" t="n">
        <v>-0.4838</v>
      </c>
      <c r="H36" s="50" t="n">
        <v>0.638</v>
      </c>
      <c r="I36" s="65" t="n">
        <v>-0.1629</v>
      </c>
    </row>
    <row r="37" customFormat="false" ht="15" hidden="false" customHeight="true" outlineLevel="0" collapsed="false">
      <c r="A37" s="38" t="n">
        <v>13</v>
      </c>
      <c r="B37" s="38" t="s">
        <v>867</v>
      </c>
      <c r="C37" s="38" t="s">
        <v>170</v>
      </c>
      <c r="D37" s="70" t="n">
        <v>0.6482</v>
      </c>
      <c r="E37" s="50" t="n">
        <v>0.3045</v>
      </c>
      <c r="F37" s="50" t="n">
        <v>-0.2868</v>
      </c>
      <c r="G37" s="50" t="n">
        <v>-0.4863</v>
      </c>
      <c r="H37" s="50" t="n">
        <v>0.5913</v>
      </c>
      <c r="I37" s="50" t="n">
        <v>0.1995</v>
      </c>
    </row>
    <row r="38" customFormat="false" ht="15" hidden="false" customHeight="true" outlineLevel="0" collapsed="false">
      <c r="A38" s="38" t="n">
        <v>4</v>
      </c>
      <c r="B38" s="38" t="s">
        <v>865</v>
      </c>
      <c r="C38" s="38" t="s">
        <v>169</v>
      </c>
      <c r="D38" s="70" t="n">
        <v>0.4472</v>
      </c>
      <c r="E38" s="50" t="n">
        <v>-0.0345</v>
      </c>
      <c r="F38" s="50" t="n">
        <v>-0.6054</v>
      </c>
      <c r="G38" s="50" t="n">
        <v>-0.3211</v>
      </c>
      <c r="H38" s="50" t="n">
        <v>0.5709</v>
      </c>
      <c r="I38" s="50" t="n">
        <v>-0.2842</v>
      </c>
    </row>
    <row r="39" customFormat="false" ht="15" hidden="false" customHeight="true" outlineLevel="0" collapsed="false">
      <c r="A39" s="38" t="n">
        <v>1</v>
      </c>
      <c r="B39" s="38" t="s">
        <v>865</v>
      </c>
      <c r="C39" s="38" t="s">
        <v>169</v>
      </c>
      <c r="D39" s="70" t="n">
        <v>0.7638</v>
      </c>
      <c r="E39" s="50" t="n">
        <v>0.3598</v>
      </c>
      <c r="F39" s="50" t="n">
        <v>-0.2104</v>
      </c>
      <c r="G39" s="50" t="n">
        <v>-0.7378</v>
      </c>
      <c r="H39" s="50" t="n">
        <v>0.5702</v>
      </c>
      <c r="I39" s="65" t="n">
        <v>0.5273</v>
      </c>
    </row>
    <row r="40" customFormat="false" ht="15" hidden="false" customHeight="true" outlineLevel="0" collapsed="false">
      <c r="A40" s="38" t="n">
        <v>22</v>
      </c>
      <c r="B40" s="38" t="s">
        <v>867</v>
      </c>
      <c r="C40" s="38" t="s">
        <v>169</v>
      </c>
      <c r="D40" s="70" t="n">
        <v>0.7236</v>
      </c>
      <c r="E40" s="50" t="n">
        <v>0.1065</v>
      </c>
      <c r="F40" s="50" t="n">
        <v>-0.4431</v>
      </c>
      <c r="G40" s="50" t="n">
        <v>-0.1307</v>
      </c>
      <c r="H40" s="50" t="n">
        <v>0.5496</v>
      </c>
      <c r="I40" s="65" t="n">
        <v>-0.3124</v>
      </c>
    </row>
    <row r="41" customFormat="false" ht="15" hidden="false" customHeight="true" outlineLevel="0" collapsed="false">
      <c r="A41" s="38" t="n">
        <v>47</v>
      </c>
      <c r="B41" s="38" t="s">
        <v>869</v>
      </c>
      <c r="C41" s="38" t="s">
        <v>171</v>
      </c>
      <c r="D41" s="70" t="n">
        <v>0.6734</v>
      </c>
      <c r="E41" s="50" t="n">
        <v>0.6745</v>
      </c>
      <c r="F41" s="50" t="n">
        <v>0.2033</v>
      </c>
      <c r="G41" s="50" t="n">
        <v>-0.0764</v>
      </c>
      <c r="H41" s="50" t="n">
        <v>0.4712</v>
      </c>
      <c r="I41" s="50" t="n">
        <v>0.2796</v>
      </c>
    </row>
    <row r="42" customFormat="false" ht="15" hidden="false" customHeight="true" outlineLevel="0" collapsed="false">
      <c r="A42" s="38" t="n">
        <v>23</v>
      </c>
      <c r="B42" s="38" t="s">
        <v>867</v>
      </c>
      <c r="C42" s="38" t="s">
        <v>172</v>
      </c>
      <c r="D42" s="70" t="n">
        <v>0.603</v>
      </c>
      <c r="E42" s="50" t="n">
        <v>0.0929</v>
      </c>
      <c r="F42" s="50" t="n">
        <v>-0.3511</v>
      </c>
      <c r="G42" s="50" t="n">
        <v>-0.0657</v>
      </c>
      <c r="H42" s="50" t="n">
        <v>0.444</v>
      </c>
      <c r="I42" s="65" t="n">
        <v>-0.2854</v>
      </c>
    </row>
    <row r="43" customFormat="false" ht="15" hidden="false" customHeight="true" outlineLevel="0" collapsed="false">
      <c r="A43" s="38" t="n">
        <v>65</v>
      </c>
      <c r="B43" s="38" t="s">
        <v>870</v>
      </c>
      <c r="C43" s="38" t="s">
        <v>171</v>
      </c>
      <c r="D43" s="70" t="n">
        <v>0.3485</v>
      </c>
      <c r="E43" s="50" t="n">
        <v>-0.0537</v>
      </c>
      <c r="F43" s="50" t="n">
        <v>-0.4907</v>
      </c>
      <c r="G43" s="50" t="n">
        <v>-0.3287</v>
      </c>
      <c r="H43" s="50" t="n">
        <v>0.437</v>
      </c>
      <c r="I43" s="65" t="n">
        <v>-0.1619</v>
      </c>
    </row>
    <row r="44" customFormat="false" ht="15" hidden="false" customHeight="true" outlineLevel="0" collapsed="false">
      <c r="A44" s="38" t="n">
        <v>44</v>
      </c>
      <c r="B44" s="38" t="s">
        <v>868</v>
      </c>
      <c r="C44" s="38" t="s">
        <v>172</v>
      </c>
      <c r="D44" s="70" t="n">
        <v>0.4975</v>
      </c>
      <c r="E44" s="50" t="n">
        <v>0.2941</v>
      </c>
      <c r="F44" s="50" t="n">
        <v>-0.1239</v>
      </c>
      <c r="G44" s="50" t="n">
        <v>0.4141</v>
      </c>
      <c r="H44" s="50" t="n">
        <v>0.418</v>
      </c>
      <c r="I44" s="65" t="n">
        <v>-0.5381</v>
      </c>
    </row>
    <row r="45" customFormat="false" ht="15" hidden="false" customHeight="true" outlineLevel="0" collapsed="false">
      <c r="A45" s="38" t="n">
        <v>49</v>
      </c>
      <c r="B45" s="38" t="s">
        <v>870</v>
      </c>
      <c r="C45" s="38" t="s">
        <v>169</v>
      </c>
      <c r="D45" s="70" t="n">
        <v>0.5025</v>
      </c>
      <c r="E45" s="50" t="n">
        <v>0.0622</v>
      </c>
      <c r="F45" s="50" t="n">
        <v>-0.3399</v>
      </c>
      <c r="G45" s="50" t="n">
        <v>-0.472</v>
      </c>
      <c r="H45" s="50" t="n">
        <v>0.4021</v>
      </c>
      <c r="I45" s="50" t="n">
        <v>0.1321</v>
      </c>
    </row>
    <row r="46" customFormat="false" ht="15" hidden="false" customHeight="true" outlineLevel="0" collapsed="false">
      <c r="A46" s="38" t="n">
        <v>15</v>
      </c>
      <c r="B46" s="38" t="s">
        <v>867</v>
      </c>
      <c r="C46" s="38" t="s">
        <v>169</v>
      </c>
      <c r="D46" s="70" t="n">
        <v>0.8131</v>
      </c>
      <c r="E46" s="50" t="n">
        <v>0.8156</v>
      </c>
      <c r="F46" s="50" t="n">
        <v>0.4592</v>
      </c>
      <c r="G46" s="50" t="n">
        <v>-1.8363</v>
      </c>
      <c r="H46" s="50" t="n">
        <v>0.3564</v>
      </c>
      <c r="I46" s="50" t="n">
        <v>2.2955</v>
      </c>
    </row>
    <row r="47" customFormat="false" ht="15" hidden="false" customHeight="true" outlineLevel="0" collapsed="false">
      <c r="A47" s="38" t="n">
        <v>3</v>
      </c>
      <c r="B47" s="38" t="s">
        <v>865</v>
      </c>
      <c r="C47" s="38" t="s">
        <v>169</v>
      </c>
      <c r="D47" s="70" t="n">
        <v>0.4271</v>
      </c>
      <c r="E47" s="50" t="n">
        <v>0.1534</v>
      </c>
      <c r="F47" s="50" t="n">
        <v>-0.1738</v>
      </c>
      <c r="G47" s="50" t="n">
        <v>-0.5087</v>
      </c>
      <c r="H47" s="50" t="n">
        <v>0.3272</v>
      </c>
      <c r="I47" s="50" t="n">
        <v>0.335</v>
      </c>
    </row>
    <row r="48" customFormat="false" ht="15" hidden="false" customHeight="true" outlineLevel="0" collapsed="false">
      <c r="A48" s="38" t="n">
        <v>63</v>
      </c>
      <c r="B48" s="38" t="s">
        <v>870</v>
      </c>
      <c r="C48" s="38" t="s">
        <v>170</v>
      </c>
      <c r="D48" s="70" t="n">
        <v>0.4874</v>
      </c>
      <c r="E48" s="50" t="n">
        <v>0.2259</v>
      </c>
      <c r="F48" s="50" t="n">
        <v>-0.0956</v>
      </c>
      <c r="G48" s="50" t="n">
        <v>-0.3444</v>
      </c>
      <c r="H48" s="50" t="n">
        <v>0.3215</v>
      </c>
      <c r="I48" s="50" t="n">
        <v>0.2488</v>
      </c>
    </row>
    <row r="49" customFormat="false" ht="15" hidden="false" customHeight="true" outlineLevel="0" collapsed="false">
      <c r="A49" s="38" t="n">
        <v>31</v>
      </c>
      <c r="B49" s="38" t="s">
        <v>868</v>
      </c>
      <c r="C49" s="38" t="s">
        <v>170</v>
      </c>
      <c r="D49" s="70" t="n">
        <v>0.3618</v>
      </c>
      <c r="E49" s="50" t="n">
        <v>0.1265</v>
      </c>
      <c r="F49" s="50" t="n">
        <v>-0.1907</v>
      </c>
      <c r="G49" s="50" t="n">
        <v>-0.2031</v>
      </c>
      <c r="H49" s="50" t="n">
        <v>0.3172</v>
      </c>
      <c r="I49" s="50" t="n">
        <v>0.0124</v>
      </c>
    </row>
    <row r="50" customFormat="false" ht="15" hidden="false" customHeight="true" outlineLevel="0" collapsed="false">
      <c r="A50" s="38" t="n">
        <v>42</v>
      </c>
      <c r="B50" s="38" t="s">
        <v>868</v>
      </c>
      <c r="C50" s="38" t="s">
        <v>169</v>
      </c>
      <c r="D50" s="70" t="n">
        <v>0.5276</v>
      </c>
      <c r="E50" s="50" t="n">
        <v>0.0359</v>
      </c>
      <c r="F50" s="50" t="n">
        <v>-0.2206</v>
      </c>
      <c r="G50" s="50" t="n">
        <v>-0.1223</v>
      </c>
      <c r="H50" s="50" t="n">
        <v>0.2565</v>
      </c>
      <c r="I50" s="65" t="n">
        <v>-0.0983</v>
      </c>
    </row>
    <row r="51" customFormat="false" ht="15" hidden="false" customHeight="true" outlineLevel="0" collapsed="false">
      <c r="A51" s="38" t="n">
        <v>17</v>
      </c>
      <c r="B51" s="38" t="s">
        <v>867</v>
      </c>
      <c r="C51" s="38" t="s">
        <v>171</v>
      </c>
      <c r="D51" s="70" t="n">
        <v>0.5765</v>
      </c>
      <c r="E51" s="50" t="n">
        <v>0.3527</v>
      </c>
      <c r="F51" s="50" t="n">
        <v>0.15</v>
      </c>
      <c r="G51" s="50" t="n">
        <v>-0.8434</v>
      </c>
      <c r="H51" s="50" t="n">
        <v>0.2027</v>
      </c>
      <c r="I51" s="50" t="n">
        <v>0.9935</v>
      </c>
    </row>
    <row r="52" customFormat="false" ht="15" hidden="false" customHeight="true" outlineLevel="0" collapsed="false">
      <c r="A52" s="38" t="n">
        <v>35</v>
      </c>
      <c r="B52" s="38" t="s">
        <v>868</v>
      </c>
      <c r="C52" s="38" t="s">
        <v>172</v>
      </c>
      <c r="D52" s="70" t="n">
        <v>0.3065</v>
      </c>
      <c r="E52" s="50" t="n">
        <v>0.1113</v>
      </c>
      <c r="F52" s="50" t="n">
        <v>-0.0619</v>
      </c>
      <c r="G52" s="50" t="n">
        <v>-0.0285</v>
      </c>
      <c r="H52" s="50" t="n">
        <v>0.1732</v>
      </c>
      <c r="I52" s="65" t="n">
        <v>-0.0334</v>
      </c>
    </row>
    <row r="53" customFormat="false" ht="15" hidden="false" customHeight="true" outlineLevel="0" collapsed="false">
      <c r="A53" s="38" t="n">
        <v>50</v>
      </c>
      <c r="B53" s="38" t="s">
        <v>870</v>
      </c>
      <c r="C53" s="38" t="s">
        <v>170</v>
      </c>
      <c r="D53" s="70" t="n">
        <v>0.4372</v>
      </c>
      <c r="E53" s="50" t="n">
        <v>0.0782</v>
      </c>
      <c r="F53" s="50" t="n">
        <v>-0.0905</v>
      </c>
      <c r="G53" s="50" t="n">
        <v>-0.2159</v>
      </c>
      <c r="H53" s="50" t="n">
        <v>0.1687</v>
      </c>
      <c r="I53" s="50" t="n">
        <v>0.1254</v>
      </c>
    </row>
    <row r="54" customFormat="false" ht="15" hidden="false" customHeight="true" outlineLevel="0" collapsed="false">
      <c r="A54" s="38" t="n">
        <v>12</v>
      </c>
      <c r="B54" s="38" t="s">
        <v>867</v>
      </c>
      <c r="C54" s="38" t="s">
        <v>171</v>
      </c>
      <c r="D54" s="70" t="n">
        <v>0.598</v>
      </c>
      <c r="E54" s="50" t="n">
        <v>0.0145</v>
      </c>
      <c r="F54" s="50" t="n">
        <v>-0.1354</v>
      </c>
      <c r="G54" s="50" t="n">
        <v>0.2993</v>
      </c>
      <c r="H54" s="50" t="n">
        <v>0.1499</v>
      </c>
      <c r="I54" s="65" t="n">
        <v>-0.4347</v>
      </c>
    </row>
    <row r="55" customFormat="false" ht="15" hidden="false" customHeight="true" outlineLevel="0" collapsed="false">
      <c r="A55" s="38" t="n">
        <v>41</v>
      </c>
      <c r="B55" s="38" t="s">
        <v>868</v>
      </c>
      <c r="C55" s="38" t="s">
        <v>170</v>
      </c>
      <c r="D55" s="70" t="n">
        <v>0.3869</v>
      </c>
      <c r="E55" s="50" t="n">
        <v>0.0762</v>
      </c>
      <c r="F55" s="50" t="n">
        <v>-0.0514</v>
      </c>
      <c r="G55" s="50" t="n">
        <v>-0.0053</v>
      </c>
      <c r="H55" s="50" t="n">
        <v>0.1276</v>
      </c>
      <c r="I55" s="65" t="n">
        <v>-0.0461</v>
      </c>
    </row>
    <row r="56" customFormat="false" ht="15" hidden="false" customHeight="true" outlineLevel="0" collapsed="false">
      <c r="A56" s="38" t="n">
        <v>28</v>
      </c>
      <c r="B56" s="38" t="s">
        <v>868</v>
      </c>
      <c r="C56" s="38" t="s">
        <v>170</v>
      </c>
      <c r="D56" s="70" t="n">
        <v>0.5176</v>
      </c>
      <c r="E56" s="50" t="n">
        <v>0.03</v>
      </c>
      <c r="F56" s="50" t="n">
        <v>-0.091</v>
      </c>
      <c r="G56" s="50" t="n">
        <v>-0.1985</v>
      </c>
      <c r="H56" s="50" t="n">
        <v>0.121</v>
      </c>
      <c r="I56" s="50" t="n">
        <v>0.1075</v>
      </c>
    </row>
    <row r="57" customFormat="false" ht="15" hidden="false" customHeight="true" outlineLevel="0" collapsed="false">
      <c r="A57" s="38" t="n">
        <v>29</v>
      </c>
      <c r="B57" s="38" t="s">
        <v>868</v>
      </c>
      <c r="C57" s="38" t="s">
        <v>169</v>
      </c>
      <c r="D57" s="70" t="n">
        <v>0.3869</v>
      </c>
      <c r="E57" s="50" t="n">
        <v>0.0305</v>
      </c>
      <c r="F57" s="50" t="n">
        <v>-0.0724</v>
      </c>
      <c r="G57" s="50" t="n">
        <v>0.0653</v>
      </c>
      <c r="H57" s="50" t="n">
        <v>0.1029</v>
      </c>
      <c r="I57" s="65" t="n">
        <v>-0.1377</v>
      </c>
    </row>
    <row r="58" customFormat="false" ht="15" hidden="false" customHeight="true" outlineLevel="0" collapsed="false">
      <c r="A58" s="38" t="n">
        <v>27</v>
      </c>
      <c r="B58" s="38" t="s">
        <v>868</v>
      </c>
      <c r="C58" s="38" t="s">
        <v>170</v>
      </c>
      <c r="D58" s="70" t="n">
        <v>0.4673</v>
      </c>
      <c r="E58" s="50" t="n">
        <v>0.1554</v>
      </c>
      <c r="F58" s="50" t="n">
        <v>0.0548</v>
      </c>
      <c r="G58" s="50" t="n">
        <v>-0.1605</v>
      </c>
      <c r="H58" s="50" t="n">
        <v>0.1006</v>
      </c>
      <c r="I58" s="50" t="n">
        <v>0.2153</v>
      </c>
    </row>
    <row r="59" customFormat="false" ht="15" hidden="false" customHeight="true" outlineLevel="0" collapsed="false">
      <c r="A59" s="38" t="n">
        <v>70</v>
      </c>
      <c r="B59" s="38" t="s">
        <v>871</v>
      </c>
      <c r="C59" s="38" t="s">
        <v>169</v>
      </c>
      <c r="D59" s="70" t="n">
        <v>0.3769</v>
      </c>
      <c r="E59" s="50" t="n">
        <v>0.0445</v>
      </c>
      <c r="F59" s="50" t="n">
        <v>-0.0337</v>
      </c>
      <c r="G59" s="50" t="n">
        <v>-0.1688</v>
      </c>
      <c r="H59" s="50" t="n">
        <v>0.0782</v>
      </c>
      <c r="I59" s="50" t="n">
        <v>0.1352</v>
      </c>
    </row>
    <row r="60" customFormat="false" ht="15" hidden="false" customHeight="true" outlineLevel="0" collapsed="false">
      <c r="A60" s="38" t="n">
        <v>64</v>
      </c>
      <c r="B60" s="38" t="s">
        <v>870</v>
      </c>
      <c r="C60" s="38" t="s">
        <v>169</v>
      </c>
      <c r="D60" s="70" t="n">
        <v>0.4623</v>
      </c>
      <c r="E60" s="50" t="n">
        <v>0.058</v>
      </c>
      <c r="F60" s="50" t="n">
        <v>0.0161</v>
      </c>
      <c r="G60" s="50" t="n">
        <v>-0.0115</v>
      </c>
      <c r="H60" s="50" t="n">
        <v>0.0419</v>
      </c>
      <c r="I60" s="50" t="n">
        <v>0.0276</v>
      </c>
    </row>
    <row r="61" customFormat="false" ht="15" hidden="false" customHeight="true" outlineLevel="0" collapsed="false">
      <c r="A61" s="38" t="n">
        <v>6</v>
      </c>
      <c r="B61" s="38" t="s">
        <v>865</v>
      </c>
      <c r="C61" s="38" t="s">
        <v>170</v>
      </c>
      <c r="D61" s="70" t="n">
        <v>0.3266</v>
      </c>
      <c r="E61" s="50" t="n">
        <v>-0.0807</v>
      </c>
      <c r="F61" s="50" t="n">
        <v>-0.1156</v>
      </c>
      <c r="G61" s="50" t="n">
        <v>-0.0248</v>
      </c>
      <c r="H61" s="50" t="n">
        <v>0.0349</v>
      </c>
      <c r="I61" s="65" t="n">
        <v>-0.0908</v>
      </c>
    </row>
    <row r="62" customFormat="false" ht="15" hidden="false" customHeight="true" outlineLevel="0" collapsed="false">
      <c r="A62" s="38" t="n">
        <v>67</v>
      </c>
      <c r="B62" s="38" t="s">
        <v>871</v>
      </c>
      <c r="C62" s="38" t="s">
        <v>169</v>
      </c>
      <c r="D62" s="70" t="n">
        <v>0.3769</v>
      </c>
      <c r="E62" s="50" t="n">
        <v>-0.0516</v>
      </c>
      <c r="F62" s="50" t="n">
        <v>-0.0735</v>
      </c>
      <c r="G62" s="50" t="n">
        <v>-0.066</v>
      </c>
      <c r="H62" s="50" t="n">
        <v>0.0219</v>
      </c>
      <c r="I62" s="65" t="n">
        <v>-0.0075</v>
      </c>
    </row>
    <row r="63" customFormat="false" ht="15" hidden="false" customHeight="true" outlineLevel="0" collapsed="false">
      <c r="A63" s="38" t="n">
        <v>68</v>
      </c>
      <c r="B63" s="38" t="s">
        <v>871</v>
      </c>
      <c r="C63" s="38" t="s">
        <v>169</v>
      </c>
      <c r="D63" s="70" t="n">
        <v>0.4372</v>
      </c>
      <c r="E63" s="50" t="n">
        <v>0.0449</v>
      </c>
      <c r="F63" s="50" t="n">
        <v>0.0401</v>
      </c>
      <c r="G63" s="50" t="n">
        <v>-0.3096</v>
      </c>
      <c r="H63" s="50" t="n">
        <v>0.0048</v>
      </c>
      <c r="I63" s="50" t="n">
        <v>0.3497</v>
      </c>
    </row>
    <row r="64" customFormat="false" ht="15" hidden="false" customHeight="true" outlineLevel="0" collapsed="false">
      <c r="A64" s="38" t="n">
        <v>8</v>
      </c>
      <c r="B64" s="38" t="s">
        <v>866</v>
      </c>
      <c r="C64" s="38" t="s">
        <v>171</v>
      </c>
      <c r="D64" s="70" t="n">
        <v>0.9899</v>
      </c>
      <c r="E64" s="50" t="n">
        <v>1.521</v>
      </c>
      <c r="F64" s="50" t="n">
        <v>1.5221</v>
      </c>
      <c r="G64" s="50" t="n">
        <v>1.5221</v>
      </c>
      <c r="H64" s="50" t="n">
        <v>-0.0011</v>
      </c>
      <c r="I64" s="50" t="n">
        <v>0</v>
      </c>
    </row>
    <row r="65" customFormat="false" ht="15" hidden="false" customHeight="true" outlineLevel="0" collapsed="false">
      <c r="A65" s="38" t="n">
        <v>51</v>
      </c>
      <c r="B65" s="38" t="s">
        <v>870</v>
      </c>
      <c r="C65" s="38" t="s">
        <v>169</v>
      </c>
      <c r="D65" s="70" t="n">
        <v>0.5</v>
      </c>
      <c r="E65" s="50" t="n">
        <v>0.1535</v>
      </c>
      <c r="F65" s="50" t="n">
        <v>0.1758</v>
      </c>
      <c r="G65" s="50" t="n">
        <v>-0.293</v>
      </c>
      <c r="H65" s="50" t="n">
        <v>-0.0223</v>
      </c>
      <c r="I65" s="50" t="n">
        <v>0.4687</v>
      </c>
    </row>
    <row r="66" customFormat="false" ht="15" hidden="false" customHeight="true" outlineLevel="0" collapsed="false">
      <c r="A66" s="38" t="n">
        <v>18</v>
      </c>
      <c r="B66" s="38" t="s">
        <v>867</v>
      </c>
      <c r="C66" s="38" t="s">
        <v>169</v>
      </c>
      <c r="D66" s="70" t="n">
        <v>0.995</v>
      </c>
      <c r="E66" s="50" t="n">
        <v>1.072</v>
      </c>
      <c r="F66" s="50" t="n">
        <v>1.1036</v>
      </c>
      <c r="G66" s="50" t="n">
        <v>1.1036</v>
      </c>
      <c r="H66" s="50" t="n">
        <v>-0.0316</v>
      </c>
      <c r="I66" s="50" t="n">
        <v>0</v>
      </c>
    </row>
    <row r="67" customFormat="false" ht="15" hidden="false" customHeight="true" outlineLevel="0" collapsed="false">
      <c r="A67" s="38" t="n">
        <v>43</v>
      </c>
      <c r="B67" s="38" t="s">
        <v>868</v>
      </c>
      <c r="C67" s="38" t="s">
        <v>169</v>
      </c>
      <c r="D67" s="70" t="n">
        <v>0.4975</v>
      </c>
      <c r="E67" s="50" t="n">
        <v>0.1579</v>
      </c>
      <c r="F67" s="50" t="n">
        <v>0.197</v>
      </c>
      <c r="G67" s="50" t="n">
        <v>-0.1697</v>
      </c>
      <c r="H67" s="50" t="n">
        <v>-0.0391</v>
      </c>
      <c r="I67" s="50" t="n">
        <v>0.3667</v>
      </c>
    </row>
    <row r="68" customFormat="false" ht="15" hidden="false" customHeight="true" outlineLevel="0" collapsed="false">
      <c r="A68" s="38" t="n">
        <v>7</v>
      </c>
      <c r="B68" s="38" t="s">
        <v>865</v>
      </c>
      <c r="C68" s="38" t="s">
        <v>169</v>
      </c>
      <c r="D68" s="70" t="n">
        <v>0.5276</v>
      </c>
      <c r="E68" s="50" t="n">
        <v>0.1837</v>
      </c>
      <c r="F68" s="50" t="n">
        <v>0.2302</v>
      </c>
      <c r="G68" s="50" t="n">
        <v>-0.2762</v>
      </c>
      <c r="H68" s="50" t="n">
        <v>-0.0465</v>
      </c>
      <c r="I68" s="50" t="n">
        <v>0.5064</v>
      </c>
    </row>
    <row r="69" customFormat="false" ht="15" hidden="false" customHeight="true" outlineLevel="0" collapsed="false">
      <c r="A69" s="38" t="n">
        <v>39</v>
      </c>
      <c r="B69" s="38" t="s">
        <v>868</v>
      </c>
      <c r="C69" s="38" t="s">
        <v>169</v>
      </c>
      <c r="D69" s="70" t="n">
        <v>0.3618</v>
      </c>
      <c r="E69" s="50" t="n">
        <v>0.1067</v>
      </c>
      <c r="F69" s="50" t="n">
        <v>0.1579</v>
      </c>
      <c r="G69" s="50" t="n">
        <v>-0.0854</v>
      </c>
      <c r="H69" s="50" t="n">
        <v>-0.0512</v>
      </c>
      <c r="I69" s="50" t="n">
        <v>0.2433</v>
      </c>
    </row>
    <row r="70" customFormat="false" ht="15" hidden="false" customHeight="true" outlineLevel="0" collapsed="false">
      <c r="A70" s="38" t="n">
        <v>56</v>
      </c>
      <c r="B70" s="38" t="s">
        <v>870</v>
      </c>
      <c r="C70" s="38" t="s">
        <v>170</v>
      </c>
      <c r="D70" s="70" t="n">
        <v>0.9799</v>
      </c>
      <c r="E70" s="50" t="n">
        <v>1.1967</v>
      </c>
      <c r="F70" s="50" t="n">
        <v>1.2493</v>
      </c>
      <c r="G70" s="50" t="n">
        <v>1.2493</v>
      </c>
      <c r="H70" s="50" t="n">
        <v>-0.0526</v>
      </c>
      <c r="I70" s="50" t="n">
        <v>0</v>
      </c>
    </row>
    <row r="71" customFormat="false" ht="15" hidden="false" customHeight="true" outlineLevel="0" collapsed="false">
      <c r="A71" s="38" t="n">
        <v>53</v>
      </c>
      <c r="B71" s="38" t="s">
        <v>870</v>
      </c>
      <c r="C71" s="38" t="s">
        <v>169</v>
      </c>
      <c r="D71" s="70" t="n">
        <v>0.9799</v>
      </c>
      <c r="E71" s="50" t="n">
        <v>1.0141</v>
      </c>
      <c r="F71" s="50" t="n">
        <v>1.0884</v>
      </c>
      <c r="G71" s="50" t="n">
        <v>1.0884</v>
      </c>
      <c r="H71" s="50" t="n">
        <v>-0.0743</v>
      </c>
      <c r="I71" s="50" t="n">
        <v>0</v>
      </c>
    </row>
    <row r="72" customFormat="false" ht="15" hidden="false" customHeight="true" outlineLevel="0" collapsed="false">
      <c r="A72" s="38" t="n">
        <v>61</v>
      </c>
      <c r="B72" s="38" t="s">
        <v>870</v>
      </c>
      <c r="C72" s="38" t="s">
        <v>170</v>
      </c>
      <c r="D72" s="70" t="n">
        <v>0.9899</v>
      </c>
      <c r="E72" s="50" t="n">
        <v>1.1779</v>
      </c>
      <c r="F72" s="50" t="n">
        <v>1.2595</v>
      </c>
      <c r="G72" s="50" t="n">
        <v>1.2595</v>
      </c>
      <c r="H72" s="50" t="n">
        <v>-0.0816</v>
      </c>
      <c r="I72" s="50" t="n">
        <v>0</v>
      </c>
    </row>
    <row r="73" customFormat="false" ht="15" hidden="false" customHeight="true" outlineLevel="0" collapsed="false">
      <c r="A73" s="38" t="n">
        <v>36</v>
      </c>
      <c r="B73" s="38" t="s">
        <v>868</v>
      </c>
      <c r="C73" s="38" t="s">
        <v>171</v>
      </c>
      <c r="D73" s="70" t="n">
        <v>0.3568</v>
      </c>
      <c r="E73" s="50" t="n">
        <v>0.0666</v>
      </c>
      <c r="F73" s="50" t="n">
        <v>0.1574</v>
      </c>
      <c r="G73" s="50" t="n">
        <v>0.1574</v>
      </c>
      <c r="H73" s="50" t="n">
        <v>-0.0908</v>
      </c>
      <c r="I73" s="50" t="n">
        <v>0</v>
      </c>
    </row>
    <row r="74" customFormat="false" ht="15" hidden="false" customHeight="true" outlineLevel="0" collapsed="false">
      <c r="A74" s="38" t="n">
        <v>19</v>
      </c>
      <c r="B74" s="38" t="s">
        <v>867</v>
      </c>
      <c r="C74" s="38" t="s">
        <v>169</v>
      </c>
      <c r="D74" s="70" t="n">
        <v>0.9849</v>
      </c>
      <c r="E74" s="50" t="n">
        <v>0.987</v>
      </c>
      <c r="F74" s="50" t="n">
        <v>1.0935</v>
      </c>
      <c r="G74" s="50" t="n">
        <v>1.0935</v>
      </c>
      <c r="H74" s="50" t="n">
        <v>-0.1065</v>
      </c>
      <c r="I74" s="50" t="n">
        <v>0</v>
      </c>
    </row>
    <row r="75" customFormat="false" ht="15" hidden="false" customHeight="true" outlineLevel="0" collapsed="false">
      <c r="A75" s="38" t="n">
        <v>5</v>
      </c>
      <c r="B75" s="38" t="s">
        <v>865</v>
      </c>
      <c r="C75" s="38" t="s">
        <v>170</v>
      </c>
      <c r="D75" s="70" t="n">
        <v>0.397</v>
      </c>
      <c r="E75" s="50" t="n">
        <v>0.0234</v>
      </c>
      <c r="F75" s="50" t="n">
        <v>0.1897</v>
      </c>
      <c r="G75" s="50" t="n">
        <v>-0.3718</v>
      </c>
      <c r="H75" s="50" t="n">
        <v>-0.1663</v>
      </c>
      <c r="I75" s="50" t="n">
        <v>0.5615</v>
      </c>
    </row>
    <row r="76" customFormat="false" ht="15" hidden="false" customHeight="true" outlineLevel="0" collapsed="false">
      <c r="A76" s="38" t="n">
        <v>34</v>
      </c>
      <c r="B76" s="38" t="s">
        <v>868</v>
      </c>
      <c r="C76" s="38" t="s">
        <v>476</v>
      </c>
      <c r="D76" s="70" t="n">
        <v>0.3317</v>
      </c>
      <c r="E76" s="50" t="n">
        <v>0.0532</v>
      </c>
      <c r="F76" s="50" t="n">
        <v>0.2511</v>
      </c>
      <c r="G76" s="50" t="n">
        <v>0.2592</v>
      </c>
      <c r="H76" s="50" t="n">
        <v>-0.1979</v>
      </c>
      <c r="I76" s="65" t="n">
        <v>-0.0081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4843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0"/>
    <col collapsed="false" customWidth="true" hidden="false" outlineLevel="0" max="4" min="4" style="0" width="8"/>
    <col collapsed="false" customWidth="true" hidden="false" outlineLevel="0" max="5" min="5" style="0" width="12"/>
    <col collapsed="false" customWidth="true" hidden="false" outlineLevel="0" max="6" min="6" style="0" width="20"/>
    <col collapsed="false" customWidth="true" hidden="false" outlineLevel="0" max="7" min="7" style="0" width="22"/>
    <col collapsed="false" customWidth="true" hidden="false" outlineLevel="0" max="8" min="8" style="0" width="16"/>
    <col collapsed="false" customWidth="true" hidden="false" outlineLevel="0" max="9" min="9" style="0" width="14"/>
    <col collapsed="false" customWidth="true" hidden="false" outlineLevel="0" max="10" min="10" style="0" width="20"/>
    <col collapsed="false" customWidth="true" hidden="false" outlineLevel="0" max="11" min="11" style="0" width="16"/>
    <col collapsed="false" customWidth="true" hidden="false" outlineLevel="0" max="12" min="12" style="0" width="18"/>
    <col collapsed="false" customWidth="true" hidden="false" outlineLevel="0" max="13" min="13" style="0" width="22"/>
    <col collapsed="false" customWidth="true" hidden="false" outlineLevel="0" max="16" min="14" style="0" width="14"/>
    <col collapsed="false" customWidth="true" hidden="false" outlineLevel="0" max="17" min="17" style="0" width="16"/>
    <col collapsed="false" customWidth="true" hidden="false" outlineLevel="0" max="18" min="18" style="0" width="14"/>
    <col collapsed="false" customWidth="true" hidden="false" outlineLevel="0" max="19" min="19" style="0" width="18"/>
    <col collapsed="false" customWidth="true" hidden="false" outlineLevel="0" max="22" min="20" style="0" width="14"/>
    <col collapsed="false" customWidth="true" hidden="false" outlineLevel="0" max="23" min="23" style="0" width="16"/>
  </cols>
  <sheetData>
    <row r="1" customFormat="false" ht="15" hidden="false" customHeight="true" outlineLevel="0" collapsed="false">
      <c r="A1" s="37" t="s">
        <v>1223</v>
      </c>
      <c r="B1" s="38"/>
      <c r="C1" s="38"/>
      <c r="D1" s="38"/>
      <c r="E1" s="38"/>
      <c r="F1" s="38"/>
      <c r="G1" s="38"/>
      <c r="H1" s="38"/>
      <c r="I1" s="38"/>
      <c r="J1" s="38"/>
      <c r="K1" s="38"/>
      <c r="L1" s="38"/>
      <c r="M1" s="38"/>
      <c r="N1" s="38"/>
      <c r="O1" s="38"/>
      <c r="P1" s="38"/>
      <c r="Q1" s="38"/>
      <c r="R1" s="38"/>
      <c r="S1" s="38"/>
      <c r="T1" s="38"/>
      <c r="U1" s="38"/>
      <c r="V1" s="38"/>
      <c r="W1" s="38"/>
    </row>
    <row r="2" customFormat="false" ht="202.5" hidden="false" customHeight="true" outlineLevel="0" collapsed="false">
      <c r="A2" s="47" t="s">
        <v>1224</v>
      </c>
      <c r="B2" s="38"/>
      <c r="C2" s="38"/>
      <c r="D2" s="38"/>
      <c r="E2" s="38"/>
      <c r="F2" s="38"/>
      <c r="G2" s="38"/>
      <c r="H2" s="38"/>
      <c r="I2" s="38"/>
      <c r="J2" s="38"/>
      <c r="K2" s="38"/>
      <c r="L2" s="38"/>
      <c r="M2" s="38"/>
      <c r="N2" s="38"/>
      <c r="O2" s="38"/>
      <c r="P2" s="38"/>
      <c r="Q2" s="38"/>
      <c r="R2" s="38"/>
      <c r="S2" s="38"/>
      <c r="T2" s="38"/>
      <c r="U2" s="38"/>
      <c r="V2" s="38"/>
      <c r="W2" s="38"/>
    </row>
    <row r="3" customFormat="false" ht="15" hidden="false" customHeight="true" outlineLevel="0" collapsed="false">
      <c r="A3" s="38"/>
      <c r="B3" s="38"/>
      <c r="C3" s="38"/>
      <c r="D3" s="38"/>
      <c r="E3" s="38"/>
      <c r="F3" s="38"/>
      <c r="G3" s="38"/>
      <c r="H3" s="38"/>
      <c r="I3" s="38"/>
      <c r="J3" s="38"/>
      <c r="K3" s="38"/>
      <c r="L3" s="38"/>
      <c r="M3" s="38"/>
      <c r="N3" s="38"/>
      <c r="O3" s="38"/>
      <c r="P3" s="38"/>
      <c r="Q3" s="38"/>
      <c r="R3" s="38"/>
      <c r="S3" s="38"/>
      <c r="T3" s="38"/>
      <c r="U3" s="38"/>
      <c r="V3" s="38"/>
      <c r="W3" s="38"/>
    </row>
    <row r="4" customFormat="false" ht="23.25" hidden="false" customHeight="true" outlineLevel="0" collapsed="false">
      <c r="A4" s="39" t="s">
        <v>2</v>
      </c>
      <c r="B4" s="39" t="s">
        <v>3</v>
      </c>
      <c r="C4" s="39" t="s">
        <v>905</v>
      </c>
      <c r="D4" s="39" t="s">
        <v>1225</v>
      </c>
      <c r="E4" s="39" t="s">
        <v>484</v>
      </c>
      <c r="F4" s="39" t="s">
        <v>880</v>
      </c>
      <c r="G4" s="39" t="s">
        <v>881</v>
      </c>
      <c r="H4" s="39" t="s">
        <v>1226</v>
      </c>
      <c r="I4" s="39" t="s">
        <v>1227</v>
      </c>
      <c r="J4" s="39" t="s">
        <v>1228</v>
      </c>
      <c r="K4" s="39" t="s">
        <v>1229</v>
      </c>
      <c r="L4" s="39" t="s">
        <v>1230</v>
      </c>
      <c r="M4" s="39" t="s">
        <v>1231</v>
      </c>
      <c r="N4" s="39" t="s">
        <v>576</v>
      </c>
      <c r="O4" s="39" t="s">
        <v>580</v>
      </c>
      <c r="P4" s="39" t="s">
        <v>584</v>
      </c>
      <c r="Q4" s="39" t="s">
        <v>882</v>
      </c>
      <c r="R4" s="39" t="s">
        <v>1232</v>
      </c>
      <c r="S4" s="39" t="s">
        <v>1233</v>
      </c>
      <c r="T4" s="39" t="s">
        <v>1234</v>
      </c>
      <c r="U4" s="39" t="s">
        <v>1235</v>
      </c>
      <c r="V4" s="39" t="s">
        <v>1236</v>
      </c>
      <c r="W4" s="39" t="s">
        <v>1237</v>
      </c>
    </row>
    <row r="5" customFormat="false" ht="15" hidden="false" customHeight="true" outlineLevel="0" collapsed="false">
      <c r="A5" s="38" t="s">
        <v>16</v>
      </c>
      <c r="B5" s="38" t="s">
        <v>17</v>
      </c>
      <c r="C5" s="38" t="s">
        <v>18</v>
      </c>
      <c r="D5" s="38" t="n">
        <v>71</v>
      </c>
      <c r="E5" s="74" t="n">
        <v>0.6479</v>
      </c>
      <c r="F5" s="49" t="n">
        <v>0.0381</v>
      </c>
      <c r="G5" s="49" t="n">
        <v>0.0406</v>
      </c>
      <c r="H5" s="46" t="n">
        <v>0.0394</v>
      </c>
      <c r="I5" s="75" t="n">
        <v>-3.57</v>
      </c>
      <c r="J5" s="49" t="n">
        <v>0.001</v>
      </c>
      <c r="K5" s="49" t="n">
        <v>0.0714</v>
      </c>
      <c r="L5" s="76" t="s">
        <v>1156</v>
      </c>
      <c r="M5" s="76" t="s">
        <v>1156</v>
      </c>
      <c r="N5" s="71" t="s">
        <v>19</v>
      </c>
      <c r="O5" s="71" t="s">
        <v>20</v>
      </c>
      <c r="P5" s="71" t="s">
        <v>21</v>
      </c>
      <c r="Q5" s="71" t="s">
        <v>18</v>
      </c>
      <c r="R5" s="71" t="s">
        <v>875</v>
      </c>
      <c r="S5" s="71" t="s">
        <v>1156</v>
      </c>
      <c r="T5" s="75" t="n">
        <v>64.79</v>
      </c>
      <c r="U5" s="75" t="n">
        <v>-32.9</v>
      </c>
      <c r="V5" s="77" t="n">
        <v>-33.32</v>
      </c>
      <c r="W5" s="38" t="s">
        <v>1238</v>
      </c>
    </row>
    <row r="6" customFormat="false" ht="15" hidden="false" customHeight="true" outlineLevel="0" collapsed="false">
      <c r="A6" s="38" t="s">
        <v>23</v>
      </c>
      <c r="B6" s="38" t="s">
        <v>24</v>
      </c>
      <c r="C6" s="38" t="s">
        <v>25</v>
      </c>
      <c r="D6" s="38" t="n">
        <v>86</v>
      </c>
      <c r="E6" s="74" t="n">
        <v>0.4444</v>
      </c>
      <c r="F6" s="49" t="n">
        <v>-0.1879</v>
      </c>
      <c r="G6" s="49" t="n">
        <v>-0.0968</v>
      </c>
      <c r="H6" s="46" t="n">
        <v>-0.1423</v>
      </c>
      <c r="I6" s="75" t="n">
        <v>-5.09</v>
      </c>
      <c r="J6" s="49" t="n">
        <v>0.001</v>
      </c>
      <c r="K6" s="49" t="n">
        <v>0.0714</v>
      </c>
      <c r="L6" s="76" t="s">
        <v>1156</v>
      </c>
      <c r="M6" s="78" t="s">
        <v>1239</v>
      </c>
      <c r="N6" s="71" t="s">
        <v>19</v>
      </c>
      <c r="O6" s="71" t="s">
        <v>20</v>
      </c>
      <c r="P6" s="71" t="s">
        <v>21</v>
      </c>
      <c r="Q6" s="71" t="s">
        <v>25</v>
      </c>
      <c r="R6" s="71" t="s">
        <v>1239</v>
      </c>
      <c r="S6" s="71" t="s">
        <v>1239</v>
      </c>
      <c r="T6" s="75" t="n">
        <v>45.35</v>
      </c>
      <c r="U6" s="75" t="n">
        <v>-20.3</v>
      </c>
      <c r="V6" s="79" t="n">
        <v>-22.27</v>
      </c>
      <c r="W6" s="38" t="s">
        <v>1240</v>
      </c>
    </row>
    <row r="7" customFormat="false" ht="15" hidden="false" customHeight="true" outlineLevel="0" collapsed="false">
      <c r="A7" s="38" t="s">
        <v>27</v>
      </c>
      <c r="B7" s="38" t="s">
        <v>24</v>
      </c>
      <c r="C7" s="38" t="s">
        <v>25</v>
      </c>
      <c r="D7" s="38" t="n">
        <v>88</v>
      </c>
      <c r="E7" s="74" t="n">
        <v>0.4583</v>
      </c>
      <c r="F7" s="49" t="n">
        <v>-0.3172</v>
      </c>
      <c r="G7" s="49" t="n">
        <v>-0.1605</v>
      </c>
      <c r="H7" s="46" t="n">
        <v>-0.2388</v>
      </c>
      <c r="I7" s="75" t="n">
        <v>-5.9</v>
      </c>
      <c r="J7" s="49" t="n">
        <v>0.0021</v>
      </c>
      <c r="K7" s="49" t="n">
        <v>0.2857</v>
      </c>
      <c r="L7" s="78" t="s">
        <v>1239</v>
      </c>
      <c r="M7" s="78" t="s">
        <v>1239</v>
      </c>
      <c r="N7" s="71" t="s">
        <v>19</v>
      </c>
      <c r="O7" s="71" t="s">
        <v>28</v>
      </c>
      <c r="P7" s="71" t="s">
        <v>29</v>
      </c>
      <c r="Q7" s="71" t="s">
        <v>25</v>
      </c>
      <c r="R7" s="71" t="s">
        <v>1239</v>
      </c>
      <c r="S7" s="71" t="s">
        <v>1156</v>
      </c>
      <c r="T7" s="75" t="n">
        <v>43.18</v>
      </c>
      <c r="U7" s="75" t="n">
        <v>-29.4</v>
      </c>
      <c r="V7" s="80" t="n">
        <v>-30.55</v>
      </c>
      <c r="W7" s="38" t="s">
        <v>1241</v>
      </c>
    </row>
    <row r="8" customFormat="false" ht="15" hidden="false" customHeight="true" outlineLevel="0" collapsed="false">
      <c r="A8" s="38" t="s">
        <v>31</v>
      </c>
      <c r="B8" s="38" t="s">
        <v>24</v>
      </c>
      <c r="C8" s="38" t="s">
        <v>25</v>
      </c>
      <c r="D8" s="38" t="n">
        <v>92</v>
      </c>
      <c r="E8" s="74" t="n">
        <v>0.5493</v>
      </c>
      <c r="F8" s="49" t="n">
        <v>-0.3044</v>
      </c>
      <c r="G8" s="49" t="n">
        <v>-0.1894</v>
      </c>
      <c r="H8" s="46" t="n">
        <v>-0.2469</v>
      </c>
      <c r="I8" s="75" t="n">
        <v>-5.96</v>
      </c>
      <c r="J8" s="49" t="n">
        <v>0.0021</v>
      </c>
      <c r="K8" s="49" t="n">
        <v>0.2857</v>
      </c>
      <c r="L8" s="78" t="s">
        <v>1239</v>
      </c>
      <c r="M8" s="78" t="s">
        <v>1239</v>
      </c>
      <c r="N8" s="71" t="s">
        <v>19</v>
      </c>
      <c r="O8" s="71" t="s">
        <v>32</v>
      </c>
      <c r="P8" s="71" t="s">
        <v>33</v>
      </c>
      <c r="Q8" s="71" t="s">
        <v>25</v>
      </c>
      <c r="R8" s="71" t="s">
        <v>1239</v>
      </c>
      <c r="S8" s="71" t="s">
        <v>1156</v>
      </c>
      <c r="T8" s="75" t="n">
        <v>47.83</v>
      </c>
      <c r="U8" s="75" t="n">
        <v>-20.6</v>
      </c>
      <c r="V8" s="80" t="n">
        <v>-22.04</v>
      </c>
      <c r="W8" s="38" t="s">
        <v>1241</v>
      </c>
    </row>
    <row r="9" customFormat="false" ht="15" hidden="false" customHeight="true" outlineLevel="0" collapsed="false">
      <c r="A9" s="38" t="s">
        <v>34</v>
      </c>
      <c r="B9" s="38" t="s">
        <v>17</v>
      </c>
      <c r="C9" s="38" t="s">
        <v>18</v>
      </c>
      <c r="D9" s="38" t="n">
        <v>70</v>
      </c>
      <c r="E9" s="74" t="n">
        <v>0.3286</v>
      </c>
      <c r="F9" s="49" t="n">
        <v>-0.3449</v>
      </c>
      <c r="G9" s="49" t="n">
        <v>-0.2284</v>
      </c>
      <c r="H9" s="46" t="n">
        <v>-0.2866</v>
      </c>
      <c r="I9" s="75" t="n">
        <v>-6.3</v>
      </c>
      <c r="J9" s="49" t="n">
        <v>0.0073</v>
      </c>
      <c r="K9" s="49" t="n">
        <v>0.3571</v>
      </c>
      <c r="L9" s="78" t="s">
        <v>1239</v>
      </c>
      <c r="M9" s="78" t="s">
        <v>1239</v>
      </c>
      <c r="N9" s="71" t="s">
        <v>19</v>
      </c>
      <c r="O9" s="71" t="s">
        <v>32</v>
      </c>
      <c r="P9" s="71" t="s">
        <v>35</v>
      </c>
      <c r="Q9" s="71" t="s">
        <v>18</v>
      </c>
      <c r="R9" s="71" t="s">
        <v>1239</v>
      </c>
      <c r="S9" s="71" t="s">
        <v>1239</v>
      </c>
      <c r="T9" s="75" t="n">
        <v>32.86</v>
      </c>
      <c r="U9" s="75" t="n">
        <v>-14.1</v>
      </c>
      <c r="V9" s="80" t="n">
        <v>-15.35</v>
      </c>
      <c r="W9" s="38" t="s">
        <v>1241</v>
      </c>
    </row>
    <row r="10" customFormat="false" ht="15" hidden="false" customHeight="true" outlineLevel="0" collapsed="false">
      <c r="A10" s="38" t="s">
        <v>36</v>
      </c>
      <c r="B10" s="38" t="s">
        <v>24</v>
      </c>
      <c r="C10" s="38" t="s">
        <v>37</v>
      </c>
      <c r="D10" s="38" t="n">
        <v>70</v>
      </c>
      <c r="E10" s="74" t="n">
        <v>0.4429</v>
      </c>
      <c r="F10" s="49" t="n">
        <v>-0.2854</v>
      </c>
      <c r="G10" s="49" t="n">
        <v>-0.2955</v>
      </c>
      <c r="H10" s="46" t="n">
        <v>-0.2905</v>
      </c>
      <c r="I10" s="75" t="n">
        <v>-6.33</v>
      </c>
      <c r="J10" s="49" t="n">
        <v>0.0083</v>
      </c>
      <c r="K10" s="49" t="n">
        <v>0.4286</v>
      </c>
      <c r="L10" s="78" t="s">
        <v>1239</v>
      </c>
      <c r="M10" s="78" t="s">
        <v>1239</v>
      </c>
      <c r="N10" s="71" t="s">
        <v>38</v>
      </c>
      <c r="O10" s="71" t="s">
        <v>32</v>
      </c>
      <c r="P10" s="71" t="s">
        <v>39</v>
      </c>
      <c r="Q10" s="71" t="s">
        <v>37</v>
      </c>
      <c r="R10" s="71" t="s">
        <v>1239</v>
      </c>
      <c r="S10" s="71" t="s">
        <v>1239</v>
      </c>
      <c r="T10" s="75" t="n">
        <v>44.29</v>
      </c>
      <c r="U10" s="75" t="n">
        <v>-16.5</v>
      </c>
      <c r="V10" s="80" t="n">
        <v>-18.52</v>
      </c>
      <c r="W10" s="38" t="s">
        <v>1241</v>
      </c>
    </row>
    <row r="11" customFormat="false" ht="15" hidden="false" customHeight="true" outlineLevel="0" collapsed="false">
      <c r="A11" s="38" t="s">
        <v>40</v>
      </c>
      <c r="B11" s="38" t="s">
        <v>24</v>
      </c>
      <c r="C11" s="38" t="s">
        <v>37</v>
      </c>
      <c r="D11" s="38" t="n">
        <v>70</v>
      </c>
      <c r="E11" s="74" t="n">
        <v>0.3</v>
      </c>
      <c r="F11" s="49" t="n">
        <v>-0.3702</v>
      </c>
      <c r="G11" s="49" t="n">
        <v>-0.2624</v>
      </c>
      <c r="H11" s="46" t="n">
        <v>-0.3163</v>
      </c>
      <c r="I11" s="75" t="n">
        <v>-6.54</v>
      </c>
      <c r="J11" s="49" t="n">
        <v>0.0114</v>
      </c>
      <c r="K11" s="49" t="n">
        <v>0.4286</v>
      </c>
      <c r="L11" s="78" t="s">
        <v>1239</v>
      </c>
      <c r="M11" s="78" t="s">
        <v>1239</v>
      </c>
      <c r="N11" s="71" t="s">
        <v>19</v>
      </c>
      <c r="O11" s="71" t="s">
        <v>32</v>
      </c>
      <c r="P11" s="71" t="s">
        <v>35</v>
      </c>
      <c r="Q11" s="71" t="s">
        <v>37</v>
      </c>
      <c r="R11" s="71" t="s">
        <v>1239</v>
      </c>
      <c r="S11" s="71" t="s">
        <v>1239</v>
      </c>
      <c r="T11" s="75" t="n">
        <v>30</v>
      </c>
      <c r="U11" s="75" t="n">
        <v>-16.4</v>
      </c>
      <c r="V11" s="80" t="n">
        <v>-17.94</v>
      </c>
      <c r="W11" s="38" t="s">
        <v>1241</v>
      </c>
    </row>
    <row r="12" customFormat="false" ht="15" hidden="false" customHeight="true" outlineLevel="0" collapsed="false">
      <c r="A12" s="38" t="s">
        <v>41</v>
      </c>
      <c r="B12" s="38" t="s">
        <v>24</v>
      </c>
      <c r="C12" s="38" t="s">
        <v>37</v>
      </c>
      <c r="D12" s="38" t="n">
        <v>80</v>
      </c>
      <c r="E12" s="74" t="n">
        <v>0.338</v>
      </c>
      <c r="F12" s="49" t="n">
        <v>-0.5245</v>
      </c>
      <c r="G12" s="49" t="n">
        <v>-0.4042</v>
      </c>
      <c r="H12" s="46" t="n">
        <v>-0.4643</v>
      </c>
      <c r="I12" s="75" t="n">
        <v>-7.78</v>
      </c>
      <c r="J12" s="49" t="n">
        <v>0.1155</v>
      </c>
      <c r="K12" s="49" t="n">
        <v>0.9286</v>
      </c>
      <c r="L12" s="78" t="s">
        <v>1239</v>
      </c>
      <c r="M12" s="78" t="s">
        <v>1239</v>
      </c>
      <c r="N12" s="71" t="s">
        <v>38</v>
      </c>
      <c r="O12" s="71" t="s">
        <v>28</v>
      </c>
      <c r="P12" s="71" t="s">
        <v>35</v>
      </c>
      <c r="Q12" s="71" t="s">
        <v>37</v>
      </c>
      <c r="R12" s="71" t="s">
        <v>1239</v>
      </c>
      <c r="S12" s="71" t="s">
        <v>1239</v>
      </c>
      <c r="T12" s="75" t="n">
        <v>35</v>
      </c>
      <c r="U12" s="75" t="n">
        <v>-19.3</v>
      </c>
      <c r="V12" s="80" t="n">
        <v>-20.2</v>
      </c>
      <c r="W12" s="38" t="s">
        <v>1241</v>
      </c>
    </row>
    <row r="13" customFormat="false" ht="15" hidden="false" customHeight="true" outlineLevel="0" collapsed="false">
      <c r="A13" s="38" t="s">
        <v>42</v>
      </c>
      <c r="B13" s="38" t="s">
        <v>24</v>
      </c>
      <c r="C13" s="38" t="s">
        <v>25</v>
      </c>
      <c r="D13" s="38" t="n">
        <v>93</v>
      </c>
      <c r="E13" s="74" t="n">
        <v>0.4861</v>
      </c>
      <c r="F13" s="49" t="n">
        <v>-0.5057</v>
      </c>
      <c r="G13" s="49" t="n">
        <v>-0.4807</v>
      </c>
      <c r="H13" s="46" t="n">
        <v>-0.4932</v>
      </c>
      <c r="I13" s="75" t="n">
        <v>-8.02</v>
      </c>
      <c r="J13" s="49" t="n">
        <v>0.1717</v>
      </c>
      <c r="K13" s="49" t="n">
        <v>1</v>
      </c>
      <c r="L13" s="78" t="s">
        <v>1239</v>
      </c>
      <c r="M13" s="78" t="s">
        <v>1239</v>
      </c>
      <c r="N13" s="71" t="s">
        <v>19</v>
      </c>
      <c r="O13" s="71" t="s">
        <v>43</v>
      </c>
      <c r="P13" s="71" t="s">
        <v>29</v>
      </c>
      <c r="Q13" s="71" t="s">
        <v>25</v>
      </c>
      <c r="R13" s="71" t="s">
        <v>1239</v>
      </c>
      <c r="S13" s="71" t="s">
        <v>1156</v>
      </c>
      <c r="T13" s="75" t="n">
        <v>47.83</v>
      </c>
      <c r="U13" s="75" t="n">
        <v>-20.6</v>
      </c>
      <c r="V13" s="80" t="n">
        <v>-22.04</v>
      </c>
      <c r="W13" s="38" t="s">
        <v>1241</v>
      </c>
    </row>
    <row r="14" customFormat="false" ht="15" hidden="false" customHeight="true" outlineLevel="0" collapsed="false">
      <c r="A14" s="38"/>
      <c r="B14" s="38"/>
      <c r="C14" s="38"/>
      <c r="D14" s="38"/>
      <c r="E14" s="38"/>
      <c r="F14" s="38"/>
      <c r="G14" s="38"/>
      <c r="H14" s="38"/>
      <c r="I14" s="38"/>
      <c r="J14" s="38"/>
      <c r="K14" s="38"/>
      <c r="L14" s="38"/>
      <c r="M14" s="38"/>
      <c r="N14" s="38"/>
      <c r="O14" s="38"/>
      <c r="P14" s="38"/>
      <c r="Q14" s="38"/>
      <c r="R14" s="38"/>
      <c r="S14" s="38"/>
      <c r="T14" s="38"/>
      <c r="U14" s="38"/>
      <c r="V14" s="38"/>
      <c r="W14" s="38"/>
    </row>
    <row r="15" customFormat="false" ht="15" hidden="false" customHeight="true" outlineLevel="0" collapsed="false">
      <c r="A15" s="37" t="s">
        <v>1242</v>
      </c>
      <c r="B15" s="38"/>
      <c r="C15" s="38"/>
      <c r="D15" s="38"/>
      <c r="E15" s="38"/>
      <c r="F15" s="38"/>
      <c r="G15" s="38"/>
      <c r="H15" s="38"/>
      <c r="I15" s="38"/>
      <c r="J15" s="38"/>
      <c r="K15" s="38"/>
      <c r="L15" s="38"/>
      <c r="M15" s="38"/>
      <c r="N15" s="38"/>
      <c r="O15" s="38"/>
      <c r="P15" s="38"/>
      <c r="Q15" s="38"/>
      <c r="R15" s="38"/>
      <c r="S15" s="38"/>
      <c r="T15" s="38"/>
      <c r="U15" s="38"/>
      <c r="V15" s="38"/>
      <c r="W15" s="38"/>
    </row>
    <row r="16" customFormat="false" ht="23.25" hidden="false" customHeight="true" outlineLevel="0" collapsed="false">
      <c r="A16" s="39" t="s">
        <v>1243</v>
      </c>
      <c r="B16" s="39" t="s">
        <v>559</v>
      </c>
      <c r="C16" s="39" t="s">
        <v>576</v>
      </c>
      <c r="D16" s="39" t="s">
        <v>580</v>
      </c>
      <c r="E16" s="39" t="s">
        <v>484</v>
      </c>
      <c r="F16" s="38"/>
      <c r="G16" s="38"/>
      <c r="H16" s="38"/>
      <c r="I16" s="38"/>
      <c r="J16" s="38"/>
      <c r="K16" s="38"/>
      <c r="L16" s="38"/>
      <c r="M16" s="38"/>
      <c r="N16" s="38"/>
      <c r="O16" s="38"/>
      <c r="P16" s="38"/>
      <c r="Q16" s="38"/>
      <c r="R16" s="38"/>
      <c r="S16" s="38"/>
      <c r="T16" s="38"/>
      <c r="U16" s="38"/>
      <c r="V16" s="38"/>
      <c r="W16" s="38"/>
    </row>
    <row r="17" customFormat="false" ht="15" hidden="false" customHeight="true" outlineLevel="0" collapsed="false">
      <c r="A17" s="41" t="s">
        <v>1244</v>
      </c>
      <c r="B17" s="53" t="n">
        <v>0.466</v>
      </c>
      <c r="C17" s="50" t="n">
        <v>0.974</v>
      </c>
      <c r="D17" s="50" t="n">
        <v>0.945</v>
      </c>
      <c r="E17" s="50" t="n">
        <v>0.598</v>
      </c>
      <c r="F17" s="38"/>
      <c r="G17" s="38"/>
      <c r="H17" s="38"/>
      <c r="I17" s="38"/>
      <c r="J17" s="38"/>
      <c r="K17" s="38"/>
      <c r="L17" s="38"/>
      <c r="M17" s="38"/>
      <c r="N17" s="38"/>
      <c r="O17" s="38"/>
      <c r="P17" s="38"/>
      <c r="Q17" s="38"/>
      <c r="R17" s="38"/>
      <c r="S17" s="38"/>
      <c r="T17" s="38"/>
      <c r="U17" s="38"/>
      <c r="V17" s="38"/>
      <c r="W17" s="38"/>
    </row>
    <row r="18" customFormat="false" ht="15" hidden="false" customHeight="true" outlineLevel="0" collapsed="false">
      <c r="A18" s="41" t="s">
        <v>1245</v>
      </c>
      <c r="B18" s="53" t="n">
        <v>0.0288</v>
      </c>
      <c r="C18" s="38" t="s">
        <v>176</v>
      </c>
      <c r="D18" s="38" t="s">
        <v>176</v>
      </c>
      <c r="E18" s="38" t="s">
        <v>176</v>
      </c>
      <c r="F18" s="38"/>
      <c r="G18" s="38"/>
      <c r="H18" s="38"/>
      <c r="I18" s="38"/>
      <c r="J18" s="38"/>
      <c r="K18" s="38"/>
      <c r="L18" s="38"/>
      <c r="M18" s="38"/>
      <c r="N18" s="38"/>
      <c r="O18" s="38"/>
      <c r="P18" s="38"/>
      <c r="Q18" s="38"/>
      <c r="R18" s="38"/>
      <c r="S18" s="38"/>
      <c r="T18" s="38"/>
      <c r="U18" s="38"/>
      <c r="V18" s="38"/>
      <c r="W18" s="38"/>
    </row>
    <row r="19" customFormat="false" ht="15" hidden="false" customHeight="true" outlineLevel="0" collapsed="false">
      <c r="A19" s="67" t="s">
        <v>1246</v>
      </c>
      <c r="B19" s="68" t="n">
        <v>-0.0801</v>
      </c>
      <c r="C19" s="64" t="s">
        <v>176</v>
      </c>
      <c r="D19" s="64" t="s">
        <v>176</v>
      </c>
      <c r="E19" s="64" t="s">
        <v>176</v>
      </c>
      <c r="F19" s="38"/>
      <c r="G19" s="38"/>
      <c r="H19" s="38"/>
      <c r="I19" s="38"/>
      <c r="J19" s="38"/>
      <c r="K19" s="38"/>
      <c r="L19" s="38"/>
      <c r="M19" s="38"/>
      <c r="N19" s="38"/>
      <c r="O19" s="38"/>
      <c r="P19" s="38"/>
      <c r="Q19" s="38"/>
      <c r="R19" s="38"/>
      <c r="S19" s="38"/>
      <c r="T19" s="38"/>
      <c r="U19" s="38"/>
      <c r="V19" s="38"/>
      <c r="W19" s="38"/>
    </row>
    <row r="20" customFormat="false" ht="15" hidden="false" customHeight="true" outlineLevel="0" collapsed="false">
      <c r="A20" s="41" t="s">
        <v>1129</v>
      </c>
      <c r="B20" s="53" t="n">
        <v>-0.189</v>
      </c>
      <c r="C20" s="38" t="s">
        <v>176</v>
      </c>
      <c r="D20" s="38" t="s">
        <v>176</v>
      </c>
      <c r="E20" s="38" t="s">
        <v>176</v>
      </c>
      <c r="F20" s="38"/>
      <c r="G20" s="38"/>
      <c r="H20" s="38"/>
      <c r="I20" s="38"/>
      <c r="J20" s="38"/>
      <c r="K20" s="38"/>
      <c r="L20" s="38"/>
      <c r="M20" s="38"/>
      <c r="N20" s="38"/>
      <c r="O20" s="38"/>
      <c r="P20" s="38"/>
      <c r="Q20" s="38"/>
      <c r="R20" s="38"/>
      <c r="S20" s="38"/>
      <c r="T20" s="38"/>
      <c r="U20" s="38"/>
      <c r="V20" s="38"/>
      <c r="W20" s="38"/>
    </row>
    <row r="21" customFormat="false" ht="15" hidden="false" customHeight="true" outlineLevel="0" collapsed="false">
      <c r="A21" s="59" t="s">
        <v>1247</v>
      </c>
      <c r="B21" s="63" t="n">
        <v>-0.3381</v>
      </c>
      <c r="C21" s="65" t="n">
        <v>0.919</v>
      </c>
      <c r="D21" s="65" t="n">
        <v>0.667</v>
      </c>
      <c r="E21" s="65" t="n">
        <v>0.313</v>
      </c>
      <c r="F21" s="38"/>
      <c r="G21" s="38"/>
      <c r="H21" s="38"/>
      <c r="I21" s="38"/>
      <c r="J21" s="38"/>
      <c r="K21" s="38"/>
      <c r="L21" s="38"/>
      <c r="M21" s="38"/>
      <c r="N21" s="38"/>
      <c r="O21" s="38"/>
      <c r="P21" s="38"/>
      <c r="Q21" s="38"/>
      <c r="R21" s="38"/>
      <c r="S21" s="38"/>
      <c r="T21" s="38"/>
      <c r="U21" s="38"/>
      <c r="V21" s="38"/>
      <c r="W21" s="38"/>
    </row>
    <row r="22" customFormat="false" ht="15" hidden="false" customHeight="true" outlineLevel="0" collapsed="false">
      <c r="A22" s="41" t="s">
        <v>1248</v>
      </c>
      <c r="B22" s="53" t="n">
        <v>-0.6026</v>
      </c>
      <c r="C22" s="50" t="n">
        <v>0.4</v>
      </c>
      <c r="D22" s="50" t="n">
        <v>0.241</v>
      </c>
      <c r="E22" s="38" t="s">
        <v>1249</v>
      </c>
      <c r="F22" s="38"/>
      <c r="G22" s="38"/>
      <c r="H22" s="38"/>
      <c r="I22" s="38"/>
      <c r="J22" s="38"/>
      <c r="K22" s="38"/>
      <c r="L22" s="38"/>
      <c r="M22" s="38"/>
      <c r="N22" s="38"/>
      <c r="O22" s="38"/>
      <c r="P22" s="38"/>
      <c r="Q22" s="38"/>
      <c r="R22" s="38"/>
      <c r="S22" s="38"/>
      <c r="T22" s="38"/>
      <c r="U22" s="38"/>
      <c r="V22" s="38"/>
      <c r="W22" s="38"/>
    </row>
    <row r="23" customFormat="false" ht="15" hidden="false" customHeight="true" outlineLevel="0" collapsed="false">
      <c r="A23" s="38"/>
      <c r="B23" s="38"/>
      <c r="C23" s="38"/>
      <c r="D23" s="38"/>
      <c r="E23" s="38"/>
      <c r="F23" s="38"/>
      <c r="G23" s="38"/>
      <c r="H23" s="38"/>
      <c r="I23" s="38"/>
      <c r="J23" s="38"/>
      <c r="K23" s="38"/>
      <c r="L23" s="38"/>
      <c r="M23" s="38"/>
      <c r="N23" s="38"/>
      <c r="O23" s="38"/>
      <c r="P23" s="38"/>
      <c r="Q23" s="38"/>
      <c r="R23" s="38"/>
      <c r="S23" s="38"/>
      <c r="T23" s="38"/>
      <c r="U23" s="38"/>
      <c r="V23" s="38"/>
      <c r="W23" s="38"/>
    </row>
    <row r="24" customFormat="false" ht="15" hidden="false" customHeight="true" outlineLevel="0" collapsed="false">
      <c r="A24" s="38"/>
      <c r="B24" s="38"/>
      <c r="C24" s="38"/>
      <c r="D24" s="38"/>
      <c r="E24" s="38"/>
      <c r="F24" s="38"/>
      <c r="G24" s="38"/>
      <c r="H24" s="38"/>
      <c r="I24" s="38"/>
      <c r="J24" s="38"/>
      <c r="K24" s="38"/>
      <c r="L24" s="38"/>
      <c r="M24" s="38"/>
      <c r="N24" s="38"/>
      <c r="O24" s="38"/>
      <c r="P24" s="38"/>
      <c r="Q24" s="38"/>
      <c r="R24" s="38"/>
      <c r="S24" s="38"/>
      <c r="T24" s="38"/>
      <c r="U24" s="38"/>
      <c r="V24" s="38"/>
      <c r="W24" s="38"/>
    </row>
    <row r="25" customFormat="false" ht="15" hidden="false" customHeight="true" outlineLevel="0" collapsed="false">
      <c r="A25" s="37" t="s">
        <v>1250</v>
      </c>
      <c r="B25" s="38"/>
      <c r="C25" s="38"/>
      <c r="D25" s="38"/>
      <c r="E25" s="38"/>
      <c r="F25" s="38"/>
      <c r="G25" s="38"/>
      <c r="H25" s="38"/>
      <c r="I25" s="38"/>
      <c r="J25" s="38"/>
      <c r="K25" s="38"/>
      <c r="L25" s="38"/>
      <c r="M25" s="38"/>
      <c r="N25" s="38"/>
      <c r="O25" s="38"/>
      <c r="P25" s="38"/>
      <c r="Q25" s="38"/>
      <c r="R25" s="38"/>
      <c r="S25" s="38"/>
      <c r="T25" s="38"/>
      <c r="U25" s="38"/>
      <c r="V25" s="38"/>
      <c r="W25" s="38"/>
    </row>
    <row r="26" customFormat="false" ht="15" hidden="false" customHeight="true" outlineLevel="0" collapsed="false">
      <c r="A26" s="81" t="s">
        <v>1238</v>
      </c>
      <c r="B26" s="66" t="s">
        <v>1251</v>
      </c>
      <c r="C26" s="66"/>
      <c r="D26" s="66"/>
      <c r="E26" s="66"/>
      <c r="F26" s="66"/>
      <c r="G26" s="66"/>
      <c r="H26" s="66"/>
      <c r="I26" s="66"/>
      <c r="J26" s="66"/>
      <c r="K26" s="66"/>
      <c r="L26" s="66"/>
      <c r="M26" s="66"/>
      <c r="N26" s="66"/>
      <c r="O26" s="66"/>
      <c r="P26" s="66"/>
      <c r="Q26" s="66"/>
      <c r="R26" s="66"/>
      <c r="S26" s="66"/>
      <c r="T26" s="66"/>
      <c r="U26" s="66"/>
      <c r="V26" s="66"/>
      <c r="W26" s="38"/>
    </row>
    <row r="27" customFormat="false" ht="15" hidden="false" customHeight="true" outlineLevel="0" collapsed="false">
      <c r="A27" s="82" t="s">
        <v>1240</v>
      </c>
      <c r="B27" s="66" t="s">
        <v>1252</v>
      </c>
      <c r="C27" s="66"/>
      <c r="D27" s="66"/>
      <c r="E27" s="66"/>
      <c r="F27" s="66"/>
      <c r="G27" s="66"/>
      <c r="H27" s="66"/>
      <c r="I27" s="66"/>
      <c r="J27" s="66"/>
      <c r="K27" s="66"/>
      <c r="L27" s="66"/>
      <c r="M27" s="66"/>
      <c r="N27" s="66"/>
      <c r="O27" s="66"/>
      <c r="P27" s="66"/>
      <c r="Q27" s="66"/>
      <c r="R27" s="66"/>
      <c r="S27" s="66"/>
      <c r="T27" s="66"/>
      <c r="U27" s="66"/>
      <c r="V27" s="66"/>
      <c r="W27" s="38"/>
    </row>
    <row r="28" customFormat="false" ht="15" hidden="false" customHeight="true" outlineLevel="0" collapsed="false">
      <c r="A28" s="83" t="s">
        <v>1241</v>
      </c>
      <c r="B28" s="66" t="s">
        <v>1253</v>
      </c>
      <c r="C28" s="66"/>
      <c r="D28" s="66"/>
      <c r="E28" s="66"/>
      <c r="F28" s="66"/>
      <c r="G28" s="66"/>
      <c r="H28" s="66"/>
      <c r="I28" s="66"/>
      <c r="J28" s="66"/>
      <c r="K28" s="66"/>
      <c r="L28" s="66"/>
      <c r="M28" s="66"/>
      <c r="N28" s="66"/>
      <c r="O28" s="66"/>
      <c r="P28" s="66"/>
      <c r="Q28" s="66"/>
      <c r="R28" s="66"/>
      <c r="S28" s="66"/>
      <c r="T28" s="66"/>
      <c r="U28" s="66"/>
      <c r="V28" s="66"/>
      <c r="W28" s="38"/>
    </row>
    <row r="29" customFormat="false" ht="15" hidden="false" customHeight="true" outlineLevel="0" collapsed="false">
      <c r="A29" s="38"/>
      <c r="B29" s="38"/>
      <c r="C29" s="38"/>
      <c r="D29" s="38"/>
      <c r="E29" s="38"/>
      <c r="F29" s="38"/>
      <c r="G29" s="38"/>
      <c r="H29" s="38"/>
      <c r="I29" s="38"/>
      <c r="J29" s="38"/>
      <c r="K29" s="38"/>
      <c r="L29" s="38"/>
      <c r="M29" s="38"/>
      <c r="N29" s="38"/>
      <c r="O29" s="38"/>
      <c r="P29" s="38"/>
      <c r="Q29" s="38"/>
      <c r="R29" s="38"/>
      <c r="S29" s="38"/>
      <c r="T29" s="38"/>
      <c r="U29" s="38"/>
      <c r="V29" s="38"/>
      <c r="W29" s="38"/>
    </row>
    <row r="30" customFormat="false" ht="15" hidden="false" customHeight="true" outlineLevel="0" collapsed="false">
      <c r="A30" s="38"/>
      <c r="B30" s="38"/>
      <c r="C30" s="38"/>
      <c r="D30" s="38"/>
      <c r="E30" s="38"/>
      <c r="F30" s="38"/>
      <c r="G30" s="38"/>
      <c r="H30" s="38"/>
      <c r="I30" s="38"/>
      <c r="J30" s="38"/>
      <c r="K30" s="38"/>
      <c r="L30" s="38"/>
      <c r="M30" s="38"/>
      <c r="N30" s="38"/>
      <c r="O30" s="38"/>
      <c r="P30" s="38"/>
      <c r="Q30" s="38"/>
      <c r="R30" s="38"/>
      <c r="S30" s="38"/>
      <c r="T30" s="38"/>
      <c r="U30" s="38"/>
      <c r="V30" s="38"/>
      <c r="W30" s="38"/>
    </row>
    <row r="31" customFormat="false" ht="15" hidden="false" customHeight="true" outlineLevel="0" collapsed="false">
      <c r="A31" s="37" t="s">
        <v>1254</v>
      </c>
      <c r="B31" s="38"/>
      <c r="C31" s="38"/>
      <c r="D31" s="38"/>
      <c r="E31" s="38"/>
      <c r="F31" s="38"/>
      <c r="G31" s="38"/>
      <c r="H31" s="38"/>
      <c r="I31" s="38"/>
      <c r="J31" s="38"/>
      <c r="K31" s="38"/>
      <c r="L31" s="38"/>
      <c r="M31" s="38"/>
      <c r="N31" s="38"/>
      <c r="O31" s="38"/>
      <c r="P31" s="38"/>
      <c r="Q31" s="38"/>
      <c r="R31" s="38"/>
      <c r="S31" s="38"/>
      <c r="T31" s="38"/>
      <c r="U31" s="38"/>
      <c r="V31" s="38"/>
      <c r="W31" s="38"/>
    </row>
    <row r="32" customFormat="false" ht="15" hidden="false" customHeight="true" outlineLevel="0" collapsed="false">
      <c r="A32" s="41" t="s">
        <v>1238</v>
      </c>
      <c r="B32" s="41" t="n">
        <v>1</v>
      </c>
      <c r="C32" s="38" t="s">
        <v>16</v>
      </c>
      <c r="D32" s="38"/>
      <c r="E32" s="38"/>
      <c r="F32" s="38"/>
      <c r="G32" s="38"/>
      <c r="H32" s="38"/>
      <c r="I32" s="38"/>
      <c r="J32" s="38"/>
      <c r="K32" s="38"/>
      <c r="L32" s="38"/>
      <c r="M32" s="38"/>
      <c r="N32" s="38"/>
      <c r="O32" s="38"/>
      <c r="P32" s="38"/>
      <c r="Q32" s="38"/>
      <c r="R32" s="38"/>
      <c r="S32" s="38"/>
      <c r="T32" s="38"/>
      <c r="U32" s="38"/>
      <c r="V32" s="38"/>
      <c r="W32" s="38"/>
    </row>
    <row r="33" customFormat="false" ht="15" hidden="false" customHeight="true" outlineLevel="0" collapsed="false">
      <c r="A33" s="41" t="s">
        <v>1240</v>
      </c>
      <c r="B33" s="41" t="n">
        <v>1</v>
      </c>
      <c r="C33" s="38" t="s">
        <v>23</v>
      </c>
      <c r="D33" s="38"/>
      <c r="E33" s="38"/>
      <c r="F33" s="38"/>
      <c r="G33" s="38"/>
      <c r="H33" s="38"/>
      <c r="I33" s="38"/>
      <c r="J33" s="38"/>
      <c r="K33" s="38"/>
      <c r="L33" s="38"/>
      <c r="M33" s="38"/>
      <c r="N33" s="38"/>
      <c r="O33" s="38"/>
      <c r="P33" s="38"/>
      <c r="Q33" s="38"/>
      <c r="R33" s="38"/>
      <c r="S33" s="38"/>
      <c r="T33" s="38"/>
      <c r="U33" s="38"/>
      <c r="V33" s="38"/>
      <c r="W33" s="38"/>
    </row>
    <row r="34" customFormat="false" ht="15" hidden="false" customHeight="true" outlineLevel="0" collapsed="false">
      <c r="A34" s="41" t="s">
        <v>1241</v>
      </c>
      <c r="B34" s="41" t="n">
        <v>7</v>
      </c>
      <c r="C34" s="38" t="s">
        <v>1255</v>
      </c>
      <c r="D34" s="38"/>
      <c r="E34" s="38"/>
      <c r="F34" s="38"/>
      <c r="G34" s="38"/>
      <c r="H34" s="38"/>
      <c r="I34" s="38"/>
      <c r="J34" s="38"/>
      <c r="K34" s="38"/>
      <c r="L34" s="38"/>
      <c r="M34" s="38"/>
      <c r="N34" s="38"/>
      <c r="O34" s="38"/>
      <c r="P34" s="38"/>
      <c r="Q34" s="38"/>
      <c r="R34" s="38"/>
      <c r="S34" s="38"/>
      <c r="T34" s="38"/>
      <c r="U34" s="38"/>
      <c r="V34" s="38"/>
      <c r="W34" s="38"/>
    </row>
    <row r="35" customFormat="false" ht="15" hidden="false" customHeight="true" outlineLevel="0" collapsed="false">
      <c r="A35" s="38"/>
      <c r="B35" s="38"/>
      <c r="C35" s="38"/>
      <c r="D35" s="38"/>
      <c r="E35" s="38"/>
      <c r="F35" s="38"/>
      <c r="G35" s="38"/>
      <c r="H35" s="38"/>
      <c r="I35" s="38"/>
      <c r="J35" s="38"/>
      <c r="K35" s="38"/>
      <c r="L35" s="38"/>
      <c r="M35" s="38"/>
      <c r="N35" s="38"/>
      <c r="O35" s="38"/>
      <c r="P35" s="38"/>
      <c r="Q35" s="38"/>
      <c r="R35" s="38"/>
      <c r="S35" s="38"/>
      <c r="T35" s="38"/>
      <c r="U35" s="38"/>
      <c r="V35" s="38"/>
      <c r="W35" s="38"/>
    </row>
    <row r="36" customFormat="false" ht="15" hidden="false" customHeight="true" outlineLevel="0" collapsed="false">
      <c r="A36" s="37" t="s">
        <v>1256</v>
      </c>
      <c r="B36" s="38"/>
      <c r="C36" s="38"/>
      <c r="D36" s="38"/>
      <c r="E36" s="38"/>
      <c r="F36" s="38"/>
      <c r="G36" s="38"/>
      <c r="H36" s="38"/>
      <c r="I36" s="38"/>
      <c r="J36" s="38"/>
      <c r="K36" s="38"/>
      <c r="L36" s="38"/>
      <c r="M36" s="38"/>
      <c r="N36" s="38"/>
      <c r="O36" s="38"/>
      <c r="P36" s="38"/>
      <c r="Q36" s="38"/>
      <c r="R36" s="38"/>
      <c r="S36" s="38"/>
      <c r="T36" s="38"/>
      <c r="U36" s="38"/>
      <c r="V36" s="38"/>
      <c r="W36" s="38"/>
    </row>
    <row r="37" customFormat="false" ht="15" hidden="false" customHeight="true" outlineLevel="0" collapsed="false">
      <c r="A37" s="66" t="s">
        <v>1257</v>
      </c>
      <c r="B37" s="66"/>
      <c r="C37" s="66"/>
      <c r="D37" s="66"/>
      <c r="E37" s="66"/>
      <c r="F37" s="66"/>
      <c r="G37" s="66"/>
      <c r="H37" s="66"/>
      <c r="I37" s="66"/>
      <c r="J37" s="66"/>
      <c r="K37" s="66"/>
      <c r="L37" s="66"/>
      <c r="M37" s="66"/>
      <c r="N37" s="66"/>
      <c r="O37" s="66"/>
      <c r="P37" s="66"/>
      <c r="Q37" s="66"/>
      <c r="R37" s="66"/>
      <c r="S37" s="66"/>
      <c r="T37" s="66"/>
      <c r="U37" s="66"/>
      <c r="V37" s="66"/>
      <c r="W37" s="38"/>
    </row>
    <row r="38" customFormat="false" ht="15" hidden="false" customHeight="true" outlineLevel="0" collapsed="false">
      <c r="A38" s="66"/>
      <c r="B38" s="66"/>
      <c r="C38" s="66"/>
      <c r="D38" s="66"/>
      <c r="E38" s="66"/>
      <c r="F38" s="66"/>
      <c r="G38" s="66"/>
      <c r="H38" s="66"/>
      <c r="I38" s="66"/>
      <c r="J38" s="66"/>
      <c r="K38" s="66"/>
      <c r="L38" s="66"/>
      <c r="M38" s="66"/>
      <c r="N38" s="66"/>
      <c r="O38" s="66"/>
      <c r="P38" s="66"/>
      <c r="Q38" s="66"/>
      <c r="R38" s="66"/>
      <c r="S38" s="66"/>
      <c r="T38" s="66"/>
      <c r="U38" s="66"/>
      <c r="V38" s="66"/>
      <c r="W38" s="38"/>
    </row>
    <row r="39" customFormat="false" ht="15" hidden="false" customHeight="true" outlineLevel="0" collapsed="false">
      <c r="A39" s="66"/>
      <c r="B39" s="66"/>
      <c r="C39" s="66"/>
      <c r="D39" s="66"/>
      <c r="E39" s="66"/>
      <c r="F39" s="66"/>
      <c r="G39" s="66"/>
      <c r="H39" s="66"/>
      <c r="I39" s="66"/>
      <c r="J39" s="66"/>
      <c r="K39" s="66"/>
      <c r="L39" s="66"/>
      <c r="M39" s="66"/>
      <c r="N39" s="66"/>
      <c r="O39" s="66"/>
      <c r="P39" s="66"/>
      <c r="Q39" s="66"/>
      <c r="R39" s="66"/>
      <c r="S39" s="66"/>
      <c r="T39" s="66"/>
      <c r="U39" s="66"/>
      <c r="V39" s="66"/>
      <c r="W39" s="38"/>
    </row>
    <row r="40" customFormat="false" ht="15" hidden="false" customHeight="true" outlineLevel="0" collapsed="false">
      <c r="A40" s="66"/>
      <c r="B40" s="66"/>
      <c r="C40" s="66"/>
      <c r="D40" s="66"/>
      <c r="E40" s="66"/>
      <c r="F40" s="66"/>
      <c r="G40" s="66"/>
      <c r="H40" s="66"/>
      <c r="I40" s="66"/>
      <c r="J40" s="66"/>
      <c r="K40" s="66"/>
      <c r="L40" s="66"/>
      <c r="M40" s="66"/>
      <c r="N40" s="66"/>
      <c r="O40" s="66"/>
      <c r="P40" s="66"/>
      <c r="Q40" s="66"/>
      <c r="R40" s="66"/>
      <c r="S40" s="66"/>
      <c r="T40" s="66"/>
      <c r="U40" s="66"/>
      <c r="V40" s="66"/>
      <c r="W40" s="38"/>
    </row>
  </sheetData>
  <mergeCells count="4">
    <mergeCell ref="B26:V26"/>
    <mergeCell ref="B27:V27"/>
    <mergeCell ref="B28:V28"/>
    <mergeCell ref="A37:V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22"/>
    <col collapsed="false" customWidth="true" hidden="false" outlineLevel="0" max="4" min="4" style="0" width="24"/>
    <col collapsed="false" customWidth="true" hidden="false" outlineLevel="0" max="5" min="5" style="0" width="22"/>
    <col collapsed="false" customWidth="true" hidden="false" outlineLevel="0" max="6" min="6" style="0" width="26"/>
    <col collapsed="false" customWidth="true" hidden="false" outlineLevel="0" max="7" min="7" style="0" width="74"/>
  </cols>
  <sheetData>
    <row r="1" customFormat="false" ht="15" hidden="false" customHeight="true" outlineLevel="0" collapsed="false">
      <c r="A1" s="37" t="s">
        <v>1258</v>
      </c>
      <c r="B1" s="38"/>
      <c r="C1" s="38"/>
      <c r="D1" s="38"/>
      <c r="E1" s="38"/>
      <c r="F1" s="38"/>
      <c r="G1" s="38"/>
    </row>
    <row r="2" customFormat="false" ht="15" hidden="false" customHeight="true" outlineLevel="0" collapsed="false">
      <c r="A2" s="38" t="s">
        <v>1259</v>
      </c>
      <c r="B2" s="38"/>
      <c r="C2" s="38"/>
      <c r="D2" s="38"/>
      <c r="E2" s="38"/>
      <c r="F2" s="38"/>
      <c r="G2" s="38"/>
    </row>
    <row r="3" customFormat="false" ht="15" hidden="false" customHeight="true" outlineLevel="0" collapsed="false">
      <c r="A3" s="38"/>
      <c r="B3" s="38"/>
      <c r="C3" s="38"/>
      <c r="D3" s="38"/>
      <c r="E3" s="38"/>
      <c r="F3" s="38"/>
      <c r="G3" s="38"/>
    </row>
    <row r="4" customFormat="false" ht="15" hidden="false" customHeight="true" outlineLevel="0" collapsed="false">
      <c r="A4" s="39" t="s">
        <v>1260</v>
      </c>
      <c r="B4" s="39" t="s">
        <v>50</v>
      </c>
      <c r="C4" s="39" t="s">
        <v>1261</v>
      </c>
      <c r="D4" s="39" t="s">
        <v>1262</v>
      </c>
      <c r="E4" s="39" t="s">
        <v>1263</v>
      </c>
      <c r="F4" s="39" t="s">
        <v>1264</v>
      </c>
      <c r="G4" s="39" t="s">
        <v>1265</v>
      </c>
    </row>
    <row r="5" customFormat="false" ht="23.25" hidden="false" customHeight="true" outlineLevel="0" collapsed="false">
      <c r="A5" s="41" t="s">
        <v>1055</v>
      </c>
      <c r="B5" s="38" t="n">
        <v>199</v>
      </c>
      <c r="C5" s="50" t="n">
        <v>0.916</v>
      </c>
      <c r="D5" s="50" t="n">
        <v>0.475</v>
      </c>
      <c r="E5" s="50" t="n">
        <v>0.632</v>
      </c>
      <c r="F5" s="50" t="n">
        <v>0.391</v>
      </c>
      <c r="G5" s="47" t="s">
        <v>1266</v>
      </c>
    </row>
    <row r="6" customFormat="false" ht="23.25" hidden="false" customHeight="true" outlineLevel="0" collapsed="false">
      <c r="A6" s="41" t="s">
        <v>1057</v>
      </c>
      <c r="B6" s="38" t="n">
        <v>96</v>
      </c>
      <c r="C6" s="50" t="n">
        <v>0.931</v>
      </c>
      <c r="D6" s="50" t="n">
        <v>0.059</v>
      </c>
      <c r="E6" s="50" t="n">
        <v>0.473</v>
      </c>
      <c r="F6" s="50" t="n">
        <v>0.004</v>
      </c>
      <c r="G6" s="47" t="s">
        <v>1267</v>
      </c>
    </row>
    <row r="7" customFormat="false" ht="15" hidden="false" customHeight="true" outlineLevel="0" collapsed="false">
      <c r="A7" s="41" t="s">
        <v>1268</v>
      </c>
      <c r="B7" s="38" t="n">
        <v>62</v>
      </c>
      <c r="C7" s="50" t="n">
        <v>0.91</v>
      </c>
      <c r="D7" s="50" t="n">
        <v>0.371</v>
      </c>
      <c r="E7" s="50" t="n">
        <v>0.147</v>
      </c>
      <c r="F7" s="50" t="n">
        <v>0.214</v>
      </c>
      <c r="G7" s="47" t="s">
        <v>1269</v>
      </c>
    </row>
    <row r="8" customFormat="false" ht="23.25" hidden="false" customHeight="true" outlineLevel="0" collapsed="false">
      <c r="A8" s="41" t="s">
        <v>1270</v>
      </c>
      <c r="B8" s="38" t="n">
        <v>9</v>
      </c>
      <c r="C8" s="50" t="n">
        <v>0.936</v>
      </c>
      <c r="D8" s="50" t="n">
        <v>-0.316</v>
      </c>
      <c r="E8" s="50" t="n">
        <v>0.878</v>
      </c>
      <c r="F8" s="50" t="n">
        <v>-0.239</v>
      </c>
      <c r="G8" s="47" t="s">
        <v>1271</v>
      </c>
    </row>
    <row r="9" customFormat="false" ht="23.25" hidden="false" customHeight="true" outlineLevel="0" collapsed="false">
      <c r="A9" s="41" t="s">
        <v>1272</v>
      </c>
      <c r="B9" s="38" t="n">
        <v>13</v>
      </c>
      <c r="C9" s="50" t="n">
        <v>0.692</v>
      </c>
      <c r="D9" s="50" t="n">
        <v>0.035</v>
      </c>
      <c r="E9" s="50" t="n">
        <v>0.401</v>
      </c>
      <c r="F9" s="50" t="n">
        <v>0.3</v>
      </c>
      <c r="G9" s="47" t="s">
        <v>1273</v>
      </c>
    </row>
    <row r="10" customFormat="false" ht="34.5" hidden="false" customHeight="true" outlineLevel="0" collapsed="false">
      <c r="A10" s="41" t="s">
        <v>1274</v>
      </c>
      <c r="B10" s="38" t="n">
        <v>960</v>
      </c>
      <c r="C10" s="50" t="n">
        <v>0.513</v>
      </c>
      <c r="D10" s="50" t="n">
        <v>0.066</v>
      </c>
      <c r="E10" s="50" t="n">
        <v>0.586</v>
      </c>
      <c r="F10" s="50" t="n">
        <v>0.086</v>
      </c>
      <c r="G10" s="47" t="s">
        <v>1275</v>
      </c>
    </row>
    <row r="11" customFormat="false" ht="15" hidden="false" customHeight="true" outlineLevel="0" collapsed="false">
      <c r="A11" s="38"/>
      <c r="B11" s="38"/>
      <c r="C11" s="38"/>
      <c r="D11" s="38"/>
      <c r="E11" s="38"/>
      <c r="F11" s="38"/>
      <c r="G11" s="38"/>
    </row>
    <row r="12" customFormat="false" ht="15" hidden="false" customHeight="true" outlineLevel="0" collapsed="false">
      <c r="A12" s="37" t="s">
        <v>1276</v>
      </c>
      <c r="B12" s="38"/>
      <c r="C12" s="38"/>
      <c r="D12" s="38"/>
      <c r="E12" s="38"/>
      <c r="F12" s="38"/>
      <c r="G12" s="38"/>
    </row>
    <row r="13" customFormat="false" ht="15" hidden="false" customHeight="true" outlineLevel="0" collapsed="false">
      <c r="A13" s="39" t="s">
        <v>1277</v>
      </c>
      <c r="B13" s="39" t="s">
        <v>50</v>
      </c>
      <c r="C13" s="39" t="s">
        <v>1278</v>
      </c>
      <c r="D13" s="39" t="s">
        <v>1265</v>
      </c>
      <c r="E13" s="38"/>
      <c r="F13" s="38"/>
      <c r="G13" s="38"/>
    </row>
    <row r="14" customFormat="false" ht="34.5" hidden="false" customHeight="true" outlineLevel="0" collapsed="false">
      <c r="A14" s="38" t="s">
        <v>1279</v>
      </c>
      <c r="B14" s="38" t="n">
        <v>9</v>
      </c>
      <c r="C14" s="50" t="n">
        <v>0.632</v>
      </c>
      <c r="D14" s="47" t="s">
        <v>1280</v>
      </c>
      <c r="E14" s="38"/>
      <c r="F14" s="38"/>
      <c r="G14" s="38"/>
    </row>
    <row r="15" customFormat="false" ht="23.25" hidden="false" customHeight="true" outlineLevel="0" collapsed="false">
      <c r="A15" s="38" t="s">
        <v>1281</v>
      </c>
      <c r="B15" s="38" t="n">
        <v>9</v>
      </c>
      <c r="C15" s="50" t="n">
        <v>-0.594</v>
      </c>
      <c r="D15" s="47" t="s">
        <v>1282</v>
      </c>
      <c r="E15" s="38"/>
      <c r="F15" s="38"/>
      <c r="G15" s="38"/>
    </row>
    <row r="16" customFormat="false" ht="68.25" hidden="false" customHeight="true" outlineLevel="0" collapsed="false">
      <c r="A16" s="38" t="s">
        <v>1283</v>
      </c>
      <c r="B16" s="38" t="n">
        <v>9</v>
      </c>
      <c r="C16" s="50" t="n">
        <v>-0.765</v>
      </c>
      <c r="D16" s="47" t="s">
        <v>1284</v>
      </c>
      <c r="E16" s="38"/>
      <c r="F16" s="38"/>
      <c r="G16"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52"/>
    <col collapsed="false" customWidth="true" hidden="false" outlineLevel="0" max="2" min="2" style="0" width="40"/>
    <col collapsed="false" customWidth="true" hidden="false" outlineLevel="0" max="3" min="3" style="0" width="16"/>
    <col collapsed="false" customWidth="true" hidden="false" outlineLevel="0" max="4" min="4" style="0" width="12"/>
  </cols>
  <sheetData>
    <row r="1" customFormat="false" ht="15" hidden="false" customHeight="true" outlineLevel="0" collapsed="false">
      <c r="A1" s="37" t="s">
        <v>1285</v>
      </c>
      <c r="B1" s="38"/>
      <c r="C1" s="38"/>
      <c r="D1" s="38"/>
    </row>
    <row r="2" customFormat="false" ht="15" hidden="false" customHeight="true" outlineLevel="0" collapsed="false">
      <c r="A2" s="38" t="s">
        <v>1286</v>
      </c>
      <c r="B2" s="38"/>
      <c r="C2" s="38"/>
      <c r="D2" s="38"/>
    </row>
    <row r="3" customFormat="false" ht="15" hidden="false" customHeight="true" outlineLevel="0" collapsed="false">
      <c r="A3" s="38"/>
      <c r="B3" s="38"/>
      <c r="C3" s="38"/>
      <c r="D3" s="38"/>
    </row>
    <row r="4" customFormat="false" ht="15" hidden="false" customHeight="true" outlineLevel="0" collapsed="false">
      <c r="A4" s="39" t="s">
        <v>1287</v>
      </c>
      <c r="B4" s="39" t="s">
        <v>1288</v>
      </c>
      <c r="C4" s="39" t="s">
        <v>1170</v>
      </c>
      <c r="D4" s="39" t="s">
        <v>1289</v>
      </c>
    </row>
    <row r="5" customFormat="false" ht="15" hidden="false" customHeight="true" outlineLevel="0" collapsed="false">
      <c r="A5" s="38" t="s">
        <v>1290</v>
      </c>
      <c r="B5" s="38" t="n">
        <f aca="false">COUNT('Reference 199 Scores'!$A$5:$A$203)</f>
        <v>199</v>
      </c>
      <c r="C5" s="38" t="n">
        <v>199</v>
      </c>
      <c r="D5" s="38" t="str">
        <f aca="false">IF(ABS(IF(ISNUMBER(B5),B5,IF(B5=C5,1,0))-IF(ISNUMBER(C5),C5,1))&lt;0.0001,"PASS","FAIL")</f>
        <v>PASS</v>
      </c>
    </row>
    <row r="6" customFormat="false" ht="15" hidden="false" customHeight="true" outlineLevel="0" collapsed="false">
      <c r="A6" s="38" t="s">
        <v>1291</v>
      </c>
      <c r="B6" s="38" t="n">
        <f aca="false">COUNT('Frequency 1-72'!$A$2:$A$73)</f>
        <v>72</v>
      </c>
      <c r="C6" s="38" t="n">
        <v>72</v>
      </c>
      <c r="D6" s="38" t="str">
        <f aca="false">IF(ABS(IF(ISNUMBER(B6),B6,IF(B6=C6,1,0))-IF(ISNUMBER(C6),C6,1))&lt;0.0001,"PASS","FAIL")</f>
        <v>PASS</v>
      </c>
    </row>
    <row r="7" customFormat="false" ht="15" hidden="false" customHeight="true" outlineLevel="0" collapsed="false">
      <c r="A7" s="38" t="s">
        <v>1292</v>
      </c>
      <c r="B7" s="38" t="n">
        <f aca="false">COUNTA('Transition Stepwise'!$B$2:$B$1137)/16</f>
        <v>71</v>
      </c>
      <c r="C7" s="38" t="n">
        <v>71</v>
      </c>
      <c r="D7" s="38" t="str">
        <f aca="false">IF(ABS(IF(ISNUMBER(B7),B7,IF(B7=C7,1,0))-IF(ISNUMBER(C7),C7,1))&lt;0.0001,"PASS","FAIL")</f>
        <v>PASS</v>
      </c>
    </row>
    <row r="8" customFormat="false" ht="15" hidden="false" customHeight="true" outlineLevel="0" collapsed="false">
      <c r="A8" s="38" t="s">
        <v>1293</v>
      </c>
      <c r="B8" s="38" t="n">
        <f aca="false">COUNT('Emission Stepwise'!$H$2:$H$289)</f>
        <v>288</v>
      </c>
      <c r="C8" s="38" t="n">
        <v>288</v>
      </c>
      <c r="D8" s="38" t="str">
        <f aca="false">IF(ABS(IF(ISNUMBER(B8),B8,IF(B8=C8,1,0))-IF(ISNUMBER(C8),C8,1))&lt;0.0001,"PASS","FAIL")</f>
        <v>PASS</v>
      </c>
    </row>
    <row r="9" customFormat="false" ht="15" hidden="false" customHeight="true" outlineLevel="0" collapsed="false">
      <c r="A9" s="38" t="s">
        <v>1294</v>
      </c>
      <c r="B9" s="38" t="n">
        <f aca="false">COUNT('Transition Stepwise'!$J$2:$J$1137)</f>
        <v>1136</v>
      </c>
      <c r="C9" s="38" t="n">
        <v>1136</v>
      </c>
      <c r="D9" s="38" t="str">
        <f aca="false">IF(ABS(IF(ISNUMBER(B9),B9,IF(B9=C9,1,0))-IF(ISNUMBER(C9),C9,1))&lt;0.0001,"PASS","FAIL")</f>
        <v>PASS</v>
      </c>
    </row>
    <row r="10" customFormat="false" ht="15" hidden="false" customHeight="true" outlineLevel="0" collapsed="false">
      <c r="A10" s="38" t="s">
        <v>1295</v>
      </c>
      <c r="B10" s="38" t="n">
        <f aca="false">COUNTIF('Frequency 1-72'!$G$2:$G$73,0)</f>
        <v>0</v>
      </c>
      <c r="C10" s="38" t="n">
        <v>0</v>
      </c>
      <c r="D10" s="38" t="str">
        <f aca="false">IF(ABS(IF(ISNUMBER(B10),B10,IF(B10=C10,1,0))-IF(ISNUMBER(C10),C10,1))&lt;0.0001,"PASS","FAIL")</f>
        <v>PASS</v>
      </c>
    </row>
    <row r="11" customFormat="false" ht="15" hidden="false" customHeight="true" outlineLevel="0" collapsed="false">
      <c r="A11" s="38" t="s">
        <v>1296</v>
      </c>
      <c r="B11" s="84" t="b">
        <f aca="false">IF(COUNTIF('Database + Frequency'!$E$213:$BX$213,199)=72,TRUE(),FALSE())</f>
        <v>1</v>
      </c>
      <c r="C11" s="84" t="b">
        <f aca="false">TRUE()</f>
        <v>1</v>
      </c>
      <c r="D11" s="38" t="str">
        <f aca="false">IF(ABS(IF(ISNUMBER(B11),B11,IF(B11=C11,1,0))-IF(ISNUMBER(C11),C11,1))&lt;0.0001,"PASS","FAIL")</f>
        <v>PASS</v>
      </c>
    </row>
    <row r="12" customFormat="false" ht="15" hidden="false" customHeight="true" outlineLevel="0" collapsed="false">
      <c r="A12" s="38" t="s">
        <v>1297</v>
      </c>
      <c r="B12" s="84" t="b">
        <f aca="false">IF(COUNTIF('Frequency 1-72'!$H$2:$H$73,199)=72,TRUE(),FALSE())</f>
        <v>1</v>
      </c>
      <c r="C12" s="84" t="b">
        <f aca="false">TRUE()</f>
        <v>1</v>
      </c>
      <c r="D12" s="38" t="str">
        <f aca="false">IF(ABS(IF(ISNUMBER(B12),B12,IF(B12=C12,1,0))-IF(ISNUMBER(C12),C12,1))&lt;0.0001,"PASS","FAIL")</f>
        <v>PASS</v>
      </c>
    </row>
    <row r="13" customFormat="false" ht="15" hidden="false" customHeight="true" outlineLevel="0" collapsed="false">
      <c r="A13" s="38" t="s">
        <v>1298</v>
      </c>
      <c r="B13" s="38" t="n">
        <f aca="false">MIN('Emission Matrix'!$B$7:$BU$7)</f>
        <v>1</v>
      </c>
      <c r="C13" s="38" t="n">
        <v>1</v>
      </c>
      <c r="D13" s="38" t="str">
        <f aca="false">IF(ABS(IF(ISNUMBER(B13),B13,IF(B13=C13,1,0))-IF(ISNUMBER(C13),C13,1))&lt;0.0001,"PASS","FAIL")</f>
        <v>PASS</v>
      </c>
    </row>
    <row r="14" customFormat="false" ht="15" hidden="false" customHeight="true" outlineLevel="0" collapsed="false">
      <c r="A14" s="38" t="s">
        <v>1299</v>
      </c>
      <c r="B14" s="38" t="n">
        <f aca="false">MAX('Emission Matrix'!$B$7:$BU$7)</f>
        <v>1</v>
      </c>
      <c r="C14" s="38" t="n">
        <v>1</v>
      </c>
      <c r="D14" s="38" t="str">
        <f aca="false">IF(ABS(IF(ISNUMBER(B14),B14,IF(B14=C14,1,0))-IF(ISNUMBER(C14),C14,1))&lt;0.0001,"PASS","FAIL")</f>
        <v>PASS</v>
      </c>
    </row>
    <row r="15" customFormat="false" ht="15" hidden="false" customHeight="true" outlineLevel="0" collapsed="false">
      <c r="A15" s="38" t="s">
        <v>1300</v>
      </c>
      <c r="B15" s="38" t="n">
        <f aca="false">MIN('Emission Matrix'!$B$15:$BU$15)</f>
        <v>1</v>
      </c>
      <c r="C15" s="38" t="n">
        <v>1</v>
      </c>
      <c r="D15" s="38" t="str">
        <f aca="false">IF(ABS(IF(ISNUMBER(B15),B15,IF(B15=C15,1,0))-IF(ISNUMBER(C15),C15,1))&lt;0.0001,"PASS","FAIL")</f>
        <v>PASS</v>
      </c>
    </row>
    <row r="16" customFormat="false" ht="15" hidden="false" customHeight="true" outlineLevel="0" collapsed="false">
      <c r="A16" s="38" t="s">
        <v>1301</v>
      </c>
      <c r="B16" s="38" t="n">
        <f aca="false">MAX('Emission Matrix'!$B$15:$BU$15)</f>
        <v>1</v>
      </c>
      <c r="C16" s="38" t="n">
        <v>1</v>
      </c>
      <c r="D16" s="38" t="str">
        <f aca="false">IF(ABS(IF(ISNUMBER(B16),B16,IF(B16=C16,1,0))-IF(ISNUMBER(C16),C16,1))&lt;0.0001,"PASS","FAIL")</f>
        <v>PASS</v>
      </c>
    </row>
    <row r="17" customFormat="false" ht="15" hidden="false" customHeight="true" outlineLevel="0" collapsed="false">
      <c r="A17" s="38" t="s">
        <v>1302</v>
      </c>
      <c r="B17" s="38" t="n">
        <f aca="false">MIN('Transition Stepwise'!$N$2:$N$1137)</f>
        <v>1</v>
      </c>
      <c r="C17" s="38" t="n">
        <v>1</v>
      </c>
      <c r="D17" s="38" t="str">
        <f aca="false">IF(ABS(IF(ISNUMBER(B17),B17,IF(B17=C17,1,0))-IF(ISNUMBER(C17),C17,1))&lt;0.0001,"PASS","FAIL")</f>
        <v>PASS</v>
      </c>
    </row>
    <row r="18" customFormat="false" ht="15" hidden="false" customHeight="true" outlineLevel="0" collapsed="false">
      <c r="A18" s="38" t="s">
        <v>1303</v>
      </c>
      <c r="B18" s="38" t="n">
        <f aca="false">MAX('Transition Stepwise'!$N$2:$N$1137)</f>
        <v>1</v>
      </c>
      <c r="C18" s="38" t="n">
        <v>1</v>
      </c>
      <c r="D18" s="38" t="str">
        <f aca="false">IF(ABS(IF(ISNUMBER(B18),B18,IF(B18=C18,1,0))-IF(ISNUMBER(C18),C18,1))&lt;0.0001,"PASS","FAIL")</f>
        <v>PASS</v>
      </c>
    </row>
    <row r="19" customFormat="false" ht="15" hidden="false" customHeight="true" outlineLevel="0" collapsed="false">
      <c r="A19" s="38" t="s">
        <v>1304</v>
      </c>
      <c r="B19" s="38" t="n">
        <f aca="false">ROUND(SUM(Background!$C$4:$C$7),9)</f>
        <v>1</v>
      </c>
      <c r="C19" s="38" t="n">
        <v>1</v>
      </c>
      <c r="D19" s="38" t="str">
        <f aca="false">IF(ABS(IF(ISNUMBER(B19),B19,IF(B19=C19,1,0))-IF(ISNUMBER(C19),C19,1))&lt;0.0001,"PASS","FAIL")</f>
        <v>PASS</v>
      </c>
    </row>
    <row r="20" customFormat="false" ht="15" hidden="false" customHeight="true" outlineLevel="0" collapsed="false">
      <c r="A20" s="38" t="s">
        <v>1305</v>
      </c>
      <c r="B20" s="38" t="n">
        <f aca="false">ROUND(SUM(Background!$D$12:$D$27),9)</f>
        <v>4</v>
      </c>
      <c r="C20" s="38" t="n">
        <v>4</v>
      </c>
      <c r="D20" s="38" t="str">
        <f aca="false">IF(ABS(IF(ISNUMBER(B20),B20,IF(B20=C20,1,0))-IF(ISNUMBER(C20),C20,1))&lt;0.0001,"PASS","FAIL")</f>
        <v>PASS</v>
      </c>
    </row>
    <row r="21" customFormat="false" ht="15" hidden="false" customHeight="true" outlineLevel="0" collapsed="false">
      <c r="A21" s="38" t="s">
        <v>1306</v>
      </c>
      <c r="B21" s="38" t="n">
        <f aca="false">SUM(Background!$C$12:$C$27)-SUM('Transition Stepwise'!$F$2:$F$1137)</f>
        <v>0</v>
      </c>
      <c r="C21" s="38" t="n">
        <v>0</v>
      </c>
      <c r="D21" s="38" t="str">
        <f aca="false">IF(ABS(IF(ISNUMBER(B21),B21,IF(B21=C21,1,0))-IF(ISNUMBER(C21),C21,1))&lt;0.0001,"PASS","FAIL")</f>
        <v>PASS</v>
      </c>
    </row>
    <row r="22" customFormat="false" ht="15" hidden="false" customHeight="true" outlineLevel="0" collapsed="false">
      <c r="A22" s="38" t="s">
        <v>1307</v>
      </c>
      <c r="B22" s="38" t="n">
        <f aca="false">COUNTA('TPsiC OTHER 96 Scores'!$A$5:$A$100)</f>
        <v>96</v>
      </c>
      <c r="C22" s="38" t="n">
        <v>96</v>
      </c>
      <c r="D22" s="38" t="str">
        <f aca="false">IF(ABS(IF(ISNUMBER(B22),B22,IF(B22=C22,1,0))-IF(ISNUMBER(C22),C22,1))&lt;0.0001,"PASS","FAIL")</f>
        <v>PASS</v>
      </c>
    </row>
    <row r="23" customFormat="false" ht="15" hidden="false" customHeight="true" outlineLevel="0" collapsed="false">
      <c r="A23" s="38" t="s">
        <v>1308</v>
      </c>
      <c r="B23" s="38" t="n">
        <f aca="false">COUNTA('MBSW 62 Scores'!$A$5:$A$66)</f>
        <v>62</v>
      </c>
      <c r="C23" s="38" t="n">
        <v>62</v>
      </c>
      <c r="D23" s="38" t="str">
        <f aca="false">IF(ABS(IF(ISNUMBER(B23),B23,IF(B23=C23,1,0))-IF(ISNUMBER(C23),C23,1))&lt;0.0001,"PASS","FAIL")</f>
        <v>PASS</v>
      </c>
    </row>
    <row r="24" customFormat="false" ht="15" hidden="false" customHeight="true" outlineLevel="0" collapsed="false">
      <c r="A24" s="38" t="s">
        <v>1309</v>
      </c>
      <c r="B24" s="38" t="n">
        <f aca="false">COUNTA('Cand+Decoy Scores'!$A$5:$A$26)</f>
        <v>22</v>
      </c>
      <c r="C24" s="38" t="n">
        <v>22</v>
      </c>
      <c r="D24" s="38" t="str">
        <f aca="false">IF(ABS(IF(ISNUMBER(B24),B24,IF(B24=C24,1,0))-IF(ISNUMBER(C24),C24,1))&lt;0.0001,"PASS","FAIL")</f>
        <v>PASS</v>
      </c>
    </row>
    <row r="25" customFormat="false" ht="15" hidden="false" customHeight="true" outlineLevel="0" collapsed="false">
      <c r="A25" s="38" t="s">
        <v>1310</v>
      </c>
      <c r="B25" s="38" t="n">
        <f aca="false">COUNTIF('Cand+Decoy Scores'!$B$5:$B$26,"PREDICTED")</f>
        <v>9</v>
      </c>
      <c r="C25" s="38" t="n">
        <v>9</v>
      </c>
      <c r="D25" s="38" t="str">
        <f aca="false">IF(ABS(IF(ISNUMBER(B25),B25,IF(B25=C25,1,0))-IF(ISNUMBER(C25),C25,1))&lt;0.0001,"PASS","FAIL")</f>
        <v>PASS</v>
      </c>
    </row>
    <row r="26" customFormat="false" ht="15" hidden="false" customHeight="true" outlineLevel="0" collapsed="false">
      <c r="A26" s="38" t="s">
        <v>1311</v>
      </c>
      <c r="B26" s="38" t="n">
        <f aca="false">COUNTIF('Cand+Decoy Scores'!$B$5:$B$26,"DECOY")</f>
        <v>13</v>
      </c>
      <c r="C26" s="38" t="n">
        <v>13</v>
      </c>
      <c r="D26" s="38" t="str">
        <f aca="false">IF(ABS(IF(ISNUMBER(B26),B26,IF(B26=C26,1,0))-IF(ISNUMBER(C26),C26,1))&lt;0.0001,"PASS","FAIL")</f>
        <v>PASS</v>
      </c>
    </row>
    <row r="27" customFormat="false" ht="15" hidden="false" customHeight="true" outlineLevel="0" collapsed="false">
      <c r="A27" s="38" t="s">
        <v>1312</v>
      </c>
      <c r="B27" s="38" t="n">
        <f aca="false">COUNT('Cand+Decoy Per-Position'!$H$2:$H$1585)</f>
        <v>1570</v>
      </c>
      <c r="C27" s="38" t="n">
        <v>1570</v>
      </c>
      <c r="D27" s="38" t="str">
        <f aca="false">IF(ABS(IF(ISNUMBER(B27),B27,IF(B27=C27,1,0))-IF(ISNUMBER(C27),C27,1))&lt;0.0001,"PASS","FAIL")</f>
        <v>PASS</v>
      </c>
    </row>
    <row r="28" customFormat="false" ht="15" hidden="false" customHeight="true" outlineLevel="0" collapsed="false">
      <c r="A28" s="38" t="s">
        <v>1313</v>
      </c>
      <c r="B28" s="38" t="n">
        <f aca="false">COUNTIF('Cand+Decoy Per-Transition'!$E$2:$E$1563,"yes")</f>
        <v>1535</v>
      </c>
      <c r="C28" s="38" t="n">
        <v>1535</v>
      </c>
      <c r="D28" s="38" t="str">
        <f aca="false">IF(ABS(IF(ISNUMBER(B28),B28,IF(B28=C28,1,0))-IF(ISNUMBER(C28),C28,1))&lt;0.0001,"PASS","FAIL")</f>
        <v>PASS</v>
      </c>
    </row>
    <row r="29" customFormat="false" ht="15" hidden="false" customHeight="true" outlineLevel="0" collapsed="false">
      <c r="A29" s="38" t="s">
        <v>1314</v>
      </c>
      <c r="B29" s="38" t="n">
        <f aca="false">COUNTIF('Cand+Decoy Per-Transition'!$E$2:$E$1563,"dropped (gap)")</f>
        <v>27</v>
      </c>
      <c r="C29" s="38" t="n">
        <v>27</v>
      </c>
      <c r="D29" s="38" t="str">
        <f aca="false">IF(ABS(IF(ISNUMBER(B29),B29,IF(B29=C29,1,0))-IF(ISNUMBER(C29),C29,1))&lt;0.0001,"PASS","FAIL")</f>
        <v>PASS</v>
      </c>
    </row>
    <row r="30" customFormat="false" ht="15" hidden="false" customHeight="true" outlineLevel="0" collapsed="false">
      <c r="A30" s="38" t="s">
        <v>1315</v>
      </c>
      <c r="B30" s="38" t="n">
        <f aca="false">COUNT('Permutation Null'!$E$5:$E$964)</f>
        <v>960</v>
      </c>
      <c r="C30" s="38" t="n">
        <v>960</v>
      </c>
      <c r="D30" s="38" t="str">
        <f aca="false">IF(ABS(IF(ISNUMBER(B30),B30,IF(B30=C30,1,0))-IF(ISNUMBER(C30),C30,1))&lt;0.0001,"PASS","FAIL")</f>
        <v>PASS</v>
      </c>
    </row>
    <row r="31" customFormat="false" ht="15" hidden="false" customHeight="true" outlineLevel="0" collapsed="false">
      <c r="A31" s="38" t="s">
        <v>1316</v>
      </c>
      <c r="B31" s="38" t="n">
        <f aca="false">COUNTA('TPsiC OTHER 96 Scores'!$A$5:$A$100)+COUNTA('MBSW 62 Scores'!$A$5:$A$66)</f>
        <v>158</v>
      </c>
      <c r="C31" s="38" t="n">
        <v>158</v>
      </c>
      <c r="D31" s="38" t="str">
        <f aca="false">IF(ABS(IF(ISNUMBER(B31),B31,IF(B31=C31,1,0))-IF(ISNUMBER(C31),C31,1))&lt;0.0001,"PASS","FAIL")</f>
        <v>PASS</v>
      </c>
    </row>
    <row r="32" customFormat="false" ht="15" hidden="false" customHeight="true" outlineLevel="0" collapsed="false">
      <c r="A32" s="38" t="s">
        <v>1317</v>
      </c>
      <c r="B32" s="49" t="n">
        <f aca="false">'Cand+Decoy Scores'!$C$31</f>
        <v>-0.311344393945126</v>
      </c>
      <c r="C32" s="38" t="n">
        <v>-0.3113</v>
      </c>
      <c r="D32" s="38" t="str">
        <f aca="false">IF(ABS(IF(ISNUMBER(B32),B32,IF(B32=C32,1,0))-IF(ISNUMBER(C32),C32,1))&lt;0.0001,"PASS","FAIL")</f>
        <v>PASS</v>
      </c>
    </row>
    <row r="33" customFormat="false" ht="15" hidden="false" customHeight="true" outlineLevel="0" collapsed="false">
      <c r="A33" s="38" t="s">
        <v>1318</v>
      </c>
      <c r="B33" s="49" t="n">
        <f aca="false">'Cand+Decoy Scores'!$C$33</f>
        <v>-0.230797751006272</v>
      </c>
      <c r="C33" s="38" t="n">
        <v>-0.2308</v>
      </c>
      <c r="D33" s="38" t="str">
        <f aca="false">IF(ABS(IF(ISNUMBER(B33),B33,IF(B33=C33,1,0))-IF(ISNUMBER(C33),C33,1))&lt;0.0001,"PASS","FAIL")</f>
        <v>PASS</v>
      </c>
    </row>
    <row r="34" customFormat="false" ht="15" hidden="false" customHeight="true" outlineLevel="0" collapsed="false">
      <c r="A34" s="38" t="s">
        <v>1319</v>
      </c>
      <c r="B34" s="49" t="n">
        <f aca="false">'Cand+Decoy Scores'!$C$29</f>
        <v>-0.271071072475699</v>
      </c>
      <c r="C34" s="38" t="n">
        <v>-0.2711</v>
      </c>
      <c r="D34" s="38" t="str">
        <f aca="false">IF(ABS(IF(ISNUMBER(B34),B34,IF(B34=C34,1,0))-IF(ISNUMBER(C34),C34,1))&lt;0.0001,"PASS","FAIL")</f>
        <v>PASS</v>
      </c>
    </row>
    <row r="35" customFormat="false" ht="15" hidden="false" customHeight="true" outlineLevel="0" collapsed="false">
      <c r="A35" s="38" t="s">
        <v>1320</v>
      </c>
      <c r="B35" s="49" t="n">
        <f aca="false">'Cand+Decoy Scores'!$C$32</f>
        <v>-0.364033401978292</v>
      </c>
      <c r="C35" s="38" t="n">
        <v>-0.364</v>
      </c>
      <c r="D35" s="38" t="str">
        <f aca="false">IF(ABS(IF(ISNUMBER(B35),B35,IF(B35=C35,1,0))-IF(ISNUMBER(C35),C35,1))&lt;0.0001,"PASS","FAIL")</f>
        <v>PASS</v>
      </c>
    </row>
    <row r="36" customFormat="false" ht="15" hidden="false" customHeight="true" outlineLevel="0" collapsed="false">
      <c r="A36" s="38" t="s">
        <v>1321</v>
      </c>
      <c r="B36" s="49" t="n">
        <f aca="false">'Cand+Decoy Scores'!$C$34</f>
        <v>-0.3121799566916</v>
      </c>
      <c r="C36" s="38" t="n">
        <v>-0.3122</v>
      </c>
      <c r="D36" s="38" t="str">
        <f aca="false">IF(ABS(IF(ISNUMBER(B36),B36,IF(B36=C36,1,0))-IF(ISNUMBER(C36),C36,1))&lt;0.0001,"PASS","FAIL")</f>
        <v>PASS</v>
      </c>
    </row>
    <row r="37" customFormat="false" ht="15" hidden="false" customHeight="true" outlineLevel="0" collapsed="false">
      <c r="A37" s="38" t="s">
        <v>1322</v>
      </c>
      <c r="B37" s="49" t="n">
        <f aca="false">'Cand+Decoy Scores'!$C$30</f>
        <v>-0.338106679334946</v>
      </c>
      <c r="C37" s="38" t="n">
        <v>-0.3381</v>
      </c>
      <c r="D37" s="38" t="str">
        <f aca="false">IF(ABS(IF(ISNUMBER(B37),B37,IF(B37=C37,1,0))-IF(ISNUMBER(C37),C37,1))&lt;0.0001,"PASS","FAIL")</f>
        <v>PASS</v>
      </c>
    </row>
    <row r="38" customFormat="false" ht="15" hidden="false" customHeight="true" outlineLevel="0" collapsed="false">
      <c r="A38" s="38" t="s">
        <v>1323</v>
      </c>
      <c r="B38" s="49" t="n">
        <f aca="false">'Cand+Decoy Scores'!$C$37</f>
        <v>0.443944444444444</v>
      </c>
      <c r="C38" s="38" t="n">
        <v>0.4439</v>
      </c>
      <c r="D38" s="38" t="str">
        <f aca="false">IF(ABS(IF(ISNUMBER(B38),B38,IF(B38=C38,1,0))-IF(ISNUMBER(C38),C38,1))&lt;0.0001,"PASS","FAIL")</f>
        <v>PASS</v>
      </c>
    </row>
    <row r="39" customFormat="false" ht="15" hidden="false" customHeight="true" outlineLevel="0" collapsed="false">
      <c r="A39" s="38" t="s">
        <v>1324</v>
      </c>
      <c r="B39" s="49" t="n">
        <f aca="false">'Cand+Decoy Scores'!$C$38</f>
        <v>0.312569230769231</v>
      </c>
      <c r="C39" s="38" t="n">
        <v>0.3126</v>
      </c>
      <c r="D39" s="38" t="str">
        <f aca="false">IF(ABS(IF(ISNUMBER(B39),B39,IF(B39=C39,1,0))-IF(ISNUMBER(C39),C39,1))&lt;0.0001,"PASS","FAIL")</f>
        <v>PASS</v>
      </c>
    </row>
    <row r="40" customFormat="false" ht="15" hidden="false" customHeight="true" outlineLevel="0" collapsed="false">
      <c r="A40" s="38" t="s">
        <v>1325</v>
      </c>
      <c r="B40" s="49" t="n">
        <f aca="false">'Cand+Decoy Scores'!$C$41</f>
        <v>0.46530534535052</v>
      </c>
      <c r="C40" s="38" t="n">
        <v>0.4653</v>
      </c>
      <c r="D40" s="38" t="str">
        <f aca="false">IF(ABS(IF(ISNUMBER(B40),B40,IF(B40=C40,1,0))-IF(ISNUMBER(C40),C40,1))&lt;0.0001,"PASS","FAIL")</f>
        <v>PASS</v>
      </c>
    </row>
    <row r="41" customFormat="false" ht="15" hidden="false" customHeight="true" outlineLevel="0" collapsed="false">
      <c r="A41" s="38" t="s">
        <v>1326</v>
      </c>
      <c r="B41" s="84" t="b">
        <f aca="false">IF('Cand+Decoy Scores'!$C$35&lt;MIN('TPsiC OTHER 96 Scores'!$F$5:$F$100),TRUE(),FALSE())</f>
        <v>1</v>
      </c>
      <c r="C41" s="84" t="b">
        <f aca="false">TRUE()</f>
        <v>1</v>
      </c>
      <c r="D41" s="38" t="str">
        <f aca="false">IF(ABS(IF(ISNUMBER(B41),B41,IF(B41=C41,1,0))-IF(ISNUMBER(C41),C41,1))&lt;0.0001,"PASS","FAIL")</f>
        <v>PASS</v>
      </c>
    </row>
    <row r="42" customFormat="false" ht="15" hidden="false" customHeight="true" outlineLevel="0" collapsed="false">
      <c r="A42" s="38" t="s">
        <v>1327</v>
      </c>
      <c r="B42" s="38" t="n">
        <f aca="false">COUNTA('Summary Table'!$A$5:$A$13)</f>
        <v>9</v>
      </c>
      <c r="C42" s="38" t="n">
        <v>9</v>
      </c>
      <c r="D42" s="38" t="str">
        <f aca="false">IF(ABS(IF(ISNUMBER(B42),B42,IF(B42=C42,1,0))-IF(ISNUMBER(C42),C42,1))&lt;0.0001,"PASS","FAIL")</f>
        <v>PASS</v>
      </c>
    </row>
    <row r="43" customFormat="false" ht="15" hidden="false" customHeight="true" outlineLevel="0" collapsed="false">
      <c r="A43" s="38"/>
      <c r="B43" s="38"/>
      <c r="C43" s="38"/>
      <c r="D43" s="38"/>
    </row>
    <row r="44" customFormat="false" ht="15" hidden="false" customHeight="true" outlineLevel="0" collapsed="false">
      <c r="A44" s="41" t="s">
        <v>1328</v>
      </c>
      <c r="B44" s="41" t="str">
        <f aca="false">IF(COUNTIF(D5:D42,"PASS")=38,"PASS","CHECK")</f>
        <v>PASS</v>
      </c>
      <c r="C44" s="38"/>
      <c r="D44" s="38"/>
    </row>
    <row r="45" customFormat="false" ht="15" hidden="false" customHeight="true" outlineLevel="0" collapsed="false">
      <c r="A45" s="38"/>
      <c r="B45" s="38"/>
      <c r="C45" s="38"/>
      <c r="D45" s="38"/>
    </row>
    <row r="46" customFormat="false" ht="68.25" hidden="false" customHeight="true" outlineLevel="0" collapsed="false">
      <c r="A46" s="47" t="s">
        <v>1329</v>
      </c>
      <c r="B46" s="38"/>
      <c r="C46" s="38"/>
      <c r="D46" s="3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2026-10-12T20:06:34Z</dcterms:created>
  <dc:creator>openpyxl</dc:creator>
  <dc:description/>
  <dc:language>en-US</dc:language>
  <cp:lastModifiedBy>admin</cp:lastModifiedBy>
  <cp:lastPrinted>2026-10-28T18:09:38Z</cp:lastPrinted>
  <dcterms:modified xsi:type="dcterms:W3CDTF">2026-10-31T05:18:09Z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